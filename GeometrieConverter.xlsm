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F72C0D0C-B7ED-4DFF-9D33-710B1707F767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Assambly_plot">BuildYourStructure!$A$114</definedName>
    <definedName name="DISPL_MP">BuildYourStructure!$F$23</definedName>
    <definedName name="DISPL_TOWER">BuildYourStructure!$CC$23</definedName>
    <definedName name="DISPL_TP">BuildYourStructure!$AQ$23</definedName>
    <definedName name="Import_GeomConv_path">BuildYourStructure!$C$17</definedName>
    <definedName name="Import_MP_path">BuildYourStructure!$A$29</definedName>
    <definedName name="JBOOST_Path">ExportStructure!$B$6</definedName>
    <definedName name="MOVE_STRUCT">BuildYourStructure!#REF!</definedName>
    <definedName name="MP_plot">BuildYourStructure!$M$2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StructureOverview!$AB$15</definedName>
    <definedName name="Table_MP_DATA">BuildYourStructure!$Y$17</definedName>
    <definedName name="Table_MP_META">BuildYourStructure!$E$12</definedName>
    <definedName name="Table_TP_DATA">BuildYourStructure!#REF!</definedName>
    <definedName name="Table_TP_META">BuildYourStructure!#REF!</definedName>
    <definedName name="Text">BuildYourStructure!$BM$6</definedName>
    <definedName name="TextBox_Import_MP_path">BuildYourStructure!$A$29</definedName>
    <definedName name="TextBox_MP_db_path">BuildYourStructure!$F$6</definedName>
    <definedName name="TextBox_RNA_db_path">BuildYourStructure!$DO$6</definedName>
    <definedName name="TextBox_TOWER_db_path">BuildYourStructure!$BM$6</definedName>
    <definedName name="TextBox_TOWER_db_path2">BuildYourStructure!$CC$6</definedName>
    <definedName name="TextBox_TP_db_path">BuildYourStructure!$AQ$6</definedName>
    <definedName name="TextBox_TWR_db_path">#REF!</definedName>
    <definedName name="TOWER_plot">BuildYourStructure!$CJ$2</definedName>
    <definedName name="TP_plot">BuildYourStructure!$AX$2</definedName>
    <definedName name="Use_MP">BuildYourStructure!$A$22</definedName>
    <definedName name="Use_TP">BuildYourStructure!$B$22</definedName>
    <definedName name="UseMPGeomConv">BuildYourStructure!$C$22</definedName>
    <definedName name="UseTOWERGeomConv">BuildYourStructure!$D$22</definedName>
    <definedName name="UseTPGeomConv">BuildYourStructure!$C$23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6" l="1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15" i="6"/>
  <c r="CH113" i="5" l="1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12" i="5"/>
  <c r="CK137" i="5"/>
  <c r="CJ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K112" i="5"/>
  <c r="CJ112" i="5"/>
  <c r="CI112" i="5"/>
  <c r="CL111" i="5"/>
  <c r="CL110" i="5"/>
  <c r="CL109" i="5"/>
  <c r="CK109" i="5"/>
  <c r="CJ109" i="5"/>
  <c r="CI109" i="5"/>
  <c r="CH109" i="5"/>
  <c r="CL108" i="5"/>
  <c r="CK108" i="5"/>
  <c r="CJ108" i="5"/>
  <c r="CI108" i="5"/>
  <c r="CH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L83" i="5"/>
  <c r="CK83" i="5"/>
  <c r="CJ83" i="5"/>
  <c r="CI83" i="5"/>
  <c r="CH83" i="5"/>
  <c r="CL82" i="5"/>
  <c r="CK82" i="5"/>
  <c r="CJ82" i="5"/>
  <c r="CI82" i="5"/>
  <c r="CH82" i="5"/>
  <c r="CL81" i="5"/>
  <c r="CK81" i="5"/>
  <c r="CJ81" i="5"/>
  <c r="CI81" i="5"/>
  <c r="CH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59" i="5"/>
  <c r="CL46" i="5"/>
  <c r="CL45" i="5"/>
  <c r="CL44" i="5"/>
  <c r="CL43" i="5"/>
  <c r="CL42" i="5"/>
  <c r="CL41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CL22" i="5"/>
  <c r="DU87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11" i="5"/>
  <c r="DU112" i="5"/>
  <c r="DU113" i="5"/>
  <c r="DU114" i="5"/>
  <c r="DU115" i="5"/>
  <c r="DU116" i="5"/>
  <c r="DU117" i="5"/>
  <c r="DU118" i="5"/>
  <c r="DU119" i="5"/>
  <c r="DU120" i="5"/>
  <c r="DU121" i="5"/>
  <c r="DU122" i="5"/>
  <c r="DU123" i="5"/>
  <c r="DU124" i="5"/>
  <c r="DU125" i="5"/>
  <c r="DU126" i="5"/>
  <c r="DU127" i="5"/>
  <c r="DU128" i="5"/>
  <c r="DU129" i="5"/>
  <c r="DU130" i="5"/>
  <c r="DU131" i="5"/>
  <c r="DU132" i="5"/>
  <c r="DU133" i="5"/>
  <c r="AY137" i="5"/>
  <c r="AX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21" i="5"/>
  <c r="AX121" i="5"/>
  <c r="AW121" i="5"/>
  <c r="AY120" i="5"/>
  <c r="AX120" i="5"/>
  <c r="AW120" i="5"/>
  <c r="AY119" i="5"/>
  <c r="AX119" i="5"/>
  <c r="AW119" i="5"/>
  <c r="AY118" i="5"/>
  <c r="AX118" i="5"/>
  <c r="AW118" i="5"/>
  <c r="AY117" i="5"/>
  <c r="AX117" i="5"/>
  <c r="AW117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Y112" i="5"/>
  <c r="AX112" i="5"/>
  <c r="AW112" i="5"/>
  <c r="AZ111" i="5"/>
  <c r="AZ110" i="5"/>
  <c r="AZ109" i="5"/>
  <c r="AY109" i="5"/>
  <c r="AX109" i="5"/>
  <c r="AW109" i="5"/>
  <c r="AV109" i="5"/>
  <c r="AZ108" i="5"/>
  <c r="AY108" i="5"/>
  <c r="AX108" i="5"/>
  <c r="AW108" i="5"/>
  <c r="AV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Y83" i="5"/>
  <c r="AX83" i="5"/>
  <c r="AW83" i="5"/>
  <c r="AV83" i="5"/>
  <c r="AZ82" i="5"/>
  <c r="AY82" i="5"/>
  <c r="AX82" i="5"/>
  <c r="AW82" i="5"/>
  <c r="AV82" i="5"/>
  <c r="AZ81" i="5"/>
  <c r="AY81" i="5"/>
  <c r="AX81" i="5"/>
  <c r="AW81" i="5"/>
  <c r="AV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46" i="5"/>
  <c r="AZ45" i="5"/>
  <c r="AZ44" i="5"/>
  <c r="AZ43" i="5"/>
  <c r="AZ42" i="5"/>
  <c r="AZ41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M112" i="5"/>
  <c r="L118" i="5"/>
  <c r="M134" i="5"/>
  <c r="M135" i="5"/>
  <c r="M136" i="5"/>
  <c r="M137" i="5"/>
  <c r="N112" i="5"/>
  <c r="O26" i="5"/>
  <c r="C8" i="6"/>
  <c r="M81" i="5"/>
  <c r="M82" i="5"/>
  <c r="M83" i="5"/>
  <c r="J6" i="6" l="1" a="1"/>
  <c r="J6" i="6" s="1"/>
  <c r="J7" i="6"/>
  <c r="AX17" i="6" l="1"/>
  <c r="AX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L69" i="6" l="1"/>
  <c r="J69" i="6"/>
  <c r="M69" i="6"/>
  <c r="L70" i="6"/>
  <c r="J70" i="6"/>
  <c r="M70" i="6"/>
  <c r="L71" i="6"/>
  <c r="J71" i="6"/>
  <c r="M71" i="6"/>
  <c r="L72" i="6"/>
  <c r="J72" i="6"/>
  <c r="M72" i="6"/>
  <c r="L73" i="6"/>
  <c r="J73" i="6"/>
  <c r="M73" i="6"/>
  <c r="L74" i="6"/>
  <c r="J74" i="6"/>
  <c r="M74" i="6"/>
  <c r="L75" i="6"/>
  <c r="J75" i="6"/>
  <c r="M75" i="6"/>
  <c r="L76" i="6"/>
  <c r="J76" i="6"/>
  <c r="M76" i="6"/>
  <c r="L77" i="6"/>
  <c r="J77" i="6"/>
  <c r="M77" i="6"/>
  <c r="L78" i="6"/>
  <c r="J78" i="6"/>
  <c r="M78" i="6"/>
  <c r="L79" i="6"/>
  <c r="J79" i="6"/>
  <c r="M79" i="6"/>
  <c r="L80" i="6"/>
  <c r="J80" i="6"/>
  <c r="M80" i="6"/>
  <c r="L81" i="6"/>
  <c r="J81" i="6"/>
  <c r="M81" i="6"/>
  <c r="L82" i="6"/>
  <c r="J82" i="6"/>
  <c r="M82" i="6"/>
  <c r="L83" i="6"/>
  <c r="J83" i="6"/>
  <c r="M83" i="6"/>
  <c r="L84" i="6"/>
  <c r="J84" i="6"/>
  <c r="M84" i="6"/>
  <c r="L85" i="6"/>
  <c r="J85" i="6"/>
  <c r="M85" i="6"/>
  <c r="L86" i="6"/>
  <c r="J86" i="6"/>
  <c r="M86" i="6"/>
  <c r="L87" i="6"/>
  <c r="J87" i="6"/>
  <c r="M87" i="6"/>
  <c r="L88" i="6"/>
  <c r="J88" i="6"/>
  <c r="M88" i="6"/>
  <c r="L89" i="6"/>
  <c r="J89" i="6"/>
  <c r="M89" i="6"/>
  <c r="L90" i="6"/>
  <c r="J90" i="6"/>
  <c r="M90" i="6"/>
  <c r="L91" i="6"/>
  <c r="J91" i="6"/>
  <c r="M91" i="6"/>
  <c r="L92" i="6"/>
  <c r="J92" i="6"/>
  <c r="M92" i="6"/>
  <c r="L93" i="6"/>
  <c r="J93" i="6"/>
  <c r="M93" i="6"/>
  <c r="L94" i="6"/>
  <c r="J94" i="6"/>
  <c r="M94" i="6"/>
  <c r="L95" i="6"/>
  <c r="J95" i="6"/>
  <c r="M95" i="6"/>
  <c r="L96" i="6"/>
  <c r="J96" i="6"/>
  <c r="M96" i="6"/>
  <c r="L97" i="6"/>
  <c r="J97" i="6"/>
  <c r="M97" i="6"/>
  <c r="L98" i="6"/>
  <c r="J98" i="6"/>
  <c r="M98" i="6"/>
  <c r="L99" i="6"/>
  <c r="J99" i="6"/>
  <c r="M99" i="6"/>
  <c r="L100" i="6"/>
  <c r="J100" i="6"/>
  <c r="M100" i="6"/>
  <c r="L101" i="6"/>
  <c r="J101" i="6"/>
  <c r="M101" i="6"/>
  <c r="L102" i="6"/>
  <c r="J102" i="6"/>
  <c r="M102" i="6"/>
  <c r="L103" i="6"/>
  <c r="J103" i="6"/>
  <c r="M103" i="6"/>
  <c r="L104" i="6"/>
  <c r="J104" i="6"/>
  <c r="M104" i="6"/>
  <c r="L105" i="6"/>
  <c r="J105" i="6"/>
  <c r="M105" i="6"/>
  <c r="L106" i="6"/>
  <c r="J106" i="6"/>
  <c r="M106" i="6"/>
  <c r="L107" i="6"/>
  <c r="J107" i="6"/>
  <c r="M107" i="6"/>
  <c r="L108" i="6"/>
  <c r="J108" i="6"/>
  <c r="M108" i="6"/>
  <c r="L109" i="6"/>
  <c r="J109" i="6"/>
  <c r="M109" i="6"/>
  <c r="L110" i="6"/>
  <c r="J110" i="6"/>
  <c r="M110" i="6"/>
  <c r="L111" i="6"/>
  <c r="J111" i="6"/>
  <c r="M111" i="6"/>
  <c r="L112" i="6"/>
  <c r="J112" i="6"/>
  <c r="M112" i="6"/>
  <c r="L113" i="6"/>
  <c r="J113" i="6"/>
  <c r="M113" i="6"/>
  <c r="L114" i="6"/>
  <c r="J114" i="6"/>
  <c r="M114" i="6"/>
  <c r="L115" i="6"/>
  <c r="J115" i="6"/>
  <c r="M115" i="6"/>
  <c r="L116" i="6"/>
  <c r="J116" i="6"/>
  <c r="M116" i="6"/>
  <c r="L117" i="6"/>
  <c r="J117" i="6"/>
  <c r="M117" i="6"/>
  <c r="L118" i="6"/>
  <c r="J118" i="6"/>
  <c r="M118" i="6"/>
  <c r="L119" i="6"/>
  <c r="J119" i="6"/>
  <c r="M119" i="6"/>
  <c r="L120" i="6"/>
  <c r="J120" i="6"/>
  <c r="M120" i="6"/>
  <c r="L121" i="6"/>
  <c r="J121" i="6"/>
  <c r="M121" i="6"/>
  <c r="L122" i="6"/>
  <c r="J122" i="6"/>
  <c r="M122" i="6"/>
  <c r="L123" i="6"/>
  <c r="J123" i="6"/>
  <c r="M123" i="6"/>
  <c r="L124" i="6"/>
  <c r="J124" i="6"/>
  <c r="M124" i="6"/>
  <c r="L125" i="6"/>
  <c r="J125" i="6"/>
  <c r="M125" i="6"/>
  <c r="L126" i="6"/>
  <c r="J126" i="6"/>
  <c r="M126" i="6"/>
  <c r="L127" i="6"/>
  <c r="J127" i="6"/>
  <c r="M127" i="6"/>
  <c r="L128" i="6"/>
  <c r="J128" i="6"/>
  <c r="M128" i="6"/>
  <c r="L129" i="6"/>
  <c r="J129" i="6"/>
  <c r="M129" i="6"/>
  <c r="L130" i="6"/>
  <c r="J130" i="6"/>
  <c r="M130" i="6"/>
  <c r="L131" i="6"/>
  <c r="J131" i="6"/>
  <c r="M131" i="6"/>
  <c r="L132" i="6"/>
  <c r="J132" i="6"/>
  <c r="M132" i="6"/>
  <c r="L133" i="6"/>
  <c r="J133" i="6"/>
  <c r="M133" i="6"/>
  <c r="L134" i="6"/>
  <c r="J134" i="6"/>
  <c r="M134" i="6"/>
  <c r="L135" i="6"/>
  <c r="J135" i="6"/>
  <c r="M135" i="6"/>
  <c r="L136" i="6"/>
  <c r="J136" i="6"/>
  <c r="M136" i="6"/>
  <c r="L137" i="6"/>
  <c r="J137" i="6"/>
  <c r="M137" i="6"/>
  <c r="L138" i="6"/>
  <c r="J138" i="6"/>
  <c r="M138" i="6"/>
  <c r="L139" i="6"/>
  <c r="J139" i="6"/>
  <c r="M139" i="6"/>
  <c r="L140" i="6"/>
  <c r="J140" i="6"/>
  <c r="M140" i="6"/>
  <c r="L141" i="6"/>
  <c r="J141" i="6"/>
  <c r="M141" i="6"/>
  <c r="L142" i="6"/>
  <c r="J142" i="6"/>
  <c r="M142" i="6"/>
  <c r="L143" i="6"/>
  <c r="J143" i="6"/>
  <c r="M143" i="6"/>
  <c r="L144" i="6"/>
  <c r="J144" i="6"/>
  <c r="M144" i="6"/>
  <c r="L145" i="6"/>
  <c r="J145" i="6"/>
  <c r="M145" i="6"/>
  <c r="L146" i="6"/>
  <c r="J146" i="6"/>
  <c r="M146" i="6"/>
  <c r="L147" i="6"/>
  <c r="J147" i="6"/>
  <c r="M147" i="6"/>
  <c r="L148" i="6"/>
  <c r="J148" i="6"/>
  <c r="M148" i="6"/>
  <c r="L149" i="6"/>
  <c r="J149" i="6"/>
  <c r="M149" i="6"/>
  <c r="L150" i="6"/>
  <c r="J150" i="6"/>
  <c r="M150" i="6"/>
  <c r="L151" i="6"/>
  <c r="J151" i="6"/>
  <c r="M151" i="6"/>
  <c r="L152" i="6"/>
  <c r="J152" i="6"/>
  <c r="M152" i="6"/>
  <c r="L153" i="6"/>
  <c r="J153" i="6"/>
  <c r="M153" i="6"/>
  <c r="L154" i="6"/>
  <c r="J154" i="6"/>
  <c r="M154" i="6"/>
  <c r="L155" i="6"/>
  <c r="J155" i="6"/>
  <c r="M155" i="6"/>
  <c r="L156" i="6"/>
  <c r="J156" i="6"/>
  <c r="M156" i="6"/>
  <c r="L157" i="6"/>
  <c r="J157" i="6"/>
  <c r="M157" i="6"/>
  <c r="L158" i="6"/>
  <c r="J158" i="6"/>
  <c r="M158" i="6"/>
  <c r="L159" i="6"/>
  <c r="J159" i="6"/>
  <c r="M159" i="6"/>
  <c r="L160" i="6"/>
  <c r="J160" i="6"/>
  <c r="M160" i="6"/>
  <c r="L161" i="6"/>
  <c r="J161" i="6"/>
  <c r="M161" i="6"/>
  <c r="L162" i="6"/>
  <c r="J162" i="6"/>
  <c r="M162" i="6"/>
  <c r="L163" i="6"/>
  <c r="J163" i="6"/>
  <c r="M163" i="6"/>
  <c r="L164" i="6"/>
  <c r="J164" i="6"/>
  <c r="M164" i="6"/>
  <c r="L165" i="6"/>
  <c r="J165" i="6"/>
  <c r="M165" i="6"/>
  <c r="L166" i="6"/>
  <c r="J166" i="6"/>
  <c r="M166" i="6"/>
  <c r="L167" i="6"/>
  <c r="J167" i="6"/>
  <c r="M167" i="6"/>
  <c r="L168" i="6"/>
  <c r="J168" i="6"/>
  <c r="M168" i="6"/>
  <c r="L169" i="6"/>
  <c r="J169" i="6"/>
  <c r="M169" i="6"/>
  <c r="L170" i="6"/>
  <c r="J170" i="6"/>
  <c r="M170" i="6"/>
  <c r="L171" i="6"/>
  <c r="J171" i="6"/>
  <c r="M171" i="6"/>
  <c r="L172" i="6"/>
  <c r="J172" i="6"/>
  <c r="M172" i="6"/>
  <c r="L173" i="6"/>
  <c r="J173" i="6"/>
  <c r="M173" i="6"/>
  <c r="L174" i="6"/>
  <c r="J174" i="6"/>
  <c r="M174" i="6"/>
  <c r="L175" i="6"/>
  <c r="J175" i="6"/>
  <c r="M175" i="6"/>
  <c r="L176" i="6"/>
  <c r="J176" i="6"/>
  <c r="M176" i="6"/>
  <c r="L177" i="6"/>
  <c r="J177" i="6"/>
  <c r="M177" i="6"/>
  <c r="L178" i="6"/>
  <c r="J178" i="6"/>
  <c r="M178" i="6"/>
  <c r="L179" i="6"/>
  <c r="J179" i="6"/>
  <c r="M179" i="6"/>
  <c r="L180" i="6"/>
  <c r="J180" i="6"/>
  <c r="M180" i="6"/>
  <c r="L181" i="6"/>
  <c r="J181" i="6"/>
  <c r="M181" i="6"/>
  <c r="L182" i="6"/>
  <c r="J182" i="6"/>
  <c r="M182" i="6"/>
  <c r="L183" i="6"/>
  <c r="J183" i="6"/>
  <c r="M183" i="6"/>
  <c r="L184" i="6"/>
  <c r="J184" i="6"/>
  <c r="M184" i="6"/>
  <c r="L185" i="6"/>
  <c r="J185" i="6"/>
  <c r="M185" i="6"/>
  <c r="L186" i="6"/>
  <c r="J186" i="6"/>
  <c r="M186" i="6"/>
  <c r="L187" i="6"/>
  <c r="J187" i="6"/>
  <c r="M187" i="6"/>
  <c r="L188" i="6"/>
  <c r="J188" i="6"/>
  <c r="M188" i="6"/>
  <c r="L189" i="6"/>
  <c r="J189" i="6"/>
  <c r="M189" i="6"/>
  <c r="L190" i="6"/>
  <c r="J190" i="6"/>
  <c r="M190" i="6"/>
  <c r="L191" i="6"/>
  <c r="J191" i="6"/>
  <c r="M191" i="6"/>
  <c r="L192" i="6"/>
  <c r="J192" i="6"/>
  <c r="M192" i="6"/>
  <c r="L193" i="6"/>
  <c r="J193" i="6"/>
  <c r="M193" i="6"/>
  <c r="L194" i="6"/>
  <c r="J194" i="6"/>
  <c r="M194" i="6"/>
  <c r="L195" i="6"/>
  <c r="J195" i="6"/>
  <c r="M195" i="6"/>
  <c r="L196" i="6"/>
  <c r="J196" i="6"/>
  <c r="M196" i="6"/>
  <c r="L197" i="6"/>
  <c r="J197" i="6"/>
  <c r="M197" i="6"/>
  <c r="L198" i="6"/>
  <c r="J198" i="6"/>
  <c r="M198" i="6"/>
  <c r="L199" i="6"/>
  <c r="J199" i="6"/>
  <c r="M199" i="6"/>
  <c r="L200" i="6"/>
  <c r="J200" i="6"/>
  <c r="M200" i="6"/>
  <c r="L201" i="6"/>
  <c r="J201" i="6"/>
  <c r="M201" i="6"/>
  <c r="L202" i="6"/>
  <c r="J202" i="6"/>
  <c r="M202" i="6"/>
  <c r="L203" i="6"/>
  <c r="J203" i="6"/>
  <c r="M203" i="6"/>
  <c r="L204" i="6"/>
  <c r="J204" i="6"/>
  <c r="M204" i="6"/>
  <c r="L205" i="6"/>
  <c r="J205" i="6"/>
  <c r="M205" i="6"/>
  <c r="L206" i="6"/>
  <c r="J206" i="6"/>
  <c r="M206" i="6"/>
  <c r="L207" i="6"/>
  <c r="J207" i="6"/>
  <c r="M207" i="6"/>
  <c r="L208" i="6"/>
  <c r="J208" i="6"/>
  <c r="M208" i="6"/>
  <c r="L209" i="6"/>
  <c r="J209" i="6"/>
  <c r="M209" i="6"/>
  <c r="L210" i="6"/>
  <c r="J210" i="6"/>
  <c r="M210" i="6"/>
  <c r="L211" i="6"/>
  <c r="J211" i="6"/>
  <c r="M211" i="6"/>
  <c r="L212" i="6"/>
  <c r="J212" i="6"/>
  <c r="M212" i="6"/>
  <c r="L213" i="6"/>
  <c r="J213" i="6"/>
  <c r="M213" i="6"/>
  <c r="L214" i="6"/>
  <c r="J214" i="6"/>
  <c r="M214" i="6"/>
  <c r="L215" i="6"/>
  <c r="J215" i="6"/>
  <c r="M215" i="6"/>
  <c r="L216" i="6"/>
  <c r="J216" i="6"/>
  <c r="M216" i="6"/>
  <c r="L217" i="6"/>
  <c r="J217" i="6"/>
  <c r="M217" i="6"/>
  <c r="L218" i="6"/>
  <c r="J218" i="6"/>
  <c r="M218" i="6"/>
  <c r="L219" i="6"/>
  <c r="J219" i="6"/>
  <c r="M219" i="6"/>
  <c r="L220" i="6"/>
  <c r="J220" i="6"/>
  <c r="M220" i="6"/>
  <c r="L221" i="6"/>
  <c r="J221" i="6"/>
  <c r="M221" i="6"/>
  <c r="L222" i="6"/>
  <c r="J222" i="6"/>
  <c r="M222" i="6"/>
  <c r="L223" i="6"/>
  <c r="J223" i="6"/>
  <c r="M223" i="6"/>
  <c r="L224" i="6"/>
  <c r="J224" i="6"/>
  <c r="M224" i="6"/>
  <c r="L225" i="6"/>
  <c r="J225" i="6"/>
  <c r="M225" i="6"/>
  <c r="L226" i="6"/>
  <c r="J226" i="6"/>
  <c r="M226" i="6"/>
  <c r="L227" i="6"/>
  <c r="J227" i="6"/>
  <c r="M227" i="6"/>
  <c r="L228" i="6"/>
  <c r="J228" i="6"/>
  <c r="M228" i="6"/>
  <c r="L229" i="6"/>
  <c r="J229" i="6"/>
  <c r="M229" i="6"/>
  <c r="L230" i="6"/>
  <c r="J230" i="6"/>
  <c r="M230" i="6"/>
  <c r="L231" i="6"/>
  <c r="J231" i="6"/>
  <c r="M231" i="6"/>
  <c r="L232" i="6"/>
  <c r="J232" i="6"/>
  <c r="M232" i="6"/>
  <c r="L233" i="6"/>
  <c r="J233" i="6"/>
  <c r="M233" i="6"/>
  <c r="L234" i="6"/>
  <c r="J234" i="6"/>
  <c r="M234" i="6"/>
  <c r="L235" i="6"/>
  <c r="J235" i="6"/>
  <c r="M235" i="6"/>
  <c r="L236" i="6"/>
  <c r="J236" i="6"/>
  <c r="M236" i="6"/>
  <c r="L237" i="6"/>
  <c r="J237" i="6"/>
  <c r="M237" i="6"/>
  <c r="L238" i="6"/>
  <c r="J238" i="6"/>
  <c r="M238" i="6"/>
  <c r="L239" i="6"/>
  <c r="J239" i="6"/>
  <c r="M239" i="6"/>
  <c r="L240" i="6"/>
  <c r="J240" i="6"/>
  <c r="M240" i="6"/>
  <c r="L241" i="6"/>
  <c r="J241" i="6"/>
  <c r="M241" i="6"/>
  <c r="L242" i="6"/>
  <c r="J242" i="6"/>
  <c r="M242" i="6"/>
  <c r="L243" i="6"/>
  <c r="J243" i="6"/>
  <c r="M243" i="6"/>
  <c r="L244" i="6"/>
  <c r="J244" i="6"/>
  <c r="M244" i="6"/>
  <c r="L245" i="6"/>
  <c r="J245" i="6"/>
  <c r="M245" i="6"/>
  <c r="L246" i="6"/>
  <c r="J246" i="6"/>
  <c r="M246" i="6"/>
  <c r="L247" i="6"/>
  <c r="J247" i="6"/>
  <c r="M247" i="6"/>
  <c r="L248" i="6"/>
  <c r="J248" i="6"/>
  <c r="M248" i="6"/>
  <c r="L249" i="6"/>
  <c r="J249" i="6"/>
  <c r="M249" i="6"/>
  <c r="L250" i="6"/>
  <c r="J250" i="6"/>
  <c r="M250" i="6"/>
  <c r="L251" i="6"/>
  <c r="J251" i="6"/>
  <c r="M251" i="6"/>
  <c r="L252" i="6"/>
  <c r="J252" i="6"/>
  <c r="M252" i="6"/>
  <c r="L253" i="6"/>
  <c r="J253" i="6"/>
  <c r="M253" i="6"/>
  <c r="L254" i="6"/>
  <c r="J254" i="6"/>
  <c r="M254" i="6"/>
  <c r="L255" i="6"/>
  <c r="J255" i="6"/>
  <c r="M255" i="6"/>
  <c r="L256" i="6"/>
  <c r="J256" i="6"/>
  <c r="M256" i="6"/>
  <c r="L257" i="6"/>
  <c r="J257" i="6"/>
  <c r="M257" i="6"/>
  <c r="L258" i="6"/>
  <c r="J258" i="6"/>
  <c r="M258" i="6"/>
  <c r="L259" i="6"/>
  <c r="J259" i="6"/>
  <c r="M259" i="6"/>
  <c r="L260" i="6"/>
  <c r="J260" i="6"/>
  <c r="M260" i="6"/>
  <c r="L261" i="6"/>
  <c r="J261" i="6"/>
  <c r="M261" i="6"/>
  <c r="L262" i="6"/>
  <c r="J262" i="6"/>
  <c r="M262" i="6"/>
  <c r="L263" i="6"/>
  <c r="J263" i="6"/>
  <c r="M263" i="6"/>
  <c r="L264" i="6"/>
  <c r="J264" i="6"/>
  <c r="M264" i="6"/>
  <c r="L265" i="6"/>
  <c r="J265" i="6"/>
  <c r="M265" i="6"/>
  <c r="L266" i="6"/>
  <c r="J266" i="6"/>
  <c r="M266" i="6"/>
  <c r="L267" i="6"/>
  <c r="J267" i="6"/>
  <c r="M267" i="6"/>
  <c r="L268" i="6"/>
  <c r="J268" i="6"/>
  <c r="M268" i="6"/>
  <c r="L269" i="6"/>
  <c r="J269" i="6"/>
  <c r="M269" i="6"/>
  <c r="L270" i="6"/>
  <c r="J270" i="6"/>
  <c r="M270" i="6"/>
  <c r="L271" i="6"/>
  <c r="J271" i="6"/>
  <c r="M271" i="6"/>
  <c r="L272" i="6"/>
  <c r="J272" i="6"/>
  <c r="M272" i="6"/>
  <c r="L273" i="6"/>
  <c r="J273" i="6"/>
  <c r="M273" i="6"/>
  <c r="L274" i="6"/>
  <c r="J274" i="6"/>
  <c r="M274" i="6"/>
  <c r="L275" i="6"/>
  <c r="J275" i="6"/>
  <c r="M275" i="6"/>
  <c r="L276" i="6"/>
  <c r="J276" i="6"/>
  <c r="M276" i="6"/>
  <c r="L277" i="6"/>
  <c r="J277" i="6"/>
  <c r="M277" i="6"/>
  <c r="L278" i="6"/>
  <c r="J278" i="6"/>
  <c r="M278" i="6"/>
  <c r="L279" i="6"/>
  <c r="J279" i="6"/>
  <c r="M279" i="6"/>
  <c r="L280" i="6"/>
  <c r="J280" i="6"/>
  <c r="M280" i="6"/>
  <c r="L281" i="6"/>
  <c r="J281" i="6"/>
  <c r="M281" i="6"/>
  <c r="L282" i="6"/>
  <c r="J282" i="6"/>
  <c r="M282" i="6"/>
  <c r="L283" i="6"/>
  <c r="J283" i="6"/>
  <c r="M283" i="6"/>
  <c r="L284" i="6"/>
  <c r="J284" i="6"/>
  <c r="M284" i="6"/>
  <c r="L285" i="6"/>
  <c r="J285" i="6"/>
  <c r="M285" i="6"/>
  <c r="L286" i="6"/>
  <c r="J286" i="6"/>
  <c r="M286" i="6"/>
  <c r="L287" i="6"/>
  <c r="J287" i="6"/>
  <c r="M287" i="6"/>
  <c r="L288" i="6"/>
  <c r="J288" i="6"/>
  <c r="M288" i="6"/>
  <c r="L289" i="6"/>
  <c r="J289" i="6"/>
  <c r="M289" i="6"/>
  <c r="L290" i="6"/>
  <c r="J290" i="6"/>
  <c r="M290" i="6"/>
  <c r="L291" i="6"/>
  <c r="J291" i="6"/>
  <c r="M291" i="6"/>
  <c r="L292" i="6"/>
  <c r="J292" i="6"/>
  <c r="M292" i="6"/>
  <c r="L293" i="6"/>
  <c r="J293" i="6"/>
  <c r="M293" i="6"/>
  <c r="L294" i="6"/>
  <c r="J294" i="6"/>
  <c r="M294" i="6"/>
  <c r="L295" i="6"/>
  <c r="J295" i="6"/>
  <c r="M295" i="6"/>
  <c r="L296" i="6"/>
  <c r="J296" i="6"/>
  <c r="M296" i="6"/>
  <c r="L297" i="6"/>
  <c r="J297" i="6"/>
  <c r="M297" i="6"/>
  <c r="L298" i="6"/>
  <c r="J298" i="6"/>
  <c r="M298" i="6"/>
  <c r="L299" i="6"/>
  <c r="J299" i="6"/>
  <c r="M299" i="6"/>
  <c r="L300" i="6"/>
  <c r="J300" i="6"/>
  <c r="M300" i="6"/>
  <c r="L301" i="6"/>
  <c r="J301" i="6"/>
  <c r="M301" i="6"/>
  <c r="L302" i="6"/>
  <c r="J302" i="6"/>
  <c r="M302" i="6"/>
  <c r="L303" i="6"/>
  <c r="J303" i="6"/>
  <c r="M303" i="6"/>
  <c r="L304" i="6"/>
  <c r="J304" i="6"/>
  <c r="M304" i="6"/>
  <c r="L305" i="6"/>
  <c r="J305" i="6"/>
  <c r="M305" i="6"/>
  <c r="L306" i="6"/>
  <c r="J306" i="6"/>
  <c r="M306" i="6"/>
  <c r="L307" i="6"/>
  <c r="J307" i="6"/>
  <c r="M307" i="6"/>
  <c r="L308" i="6"/>
  <c r="J308" i="6"/>
  <c r="M308" i="6"/>
  <c r="L309" i="6"/>
  <c r="J309" i="6"/>
  <c r="M309" i="6"/>
  <c r="L310" i="6"/>
  <c r="J310" i="6"/>
  <c r="M310" i="6"/>
  <c r="L311" i="6"/>
  <c r="J311" i="6"/>
  <c r="M311" i="6"/>
  <c r="L312" i="6"/>
  <c r="J312" i="6"/>
  <c r="M312" i="6"/>
  <c r="L313" i="6"/>
  <c r="J313" i="6"/>
  <c r="M313" i="6"/>
  <c r="L314" i="6"/>
  <c r="J314" i="6"/>
  <c r="M314" i="6"/>
  <c r="L315" i="6"/>
  <c r="J315" i="6"/>
  <c r="M315" i="6"/>
  <c r="L316" i="6"/>
  <c r="J316" i="6"/>
  <c r="M316" i="6"/>
  <c r="L317" i="6"/>
  <c r="J317" i="6"/>
  <c r="M317" i="6"/>
  <c r="L318" i="6"/>
  <c r="J318" i="6"/>
  <c r="M318" i="6"/>
  <c r="L319" i="6"/>
  <c r="J319" i="6"/>
  <c r="M319" i="6"/>
  <c r="L320" i="6"/>
  <c r="J320" i="6"/>
  <c r="M320" i="6"/>
  <c r="L321" i="6"/>
  <c r="J321" i="6"/>
  <c r="M321" i="6"/>
  <c r="L322" i="6"/>
  <c r="J322" i="6"/>
  <c r="M322" i="6"/>
  <c r="L323" i="6"/>
  <c r="J323" i="6"/>
  <c r="M323" i="6"/>
  <c r="L324" i="6"/>
  <c r="J324" i="6"/>
  <c r="M324" i="6"/>
  <c r="L325" i="6"/>
  <c r="J325" i="6"/>
  <c r="M325" i="6"/>
  <c r="L326" i="6"/>
  <c r="J326" i="6"/>
  <c r="M326" i="6"/>
  <c r="L327" i="6"/>
  <c r="J327" i="6"/>
  <c r="M327" i="6"/>
  <c r="L328" i="6"/>
  <c r="J328" i="6"/>
  <c r="M328" i="6"/>
  <c r="L329" i="6"/>
  <c r="J329" i="6"/>
  <c r="M329" i="6"/>
  <c r="L330" i="6"/>
  <c r="J330" i="6"/>
  <c r="M330" i="6"/>
  <c r="L331" i="6"/>
  <c r="J331" i="6"/>
  <c r="M331" i="6"/>
  <c r="L332" i="6"/>
  <c r="J332" i="6"/>
  <c r="M332" i="6"/>
  <c r="L333" i="6"/>
  <c r="J333" i="6"/>
  <c r="M333" i="6"/>
  <c r="L334" i="6"/>
  <c r="J334" i="6"/>
  <c r="M334" i="6"/>
  <c r="L335" i="6"/>
  <c r="J335" i="6"/>
  <c r="M335" i="6"/>
  <c r="L336" i="6"/>
  <c r="J336" i="6"/>
  <c r="M336" i="6"/>
  <c r="L337" i="6"/>
  <c r="J337" i="6"/>
  <c r="M337" i="6"/>
  <c r="L338" i="6"/>
  <c r="J338" i="6"/>
  <c r="M338" i="6"/>
  <c r="L339" i="6"/>
  <c r="J339" i="6"/>
  <c r="M339" i="6"/>
  <c r="L340" i="6"/>
  <c r="J340" i="6"/>
  <c r="M340" i="6"/>
  <c r="L341" i="6"/>
  <c r="J341" i="6"/>
  <c r="M341" i="6"/>
  <c r="L342" i="6"/>
  <c r="J342" i="6"/>
  <c r="M342" i="6"/>
  <c r="L343" i="6"/>
  <c r="J343" i="6"/>
  <c r="M343" i="6"/>
  <c r="L344" i="6"/>
  <c r="J344" i="6"/>
  <c r="M344" i="6"/>
  <c r="L345" i="6"/>
  <c r="J345" i="6"/>
  <c r="M345" i="6"/>
  <c r="L346" i="6"/>
  <c r="J346" i="6"/>
  <c r="M346" i="6"/>
  <c r="L347" i="6"/>
  <c r="J347" i="6"/>
  <c r="M347" i="6"/>
  <c r="L348" i="6"/>
  <c r="J348" i="6"/>
  <c r="M348" i="6"/>
  <c r="L349" i="6"/>
  <c r="J349" i="6"/>
  <c r="M349" i="6"/>
  <c r="L350" i="6"/>
  <c r="J350" i="6"/>
  <c r="M350" i="6"/>
  <c r="L351" i="6"/>
  <c r="J351" i="6"/>
  <c r="M351" i="6"/>
  <c r="L352" i="6"/>
  <c r="J352" i="6"/>
  <c r="M352" i="6"/>
  <c r="L353" i="6"/>
  <c r="J353" i="6"/>
  <c r="M353" i="6"/>
  <c r="L354" i="6"/>
  <c r="J354" i="6"/>
  <c r="M354" i="6"/>
  <c r="L355" i="6"/>
  <c r="J355" i="6"/>
  <c r="M355" i="6"/>
  <c r="L356" i="6"/>
  <c r="J356" i="6"/>
  <c r="M356" i="6"/>
  <c r="L357" i="6"/>
  <c r="J357" i="6"/>
  <c r="M357" i="6"/>
  <c r="L358" i="6"/>
  <c r="J358" i="6"/>
  <c r="M358" i="6"/>
  <c r="L359" i="6"/>
  <c r="J359" i="6"/>
  <c r="M359" i="6"/>
  <c r="L360" i="6"/>
  <c r="J360" i="6"/>
  <c r="M360" i="6"/>
  <c r="L361" i="6"/>
  <c r="J361" i="6"/>
  <c r="M361" i="6"/>
  <c r="L362" i="6"/>
  <c r="J362" i="6"/>
  <c r="M362" i="6"/>
  <c r="L363" i="6"/>
  <c r="J363" i="6"/>
  <c r="M363" i="6"/>
  <c r="L364" i="6"/>
  <c r="J364" i="6"/>
  <c r="M364" i="6"/>
  <c r="L365" i="6"/>
  <c r="J365" i="6"/>
  <c r="M365" i="6"/>
  <c r="L366" i="6"/>
  <c r="J366" i="6"/>
  <c r="M366" i="6"/>
  <c r="L367" i="6"/>
  <c r="J367" i="6"/>
  <c r="M367" i="6"/>
  <c r="L368" i="6"/>
  <c r="J368" i="6"/>
  <c r="M368" i="6"/>
  <c r="L369" i="6"/>
  <c r="J369" i="6"/>
  <c r="M369" i="6"/>
  <c r="L370" i="6"/>
  <c r="J370" i="6"/>
  <c r="M370" i="6"/>
  <c r="L371" i="6"/>
  <c r="J371" i="6"/>
  <c r="M371" i="6"/>
  <c r="L372" i="6"/>
  <c r="J372" i="6"/>
  <c r="M372" i="6"/>
  <c r="L373" i="6"/>
  <c r="J373" i="6"/>
  <c r="M373" i="6"/>
  <c r="L374" i="6"/>
  <c r="J374" i="6"/>
  <c r="M374" i="6"/>
  <c r="L375" i="6"/>
  <c r="J375" i="6"/>
  <c r="M375" i="6"/>
  <c r="L376" i="6"/>
  <c r="J376" i="6"/>
  <c r="M376" i="6"/>
  <c r="L377" i="6"/>
  <c r="J377" i="6"/>
  <c r="M377" i="6"/>
  <c r="L378" i="6"/>
  <c r="J378" i="6"/>
  <c r="M378" i="6"/>
  <c r="L379" i="6"/>
  <c r="J379" i="6"/>
  <c r="M379" i="6"/>
  <c r="L380" i="6"/>
  <c r="J380" i="6"/>
  <c r="M380" i="6"/>
  <c r="L381" i="6"/>
  <c r="J381" i="6"/>
  <c r="M381" i="6"/>
  <c r="L382" i="6"/>
  <c r="J382" i="6"/>
  <c r="M382" i="6"/>
  <c r="L383" i="6"/>
  <c r="J383" i="6"/>
  <c r="M383" i="6"/>
  <c r="L384" i="6"/>
  <c r="J384" i="6"/>
  <c r="M384" i="6"/>
  <c r="L385" i="6"/>
  <c r="J385" i="6"/>
  <c r="M385" i="6"/>
  <c r="L386" i="6"/>
  <c r="J386" i="6"/>
  <c r="M386" i="6"/>
  <c r="L387" i="6"/>
  <c r="J387" i="6"/>
  <c r="M387" i="6"/>
  <c r="L388" i="6"/>
  <c r="J388" i="6"/>
  <c r="M388" i="6"/>
  <c r="L389" i="6"/>
  <c r="J389" i="6"/>
  <c r="M389" i="6"/>
  <c r="L390" i="6"/>
  <c r="J390" i="6"/>
  <c r="M390" i="6"/>
  <c r="L391" i="6"/>
  <c r="J391" i="6"/>
  <c r="M391" i="6"/>
  <c r="L392" i="6"/>
  <c r="J392" i="6"/>
  <c r="M392" i="6"/>
  <c r="L393" i="6"/>
  <c r="J393" i="6"/>
  <c r="M393" i="6"/>
  <c r="L394" i="6"/>
  <c r="J394" i="6"/>
  <c r="M394" i="6"/>
  <c r="L395" i="6"/>
  <c r="J395" i="6"/>
  <c r="M395" i="6"/>
  <c r="L396" i="6"/>
  <c r="J396" i="6"/>
  <c r="M396" i="6"/>
  <c r="L397" i="6"/>
  <c r="J397" i="6"/>
  <c r="M397" i="6"/>
  <c r="L398" i="6"/>
  <c r="J398" i="6"/>
  <c r="M398" i="6"/>
  <c r="L399" i="6"/>
  <c r="J399" i="6"/>
  <c r="M399" i="6"/>
  <c r="L400" i="6"/>
  <c r="J400" i="6"/>
  <c r="M400" i="6"/>
  <c r="L401" i="6"/>
  <c r="J401" i="6"/>
  <c r="M401" i="6"/>
  <c r="L402" i="6"/>
  <c r="J402" i="6"/>
  <c r="M402" i="6"/>
  <c r="L403" i="6"/>
  <c r="J403" i="6"/>
  <c r="M403" i="6"/>
  <c r="L404" i="6"/>
  <c r="J404" i="6"/>
  <c r="M404" i="6"/>
  <c r="L405" i="6"/>
  <c r="J405" i="6"/>
  <c r="M405" i="6"/>
  <c r="L406" i="6"/>
  <c r="J406" i="6"/>
  <c r="M406" i="6"/>
  <c r="L407" i="6"/>
  <c r="J407" i="6"/>
  <c r="M407" i="6"/>
  <c r="L408" i="6"/>
  <c r="J408" i="6"/>
  <c r="M408" i="6"/>
  <c r="L409" i="6"/>
  <c r="J409" i="6"/>
  <c r="M409" i="6"/>
  <c r="L410" i="6"/>
  <c r="J410" i="6"/>
  <c r="M410" i="6"/>
  <c r="L411" i="6"/>
  <c r="J411" i="6"/>
  <c r="M411" i="6"/>
  <c r="L412" i="6"/>
  <c r="J412" i="6"/>
  <c r="M412" i="6"/>
  <c r="L413" i="6"/>
  <c r="J413" i="6"/>
  <c r="M413" i="6"/>
  <c r="L414" i="6"/>
  <c r="J414" i="6"/>
  <c r="M414" i="6"/>
  <c r="L415" i="6"/>
  <c r="J415" i="6"/>
  <c r="M415" i="6"/>
  <c r="L416" i="6"/>
  <c r="J416" i="6"/>
  <c r="M416" i="6"/>
  <c r="L417" i="6"/>
  <c r="J417" i="6"/>
  <c r="M417" i="6"/>
  <c r="L418" i="6"/>
  <c r="J418" i="6"/>
  <c r="M418" i="6"/>
  <c r="L419" i="6"/>
  <c r="J419" i="6"/>
  <c r="M419" i="6"/>
  <c r="L420" i="6"/>
  <c r="J420" i="6"/>
  <c r="M420" i="6"/>
  <c r="L421" i="6"/>
  <c r="J421" i="6"/>
  <c r="M421" i="6"/>
  <c r="L422" i="6"/>
  <c r="J422" i="6"/>
  <c r="M422" i="6"/>
  <c r="L423" i="6"/>
  <c r="J423" i="6"/>
  <c r="M423" i="6"/>
  <c r="L424" i="6"/>
  <c r="J424" i="6"/>
  <c r="M424" i="6"/>
  <c r="L425" i="6"/>
  <c r="J425" i="6"/>
  <c r="M425" i="6"/>
  <c r="L426" i="6"/>
  <c r="J426" i="6"/>
  <c r="M426" i="6"/>
  <c r="L427" i="6"/>
  <c r="J427" i="6"/>
  <c r="M427" i="6"/>
  <c r="L428" i="6"/>
  <c r="J428" i="6"/>
  <c r="M428" i="6"/>
  <c r="L429" i="6"/>
  <c r="J429" i="6"/>
  <c r="M429" i="6"/>
  <c r="L430" i="6"/>
  <c r="J430" i="6"/>
  <c r="M430" i="6"/>
  <c r="L431" i="6"/>
  <c r="J431" i="6"/>
  <c r="M431" i="6"/>
  <c r="L432" i="6"/>
  <c r="J432" i="6"/>
  <c r="M432" i="6"/>
  <c r="L433" i="6"/>
  <c r="J433" i="6"/>
  <c r="M433" i="6"/>
  <c r="L434" i="6"/>
  <c r="J434" i="6"/>
  <c r="M434" i="6"/>
  <c r="L435" i="6"/>
  <c r="J435" i="6"/>
  <c r="M435" i="6"/>
  <c r="L436" i="6"/>
  <c r="J436" i="6"/>
  <c r="M436" i="6"/>
  <c r="L437" i="6"/>
  <c r="J437" i="6"/>
  <c r="M437" i="6"/>
  <c r="L438" i="6"/>
  <c r="J438" i="6"/>
  <c r="M438" i="6"/>
  <c r="L439" i="6"/>
  <c r="J439" i="6"/>
  <c r="M439" i="6"/>
  <c r="L440" i="6"/>
  <c r="J440" i="6"/>
  <c r="M440" i="6"/>
  <c r="L441" i="6"/>
  <c r="J441" i="6"/>
  <c r="M441" i="6"/>
  <c r="L442" i="6"/>
  <c r="J442" i="6"/>
  <c r="M442" i="6"/>
  <c r="L443" i="6"/>
  <c r="J443" i="6"/>
  <c r="M443" i="6"/>
  <c r="L444" i="6"/>
  <c r="J444" i="6"/>
  <c r="M444" i="6"/>
  <c r="L445" i="6"/>
  <c r="J445" i="6"/>
  <c r="M445" i="6"/>
  <c r="L446" i="6"/>
  <c r="J446" i="6"/>
  <c r="M446" i="6"/>
  <c r="L447" i="6"/>
  <c r="J447" i="6"/>
  <c r="M447" i="6"/>
  <c r="L448" i="6"/>
  <c r="J448" i="6"/>
  <c r="M448" i="6"/>
  <c r="L449" i="6"/>
  <c r="J449" i="6"/>
  <c r="M449" i="6"/>
  <c r="L450" i="6"/>
  <c r="J450" i="6"/>
  <c r="M450" i="6"/>
  <c r="L451" i="6"/>
  <c r="J451" i="6"/>
  <c r="M451" i="6"/>
  <c r="L452" i="6"/>
  <c r="J452" i="6"/>
  <c r="M452" i="6"/>
  <c r="L453" i="6"/>
  <c r="J453" i="6"/>
  <c r="M453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L65" i="6"/>
  <c r="M65" i="6"/>
  <c r="L66" i="6"/>
  <c r="M66" i="6"/>
  <c r="L67" i="6"/>
  <c r="M67" i="6"/>
  <c r="L68" i="6"/>
  <c r="M68" i="6"/>
  <c r="M15" i="6"/>
  <c r="L15" i="6"/>
  <c r="J3" i="6" l="1"/>
  <c r="J4" i="6"/>
  <c r="J5" i="6"/>
  <c r="N81" i="5"/>
  <c r="N82" i="5"/>
  <c r="N83" i="5"/>
  <c r="N108" i="5"/>
  <c r="N109" i="5"/>
  <c r="N134" i="5"/>
  <c r="N135" i="5"/>
  <c r="N136" i="5"/>
  <c r="N137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13" i="5"/>
  <c r="M108" i="5"/>
  <c r="M109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L113" i="5"/>
  <c r="L114" i="5"/>
  <c r="L115" i="5"/>
  <c r="L116" i="5"/>
  <c r="L117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81" i="5"/>
  <c r="L82" i="5"/>
  <c r="L83" i="5"/>
  <c r="L108" i="5"/>
  <c r="L109" i="5"/>
  <c r="L134" i="5"/>
  <c r="L135" i="5"/>
  <c r="L136" i="5"/>
  <c r="L112" i="5"/>
  <c r="K81" i="5"/>
  <c r="K82" i="5"/>
  <c r="K83" i="5"/>
  <c r="K108" i="5"/>
  <c r="K109" i="5"/>
  <c r="O22" i="5"/>
  <c r="O23" i="5"/>
  <c r="O24" i="5"/>
  <c r="O25" i="5"/>
  <c r="O27" i="5"/>
  <c r="O28" i="5"/>
  <c r="O29" i="5"/>
  <c r="O30" i="5"/>
  <c r="O31" i="5"/>
  <c r="O32" i="5"/>
  <c r="O33" i="5"/>
  <c r="O34" i="5"/>
  <c r="O35" i="5"/>
  <c r="O36" i="5"/>
  <c r="O41" i="5"/>
  <c r="O42" i="5"/>
  <c r="O43" i="5"/>
  <c r="O44" i="5"/>
  <c r="O45" i="5"/>
  <c r="O46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<sst xmlns="http://schemas.openxmlformats.org/spreadsheetml/2006/main" count="1016" uniqueCount="299">
  <si>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</si>
  <si>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</si>
  <si>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</si>
  <si>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</si>
  <si>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</si>
  <si>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</si>
  <si>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</si>
  <si>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</si>
  <si>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</si>
  <si>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</si>
  <si>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</si>
  <si>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</si>
  <si>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</si>
  <si>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</si>
  <si>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</si>
  <si>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</si>
  <si>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</si>
  <si>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</si>
  <si>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</si>
  <si>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</si>
  <si>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</si>
  <si>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</si>
  <si>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</si>
  <si>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</si>
  <si>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</si>
  <si>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</si>
  <si>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</si>
  <si>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</si>
  <si>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</si>
  <si>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</si>
  <si>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</si>
  <si>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</si>
  <si>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</si>
  <si>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</si>
  <si>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</si>
  <si>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</si>
  <si>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</si>
  <si>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</si>
  <si>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</si>
  <si>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</si>
  <si>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</si>
  <si>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</si>
  <si>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</si>
  <si>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</si>
  <si>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</si>
  <si>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</si>
  <si>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</si>
  <si>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</si>
  <si>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</si>
  <si>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</si>
  <si>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</si>
  <si>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</si>
  <si>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</si>
  <si>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</si>
  <si>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</si>
  <si>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</si>
  <si>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</si>
  <si>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</si>
  <si>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</si>
  <si>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</si>
  <si>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</si>
  <si>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</si>
  <si>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</si>
  <si>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</si>
  <si>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</si>
  <si>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</si>
  <si>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</si>
  <si>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</si>
  <si>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</si>
  <si>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</si>
  <si>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</si>
  <si>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</si>
  <si>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</si>
  <si>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</si>
  <si>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</si>
  <si>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</si>
  <si>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</si>
  <si>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</si>
  <si>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</si>
  <si>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</si>
  <si>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</si>
  <si>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</si>
  <si>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</si>
  <si>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</si>
  <si>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</si>
  <si>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</si>
  <si>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</si>
  <si>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</si>
  <si>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</si>
  <si>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</si>
  <si>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</si>
  <si>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Service Platform</t>
  </si>
  <si>
    <t>Junction Box Platform</t>
  </si>
  <si>
    <t>Internal Access System</t>
  </si>
  <si>
    <t>Bottom [m]</t>
  </si>
  <si>
    <t>Top [m]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</si>
  <si>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</si>
  <si>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</si>
  <si>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</si>
  <si>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</si>
  <si>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</si>
  <si>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</si>
  <si>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</si>
  <si>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</si>
  <si>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</si>
  <si>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</si>
  <si>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</si>
  <si>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</si>
  <si>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</si>
  <si>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</si>
  <si>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</si>
  <si>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</si>
  <si>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</si>
  <si>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</si>
  <si>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</si>
  <si>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</si>
  <si>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</si>
  <si>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</si>
  <si>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</si>
  <si>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</si>
  <si>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</si>
  <si>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</si>
  <si>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</si>
  <si>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</si>
  <si>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</si>
  <si>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</si>
  <si>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</si>
  <si>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</si>
  <si>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</si>
  <si>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</si>
  <si>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</si>
  <si>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</si>
  <si>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</si>
  <si>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</si>
  <si>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</si>
  <si>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</si>
  <si>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</si>
  <si>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</si>
  <si>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</si>
  <si>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</si>
  <si>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</si>
  <si>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</si>
  <si>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</si>
  <si>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</si>
  <si>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</si>
  <si>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</si>
  <si>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</si>
  <si>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</si>
  <si>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</si>
  <si>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</si>
  <si>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</si>
  <si>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</si>
  <si>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</si>
  <si>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</si>
  <si>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</si>
  <si>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</si>
  <si>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</si>
  <si>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</si>
  <si>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</si>
  <si>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</si>
  <si>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</si>
  <si>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</si>
  <si>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</si>
  <si>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</si>
  <si>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</si>
  <si>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</si>
  <si>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</si>
  <si>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</si>
  <si>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</si>
  <si>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</si>
  <si>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</si>
  <si>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</si>
  <si>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</si>
  <si>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</si>
  <si>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</si>
  <si>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</si>
  <si>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</si>
  <si>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</si>
  <si>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</si>
  <si>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</si>
  <si>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</si>
  <si>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</si>
  <si>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</si>
  <si>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</si>
  <si>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</si>
  <si>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</si>
  <si>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</si>
  <si>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</si>
  <si>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</si>
  <si>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</si>
  <si>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</si>
  <si>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</si>
  <si>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</si>
  <si>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</si>
  <si>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</si>
  <si>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</si>
  <si>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</si>
  <si>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</si>
  <si>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</si>
  <si>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</si>
  <si>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</si>
  <si>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</si>
  <si>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</si>
  <si>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</si>
  <si>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</si>
  <si>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</si>
  <si>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</si>
  <si>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</si>
  <si>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</si>
  <si>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</si>
  <si>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</si>
  <si>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</si>
  <si>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</si>
  <si>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</si>
  <si>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</si>
  <si>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</si>
  <si>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</si>
  <si>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</si>
  <si>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</si>
  <si>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</si>
  <si>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</si>
  <si>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</si>
  <si>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</si>
  <si>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</si>
  <si>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</si>
  <si>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</si>
  <si>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</si>
  <si>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</si>
  <si>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</si>
  <si>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</si>
  <si>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</si>
  <si>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</si>
  <si>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^^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</si>
  <si>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</si>
  <si>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</si>
  <si>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</si>
  <si>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</si>
  <si>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</si>
  <si>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</si>
  <si>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</si>
  <si>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</si>
  <si>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</si>
  <si>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</si>
  <si>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dummy to have same number of nodes as 22 MW MP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</si>
  <si>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</si>
  <si>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</si>
  <si>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</si>
  <si>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</si>
  <si>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</si>
  <si>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Name</t>
  </si>
  <si>
    <t>INVALID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</si>
  <si>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</si>
  <si>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</si>
  <si>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</si>
  <si>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</si>
  <si>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</si>
  <si>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</si>
  <si>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</si>
  <si>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</si>
  <si>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</si>
  <si>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</si>
  <si>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</si>
  <si>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</si>
  <si>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</si>
  <si>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</si>
  <si>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</si>
  <si>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</si>
  <si>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</si>
  <si>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</si>
  <si>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</si>
  <si>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</si>
  <si>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</si>
  <si>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</si>
  <si>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</si>
  <si>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</si>
  <si>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C:\Users\aaron.lange\Desktop\Projekte\Geometrie_Converter\GeometrieConverter\databases\TP.db</t>
  </si>
  <si>
    <t>Same as DP_A</t>
  </si>
  <si>
    <t>Same as DP_A, B</t>
  </si>
  <si>
    <t>Vestas mass</t>
  </si>
  <si>
    <t>Fender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</si>
  <si>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</si>
  <si>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</si>
  <si>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</si>
  <si>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</si>
  <si>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</si>
  <si>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</si>
  <si>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</si>
  <si>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Resting Platform (equivalent)[1]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</si>
  <si>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</si>
  <si>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</si>
  <si>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</si>
  <si>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</si>
  <si>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</si>
  <si>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</si>
  <si>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</si>
  <si>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</si>
  <si>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</si>
  <si>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</si>
  <si>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r>
      <t xml:space="preserve">Plot Assambly </t>
    </r>
    <r>
      <rPr>
        <i/>
        <sz val="16"/>
        <color theme="1"/>
        <rFont val="Aptos Narrow"/>
        <family val="2"/>
        <scheme val="minor"/>
      </rPr>
      <t xml:space="preserve"> overlapping mode "SKIRT", waterlevel at 0 and seabed at -waterdepth from MP input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</si>
</sst>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/>
  </cellStyleXfs>
  <cellXfs count="185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17" xfId="0" applyFont="1" applyFill="1" applyBorder="1"/>
    <xf numFmtId="0" fontId="2" fillId="14" borderId="18" xfId="0" applyFont="1" applyFill="1" applyBorder="1"/>
    <xf numFmtId="0" fontId="0" fillId="15" borderId="19" xfId="0" applyFill="1" applyBorder="1" applyAlignment="1">
      <alignment horizontal="center"/>
    </xf>
    <xf numFmtId="1" fontId="0" fillId="15" borderId="19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" fillId="14" borderId="17" xfId="0" applyFont="1" applyFill="1" applyBorder="1" applyAlignment="1">
      <alignment horizontal="left"/>
    </xf>
    <xf numFmtId="0" fontId="2" fillId="14" borderId="20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21" xfId="0" applyFill="1" applyBorder="1"/>
    <xf numFmtId="0" fontId="0" fillId="0" borderId="21" xfId="0" applyBorder="1"/>
    <xf numFmtId="0" fontId="0" fillId="15" borderId="22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2" fillId="0" borderId="22" xfId="0" applyFont="1" applyBorder="1"/>
    <xf numFmtId="49" fontId="0" fillId="0" borderId="0" xfId="0" applyNumberFormat="1" applyAlignment="1">
      <alignment horizontal="left"/>
    </xf>
    <xf numFmtId="0" fontId="2" fillId="14" borderId="22" xfId="0" applyFont="1" applyFill="1" applyBorder="1"/>
    <xf numFmtId="11" fontId="0" fillId="0" borderId="22" xfId="0" applyNumberFormat="1" applyBorder="1" applyAlignment="1">
      <alignment horizontal="center"/>
    </xf>
    <xf numFmtId="0" fontId="0" fillId="0" borderId="18" xfId="0" applyBorder="1"/>
    <xf numFmtId="0" fontId="0" fillId="0" borderId="22" xfId="0" applyBorder="1" applyAlignment="1">
      <alignment horizontal="left"/>
    </xf>
    <xf numFmtId="0" fontId="0" fillId="15" borderId="22" xfId="0" applyFill="1" applyBorder="1" applyAlignment="1">
      <alignment horizontal="left"/>
    </xf>
    <xf numFmtId="0" fontId="0" fillId="15" borderId="21" xfId="0" applyFill="1" applyBorder="1" applyAlignment="1">
      <alignment horizontal="left"/>
    </xf>
    <xf numFmtId="0" fontId="2" fillId="14" borderId="22" xfId="0" applyFont="1" applyFill="1" applyBorder="1" applyAlignment="1">
      <alignment horizontal="left"/>
    </xf>
    <xf numFmtId="0" fontId="2" fillId="14" borderId="23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6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6" borderId="9" xfId="0" applyFill="1" applyBorder="1"/>
    <xf numFmtId="0" fontId="17" fillId="0" borderId="0" xfId="0" applyFont="1"/>
    <xf numFmtId="0" fontId="0" fillId="7" borderId="0" xfId="0" applyFill="1" applyAlignment="1">
      <alignment vertical="center"/>
    </xf>
    <xf numFmtId="0" fontId="16" fillId="0" borderId="0" xfId="0" applyFont="1"/>
    <xf numFmtId="168" fontId="0" fillId="0" borderId="0" xfId="0" applyNumberFormat="1"/>
    <xf numFmtId="0" fontId="0" fillId="0" borderId="30" xfId="0" applyBorder="1"/>
    <xf numFmtId="0" fontId="0" fillId="18" borderId="6" xfId="0" applyFill="1" applyBorder="1"/>
    <xf numFmtId="0" fontId="0" fillId="18" borderId="7" xfId="0" applyFill="1" applyBorder="1"/>
    <xf numFmtId="0" fontId="0" fillId="18" borderId="9" xfId="0" applyFill="1" applyBorder="1"/>
    <xf numFmtId="0" fontId="0" fillId="18" borderId="0" xfId="0" applyFill="1"/>
    <xf numFmtId="0" fontId="0" fillId="18" borderId="5" xfId="0" applyFill="1" applyBorder="1"/>
    <xf numFmtId="0" fontId="0" fillId="18" borderId="11" xfId="0" applyFill="1" applyBorder="1"/>
    <xf numFmtId="0" fontId="0" fillId="0" borderId="29" xfId="0" applyBorder="1"/>
    <xf numFmtId="2" fontId="0" fillId="0" borderId="7" xfId="0" applyNumberFormat="1" applyBorder="1" applyAlignment="1">
      <alignment horizontal="center"/>
    </xf>
    <xf numFmtId="2" fontId="3" fillId="18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6" borderId="6" xfId="0" applyFill="1" applyBorder="1"/>
    <xf numFmtId="0" fontId="0" fillId="16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21" fillId="0" borderId="9" xfId="0" applyFont="1" applyBorder="1" applyAlignment="1">
      <alignment vertical="center"/>
    </xf>
    <xf numFmtId="0" fontId="15" fillId="17" borderId="25" xfId="0" applyFont="1" applyFill="1" applyBorder="1" applyAlignment="1">
      <alignment horizontal="center"/>
    </xf>
    <xf numFmtId="0" fontId="15" fillId="17" borderId="26" xfId="0" applyFont="1" applyFill="1" applyBorder="1" applyAlignment="1">
      <alignment horizontal="center"/>
    </xf>
    <xf numFmtId="0" fontId="15" fillId="17" borderId="27" xfId="0" applyFont="1" applyFill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8" fontId="0" fillId="0" borderId="29" xfId="0" applyNumberFormat="1" applyBorder="1"/>
    <xf numFmtId="0" fontId="0" fillId="0" borderId="28" xfId="0" applyBorder="1"/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16" borderId="5" xfId="0" applyFill="1" applyBorder="1"/>
    <xf numFmtId="0" fontId="0" fillId="16" borderId="11" xfId="0" applyFill="1" applyBorder="1"/>
    <xf numFmtId="0" fontId="22" fillId="16" borderId="0" xfId="0" applyFont="1" applyFill="1"/>
    <xf numFmtId="0" fontId="14" fillId="0" borderId="9" xfId="0" applyFont="1" applyBorder="1"/>
    <xf numFmtId="1" fontId="14" fillId="0" borderId="9" xfId="0" applyNumberFormat="1" applyFont="1" applyBorder="1" applyAlignment="1">
      <alignment horizontal="left"/>
    </xf>
    <xf numFmtId="0" fontId="14" fillId="0" borderId="0" xfId="0" applyFont="1"/>
    <xf numFmtId="168" fontId="0" fillId="0" borderId="29" xfId="0" applyNumberFormat="1" applyBorder="1" applyAlignment="1">
      <alignment horizontal="center"/>
    </xf>
    <xf numFmtId="0" fontId="20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9" fillId="0" borderId="9" xfId="0" applyNumberFormat="1" applyFont="1" applyBorder="1" applyAlignment="1">
      <alignment horizontal="center"/>
    </xf>
    <xf numFmtId="2" fontId="19" fillId="0" borderId="0" xfId="0" applyNumberFormat="1" applyFont="1" applyAlignment="1" applyProtection="1">
      <alignment horizontal="center"/>
      <protection locked="0"/>
    </xf>
    <xf numFmtId="1" fontId="19" fillId="0" borderId="0" xfId="0" applyNumberFormat="1" applyFont="1" applyAlignment="1" applyProtection="1">
      <alignment horizontal="center"/>
      <protection locked="0"/>
    </xf>
    <xf numFmtId="2" fontId="0" fillId="0" borderId="9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9" xfId="0" applyNumberFormat="1" applyBorder="1" applyAlignment="1">
      <alignment horizontal="center"/>
    </xf>
    <xf numFmtId="0" fontId="0" fillId="18" borderId="8" xfId="0" applyFill="1" applyBorder="1"/>
    <xf numFmtId="0" fontId="0" fillId="7" borderId="10" xfId="0" applyFill="1" applyBorder="1"/>
    <xf numFmtId="0" fontId="0" fillId="18" borderId="10" xfId="0" applyFill="1" applyBorder="1"/>
    <xf numFmtId="0" fontId="0" fillId="18" borderId="4" xfId="0" applyFill="1" applyBorder="1"/>
    <xf numFmtId="0" fontId="15" fillId="17" borderId="31" xfId="0" applyFont="1" applyFill="1" applyBorder="1" applyAlignment="1">
      <alignment horizontal="center"/>
    </xf>
    <xf numFmtId="2" fontId="0" fillId="0" borderId="0" xfId="0" applyNumberFormat="1"/>
    <xf numFmtId="2" fontId="0" fillId="0" borderId="33" xfId="0" applyNumberFormat="1" applyBorder="1"/>
    <xf numFmtId="2" fontId="0" fillId="0" borderId="32" xfId="0" applyNumberFormat="1" applyBorder="1"/>
    <xf numFmtId="2" fontId="0" fillId="0" borderId="29" xfId="0" applyNumberFormat="1" applyBorder="1"/>
    <xf numFmtId="2" fontId="19" fillId="19" borderId="34" xfId="0" applyNumberFormat="1" applyFont="1" applyFill="1" applyBorder="1" applyAlignment="1" applyProtection="1">
      <alignment horizontal="center" vertical="center"/>
      <protection locked="0"/>
    </xf>
    <xf numFmtId="2" fontId="19" fillId="19" borderId="35" xfId="0" applyNumberFormat="1" applyFont="1" applyFill="1" applyBorder="1" applyAlignment="1" applyProtection="1">
      <alignment horizontal="center" vertical="center"/>
      <protection locked="0"/>
    </xf>
    <xf numFmtId="2" fontId="19" fillId="19" borderId="5" xfId="0" applyNumberFormat="1" applyFont="1" applyFill="1" applyBorder="1" applyAlignment="1" applyProtection="1">
      <alignment horizontal="center" vertical="center"/>
      <protection locked="0"/>
    </xf>
    <xf numFmtId="2" fontId="19" fillId="20" borderId="35" xfId="0" applyNumberFormat="1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0" fillId="0" borderId="9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19" fillId="0" borderId="9" xfId="0" applyNumberFormat="1" applyFont="1" applyFill="1" applyBorder="1" applyAlignment="1">
      <alignment horizontal="center"/>
    </xf>
    <xf numFmtId="2" fontId="19" fillId="0" borderId="0" xfId="0" applyNumberFormat="1" applyFont="1" applyFill="1" applyAlignment="1" applyProtection="1">
      <alignment horizontal="center"/>
      <protection locked="0"/>
    </xf>
    <xf numFmtId="1" fontId="19" fillId="0" borderId="0" xfId="0" applyNumberFormat="1" applyFont="1" applyFill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13" borderId="0" xfId="0" applyFont="1" applyFill="1"/>
    <xf numFmtId="2" fontId="0" fillId="13" borderId="0" xfId="0" applyNumberFormat="1" applyFont="1" applyFill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14" fillId="16" borderId="9" xfId="0" applyFont="1" applyFill="1" applyBorder="1"/>
    <xf numFmtId="0" fontId="0" fillId="0" borderId="0" xfId="0" applyFill="1" applyAlignment="1">
      <alignment horizontal="left"/>
    </xf>
    <xf numFmtId="0" fontId="0" fillId="15" borderId="19" xfId="0" applyFont="1" applyFill="1" applyBorder="1" applyAlignment="1">
      <alignment horizontal="center"/>
    </xf>
    <xf numFmtId="1" fontId="0" fillId="15" borderId="19" xfId="0" applyNumberFormat="1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81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80"/>
      <tableStyleElement type="headerRow" dxfId="379"/>
      <tableStyleElement type="firstRowStripe" dxfId="378"/>
      <tableStyleElement type="secondRowStripe" dxfId="37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5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Use_TP" lockText="1" noThreeD="1"/>
</file>

<file path=xl/ctrlProps/ctrlProp15.xml><?xml version="1.0" encoding="utf-8"?>
<formControlPr xmlns="http://schemas.microsoft.com/office/spreadsheetml/2009/9/main" objectType="CheckBox" checked="Checked" fmlaLink="Use_MP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MPGeomConv" lockText="1" noThreeD="1"/>
</file>

<file path=xl/ctrlProps/ctrlProp25.xml><?xml version="1.0" encoding="utf-8"?>
<formControlPr xmlns="http://schemas.microsoft.com/office/spreadsheetml/2009/9/main" objectType="CheckBox" checked="Checked" fmlaLink="UseTPGeomConv" lockText="1" noThreeD="1"/>
</file>

<file path=xl/ctrlProps/ctrlProp26.xml><?xml version="1.0" encoding="utf-8"?>
<formControlPr xmlns="http://schemas.microsoft.com/office/spreadsheetml/2009/9/main" objectType="CheckBox" checked="Checked" fmlaLink="UseTOWERGeomConv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9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Style="combo" dx="26" noThreeD="1" sel="6" val="5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38100</xdr:rowOff>
        </xdr:from>
        <xdr:to>
          <xdr:col>42</xdr:col>
          <xdr:colOff>1178529</xdr:colOff>
          <xdr:row>7</xdr:row>
          <xdr:rowOff>205740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4</xdr:row>
          <xdr:rowOff>22860</xdr:rowOff>
        </xdr:from>
        <xdr:to>
          <xdr:col>4</xdr:col>
          <xdr:colOff>3337560</xdr:colOff>
          <xdr:row>5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20</xdr:row>
          <xdr:rowOff>160020</xdr:rowOff>
        </xdr:from>
        <xdr:to>
          <xdr:col>8</xdr:col>
          <xdr:colOff>1447800</xdr:colOff>
          <xdr:row>23</xdr:row>
          <xdr:rowOff>160020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1470660</xdr:colOff>
          <xdr:row>20</xdr:row>
          <xdr:rowOff>160020</xdr:rowOff>
        </xdr:from>
        <xdr:to>
          <xdr:col>10</xdr:col>
          <xdr:colOff>1417320</xdr:colOff>
          <xdr:row>23</xdr:row>
          <xdr:rowOff>144780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99060</xdr:rowOff>
        </xdr:from>
        <xdr:to>
          <xdr:col>3</xdr:col>
          <xdr:colOff>1470660</xdr:colOff>
          <xdr:row>2</xdr:row>
          <xdr:rowOff>60960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17</xdr:row>
          <xdr:rowOff>30480</xdr:rowOff>
        </xdr:from>
        <xdr:to>
          <xdr:col>1</xdr:col>
          <xdr:colOff>1630680</xdr:colOff>
          <xdr:row>19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5</xdr:row>
          <xdr:rowOff>38100</xdr:rowOff>
        </xdr:from>
        <xdr:to>
          <xdr:col>63</xdr:col>
          <xdr:colOff>792480</xdr:colOff>
          <xdr:row>5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6</xdr:row>
          <xdr:rowOff>7620</xdr:rowOff>
        </xdr:from>
        <xdr:to>
          <xdr:col>4</xdr:col>
          <xdr:colOff>3322320</xdr:colOff>
          <xdr:row>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5</xdr:row>
          <xdr:rowOff>22860</xdr:rowOff>
        </xdr:from>
        <xdr:to>
          <xdr:col>64</xdr:col>
          <xdr:colOff>7620</xdr:colOff>
          <xdr:row>5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19</xdr:row>
          <xdr:rowOff>99060</xdr:rowOff>
        </xdr:from>
        <xdr:to>
          <xdr:col>1</xdr:col>
          <xdr:colOff>815340</xdr:colOff>
          <xdr:row>21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19</xdr:row>
          <xdr:rowOff>114300</xdr:rowOff>
        </xdr:from>
        <xdr:to>
          <xdr:col>0</xdr:col>
          <xdr:colOff>990600</xdr:colOff>
          <xdr:row>21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21</xdr:row>
          <xdr:rowOff>22860</xdr:rowOff>
        </xdr:from>
        <xdr:to>
          <xdr:col>4</xdr:col>
          <xdr:colOff>3314700</xdr:colOff>
          <xdr:row>22</xdr:row>
          <xdr:rowOff>213360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38100</xdr:colOff>
          <xdr:row>5</xdr:row>
          <xdr:rowOff>38100</xdr:rowOff>
        </xdr:from>
        <xdr:to>
          <xdr:col>117</xdr:col>
          <xdr:colOff>792480</xdr:colOff>
          <xdr:row>5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22860</xdr:colOff>
          <xdr:row>9</xdr:row>
          <xdr:rowOff>22860</xdr:rowOff>
        </xdr:from>
        <xdr:to>
          <xdr:col>119</xdr:col>
          <xdr:colOff>723900</xdr:colOff>
          <xdr:row>11</xdr:row>
          <xdr:rowOff>137160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822960</xdr:colOff>
          <xdr:row>5</xdr:row>
          <xdr:rowOff>22860</xdr:rowOff>
        </xdr:from>
        <xdr:to>
          <xdr:col>118</xdr:col>
          <xdr:colOff>7620</xdr:colOff>
          <xdr:row>5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30480</xdr:rowOff>
        </xdr:from>
        <xdr:to>
          <xdr:col>3</xdr:col>
          <xdr:colOff>1493520</xdr:colOff>
          <xdr:row>19</xdr:row>
          <xdr:rowOff>152400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106680</xdr:rowOff>
        </xdr:from>
        <xdr:to>
          <xdr:col>2</xdr:col>
          <xdr:colOff>914400</xdr:colOff>
          <xdr:row>21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19</xdr:row>
          <xdr:rowOff>83820</xdr:rowOff>
        </xdr:from>
        <xdr:to>
          <xdr:col>3</xdr:col>
          <xdr:colOff>533400</xdr:colOff>
          <xdr:row>21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19</xdr:row>
          <xdr:rowOff>76200</xdr:rowOff>
        </xdr:from>
        <xdr:to>
          <xdr:col>3</xdr:col>
          <xdr:colOff>1503045</xdr:colOff>
          <xdr:row>21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2</xdr:row>
          <xdr:rowOff>106680</xdr:rowOff>
        </xdr:from>
        <xdr:to>
          <xdr:col>1</xdr:col>
          <xdr:colOff>1630680</xdr:colOff>
          <xdr:row>4</xdr:row>
          <xdr:rowOff>213360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22860</xdr:rowOff>
        </xdr:from>
        <xdr:to>
          <xdr:col>1</xdr:col>
          <xdr:colOff>1607820</xdr:colOff>
          <xdr:row>7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</xdr:row>
          <xdr:rowOff>220980</xdr:rowOff>
        </xdr:from>
        <xdr:to>
          <xdr:col>1</xdr:col>
          <xdr:colOff>1607820</xdr:colOff>
          <xdr:row>10</xdr:row>
          <xdr:rowOff>175260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213360</xdr:rowOff>
        </xdr:from>
        <xdr:to>
          <xdr:col>1</xdr:col>
          <xdr:colOff>1623060</xdr:colOff>
          <xdr:row>14</xdr:row>
          <xdr:rowOff>7620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7</xdr:row>
          <xdr:rowOff>22860</xdr:rowOff>
        </xdr:from>
        <xdr:to>
          <xdr:col>145</xdr:col>
          <xdr:colOff>1389783</xdr:colOff>
          <xdr:row>9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7</xdr:row>
          <xdr:rowOff>22860</xdr:rowOff>
        </xdr:from>
        <xdr:to>
          <xdr:col>145</xdr:col>
          <xdr:colOff>1449977</xdr:colOff>
          <xdr:row>8</xdr:row>
          <xdr:rowOff>205740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114</xdr:row>
      <xdr:rowOff>22412</xdr:rowOff>
    </xdr:from>
    <xdr:to>
      <xdr:col>0</xdr:col>
      <xdr:colOff>762000</xdr:colOff>
      <xdr:row>114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7620</xdr:rowOff>
        </xdr:from>
        <xdr:to>
          <xdr:col>11</xdr:col>
          <xdr:colOff>1371600</xdr:colOff>
          <xdr:row>3</xdr:row>
          <xdr:rowOff>60960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3383280</xdr:colOff>
          <xdr:row>6</xdr:row>
          <xdr:rowOff>38100</xdr:rowOff>
        </xdr:from>
        <xdr:to>
          <xdr:col>44</xdr:col>
          <xdr:colOff>1616357</xdr:colOff>
          <xdr:row>7</xdr:row>
          <xdr:rowOff>205740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45720</xdr:colOff>
          <xdr:row>4</xdr:row>
          <xdr:rowOff>22860</xdr:rowOff>
        </xdr:from>
        <xdr:to>
          <xdr:col>41</xdr:col>
          <xdr:colOff>3337560</xdr:colOff>
          <xdr:row>5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30480</xdr:colOff>
          <xdr:row>20</xdr:row>
          <xdr:rowOff>160020</xdr:rowOff>
        </xdr:from>
        <xdr:to>
          <xdr:col>45</xdr:col>
          <xdr:colOff>1447800</xdr:colOff>
          <xdr:row>23</xdr:row>
          <xdr:rowOff>160020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1470660</xdr:colOff>
          <xdr:row>20</xdr:row>
          <xdr:rowOff>160020</xdr:rowOff>
        </xdr:from>
        <xdr:to>
          <xdr:col>47</xdr:col>
          <xdr:colOff>1417320</xdr:colOff>
          <xdr:row>23</xdr:row>
          <xdr:rowOff>144780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6</xdr:row>
          <xdr:rowOff>7620</xdr:rowOff>
        </xdr:from>
        <xdr:to>
          <xdr:col>41</xdr:col>
          <xdr:colOff>3322320</xdr:colOff>
          <xdr:row>7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21</xdr:row>
          <xdr:rowOff>22860</xdr:rowOff>
        </xdr:from>
        <xdr:to>
          <xdr:col>41</xdr:col>
          <xdr:colOff>3314700</xdr:colOff>
          <xdr:row>22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1</xdr:row>
          <xdr:rowOff>7620</xdr:rowOff>
        </xdr:from>
        <xdr:to>
          <xdr:col>48</xdr:col>
          <xdr:colOff>1371600</xdr:colOff>
          <xdr:row>3</xdr:row>
          <xdr:rowOff>60960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5</xdr:row>
          <xdr:rowOff>38100</xdr:rowOff>
        </xdr:from>
        <xdr:to>
          <xdr:col>101</xdr:col>
          <xdr:colOff>792480</xdr:colOff>
          <xdr:row>5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5</xdr:row>
          <xdr:rowOff>22860</xdr:rowOff>
        </xdr:from>
        <xdr:to>
          <xdr:col>102</xdr:col>
          <xdr:colOff>7620</xdr:colOff>
          <xdr:row>5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7</xdr:row>
          <xdr:rowOff>22860</xdr:rowOff>
        </xdr:from>
        <xdr:to>
          <xdr:col>145</xdr:col>
          <xdr:colOff>1447799</xdr:colOff>
          <xdr:row>9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7</xdr:row>
          <xdr:rowOff>22860</xdr:rowOff>
        </xdr:from>
        <xdr:to>
          <xdr:col>145</xdr:col>
          <xdr:colOff>1508759</xdr:colOff>
          <xdr:row>8</xdr:row>
          <xdr:rowOff>205740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3383280</xdr:colOff>
          <xdr:row>6</xdr:row>
          <xdr:rowOff>38100</xdr:rowOff>
        </xdr:from>
        <xdr:to>
          <xdr:col>146</xdr:col>
          <xdr:colOff>1544139</xdr:colOff>
          <xdr:row>7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45720</xdr:colOff>
          <xdr:row>4</xdr:row>
          <xdr:rowOff>22860</xdr:rowOff>
        </xdr:from>
        <xdr:to>
          <xdr:col>79</xdr:col>
          <xdr:colOff>3337560</xdr:colOff>
          <xdr:row>5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20</xdr:row>
          <xdr:rowOff>160020</xdr:rowOff>
        </xdr:from>
        <xdr:to>
          <xdr:col>83</xdr:col>
          <xdr:colOff>1447800</xdr:colOff>
          <xdr:row>23</xdr:row>
          <xdr:rowOff>160020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1470660</xdr:colOff>
          <xdr:row>20</xdr:row>
          <xdr:rowOff>160020</xdr:rowOff>
        </xdr:from>
        <xdr:to>
          <xdr:col>85</xdr:col>
          <xdr:colOff>1417320</xdr:colOff>
          <xdr:row>23</xdr:row>
          <xdr:rowOff>144780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6</xdr:row>
          <xdr:rowOff>7620</xdr:rowOff>
        </xdr:from>
        <xdr:to>
          <xdr:col>79</xdr:col>
          <xdr:colOff>3322320</xdr:colOff>
          <xdr:row>7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21</xdr:row>
          <xdr:rowOff>22860</xdr:rowOff>
        </xdr:from>
        <xdr:to>
          <xdr:col>79</xdr:col>
          <xdr:colOff>3314700</xdr:colOff>
          <xdr:row>22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1</xdr:row>
          <xdr:rowOff>7620</xdr:rowOff>
        </xdr:from>
        <xdr:to>
          <xdr:col>86</xdr:col>
          <xdr:colOff>1371600</xdr:colOff>
          <xdr:row>3</xdr:row>
          <xdr:rowOff>60960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117</xdr:col>
          <xdr:colOff>3383280</xdr:colOff>
          <xdr:row>6</xdr:row>
          <xdr:rowOff>38100</xdr:rowOff>
        </xdr:from>
        <xdr:to>
          <xdr:col>146</xdr:col>
          <xdr:colOff>1502525</xdr:colOff>
          <xdr:row>7</xdr:row>
          <xdr:rowOff>169545</xdr:rowOff>
        </xdr:to>
        <xdr:sp macro="" textlink="">
          <xdr:nvSpPr>
            <xdr:cNvPr id="4180" name="Dropdown_RNA_Structures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45720</xdr:colOff>
          <xdr:row>4</xdr:row>
          <xdr:rowOff>22860</xdr:rowOff>
        </xdr:from>
        <xdr:to>
          <xdr:col>117</xdr:col>
          <xdr:colOff>3337560</xdr:colOff>
          <xdr:row>5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6</xdr:row>
          <xdr:rowOff>7620</xdr:rowOff>
        </xdr:from>
        <xdr:to>
          <xdr:col>117</xdr:col>
          <xdr:colOff>3322320</xdr:colOff>
          <xdr:row>7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103909</xdr:colOff>
          <xdr:row>108</xdr:row>
          <xdr:rowOff>44335</xdr:rowOff>
        </xdr:from>
        <xdr:to>
          <xdr:col>3</xdr:col>
          <xdr:colOff>1437409</xdr:colOff>
          <xdr:row>111</xdr:row>
          <xdr:rowOff>188422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87</xdr:col>
      <xdr:colOff>2</xdr:colOff>
      <xdr:row>1</xdr:row>
      <xdr:rowOff>0</xdr:rowOff>
    </xdr:from>
    <xdr:to>
      <xdr:col>154</xdr:col>
      <xdr:colOff>168257</xdr:colOff>
      <xdr:row>24</xdr:row>
      <xdr:rowOff>59228</xdr:rowOff>
    </xdr:to>
    <xdr:pic>
      <xdr:nvPicPr>
        <xdr:cNvPr id="45" name="Fig_TOWER_plot" hidden="1">
          <a:extLst>
            <a:ext uri="{FF2B5EF4-FFF2-40B4-BE49-F238E27FC236}">
              <a16:creationId xmlns:a16="http://schemas.microsoft.com/office/drawing/2014/main" id="{82602750-3939-9B38-94DF-FD32F81BC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1577" y="228600"/>
          <a:ext cx="15387031" cy="565611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19052</xdr:colOff>
      <xdr:row>1</xdr:row>
      <xdr:rowOff>0</xdr:rowOff>
    </xdr:from>
    <xdr:to>
      <xdr:col>50</xdr:col>
      <xdr:colOff>365428</xdr:colOff>
      <xdr:row>22</xdr:row>
      <xdr:rowOff>208799</xdr:rowOff>
    </xdr:to>
    <xdr:pic>
      <xdr:nvPicPr>
        <xdr:cNvPr id="26" name="Fig_MP_plot" hidden="1">
          <a:extLst>
            <a:ext uri="{FF2B5EF4-FFF2-40B4-BE49-F238E27FC236}">
              <a16:creationId xmlns:a16="http://schemas.microsoft.com/office/drawing/2014/main" id="{4D9D24B7-C818-3634-B97D-3EA0E82D1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3552" y="228600"/>
          <a:ext cx="16303785" cy="5365634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</xdr:row>
      <xdr:rowOff>0</xdr:rowOff>
    </xdr:from>
    <xdr:to>
      <xdr:col>60</xdr:col>
      <xdr:colOff>625080</xdr:colOff>
      <xdr:row>24</xdr:row>
      <xdr:rowOff>209181</xdr:rowOff>
    </xdr:to>
    <xdr:pic>
      <xdr:nvPicPr>
        <xdr:cNvPr id="49" name="Fig_TP_plot">
          <a:extLst>
            <a:ext uri="{FF2B5EF4-FFF2-40B4-BE49-F238E27FC236}">
              <a16:creationId xmlns:a16="http://schemas.microsoft.com/office/drawing/2014/main" id="{38916EC7-AC2C-DC28-D24E-F5F0CAC3C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0" y="228600"/>
          <a:ext cx="16207980" cy="58098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3</xdr:col>
      <xdr:colOff>1391424</xdr:colOff>
      <xdr:row>197</xdr:row>
      <xdr:rowOff>206921</xdr:rowOff>
    </xdr:to>
    <xdr:pic>
      <xdr:nvPicPr>
        <xdr:cNvPr id="52" name="Fig_Assambly_plot">
          <a:extLst>
            <a:ext uri="{FF2B5EF4-FFF2-40B4-BE49-F238E27FC236}">
              <a16:creationId xmlns:a16="http://schemas.microsoft.com/office/drawing/2014/main" id="{E459D2D1-46CE-89E1-E444-029FEDB20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00900"/>
          <a:ext cx="6211074" cy="194093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3</xdr:row>
          <xdr:rowOff>175260</xdr:rowOff>
        </xdr:from>
        <xdr:to>
          <xdr:col>2</xdr:col>
          <xdr:colOff>1173480</xdr:colOff>
          <xdr:row>5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2:K13" totalsRowShown="0" headerRowDxfId="376" dataDxfId="42">
  <autoFilter ref="E12:K13" xr:uid="{51AF5F9E-A6E5-4BA1-83BE-2546351DAE06}"/>
  <tableColumns count="7">
    <tableColumn id="1" xr3:uid="{8004DE55-01A0-4AB5-A007-D379F8ED184F}" name="Identifier" dataDxfId="49"/>
    <tableColumn id="2" xr3:uid="{73AEE22B-B9CF-4401-B31E-64902257C6A9}" name="Project ID" dataDxfId="48"/>
    <tableColumn id="3" xr3:uid="{6CD7BEF9-707B-4F7D-A334-46DB51B6F454}" name="Phase" dataDxfId="47"/>
    <tableColumn id="4" xr3:uid="{5572AB9F-884A-4001-85E7-5E708A2DFC71}" name="Structure ID" dataDxfId="46"/>
    <tableColumn id="5" xr3:uid="{AFCB5F1D-C5C1-4D21-A7C0-310C0D52F9E4}" name="Water Depth [m]" dataDxfId="45"/>
    <tableColumn id="6" xr3:uid="{149EEBB8-62A5-42C4-97FD-484848DB0825}" name="Height Reference" dataDxfId="44"/>
    <tableColumn id="7" xr3:uid="{82ECC3EB-0382-490B-8CE7-963B13E4D1A1}" name="Comments" dataDxfId="43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7:K18" insertRow="1" totalsRowShown="0" headerRowDxfId="375" dataDxfId="374">
  <autoFilter ref="E17:K18" xr:uid="{58117B73-5FCA-4002-A528-31B3F83BDE75}"/>
  <tableColumns count="7">
    <tableColumn id="1" xr3:uid="{5C484AAB-AA0F-4FBD-9543-28D80EB7F84D}" name="Identifier" dataDxfId="373"/>
    <tableColumn id="2" xr3:uid="{87603448-795E-499B-8754-D6455D5FF52F}" name="Project ID" dataDxfId="372"/>
    <tableColumn id="3" xr3:uid="{51EA6487-4EF3-43A9-B440-34893EEEEAB2}" name="Phase" dataDxfId="371"/>
    <tableColumn id="4" xr3:uid="{4AC48BB5-6D2E-492F-89B1-5662010991A8}" name="Structure ID" dataDxfId="370"/>
    <tableColumn id="5" xr3:uid="{2AE3ED2D-7CAB-45B8-AA43-6197A5DBB9C2}" name="Water Depth [m]" dataDxfId="369"/>
    <tableColumn id="6" xr3:uid="{BC0E3E2E-DE67-4FD9-94E9-5C112B52D3FD}" name="Height Reference" dataDxfId="368"/>
    <tableColumn id="7" xr3:uid="{16928D7F-3DB7-43BD-BCF5-5C279A3E16F5}" name="Comments" dataDxfId="367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1:J134" totalsRowShown="0" headerRowDxfId="366" dataDxfId="35">
  <autoFilter ref="E111:J134" xr:uid="{C9C31EE9-6B44-4D67-9597-BD108F88B355}"/>
  <sortState xmlns:xlrd2="http://schemas.microsoft.com/office/spreadsheetml/2017/richdata2" ref="E112:O136">
    <sortCondition ref="E111:E136"/>
  </sortState>
  <tableColumns count="6">
    <tableColumn id="1" xr3:uid="{15F53C56-04A7-4EA4-A64D-A2A5A78E2AA2}" name="Section" dataDxfId="41"/>
    <tableColumn id="2" xr3:uid="{01B5124C-F6E1-40D2-9236-F2D6BE941DD3}" name="Top [m]" dataDxfId="40"/>
    <tableColumn id="3" xr3:uid="{0537C90E-D320-4AC4-8392-2A7C45CE31A1}" name="Bottom [m]" dataDxfId="39"/>
    <tableColumn id="4" xr3:uid="{3F0DC3DB-26F8-4D70-A358-70EF5E1596F5}" name="D, top [m]" dataDxfId="38"/>
    <tableColumn id="5" xr3:uid="{25F6B1D8-AC49-468F-BDCD-72AC07BB3CD0}" name="D, bottom [m]" dataDxfId="37"/>
    <tableColumn id="6" xr3:uid="{3ED99EE5-BCA8-4244-A3E5-81C6F22A9AB2}" name="t [mm]" dataDxfId="36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1:AE12" totalsRowShown="0" headerRowDxfId="365" dataDxfId="364">
  <autoFilter ref="Y11:AE12" xr:uid="{F46B677D-4D25-4464-BE0D-6A1E644518C5}"/>
  <tableColumns count="7">
    <tableColumn id="1" xr3:uid="{ECD0389F-015D-412B-9FF1-D5BEAAD27FC1}" name="Identifier" dataDxfId="363"/>
    <tableColumn id="2" xr3:uid="{90794316-AE1E-4D40-A728-B5B995A9CF65}" name="Project ID" dataDxfId="362"/>
    <tableColumn id="3" xr3:uid="{B8C9242D-AC32-4E57-A861-DB7E615D6A1C}" name="Phase" dataDxfId="361"/>
    <tableColumn id="4" xr3:uid="{1EEB510B-3010-431D-B8C6-870D9180A629}" name="Structure ID" dataDxfId="360"/>
    <tableColumn id="5" xr3:uid="{B6F5C20C-83C1-4B16-B4D3-933D066BB6A0}" name="Water Depth [m]" dataDxfId="359"/>
    <tableColumn id="6" xr3:uid="{26EA3A2D-14E0-4809-9795-74592B4984AD}" name="Height Reference" dataDxfId="358"/>
    <tableColumn id="7" xr3:uid="{9AC62F3C-D12C-40A1-8AF4-F7C9B043F1FB}" name="Comments" dataDxfId="3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7:AD40" totalsRowShown="0" headerRowDxfId="356" dataDxfId="355">
  <autoFilter ref="Y17:AD40" xr:uid="{186CFF05-2CD9-405C-829A-5AD7B62A8ACE}"/>
  <sortState xmlns:xlrd2="http://schemas.microsoft.com/office/spreadsheetml/2017/richdata2" ref="Y18:AI42">
    <sortCondition ref="Y17:Y42"/>
  </sortState>
  <tableColumns count="6">
    <tableColumn id="1" xr3:uid="{66D6C4E1-74CA-4A30-A085-277EA5E62B3C}" name="Section" dataDxfId="354"/>
    <tableColumn id="2" xr3:uid="{D0F6ECD2-6414-48B2-9B47-1C3B8BAC860B}" name="Top [m]" dataDxfId="353"/>
    <tableColumn id="3" xr3:uid="{575FC20A-0259-4081-83F8-71040557AEA8}" name="Bottom [m]" dataDxfId="352"/>
    <tableColumn id="4" xr3:uid="{529E5CD0-69F2-4E59-86A7-A3E6F1B39E96}" name="D, top [m]" dataDxfId="351"/>
    <tableColumn id="5" xr3:uid="{7F90AAFA-52D7-47DB-A99D-3E3E0AEE6541}" name="D, bottom [m]" dataDxfId="350"/>
    <tableColumn id="6" xr3:uid="{1B01547B-4485-4B79-8DB3-FCEA1C806B60}" name="t [mm]" dataDxfId="3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1:X113" totalsRowShown="0" headerRowDxfId="348" dataDxfId="25">
  <autoFilter ref="P111:X113" xr:uid="{C2F2D263-B298-4967-B7BA-2043D2636A28}"/>
  <tableColumns count="9">
    <tableColumn id="9" xr3:uid="{983AA3EE-D554-4611-9143-CB18ADA5BC06}" name="Name" dataDxfId="34"/>
    <tableColumn id="2" xr3:uid="{365B74CD-D14D-4F75-ABA6-B5CBD126E6F2}" name="Top [m]" dataDxfId="33"/>
    <tableColumn id="12" xr3:uid="{3CC0B321-8A95-4AEE-8DFB-77DAE8FAB528}" name="Bottom [m]" dataDxfId="32"/>
    <tableColumn id="3" xr3:uid="{29EF80FE-079C-4A10-9ADB-03D595E35311}" name="Mass [kg]" dataDxfId="31"/>
    <tableColumn id="1" xr3:uid="{EB762DF5-D84F-4ED6-9E32-E1B37FE9C38D}" name="Diameter [m]" dataDxfId="30"/>
    <tableColumn id="4" xr3:uid="{7D3C052F-35A7-4A8C-B722-8A6311D56BDC}" name="Orientation [°]" dataDxfId="29"/>
    <tableColumn id="5" xr3:uid="{A094AF7B-AEFB-4B58-9377-0B3B7C131ADC}" name="Distance Axis to Axis" dataDxfId="28"/>
    <tableColumn id="6" xr3:uid="{E15A8DE3-D9C1-4684-A605-26B6F2B8779C}" name="Gap between surfaces" dataDxfId="27"/>
    <tableColumn id="7" xr3:uid="{026563CA-A00A-4D48-9BC2-1AF2FA6C6586}" name="Surface roughness [m]" dataDxfId="26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7:AN19" totalsRowShown="0" dataDxfId="347">
  <autoFilter ref="AF17:AN19" xr:uid="{BDE973CA-C8D2-4A67-ACE1-6BE97A1FF0C7}"/>
  <tableColumns count="9">
    <tableColumn id="9" xr3:uid="{55BF990C-941A-438C-86DE-D99A5424D8A4}" name="Name" dataDxfId="346"/>
    <tableColumn id="2" xr3:uid="{D2CC7DEA-1AC5-4558-B6A8-7A00324F8731}" name="Top [m]" dataDxfId="345"/>
    <tableColumn id="12" xr3:uid="{63B7643C-B71B-4F75-B941-E84BE173CC9A}" name="Bottom [m]" dataDxfId="344"/>
    <tableColumn id="3" xr3:uid="{74DA4B22-9428-450B-B8ED-D23057E6EF7A}" name="Mass [kg]" dataDxfId="343"/>
    <tableColumn id="1" xr3:uid="{45265052-CB7D-44E4-B950-26F73BB47B9B}" name="Diameter [m]" dataDxfId="342"/>
    <tableColumn id="4" xr3:uid="{E80A5184-2DFE-4036-BD65-B61B96122334}" name="Orientation [°]" dataDxfId="341"/>
    <tableColumn id="5" xr3:uid="{F8C744AA-AA7B-4562-BFA1-0E7C53B53FF4}" name="Distance Axis to Axis" dataDxfId="340"/>
    <tableColumn id="6" xr3:uid="{A8D74212-5B24-4FC1-A938-5DFC386726CB}" name="Gap between surfaces" dataDxfId="339"/>
    <tableColumn id="7" xr3:uid="{9576E46D-F632-4BD0-8B5D-9B663892335B}" name="Surface roughness [m]" dataDxfId="3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6:K31" totalsRowShown="0" headerRowDxfId="337" dataDxfId="336">
  <autoFilter ref="E26:K31" xr:uid="{46FD7C67-BF9C-41F4-B134-682EDE7A007C}"/>
  <sortState xmlns:xlrd2="http://schemas.microsoft.com/office/spreadsheetml/2017/richdata2" ref="E27:I28">
    <sortCondition descending="1" ref="G26:G28"/>
  </sortState>
  <tableColumns count="7">
    <tableColumn id="1" xr3:uid="{43AB1C43-FBC5-42AE-8DFA-4651B77C56A0}" name="Identifier" dataDxfId="335"/>
    <tableColumn id="2" xr3:uid="{75FB6F15-9784-4F9D-9947-41C8E7DD1CC9}" name="Project ID" dataDxfId="334"/>
    <tableColumn id="3" xr3:uid="{DF3379D9-9371-4EDE-B715-A6A40C072275}" name="Phase" dataDxfId="333"/>
    <tableColumn id="4" xr3:uid="{B2F66CA1-64D8-49D4-A1DA-28FD14EC75C2}" name="Structure ID" dataDxfId="332"/>
    <tableColumn id="5" xr3:uid="{E0EC4989-22E7-49A3-8DAC-034A87568E19}" name="Water Depth [m]" dataDxfId="331"/>
    <tableColumn id="6" xr3:uid="{9873A46F-D488-4AA7-BC64-C1E65C65D808}" name="Height Reference" dataDxfId="330"/>
    <tableColumn id="7" xr3:uid="{CD60E691-17C5-40B2-9E26-571B6CB0C11D}" name="Comments" dataDxfId="329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2:AV13" totalsRowShown="0" headerRowDxfId="328" dataDxfId="17">
  <autoFilter ref="AP12:AV13" xr:uid="{4C688CB2-0B79-4AE2-B2DC-6850E0999F22}"/>
  <tableColumns count="7">
    <tableColumn id="1" xr3:uid="{4F627CE6-59C4-4523-A98C-81FD64443B88}" name="Identifier" dataDxfId="24"/>
    <tableColumn id="2" xr3:uid="{19921618-20B3-46FF-937E-24E6775D797E}" name="Project ID" dataDxfId="23"/>
    <tableColumn id="3" xr3:uid="{B1F7CCA9-A1BD-4F05-9237-B6284F3056E5}" name="Phase" dataDxfId="22"/>
    <tableColumn id="4" xr3:uid="{D5F33D5B-370E-46F7-BB6A-B74EC6139333}" name="Structure ID" dataDxfId="21"/>
    <tableColumn id="5" xr3:uid="{A7DF7C25-D9CF-4ABB-B7CD-68DC60608B9A}" name="Water Depth [m]" dataDxfId="20"/>
    <tableColumn id="6" xr3:uid="{A1DB5BD8-96E9-4ECB-89FE-50CF6529DD7E}" name="Height Reference" dataDxfId="19"/>
    <tableColumn id="7" xr3:uid="{2B99DBD7-0B0D-4BA1-87CB-C7AC621E6F3F}" name="Comments" dataDxfId="18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7:AV18" insertRow="1" totalsRowShown="0" headerRowDxfId="327" dataDxfId="326">
  <autoFilter ref="AP17:AV18" xr:uid="{82B2E050-F7C0-4103-ACF7-1508C2548380}"/>
  <tableColumns count="7">
    <tableColumn id="1" xr3:uid="{74379588-884B-4B92-99E3-2D8263DA35A7}" name="Identifier" dataDxfId="325"/>
    <tableColumn id="2" xr3:uid="{4D521BF5-BEDD-467B-BCA6-F197DD205F5D}" name="Project ID" dataDxfId="324"/>
    <tableColumn id="3" xr3:uid="{0D0764F3-2EB6-4AFD-8BBF-4B2A213694FB}" name="Phase" dataDxfId="323"/>
    <tableColumn id="4" xr3:uid="{F735A36B-0E53-4B21-98AF-8098D165B7A4}" name="Structure ID" dataDxfId="322"/>
    <tableColumn id="5" xr3:uid="{DD6C5343-9FF0-4988-B7AD-68A2B196AE75}" name="Water Depth [m]" dataDxfId="321"/>
    <tableColumn id="6" xr3:uid="{593B4864-FEBF-42DA-A98D-9BD5E874FDA3}" name="Height Reference" dataDxfId="320"/>
    <tableColumn id="7" xr3:uid="{AD918F6B-4A01-4D99-AEC7-AC9BF6550DE3}" name="Comments" dataDxfId="319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1:AU115" totalsRowShown="0" headerRowDxfId="318" dataDxfId="10">
  <autoFilter ref="AP111:AU115" xr:uid="{4CAB4DE0-822A-4232-A06F-0E82A3BADB53}"/>
  <sortState xmlns:xlrd2="http://schemas.microsoft.com/office/spreadsheetml/2017/richdata2" ref="AP112:AZ136">
    <sortCondition ref="AP111:AP136"/>
  </sortState>
  <tableColumns count="6">
    <tableColumn id="1" xr3:uid="{A8499614-F62D-4117-A756-769C01DC0156}" name="Section" dataDxfId="16"/>
    <tableColumn id="2" xr3:uid="{AA39DD39-8C8E-4F66-AA28-5EB59746565D}" name="Top [m]" dataDxfId="15"/>
    <tableColumn id="3" xr3:uid="{E2F479E9-17D9-4C2D-BF7C-2640F78B84E4}" name="Bottom [m]" dataDxfId="14"/>
    <tableColumn id="4" xr3:uid="{C69849FB-2BB9-4BF6-8192-78ED7173DD46}" name="D, top [m]" dataDxfId="13"/>
    <tableColumn id="5" xr3:uid="{837623EF-EE9F-47D2-AAAD-D903281C1D0A}" name="D, bottom [m]" dataDxfId="12"/>
    <tableColumn id="6" xr3:uid="{FDE46510-9BFE-418F-AE03-598BF29FF831}" name="t [mm]" dataDxfId="11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1:BI123" totalsRowShown="0" headerRowDxfId="317" dataDxfId="0">
  <autoFilter ref="BA111:BI123" xr:uid="{E1532FB8-4FA8-44E8-9D28-3535D0247613}"/>
  <tableColumns count="9">
    <tableColumn id="9" xr3:uid="{DDF4C359-0ED4-4157-B9B0-FFEC4F20A42C}" name="Name" dataDxfId="9"/>
    <tableColumn id="2" xr3:uid="{19BE9D85-AB85-4478-869F-084DC21BFD73}" name="Top [m]" dataDxfId="8"/>
    <tableColumn id="12" xr3:uid="{60D0BC20-AB8D-45D9-B128-1553A1D96305}" name="Bottom [m]" dataDxfId="7"/>
    <tableColumn id="3" xr3:uid="{662A2295-30AD-4A23-9CB2-ED339894A5E3}" name="Mass [kg]" dataDxfId="6"/>
    <tableColumn id="1" xr3:uid="{7BB91480-5314-4B92-B955-96A05520598B}" name="Diameter [m]" dataDxfId="5"/>
    <tableColumn id="4" xr3:uid="{288140B8-5B54-4E75-9449-01E8BB0785E7}" name="Orientation [°]" dataDxfId="4"/>
    <tableColumn id="5" xr3:uid="{04DC00AE-32C9-416C-ACBC-DEF2672988E5}" name="Distance Axis to Axis" dataDxfId="3"/>
    <tableColumn id="6" xr3:uid="{55C6527D-0D27-4523-B175-D1F63F0DDCEC}" name="Gap between surfaces" dataDxfId="2"/>
    <tableColumn id="7" xr3:uid="{0BEC8B77-AA74-4444-96C4-C6CFE771E16C}" name="Surface roughness [m]" dataDxfId="1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6:AV31" totalsRowShown="0" headerRowDxfId="316" dataDxfId="315">
  <autoFilter ref="AP26:AV31" xr:uid="{5AA18F1D-DEA3-4B85-A06C-016DA74739E0}"/>
  <sortState xmlns:xlrd2="http://schemas.microsoft.com/office/spreadsheetml/2017/richdata2" ref="AP27:AT28">
    <sortCondition descending="1" ref="AR26:AR28"/>
  </sortState>
  <tableColumns count="7">
    <tableColumn id="1" xr3:uid="{9DA6C410-B11E-4678-8482-D189DD47C876}" name="Identifier" dataDxfId="314"/>
    <tableColumn id="2" xr3:uid="{EC6A5746-7A0B-4DAB-8EBD-EDC20D766606}" name="Project ID" dataDxfId="313"/>
    <tableColumn id="3" xr3:uid="{2A15135F-98D6-4FBD-AE84-5EF0B52672ED}" name="Phase" dataDxfId="312"/>
    <tableColumn id="4" xr3:uid="{A7219BBA-68F7-4990-95D5-9B5A4EC218AA}" name="Structure ID" dataDxfId="311"/>
    <tableColumn id="5" xr3:uid="{ACC137C5-3CF1-40F4-952F-3B5BEC9A8ED2}" name="Water Depth [m]" dataDxfId="310"/>
    <tableColumn id="6" xr3:uid="{28B9B9E9-3ACF-4467-8F04-662CFC688071}" name="Height Reference" dataDxfId="309"/>
    <tableColumn id="7" xr3:uid="{352B6A31-2237-4251-83A7-8BBEBAA34145}" name="Comments" dataDxfId="308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1:BP12" totalsRowShown="0" headerRowDxfId="307" dataDxfId="306">
  <autoFilter ref="BJ11:BP12" xr:uid="{95B9336E-C6A5-4C93-9BED-34E5AF05FA6C}"/>
  <tableColumns count="7">
    <tableColumn id="1" xr3:uid="{BFA931EE-6FF8-44FC-AD54-32A5CF9115A2}" name="Identifier" dataDxfId="305"/>
    <tableColumn id="2" xr3:uid="{890F5896-05F5-47DB-B9DE-92FEF30867DB}" name="Project ID" dataDxfId="304"/>
    <tableColumn id="3" xr3:uid="{B37A2062-3A26-4ECC-B4E4-991B88E82CB2}" name="Phase" dataDxfId="303"/>
    <tableColumn id="4" xr3:uid="{C64DA219-F7AA-44CC-BC3D-62956AF84B2E}" name="Structure ID" dataDxfId="302"/>
    <tableColumn id="5" xr3:uid="{47235A3E-EBF6-486D-8ADC-74E88BA72554}" name="Water Depth [m]" dataDxfId="301"/>
    <tableColumn id="6" xr3:uid="{6F9496C9-78A5-48EB-ADDB-1E499513D04A}" name="Height Reference" dataDxfId="300"/>
    <tableColumn id="7" xr3:uid="{377B6EFB-A6E2-452C-9D74-166D22A947E2}" name="Comments" dataDxfId="2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7:BO21" totalsRowShown="0" headerRowDxfId="298" dataDxfId="297">
  <autoFilter ref="BJ17:BO21" xr:uid="{6F0FB054-8E79-4F22-8AED-286CD81169E8}"/>
  <sortState xmlns:xlrd2="http://schemas.microsoft.com/office/spreadsheetml/2017/richdata2" ref="BJ18:BT42">
    <sortCondition ref="BJ17:BJ42"/>
  </sortState>
  <tableColumns count="6">
    <tableColumn id="1" xr3:uid="{382AF089-C078-4605-A4A5-FB574D1D73E2}" name="Section" dataDxfId="296"/>
    <tableColumn id="2" xr3:uid="{E8281684-BC71-4E35-8AE4-31AC648F4A83}" name="Top [m]" dataDxfId="295"/>
    <tableColumn id="3" xr3:uid="{6B784D87-E7E2-4CF9-935B-9C0C8FC2DBC2}" name="Bottom [m]" dataDxfId="294"/>
    <tableColumn id="4" xr3:uid="{96A3790F-0CF8-4CB5-8340-C0A20382D4FC}" name="D, top [m]" dataDxfId="293"/>
    <tableColumn id="5" xr3:uid="{222474F9-E0FB-441A-81D5-07306740C4B2}" name="D, bottom [m]" dataDxfId="292"/>
    <tableColumn id="6" xr3:uid="{541ECBE1-3529-43CA-B9AD-3DE9306D1235}" name="t [mm]" dataDxfId="29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7:BY29" totalsRowShown="0" dataDxfId="290">
  <autoFilter ref="BQ17:BY29" xr:uid="{6CC2DE03-626B-408F-BF0C-226561799664}"/>
  <tableColumns count="9">
    <tableColumn id="9" xr3:uid="{C4C238D0-5357-48AB-969A-BE97844E5B70}" name="Name" dataDxfId="289"/>
    <tableColumn id="2" xr3:uid="{75F4D18E-F4BE-42B7-BB68-BF337C8DBA12}" name="Top [m]" dataDxfId="288"/>
    <tableColumn id="12" xr3:uid="{7C08C228-C676-4F90-9088-C9A3D6E72EB7}" name="Bottom [m]" dataDxfId="287"/>
    <tableColumn id="3" xr3:uid="{935DDAA6-49E6-45F6-B4AC-FCE8DF0B0A4D}" name="Mass [kg]" dataDxfId="286"/>
    <tableColumn id="1" xr3:uid="{E1D9BE0D-D944-4F2C-BAFF-1BA4FBB69ECE}" name="Diameter [m]" dataDxfId="285"/>
    <tableColumn id="4" xr3:uid="{A5E1EAFC-3DD4-4294-8717-665AE71BEDA8}" name="Orientation [°]" dataDxfId="284"/>
    <tableColumn id="5" xr3:uid="{5CE5C6CE-44B0-4B32-B390-246BAF490F6A}" name="Distance Axis to Axis" dataDxfId="283"/>
    <tableColumn id="6" xr3:uid="{CBE21F9B-8BA2-4737-8F56-34AD78C68BC3}" name="Gap between surfaces" dataDxfId="282"/>
    <tableColumn id="7" xr3:uid="{18326CB3-EF8F-4E97-ADA5-82B71868B5B1}" name="Surface roughness [m]" dataDxfId="28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DN13:DV27" totalsRowShown="0" dataDxfId="280">
  <autoFilter ref="DN13:DV27" xr:uid="{FEE1C0E0-398B-48E1-9521-CCB187180413}"/>
  <tableColumns count="9">
    <tableColumn id="1" xr3:uid="{03A8E757-56E6-48B0-929F-24FBFFC0EAA8}" name="Identifier" dataDxfId="279"/>
    <tableColumn id="2" xr3:uid="{BF4DEE24-7E2F-4B20-9B44-27C601C754F1}" name="Power [MW]" dataDxfId="278"/>
    <tableColumn id="3" xr3:uid="{4CBE937C-DD0F-4596-BD90-BE03828E4CA7}" name="Rotor Diameter [m]" dataDxfId="277"/>
    <tableColumn id="4" xr3:uid="{DE89D440-DA99-4425-B50C-30544DB961F5}" name="Mass of RNA [kg]" dataDxfId="276"/>
    <tableColumn id="5" xr3:uid="{E2FB4084-506E-4EC7-9BC8-8255DFE52EE0}" name="Inertia of RNA fore-aft @COG [kg m^2]" dataDxfId="275"/>
    <tableColumn id="9" xr3:uid="{44DAFC7A-C2DD-41BB-881C-14AD34F8BE60}" name="Inertia of RNA side-side @COG [kg m^2]" dataDxfId="274"/>
    <tableColumn id="6" xr3:uid="{18C2BBB8-192B-4BEC-B9C5-5B12B65B00E4}" name="Vertical Offset TT to HH [m] " dataDxfId="273"/>
    <tableColumn id="7" xr3:uid="{224A58F0-EA11-4A11-9268-3AE211EDB8B3}" name="Vertical Offset TT_COG [m]" dataDxfId="272"/>
    <tableColumn id="8" xr3:uid="{6189FE8D-4B10-4B10-BBA8-06FA82BF9F0C}" name="comment" dataDxfId="271"/>
  </tableColumns>
  <tableStyleInfo name="JBO_Desig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1:EF25" totalsRowShown="0" dataDxfId="270">
  <autoFilter ref="DX11:EF25" xr:uid="{6273375F-28C8-4A14-A545-8B988B5C9E65}"/>
  <tableColumns count="9">
    <tableColumn id="1" xr3:uid="{C3AE8FB7-66D2-47E1-8AA6-F0260BDFFCB8}" name="Identifier" dataDxfId="269"/>
    <tableColumn id="2" xr3:uid="{5F848737-A14E-44D6-9231-85AB48A55526}" name="Power [MW]" dataDxfId="268"/>
    <tableColumn id="3" xr3:uid="{2C93533D-1E27-4EB2-B7E6-3A19FEC55632}" name="Rotor Diameter [m]" dataDxfId="267"/>
    <tableColumn id="4" xr3:uid="{9D1780E5-E668-4D12-AF46-0A1DF433FA8A}" name="Mass of RNA [kg]" dataDxfId="266"/>
    <tableColumn id="5" xr3:uid="{1CA8A517-990E-4959-826C-118C5EC0C261}" name="Inertia of RNA fore-aft @COG [kg m^2]" dataDxfId="265"/>
    <tableColumn id="6" xr3:uid="{9FFE4A1F-E32A-49E7-8031-A24CF653CD8C}" name="Inertia of RNA side-side @COG [kg m^2]" dataDxfId="264"/>
    <tableColumn id="8" xr3:uid="{C481EB76-DD37-4979-8B5D-F3C81E38423E}" name="vertical offset TT to HH [m] " dataDxfId="263"/>
    <tableColumn id="7" xr3:uid="{3BD257A8-5786-4E03-8F1F-6116921828A3}" name="vertical offset TT_COG [m]" dataDxfId="262"/>
    <tableColumn id="9" xr3:uid="{A74BD603-BB70-4B62-BE72-E692B1275ED2}" name="comment" dataDxfId="26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2:CH13" totalsRowShown="0" headerRowDxfId="260" dataDxfId="259">
  <autoFilter ref="CB12:CH13" xr:uid="{5E76A910-DF84-4E36-A4A6-B43198F7A96D}"/>
  <tableColumns count="7">
    <tableColumn id="1" xr3:uid="{49BDBE95-80B3-4FD9-8ACC-4B929435AD88}" name="Identifier" dataDxfId="258"/>
    <tableColumn id="2" xr3:uid="{32637689-6006-48B4-8929-BF421BC82099}" name="Project ID" dataDxfId="257"/>
    <tableColumn id="3" xr3:uid="{58EC6A59-D9AB-4639-AE2E-4066805ECCC7}" name="Phase" dataDxfId="256"/>
    <tableColumn id="4" xr3:uid="{D5F3B7B3-BCC6-430C-9377-613CFCF29F12}" name="Structure ID" dataDxfId="255"/>
    <tableColumn id="5" xr3:uid="{92A37342-D675-4C58-9EBE-68B176E8C4F0}" name="Water Depth [m]" dataDxfId="254"/>
    <tableColumn id="6" xr3:uid="{5F11FEBE-52FC-4092-8F48-847726252247}" name="Height Reference" dataDxfId="253"/>
    <tableColumn id="7" xr3:uid="{6517C9F8-12CA-4024-AE0A-4D2B27375CE4}" name="Comments" dataDxfId="252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7:CH18" insertRow="1" totalsRowShown="0" headerRowDxfId="251" dataDxfId="250">
  <autoFilter ref="CB17:CH18" xr:uid="{025EB930-F6B9-4BC7-B40C-AB7D77CEB229}"/>
  <tableColumns count="7">
    <tableColumn id="1" xr3:uid="{03FCE140-AA4A-46F2-BC6F-D0614EC2E9FE}" name="Identifier" dataDxfId="249"/>
    <tableColumn id="2" xr3:uid="{8FBF53CD-1458-4120-89FB-5F133EE7EBC4}" name="Project ID" dataDxfId="248"/>
    <tableColumn id="3" xr3:uid="{6DB63014-4AF3-4811-AA2F-6F13926398DB}" name="Phase" dataDxfId="247"/>
    <tableColumn id="4" xr3:uid="{87B1B81D-346F-4544-A6A4-9DDE8CD110B3}" name="Structure ID" dataDxfId="246"/>
    <tableColumn id="5" xr3:uid="{340DEA9D-D07C-4CB2-B2CA-37ABBF463E27}" name="Water Depth [m]" dataDxfId="245"/>
    <tableColumn id="6" xr3:uid="{878704E1-3839-422C-897E-097E9E7D609E}" name="Height Reference" dataDxfId="244"/>
    <tableColumn id="7" xr3:uid="{58108BE0-55DB-4266-A1B3-00D35B62F1A1}" name="Comments" dataDxfId="243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1:CG201" totalsRowShown="0" headerRowDxfId="242" dataDxfId="241">
  <autoFilter ref="CB111:CG201" xr:uid="{6624AC03-091B-4440-AE35-46757D89154C}"/>
  <sortState xmlns:xlrd2="http://schemas.microsoft.com/office/spreadsheetml/2017/richdata2" ref="CB112:CL136">
    <sortCondition ref="CB111:CB136"/>
  </sortState>
  <tableColumns count="6">
    <tableColumn id="1" xr3:uid="{4712795E-488A-48E6-9477-0C98BE5C778B}" name="Section" dataDxfId="240"/>
    <tableColumn id="2" xr3:uid="{AF3B0F66-A97E-469B-BB2C-92E08B9852BC}" name="Top [m]" dataDxfId="239"/>
    <tableColumn id="3" xr3:uid="{EC9C8893-C993-4BCE-BD9D-E7180486ABFE}" name="Bottom [m]" dataDxfId="238"/>
    <tableColumn id="4" xr3:uid="{ED8DD31F-6E20-4C5F-BC92-0B6DB7A1B362}" name="D, top [m]" dataDxfId="237"/>
    <tableColumn id="5" xr3:uid="{2B890B63-A561-40A7-9FBB-7B8D47FD2656}" name="D, bottom [m]" dataDxfId="236"/>
    <tableColumn id="6" xr3:uid="{F255FA0B-5DF3-4FA4-A7BD-E6FEACC8E738}" name="t [mm]" dataDxfId="235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1:CU125" totalsRowShown="0" headerRowDxfId="234" dataDxfId="233">
  <autoFilter ref="CM111:CU125" xr:uid="{053322B7-F3E5-4935-832F-DFBC92EF3AA2}"/>
  <tableColumns count="9">
    <tableColumn id="9" xr3:uid="{AB7A3BD0-E047-4B9B-B321-179F40ECC452}" name="Name" dataDxfId="232"/>
    <tableColumn id="2" xr3:uid="{3AED4E5F-8B5F-4607-A3FD-EEAB134CA7C8}" name="Top [m]" dataDxfId="231"/>
    <tableColumn id="12" xr3:uid="{84257648-6597-4C8A-AD5A-3D3D0B07220D}" name="Bottom [m]" dataDxfId="230"/>
    <tableColumn id="3" xr3:uid="{20FDA9C3-BF70-4D85-A870-C8B7ADD0F944}" name="Mass [kg]" dataDxfId="229"/>
    <tableColumn id="1" xr3:uid="{A1DA6B57-09C6-4BA3-8C6D-34B4DE0BC8C4}" name="Diameter [m]" dataDxfId="228"/>
    <tableColumn id="4" xr3:uid="{7B401936-3842-4626-8801-F37D73E9C6DF}" name="Orientation [°]" dataDxfId="227"/>
    <tableColumn id="5" xr3:uid="{3E808003-5E60-482F-ABF1-D2D73158ED75}" name="Distance Axis to Axis" dataDxfId="226"/>
    <tableColumn id="6" xr3:uid="{AA2B16CF-21CA-4B65-91DB-2046C745D885}" name="Gap between surfaces" dataDxfId="225"/>
    <tableColumn id="7" xr3:uid="{269E9AEB-7728-4497-93C0-92D0DDE32F7B}" name="Surface roughness [m]" dataDxfId="224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6:CH29" totalsRowShown="0" headerRowDxfId="223" dataDxfId="222">
  <autoFilter ref="CB26:CH29" xr:uid="{9E39EC90-AC52-4EC1-B4CF-9799F74991BE}"/>
  <sortState xmlns:xlrd2="http://schemas.microsoft.com/office/spreadsheetml/2017/richdata2" ref="CB27:CF28">
    <sortCondition descending="1" ref="CD26:CD28"/>
  </sortState>
  <tableColumns count="7">
    <tableColumn id="1" xr3:uid="{30A99A19-40E5-433E-929D-3A4779ACB1CE}" name="Identifier" dataDxfId="221"/>
    <tableColumn id="2" xr3:uid="{B126DBC5-55C1-442E-B96B-933B020A9CD4}" name="Project ID" dataDxfId="220"/>
    <tableColumn id="3" xr3:uid="{348D5BC0-8868-4781-8DF0-2E04B537B73E}" name="Phase" dataDxfId="219"/>
    <tableColumn id="4" xr3:uid="{056B06E5-26E8-494B-83AF-1C87FB2162FC}" name="Structure ID" dataDxfId="218"/>
    <tableColumn id="5" xr3:uid="{EF179F4C-6CE0-4E71-9486-F0E6D0E71C4C}" name="Water Depth [m]" dataDxfId="217"/>
    <tableColumn id="6" xr3:uid="{2FDCFB50-700F-4830-AD68-13F9C0B1CC31}" name="Height Reference" dataDxfId="216"/>
    <tableColumn id="7" xr3:uid="{DE9B320D-8967-4FD8-BAE1-C291FB3ED005}" name="Comments" dataDxfId="215"/>
  </tableColumns>
  <tableStyleInfo name="JBO_Desig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1:DB12" totalsRowShown="0" headerRowDxfId="214" dataDxfId="213">
  <autoFilter ref="CV11:DB12" xr:uid="{636DA4FD-EDFB-4F12-A89B-84FBA35E7AC5}"/>
  <tableColumns count="7">
    <tableColumn id="1" xr3:uid="{E34E574E-744D-4554-AD98-E3D18572D674}" name="Identifier" dataDxfId="212"/>
    <tableColumn id="2" xr3:uid="{E411370A-1A97-44E5-BD18-89879F80115C}" name="Project ID" dataDxfId="211"/>
    <tableColumn id="3" xr3:uid="{F8DB145A-5EEF-4C6B-8F9D-B588A17D3C5D}" name="Phase" dataDxfId="210"/>
    <tableColumn id="4" xr3:uid="{43BB9CC2-4974-4122-BCFD-6271174F98E0}" name="Structure ID" dataDxfId="209"/>
    <tableColumn id="5" xr3:uid="{1E3D4F3B-C73C-4C7A-9F63-2C7CEB367AA8}" name="Water Depth [m]" dataDxfId="208"/>
    <tableColumn id="6" xr3:uid="{CF6F63D6-FC41-4D2D-B310-0191259847FF}" name="Height Reference" dataDxfId="207"/>
    <tableColumn id="7" xr3:uid="{50321489-A2C4-4A01-B8EA-6B294362F8E1}" name="Comments" dataDxfId="20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7:DA107" totalsRowShown="0" headerRowDxfId="205" dataDxfId="204">
  <autoFilter ref="CV17:DA107" xr:uid="{899803F4-C2CA-4425-9A32-A18B58E6ABD0}"/>
  <sortState xmlns:xlrd2="http://schemas.microsoft.com/office/spreadsheetml/2017/richdata2" ref="CV18:DF42">
    <sortCondition ref="CV17:CV42"/>
  </sortState>
  <tableColumns count="6">
    <tableColumn id="1" xr3:uid="{0011CC99-7AB3-49B8-9DB0-22F1E3955E91}" name="Section" dataDxfId="203"/>
    <tableColumn id="2" xr3:uid="{BB1ACF23-16B7-4C47-80B0-893A33C698A9}" name="Top [m]" dataDxfId="202"/>
    <tableColumn id="3" xr3:uid="{D5324E74-51EE-432A-847E-5AE29B7CA4D7}" name="Bottom [m]" dataDxfId="201"/>
    <tableColumn id="4" xr3:uid="{FFBDC83C-AA98-41F1-91F3-EE469D2DD36A}" name="D, top [m]" dataDxfId="200"/>
    <tableColumn id="5" xr3:uid="{B936FF01-5C34-41FB-BD9D-F28D153F9BDF}" name="D, bottom [m]" dataDxfId="199"/>
    <tableColumn id="6" xr3:uid="{19D1010E-9125-43B6-B42C-67FA9586EDA8}" name="t [mm]" dataDxfId="19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7:DK81" totalsRowShown="0" dataDxfId="197">
  <autoFilter ref="DC17:DK81" xr:uid="{12F79D89-930A-4420-97C7-60370F1121DC}"/>
  <tableColumns count="9">
    <tableColumn id="9" xr3:uid="{5BB60229-57C8-489B-8AD5-280AB6D93E54}" name="Name" dataDxfId="196"/>
    <tableColumn id="2" xr3:uid="{EAC19ED0-15BB-4F2F-B297-347769AEDA92}" name="Top [m]" dataDxfId="195"/>
    <tableColumn id="12" xr3:uid="{47A7AF06-EC9F-427D-8F50-53F82DB050A6}" name="Bottom [m]" dataDxfId="194"/>
    <tableColumn id="3" xr3:uid="{50700484-30B3-4605-8578-AD4FBA12A5B2}" name="Mass [kg]" dataDxfId="193"/>
    <tableColumn id="1" xr3:uid="{E557ADD3-D28A-4C96-B6FA-AF6D98691265}" name="Diameter [m]" dataDxfId="192"/>
    <tableColumn id="4" xr3:uid="{E8468086-16DA-4063-B0B5-DAC02A29244C}" name="Orientation [°]" dataDxfId="191"/>
    <tableColumn id="5" xr3:uid="{62B06F09-4543-4DBA-8F55-1F54D6CC331B}" name="Distance Axis to Axis" dataDxfId="190"/>
    <tableColumn id="6" xr3:uid="{FC078448-A491-4E57-AF88-7DC574214818}" name="Gap between surfaces" dataDxfId="189"/>
    <tableColumn id="7" xr3:uid="{C7E82548-94F1-43F3-BD70-20A3E76E01FF}" name="Surface roughness [m]" dataDxfId="18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187" dataDxfId="186">
  <autoFilter ref="B14:I131" xr:uid="{6964430C-2D65-45C4-817F-08653037EDFC}"/>
  <tableColumns count="8">
    <tableColumn id="1" xr3:uid="{1C924510-54DB-4186-8521-598E5FD7BF93}" name="Section" totalsRowLabel="Ergebnis" dataDxfId="185" totalsRowDxfId="184"/>
    <tableColumn id="2" xr3:uid="{29F8F207-72DF-4027-A39E-C3D956F79382}" name="Affiliation" dataDxfId="183" totalsRowDxfId="182"/>
    <tableColumn id="3" xr3:uid="{F1A86E12-282B-4FE8-A989-9056549BE251}" name="local Section" dataDxfId="181" totalsRowDxfId="180"/>
    <tableColumn id="4" xr3:uid="{1F0B5480-90D3-4DBF-AAEC-010EB8A46507}" name="Top [m]" dataDxfId="179" totalsRowDxfId="178"/>
    <tableColumn id="5" xr3:uid="{2F9EEEB1-AE18-4058-A215-9A6EAD23E6F0}" name="Bottom [m]" dataDxfId="177" totalsRowDxfId="176"/>
    <tableColumn id="6" xr3:uid="{CAF3E9FD-22BF-4C53-97D3-15DEA70C9DE2}" name="D, top [m]" dataDxfId="175" totalsRowDxfId="174"/>
    <tableColumn id="7" xr3:uid="{EE4449DD-273C-4967-8180-25E33E65F937}" name="D, bottom [m]" dataDxfId="173" totalsRowDxfId="172"/>
    <tableColumn id="8" xr3:uid="{0EE8182A-58FD-432D-A87C-9A474A081C7F}" name="t [mm]" totalsRowFunction="sum" dataDxfId="171" totalsRowDxfId="17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X42" totalsRowShown="0" headerRowDxfId="169" dataDxfId="168">
  <autoFilter ref="O14:X42" xr:uid="{99775F4D-8879-4247-BCBB-9E55004F5FE5}"/>
  <tableColumns count="10">
    <tableColumn id="8" xr3:uid="{4222E379-EA2F-436F-A27E-F66347A2B7A2}" name="Affiliation" dataDxfId="167"/>
    <tableColumn id="1" xr3:uid="{00244646-90F3-4DDD-AB6B-0373781AFF60}" name="Name" dataDxfId="166"/>
    <tableColumn id="2" xr3:uid="{6305BA78-EC7F-4D5E-A143-DF4E3CB9A56C}" name="Top [m]" dataDxfId="165"/>
    <tableColumn id="3" xr3:uid="{156C5A02-52CD-48BE-87D5-E9BF8F935E99}" name="Bottom [m]" dataDxfId="164"/>
    <tableColumn id="4" xr3:uid="{BA986155-703C-4151-964B-7F7638569588}" name="Mass [kg]" dataDxfId="163"/>
    <tableColumn id="5" xr3:uid="{5FB39ED9-35A0-4964-ADC5-B9008F43FCB7}" name="Diameter [m]" dataDxfId="162"/>
    <tableColumn id="6" xr3:uid="{094B0EAF-8736-4B85-A464-028FE0E10FAC}" name="Orientation [°]" dataDxfId="161"/>
    <tableColumn id="7" xr3:uid="{F864D980-FF18-446E-8D28-70D3CBCA43E9}" name="Distance Axis to Axis" dataDxfId="160"/>
    <tableColumn id="9" xr3:uid="{FD2E8D1C-F275-49BC-BD8B-D63D6205E6DF}" name="Gap between surfaces" dataDxfId="159"/>
    <tableColumn id="10" xr3:uid="{DFEB932C-31A8-42AF-A99C-78CC47E5676D}" name="Surface roughness [m]" dataDxfId="15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A18:AF20" totalsRowShown="0" headerRowDxfId="157" dataDxfId="155" headerRowBorderDxfId="156" tableBorderDxfId="154" totalsRowBorderDxfId="153">
  <autoFilter ref="AA18:AF20" xr:uid="{A1E86920-59C8-4A34-A4FA-D52D35DC047E}"/>
  <tableColumns count="6">
    <tableColumn id="1" xr3:uid="{D7BA5792-F27A-42AB-84A6-1A5C5073E624}" name="Affiliation" dataDxfId="152"/>
    <tableColumn id="3" xr3:uid="{F299E913-54CD-48A0-BB41-0880A93754FE}" name="Top [m]" dataDxfId="151"/>
    <tableColumn id="4" xr3:uid="{3FE7280C-AE16-43A5-98C5-AC81567063F8}" name="Bottom [m]" dataDxfId="150"/>
    <tableColumn id="5" xr3:uid="{494E1F17-E9F7-4B30-BF2F-0D837AD6C9EB}" name="D, top [m]" dataDxfId="149"/>
    <tableColumn id="6" xr3:uid="{9D18588B-23C1-495C-A81D-3BA5AF2F1DDD}" name="D, bottom [m]" dataDxfId="148"/>
    <tableColumn id="7" xr3:uid="{C3BA2567-9ACF-4834-A3FA-9599A0D98796}" name="t [mm]" dataDxfId="14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A14:AD15" totalsRowShown="0" dataDxfId="145" headerRowBorderDxfId="146" tableBorderDxfId="144">
  <autoFilter ref="AA14:AD15" xr:uid="{CD52EECF-AB78-4C57-8765-66AA1058C0CF}"/>
  <tableColumns count="4">
    <tableColumn id="1" xr3:uid="{035BC3C9-B7CD-47B5-94D2-F8D64A04FD6C}" name="Affiliation" dataDxfId="143"/>
    <tableColumn id="2" xr3:uid="{9093341A-644E-4005-A4B0-0B05612EE421}" name="Elevation [m]" dataDxfId="142"/>
    <tableColumn id="3" xr3:uid="{71FE16E7-7251-4F14-B28B-4C6055F6AED1}" name="Mass [t]" dataDxfId="141"/>
    <tableColumn id="4" xr3:uid="{87F4221A-61DF-4C79-A116-8098A7C6FAAE}" name="comment" dataDxfId="14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R14:AV18" totalsRowShown="0" headerRowDxfId="139" dataDxfId="138">
  <autoFilter ref="AR14:AV18" xr:uid="{8D334D84-754D-4685-9A4A-6A66B2E4FFB9}"/>
  <tableColumns count="5">
    <tableColumn id="1" xr3:uid="{DB673771-BB6D-4B68-81A2-B0DFC2758DC6}" name="Bottom [m]" dataDxfId="137"/>
    <tableColumn id="2" xr3:uid="{88DBAEFE-0CE9-43B7-BBD5-30E29A54DD0E}" name="Top [m]" dataDxfId="136"/>
    <tableColumn id="3" xr3:uid="{88F4E89D-F5DC-463C-AE91-5C5F8B82A591}" name="Marine Growth [mm]" dataDxfId="135"/>
    <tableColumn id="4" xr3:uid="{ABEE5949-3D04-400D-9A95-F3EBF7837C0E}" name="Density  [kg/m^3]" dataDxfId="134"/>
    <tableColumn id="5" xr3:uid="{F538BE21-E07F-43DA-9EA7-D7658B55572F}" name="Surface Roughness [m]" dataDxfId="13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X14:BA16" totalsRowShown="0" headerRowDxfId="132">
  <autoFilter ref="AX14:BA16" xr:uid="{87B4A03F-1005-4720-8887-A14737394284}"/>
  <tableColumns count="4">
    <tableColumn id="1" xr3:uid="{79B3039B-DCB3-4DB5-9657-9170C1A7D7A1}" name="Bottom [m]" dataDxfId="131"/>
    <tableColumn id="2" xr3:uid="{798BD679-C372-4555-9ABA-DF12AF1BEB7B}" name="Top [m]" dataDxfId="130"/>
    <tableColumn id="3" xr3:uid="{C28B4B73-F57A-4DF1-B531-CD436CEA398C}" name="cd" dataDxfId="129"/>
    <tableColumn id="4" xr3:uid="{B75141CC-AB54-4904-90B7-845CA3D69A1B}" name="cm" dataDxfId="12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H14:AP15" totalsRowShown="0" dataDxfId="126" headerRowBorderDxfId="127" tableBorderDxfId="125" totalsRowBorderDxfId="124">
  <autoFilter ref="AH14:AP15" xr:uid="{72CE8A2A-6760-4548-BB1E-BCA204D8C1BA}"/>
  <tableColumns count="9">
    <tableColumn id="1" xr3:uid="{46A5A21B-3002-456C-8AD9-5ECB42AC421F}" name="Identifier" dataDxfId="123"/>
    <tableColumn id="2" xr3:uid="{F5B4AC32-29FD-42F7-91EC-62CC42FCE0D7}" name="Power [MW]" dataDxfId="122"/>
    <tableColumn id="3" xr3:uid="{F6A77E93-EA0B-4A7B-91D9-D14361BC8B1A}" name="Rotor Diameter [m]" dataDxfId="121"/>
    <tableColumn id="4" xr3:uid="{324F57B3-0BB2-4A0A-864F-C4E295BA1417}" name="Mass of RNA [kg]" dataDxfId="120"/>
    <tableColumn id="5" xr3:uid="{498958C1-FF10-460A-950F-D28B6D477E67}" name="Inertia of RNA fore-aft @COG [kg m^2]" dataDxfId="119"/>
    <tableColumn id="8" xr3:uid="{234964DC-3BFC-4170-9D6A-7B3DBC67A11F}" name="Inertia of RNA side-side @COG [kg m^2]" dataDxfId="118"/>
    <tableColumn id="6" xr3:uid="{9A250389-A125-48C0-9709-4FC870698E51}" name="Vertical Offset TT to HH [m]" dataDxfId="117"/>
    <tableColumn id="7" xr3:uid="{7481D65D-D15B-4189-850C-213AFF247093}" name="Vertical Offset TT_COG [m]" dataDxfId="116"/>
    <tableColumn id="9" xr3:uid="{DC025F26-D4D4-42D6-A0AC-A10FD5B08484}" name="comment" dataDxfId="11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114">
  <autoFilter ref="B2:D6" xr:uid="{C35E7AB2-603F-4F8E-A683-CC2DB9E03260}"/>
  <tableColumns count="3">
    <tableColumn id="1" xr3:uid="{249E4AC0-B025-41CE-B64B-B1C47A8B108A}" name="Parameter" dataDxfId="113" totalsRowDxfId="112"/>
    <tableColumn id="2" xr3:uid="{96957327-E448-409A-A132-2F66C10F1B05}" name="Value" dataDxfId="111" totalsRowDxfId="110"/>
    <tableColumn id="3" xr3:uid="{9BA3C973-0D4E-4458-9364-B9F23256E516}" name="Unit" dataDxfId="109" totalsRowDxfId="10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10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106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05"/>
    <tableColumn id="4" xr3:uid="{E0487E44-0EED-4BFD-B57A-C884FB22266C}" name="default" dataDxfId="104"/>
    <tableColumn id="5" xr3:uid="{92045E4D-F12F-4D16-876C-05D25606D491}" name="SN1" dataDxfId="10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7" totalsRowShown="0" headerRowDxfId="102" dataDxfId="101">
  <autoFilter ref="B8:L17" xr:uid="{71E9ED97-D6B3-4021-B4A0-767262A463AF}"/>
  <tableColumns count="11">
    <tableColumn id="3" xr3:uid="{FEC1B86F-C35E-46DA-A7B6-958218640B32}" name="Use For (WL: Waveload generator, AM: Additional Masses) " dataDxfId="100"/>
    <tableColumn id="12" xr3:uid="{C2A89023-9057-4005-B5BC-7177CA0916E4}" name="Affiliation" dataDxfId="99"/>
    <tableColumn id="8" xr3:uid="{DA5288F4-A6D2-4654-91EF-5216E3A5D06D}" name="Name" dataDxfId="98"/>
    <tableColumn id="1" xr3:uid="{BCF04A15-F7A1-4B02-B968-2B77E93E65C8}" name="Top [m]" dataDxfId="97"/>
    <tableColumn id="2" xr3:uid="{7285DDF2-50C0-437F-A508-26E337365FD6}" name="Bottom [m]" dataDxfId="96"/>
    <tableColumn id="6" xr3:uid="{FF72EB0E-B8A4-4A02-BB1C-1EDDA8FDE8B6}" name="Mass [kg]" dataDxfId="95"/>
    <tableColumn id="4" xr3:uid="{C529D6EA-DB28-489B-9417-E4E43DA45BC2}" name="Diameter [m]" dataDxfId="94"/>
    <tableColumn id="7" xr3:uid="{187EAF26-0053-462C-A746-F4CFDD4FEA26}" name="Orientation [°]" dataDxfId="93"/>
    <tableColumn id="9" xr3:uid="{083E9AAE-21E0-4DD4-92EE-C339CE2D1002}" name="Distance Axis to Axis" dataDxfId="92"/>
    <tableColumn id="13" xr3:uid="{21BE8926-C21A-4E38-9100-554AFA0FA93B}" name="Gap between surfaces" dataDxfId="91"/>
    <tableColumn id="10" xr3:uid="{5E743F44-ADBC-4FED-9125-954BB70B4AA2}" name="Surface roughness [m]" dataDxfId="9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2.xml"/><Relationship Id="rId68" Type="http://schemas.openxmlformats.org/officeDocument/2006/relationships/table" Target="../tables/table17.xml"/><Relationship Id="rId16" Type="http://schemas.openxmlformats.org/officeDocument/2006/relationships/ctrlProp" Target="../ctrlProps/ctrlProp17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2.xml"/><Relationship Id="rId58" Type="http://schemas.openxmlformats.org/officeDocument/2006/relationships/table" Target="../tables/table7.xml"/><Relationship Id="rId66" Type="http://schemas.openxmlformats.org/officeDocument/2006/relationships/table" Target="../tables/table15.xml"/><Relationship Id="rId74" Type="http://schemas.openxmlformats.org/officeDocument/2006/relationships/table" Target="../tables/table23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0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5.xml"/><Relationship Id="rId64" Type="http://schemas.openxmlformats.org/officeDocument/2006/relationships/table" Target="../tables/table13.xml"/><Relationship Id="rId69" Type="http://schemas.openxmlformats.org/officeDocument/2006/relationships/table" Target="../tables/table18.xml"/><Relationship Id="rId77" Type="http://schemas.openxmlformats.org/officeDocument/2006/relationships/table" Target="../tables/table26.xml"/><Relationship Id="rId8" Type="http://schemas.openxmlformats.org/officeDocument/2006/relationships/ctrlProp" Target="../ctrlProps/ctrlProp9.xml"/><Relationship Id="rId51" Type="http://schemas.openxmlformats.org/officeDocument/2006/relationships/ctrlProp" Target="../ctrlProps/ctrlProp52.xml"/><Relationship Id="rId72" Type="http://schemas.openxmlformats.org/officeDocument/2006/relationships/table" Target="../tables/table2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8.xml"/><Relationship Id="rId67" Type="http://schemas.openxmlformats.org/officeDocument/2006/relationships/table" Target="../tables/table16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3.xml"/><Relationship Id="rId62" Type="http://schemas.openxmlformats.org/officeDocument/2006/relationships/table" Target="../tables/table11.xml"/><Relationship Id="rId70" Type="http://schemas.openxmlformats.org/officeDocument/2006/relationships/table" Target="../tables/table19.xml"/><Relationship Id="rId75" Type="http://schemas.openxmlformats.org/officeDocument/2006/relationships/table" Target="../tables/table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6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1.xml"/><Relationship Id="rId60" Type="http://schemas.openxmlformats.org/officeDocument/2006/relationships/table" Target="../tables/table9.xml"/><Relationship Id="rId65" Type="http://schemas.openxmlformats.org/officeDocument/2006/relationships/table" Target="../tables/table14.xml"/><Relationship Id="rId73" Type="http://schemas.openxmlformats.org/officeDocument/2006/relationships/table" Target="../tables/table2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ctrlProp" Target="../ctrlProps/ctrlProp51.xml"/><Relationship Id="rId55" Type="http://schemas.openxmlformats.org/officeDocument/2006/relationships/table" Target="../tables/table4.xml"/><Relationship Id="rId76" Type="http://schemas.openxmlformats.org/officeDocument/2006/relationships/table" Target="../tables/table25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E13" sqref="E13"/>
    </sheetView>
  </sheetViews>
  <sheetFormatPr baseColWidth="10" defaultRowHeight="14.4" x14ac:dyDescent="0.3"/>
  <cols>
    <col min="2" max="2" width="24.33203125" customWidth="1"/>
  </cols>
  <sheetData>
    <row r="3" spans="2:3" x14ac:dyDescent="0.3">
      <c r="B3" t="s">
        <v>247</v>
      </c>
      <c r="C3" t="s">
        <v>248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58" t="s">
        <v>42</v>
      </c>
      <c r="C4" s="159"/>
      <c r="D4" s="160"/>
      <c r="E4" s="40"/>
      <c r="F4" s="161" t="s">
        <v>26</v>
      </c>
      <c r="G4" s="162"/>
      <c r="H4" s="162"/>
      <c r="I4" s="163"/>
      <c r="J4" s="40"/>
      <c r="K4" s="164" t="s">
        <v>43</v>
      </c>
      <c r="L4" s="165"/>
      <c r="M4" s="166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M889"/>
  <sheetViews>
    <sheetView showGridLines="0" tabSelected="1" zoomScale="70" zoomScaleNormal="70" workbookViewId="0">
      <selection activeCell="AS2" sqref="AS2"/>
    </sheetView>
  </sheetViews>
  <sheetFormatPr baseColWidth="10" defaultColWidth="22.88671875" defaultRowHeight="18" customHeight="1" outlineLevelRow="1" x14ac:dyDescent="0.3"/>
  <cols>
    <col min="1" max="1" width="24.5546875" style="97" customWidth="1"/>
    <col min="2" max="2" width="24.6640625" style="85" customWidth="1"/>
    <col min="3" max="3" width="21" style="85" customWidth="1"/>
    <col min="4" max="4" width="23.109375" style="85" customWidth="1"/>
    <col min="5" max="5" width="50.109375" style="116" hidden="1" customWidth="1"/>
    <col min="6" max="7" width="22" style="53" hidden="1" customWidth="1"/>
    <col min="8" max="8" width="27.6640625" style="53" hidden="1" customWidth="1"/>
    <col min="9" max="9" width="22" style="53" hidden="1" customWidth="1"/>
    <col min="10" max="10" width="22" style="52" hidden="1" customWidth="1"/>
    <col min="11" max="11" width="22" style="125" hidden="1" customWidth="1"/>
    <col min="12" max="13" width="22" hidden="1" customWidth="1"/>
    <col min="14" max="14" width="22" style="109" hidden="1" customWidth="1"/>
    <col min="15" max="15" width="11.109375" hidden="1" customWidth="1"/>
    <col min="16" max="23" width="21.5546875" hidden="1" customWidth="1"/>
    <col min="24" max="24" width="21.5546875" style="66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21.5546875" hidden="1" customWidth="1"/>
    <col min="42" max="42" width="50.109375" style="116" customWidth="1"/>
    <col min="43" max="44" width="22" style="53" customWidth="1"/>
    <col min="45" max="45" width="27.6640625" style="53" customWidth="1"/>
    <col min="46" max="46" width="22" style="53" customWidth="1"/>
    <col min="47" max="47" width="22" style="52" customWidth="1"/>
    <col min="48" max="48" width="22" style="125" customWidth="1"/>
    <col min="49" max="50" width="22" customWidth="1"/>
    <col min="51" max="51" width="22" style="109" customWidth="1"/>
    <col min="52" max="52" width="11.109375" customWidth="1"/>
    <col min="53" max="60" width="21.5546875" customWidth="1"/>
    <col min="61" max="61" width="21.5546875" style="66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109375" style="116" hidden="1" customWidth="1"/>
    <col min="81" max="82" width="22" style="53" hidden="1" customWidth="1"/>
    <col min="83" max="83" width="27.6640625" style="53" hidden="1" customWidth="1"/>
    <col min="84" max="84" width="22" style="53" hidden="1" customWidth="1"/>
    <col min="85" max="85" width="22" style="52" hidden="1" customWidth="1"/>
    <col min="86" max="86" width="22" style="125" hidden="1" customWidth="1"/>
    <col min="87" max="88" width="22" hidden="1" customWidth="1"/>
    <col min="89" max="89" width="22" style="109" hidden="1" customWidth="1"/>
    <col min="90" max="90" width="11.109375" hidden="1" customWidth="1"/>
    <col min="91" max="98" width="21.5546875" hidden="1" customWidth="1"/>
    <col min="99" max="99" width="21.5546875" style="66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22.88671875" style="65" hidden="1" customWidth="1"/>
    <col min="119" max="126" width="22.88671875" hidden="1" customWidth="1"/>
    <col min="127" max="127" width="22.88671875" style="66" hidden="1" customWidth="1"/>
    <col min="128" max="136" width="22.88671875" hidden="1" customWidth="1"/>
    <col min="137" max="137" width="22.88671875" hidden="1" customWidth="1" collapsed="1"/>
    <col min="138" max="138" width="22.88671875" hidden="1" customWidth="1"/>
    <col min="139" max="142" width="0" hidden="1" customWidth="1"/>
    <col min="143" max="143" width="0" style="66" hidden="1" customWidth="1"/>
    <col min="144" max="144" width="0" hidden="1" customWidth="1"/>
  </cols>
  <sheetData>
    <row r="1" spans="5:136" ht="18" customHeight="1" x14ac:dyDescent="0.3">
      <c r="E1" s="126"/>
      <c r="F1" s="110"/>
      <c r="G1" s="110"/>
      <c r="H1" s="110"/>
      <c r="I1" s="110"/>
      <c r="J1" s="127"/>
      <c r="K1" s="90"/>
      <c r="L1" s="89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1"/>
      <c r="AO1" s="90"/>
      <c r="AP1" s="126"/>
      <c r="AQ1" s="110"/>
      <c r="AR1" s="110"/>
      <c r="AS1" s="110"/>
      <c r="AT1" s="110"/>
      <c r="AU1" s="127"/>
      <c r="AV1" s="90"/>
      <c r="AW1" s="89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1"/>
      <c r="CA1" s="90"/>
      <c r="CB1" s="126"/>
      <c r="CC1" s="110"/>
      <c r="CD1" s="110"/>
      <c r="CE1" s="110"/>
      <c r="CF1" s="110"/>
      <c r="CG1" s="127"/>
      <c r="CH1" s="90"/>
      <c r="CI1" s="89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1"/>
      <c r="DN1" s="89"/>
      <c r="DO1" s="90"/>
      <c r="DP1" s="90"/>
      <c r="DQ1" s="90"/>
      <c r="DR1" s="90"/>
      <c r="DS1" s="90"/>
      <c r="DT1" s="90"/>
      <c r="DU1" s="90"/>
      <c r="DV1" s="90"/>
      <c r="DW1" s="91"/>
    </row>
    <row r="2" spans="5:136" ht="43.5" customHeight="1" x14ac:dyDescent="0.3">
      <c r="E2" s="117" t="s">
        <v>69</v>
      </c>
      <c r="K2"/>
      <c r="L2" s="65"/>
      <c r="N2"/>
      <c r="AP2" s="117" t="s">
        <v>83</v>
      </c>
      <c r="AV2"/>
      <c r="AW2" s="65"/>
      <c r="AY2"/>
      <c r="CB2" s="117" t="s">
        <v>71</v>
      </c>
      <c r="CH2"/>
      <c r="CI2" s="65"/>
      <c r="CK2"/>
      <c r="DN2" s="117" t="s">
        <v>115</v>
      </c>
      <c r="DO2" s="53"/>
      <c r="DP2" s="53"/>
      <c r="DQ2" s="53"/>
      <c r="DR2" s="53"/>
      <c r="DS2" s="52"/>
    </row>
    <row r="3" spans="5:136" ht="18" customHeight="1" x14ac:dyDescent="0.3">
      <c r="E3" s="65"/>
      <c r="F3"/>
      <c r="G3"/>
      <c r="H3"/>
      <c r="I3"/>
      <c r="J3"/>
      <c r="K3"/>
      <c r="L3" s="65"/>
      <c r="N3"/>
      <c r="AP3" s="65"/>
      <c r="AQ3"/>
      <c r="AR3"/>
      <c r="AS3"/>
      <c r="AT3"/>
      <c r="AU3"/>
      <c r="AV3"/>
      <c r="AW3" s="65"/>
      <c r="AY3"/>
      <c r="BY3" s="67"/>
      <c r="BZ3" s="67"/>
      <c r="CB3" s="65"/>
      <c r="CC3"/>
      <c r="CD3"/>
      <c r="CE3"/>
      <c r="CF3"/>
      <c r="CG3"/>
      <c r="CH3"/>
      <c r="CI3" s="65"/>
      <c r="CK3"/>
      <c r="DK3" s="67"/>
      <c r="DL3" s="67"/>
      <c r="DM3" s="67"/>
    </row>
    <row r="4" spans="5:136" ht="19.5" customHeight="1" thickBot="1" x14ac:dyDescent="0.45">
      <c r="E4" s="131" t="s">
        <v>269</v>
      </c>
      <c r="F4" s="96"/>
      <c r="G4" s="96"/>
      <c r="H4" s="96"/>
      <c r="I4" s="96"/>
      <c r="J4"/>
      <c r="K4"/>
      <c r="L4" s="65"/>
      <c r="N4"/>
      <c r="AP4" s="131" t="s">
        <v>269</v>
      </c>
      <c r="AQ4" s="96"/>
      <c r="AR4" s="96"/>
      <c r="AS4" s="96"/>
      <c r="AT4" s="96"/>
      <c r="AU4"/>
      <c r="AV4"/>
      <c r="AW4" s="65"/>
      <c r="AY4"/>
      <c r="CB4" s="131" t="s">
        <v>269</v>
      </c>
      <c r="CC4" s="96"/>
      <c r="CD4" s="96"/>
      <c r="CE4" s="96"/>
      <c r="CF4" s="96"/>
      <c r="CG4"/>
      <c r="CH4"/>
      <c r="CI4" s="65"/>
      <c r="CK4"/>
      <c r="DN4" s="131" t="s">
        <v>269</v>
      </c>
      <c r="DO4" s="96"/>
      <c r="DP4" s="96"/>
      <c r="DQ4" s="96"/>
      <c r="DR4" s="96"/>
    </row>
    <row r="5" spans="5:136" ht="18" customHeight="1" x14ac:dyDescent="0.35">
      <c r="E5" s="103"/>
      <c r="F5" s="111" t="s">
        <v>265</v>
      </c>
      <c r="G5" s="104"/>
      <c r="H5" s="104"/>
      <c r="I5" s="104"/>
      <c r="J5" s="104"/>
      <c r="K5" s="104"/>
      <c r="L5" s="65"/>
      <c r="N5" s="98"/>
      <c r="AP5" s="103"/>
      <c r="AQ5" s="111" t="s">
        <v>265</v>
      </c>
      <c r="AR5" s="104"/>
      <c r="AS5" s="104"/>
      <c r="AT5" s="104"/>
      <c r="AU5" s="104"/>
      <c r="AV5" s="104"/>
      <c r="AW5" s="65"/>
      <c r="AY5" s="98"/>
      <c r="CB5" s="103"/>
      <c r="CC5" s="111" t="s">
        <v>265</v>
      </c>
      <c r="CD5" s="104"/>
      <c r="CE5" s="104"/>
      <c r="CF5" s="104"/>
      <c r="CG5" s="104"/>
      <c r="CH5" s="104"/>
      <c r="CI5" s="65"/>
      <c r="CK5" s="98"/>
      <c r="DN5" s="103"/>
      <c r="DO5" s="111" t="s">
        <v>265</v>
      </c>
      <c r="DP5" s="104"/>
      <c r="DQ5" s="104"/>
      <c r="DR5" s="104"/>
      <c r="DS5" s="104"/>
      <c r="DT5" s="145"/>
    </row>
    <row r="6" spans="5:136" ht="18" customHeight="1" x14ac:dyDescent="0.3">
      <c r="E6" s="105"/>
      <c r="F6" s="99" t="s">
        <v>81</v>
      </c>
      <c r="G6" s="95"/>
      <c r="H6" s="95"/>
      <c r="I6" s="95"/>
      <c r="J6" s="95"/>
      <c r="K6" s="95"/>
      <c r="L6" s="65"/>
      <c r="N6"/>
      <c r="AP6" s="105"/>
      <c r="AQ6" s="99" t="s">
        <v>275</v>
      </c>
      <c r="AR6" s="95"/>
      <c r="AS6" s="95"/>
      <c r="AT6" s="95"/>
      <c r="AU6" s="95"/>
      <c r="AV6" s="95"/>
      <c r="AW6" s="65"/>
      <c r="AY6"/>
      <c r="BM6" t="s">
        <v>290</v>
      </c>
      <c r="CB6" s="105"/>
      <c r="CC6" s="99" t="s">
        <v>290</v>
      </c>
      <c r="CD6" s="95"/>
      <c r="CE6" s="95"/>
      <c r="CF6" s="95"/>
      <c r="CG6" s="95"/>
      <c r="CH6" s="95"/>
      <c r="CI6" s="65"/>
      <c r="CK6"/>
      <c r="DN6" s="105"/>
      <c r="DO6" s="99" t="s">
        <v>132</v>
      </c>
      <c r="DP6" s="95"/>
      <c r="DQ6" s="95"/>
      <c r="DR6" s="95"/>
      <c r="DS6" s="95"/>
      <c r="DT6" s="146"/>
    </row>
    <row r="7" spans="5:136" ht="18" customHeight="1" x14ac:dyDescent="0.3">
      <c r="E7" s="105"/>
      <c r="F7" s="106"/>
      <c r="G7" s="106"/>
      <c r="H7" s="106"/>
      <c r="I7" s="106"/>
      <c r="J7" s="106"/>
      <c r="K7" s="106"/>
      <c r="L7" s="65"/>
      <c r="N7"/>
      <c r="AP7" s="105"/>
      <c r="AQ7" s="106"/>
      <c r="AR7" s="106"/>
      <c r="AS7" s="106"/>
      <c r="AT7" s="106"/>
      <c r="AU7" s="106"/>
      <c r="AV7" s="106"/>
      <c r="AW7" s="65"/>
      <c r="AY7"/>
      <c r="CB7" s="105"/>
      <c r="CC7" s="106"/>
      <c r="CD7" s="106"/>
      <c r="CE7" s="106"/>
      <c r="CF7" s="106"/>
      <c r="CG7" s="106"/>
      <c r="CH7" s="106"/>
      <c r="CI7" s="65"/>
      <c r="CK7"/>
      <c r="DN7" s="105"/>
      <c r="DO7" s="106"/>
      <c r="DP7" s="106"/>
      <c r="DQ7" s="106"/>
      <c r="DR7" s="106"/>
      <c r="DS7" s="106"/>
      <c r="DT7" s="147"/>
    </row>
    <row r="8" spans="5:136" ht="18" customHeight="1" thickBot="1" x14ac:dyDescent="0.35">
      <c r="E8" s="107"/>
      <c r="F8" s="108"/>
      <c r="G8" s="108"/>
      <c r="H8" s="108"/>
      <c r="I8" s="108"/>
      <c r="J8" s="108"/>
      <c r="K8" s="108"/>
      <c r="L8" s="65"/>
      <c r="N8"/>
      <c r="AP8" s="107"/>
      <c r="AQ8" s="108"/>
      <c r="AR8" s="108"/>
      <c r="AS8" s="108"/>
      <c r="AT8" s="108"/>
      <c r="AU8" s="108"/>
      <c r="AV8" s="108"/>
      <c r="AW8" s="65"/>
      <c r="AY8"/>
      <c r="CB8" s="107"/>
      <c r="CC8" s="108"/>
      <c r="CD8" s="108"/>
      <c r="CE8" s="108"/>
      <c r="CF8" s="108"/>
      <c r="CG8" s="108"/>
      <c r="CH8" s="108"/>
      <c r="CI8" s="65"/>
      <c r="CK8"/>
      <c r="DN8" s="107"/>
      <c r="DO8" s="108"/>
      <c r="DP8" s="108"/>
      <c r="DQ8" s="108"/>
      <c r="DR8" s="108"/>
      <c r="DS8" s="108"/>
      <c r="DT8" s="148"/>
    </row>
    <row r="9" spans="5:136" ht="18" customHeight="1" x14ac:dyDescent="0.3">
      <c r="E9" s="65"/>
      <c r="F9"/>
      <c r="G9"/>
      <c r="H9"/>
      <c r="I9"/>
      <c r="J9"/>
      <c r="K9"/>
      <c r="L9" s="65"/>
      <c r="N9"/>
      <c r="AP9" s="65"/>
      <c r="AQ9"/>
      <c r="AR9"/>
      <c r="AS9"/>
      <c r="AT9"/>
      <c r="AU9"/>
      <c r="AV9"/>
      <c r="AW9" s="65"/>
      <c r="AY9"/>
      <c r="CB9" s="65"/>
      <c r="CC9"/>
      <c r="CD9"/>
      <c r="CE9"/>
      <c r="CF9"/>
      <c r="CG9"/>
      <c r="CH9"/>
      <c r="CI9" s="65"/>
      <c r="CK9"/>
    </row>
    <row r="10" spans="5:136" ht="18" customHeight="1" x14ac:dyDescent="0.3">
      <c r="E10" s="65"/>
      <c r="F10"/>
      <c r="G10"/>
      <c r="H10"/>
      <c r="I10"/>
      <c r="J10"/>
      <c r="K10"/>
      <c r="L10" s="65"/>
      <c r="N10"/>
      <c r="AP10" s="65"/>
      <c r="AQ10"/>
      <c r="AR10"/>
      <c r="AS10"/>
      <c r="AT10"/>
      <c r="AU10"/>
      <c r="AV10"/>
      <c r="AW10" s="65"/>
      <c r="AY10"/>
      <c r="CB10" s="65"/>
      <c r="CC10"/>
      <c r="CD10"/>
      <c r="CE10"/>
      <c r="CF10"/>
      <c r="CG10"/>
      <c r="CH10"/>
      <c r="CI10" s="65"/>
      <c r="CK10"/>
    </row>
    <row r="11" spans="5:136" ht="18" customHeight="1" x14ac:dyDescent="0.4">
      <c r="E11" s="131" t="s">
        <v>270</v>
      </c>
      <c r="F11"/>
      <c r="G11"/>
      <c r="H11"/>
      <c r="I11"/>
      <c r="J11"/>
      <c r="K11"/>
      <c r="L11" s="65"/>
      <c r="N11"/>
      <c r="Y11" t="s">
        <v>73</v>
      </c>
      <c r="Z11" t="s">
        <v>74</v>
      </c>
      <c r="AA11" t="s">
        <v>72</v>
      </c>
      <c r="AB11" t="s">
        <v>75</v>
      </c>
      <c r="AC11" t="s">
        <v>123</v>
      </c>
      <c r="AD11" t="s">
        <v>119</v>
      </c>
      <c r="AE11" t="s">
        <v>124</v>
      </c>
      <c r="AP11" s="131" t="s">
        <v>270</v>
      </c>
      <c r="AQ11"/>
      <c r="AR11"/>
      <c r="AS11"/>
      <c r="AT11"/>
      <c r="AU11"/>
      <c r="AV11"/>
      <c r="AW11" s="65"/>
      <c r="AY11"/>
      <c r="BJ11" t="s">
        <v>73</v>
      </c>
      <c r="BK11" t="s">
        <v>74</v>
      </c>
      <c r="BL11" t="s">
        <v>72</v>
      </c>
      <c r="BM11" t="s">
        <v>75</v>
      </c>
      <c r="BN11" t="s">
        <v>123</v>
      </c>
      <c r="BO11" t="s">
        <v>119</v>
      </c>
      <c r="BP11" t="s">
        <v>124</v>
      </c>
      <c r="CB11" s="131" t="s">
        <v>270</v>
      </c>
      <c r="CC11"/>
      <c r="CD11"/>
      <c r="CE11"/>
      <c r="CF11"/>
      <c r="CG11"/>
      <c r="CH11"/>
      <c r="CI11" s="65"/>
      <c r="CK11"/>
      <c r="CV11" t="s">
        <v>73</v>
      </c>
      <c r="CW11" t="s">
        <v>74</v>
      </c>
      <c r="CX11" t="s">
        <v>72</v>
      </c>
      <c r="CY11" t="s">
        <v>75</v>
      </c>
      <c r="CZ11" t="s">
        <v>123</v>
      </c>
      <c r="DA11" t="s">
        <v>119</v>
      </c>
      <c r="DB11" t="s">
        <v>124</v>
      </c>
      <c r="DX11" t="s">
        <v>73</v>
      </c>
      <c r="DY11" t="s">
        <v>128</v>
      </c>
      <c r="DZ11" t="s">
        <v>129</v>
      </c>
      <c r="EA11" t="s">
        <v>206</v>
      </c>
      <c r="EB11" t="s">
        <v>215</v>
      </c>
      <c r="EC11" t="s">
        <v>216</v>
      </c>
      <c r="ED11" t="s">
        <v>207</v>
      </c>
      <c r="EE11" t="s">
        <v>208</v>
      </c>
      <c r="EF11" t="s">
        <v>19</v>
      </c>
    </row>
    <row r="12" spans="5:136" ht="18" customHeight="1" x14ac:dyDescent="0.3">
      <c r="E12" s="112" t="s">
        <v>73</v>
      </c>
      <c r="F12" s="51" t="s">
        <v>74</v>
      </c>
      <c r="G12" s="51" t="s">
        <v>72</v>
      </c>
      <c r="H12" s="51" t="s">
        <v>75</v>
      </c>
      <c r="I12" s="51" t="s">
        <v>123</v>
      </c>
      <c r="J12" s="51" t="s">
        <v>119</v>
      </c>
      <c r="K12" s="51" t="s">
        <v>124</v>
      </c>
      <c r="L12" s="65"/>
      <c r="N12"/>
      <c r="Y12" t="s">
        <v>261</v>
      </c>
      <c r="Z12" t="s">
        <v>256</v>
      </c>
      <c r="AA12" t="s">
        <v>257</v>
      </c>
      <c r="AB12" t="s">
        <v>262</v>
      </c>
      <c r="AC12">
        <v>38.9</v>
      </c>
      <c r="AD12" t="s">
        <v>49</v>
      </c>
      <c r="AP12" s="112" t="s">
        <v>73</v>
      </c>
      <c r="AQ12" s="51" t="s">
        <v>74</v>
      </c>
      <c r="AR12" s="51" t="s">
        <v>72</v>
      </c>
      <c r="AS12" s="51" t="s">
        <v>75</v>
      </c>
      <c r="AT12" s="51" t="s">
        <v>123</v>
      </c>
      <c r="AU12" s="51" t="s">
        <v>119</v>
      </c>
      <c r="AV12" s="51" t="s">
        <v>124</v>
      </c>
      <c r="AW12" s="65"/>
      <c r="AY12"/>
      <c r="BJ12" t="s">
        <v>255</v>
      </c>
      <c r="BK12" t="s">
        <v>256</v>
      </c>
      <c r="BL12" t="s">
        <v>257</v>
      </c>
      <c r="BM12" t="s">
        <v>258</v>
      </c>
      <c r="BN12">
        <v>38.9</v>
      </c>
      <c r="BO12" t="s">
        <v>49</v>
      </c>
      <c r="CB12" s="112" t="s">
        <v>73</v>
      </c>
      <c r="CC12" s="51" t="s">
        <v>74</v>
      </c>
      <c r="CD12" s="51" t="s">
        <v>72</v>
      </c>
      <c r="CE12" s="51" t="s">
        <v>75</v>
      </c>
      <c r="CF12" s="51" t="s">
        <v>123</v>
      </c>
      <c r="CG12" s="51" t="s">
        <v>119</v>
      </c>
      <c r="CH12" s="51" t="s">
        <v>124</v>
      </c>
      <c r="CI12" s="65"/>
      <c r="CK12"/>
      <c r="CV12" t="s">
        <v>291</v>
      </c>
      <c r="CW12" t="s">
        <v>240</v>
      </c>
      <c r="CX12" t="s">
        <v>76</v>
      </c>
      <c r="CY12" t="s">
        <v>292</v>
      </c>
      <c r="CZ12">
        <v>43.5</v>
      </c>
      <c r="DA12" t="s">
        <v>49</v>
      </c>
      <c r="DX12" s="51" t="s">
        <v>288</v>
      </c>
      <c r="DY12" s="51">
        <v>10</v>
      </c>
      <c r="DZ12">
        <v>200</v>
      </c>
      <c r="EA12">
        <v>300000</v>
      </c>
      <c r="EB12" s="51">
        <v>20000000</v>
      </c>
      <c r="EC12" s="51">
        <v>20000000</v>
      </c>
      <c r="ED12" s="51">
        <v>2</v>
      </c>
      <c r="EE12">
        <v>3</v>
      </c>
      <c r="EF12" t="s">
        <v>289</v>
      </c>
    </row>
    <row r="13" spans="5:136" ht="18" customHeight="1" x14ac:dyDescent="0.3">
      <c r="E13" s="167" t="s">
        <v>261</v>
      </c>
      <c r="F13" s="168" t="s">
        <v>256</v>
      </c>
      <c r="G13" s="168" t="s">
        <v>257</v>
      </c>
      <c r="H13" s="168" t="s">
        <v>262</v>
      </c>
      <c r="I13" s="168">
        <v>38.9</v>
      </c>
      <c r="J13" s="168" t="s">
        <v>49</v>
      </c>
      <c r="K13" s="168"/>
      <c r="L13" s="65"/>
      <c r="N13"/>
      <c r="Y13" s="86"/>
      <c r="Z13" s="86"/>
      <c r="AA13" s="86"/>
      <c r="AB13" s="86"/>
      <c r="AC13" s="86"/>
      <c r="AD13" s="86"/>
      <c r="AP13" s="167" t="s">
        <v>255</v>
      </c>
      <c r="AQ13" s="168" t="s">
        <v>256</v>
      </c>
      <c r="AR13" s="168" t="s">
        <v>257</v>
      </c>
      <c r="AS13" s="168" t="s">
        <v>258</v>
      </c>
      <c r="AT13" s="168">
        <v>38.9</v>
      </c>
      <c r="AU13" s="168" t="s">
        <v>49</v>
      </c>
      <c r="AV13" s="168"/>
      <c r="AW13" s="65"/>
      <c r="AY13"/>
      <c r="BJ13" s="86"/>
      <c r="BK13" s="86"/>
      <c r="BL13" s="86"/>
      <c r="BM13" s="86"/>
      <c r="BN13" s="86"/>
      <c r="BO13" s="86"/>
      <c r="CB13" s="112" t="s">
        <v>291</v>
      </c>
      <c r="CC13" s="51" t="s">
        <v>240</v>
      </c>
      <c r="CD13" s="51" t="s">
        <v>76</v>
      </c>
      <c r="CE13" s="51" t="s">
        <v>292</v>
      </c>
      <c r="CF13" s="51">
        <v>43.5</v>
      </c>
      <c r="CG13" s="51" t="s">
        <v>49</v>
      </c>
      <c r="CH13" s="51"/>
      <c r="CI13" s="65"/>
      <c r="CK13"/>
      <c r="CV13" s="86"/>
      <c r="CW13" s="86"/>
      <c r="CX13" s="86"/>
      <c r="CY13" s="86"/>
      <c r="CZ13" s="86"/>
      <c r="DA13" s="86"/>
      <c r="DN13" s="65" t="s">
        <v>73</v>
      </c>
      <c r="DO13" t="s">
        <v>128</v>
      </c>
      <c r="DP13" t="s">
        <v>129</v>
      </c>
      <c r="DQ13" t="s">
        <v>206</v>
      </c>
      <c r="DR13" t="s">
        <v>215</v>
      </c>
      <c r="DS13" t="s">
        <v>216</v>
      </c>
      <c r="DT13" t="s">
        <v>223</v>
      </c>
      <c r="DU13" t="s">
        <v>224</v>
      </c>
      <c r="DV13" t="s">
        <v>19</v>
      </c>
      <c r="DX13" s="51" t="s">
        <v>133</v>
      </c>
      <c r="DY13" s="51">
        <v>3.6</v>
      </c>
      <c r="DZ13">
        <v>120</v>
      </c>
      <c r="EA13">
        <v>237804</v>
      </c>
      <c r="EB13" s="51">
        <v>20595330</v>
      </c>
      <c r="EC13" s="51">
        <v>20595330</v>
      </c>
      <c r="ED13" s="51">
        <v>2.2000000000000002</v>
      </c>
      <c r="EE13">
        <v>2.2000000000000002</v>
      </c>
      <c r="EF13" t="s">
        <v>144</v>
      </c>
    </row>
    <row r="14" spans="5:136" ht="18" customHeight="1" x14ac:dyDescent="0.3">
      <c r="E14" s="65"/>
      <c r="F14"/>
      <c r="G14"/>
      <c r="H14"/>
      <c r="I14"/>
      <c r="J14"/>
      <c r="K14"/>
      <c r="L14" s="65"/>
      <c r="N14"/>
      <c r="AP14" s="65"/>
      <c r="AQ14"/>
      <c r="AR14"/>
      <c r="AS14"/>
      <c r="AT14"/>
      <c r="AU14"/>
      <c r="AV14"/>
      <c r="AW14" s="65"/>
      <c r="AY14"/>
      <c r="CB14" s="65"/>
      <c r="CC14"/>
      <c r="CD14"/>
      <c r="CE14"/>
      <c r="CF14"/>
      <c r="CG14"/>
      <c r="CH14"/>
      <c r="CI14" s="65"/>
      <c r="CK14"/>
      <c r="DN14" s="144" t="s">
        <v>288</v>
      </c>
      <c r="DO14" s="53">
        <v>10</v>
      </c>
      <c r="DP14" s="53">
        <v>200</v>
      </c>
      <c r="DQ14" s="53">
        <v>300000</v>
      </c>
      <c r="DR14" s="53">
        <v>20000000</v>
      </c>
      <c r="DS14" s="53">
        <v>20000000</v>
      </c>
      <c r="DT14" s="53">
        <v>2</v>
      </c>
      <c r="DU14" s="53">
        <v>3</v>
      </c>
      <c r="DV14" s="53" t="s">
        <v>289</v>
      </c>
      <c r="DX14" s="51" t="s">
        <v>134</v>
      </c>
      <c r="DY14" s="51">
        <v>5</v>
      </c>
      <c r="DZ14">
        <v>122</v>
      </c>
      <c r="EA14">
        <v>427397</v>
      </c>
      <c r="EB14" s="51">
        <v>37230240</v>
      </c>
      <c r="EC14" s="51">
        <v>37230240</v>
      </c>
      <c r="ED14" s="51">
        <v>3.2</v>
      </c>
      <c r="EE14">
        <v>3.2</v>
      </c>
      <c r="EF14" t="s">
        <v>144</v>
      </c>
    </row>
    <row r="15" spans="5:136" ht="18" customHeight="1" x14ac:dyDescent="0.3">
      <c r="K15"/>
      <c r="L15" s="65"/>
      <c r="N15"/>
      <c r="Y15" s="67" t="s">
        <v>70</v>
      </c>
      <c r="AV15"/>
      <c r="AW15" s="65"/>
      <c r="AY15"/>
      <c r="BJ15" s="67" t="s">
        <v>70</v>
      </c>
      <c r="CH15"/>
      <c r="CI15" s="65"/>
      <c r="CK15"/>
      <c r="CV15" s="67" t="s">
        <v>70</v>
      </c>
      <c r="DN15" s="144" t="s">
        <v>133</v>
      </c>
      <c r="DO15" s="53">
        <v>3.6</v>
      </c>
      <c r="DP15" s="53">
        <v>120</v>
      </c>
      <c r="DQ15" s="53">
        <v>237804</v>
      </c>
      <c r="DR15" s="53">
        <v>20595330</v>
      </c>
      <c r="DS15" s="53">
        <v>20595330</v>
      </c>
      <c r="DT15" s="53">
        <v>2.2000000000000002</v>
      </c>
      <c r="DU15" s="53">
        <v>2.2000000000000002</v>
      </c>
      <c r="DV15" s="53" t="s">
        <v>144</v>
      </c>
      <c r="DX15" s="51" t="s">
        <v>135</v>
      </c>
      <c r="DY15" s="51">
        <v>4</v>
      </c>
      <c r="DZ15">
        <v>130</v>
      </c>
      <c r="EA15">
        <v>239664</v>
      </c>
      <c r="EB15" s="51">
        <v>23265890</v>
      </c>
      <c r="EC15" s="51">
        <v>23265890</v>
      </c>
      <c r="ED15" s="51">
        <v>2.2000000000000002</v>
      </c>
      <c r="EE15">
        <v>2.2000000000000002</v>
      </c>
      <c r="EF15" t="s">
        <v>144</v>
      </c>
    </row>
    <row r="16" spans="5:136" ht="18" customHeight="1" x14ac:dyDescent="0.4">
      <c r="E16" s="131" t="s">
        <v>271</v>
      </c>
      <c r="F16"/>
      <c r="G16"/>
      <c r="H16"/>
      <c r="I16"/>
      <c r="J16"/>
      <c r="K16"/>
      <c r="L16" s="65"/>
      <c r="N16"/>
      <c r="AP16" s="131" t="s">
        <v>271</v>
      </c>
      <c r="AQ16"/>
      <c r="AR16"/>
      <c r="AS16"/>
      <c r="AT16"/>
      <c r="AU16"/>
      <c r="AV16"/>
      <c r="AW16" s="65"/>
      <c r="AY16"/>
      <c r="CB16" s="131" t="s">
        <v>271</v>
      </c>
      <c r="CC16"/>
      <c r="CD16"/>
      <c r="CE16"/>
      <c r="CF16"/>
      <c r="CG16"/>
      <c r="CH16"/>
      <c r="CI16" s="65"/>
      <c r="CK16"/>
      <c r="DN16" s="144" t="s">
        <v>134</v>
      </c>
      <c r="DO16" s="53">
        <v>5</v>
      </c>
      <c r="DP16" s="53">
        <v>122</v>
      </c>
      <c r="DQ16" s="53">
        <v>427397</v>
      </c>
      <c r="DR16" s="53">
        <v>37230240</v>
      </c>
      <c r="DS16" s="53">
        <v>37230240</v>
      </c>
      <c r="DT16" s="53">
        <v>3.2</v>
      </c>
      <c r="DU16" s="53">
        <v>3.2</v>
      </c>
      <c r="DV16" s="53" t="s">
        <v>144</v>
      </c>
      <c r="DX16" s="51" t="s">
        <v>136</v>
      </c>
      <c r="DY16" s="51">
        <v>6</v>
      </c>
      <c r="DZ16">
        <v>142</v>
      </c>
      <c r="EA16">
        <v>312142</v>
      </c>
      <c r="EB16" s="51">
        <v>59416040</v>
      </c>
      <c r="EC16" s="51">
        <v>59416040</v>
      </c>
      <c r="ED16" s="51">
        <v>2.85</v>
      </c>
      <c r="EE16">
        <v>2.85</v>
      </c>
      <c r="EF16" t="s">
        <v>144</v>
      </c>
    </row>
    <row r="17" spans="1:136" ht="18" customHeight="1" thickBot="1" x14ac:dyDescent="0.35">
      <c r="E17" s="112" t="s">
        <v>73</v>
      </c>
      <c r="F17" s="51" t="s">
        <v>74</v>
      </c>
      <c r="G17" s="51" t="s">
        <v>72</v>
      </c>
      <c r="H17" s="51" t="s">
        <v>75</v>
      </c>
      <c r="I17" s="51" t="s">
        <v>123</v>
      </c>
      <c r="J17" s="51" t="s">
        <v>119</v>
      </c>
      <c r="K17" s="51" t="s">
        <v>124</v>
      </c>
      <c r="L17" s="65"/>
      <c r="N17"/>
      <c r="Y17" t="s">
        <v>1</v>
      </c>
      <c r="Z17" t="s">
        <v>95</v>
      </c>
      <c r="AA17" t="s">
        <v>94</v>
      </c>
      <c r="AB17" t="s">
        <v>78</v>
      </c>
      <c r="AC17" t="s">
        <v>79</v>
      </c>
      <c r="AD17" t="s">
        <v>80</v>
      </c>
      <c r="AF17" s="87" t="s">
        <v>249</v>
      </c>
      <c r="AG17" t="s">
        <v>95</v>
      </c>
      <c r="AH17" t="s">
        <v>94</v>
      </c>
      <c r="AI17" t="s">
        <v>87</v>
      </c>
      <c r="AJ17" t="s">
        <v>227</v>
      </c>
      <c r="AK17" t="s">
        <v>228</v>
      </c>
      <c r="AL17" t="s">
        <v>229</v>
      </c>
      <c r="AM17" t="s">
        <v>231</v>
      </c>
      <c r="AN17" t="s">
        <v>230</v>
      </c>
      <c r="AP17" s="112" t="s">
        <v>73</v>
      </c>
      <c r="AQ17" s="51" t="s">
        <v>74</v>
      </c>
      <c r="AR17" s="51" t="s">
        <v>72</v>
      </c>
      <c r="AS17" s="51" t="s">
        <v>75</v>
      </c>
      <c r="AT17" s="51" t="s">
        <v>123</v>
      </c>
      <c r="AU17" s="51" t="s">
        <v>119</v>
      </c>
      <c r="AV17" s="51" t="s">
        <v>124</v>
      </c>
      <c r="AW17" s="65"/>
      <c r="AY17"/>
      <c r="BJ17" t="s">
        <v>1</v>
      </c>
      <c r="BK17" t="s">
        <v>95</v>
      </c>
      <c r="BL17" t="s">
        <v>94</v>
      </c>
      <c r="BM17" t="s">
        <v>78</v>
      </c>
      <c r="BN17" t="s">
        <v>79</v>
      </c>
      <c r="BO17" t="s">
        <v>80</v>
      </c>
      <c r="BQ17" s="87" t="s">
        <v>249</v>
      </c>
      <c r="BR17" t="s">
        <v>95</v>
      </c>
      <c r="BS17" t="s">
        <v>94</v>
      </c>
      <c r="BT17" t="s">
        <v>87</v>
      </c>
      <c r="BU17" t="s">
        <v>227</v>
      </c>
      <c r="BV17" t="s">
        <v>228</v>
      </c>
      <c r="BW17" t="s">
        <v>229</v>
      </c>
      <c r="BX17" t="s">
        <v>231</v>
      </c>
      <c r="BY17" t="s">
        <v>230</v>
      </c>
      <c r="CB17" s="112" t="s">
        <v>73</v>
      </c>
      <c r="CC17" s="51" t="s">
        <v>74</v>
      </c>
      <c r="CD17" s="51" t="s">
        <v>72</v>
      </c>
      <c r="CE17" s="51" t="s">
        <v>75</v>
      </c>
      <c r="CF17" s="51" t="s">
        <v>123</v>
      </c>
      <c r="CG17" s="51" t="s">
        <v>119</v>
      </c>
      <c r="CH17" s="51" t="s">
        <v>124</v>
      </c>
      <c r="CI17" s="65"/>
      <c r="CK17"/>
      <c r="CV17" t="s">
        <v>1</v>
      </c>
      <c r="CW17" t="s">
        <v>95</v>
      </c>
      <c r="CX17" t="s">
        <v>94</v>
      </c>
      <c r="CY17" t="s">
        <v>78</v>
      </c>
      <c r="CZ17" t="s">
        <v>79</v>
      </c>
      <c r="DA17" t="s">
        <v>80</v>
      </c>
      <c r="DC17" s="87" t="s">
        <v>249</v>
      </c>
      <c r="DD17" t="s">
        <v>95</v>
      </c>
      <c r="DE17" t="s">
        <v>94</v>
      </c>
      <c r="DF17" t="s">
        <v>87</v>
      </c>
      <c r="DG17" t="s">
        <v>227</v>
      </c>
      <c r="DH17" t="s">
        <v>228</v>
      </c>
      <c r="DI17" t="s">
        <v>229</v>
      </c>
      <c r="DJ17" t="s">
        <v>231</v>
      </c>
      <c r="DK17" t="s">
        <v>230</v>
      </c>
      <c r="DN17" s="144" t="s">
        <v>135</v>
      </c>
      <c r="DO17" s="53">
        <v>4</v>
      </c>
      <c r="DP17" s="53">
        <v>130</v>
      </c>
      <c r="DQ17" s="53">
        <v>239664</v>
      </c>
      <c r="DR17" s="53">
        <v>23265890</v>
      </c>
      <c r="DS17" s="53">
        <v>23265890</v>
      </c>
      <c r="DT17" s="53">
        <v>2.2000000000000002</v>
      </c>
      <c r="DU17" s="53">
        <v>2.2000000000000002</v>
      </c>
      <c r="DV17" s="53" t="s">
        <v>144</v>
      </c>
      <c r="DX17" s="51" t="s">
        <v>137</v>
      </c>
      <c r="DY17" s="51">
        <v>8</v>
      </c>
      <c r="DZ17">
        <v>164</v>
      </c>
      <c r="EA17">
        <v>450972</v>
      </c>
      <c r="EB17" s="51">
        <v>72350120</v>
      </c>
      <c r="EC17" s="51">
        <v>72350120</v>
      </c>
      <c r="ED17" s="51">
        <v>2.29</v>
      </c>
      <c r="EE17">
        <v>2.29</v>
      </c>
      <c r="EF17" t="s">
        <v>144</v>
      </c>
    </row>
    <row r="18" spans="1:136" ht="18" customHeight="1" x14ac:dyDescent="0.3">
      <c r="A18" s="113"/>
      <c r="B18" s="114"/>
      <c r="C18" s="113"/>
      <c r="D18" s="114"/>
      <c r="E18" s="115"/>
      <c r="F18" s="86"/>
      <c r="G18" s="86"/>
      <c r="H18" s="86"/>
      <c r="I18" s="86"/>
      <c r="J18" s="86"/>
      <c r="K18" s="86"/>
      <c r="L18" s="65"/>
      <c r="N18"/>
      <c r="Y18">
        <v>1</v>
      </c>
      <c r="Z18">
        <v>5.5</v>
      </c>
      <c r="AA18">
        <v>1.7</v>
      </c>
      <c r="AB18">
        <v>8</v>
      </c>
      <c r="AC18">
        <v>8</v>
      </c>
      <c r="AD18">
        <v>115</v>
      </c>
      <c r="AF18" t="s">
        <v>89</v>
      </c>
      <c r="AG18">
        <v>4.3</v>
      </c>
      <c r="AH18">
        <v>4.3</v>
      </c>
      <c r="AI18">
        <v>14000</v>
      </c>
      <c r="AP18" s="115"/>
      <c r="AQ18" s="86"/>
      <c r="AR18" s="86"/>
      <c r="AS18" s="86"/>
      <c r="AT18" s="86"/>
      <c r="AU18" s="86"/>
      <c r="AV18" s="86"/>
      <c r="AW18" s="65"/>
      <c r="AY18"/>
      <c r="BJ18">
        <v>1</v>
      </c>
      <c r="BK18">
        <v>20.3</v>
      </c>
      <c r="BL18">
        <v>16.3</v>
      </c>
      <c r="BM18">
        <v>8</v>
      </c>
      <c r="BN18">
        <v>8</v>
      </c>
      <c r="BO18">
        <v>100</v>
      </c>
      <c r="BQ18" t="s">
        <v>280</v>
      </c>
      <c r="BR18">
        <v>20.2</v>
      </c>
      <c r="BS18">
        <v>20.2</v>
      </c>
      <c r="BT18">
        <v>30000</v>
      </c>
      <c r="CB18" s="115"/>
      <c r="CC18" s="86"/>
      <c r="CD18" s="86"/>
      <c r="CE18" s="86"/>
      <c r="CF18" s="86"/>
      <c r="CG18" s="86"/>
      <c r="CH18" s="86"/>
      <c r="CI18" s="65"/>
      <c r="CK18"/>
      <c r="CV18">
        <v>1</v>
      </c>
      <c r="CW18">
        <v>140.49999999999997</v>
      </c>
      <c r="CX18">
        <v>140.32499999999996</v>
      </c>
      <c r="CY18">
        <v>5.6159999999999997</v>
      </c>
      <c r="CZ18">
        <v>5.6159999999999997</v>
      </c>
      <c r="DA18">
        <v>42</v>
      </c>
      <c r="DC18" t="s">
        <v>278</v>
      </c>
      <c r="DD18">
        <v>140.49999999999997</v>
      </c>
      <c r="DE18">
        <v>140.49999999999997</v>
      </c>
      <c r="DF18">
        <v>6154</v>
      </c>
      <c r="DN18" s="144" t="s">
        <v>136</v>
      </c>
      <c r="DO18" s="53">
        <v>6</v>
      </c>
      <c r="DP18" s="53">
        <v>142</v>
      </c>
      <c r="DQ18" s="53">
        <v>312142</v>
      </c>
      <c r="DR18" s="53">
        <v>59416040</v>
      </c>
      <c r="DS18" s="53">
        <v>59416040</v>
      </c>
      <c r="DT18" s="53">
        <v>2.85</v>
      </c>
      <c r="DU18" s="53">
        <v>2.85</v>
      </c>
      <c r="DV18" s="53" t="s">
        <v>144</v>
      </c>
      <c r="DX18" t="s">
        <v>138</v>
      </c>
      <c r="DY18">
        <v>9.5</v>
      </c>
      <c r="DZ18">
        <v>174</v>
      </c>
      <c r="EA18">
        <v>484588</v>
      </c>
      <c r="EB18">
        <v>83636270</v>
      </c>
      <c r="EC18">
        <v>83636270</v>
      </c>
      <c r="ED18">
        <v>3.5</v>
      </c>
      <c r="EE18">
        <v>3.5</v>
      </c>
      <c r="EF18" t="s">
        <v>144</v>
      </c>
    </row>
    <row r="19" spans="1:136" ht="18" customHeight="1" x14ac:dyDescent="0.3">
      <c r="C19" s="97"/>
      <c r="K19"/>
      <c r="L19" s="65"/>
      <c r="N19"/>
      <c r="Y19">
        <v>2</v>
      </c>
      <c r="Z19">
        <v>1.7</v>
      </c>
      <c r="AA19">
        <v>-1.8</v>
      </c>
      <c r="AB19">
        <v>8</v>
      </c>
      <c r="AC19">
        <v>8</v>
      </c>
      <c r="AD19">
        <v>114</v>
      </c>
      <c r="AF19" t="s">
        <v>90</v>
      </c>
      <c r="AG19">
        <v>0.55000000000000004</v>
      </c>
      <c r="AH19">
        <v>0.55000000000000004</v>
      </c>
      <c r="AI19">
        <v>105000</v>
      </c>
      <c r="AV19"/>
      <c r="AW19" s="65"/>
      <c r="AY19"/>
      <c r="BJ19">
        <v>2</v>
      </c>
      <c r="BK19">
        <v>16.3</v>
      </c>
      <c r="BL19">
        <v>12.9</v>
      </c>
      <c r="BM19">
        <v>8</v>
      </c>
      <c r="BN19">
        <v>8</v>
      </c>
      <c r="BO19">
        <v>105</v>
      </c>
      <c r="BQ19" t="s">
        <v>281</v>
      </c>
      <c r="BR19">
        <v>19.7</v>
      </c>
      <c r="BS19">
        <v>19.7</v>
      </c>
      <c r="BT19">
        <v>26000</v>
      </c>
      <c r="CH19"/>
      <c r="CI19" s="65"/>
      <c r="CK19"/>
      <c r="CV19" s="86">
        <v>2</v>
      </c>
      <c r="CW19" s="88">
        <v>140.32499999999996</v>
      </c>
      <c r="CX19" s="88">
        <v>140.27499999999998</v>
      </c>
      <c r="CY19" s="86">
        <v>5.6159999999999997</v>
      </c>
      <c r="CZ19" s="86">
        <v>5.609</v>
      </c>
      <c r="DA19" s="86">
        <v>42</v>
      </c>
      <c r="DC19" t="s">
        <v>278</v>
      </c>
      <c r="DD19">
        <v>140.32499999999996</v>
      </c>
      <c r="DE19">
        <v>140.32499999999996</v>
      </c>
      <c r="DF19">
        <v>5</v>
      </c>
      <c r="DN19" s="144" t="s">
        <v>137</v>
      </c>
      <c r="DO19" s="53">
        <v>8</v>
      </c>
      <c r="DP19" s="53">
        <v>164</v>
      </c>
      <c r="DQ19" s="53">
        <v>450972</v>
      </c>
      <c r="DR19" s="53">
        <v>72350120</v>
      </c>
      <c r="DS19" s="53">
        <v>72350120</v>
      </c>
      <c r="DT19" s="53">
        <v>2.29</v>
      </c>
      <c r="DU19" s="53">
        <v>2.29</v>
      </c>
      <c r="DV19" s="53" t="s">
        <v>144</v>
      </c>
      <c r="DX19" t="s">
        <v>139</v>
      </c>
      <c r="DY19">
        <v>10</v>
      </c>
      <c r="DZ19">
        <v>180</v>
      </c>
      <c r="EA19">
        <v>673916</v>
      </c>
      <c r="EB19">
        <v>102240300</v>
      </c>
      <c r="EC19">
        <v>102240300</v>
      </c>
      <c r="ED19">
        <v>3.5</v>
      </c>
      <c r="EE19">
        <v>3.5</v>
      </c>
      <c r="EF19" t="s">
        <v>144</v>
      </c>
    </row>
    <row r="20" spans="1:136" ht="18" customHeight="1" x14ac:dyDescent="0.3">
      <c r="C20" s="97"/>
      <c r="K20"/>
      <c r="L20" s="65"/>
      <c r="N20"/>
      <c r="Y20">
        <v>3</v>
      </c>
      <c r="Z20">
        <v>-1.8</v>
      </c>
      <c r="AA20">
        <v>-5.3</v>
      </c>
      <c r="AB20">
        <v>8</v>
      </c>
      <c r="AC20">
        <v>8</v>
      </c>
      <c r="AD20">
        <v>116</v>
      </c>
      <c r="AF20" s="176"/>
      <c r="AG20" s="176"/>
      <c r="AH20" s="176"/>
      <c r="AI20" s="176"/>
      <c r="AJ20" s="178"/>
      <c r="AK20" s="178"/>
      <c r="AL20" s="178"/>
      <c r="AM20" s="178"/>
      <c r="AN20" s="178"/>
      <c r="AV20"/>
      <c r="AW20" s="65"/>
      <c r="AY20"/>
      <c r="BJ20">
        <v>3</v>
      </c>
      <c r="BK20">
        <v>12.9</v>
      </c>
      <c r="BL20">
        <v>9.5</v>
      </c>
      <c r="BM20">
        <v>8</v>
      </c>
      <c r="BN20">
        <v>8</v>
      </c>
      <c r="BO20">
        <v>110</v>
      </c>
      <c r="BQ20" s="86" t="s">
        <v>282</v>
      </c>
      <c r="BR20" s="86">
        <v>18.899999999999999</v>
      </c>
      <c r="BS20" s="86">
        <v>18.899999999999999</v>
      </c>
      <c r="BT20" s="86">
        <v>5000</v>
      </c>
      <c r="CH20"/>
      <c r="CI20" s="65"/>
      <c r="CK20"/>
      <c r="CV20" s="86">
        <v>3</v>
      </c>
      <c r="CW20" s="88">
        <v>140.27499999999998</v>
      </c>
      <c r="CX20" s="88">
        <v>138.62499999999997</v>
      </c>
      <c r="CY20" s="86">
        <v>5.609</v>
      </c>
      <c r="CZ20" s="86">
        <v>5.9039999999999999</v>
      </c>
      <c r="DA20" s="86">
        <v>35</v>
      </c>
      <c r="DC20" s="86" t="s">
        <v>278</v>
      </c>
      <c r="DD20" s="86">
        <v>140.27499999999998</v>
      </c>
      <c r="DE20" s="86">
        <v>140.27499999999998</v>
      </c>
      <c r="DF20" s="86">
        <v>2</v>
      </c>
      <c r="DN20" s="112" t="s">
        <v>138</v>
      </c>
      <c r="DO20" s="51">
        <v>9.5</v>
      </c>
      <c r="DP20" s="51">
        <v>174</v>
      </c>
      <c r="DQ20" s="51">
        <v>484588</v>
      </c>
      <c r="DR20" s="51">
        <v>83636270</v>
      </c>
      <c r="DS20" s="51">
        <v>83636270</v>
      </c>
      <c r="DT20" s="51">
        <v>3.5</v>
      </c>
      <c r="DU20" s="51">
        <v>3.5</v>
      </c>
      <c r="DV20" s="51" t="s">
        <v>144</v>
      </c>
      <c r="DX20" t="s">
        <v>116</v>
      </c>
      <c r="DY20">
        <v>13</v>
      </c>
      <c r="DZ20">
        <v>210</v>
      </c>
      <c r="EA20">
        <v>777534</v>
      </c>
      <c r="EB20">
        <v>197394400</v>
      </c>
      <c r="EC20">
        <v>197394400</v>
      </c>
      <c r="ED20">
        <v>3.4</v>
      </c>
      <c r="EE20">
        <v>3.4</v>
      </c>
      <c r="EF20" t="s">
        <v>144</v>
      </c>
    </row>
    <row r="21" spans="1:136" ht="18" customHeight="1" thickBot="1" x14ac:dyDescent="0.45">
      <c r="A21" s="128"/>
      <c r="B21" s="129"/>
      <c r="C21" s="128"/>
      <c r="D21" s="129"/>
      <c r="E21" s="131" t="s">
        <v>272</v>
      </c>
      <c r="F21"/>
      <c r="G21"/>
      <c r="H21" s="102"/>
      <c r="I21"/>
      <c r="J21"/>
      <c r="K21"/>
      <c r="L21" s="65"/>
      <c r="N21"/>
      <c r="Y21">
        <v>4</v>
      </c>
      <c r="Z21">
        <v>-5.3</v>
      </c>
      <c r="AA21">
        <v>-8.8000000000000007</v>
      </c>
      <c r="AB21">
        <v>8</v>
      </c>
      <c r="AC21">
        <v>8.36</v>
      </c>
      <c r="AD21">
        <v>118</v>
      </c>
      <c r="AP21" s="131" t="s">
        <v>272</v>
      </c>
      <c r="AQ21"/>
      <c r="AR21"/>
      <c r="AS21" s="102"/>
      <c r="AT21"/>
      <c r="AU21"/>
      <c r="AV21"/>
      <c r="AW21" s="65"/>
      <c r="AY21"/>
      <c r="BJ21">
        <v>4</v>
      </c>
      <c r="BK21">
        <v>9.5</v>
      </c>
      <c r="BL21">
        <v>5.5</v>
      </c>
      <c r="BM21">
        <v>8</v>
      </c>
      <c r="BN21">
        <v>8</v>
      </c>
      <c r="BO21">
        <v>115</v>
      </c>
      <c r="BQ21" s="86" t="s">
        <v>283</v>
      </c>
      <c r="BR21" s="86">
        <v>14</v>
      </c>
      <c r="BS21" s="86">
        <v>14</v>
      </c>
      <c r="BT21" s="86">
        <v>31000</v>
      </c>
      <c r="CB21" s="131" t="s">
        <v>272</v>
      </c>
      <c r="CC21"/>
      <c r="CD21"/>
      <c r="CE21" s="102"/>
      <c r="CF21"/>
      <c r="CG21"/>
      <c r="CH21"/>
      <c r="CI21" s="65"/>
      <c r="CK21"/>
      <c r="CV21" s="86">
        <v>4</v>
      </c>
      <c r="CW21" s="88">
        <v>138.62499999999997</v>
      </c>
      <c r="CX21" s="88">
        <v>136.97499999999997</v>
      </c>
      <c r="CY21" s="86">
        <v>5.9039999999999999</v>
      </c>
      <c r="CZ21" s="86">
        <v>6.258</v>
      </c>
      <c r="DA21" s="86">
        <v>40</v>
      </c>
      <c r="DC21" s="86" t="s">
        <v>278</v>
      </c>
      <c r="DD21" s="86">
        <v>138.23499999999999</v>
      </c>
      <c r="DE21" s="86">
        <v>138.23499999999999</v>
      </c>
      <c r="DF21" s="86">
        <v>1981</v>
      </c>
      <c r="DN21" s="112" t="s">
        <v>139</v>
      </c>
      <c r="DO21" s="51">
        <v>10</v>
      </c>
      <c r="DP21" s="51">
        <v>180</v>
      </c>
      <c r="DQ21" s="51">
        <v>673916</v>
      </c>
      <c r="DR21" s="51">
        <v>102240300</v>
      </c>
      <c r="DS21" s="51">
        <v>102240300</v>
      </c>
      <c r="DT21" s="51">
        <v>3.5</v>
      </c>
      <c r="DU21" s="51">
        <v>3.5</v>
      </c>
      <c r="DV21" s="51" t="s">
        <v>144</v>
      </c>
      <c r="DX21" t="s">
        <v>140</v>
      </c>
      <c r="DY21">
        <v>12</v>
      </c>
      <c r="DZ21">
        <v>220</v>
      </c>
      <c r="EA21">
        <v>775567</v>
      </c>
      <c r="EB21">
        <v>198819700</v>
      </c>
      <c r="EC21">
        <v>198819700</v>
      </c>
      <c r="ED21">
        <v>3.4</v>
      </c>
      <c r="EE21">
        <v>3.4</v>
      </c>
      <c r="EF21" t="s">
        <v>144</v>
      </c>
    </row>
    <row r="22" spans="1:136" ht="18" customHeight="1" x14ac:dyDescent="0.3">
      <c r="A22" s="130" t="b">
        <v>1</v>
      </c>
      <c r="B22" s="130" t="b">
        <v>0</v>
      </c>
      <c r="C22" s="130" t="b">
        <v>1</v>
      </c>
      <c r="D22" s="130" t="b">
        <v>1</v>
      </c>
      <c r="E22" s="89"/>
      <c r="F22" s="138" t="s">
        <v>266</v>
      </c>
      <c r="G22"/>
      <c r="H22"/>
      <c r="I22"/>
      <c r="J22"/>
      <c r="K22"/>
      <c r="L22" s="65"/>
      <c r="N22"/>
      <c r="O22" t="str">
        <f>IFERROR((MP_DATA[[#This Row],[D, bottom '[m']]]+#REF!)/(2*#REF!/1000),"")</f>
        <v/>
      </c>
      <c r="Y22">
        <v>5</v>
      </c>
      <c r="Z22">
        <v>-8.8000000000000007</v>
      </c>
      <c r="AA22">
        <v>-12.3</v>
      </c>
      <c r="AB22">
        <v>8.36</v>
      </c>
      <c r="AC22">
        <v>8.7200000000000006</v>
      </c>
      <c r="AD22">
        <v>108</v>
      </c>
      <c r="AP22" s="89"/>
      <c r="AQ22" s="138" t="s">
        <v>266</v>
      </c>
      <c r="AR22"/>
      <c r="AS22"/>
      <c r="AT22"/>
      <c r="AU22"/>
      <c r="AV22"/>
      <c r="AW22" s="65"/>
      <c r="AY22"/>
      <c r="AZ22" t="str">
        <f>IFERROR((TP_DATA[[#This Row],[D, bottom '[m']]]+#REF!)/(2*#REF!/1000),"")</f>
        <v/>
      </c>
      <c r="BJ22" s="176"/>
      <c r="BK22" s="177"/>
      <c r="BL22" s="177"/>
      <c r="BM22" s="176"/>
      <c r="BN22" s="176"/>
      <c r="BO22" s="176"/>
      <c r="BQ22" s="86" t="s">
        <v>284</v>
      </c>
      <c r="BR22" s="86">
        <v>5.5</v>
      </c>
      <c r="BS22" s="86">
        <v>5.5</v>
      </c>
      <c r="BT22" s="86">
        <v>70000</v>
      </c>
      <c r="CB22" s="89"/>
      <c r="CC22" s="138" t="s">
        <v>266</v>
      </c>
      <c r="CD22"/>
      <c r="CE22"/>
      <c r="CF22"/>
      <c r="CG22"/>
      <c r="CH22"/>
      <c r="CI22" s="65"/>
      <c r="CK22"/>
      <c r="CL22" t="str">
        <f>IFERROR((TOWER_DATA[[#This Row],[D, bottom '[m']]]+#REF!)/(2*#REF!/1000),"")</f>
        <v/>
      </c>
      <c r="CV22" s="86">
        <v>5</v>
      </c>
      <c r="CW22" s="88">
        <v>136.97499999999997</v>
      </c>
      <c r="CX22" s="88">
        <v>136.38899999999998</v>
      </c>
      <c r="CY22" s="86">
        <v>6.258</v>
      </c>
      <c r="CZ22" s="86">
        <v>6.258</v>
      </c>
      <c r="DA22" s="86">
        <v>58</v>
      </c>
      <c r="DC22" s="86" t="s">
        <v>278</v>
      </c>
      <c r="DD22" s="86">
        <v>136.58499999999998</v>
      </c>
      <c r="DE22" s="86">
        <v>136.58499999999998</v>
      </c>
      <c r="DF22" s="86">
        <v>82</v>
      </c>
      <c r="DN22" s="112" t="s">
        <v>116</v>
      </c>
      <c r="DO22" s="51">
        <v>13</v>
      </c>
      <c r="DP22" s="51">
        <v>210</v>
      </c>
      <c r="DQ22" s="51">
        <v>777534</v>
      </c>
      <c r="DR22" s="51">
        <v>197394400</v>
      </c>
      <c r="DS22" s="51">
        <v>197394400</v>
      </c>
      <c r="DT22" s="51">
        <v>3.4</v>
      </c>
      <c r="DU22" s="51">
        <v>3.4</v>
      </c>
      <c r="DV22" s="51" t="s">
        <v>144</v>
      </c>
      <c r="DX22" t="s">
        <v>141</v>
      </c>
      <c r="DY22">
        <v>15</v>
      </c>
      <c r="DZ22">
        <v>220</v>
      </c>
      <c r="EA22">
        <v>1166238</v>
      </c>
      <c r="EB22">
        <v>205031400</v>
      </c>
      <c r="EC22">
        <v>205031400</v>
      </c>
      <c r="ED22">
        <v>3.4</v>
      </c>
      <c r="EE22">
        <v>3.4</v>
      </c>
      <c r="EF22" t="s">
        <v>144</v>
      </c>
    </row>
    <row r="23" spans="1:136" ht="18" customHeight="1" thickBot="1" x14ac:dyDescent="0.35">
      <c r="B23" s="130"/>
      <c r="C23" s="130" t="b">
        <v>1</v>
      </c>
      <c r="D23" s="130"/>
      <c r="E23" s="92"/>
      <c r="F23" s="135"/>
      <c r="G23"/>
      <c r="H23"/>
      <c r="I23"/>
      <c r="J23"/>
      <c r="K23"/>
      <c r="L23" s="65"/>
      <c r="N23"/>
      <c r="O23" t="str">
        <f>IFERROR((MP_DATA[[#This Row],[D, bottom '[m']]]+#REF!)/(2*#REF!/1000),"")</f>
        <v/>
      </c>
      <c r="Y23">
        <v>6</v>
      </c>
      <c r="Z23">
        <v>-12.3</v>
      </c>
      <c r="AA23">
        <v>-15.8</v>
      </c>
      <c r="AB23">
        <v>8.7200000000000006</v>
      </c>
      <c r="AC23">
        <v>9.08</v>
      </c>
      <c r="AD23">
        <v>100</v>
      </c>
      <c r="AP23" s="92"/>
      <c r="AQ23" s="135"/>
      <c r="AR23"/>
      <c r="AS23"/>
      <c r="AT23"/>
      <c r="AU23"/>
      <c r="AV23"/>
      <c r="AW23" s="65"/>
      <c r="AY23"/>
      <c r="AZ23" t="str">
        <f>IFERROR((TP_DATA[[#This Row],[D, bottom '[m']]]+#REF!)/(2*#REF!/1000),"")</f>
        <v/>
      </c>
      <c r="BJ23" s="176"/>
      <c r="BK23" s="177"/>
      <c r="BL23" s="177"/>
      <c r="BM23" s="176"/>
      <c r="BN23" s="176"/>
      <c r="BO23" s="176"/>
      <c r="BQ23" s="86" t="s">
        <v>285</v>
      </c>
      <c r="BR23" s="86">
        <v>22.5</v>
      </c>
      <c r="BS23" s="86">
        <v>10.7</v>
      </c>
      <c r="BT23" s="86">
        <v>3000</v>
      </c>
      <c r="BU23">
        <v>0.19400000000000001</v>
      </c>
      <c r="BV23">
        <v>130.80000000000001</v>
      </c>
      <c r="BW23">
        <v>4.8</v>
      </c>
      <c r="BY23">
        <v>0</v>
      </c>
      <c r="CB23" s="92"/>
      <c r="CC23" s="135"/>
      <c r="CD23"/>
      <c r="CE23"/>
      <c r="CF23"/>
      <c r="CG23"/>
      <c r="CH23"/>
      <c r="CI23" s="65"/>
      <c r="CK23"/>
      <c r="CL23" t="str">
        <f>IFERROR((TOWER_DATA[[#This Row],[D, bottom '[m']]]+#REF!)/(2*#REF!/1000),"")</f>
        <v/>
      </c>
      <c r="CV23" s="86">
        <v>6</v>
      </c>
      <c r="CW23" s="88">
        <v>136.38899999999998</v>
      </c>
      <c r="CX23" s="88">
        <v>135.29999999999998</v>
      </c>
      <c r="CY23" s="86">
        <v>6.258</v>
      </c>
      <c r="CZ23" s="86">
        <v>6.258</v>
      </c>
      <c r="DA23" s="86">
        <v>58</v>
      </c>
      <c r="DC23" s="86" t="s">
        <v>278</v>
      </c>
      <c r="DD23" s="86">
        <v>135.999</v>
      </c>
      <c r="DE23" s="86">
        <v>135.999</v>
      </c>
      <c r="DF23" s="86">
        <v>88</v>
      </c>
      <c r="DN23" s="112" t="s">
        <v>140</v>
      </c>
      <c r="DO23" s="51">
        <v>12</v>
      </c>
      <c r="DP23" s="51">
        <v>220</v>
      </c>
      <c r="DQ23" s="51">
        <v>775567</v>
      </c>
      <c r="DR23" s="51">
        <v>198819700</v>
      </c>
      <c r="DS23" s="51">
        <v>198819700</v>
      </c>
      <c r="DT23" s="51">
        <v>3.4</v>
      </c>
      <c r="DU23" s="51">
        <v>3.4</v>
      </c>
      <c r="DV23" s="51" t="s">
        <v>144</v>
      </c>
      <c r="DX23" t="s">
        <v>142</v>
      </c>
      <c r="DZ23">
        <v>236</v>
      </c>
      <c r="EA23">
        <v>565481</v>
      </c>
      <c r="EB23">
        <v>241746700</v>
      </c>
      <c r="EC23">
        <v>241746700</v>
      </c>
      <c r="ED23">
        <v>3.5</v>
      </c>
      <c r="EE23">
        <v>3.5</v>
      </c>
      <c r="EF23" t="s">
        <v>144</v>
      </c>
    </row>
    <row r="24" spans="1:136" ht="18" customHeight="1" x14ac:dyDescent="0.3">
      <c r="K24"/>
      <c r="L24" s="65"/>
      <c r="N24"/>
      <c r="O24" t="str">
        <f>IFERROR((MP_DATA[[#This Row],[D, bottom '[m']]]+#REF!)/(2*#REF!/1000),"")</f>
        <v/>
      </c>
      <c r="Y24">
        <v>7</v>
      </c>
      <c r="Z24">
        <v>-15.8</v>
      </c>
      <c r="AA24">
        <v>-19.3</v>
      </c>
      <c r="AB24">
        <v>9.08</v>
      </c>
      <c r="AC24">
        <v>9.44</v>
      </c>
      <c r="AD24">
        <v>94</v>
      </c>
      <c r="AV24"/>
      <c r="AW24" s="65"/>
      <c r="AY24"/>
      <c r="AZ24" t="str">
        <f>IFERROR((TP_DATA[[#This Row],[D, bottom '[m']]]+#REF!)/(2*#REF!/1000),"")</f>
        <v/>
      </c>
      <c r="BJ24" s="176"/>
      <c r="BK24" s="177"/>
      <c r="BL24" s="177"/>
      <c r="BM24" s="176"/>
      <c r="BN24" s="176"/>
      <c r="BO24" s="176"/>
      <c r="BQ24" s="86" t="s">
        <v>285</v>
      </c>
      <c r="BR24" s="86">
        <v>22.5</v>
      </c>
      <c r="BS24" s="86">
        <v>10.7</v>
      </c>
      <c r="BT24" s="86">
        <v>3000</v>
      </c>
      <c r="BU24">
        <v>0.19400000000000001</v>
      </c>
      <c r="BV24">
        <v>139.19999999999999</v>
      </c>
      <c r="BW24">
        <v>4.8</v>
      </c>
      <c r="BY24">
        <v>0</v>
      </c>
      <c r="CH24"/>
      <c r="CI24" s="65"/>
      <c r="CK24"/>
      <c r="CL24" t="str">
        <f>IFERROR((TOWER_DATA[[#This Row],[D, bottom '[m']]]+#REF!)/(2*#REF!/1000),"")</f>
        <v/>
      </c>
      <c r="CV24" s="86">
        <v>7</v>
      </c>
      <c r="CW24" s="88">
        <v>135.29999999999998</v>
      </c>
      <c r="CX24" s="88">
        <v>133.47499999999997</v>
      </c>
      <c r="CY24" s="86">
        <v>6.258</v>
      </c>
      <c r="CZ24" s="86">
        <v>6.2229999999999999</v>
      </c>
      <c r="DA24" s="86">
        <v>58</v>
      </c>
      <c r="DC24" s="86" t="s">
        <v>278</v>
      </c>
      <c r="DD24" s="86">
        <v>134.91</v>
      </c>
      <c r="DE24" s="86">
        <v>134.91</v>
      </c>
      <c r="DF24" s="86">
        <v>41600</v>
      </c>
      <c r="DN24" s="112" t="s">
        <v>141</v>
      </c>
      <c r="DO24" s="51">
        <v>15</v>
      </c>
      <c r="DP24" s="51">
        <v>220</v>
      </c>
      <c r="DQ24" s="51">
        <v>1166238</v>
      </c>
      <c r="DR24" s="51">
        <v>205031400</v>
      </c>
      <c r="DS24" s="51">
        <v>205031400</v>
      </c>
      <c r="DT24" s="51">
        <v>3.4</v>
      </c>
      <c r="DU24" s="51">
        <v>3.4</v>
      </c>
      <c r="DV24" s="51" t="s">
        <v>144</v>
      </c>
      <c r="DX24" t="s">
        <v>143</v>
      </c>
      <c r="DY24">
        <v>15</v>
      </c>
      <c r="DZ24">
        <v>240</v>
      </c>
      <c r="EA24">
        <v>1102065</v>
      </c>
      <c r="EB24">
        <v>276287200</v>
      </c>
      <c r="EC24">
        <v>276287200</v>
      </c>
      <c r="ED24">
        <v>3.4</v>
      </c>
      <c r="EE24">
        <v>3.4</v>
      </c>
      <c r="EF24" t="s">
        <v>144</v>
      </c>
    </row>
    <row r="25" spans="1:136" ht="18" customHeight="1" thickBot="1" x14ac:dyDescent="0.45">
      <c r="A25" s="181" t="s">
        <v>298</v>
      </c>
      <c r="E25" s="132" t="s">
        <v>273</v>
      </c>
      <c r="K25"/>
      <c r="L25" s="92"/>
      <c r="M25" s="93"/>
      <c r="N25" s="93"/>
      <c r="O25" s="93" t="str">
        <f>IFERROR((MP_DATA[[#This Row],[D, bottom '[m']]]+#REF!)/(2*#REF!/1000),"")</f>
        <v/>
      </c>
      <c r="P25" s="93"/>
      <c r="Q25" s="93"/>
      <c r="R25" s="93"/>
      <c r="S25" s="93"/>
      <c r="T25" s="93"/>
      <c r="U25" s="93"/>
      <c r="V25" s="93"/>
      <c r="W25" s="93"/>
      <c r="X25" s="94"/>
      <c r="Y25">
        <v>8</v>
      </c>
      <c r="Z25">
        <v>-19.3</v>
      </c>
      <c r="AA25">
        <v>-22.8</v>
      </c>
      <c r="AB25">
        <v>9.44</v>
      </c>
      <c r="AC25">
        <v>9.8000000000000007</v>
      </c>
      <c r="AD25">
        <v>93</v>
      </c>
      <c r="AP25" s="132" t="s">
        <v>273</v>
      </c>
      <c r="AV25"/>
      <c r="AW25" s="92"/>
      <c r="AX25" s="93"/>
      <c r="AY25" s="93"/>
      <c r="AZ25" s="93" t="str">
        <f>IFERROR((TP_DATA[[#This Row],[D, bottom '[m']]]+#REF!)/(2*#REF!/1000),"")</f>
        <v/>
      </c>
      <c r="BA25" s="93"/>
      <c r="BB25" s="93"/>
      <c r="BC25" s="93"/>
      <c r="BD25" s="93"/>
      <c r="BE25" s="93"/>
      <c r="BF25" s="93"/>
      <c r="BG25" s="93"/>
      <c r="BH25" s="93"/>
      <c r="BI25" s="94"/>
      <c r="BQ25" s="176" t="s">
        <v>286</v>
      </c>
      <c r="BR25" s="176">
        <v>13.2</v>
      </c>
      <c r="BS25" s="176">
        <v>-2.6</v>
      </c>
      <c r="BT25" s="176">
        <v>3000</v>
      </c>
      <c r="BU25" s="176">
        <v>0.19400000000000001</v>
      </c>
      <c r="BV25" s="176">
        <v>115.6</v>
      </c>
      <c r="BW25" s="176">
        <v>4.8</v>
      </c>
      <c r="BX25" s="178"/>
      <c r="BY25" s="176">
        <v>0</v>
      </c>
      <c r="CB25" s="132" t="s">
        <v>273</v>
      </c>
      <c r="CH25"/>
      <c r="CI25" s="92"/>
      <c r="CJ25" s="93"/>
      <c r="CK25" s="93"/>
      <c r="CL25" s="93" t="str">
        <f>IFERROR((TOWER_DATA[[#This Row],[D, bottom '[m']]]+#REF!)/(2*#REF!/1000),"")</f>
        <v/>
      </c>
      <c r="CM25" s="93"/>
      <c r="CN25" s="93"/>
      <c r="CO25" s="93"/>
      <c r="CP25" s="93"/>
      <c r="CQ25" s="93"/>
      <c r="CR25" s="93"/>
      <c r="CS25" s="93"/>
      <c r="CT25" s="93"/>
      <c r="CU25" s="94"/>
      <c r="CV25" s="86">
        <v>8</v>
      </c>
      <c r="CW25" s="88">
        <v>133.47499999999997</v>
      </c>
      <c r="CX25" s="88">
        <v>131.23999999999998</v>
      </c>
      <c r="CY25" s="86">
        <v>6.2229999999999999</v>
      </c>
      <c r="CZ25" s="86">
        <v>6.2229999999999999</v>
      </c>
      <c r="DA25" s="86">
        <v>23</v>
      </c>
      <c r="DC25" s="86" t="s">
        <v>278</v>
      </c>
      <c r="DD25" s="86">
        <v>133.08499999999998</v>
      </c>
      <c r="DE25" s="86">
        <v>133.08499999999998</v>
      </c>
      <c r="DF25" s="86">
        <v>88</v>
      </c>
      <c r="DN25" s="112" t="s">
        <v>142</v>
      </c>
      <c r="DO25" s="51"/>
      <c r="DP25" s="51">
        <v>236</v>
      </c>
      <c r="DQ25" s="51">
        <v>565481</v>
      </c>
      <c r="DR25" s="51">
        <v>241746700</v>
      </c>
      <c r="DS25" s="51">
        <v>241746700</v>
      </c>
      <c r="DT25" s="51">
        <v>3.5</v>
      </c>
      <c r="DU25" s="51">
        <v>3.5</v>
      </c>
      <c r="DV25" s="51" t="s">
        <v>144</v>
      </c>
      <c r="DX25" s="51" t="s">
        <v>238</v>
      </c>
      <c r="DY25" s="51" t="s">
        <v>144</v>
      </c>
      <c r="DZ25" t="s">
        <v>144</v>
      </c>
      <c r="EA25">
        <v>1394251</v>
      </c>
      <c r="EB25" s="51">
        <v>382420000</v>
      </c>
      <c r="EC25" s="51">
        <v>639730000</v>
      </c>
      <c r="ED25">
        <v>6.59</v>
      </c>
      <c r="EE25">
        <v>5.74</v>
      </c>
      <c r="EF25" t="s">
        <v>244</v>
      </c>
    </row>
    <row r="26" spans="1:136" ht="18" hidden="1" customHeight="1" outlineLevel="1" x14ac:dyDescent="0.3">
      <c r="E26" s="65" t="s">
        <v>73</v>
      </c>
      <c r="F26" t="s">
        <v>74</v>
      </c>
      <c r="G26" t="s">
        <v>72</v>
      </c>
      <c r="H26" t="s">
        <v>75</v>
      </c>
      <c r="I26" t="s">
        <v>123</v>
      </c>
      <c r="J26" t="s">
        <v>119</v>
      </c>
      <c r="K26" t="s">
        <v>124</v>
      </c>
      <c r="N26"/>
      <c r="O26" t="str">
        <f>IFERROR((MP_DATA[[#This Row],[D, bottom '[m']]]+#REF!)/(2*#REF!/1000),"")</f>
        <v/>
      </c>
      <c r="Y26" s="86">
        <v>9</v>
      </c>
      <c r="Z26" s="88">
        <v>-22.8</v>
      </c>
      <c r="AA26" s="88">
        <v>-26.7</v>
      </c>
      <c r="AB26" s="86">
        <v>9.8000000000000007</v>
      </c>
      <c r="AC26" s="86">
        <v>9.8000000000000007</v>
      </c>
      <c r="AD26" s="86">
        <v>93</v>
      </c>
      <c r="AP26" s="65" t="s">
        <v>73</v>
      </c>
      <c r="AQ26" t="s">
        <v>74</v>
      </c>
      <c r="AR26" t="s">
        <v>72</v>
      </c>
      <c r="AS26" t="s">
        <v>75</v>
      </c>
      <c r="AT26" t="s">
        <v>123</v>
      </c>
      <c r="AU26" t="s">
        <v>119</v>
      </c>
      <c r="AV26" t="s">
        <v>124</v>
      </c>
      <c r="AY26"/>
      <c r="AZ26" t="str">
        <f>IFERROR((TP_DATA[[#This Row],[D, bottom '[m']]]+#REF!)/(2*#REF!/1000),"")</f>
        <v/>
      </c>
      <c r="BJ26" s="86"/>
      <c r="BK26" s="88"/>
      <c r="BL26" s="88"/>
      <c r="BM26" s="86"/>
      <c r="BN26" s="86"/>
      <c r="BO26" s="86"/>
      <c r="BQ26" s="176" t="s">
        <v>286</v>
      </c>
      <c r="BR26" s="176">
        <v>13.2</v>
      </c>
      <c r="BS26" s="176">
        <v>-2.6</v>
      </c>
      <c r="BT26" s="176">
        <v>3000</v>
      </c>
      <c r="BU26" s="176">
        <v>0.19400000000000001</v>
      </c>
      <c r="BV26" s="176">
        <v>124.4</v>
      </c>
      <c r="BW26" s="176">
        <v>4.8</v>
      </c>
      <c r="BX26" s="178"/>
      <c r="BY26" s="176">
        <v>0</v>
      </c>
      <c r="CB26" s="65" t="s">
        <v>73</v>
      </c>
      <c r="CC26" t="s">
        <v>74</v>
      </c>
      <c r="CD26" t="s">
        <v>72</v>
      </c>
      <c r="CE26" t="s">
        <v>75</v>
      </c>
      <c r="CF26" t="s">
        <v>123</v>
      </c>
      <c r="CG26" t="s">
        <v>119</v>
      </c>
      <c r="CH26" t="s">
        <v>124</v>
      </c>
      <c r="CK26"/>
      <c r="CL26" t="str">
        <f>IFERROR((TOWER_DATA[[#This Row],[D, bottom '[m']]]+#REF!)/(2*#REF!/1000),"")</f>
        <v/>
      </c>
      <c r="CV26" s="86">
        <v>9</v>
      </c>
      <c r="CW26" s="88">
        <v>131.23999999999998</v>
      </c>
      <c r="CX26" s="88">
        <v>130.89999999999998</v>
      </c>
      <c r="CY26" s="86">
        <v>6.2229999999999999</v>
      </c>
      <c r="CZ26" s="86">
        <v>6.2229999999999999</v>
      </c>
      <c r="DA26" s="86">
        <v>23</v>
      </c>
      <c r="DC26" s="86" t="s">
        <v>278</v>
      </c>
      <c r="DD26" s="86">
        <v>131.23999999999998</v>
      </c>
      <c r="DE26" s="86">
        <v>131.23999999999998</v>
      </c>
      <c r="DF26" s="86">
        <v>92</v>
      </c>
      <c r="DN26" s="65" t="s">
        <v>143</v>
      </c>
      <c r="DO26">
        <v>15</v>
      </c>
      <c r="DP26">
        <v>240</v>
      </c>
      <c r="DQ26">
        <v>1102065</v>
      </c>
      <c r="DR26">
        <v>276287200</v>
      </c>
      <c r="DS26">
        <v>276287200</v>
      </c>
      <c r="DT26">
        <v>3.4</v>
      </c>
      <c r="DU26">
        <v>3.4</v>
      </c>
      <c r="DV26" t="s">
        <v>144</v>
      </c>
    </row>
    <row r="27" spans="1:136" ht="18" hidden="1" customHeight="1" outlineLevel="1" x14ac:dyDescent="0.3">
      <c r="E27" s="65" t="s">
        <v>242</v>
      </c>
      <c r="F27" t="s">
        <v>240</v>
      </c>
      <c r="G27" t="s">
        <v>76</v>
      </c>
      <c r="H27" t="s">
        <v>241</v>
      </c>
      <c r="I27">
        <v>43.5</v>
      </c>
      <c r="J27" t="s">
        <v>49</v>
      </c>
      <c r="K27" t="s">
        <v>239</v>
      </c>
      <c r="N27"/>
      <c r="O27" t="str">
        <f>IFERROR((MP_DATA[[#This Row],[D, bottom '[m']]]+#REF!)/(2*#REF!/1000),"")</f>
        <v/>
      </c>
      <c r="Y27" s="86">
        <v>10</v>
      </c>
      <c r="Z27" s="88">
        <v>-26.7</v>
      </c>
      <c r="AA27" s="88">
        <v>-30.6</v>
      </c>
      <c r="AB27" s="86">
        <v>9.8000000000000007</v>
      </c>
      <c r="AC27" s="86">
        <v>9.8000000000000007</v>
      </c>
      <c r="AD27" s="86">
        <v>102</v>
      </c>
      <c r="AP27" s="65" t="s">
        <v>242</v>
      </c>
      <c r="AQ27" t="s">
        <v>240</v>
      </c>
      <c r="AR27" t="s">
        <v>76</v>
      </c>
      <c r="AS27" t="s">
        <v>241</v>
      </c>
      <c r="AT27">
        <v>43.5</v>
      </c>
      <c r="AU27" t="s">
        <v>49</v>
      </c>
      <c r="AV27"/>
      <c r="AY27"/>
      <c r="AZ27" t="str">
        <f>IFERROR((TP_DATA[[#This Row],[D, bottom '[m']]]+#REF!)/(2*#REF!/1000),"")</f>
        <v/>
      </c>
      <c r="BJ27" s="86"/>
      <c r="BK27" s="88"/>
      <c r="BL27" s="88"/>
      <c r="BM27" s="86"/>
      <c r="BN27" s="86"/>
      <c r="BO27" s="86"/>
      <c r="BQ27" s="176" t="s">
        <v>279</v>
      </c>
      <c r="BR27" s="176">
        <v>10.6</v>
      </c>
      <c r="BS27" s="176">
        <v>-2.6</v>
      </c>
      <c r="BT27" s="176">
        <v>8000</v>
      </c>
      <c r="BU27" s="176">
        <v>0.40600000000000003</v>
      </c>
      <c r="BV27" s="176">
        <v>110.4</v>
      </c>
      <c r="BW27" s="176">
        <v>5.2</v>
      </c>
      <c r="BX27" s="178"/>
      <c r="BY27" s="176">
        <v>0</v>
      </c>
      <c r="BZ27" s="86"/>
      <c r="CB27" s="65" t="s">
        <v>291</v>
      </c>
      <c r="CC27" t="s">
        <v>240</v>
      </c>
      <c r="CD27" t="s">
        <v>76</v>
      </c>
      <c r="CE27" t="s">
        <v>292</v>
      </c>
      <c r="CF27">
        <v>43.5</v>
      </c>
      <c r="CG27" t="s">
        <v>49</v>
      </c>
      <c r="CH27"/>
      <c r="CK27"/>
      <c r="CL27" t="str">
        <f>IFERROR((TOWER_DATA[[#This Row],[D, bottom '[m']]]+#REF!)/(2*#REF!/1000),"")</f>
        <v/>
      </c>
      <c r="CV27" s="86">
        <v>10</v>
      </c>
      <c r="CW27" s="88">
        <v>130.89999999999998</v>
      </c>
      <c r="CX27" s="88">
        <v>128.48999999999998</v>
      </c>
      <c r="CY27" s="86">
        <v>6.2229999999999999</v>
      </c>
      <c r="CZ27" s="86">
        <v>6.2229999999999999</v>
      </c>
      <c r="DA27" s="86">
        <v>23</v>
      </c>
      <c r="DC27" s="86" t="s">
        <v>278</v>
      </c>
      <c r="DD27" s="86">
        <v>130.89999999999998</v>
      </c>
      <c r="DE27" s="86">
        <v>130.89999999999998</v>
      </c>
      <c r="DF27" s="86">
        <v>138</v>
      </c>
      <c r="DG27" s="86"/>
      <c r="DH27" s="86"/>
      <c r="DI27" s="86"/>
      <c r="DK27" s="86"/>
      <c r="DL27" s="86"/>
      <c r="DN27" s="142" t="s">
        <v>238</v>
      </c>
      <c r="DO27" s="143" t="s">
        <v>144</v>
      </c>
      <c r="DP27" s="143" t="s">
        <v>144</v>
      </c>
      <c r="DQ27" s="143">
        <v>1394251</v>
      </c>
      <c r="DR27" s="143">
        <v>382420000</v>
      </c>
      <c r="DS27" s="143">
        <v>639730000</v>
      </c>
      <c r="DT27" s="143">
        <v>6.59</v>
      </c>
      <c r="DU27" s="143">
        <v>5.74</v>
      </c>
      <c r="DV27" s="143" t="s">
        <v>244</v>
      </c>
    </row>
    <row r="28" spans="1:136" ht="18" hidden="1" customHeight="1" outlineLevel="1" x14ac:dyDescent="0.3">
      <c r="E28" s="65" t="s">
        <v>251</v>
      </c>
      <c r="F28" t="s">
        <v>252</v>
      </c>
      <c r="G28" t="s">
        <v>253</v>
      </c>
      <c r="H28" t="s">
        <v>254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Y28" s="86">
        <v>11</v>
      </c>
      <c r="Z28" s="88">
        <v>-30.6</v>
      </c>
      <c r="AA28" s="88">
        <v>-34.5</v>
      </c>
      <c r="AB28" s="86">
        <v>9.8000000000000007</v>
      </c>
      <c r="AC28" s="86">
        <v>9.8000000000000007</v>
      </c>
      <c r="AD28" s="86">
        <v>112</v>
      </c>
      <c r="AP28" s="65" t="s">
        <v>251</v>
      </c>
      <c r="AQ28" t="s">
        <v>252</v>
      </c>
      <c r="AR28" t="s">
        <v>253</v>
      </c>
      <c r="AS28" t="s">
        <v>254</v>
      </c>
      <c r="AT28">
        <v>23.1</v>
      </c>
      <c r="AU28" t="s">
        <v>49</v>
      </c>
      <c r="AV28"/>
      <c r="AY28"/>
      <c r="AZ28" t="str">
        <f>IFERROR((TP_DATA[[#This Row],[D, bottom '[m']]]+#REF!)/(2*#REF!/1000),"")</f>
        <v/>
      </c>
      <c r="BJ28" s="86"/>
      <c r="BK28" s="88"/>
      <c r="BL28" s="88"/>
      <c r="BM28" s="86"/>
      <c r="BN28" s="86"/>
      <c r="BO28" s="86"/>
      <c r="BQ28" s="176" t="s">
        <v>279</v>
      </c>
      <c r="BR28" s="176">
        <v>10.6</v>
      </c>
      <c r="BS28" s="176">
        <v>-2.6</v>
      </c>
      <c r="BT28" s="176">
        <v>8000</v>
      </c>
      <c r="BU28" s="176">
        <v>0.40600000000000003</v>
      </c>
      <c r="BV28" s="176">
        <v>129.6</v>
      </c>
      <c r="BW28" s="176">
        <v>5.2</v>
      </c>
      <c r="BX28" s="178"/>
      <c r="BY28" s="176">
        <v>0</v>
      </c>
      <c r="BZ28" s="86"/>
      <c r="CB28" s="65" t="s">
        <v>251</v>
      </c>
      <c r="CC28" t="s">
        <v>252</v>
      </c>
      <c r="CD28" t="s">
        <v>253</v>
      </c>
      <c r="CE28" t="s">
        <v>254</v>
      </c>
      <c r="CF28">
        <v>23.1</v>
      </c>
      <c r="CG28" t="s">
        <v>49</v>
      </c>
      <c r="CH28"/>
      <c r="CK28"/>
      <c r="CL28" t="str">
        <f>IFERROR((TOWER_DATA[[#This Row],[D, bottom '[m']]]+#REF!)/(2*#REF!/1000),"")</f>
        <v/>
      </c>
      <c r="CV28" s="86">
        <v>11</v>
      </c>
      <c r="CW28" s="88">
        <v>128.48999999999998</v>
      </c>
      <c r="CX28" s="88">
        <v>125.74000000000001</v>
      </c>
      <c r="CY28" s="86">
        <v>6.2229999999999999</v>
      </c>
      <c r="CZ28" s="86">
        <v>6.2229999999999999</v>
      </c>
      <c r="DA28" s="86">
        <v>23</v>
      </c>
      <c r="DC28" s="86" t="s">
        <v>278</v>
      </c>
      <c r="DD28" s="86">
        <v>125.74</v>
      </c>
      <c r="DE28" s="86">
        <v>125.74</v>
      </c>
      <c r="DF28" s="86">
        <v>138</v>
      </c>
      <c r="DG28" s="86"/>
      <c r="DH28" s="86"/>
      <c r="DI28" s="86"/>
      <c r="DK28" s="86"/>
      <c r="DL28" s="86"/>
    </row>
    <row r="29" spans="1:136" ht="18" hidden="1" customHeight="1" outlineLevel="1" x14ac:dyDescent="0.3">
      <c r="E29" s="65" t="s">
        <v>255</v>
      </c>
      <c r="F29" t="s">
        <v>256</v>
      </c>
      <c r="G29" t="s">
        <v>257</v>
      </c>
      <c r="H29" t="s">
        <v>258</v>
      </c>
      <c r="I29">
        <v>38.9</v>
      </c>
      <c r="J29" t="s">
        <v>49</v>
      </c>
      <c r="K29"/>
      <c r="N29"/>
      <c r="O29" t="str">
        <f>IFERROR((MP_DATA[[#This Row],[D, bottom '[m']]]+#REF!)/(2*#REF!/1000),"")</f>
        <v/>
      </c>
      <c r="Y29" s="86">
        <v>12</v>
      </c>
      <c r="Z29" s="88">
        <v>-34.5</v>
      </c>
      <c r="AA29" s="88">
        <v>-38.200000000000003</v>
      </c>
      <c r="AB29" s="86">
        <v>9.8000000000000007</v>
      </c>
      <c r="AC29" s="86">
        <v>9.8000000000000007</v>
      </c>
      <c r="AD29" s="86">
        <v>116</v>
      </c>
      <c r="AP29" s="65" t="s">
        <v>255</v>
      </c>
      <c r="AQ29" t="s">
        <v>256</v>
      </c>
      <c r="AR29" t="s">
        <v>257</v>
      </c>
      <c r="AS29" t="s">
        <v>258</v>
      </c>
      <c r="AT29">
        <v>38.9</v>
      </c>
      <c r="AU29" t="s">
        <v>49</v>
      </c>
      <c r="AV29"/>
      <c r="AY29"/>
      <c r="AZ29" t="str">
        <f>IFERROR((TP_DATA[[#This Row],[D, bottom '[m']]]+#REF!)/(2*#REF!/1000),"")</f>
        <v/>
      </c>
      <c r="BJ29" s="86"/>
      <c r="BK29" s="88"/>
      <c r="BL29" s="88"/>
      <c r="BM29" s="86"/>
      <c r="BN29" s="86"/>
      <c r="BO29" s="86"/>
      <c r="BQ29" s="176" t="s">
        <v>287</v>
      </c>
      <c r="BR29" s="176">
        <v>12</v>
      </c>
      <c r="BS29" s="176">
        <v>10.7</v>
      </c>
      <c r="BT29" s="176">
        <v>3000</v>
      </c>
      <c r="BU29" s="176">
        <v>1.3</v>
      </c>
      <c r="BV29" s="176">
        <v>135</v>
      </c>
      <c r="BW29" s="176">
        <v>5.2</v>
      </c>
      <c r="BX29" s="178"/>
      <c r="BY29" s="176">
        <v>0</v>
      </c>
      <c r="BZ29" s="86"/>
      <c r="CB29" s="65" t="s">
        <v>293</v>
      </c>
      <c r="CC29" t="s">
        <v>294</v>
      </c>
      <c r="CD29" t="s">
        <v>295</v>
      </c>
      <c r="CE29" t="s">
        <v>294</v>
      </c>
      <c r="CF29">
        <v>0</v>
      </c>
      <c r="CG29" t="s">
        <v>49</v>
      </c>
      <c r="CH29"/>
      <c r="CK29"/>
      <c r="CL29" t="str">
        <f>IFERROR((TOWER_DATA[[#This Row],[D, bottom '[m']]]+#REF!)/(2*#REF!/1000),"")</f>
        <v/>
      </c>
      <c r="CV29" s="86">
        <v>12</v>
      </c>
      <c r="CW29" s="88">
        <v>125.74000000000001</v>
      </c>
      <c r="CX29" s="88">
        <v>123.667</v>
      </c>
      <c r="CY29" s="86">
        <v>6.2229999999999999</v>
      </c>
      <c r="CZ29" s="86">
        <v>6.2229999999999999</v>
      </c>
      <c r="DA29" s="86">
        <v>23</v>
      </c>
      <c r="DC29" s="86" t="s">
        <v>278</v>
      </c>
      <c r="DD29" s="86">
        <v>123.66699999999999</v>
      </c>
      <c r="DE29" s="86">
        <v>123.66699999999999</v>
      </c>
      <c r="DF29" s="86">
        <v>147</v>
      </c>
      <c r="DG29" s="86"/>
      <c r="DH29" s="86"/>
      <c r="DI29" s="86"/>
      <c r="DK29" s="86"/>
      <c r="DL29" s="86"/>
    </row>
    <row r="30" spans="1:136" ht="18" hidden="1" customHeight="1" outlineLevel="1" x14ac:dyDescent="0.3">
      <c r="E30" s="65" t="s">
        <v>259</v>
      </c>
      <c r="F30" t="s">
        <v>256</v>
      </c>
      <c r="G30" t="s">
        <v>257</v>
      </c>
      <c r="H30" t="s">
        <v>260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86">
        <v>13</v>
      </c>
      <c r="Z30" s="88">
        <v>-38.200000000000003</v>
      </c>
      <c r="AA30" s="88">
        <v>-40.29</v>
      </c>
      <c r="AB30" s="86">
        <v>9.8000000000000007</v>
      </c>
      <c r="AC30" s="86">
        <v>9.8000000000000007</v>
      </c>
      <c r="AD30" s="86">
        <v>108</v>
      </c>
      <c r="AP30" s="65" t="s">
        <v>259</v>
      </c>
      <c r="AQ30" t="s">
        <v>256</v>
      </c>
      <c r="AR30" t="s">
        <v>257</v>
      </c>
      <c r="AS30" t="s">
        <v>260</v>
      </c>
      <c r="AT30">
        <v>38.9</v>
      </c>
      <c r="AU30" t="s">
        <v>49</v>
      </c>
      <c r="AV30" t="s">
        <v>276</v>
      </c>
      <c r="AY30"/>
      <c r="AZ30" t="str">
        <f>IFERROR((TP_DATA[[#This Row],[D, bottom '[m']]]+#REF!)/(2*#REF!/1000),"")</f>
        <v/>
      </c>
      <c r="BJ30" s="86"/>
      <c r="BK30" s="88"/>
      <c r="BL30" s="88"/>
      <c r="BM30" s="86"/>
      <c r="BN30" s="86"/>
      <c r="BO30" s="86"/>
      <c r="BQ30" s="176"/>
      <c r="BR30" s="176"/>
      <c r="BS30" s="176"/>
      <c r="BT30" s="176"/>
      <c r="BU30" s="176"/>
      <c r="BV30" s="176"/>
      <c r="BW30" s="176"/>
      <c r="BX30" s="178"/>
      <c r="BY30" s="176"/>
      <c r="BZ30" s="86"/>
      <c r="CB30" s="65"/>
      <c r="CC30"/>
      <c r="CD30"/>
      <c r="CE30"/>
      <c r="CF30"/>
      <c r="CG30"/>
      <c r="CH30"/>
      <c r="CK30"/>
      <c r="CL30" t="str">
        <f>IFERROR((TOWER_DATA[[#This Row],[D, bottom '[m']]]+#REF!)/(2*#REF!/1000),"")</f>
        <v/>
      </c>
      <c r="CV30" s="86">
        <v>13</v>
      </c>
      <c r="CW30" s="88">
        <v>123.667</v>
      </c>
      <c r="CX30" s="88">
        <v>122.81</v>
      </c>
      <c r="CY30" s="86">
        <v>6.2229999999999999</v>
      </c>
      <c r="CZ30" s="86">
        <v>6.2229999999999999</v>
      </c>
      <c r="DA30" s="86">
        <v>23</v>
      </c>
      <c r="DC30" t="s">
        <v>278</v>
      </c>
      <c r="DD30">
        <v>120.89999999999999</v>
      </c>
      <c r="DE30">
        <v>120.89999999999999</v>
      </c>
      <c r="DF30">
        <v>147</v>
      </c>
      <c r="DL30" s="86"/>
    </row>
    <row r="31" spans="1:136" ht="18" hidden="1" customHeight="1" outlineLevel="1" x14ac:dyDescent="0.3">
      <c r="E31" s="65" t="s">
        <v>261</v>
      </c>
      <c r="F31" t="s">
        <v>256</v>
      </c>
      <c r="G31" t="s">
        <v>257</v>
      </c>
      <c r="H31" t="s">
        <v>262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86">
        <v>14</v>
      </c>
      <c r="Z31" s="88">
        <v>-40.29</v>
      </c>
      <c r="AA31" s="88">
        <v>-42.2</v>
      </c>
      <c r="AB31" s="86">
        <v>9.8000000000000007</v>
      </c>
      <c r="AC31" s="86">
        <v>9.8000000000000007</v>
      </c>
      <c r="AD31" s="86">
        <v>108</v>
      </c>
      <c r="AP31" s="65" t="s">
        <v>261</v>
      </c>
      <c r="AQ31" t="s">
        <v>256</v>
      </c>
      <c r="AR31" t="s">
        <v>257</v>
      </c>
      <c r="AS31" t="s">
        <v>262</v>
      </c>
      <c r="AT31">
        <v>38.9</v>
      </c>
      <c r="AU31" t="s">
        <v>49</v>
      </c>
      <c r="AV31" t="s">
        <v>277</v>
      </c>
      <c r="AY31"/>
      <c r="AZ31" t="str">
        <f>IFERROR((TP_DATA[[#This Row],[D, bottom '[m']]]+#REF!)/(2*#REF!/1000),"")</f>
        <v/>
      </c>
      <c r="BJ31" s="86"/>
      <c r="BK31" s="88"/>
      <c r="BL31" s="88"/>
      <c r="BM31" s="86"/>
      <c r="BN31" s="86"/>
      <c r="BO31" s="86"/>
      <c r="BQ31" s="176"/>
      <c r="BR31" s="176"/>
      <c r="BS31" s="176"/>
      <c r="BT31" s="176"/>
      <c r="BU31" s="176"/>
      <c r="BV31" s="176"/>
      <c r="BW31" s="176"/>
      <c r="BX31" s="178"/>
      <c r="BY31" s="176"/>
      <c r="BZ31" s="86"/>
      <c r="CB31" s="65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86">
        <v>14</v>
      </c>
      <c r="CW31" s="88">
        <v>122.81</v>
      </c>
      <c r="CX31" s="88">
        <v>120.9</v>
      </c>
      <c r="CY31" s="86">
        <v>6.2229999999999999</v>
      </c>
      <c r="CZ31" s="86">
        <v>6.2229999999999999</v>
      </c>
      <c r="DA31" s="86">
        <v>23</v>
      </c>
      <c r="DC31" t="s">
        <v>278</v>
      </c>
      <c r="DD31">
        <v>119.88</v>
      </c>
      <c r="DE31">
        <v>119.88</v>
      </c>
      <c r="DF31">
        <v>1060</v>
      </c>
      <c r="DL31" s="86"/>
    </row>
    <row r="32" spans="1:136" ht="18" hidden="1" customHeight="1" outlineLevel="1" x14ac:dyDescent="0.3">
      <c r="K32"/>
      <c r="N32"/>
      <c r="O32" s="101" t="str">
        <f>IFERROR((MP_DATA[[#This Row],[D, bottom '[m']]]+#REF!)/(2*#REF!/1000),"")</f>
        <v/>
      </c>
      <c r="Y32" s="86">
        <v>15</v>
      </c>
      <c r="Z32" s="88">
        <v>-42.2</v>
      </c>
      <c r="AA32" s="88">
        <v>-46.2</v>
      </c>
      <c r="AB32" s="86">
        <v>9.8000000000000007</v>
      </c>
      <c r="AC32" s="86">
        <v>9.8000000000000007</v>
      </c>
      <c r="AD32" s="86">
        <v>98</v>
      </c>
      <c r="AV32"/>
      <c r="AY32"/>
      <c r="AZ32" s="101" t="str">
        <f>IFERROR((TP_DATA[[#This Row],[D, bottom '[m']]]+#REF!)/(2*#REF!/1000),"")</f>
        <v/>
      </c>
      <c r="BJ32" s="86"/>
      <c r="BK32" s="88"/>
      <c r="BL32" s="88"/>
      <c r="BM32" s="86"/>
      <c r="BN32" s="86"/>
      <c r="BO32" s="86"/>
      <c r="BQ32" s="176"/>
      <c r="BR32" s="176"/>
      <c r="BS32" s="176"/>
      <c r="BT32" s="176"/>
      <c r="BU32" s="176"/>
      <c r="BV32" s="176"/>
      <c r="BW32" s="176"/>
      <c r="BX32" s="178"/>
      <c r="BY32" s="176"/>
      <c r="BZ32" s="86"/>
      <c r="CH32"/>
      <c r="CK32"/>
      <c r="CL32" s="101" t="str">
        <f>IFERROR((TOWER_DATA[[#This Row],[D, bottom '[m']]]+#REF!)/(2*#REF!/1000),"")</f>
        <v/>
      </c>
      <c r="CV32" s="86">
        <v>15</v>
      </c>
      <c r="CW32" s="88">
        <v>120.9</v>
      </c>
      <c r="CX32" s="88">
        <v>119.88000000000001</v>
      </c>
      <c r="CY32" s="86">
        <v>6.2229999999999999</v>
      </c>
      <c r="CZ32" s="86">
        <v>6.2229999999999999</v>
      </c>
      <c r="DA32" s="86">
        <v>23</v>
      </c>
      <c r="DC32" t="s">
        <v>278</v>
      </c>
      <c r="DD32">
        <v>116.94999999999999</v>
      </c>
      <c r="DE32">
        <v>116.94999999999999</v>
      </c>
      <c r="DF32">
        <v>147</v>
      </c>
      <c r="DL32" s="86"/>
      <c r="DU32" s="101"/>
      <c r="DV32" s="101"/>
    </row>
    <row r="33" spans="11:126" ht="18" hidden="1" customHeight="1" outlineLevel="1" x14ac:dyDescent="0.3">
      <c r="K33"/>
      <c r="N33"/>
      <c r="O33" s="101" t="str">
        <f>IFERROR((MP_DATA[[#This Row],[D, bottom '[m']]]+#REF!)/(2*#REF!/1000),"")</f>
        <v/>
      </c>
      <c r="Y33" s="86">
        <v>16</v>
      </c>
      <c r="Z33" s="88">
        <v>-46.2</v>
      </c>
      <c r="AA33" s="88">
        <v>-50.2</v>
      </c>
      <c r="AB33" s="86">
        <v>9.8000000000000007</v>
      </c>
      <c r="AC33" s="86">
        <v>9.8000000000000007</v>
      </c>
      <c r="AD33" s="86">
        <v>98</v>
      </c>
      <c r="AV33"/>
      <c r="AY33"/>
      <c r="AZ33" s="101" t="str">
        <f>IFERROR((TP_DATA[[#This Row],[D, bottom '[m']]]+#REF!)/(2*#REF!/1000),"")</f>
        <v/>
      </c>
      <c r="BJ33" s="86"/>
      <c r="BK33" s="88"/>
      <c r="BL33" s="88"/>
      <c r="BM33" s="86"/>
      <c r="BN33" s="86"/>
      <c r="BO33" s="86"/>
      <c r="BQ33" s="176"/>
      <c r="BR33" s="176"/>
      <c r="BS33" s="176"/>
      <c r="BT33" s="176"/>
      <c r="BU33" s="176"/>
      <c r="BV33" s="176"/>
      <c r="BW33" s="176"/>
      <c r="BX33" s="178"/>
      <c r="BY33" s="176"/>
      <c r="BZ33" s="86"/>
      <c r="CH33"/>
      <c r="CK33"/>
      <c r="CL33" s="101" t="str">
        <f>IFERROR((TOWER_DATA[[#This Row],[D, bottom '[m']]]+#REF!)/(2*#REF!/1000),"")</f>
        <v/>
      </c>
      <c r="CV33" s="86">
        <v>16</v>
      </c>
      <c r="CW33" s="88">
        <v>119.88000000000001</v>
      </c>
      <c r="CX33" s="88">
        <v>116.95</v>
      </c>
      <c r="CY33" s="86">
        <v>6.2229999999999999</v>
      </c>
      <c r="CZ33" s="86">
        <v>6.2229999999999999</v>
      </c>
      <c r="DA33" s="86">
        <v>23</v>
      </c>
      <c r="DC33" t="s">
        <v>278</v>
      </c>
      <c r="DD33">
        <v>115.446</v>
      </c>
      <c r="DE33">
        <v>115.446</v>
      </c>
      <c r="DF33">
        <v>147</v>
      </c>
      <c r="DL33" s="86"/>
      <c r="DU33" s="101"/>
      <c r="DV33" s="101"/>
    </row>
    <row r="34" spans="11:126" ht="18" hidden="1" customHeight="1" outlineLevel="1" x14ac:dyDescent="0.3">
      <c r="K34"/>
      <c r="N34"/>
      <c r="O34" s="101" t="str">
        <f>IFERROR((MP_DATA[[#This Row],[D, bottom '[m']]]+#REF!)/(2*#REF!/1000),"")</f>
        <v/>
      </c>
      <c r="Y34" s="86">
        <v>17</v>
      </c>
      <c r="Z34" s="88">
        <v>-50.2</v>
      </c>
      <c r="AA34" s="88">
        <v>-54.2</v>
      </c>
      <c r="AB34" s="86">
        <v>9.8000000000000007</v>
      </c>
      <c r="AC34" s="86">
        <v>9.8000000000000007</v>
      </c>
      <c r="AD34" s="86">
        <v>98</v>
      </c>
      <c r="AV34"/>
      <c r="AY34"/>
      <c r="AZ34" s="101" t="str">
        <f>IFERROR((TP_DATA[[#This Row],[D, bottom '[m']]]+#REF!)/(2*#REF!/1000),"")</f>
        <v/>
      </c>
      <c r="BJ34" s="86"/>
      <c r="BK34" s="88"/>
      <c r="BL34" s="88"/>
      <c r="BM34" s="86"/>
      <c r="BN34" s="86"/>
      <c r="BO34" s="86"/>
      <c r="CH34"/>
      <c r="CK34"/>
      <c r="CL34" s="101" t="str">
        <f>IFERROR((TOWER_DATA[[#This Row],[D, bottom '[m']]]+#REF!)/(2*#REF!/1000),"")</f>
        <v/>
      </c>
      <c r="CV34" s="86">
        <v>17</v>
      </c>
      <c r="CW34" s="88">
        <v>116.95</v>
      </c>
      <c r="CX34" s="88">
        <v>115.44600000000001</v>
      </c>
      <c r="CY34" s="86">
        <v>6.2229999999999999</v>
      </c>
      <c r="CZ34" s="86">
        <v>6.2229999999999999</v>
      </c>
      <c r="DA34" s="86">
        <v>23</v>
      </c>
      <c r="DC34" t="s">
        <v>278</v>
      </c>
      <c r="DD34">
        <v>111.08999999999999</v>
      </c>
      <c r="DE34">
        <v>111.08999999999999</v>
      </c>
      <c r="DF34">
        <v>147</v>
      </c>
      <c r="DU34" s="101"/>
      <c r="DV34" s="101"/>
    </row>
    <row r="35" spans="11:126" ht="18" hidden="1" customHeight="1" outlineLevel="1" x14ac:dyDescent="0.3">
      <c r="K35"/>
      <c r="N35"/>
      <c r="O35" s="101" t="str">
        <f>IFERROR((MP_DATA[[#This Row],[D, bottom '[m']]]+#REF!)/(2*#REF!/1000),"")</f>
        <v/>
      </c>
      <c r="Y35" s="86">
        <v>18</v>
      </c>
      <c r="Z35" s="88">
        <v>-54.2</v>
      </c>
      <c r="AA35" s="88">
        <v>-58.2</v>
      </c>
      <c r="AB35" s="86">
        <v>9.8000000000000007</v>
      </c>
      <c r="AC35" s="86">
        <v>9.8000000000000007</v>
      </c>
      <c r="AD35" s="86">
        <v>98</v>
      </c>
      <c r="AV35"/>
      <c r="AY35"/>
      <c r="AZ35" s="101" t="str">
        <f>IFERROR((TP_DATA[[#This Row],[D, bottom '[m']]]+#REF!)/(2*#REF!/1000),"")</f>
        <v/>
      </c>
      <c r="BJ35" s="86"/>
      <c r="BK35" s="88"/>
      <c r="BL35" s="88"/>
      <c r="BM35" s="86"/>
      <c r="BN35" s="86"/>
      <c r="BO35" s="86"/>
      <c r="CH35"/>
      <c r="CK35"/>
      <c r="CL35" s="101" t="str">
        <f>IFERROR((TOWER_DATA[[#This Row],[D, bottom '[m']]]+#REF!)/(2*#REF!/1000),"")</f>
        <v/>
      </c>
      <c r="CV35" s="86">
        <v>18</v>
      </c>
      <c r="CW35" s="88">
        <v>115.44600000000001</v>
      </c>
      <c r="CX35" s="88">
        <v>114.02000000000001</v>
      </c>
      <c r="CY35" s="86">
        <v>6.2229999999999999</v>
      </c>
      <c r="CZ35" s="86">
        <v>6.2240000000000002</v>
      </c>
      <c r="DA35" s="86">
        <v>23</v>
      </c>
      <c r="DC35" t="s">
        <v>278</v>
      </c>
      <c r="DD35">
        <v>110.89999999999999</v>
      </c>
      <c r="DE35">
        <v>110.89999999999999</v>
      </c>
      <c r="DF35">
        <v>147</v>
      </c>
      <c r="DU35" s="101"/>
      <c r="DV35" s="101"/>
    </row>
    <row r="36" spans="11:126" ht="18" hidden="1" customHeight="1" outlineLevel="1" x14ac:dyDescent="0.3">
      <c r="K36"/>
      <c r="N36"/>
      <c r="O36" s="101" t="str">
        <f>IFERROR((MP_DATA[[#This Row],[D, bottom '[m']]]+#REF!)/(2*#REF!/1000),"")</f>
        <v/>
      </c>
      <c r="Y36" s="86">
        <v>19</v>
      </c>
      <c r="Z36" s="88">
        <v>-58.2</v>
      </c>
      <c r="AA36" s="88">
        <v>-62.2</v>
      </c>
      <c r="AB36" s="86">
        <v>9.8000000000000007</v>
      </c>
      <c r="AC36" s="86">
        <v>9.8000000000000007</v>
      </c>
      <c r="AD36" s="86">
        <v>91</v>
      </c>
      <c r="AV36"/>
      <c r="AY36"/>
      <c r="AZ36" s="101" t="str">
        <f>IFERROR((TP_DATA[[#This Row],[D, bottom '[m']]]+#REF!)/(2*#REF!/1000),"")</f>
        <v/>
      </c>
      <c r="BJ36" s="86"/>
      <c r="BK36" s="88"/>
      <c r="BL36" s="88"/>
      <c r="BM36" s="86"/>
      <c r="BN36" s="86"/>
      <c r="BO36" s="86"/>
      <c r="CH36"/>
      <c r="CK36"/>
      <c r="CL36" s="101" t="str">
        <f>IFERROR((TOWER_DATA[[#This Row],[D, bottom '[m']]]+#REF!)/(2*#REF!/1000),"")</f>
        <v/>
      </c>
      <c r="CV36" s="86">
        <v>19</v>
      </c>
      <c r="CW36" s="88">
        <v>114.02000000000001</v>
      </c>
      <c r="CX36" s="88">
        <v>111.09</v>
      </c>
      <c r="CY36" s="86">
        <v>6.2240000000000002</v>
      </c>
      <c r="CZ36" s="86">
        <v>6.2249999999999996</v>
      </c>
      <c r="DA36" s="86">
        <v>24</v>
      </c>
      <c r="DC36" t="s">
        <v>278</v>
      </c>
      <c r="DD36">
        <v>107.22399999999999</v>
      </c>
      <c r="DE36">
        <v>107.22399999999999</v>
      </c>
      <c r="DF36">
        <v>147</v>
      </c>
      <c r="DU36" s="101"/>
      <c r="DV36" s="101"/>
    </row>
    <row r="37" spans="11:126" ht="18" hidden="1" customHeight="1" outlineLevel="1" x14ac:dyDescent="0.3">
      <c r="K37"/>
      <c r="N37"/>
      <c r="Y37" s="86">
        <v>20</v>
      </c>
      <c r="Z37" s="88">
        <v>-62.2</v>
      </c>
      <c r="AA37" s="88">
        <v>-65.650000000000006</v>
      </c>
      <c r="AB37" s="86">
        <v>9.8000000000000007</v>
      </c>
      <c r="AC37" s="86">
        <v>9.8000000000000007</v>
      </c>
      <c r="AD37" s="86">
        <v>88</v>
      </c>
      <c r="AV37"/>
      <c r="AY37"/>
      <c r="BJ37" s="86"/>
      <c r="BK37" s="88"/>
      <c r="BL37" s="88"/>
      <c r="BM37" s="86"/>
      <c r="BN37" s="86"/>
      <c r="BO37" s="86"/>
      <c r="CH37"/>
      <c r="CK37"/>
      <c r="CV37" s="86">
        <v>20</v>
      </c>
      <c r="CW37" s="88">
        <v>111.09</v>
      </c>
      <c r="CX37" s="88">
        <v>110.9</v>
      </c>
      <c r="CY37" s="86">
        <v>6.2249999999999996</v>
      </c>
      <c r="CZ37" s="86">
        <v>6.2249999999999996</v>
      </c>
      <c r="DA37" s="86">
        <v>25</v>
      </c>
      <c r="DC37" t="s">
        <v>278</v>
      </c>
      <c r="DD37">
        <v>102.3</v>
      </c>
      <c r="DE37">
        <v>102.3</v>
      </c>
      <c r="DF37">
        <v>147</v>
      </c>
      <c r="DU37" s="101"/>
      <c r="DV37" s="101"/>
    </row>
    <row r="38" spans="11:126" ht="18" hidden="1" customHeight="1" outlineLevel="1" x14ac:dyDescent="0.3">
      <c r="K38"/>
      <c r="N38"/>
      <c r="Y38" s="86">
        <v>21</v>
      </c>
      <c r="Z38" s="88">
        <v>-65.650000000000006</v>
      </c>
      <c r="AA38" s="88">
        <v>-69.349999999999994</v>
      </c>
      <c r="AB38" s="86">
        <v>9.8000000000000007</v>
      </c>
      <c r="AC38" s="86">
        <v>9.8000000000000007</v>
      </c>
      <c r="AD38" s="86">
        <v>86</v>
      </c>
      <c r="AV38"/>
      <c r="AY38"/>
      <c r="BJ38" s="86"/>
      <c r="BK38" s="88"/>
      <c r="BL38" s="88"/>
      <c r="BM38" s="86"/>
      <c r="BN38" s="86"/>
      <c r="BO38" s="86"/>
      <c r="CH38"/>
      <c r="CK38"/>
      <c r="CV38" s="86">
        <v>21</v>
      </c>
      <c r="CW38" s="88">
        <v>110.9</v>
      </c>
      <c r="CX38" s="88">
        <v>108.16000000000001</v>
      </c>
      <c r="CY38" s="86">
        <v>6.2249999999999996</v>
      </c>
      <c r="CZ38" s="86">
        <v>6.226</v>
      </c>
      <c r="DA38" s="86">
        <v>25</v>
      </c>
      <c r="DC38" t="s">
        <v>278</v>
      </c>
      <c r="DD38">
        <v>102.25999999999999</v>
      </c>
      <c r="DE38">
        <v>102.25999999999999</v>
      </c>
      <c r="DF38">
        <v>5610</v>
      </c>
      <c r="DU38" s="101"/>
      <c r="DV38" s="101"/>
    </row>
    <row r="39" spans="11:126" ht="18" hidden="1" customHeight="1" outlineLevel="1" x14ac:dyDescent="0.3">
      <c r="K39"/>
      <c r="N39"/>
      <c r="Y39" s="86">
        <v>22</v>
      </c>
      <c r="Z39" s="88">
        <v>-69.349999999999994</v>
      </c>
      <c r="AA39" s="88">
        <v>-73.05</v>
      </c>
      <c r="AB39" s="86">
        <v>9.8000000000000007</v>
      </c>
      <c r="AC39" s="86">
        <v>9.8000000000000007</v>
      </c>
      <c r="AD39" s="86">
        <v>95</v>
      </c>
      <c r="AV39"/>
      <c r="AY39"/>
      <c r="BJ39" s="86"/>
      <c r="BK39" s="88"/>
      <c r="BL39" s="88"/>
      <c r="BM39" s="86"/>
      <c r="BN39" s="86"/>
      <c r="BO39" s="86"/>
      <c r="CH39"/>
      <c r="CK39"/>
      <c r="CV39" s="86">
        <v>22</v>
      </c>
      <c r="CW39" s="88">
        <v>108.16000000000001</v>
      </c>
      <c r="CX39" s="88">
        <v>107.224</v>
      </c>
      <c r="CY39" s="86">
        <v>6.226</v>
      </c>
      <c r="CZ39" s="86">
        <v>6.226</v>
      </c>
      <c r="DA39" s="86">
        <v>26</v>
      </c>
      <c r="DC39" t="s">
        <v>278</v>
      </c>
      <c r="DD39">
        <v>102.1</v>
      </c>
      <c r="DE39">
        <v>102.1</v>
      </c>
      <c r="DF39">
        <v>8160</v>
      </c>
      <c r="DU39" s="101"/>
      <c r="DV39" s="101"/>
    </row>
    <row r="40" spans="11:126" ht="18" hidden="1" customHeight="1" outlineLevel="1" x14ac:dyDescent="0.3">
      <c r="K40"/>
      <c r="N40"/>
      <c r="Y40" s="176">
        <v>23</v>
      </c>
      <c r="Z40" s="177">
        <v>-73.05</v>
      </c>
      <c r="AA40" s="177">
        <v>-76.05</v>
      </c>
      <c r="AB40" s="176">
        <v>9.8000000000000007</v>
      </c>
      <c r="AC40" s="176">
        <v>9.8000000000000007</v>
      </c>
      <c r="AD40" s="176">
        <v>105</v>
      </c>
      <c r="AV40"/>
      <c r="AY40"/>
      <c r="BJ40" s="86"/>
      <c r="BK40" s="88"/>
      <c r="BL40" s="88"/>
      <c r="BM40" s="86"/>
      <c r="BN40" s="86"/>
      <c r="BO40" s="86"/>
      <c r="CH40"/>
      <c r="CK40"/>
      <c r="CV40" s="86">
        <v>23</v>
      </c>
      <c r="CW40" s="88">
        <v>107.224</v>
      </c>
      <c r="CX40" s="88">
        <v>105.23</v>
      </c>
      <c r="CY40" s="86">
        <v>6.226</v>
      </c>
      <c r="CZ40" s="86">
        <v>6.226</v>
      </c>
      <c r="DA40" s="86">
        <v>26</v>
      </c>
      <c r="DC40" t="s">
        <v>278</v>
      </c>
      <c r="DD40">
        <v>101.94</v>
      </c>
      <c r="DE40">
        <v>101.94</v>
      </c>
      <c r="DF40">
        <v>5</v>
      </c>
      <c r="DU40" s="101"/>
      <c r="DV40" s="101"/>
    </row>
    <row r="41" spans="11:126" ht="18" hidden="1" customHeight="1" outlineLevel="1" x14ac:dyDescent="0.3">
      <c r="K41"/>
      <c r="N41"/>
      <c r="O41" s="101" t="str">
        <f>IFERROR((MP_DATA[[#This Row],[D, bottom '[m']]]+#REF!)/(2*#REF!/1000),"")</f>
        <v/>
      </c>
      <c r="Y41" s="86"/>
      <c r="Z41" s="88"/>
      <c r="AA41" s="88"/>
      <c r="AB41" s="86"/>
      <c r="AC41" s="86"/>
      <c r="AD41" s="86"/>
      <c r="AV41"/>
      <c r="AY41"/>
      <c r="AZ41" s="101" t="str">
        <f>IFERROR((TP_DATA[[#This Row],[D, bottom '[m']]]+#REF!)/(2*#REF!/1000),"")</f>
        <v/>
      </c>
      <c r="BJ41" s="86"/>
      <c r="BK41" s="88"/>
      <c r="BL41" s="88"/>
      <c r="BM41" s="86"/>
      <c r="BN41" s="86"/>
      <c r="BO41" s="86"/>
      <c r="CH41"/>
      <c r="CK41"/>
      <c r="CL41" s="101" t="str">
        <f>IFERROR((TOWER_DATA[[#This Row],[D, bottom '[m']]]+#REF!)/(2*#REF!/1000),"")</f>
        <v/>
      </c>
      <c r="CV41" s="86">
        <v>24</v>
      </c>
      <c r="CW41" s="88">
        <v>105.23</v>
      </c>
      <c r="CX41" s="88">
        <v>102.30000000000001</v>
      </c>
      <c r="CY41" s="86">
        <v>6.226</v>
      </c>
      <c r="CZ41" s="86">
        <v>6.2279999999999998</v>
      </c>
      <c r="DA41" s="86">
        <v>26</v>
      </c>
      <c r="DC41" t="s">
        <v>278</v>
      </c>
      <c r="DD41">
        <v>101.89999999999999</v>
      </c>
      <c r="DE41">
        <v>101.89999999999999</v>
      </c>
      <c r="DF41">
        <v>1</v>
      </c>
      <c r="DU41" s="101"/>
      <c r="DV41" s="101"/>
    </row>
    <row r="42" spans="11:126" ht="18" hidden="1" customHeight="1" outlineLevel="1" x14ac:dyDescent="0.3">
      <c r="K42"/>
      <c r="N42"/>
      <c r="O42" s="101" t="str">
        <f>IFERROR((MP_DATA[[#This Row],[D, bottom '[m']]]+#REF!)/(2*#REF!/1000),"")</f>
        <v/>
      </c>
      <c r="Y42" s="86"/>
      <c r="Z42" s="88"/>
      <c r="AA42" s="88"/>
      <c r="AB42" s="86"/>
      <c r="AC42" s="86"/>
      <c r="AD42" s="86"/>
      <c r="AV42"/>
      <c r="AY42"/>
      <c r="AZ42" s="101" t="str">
        <f>IFERROR((TP_DATA[[#This Row],[D, bottom '[m']]]+#REF!)/(2*#REF!/1000),"")</f>
        <v/>
      </c>
      <c r="BJ42" s="86"/>
      <c r="BK42" s="88"/>
      <c r="BL42" s="88"/>
      <c r="BM42" s="86"/>
      <c r="BN42" s="86"/>
      <c r="BO42" s="86"/>
      <c r="CH42"/>
      <c r="CK42"/>
      <c r="CL42" s="101" t="str">
        <f>IFERROR((TOWER_DATA[[#This Row],[D, bottom '[m']]]+#REF!)/(2*#REF!/1000),"")</f>
        <v/>
      </c>
      <c r="CV42" s="86">
        <v>25</v>
      </c>
      <c r="CW42" s="88">
        <v>102.30000000000001</v>
      </c>
      <c r="CX42" s="88">
        <v>102.26</v>
      </c>
      <c r="CY42" s="86">
        <v>6.2279999999999998</v>
      </c>
      <c r="CZ42" s="86">
        <v>6.2279999999999998</v>
      </c>
      <c r="DA42" s="86">
        <v>28</v>
      </c>
      <c r="DC42" t="s">
        <v>278</v>
      </c>
      <c r="DD42">
        <v>100.89999999999999</v>
      </c>
      <c r="DE42">
        <v>100.89999999999999</v>
      </c>
      <c r="DF42">
        <v>1003</v>
      </c>
      <c r="DU42" s="101"/>
      <c r="DV42" s="101"/>
    </row>
    <row r="43" spans="11:126" ht="18" hidden="1" customHeight="1" outlineLevel="1" x14ac:dyDescent="0.3">
      <c r="K43"/>
      <c r="N43"/>
      <c r="O43" s="101" t="str">
        <f>IFERROR((MP_DATA[[#This Row],[D, bottom '[m']]]+#REF!)/(2*#REF!/1000),"")</f>
        <v/>
      </c>
      <c r="AV43"/>
      <c r="AY43"/>
      <c r="AZ43" s="101" t="str">
        <f>IFERROR((TP_DATA[[#This Row],[D, bottom '[m']]]+#REF!)/(2*#REF!/1000),"")</f>
        <v/>
      </c>
      <c r="CH43"/>
      <c r="CK43"/>
      <c r="CL43" s="101" t="str">
        <f>IFERROR((TOWER_DATA[[#This Row],[D, bottom '[m']]]+#REF!)/(2*#REF!/1000),"")</f>
        <v/>
      </c>
      <c r="CV43" s="86">
        <v>26</v>
      </c>
      <c r="CW43" s="88">
        <v>102.26</v>
      </c>
      <c r="CX43" s="88">
        <v>102.10000000000001</v>
      </c>
      <c r="CY43" s="86">
        <v>6.2279999999999998</v>
      </c>
      <c r="CZ43" s="86">
        <v>6.2279999999999998</v>
      </c>
      <c r="DA43" s="86">
        <v>28</v>
      </c>
      <c r="DC43" t="s">
        <v>278</v>
      </c>
      <c r="DD43">
        <v>99.002999999999986</v>
      </c>
      <c r="DE43">
        <v>99.002999999999986</v>
      </c>
      <c r="DF43">
        <v>137</v>
      </c>
      <c r="DU43" s="101"/>
      <c r="DV43" s="101"/>
    </row>
    <row r="44" spans="11:126" ht="18" hidden="1" customHeight="1" outlineLevel="1" x14ac:dyDescent="0.3">
      <c r="K44"/>
      <c r="N44"/>
      <c r="O44" s="101" t="str">
        <f>IFERROR((MP_DATA[[#This Row],[D, bottom '[m']]]+#REF!)/(2*#REF!/1000),"")</f>
        <v/>
      </c>
      <c r="AV44"/>
      <c r="AY44"/>
      <c r="AZ44" s="101" t="str">
        <f>IFERROR((TP_DATA[[#This Row],[D, bottom '[m']]]+#REF!)/(2*#REF!/1000),"")</f>
        <v/>
      </c>
      <c r="CH44"/>
      <c r="CK44"/>
      <c r="CL44" s="101" t="str">
        <f>IFERROR((TOWER_DATA[[#This Row],[D, bottom '[m']]]+#REF!)/(2*#REF!/1000),"")</f>
        <v/>
      </c>
      <c r="CV44" s="86">
        <v>27</v>
      </c>
      <c r="CW44" s="88">
        <v>102.10000000000001</v>
      </c>
      <c r="CX44" s="88">
        <v>101.94000000000001</v>
      </c>
      <c r="CY44" s="86">
        <v>6.2279999999999998</v>
      </c>
      <c r="CZ44" s="86">
        <v>6.2279999999999998</v>
      </c>
      <c r="DA44" s="86">
        <v>28</v>
      </c>
      <c r="DC44" t="s">
        <v>278</v>
      </c>
      <c r="DD44">
        <v>94.891999999999996</v>
      </c>
      <c r="DE44">
        <v>94.891999999999996</v>
      </c>
      <c r="DF44">
        <v>138</v>
      </c>
      <c r="DU44" s="101"/>
      <c r="DV44" s="101"/>
    </row>
    <row r="45" spans="11:126" ht="18" hidden="1" customHeight="1" outlineLevel="1" x14ac:dyDescent="0.3">
      <c r="K45"/>
      <c r="N45"/>
      <c r="O45" s="101" t="str">
        <f>IFERROR((MP_DATA[[#This Row],[D, bottom '[m']]]+#REF!)/(2*#REF!/1000),"")</f>
        <v/>
      </c>
      <c r="AV45"/>
      <c r="AY45"/>
      <c r="AZ45" s="101" t="str">
        <f>IFERROR((TP_DATA[[#This Row],[D, bottom '[m']]]+#REF!)/(2*#REF!/1000),"")</f>
        <v/>
      </c>
      <c r="CH45"/>
      <c r="CK45"/>
      <c r="CL45" s="101" t="str">
        <f>IFERROR((TOWER_DATA[[#This Row],[D, bottom '[m']]]+#REF!)/(2*#REF!/1000),"")</f>
        <v/>
      </c>
      <c r="CV45" s="86">
        <v>28</v>
      </c>
      <c r="CW45" s="88">
        <v>101.94000000000001</v>
      </c>
      <c r="CX45" s="88">
        <v>101.9</v>
      </c>
      <c r="CY45" s="86">
        <v>6.2279999999999998</v>
      </c>
      <c r="CZ45" s="86">
        <v>6.23</v>
      </c>
      <c r="DA45" s="86">
        <v>28</v>
      </c>
      <c r="DC45" t="s">
        <v>278</v>
      </c>
      <c r="DD45">
        <v>91.005999999999986</v>
      </c>
      <c r="DE45">
        <v>91.005999999999986</v>
      </c>
      <c r="DF45">
        <v>138</v>
      </c>
      <c r="DU45" s="101"/>
      <c r="DV45" s="101"/>
    </row>
    <row r="46" spans="11:126" ht="18" hidden="1" customHeight="1" outlineLevel="1" x14ac:dyDescent="0.3">
      <c r="K46"/>
      <c r="N46"/>
      <c r="O46" s="101" t="str">
        <f>IFERROR((MP_DATA[[#This Row],[D, bottom '[m']]]+#REF!)/(2*#REF!/1000),"")</f>
        <v/>
      </c>
      <c r="AV46"/>
      <c r="AY46"/>
      <c r="AZ46" s="101" t="str">
        <f>IFERROR((TP_DATA[[#This Row],[D, bottom '[m']]]+#REF!)/(2*#REF!/1000),"")</f>
        <v/>
      </c>
      <c r="CH46"/>
      <c r="CK46"/>
      <c r="CL46" s="101" t="str">
        <f>IFERROR((TOWER_DATA[[#This Row],[D, bottom '[m']]]+#REF!)/(2*#REF!/1000),"")</f>
        <v/>
      </c>
      <c r="CV46" s="86">
        <v>29</v>
      </c>
      <c r="CW46" s="88">
        <v>101.9</v>
      </c>
      <c r="CX46" s="88">
        <v>100.9</v>
      </c>
      <c r="CY46" s="86">
        <v>6.23</v>
      </c>
      <c r="CZ46" s="86">
        <v>6.2530000000000001</v>
      </c>
      <c r="DA46" s="86">
        <v>30.099999999999998</v>
      </c>
      <c r="DC46" t="s">
        <v>278</v>
      </c>
      <c r="DD46">
        <v>90.899999999999991</v>
      </c>
      <c r="DE46">
        <v>90.899999999999991</v>
      </c>
      <c r="DF46">
        <v>139</v>
      </c>
      <c r="DU46" s="101"/>
      <c r="DV46" s="101"/>
    </row>
    <row r="47" spans="11:126" ht="18" hidden="1" customHeight="1" outlineLevel="1" x14ac:dyDescent="0.3">
      <c r="K47"/>
      <c r="N47"/>
      <c r="O47" s="101"/>
      <c r="AV47"/>
      <c r="AY47"/>
      <c r="AZ47" s="101"/>
      <c r="CH47"/>
      <c r="CK47"/>
      <c r="CL47" s="101"/>
      <c r="CV47" s="86">
        <v>30</v>
      </c>
      <c r="CW47" s="88">
        <v>100.9</v>
      </c>
      <c r="CX47" s="88">
        <v>99.172000000000011</v>
      </c>
      <c r="CY47" s="86">
        <v>6.2530000000000001</v>
      </c>
      <c r="CZ47" s="86">
        <v>6.2889999999999997</v>
      </c>
      <c r="DA47" s="86">
        <v>30.099999999999998</v>
      </c>
      <c r="DC47" t="s">
        <v>278</v>
      </c>
      <c r="DD47">
        <v>86.670999999999992</v>
      </c>
      <c r="DE47">
        <v>86.670999999999992</v>
      </c>
      <c r="DF47">
        <v>139</v>
      </c>
      <c r="DU47" s="101"/>
      <c r="DV47" s="101"/>
    </row>
    <row r="48" spans="11:126" ht="18" hidden="1" customHeight="1" outlineLevel="1" x14ac:dyDescent="0.3">
      <c r="K48"/>
      <c r="N48"/>
      <c r="O48" s="101"/>
      <c r="AV48"/>
      <c r="AY48"/>
      <c r="AZ48" s="101"/>
      <c r="CH48"/>
      <c r="CK48"/>
      <c r="CL48" s="101"/>
      <c r="CV48" s="86">
        <v>31</v>
      </c>
      <c r="CW48" s="88">
        <v>99.172000000000011</v>
      </c>
      <c r="CX48" s="88">
        <v>99.003</v>
      </c>
      <c r="CY48" s="86">
        <v>6.2889999999999997</v>
      </c>
      <c r="CZ48" s="86">
        <v>6.2919999999999998</v>
      </c>
      <c r="DA48" s="86">
        <v>26.5</v>
      </c>
      <c r="DC48" t="s">
        <v>278</v>
      </c>
      <c r="DD48">
        <v>82.839999999999989</v>
      </c>
      <c r="DE48">
        <v>82.839999999999989</v>
      </c>
      <c r="DF48">
        <v>140</v>
      </c>
      <c r="DU48" s="101"/>
      <c r="DV48" s="101"/>
    </row>
    <row r="49" spans="11:126" ht="18" hidden="1" customHeight="1" outlineLevel="1" x14ac:dyDescent="0.3">
      <c r="K49"/>
      <c r="N49"/>
      <c r="O49" s="101"/>
      <c r="AV49"/>
      <c r="AY49"/>
      <c r="AZ49" s="101"/>
      <c r="CH49"/>
      <c r="CK49"/>
      <c r="CL49" s="101"/>
      <c r="CV49" s="86">
        <v>32</v>
      </c>
      <c r="CW49" s="88">
        <v>99.003</v>
      </c>
      <c r="CX49" s="88">
        <v>96.45</v>
      </c>
      <c r="CY49" s="86">
        <v>6.2919999999999998</v>
      </c>
      <c r="CZ49" s="86">
        <v>6.351</v>
      </c>
      <c r="DA49" s="86">
        <v>26.5</v>
      </c>
      <c r="DC49" t="s">
        <v>278</v>
      </c>
      <c r="DD49">
        <v>80.899999999999991</v>
      </c>
      <c r="DE49">
        <v>80.899999999999991</v>
      </c>
      <c r="DF49">
        <v>140</v>
      </c>
      <c r="DU49" s="101"/>
      <c r="DV49" s="101"/>
    </row>
    <row r="50" spans="11:126" ht="18" hidden="1" customHeight="1" outlineLevel="1" x14ac:dyDescent="0.3">
      <c r="K50"/>
      <c r="N50"/>
      <c r="O50" s="101"/>
      <c r="AV50"/>
      <c r="AY50"/>
      <c r="AZ50" s="101"/>
      <c r="CH50"/>
      <c r="CK50"/>
      <c r="CL50" s="101"/>
      <c r="CV50" s="86">
        <v>33</v>
      </c>
      <c r="CW50" s="88">
        <v>96.45</v>
      </c>
      <c r="CX50" s="88">
        <v>94.89200000000001</v>
      </c>
      <c r="CY50" s="86">
        <v>6.351</v>
      </c>
      <c r="CZ50" s="86">
        <v>6.3869999999999996</v>
      </c>
      <c r="DA50" s="86">
        <v>28</v>
      </c>
      <c r="DC50" t="s">
        <v>278</v>
      </c>
      <c r="DD50">
        <v>78.449999999999989</v>
      </c>
      <c r="DE50">
        <v>78.449999999999989</v>
      </c>
      <c r="DF50">
        <v>141</v>
      </c>
      <c r="DU50" s="101"/>
      <c r="DV50" s="101"/>
    </row>
    <row r="51" spans="11:126" ht="18" hidden="1" customHeight="1" outlineLevel="1" x14ac:dyDescent="0.3">
      <c r="K51"/>
      <c r="N51"/>
      <c r="O51" s="101"/>
      <c r="AV51"/>
      <c r="AY51"/>
      <c r="AZ51" s="101"/>
      <c r="CH51"/>
      <c r="CK51"/>
      <c r="CL51" s="101"/>
      <c r="CV51" s="86">
        <v>34</v>
      </c>
      <c r="CW51" s="88">
        <v>94.89200000000001</v>
      </c>
      <c r="CX51" s="88">
        <v>93.728000000000009</v>
      </c>
      <c r="CY51" s="86">
        <v>6.3869999999999996</v>
      </c>
      <c r="CZ51" s="86">
        <v>6.4139999999999997</v>
      </c>
      <c r="DA51" s="86">
        <v>28</v>
      </c>
      <c r="DC51" t="s">
        <v>278</v>
      </c>
      <c r="DD51">
        <v>74.673999999999992</v>
      </c>
      <c r="DE51">
        <v>74.673999999999992</v>
      </c>
      <c r="DF51">
        <v>141</v>
      </c>
      <c r="DU51" s="101"/>
      <c r="DV51" s="101"/>
    </row>
    <row r="52" spans="11:126" ht="18" hidden="1" customHeight="1" outlineLevel="1" x14ac:dyDescent="0.3">
      <c r="K52"/>
      <c r="N52"/>
      <c r="O52" s="101"/>
      <c r="AV52"/>
      <c r="AY52"/>
      <c r="AZ52" s="101"/>
      <c r="CH52"/>
      <c r="CK52"/>
      <c r="CL52" s="101"/>
      <c r="CV52" s="86">
        <v>35</v>
      </c>
      <c r="CW52" s="88">
        <v>93.728000000000009</v>
      </c>
      <c r="CX52" s="88">
        <v>91.006</v>
      </c>
      <c r="CY52" s="86">
        <v>6.4139999999999997</v>
      </c>
      <c r="CZ52" s="86">
        <v>6.4749999999999996</v>
      </c>
      <c r="DA52" s="86">
        <v>28.6</v>
      </c>
      <c r="DC52" t="s">
        <v>278</v>
      </c>
      <c r="DD52">
        <v>71.951999999999984</v>
      </c>
      <c r="DE52">
        <v>71.951999999999984</v>
      </c>
      <c r="DF52">
        <v>142</v>
      </c>
      <c r="DU52" s="101"/>
      <c r="DV52" s="101"/>
    </row>
    <row r="53" spans="11:126" ht="18" hidden="1" customHeight="1" outlineLevel="1" x14ac:dyDescent="0.3">
      <c r="K53"/>
      <c r="N53"/>
      <c r="O53" s="101"/>
      <c r="AV53"/>
      <c r="AY53"/>
      <c r="AZ53" s="101"/>
      <c r="CH53"/>
      <c r="CK53"/>
      <c r="CL53" s="101"/>
      <c r="CV53" s="86">
        <v>36</v>
      </c>
      <c r="CW53" s="88">
        <v>91.006</v>
      </c>
      <c r="CX53" s="88">
        <v>90.9</v>
      </c>
      <c r="CY53" s="86">
        <v>6.4749999999999996</v>
      </c>
      <c r="CZ53" s="86">
        <v>6.4779999999999998</v>
      </c>
      <c r="DA53" s="86">
        <v>29.4</v>
      </c>
      <c r="DC53" t="s">
        <v>278</v>
      </c>
      <c r="DD53">
        <v>70.899999999999991</v>
      </c>
      <c r="DE53">
        <v>70.899999999999991</v>
      </c>
      <c r="DF53">
        <v>143</v>
      </c>
      <c r="DU53" s="101"/>
      <c r="DV53" s="101"/>
    </row>
    <row r="54" spans="11:126" ht="18" hidden="1" customHeight="1" outlineLevel="1" x14ac:dyDescent="0.3">
      <c r="K54"/>
      <c r="N54"/>
      <c r="O54" s="101"/>
      <c r="AV54"/>
      <c r="AY54"/>
      <c r="AZ54" s="101"/>
      <c r="CH54"/>
      <c r="CK54"/>
      <c r="CL54" s="101"/>
      <c r="CV54" s="86">
        <v>37</v>
      </c>
      <c r="CW54" s="88">
        <v>90.9</v>
      </c>
      <c r="CX54" s="88">
        <v>88.284000000000006</v>
      </c>
      <c r="CY54" s="86">
        <v>6.4779999999999998</v>
      </c>
      <c r="CZ54" s="86">
        <v>6.5380000000000003</v>
      </c>
      <c r="DA54" s="86">
        <v>29.4</v>
      </c>
      <c r="DC54" t="s">
        <v>278</v>
      </c>
      <c r="DD54">
        <v>66.489999999999995</v>
      </c>
      <c r="DE54">
        <v>66.489999999999995</v>
      </c>
      <c r="DF54">
        <v>144</v>
      </c>
      <c r="DU54" s="101"/>
      <c r="DV54" s="101"/>
    </row>
    <row r="55" spans="11:126" ht="18" hidden="1" customHeight="1" outlineLevel="1" x14ac:dyDescent="0.3">
      <c r="K55"/>
      <c r="N55"/>
      <c r="O55" s="101"/>
      <c r="AV55"/>
      <c r="AY55"/>
      <c r="AZ55" s="101"/>
      <c r="CH55"/>
      <c r="CK55"/>
      <c r="CL55" s="101"/>
      <c r="CV55" s="86">
        <v>38</v>
      </c>
      <c r="CW55" s="88">
        <v>88.284000000000006</v>
      </c>
      <c r="CX55" s="88">
        <v>86.671000000000006</v>
      </c>
      <c r="CY55" s="86">
        <v>6.5380000000000003</v>
      </c>
      <c r="CZ55" s="86">
        <v>6.5739999999999998</v>
      </c>
      <c r="DA55" s="86">
        <v>29.5</v>
      </c>
      <c r="DC55" t="s">
        <v>278</v>
      </c>
      <c r="DD55">
        <v>66.444999999999993</v>
      </c>
      <c r="DE55">
        <v>66.444999999999993</v>
      </c>
      <c r="DF55">
        <v>7316</v>
      </c>
      <c r="DU55" s="101"/>
      <c r="DV55" s="101"/>
    </row>
    <row r="56" spans="11:126" ht="18" hidden="1" customHeight="1" outlineLevel="1" x14ac:dyDescent="0.3">
      <c r="K56"/>
      <c r="N56"/>
      <c r="O56" s="101"/>
      <c r="AV56"/>
      <c r="AY56"/>
      <c r="AZ56" s="101"/>
      <c r="CH56"/>
      <c r="CK56"/>
      <c r="CL56" s="101"/>
      <c r="CV56" s="86">
        <v>39</v>
      </c>
      <c r="CW56" s="88">
        <v>86.671000000000006</v>
      </c>
      <c r="CX56" s="88">
        <v>85.562000000000012</v>
      </c>
      <c r="CY56" s="86">
        <v>6.5739999999999998</v>
      </c>
      <c r="CZ56" s="86">
        <v>6.601</v>
      </c>
      <c r="DA56" s="86">
        <v>29.5</v>
      </c>
      <c r="DC56" t="s">
        <v>278</v>
      </c>
      <c r="DD56">
        <v>66.259999999999991</v>
      </c>
      <c r="DE56">
        <v>66.259999999999991</v>
      </c>
      <c r="DF56">
        <v>10048</v>
      </c>
      <c r="DU56" s="101"/>
      <c r="DV56" s="101"/>
    </row>
    <row r="57" spans="11:126" ht="18" hidden="1" customHeight="1" outlineLevel="1" x14ac:dyDescent="0.3">
      <c r="K57"/>
      <c r="N57"/>
      <c r="O57" s="101"/>
      <c r="AV57"/>
      <c r="AY57"/>
      <c r="AZ57" s="101"/>
      <c r="CH57"/>
      <c r="CK57"/>
      <c r="CL57" s="101"/>
      <c r="CV57" s="86">
        <v>40</v>
      </c>
      <c r="CW57" s="88">
        <v>85.562000000000012</v>
      </c>
      <c r="CX57" s="88">
        <v>82.84</v>
      </c>
      <c r="CY57" s="86">
        <v>6.601</v>
      </c>
      <c r="CZ57" s="86">
        <v>6.6619999999999999</v>
      </c>
      <c r="DA57" s="86">
        <v>31.5</v>
      </c>
      <c r="DC57" t="s">
        <v>278</v>
      </c>
      <c r="DD57">
        <v>66.074999999999989</v>
      </c>
      <c r="DE57">
        <v>66.074999999999989</v>
      </c>
      <c r="DF57">
        <v>6</v>
      </c>
      <c r="DU57" s="101"/>
      <c r="DV57" s="101"/>
    </row>
    <row r="58" spans="11:126" ht="18" hidden="1" customHeight="1" outlineLevel="1" x14ac:dyDescent="0.3">
      <c r="K58"/>
      <c r="N58"/>
      <c r="O58" s="101"/>
      <c r="AV58"/>
      <c r="AY58"/>
      <c r="AZ58" s="101"/>
      <c r="CH58"/>
      <c r="CK58"/>
      <c r="CL58" s="101"/>
      <c r="CV58" s="86">
        <v>41</v>
      </c>
      <c r="CW58" s="88">
        <v>82.84</v>
      </c>
      <c r="CX58" s="88">
        <v>82.56</v>
      </c>
      <c r="CY58" s="86">
        <v>6.6619999999999999</v>
      </c>
      <c r="CZ58" s="86">
        <v>6.6689999999999996</v>
      </c>
      <c r="DA58" s="86">
        <v>31.2</v>
      </c>
      <c r="DC58" t="s">
        <v>278</v>
      </c>
      <c r="DD58">
        <v>66.029999999999987</v>
      </c>
      <c r="DE58">
        <v>66.029999999999987</v>
      </c>
      <c r="DF58">
        <v>1061</v>
      </c>
      <c r="DU58" s="101"/>
      <c r="DV58" s="101"/>
    </row>
    <row r="59" spans="11:126" ht="18" hidden="1" customHeight="1" outlineLevel="1" x14ac:dyDescent="0.3">
      <c r="K59"/>
      <c r="N59"/>
      <c r="O59" s="101" t="str">
        <f>IFERROR((MP_DATA[[#This Row],[D, bottom '[m']]]+#REF!)/(2*#REF!/1000),"")</f>
        <v/>
      </c>
      <c r="AV59"/>
      <c r="AY59"/>
      <c r="AZ59" s="101" t="str">
        <f>IFERROR((TP_DATA[[#This Row],[D, bottom '[m']]]+#REF!)/(2*#REF!/1000),"")</f>
        <v/>
      </c>
      <c r="CH59"/>
      <c r="CK59"/>
      <c r="CL59" s="101" t="str">
        <f>IFERROR((TOWER_DATA[[#This Row],[D, bottom '[m']]]+#REF!)/(2*#REF!/1000),"")</f>
        <v/>
      </c>
      <c r="CV59" s="86">
        <v>42</v>
      </c>
      <c r="CW59" s="88">
        <v>82.56</v>
      </c>
      <c r="CX59" s="88">
        <v>80.900000000000006</v>
      </c>
      <c r="CY59" s="86">
        <v>6.6689999999999996</v>
      </c>
      <c r="CZ59" s="86">
        <v>6.7060000000000004</v>
      </c>
      <c r="DA59" s="86">
        <v>31.2</v>
      </c>
      <c r="DC59" t="s">
        <v>278</v>
      </c>
      <c r="DD59">
        <v>63.308000000000007</v>
      </c>
      <c r="DE59">
        <v>63.308000000000007</v>
      </c>
      <c r="DF59">
        <v>143</v>
      </c>
      <c r="DU59" s="101"/>
      <c r="DV59" s="101"/>
    </row>
    <row r="60" spans="11:126" ht="18" hidden="1" customHeight="1" outlineLevel="1" x14ac:dyDescent="0.3">
      <c r="K60"/>
      <c r="N60"/>
      <c r="O60" s="101" t="str">
        <f>IFERROR((MP_DATA[[#This Row],[D, bottom '[m']]]+#REF!)/(2*#REF!/1000),"")</f>
        <v/>
      </c>
      <c r="AV60"/>
      <c r="AY60"/>
      <c r="AZ60" s="101" t="str">
        <f>IFERROR((TP_DATA[[#This Row],[D, bottom '[m']]]+#REF!)/(2*#REF!/1000),"")</f>
        <v/>
      </c>
      <c r="CH60"/>
      <c r="CK60"/>
      <c r="CL60" s="101" t="str">
        <f>IFERROR((TOWER_DATA[[#This Row],[D, bottom '[m']]]+#REF!)/(2*#REF!/1000),"")</f>
        <v/>
      </c>
      <c r="CV60" s="86">
        <v>43</v>
      </c>
      <c r="CW60" s="88">
        <v>80.900000000000006</v>
      </c>
      <c r="CX60" s="88">
        <v>80.118000000000009</v>
      </c>
      <c r="CY60" s="86">
        <v>6.7060000000000004</v>
      </c>
      <c r="CZ60" s="86">
        <v>6.7240000000000002</v>
      </c>
      <c r="DA60" s="86">
        <v>31.2</v>
      </c>
      <c r="DC60" t="s">
        <v>278</v>
      </c>
      <c r="DD60">
        <v>62.007000000000005</v>
      </c>
      <c r="DE60">
        <v>62.007000000000005</v>
      </c>
      <c r="DF60">
        <v>144</v>
      </c>
      <c r="DU60" s="101"/>
      <c r="DV60" s="101"/>
    </row>
    <row r="61" spans="11:126" ht="18" hidden="1" customHeight="1" outlineLevel="1" x14ac:dyDescent="0.3">
      <c r="K61"/>
      <c r="N61"/>
      <c r="O61" s="101" t="str">
        <f>IFERROR((MP_DATA[[#This Row],[D, bottom '[m']]]+#REF!)/(2*#REF!/1000),"")</f>
        <v/>
      </c>
      <c r="AV61"/>
      <c r="AY61"/>
      <c r="AZ61" s="101" t="str">
        <f>IFERROR((TP_DATA[[#This Row],[D, bottom '[m']]]+#REF!)/(2*#REF!/1000),"")</f>
        <v/>
      </c>
      <c r="CH61"/>
      <c r="CK61"/>
      <c r="CL61" s="101" t="str">
        <f>IFERROR((TOWER_DATA[[#This Row],[D, bottom '[m']]]+#REF!)/(2*#REF!/1000),"")</f>
        <v/>
      </c>
      <c r="CV61" s="86">
        <v>44</v>
      </c>
      <c r="CW61" s="88">
        <v>80.118000000000009</v>
      </c>
      <c r="CX61" s="88">
        <v>78.45</v>
      </c>
      <c r="CY61" s="86">
        <v>6.7240000000000002</v>
      </c>
      <c r="CZ61" s="86">
        <v>6.7619999999999996</v>
      </c>
      <c r="DA61" s="86">
        <v>31.7</v>
      </c>
      <c r="DC61" t="s">
        <v>278</v>
      </c>
      <c r="DD61">
        <v>57.896000000000001</v>
      </c>
      <c r="DE61">
        <v>57.896000000000001</v>
      </c>
      <c r="DF61">
        <v>144</v>
      </c>
      <c r="DU61" s="101"/>
      <c r="DV61" s="101"/>
    </row>
    <row r="62" spans="11:126" ht="18" hidden="1" customHeight="1" outlineLevel="1" x14ac:dyDescent="0.3">
      <c r="K62"/>
      <c r="N62"/>
      <c r="O62" s="101" t="str">
        <f>IFERROR((MP_DATA[[#This Row],[D, bottom '[m']]]+#REF!)/(2*#REF!/1000),"")</f>
        <v/>
      </c>
      <c r="AV62"/>
      <c r="AY62"/>
      <c r="AZ62" s="101" t="str">
        <f>IFERROR((TP_DATA[[#This Row],[D, bottom '[m']]]+#REF!)/(2*#REF!/1000),"")</f>
        <v/>
      </c>
      <c r="CH62"/>
      <c r="CK62"/>
      <c r="CL62" s="101" t="str">
        <f>IFERROR((TOWER_DATA[[#This Row],[D, bottom '[m']]]+#REF!)/(2*#REF!/1000),"")</f>
        <v/>
      </c>
      <c r="CV62" s="86">
        <v>45</v>
      </c>
      <c r="CW62" s="88">
        <v>78.45</v>
      </c>
      <c r="CX62" s="88">
        <v>77.396000000000001</v>
      </c>
      <c r="CY62" s="86">
        <v>6.7619999999999996</v>
      </c>
      <c r="CZ62" s="86">
        <v>6.7859999999999996</v>
      </c>
      <c r="DA62" s="86">
        <v>31.7</v>
      </c>
      <c r="DC62" t="s">
        <v>278</v>
      </c>
      <c r="DD62">
        <v>55.153999999999996</v>
      </c>
      <c r="DE62">
        <v>55.153999999999996</v>
      </c>
      <c r="DF62">
        <v>144</v>
      </c>
      <c r="DU62" s="101"/>
      <c r="DV62" s="101"/>
    </row>
    <row r="63" spans="11:126" ht="18" hidden="1" customHeight="1" outlineLevel="1" x14ac:dyDescent="0.3">
      <c r="K63"/>
      <c r="N63"/>
      <c r="O63" s="101" t="str">
        <f>IFERROR((MP_DATA[[#This Row],[D, bottom '[m']]]+#REF!)/(2*#REF!/1000),"")</f>
        <v/>
      </c>
      <c r="AV63"/>
      <c r="AY63"/>
      <c r="AZ63" s="101" t="str">
        <f>IFERROR((TP_DATA[[#This Row],[D, bottom '[m']]]+#REF!)/(2*#REF!/1000),"")</f>
        <v/>
      </c>
      <c r="CH63"/>
      <c r="CK63"/>
      <c r="CL63" s="101" t="str">
        <f>IFERROR((TOWER_DATA[[#This Row],[D, bottom '[m']]]+#REF!)/(2*#REF!/1000),"")</f>
        <v/>
      </c>
      <c r="CV63" s="86">
        <v>46</v>
      </c>
      <c r="CW63" s="88">
        <v>77.396000000000001</v>
      </c>
      <c r="CX63" s="88">
        <v>74.674000000000007</v>
      </c>
      <c r="CY63" s="86">
        <v>6.7859999999999996</v>
      </c>
      <c r="CZ63" s="86">
        <v>6.8479999999999999</v>
      </c>
      <c r="DA63" s="86">
        <v>32.200000000000003</v>
      </c>
      <c r="DC63" t="s">
        <v>278</v>
      </c>
      <c r="DD63">
        <v>53.786000000000001</v>
      </c>
      <c r="DE63">
        <v>53.786000000000001</v>
      </c>
      <c r="DF63">
        <v>145</v>
      </c>
      <c r="DU63" s="101"/>
      <c r="DV63" s="101"/>
    </row>
    <row r="64" spans="11:126" ht="18" hidden="1" customHeight="1" outlineLevel="1" x14ac:dyDescent="0.3">
      <c r="K64"/>
      <c r="N64"/>
      <c r="O64" s="101" t="str">
        <f>IFERROR((MP_DATA[[#This Row],[D, bottom '[m']]]+#REF!)/(2*#REF!/1000),"")</f>
        <v/>
      </c>
      <c r="AV64"/>
      <c r="AY64"/>
      <c r="AZ64" s="101" t="str">
        <f>IFERROR((TP_DATA[[#This Row],[D, bottom '[m']]]+#REF!)/(2*#REF!/1000),"")</f>
        <v/>
      </c>
      <c r="CH64"/>
      <c r="CK64"/>
      <c r="CL64" s="101" t="str">
        <f>IFERROR((TOWER_DATA[[#This Row],[D, bottom '[m']]]+#REF!)/(2*#REF!/1000),"")</f>
        <v/>
      </c>
      <c r="CV64" s="86">
        <v>47</v>
      </c>
      <c r="CW64" s="88">
        <v>74.674000000000007</v>
      </c>
      <c r="CX64" s="88">
        <v>71.951999999999998</v>
      </c>
      <c r="CY64" s="86">
        <v>6.8479999999999999</v>
      </c>
      <c r="CZ64" s="86">
        <v>6.9109999999999996</v>
      </c>
      <c r="DA64" s="86">
        <v>32.5</v>
      </c>
      <c r="DC64" t="s">
        <v>278</v>
      </c>
      <c r="DD64">
        <v>50.900000000000006</v>
      </c>
      <c r="DE64">
        <v>50.900000000000006</v>
      </c>
      <c r="DF64">
        <v>145</v>
      </c>
      <c r="DU64" s="101"/>
      <c r="DV64" s="101"/>
    </row>
    <row r="65" spans="11:126" ht="18" hidden="1" customHeight="1" outlineLevel="1" x14ac:dyDescent="0.3">
      <c r="K65"/>
      <c r="N65"/>
      <c r="O65" s="101" t="str">
        <f>IFERROR((MP_DATA[[#This Row],[D, bottom '[m']]]+#REF!)/(2*#REF!/1000),"")</f>
        <v/>
      </c>
      <c r="AV65"/>
      <c r="AY65"/>
      <c r="AZ65" s="101" t="str">
        <f>IFERROR((TP_DATA[[#This Row],[D, bottom '[m']]]+#REF!)/(2*#REF!/1000),"")</f>
        <v/>
      </c>
      <c r="CH65"/>
      <c r="CK65"/>
      <c r="CL65" s="101" t="str">
        <f>IFERROR((TOWER_DATA[[#This Row],[D, bottom '[m']]]+#REF!)/(2*#REF!/1000),"")</f>
        <v/>
      </c>
      <c r="CV65" s="86">
        <v>48</v>
      </c>
      <c r="CW65" s="88">
        <v>71.951999999999998</v>
      </c>
      <c r="CX65" s="88">
        <v>70.900000000000006</v>
      </c>
      <c r="CY65" s="86">
        <v>6.9109999999999996</v>
      </c>
      <c r="CZ65" s="86">
        <v>6.9340000000000002</v>
      </c>
      <c r="DA65" s="86">
        <v>33.5</v>
      </c>
      <c r="DC65" t="s">
        <v>278</v>
      </c>
      <c r="DD65">
        <v>49.674999999999997</v>
      </c>
      <c r="DE65">
        <v>49.674999999999997</v>
      </c>
      <c r="DF65">
        <v>145</v>
      </c>
      <c r="DU65" s="101"/>
      <c r="DV65" s="101"/>
    </row>
    <row r="66" spans="11:126" ht="18" hidden="1" customHeight="1" outlineLevel="1" x14ac:dyDescent="0.3">
      <c r="K66"/>
      <c r="N66"/>
      <c r="O66" s="101" t="str">
        <f>IFERROR((MP_DATA[[#This Row],[D, bottom '[m']]]+#REF!)/(2*#REF!/1000),"")</f>
        <v/>
      </c>
      <c r="AV66"/>
      <c r="AY66"/>
      <c r="AZ66" s="101" t="str">
        <f>IFERROR((TP_DATA[[#This Row],[D, bottom '[m']]]+#REF!)/(2*#REF!/1000),"")</f>
        <v/>
      </c>
      <c r="CH66"/>
      <c r="CK66"/>
      <c r="CL66" s="101" t="str">
        <f>IFERROR((TOWER_DATA[[#This Row],[D, bottom '[m']]]+#REF!)/(2*#REF!/1000),"")</f>
        <v/>
      </c>
      <c r="CV66" s="86">
        <v>49</v>
      </c>
      <c r="CW66" s="88">
        <v>70.900000000000006</v>
      </c>
      <c r="CX66" s="88">
        <v>69.225000000000009</v>
      </c>
      <c r="CY66" s="86">
        <v>6.9340000000000002</v>
      </c>
      <c r="CZ66" s="86">
        <v>6.9720000000000004</v>
      </c>
      <c r="DA66" s="86">
        <v>33.5</v>
      </c>
      <c r="DC66" t="s">
        <v>278</v>
      </c>
      <c r="DD66">
        <v>45.564000000000007</v>
      </c>
      <c r="DE66">
        <v>45.564000000000007</v>
      </c>
      <c r="DF66">
        <v>146</v>
      </c>
      <c r="DU66" s="101"/>
      <c r="DV66" s="101"/>
    </row>
    <row r="67" spans="11:126" ht="18" hidden="1" customHeight="1" outlineLevel="1" x14ac:dyDescent="0.3">
      <c r="K67"/>
      <c r="N67"/>
      <c r="O67" s="101" t="str">
        <f>IFERROR((MP_DATA[[#This Row],[D, bottom '[m']]]+#REF!)/(2*#REF!/1000),"")</f>
        <v/>
      </c>
      <c r="AV67"/>
      <c r="AY67"/>
      <c r="AZ67" s="101" t="str">
        <f>IFERROR((TP_DATA[[#This Row],[D, bottom '[m']]]+#REF!)/(2*#REF!/1000),"")</f>
        <v/>
      </c>
      <c r="CH67"/>
      <c r="CK67"/>
      <c r="CL67" s="101" t="str">
        <f>IFERROR((TOWER_DATA[[#This Row],[D, bottom '[m']]]+#REF!)/(2*#REF!/1000),"")</f>
        <v/>
      </c>
      <c r="CV67" s="86">
        <v>50</v>
      </c>
      <c r="CW67" s="88">
        <v>69.225000000000009</v>
      </c>
      <c r="CX67" s="88">
        <v>66.490000000000009</v>
      </c>
      <c r="CY67" s="86">
        <v>6.9720000000000004</v>
      </c>
      <c r="CZ67" s="86">
        <v>7.0380000000000003</v>
      </c>
      <c r="DA67" s="86">
        <v>34</v>
      </c>
      <c r="DC67" t="s">
        <v>278</v>
      </c>
      <c r="DD67">
        <v>41.561000000000007</v>
      </c>
      <c r="DE67">
        <v>41.561000000000007</v>
      </c>
      <c r="DF67">
        <v>146</v>
      </c>
      <c r="DU67" s="101"/>
      <c r="DV67" s="101"/>
    </row>
    <row r="68" spans="11:126" ht="18" hidden="1" customHeight="1" outlineLevel="1" x14ac:dyDescent="0.3">
      <c r="K68"/>
      <c r="N68"/>
      <c r="O68" s="101" t="str">
        <f>IFERROR((MP_DATA[[#This Row],[D, bottom '[m']]]+#REF!)/(2*#REF!/1000),"")</f>
        <v/>
      </c>
      <c r="AV68"/>
      <c r="AY68"/>
      <c r="AZ68" s="101" t="str">
        <f>IFERROR((TP_DATA[[#This Row],[D, bottom '[m']]]+#REF!)/(2*#REF!/1000),"")</f>
        <v/>
      </c>
      <c r="CH68"/>
      <c r="CK68"/>
      <c r="CL68" s="101" t="str">
        <f>IFERROR((TOWER_DATA[[#This Row],[D, bottom '[m']]]+#REF!)/(2*#REF!/1000),"")</f>
        <v/>
      </c>
      <c r="CV68" s="86">
        <v>51</v>
      </c>
      <c r="CW68" s="88">
        <v>66.490000000000009</v>
      </c>
      <c r="CX68" s="88">
        <v>66.445000000000007</v>
      </c>
      <c r="CY68" s="86">
        <v>7.0380000000000003</v>
      </c>
      <c r="CZ68" s="86">
        <v>7.0380000000000003</v>
      </c>
      <c r="DA68" s="86">
        <v>38</v>
      </c>
      <c r="DC68" t="s">
        <v>278</v>
      </c>
      <c r="DD68">
        <v>40.900000000000006</v>
      </c>
      <c r="DE68">
        <v>40.900000000000006</v>
      </c>
      <c r="DF68">
        <v>150</v>
      </c>
      <c r="DU68" s="101"/>
      <c r="DV68" s="101"/>
    </row>
    <row r="69" spans="11:126" ht="18" hidden="1" customHeight="1" outlineLevel="1" x14ac:dyDescent="0.3">
      <c r="K69"/>
      <c r="N69"/>
      <c r="O69" s="101" t="str">
        <f>IFERROR((MP_DATA[[#This Row],[D, bottom '[m']]]+#REF!)/(2*#REF!/1000),"")</f>
        <v/>
      </c>
      <c r="AV69"/>
      <c r="AY69"/>
      <c r="AZ69" s="101" t="str">
        <f>IFERROR((TP_DATA[[#This Row],[D, bottom '[m']]]+#REF!)/(2*#REF!/1000),"")</f>
        <v/>
      </c>
      <c r="CH69"/>
      <c r="CK69"/>
      <c r="CL69" s="101" t="str">
        <f>IFERROR((TOWER_DATA[[#This Row],[D, bottom '[m']]]+#REF!)/(2*#REF!/1000),"")</f>
        <v/>
      </c>
      <c r="CV69" s="86">
        <v>52</v>
      </c>
      <c r="CW69" s="88">
        <v>66.445000000000007</v>
      </c>
      <c r="CX69" s="88">
        <v>66.260000000000005</v>
      </c>
      <c r="CY69" s="86">
        <v>7.0380000000000003</v>
      </c>
      <c r="CZ69" s="86">
        <v>7.0380000000000003</v>
      </c>
      <c r="DA69" s="86">
        <v>38</v>
      </c>
      <c r="DC69" t="s">
        <v>278</v>
      </c>
      <c r="DD69">
        <v>38.725000000000001</v>
      </c>
      <c r="DE69">
        <v>38.725000000000001</v>
      </c>
      <c r="DF69">
        <v>7072</v>
      </c>
      <c r="DU69" s="101"/>
      <c r="DV69" s="101"/>
    </row>
    <row r="70" spans="11:126" ht="18" hidden="1" customHeight="1" outlineLevel="1" x14ac:dyDescent="0.3">
      <c r="K70"/>
      <c r="N70"/>
      <c r="O70" s="101" t="str">
        <f>IFERROR((MP_DATA[[#This Row],[D, bottom '[m']]]+#REF!)/(2*#REF!/1000),"")</f>
        <v/>
      </c>
      <c r="AV70"/>
      <c r="AY70"/>
      <c r="AZ70" s="101" t="str">
        <f>IFERROR((TP_DATA[[#This Row],[D, bottom '[m']]]+#REF!)/(2*#REF!/1000),"")</f>
        <v/>
      </c>
      <c r="CH70"/>
      <c r="CK70"/>
      <c r="CL70" s="101" t="str">
        <f>IFERROR((TOWER_DATA[[#This Row],[D, bottom '[m']]]+#REF!)/(2*#REF!/1000),"")</f>
        <v/>
      </c>
      <c r="CV70" s="86">
        <v>53</v>
      </c>
      <c r="CW70" s="88">
        <v>66.260000000000005</v>
      </c>
      <c r="CX70" s="88">
        <v>66.075000000000003</v>
      </c>
      <c r="CY70" s="86">
        <v>7.0380000000000003</v>
      </c>
      <c r="CZ70" s="86">
        <v>7.0380000000000003</v>
      </c>
      <c r="DA70" s="86">
        <v>38</v>
      </c>
      <c r="DC70" t="s">
        <v>278</v>
      </c>
      <c r="DD70">
        <v>38.540000000000006</v>
      </c>
      <c r="DE70">
        <v>38.540000000000006</v>
      </c>
      <c r="DF70">
        <v>11176</v>
      </c>
      <c r="DU70" s="101"/>
      <c r="DV70" s="101"/>
    </row>
    <row r="71" spans="11:126" ht="18" hidden="1" customHeight="1" outlineLevel="1" x14ac:dyDescent="0.3">
      <c r="K71"/>
      <c r="N71"/>
      <c r="O71" s="101" t="str">
        <f>IFERROR((MP_DATA[[#This Row],[D, bottom '[m']]]+#REF!)/(2*#REF!/1000),"")</f>
        <v/>
      </c>
      <c r="AV71"/>
      <c r="AY71"/>
      <c r="AZ71" s="101" t="str">
        <f>IFERROR((TP_DATA[[#This Row],[D, bottom '[m']]]+#REF!)/(2*#REF!/1000),"")</f>
        <v/>
      </c>
      <c r="CH71"/>
      <c r="CK71"/>
      <c r="CL71" s="101" t="str">
        <f>IFERROR((TOWER_DATA[[#This Row],[D, bottom '[m']]]+#REF!)/(2*#REF!/1000),"")</f>
        <v/>
      </c>
      <c r="CV71" s="86">
        <v>54</v>
      </c>
      <c r="CW71" s="88">
        <v>66.075000000000003</v>
      </c>
      <c r="CX71" s="88">
        <v>66.03</v>
      </c>
      <c r="CY71" s="86">
        <v>7.0380000000000003</v>
      </c>
      <c r="CZ71" s="86">
        <v>7.032</v>
      </c>
      <c r="DA71" s="86">
        <v>38</v>
      </c>
      <c r="DC71" t="s">
        <v>278</v>
      </c>
      <c r="DD71">
        <v>38.355000000000004</v>
      </c>
      <c r="DE71">
        <v>38.355000000000004</v>
      </c>
      <c r="DF71">
        <v>6</v>
      </c>
      <c r="DU71" s="101"/>
      <c r="DV71" s="101"/>
    </row>
    <row r="72" spans="11:126" ht="18" hidden="1" customHeight="1" outlineLevel="1" x14ac:dyDescent="0.3">
      <c r="K72"/>
      <c r="N72"/>
      <c r="O72" s="101" t="str">
        <f>IFERROR((MP_DATA[[#This Row],[D, bottom '[m']]]+#REF!)/(2*#REF!/1000),"")</f>
        <v/>
      </c>
      <c r="AV72"/>
      <c r="AY72"/>
      <c r="AZ72" s="101" t="str">
        <f>IFERROR((TP_DATA[[#This Row],[D, bottom '[m']]]+#REF!)/(2*#REF!/1000),"")</f>
        <v/>
      </c>
      <c r="CH72"/>
      <c r="CK72"/>
      <c r="CL72" s="101" t="str">
        <f>IFERROR((TOWER_DATA[[#This Row],[D, bottom '[m']]]+#REF!)/(2*#REF!/1000),"")</f>
        <v/>
      </c>
      <c r="CV72" s="86">
        <v>55</v>
      </c>
      <c r="CW72" s="88">
        <v>66.03</v>
      </c>
      <c r="CX72" s="88">
        <v>63.308000000000007</v>
      </c>
      <c r="CY72" s="86">
        <v>7.032</v>
      </c>
      <c r="CZ72" s="86">
        <v>7.0759999999999996</v>
      </c>
      <c r="DA72" s="86">
        <v>32</v>
      </c>
      <c r="DC72" t="s">
        <v>278</v>
      </c>
      <c r="DD72">
        <v>38.305000000000007</v>
      </c>
      <c r="DE72">
        <v>38.305000000000007</v>
      </c>
      <c r="DF72">
        <v>2</v>
      </c>
      <c r="DU72" s="101"/>
      <c r="DV72" s="101"/>
    </row>
    <row r="73" spans="11:126" ht="18" hidden="1" customHeight="1" outlineLevel="1" x14ac:dyDescent="0.3">
      <c r="K73"/>
      <c r="N73"/>
      <c r="O73" s="101" t="str">
        <f>IFERROR((MP_DATA[[#This Row],[D, bottom '[m']]]+#REF!)/(2*#REF!/1000),"")</f>
        <v/>
      </c>
      <c r="AV73"/>
      <c r="AY73"/>
      <c r="AZ73" s="101" t="str">
        <f>IFERROR((TP_DATA[[#This Row],[D, bottom '[m']]]+#REF!)/(2*#REF!/1000),"")</f>
        <v/>
      </c>
      <c r="CH73"/>
      <c r="CK73"/>
      <c r="CL73" s="101" t="str">
        <f>IFERROR((TOWER_DATA[[#This Row],[D, bottom '[m']]]+#REF!)/(2*#REF!/1000),"")</f>
        <v/>
      </c>
      <c r="CV73" s="86">
        <v>56</v>
      </c>
      <c r="CW73" s="88">
        <v>63.308000000000007</v>
      </c>
      <c r="CX73" s="88">
        <v>62.007000000000005</v>
      </c>
      <c r="CY73" s="86">
        <v>7.0759999999999996</v>
      </c>
      <c r="CZ73" s="86">
        <v>7.0970000000000004</v>
      </c>
      <c r="DA73" s="86">
        <v>33</v>
      </c>
      <c r="DC73" t="s">
        <v>278</v>
      </c>
      <c r="DD73">
        <v>37.343000000000004</v>
      </c>
      <c r="DE73">
        <v>37.343000000000004</v>
      </c>
      <c r="DF73">
        <v>1318</v>
      </c>
      <c r="DU73" s="101"/>
      <c r="DV73" s="101"/>
    </row>
    <row r="74" spans="11:126" ht="18" hidden="1" customHeight="1" outlineLevel="1" x14ac:dyDescent="0.3">
      <c r="K74"/>
      <c r="N74"/>
      <c r="O74" s="101" t="str">
        <f>IFERROR((MP_DATA[[#This Row],[D, bottom '[m']]]+#REF!)/(2*#REF!/1000),"")</f>
        <v/>
      </c>
      <c r="AV74"/>
      <c r="AY74"/>
      <c r="AZ74" s="101" t="str">
        <f>IFERROR((TP_DATA[[#This Row],[D, bottom '[m']]]+#REF!)/(2*#REF!/1000),"")</f>
        <v/>
      </c>
      <c r="CH74"/>
      <c r="CK74"/>
      <c r="CL74" s="101" t="str">
        <f>IFERROR((TOWER_DATA[[#This Row],[D, bottom '[m']]]+#REF!)/(2*#REF!/1000),"")</f>
        <v/>
      </c>
      <c r="CV74" s="86">
        <v>57</v>
      </c>
      <c r="CW74" s="88">
        <v>62.007000000000005</v>
      </c>
      <c r="CX74" s="88">
        <v>60.900000000000006</v>
      </c>
      <c r="CY74" s="86">
        <v>7.0970000000000004</v>
      </c>
      <c r="CZ74" s="86">
        <v>7.1139999999999999</v>
      </c>
      <c r="DA74" s="86">
        <v>33</v>
      </c>
      <c r="DC74" t="s">
        <v>278</v>
      </c>
      <c r="DD74">
        <v>33.231999999999999</v>
      </c>
      <c r="DE74">
        <v>33.231999999999999</v>
      </c>
      <c r="DF74">
        <v>158</v>
      </c>
      <c r="DU74" s="101"/>
      <c r="DV74" s="101"/>
    </row>
    <row r="75" spans="11:126" ht="18" hidden="1" customHeight="1" outlineLevel="1" x14ac:dyDescent="0.3">
      <c r="K75"/>
      <c r="N75"/>
      <c r="O75" s="101" t="str">
        <f>IFERROR((MP_DATA[[#This Row],[D, bottom '[m']]]+#REF!)/(2*#REF!/1000),"")</f>
        <v/>
      </c>
      <c r="AV75"/>
      <c r="AY75"/>
      <c r="AZ75" s="101" t="str">
        <f>IFERROR((TP_DATA[[#This Row],[D, bottom '[m']]]+#REF!)/(2*#REF!/1000),"")</f>
        <v/>
      </c>
      <c r="CH75"/>
      <c r="CK75"/>
      <c r="CL75" s="101" t="str">
        <f>IFERROR((TOWER_DATA[[#This Row],[D, bottom '[m']]]+#REF!)/(2*#REF!/1000),"")</f>
        <v/>
      </c>
      <c r="CV75" s="86">
        <v>58</v>
      </c>
      <c r="CW75" s="88">
        <v>60.900000000000006</v>
      </c>
      <c r="CX75" s="88">
        <v>60.59</v>
      </c>
      <c r="CY75" s="86">
        <v>7.1139999999999999</v>
      </c>
      <c r="CZ75" s="86">
        <v>7.1189999999999998</v>
      </c>
      <c r="DA75" s="86">
        <v>33</v>
      </c>
      <c r="DC75" t="s">
        <v>278</v>
      </c>
      <c r="DD75">
        <v>30.900000000000002</v>
      </c>
      <c r="DE75">
        <v>30.900000000000002</v>
      </c>
      <c r="DF75">
        <v>158</v>
      </c>
      <c r="DU75" s="101"/>
      <c r="DV75" s="101"/>
    </row>
    <row r="76" spans="11:126" ht="18" hidden="1" customHeight="1" outlineLevel="1" x14ac:dyDescent="0.3">
      <c r="K76"/>
      <c r="N76"/>
      <c r="O76" s="101" t="str">
        <f>IFERROR((MP_DATA[[#This Row],[D, bottom '[m']]]+#REF!)/(2*#REF!/1000),"")</f>
        <v/>
      </c>
      <c r="AV76"/>
      <c r="AY76"/>
      <c r="AZ76" s="101" t="str">
        <f>IFERROR((TP_DATA[[#This Row],[D, bottom '[m']]]+#REF!)/(2*#REF!/1000),"")</f>
        <v/>
      </c>
      <c r="CH76"/>
      <c r="CK76"/>
      <c r="CL76" s="101" t="str">
        <f>IFERROR((TOWER_DATA[[#This Row],[D, bottom '[m']]]+#REF!)/(2*#REF!/1000),"")</f>
        <v/>
      </c>
      <c r="CV76" s="86">
        <v>59</v>
      </c>
      <c r="CW76" s="88">
        <v>60.59</v>
      </c>
      <c r="CX76" s="88">
        <v>57.896000000000001</v>
      </c>
      <c r="CY76" s="86">
        <v>7.1189999999999998</v>
      </c>
      <c r="CZ76" s="86">
        <v>7.1619999999999999</v>
      </c>
      <c r="DA76" s="86">
        <v>33</v>
      </c>
      <c r="DC76" t="s">
        <v>278</v>
      </c>
      <c r="DD76">
        <v>29.121000000000002</v>
      </c>
      <c r="DE76">
        <v>29.121000000000002</v>
      </c>
      <c r="DF76">
        <v>158</v>
      </c>
      <c r="DU76" s="101"/>
      <c r="DV76" s="101"/>
    </row>
    <row r="77" spans="11:126" ht="18" hidden="1" customHeight="1" outlineLevel="1" x14ac:dyDescent="0.3">
      <c r="K77"/>
      <c r="N77"/>
      <c r="O77" s="101" t="str">
        <f>IFERROR((MP_DATA[[#This Row],[D, bottom '[m']]]+#REF!)/(2*#REF!/1000),"")</f>
        <v/>
      </c>
      <c r="AV77"/>
      <c r="AY77"/>
      <c r="AZ77" s="101" t="str">
        <f>IFERROR((TP_DATA[[#This Row],[D, bottom '[m']]]+#REF!)/(2*#REF!/1000),"")</f>
        <v/>
      </c>
      <c r="CH77"/>
      <c r="CK77"/>
      <c r="CL77" s="101" t="str">
        <f>IFERROR((TOWER_DATA[[#This Row],[D, bottom '[m']]]+#REF!)/(2*#REF!/1000),"")</f>
        <v/>
      </c>
      <c r="CV77" s="86">
        <v>60</v>
      </c>
      <c r="CW77" s="88">
        <v>57.896000000000001</v>
      </c>
      <c r="CX77" s="88">
        <v>57.872</v>
      </c>
      <c r="CY77" s="86">
        <v>7.1619999999999999</v>
      </c>
      <c r="CZ77" s="86">
        <v>7.1630000000000003</v>
      </c>
      <c r="DA77" s="86">
        <v>33</v>
      </c>
      <c r="DC77" t="s">
        <v>278</v>
      </c>
      <c r="DD77">
        <v>25.050000000000004</v>
      </c>
      <c r="DE77">
        <v>25.050000000000004</v>
      </c>
      <c r="DF77">
        <v>86</v>
      </c>
      <c r="DU77" s="101"/>
      <c r="DV77" s="101"/>
    </row>
    <row r="78" spans="11:126" ht="18" hidden="1" customHeight="1" outlineLevel="1" x14ac:dyDescent="0.3">
      <c r="K78"/>
      <c r="N78"/>
      <c r="O78" s="101" t="str">
        <f>IFERROR((MP_DATA[[#This Row],[D, bottom '[m']]]+#REF!)/(2*#REF!/1000),"")</f>
        <v/>
      </c>
      <c r="AV78"/>
      <c r="AY78"/>
      <c r="AZ78" s="101" t="str">
        <f>IFERROR((TP_DATA[[#This Row],[D, bottom '[m']]]+#REF!)/(2*#REF!/1000),"")</f>
        <v/>
      </c>
      <c r="CH78"/>
      <c r="CK78"/>
      <c r="CL78" s="101" t="str">
        <f>IFERROR((TOWER_DATA[[#This Row],[D, bottom '[m']]]+#REF!)/(2*#REF!/1000),"")</f>
        <v/>
      </c>
      <c r="CV78" s="86">
        <v>61</v>
      </c>
      <c r="CW78" s="88">
        <v>57.872</v>
      </c>
      <c r="CX78" s="88">
        <v>55.153999999999996</v>
      </c>
      <c r="CY78" s="86">
        <v>7.1630000000000003</v>
      </c>
      <c r="CZ78" s="86">
        <v>7.21</v>
      </c>
      <c r="DA78" s="86">
        <v>34</v>
      </c>
      <c r="DC78" t="s">
        <v>278</v>
      </c>
      <c r="DD78">
        <v>25.011000000000003</v>
      </c>
      <c r="DE78">
        <v>25.011000000000003</v>
      </c>
      <c r="DF78">
        <v>688</v>
      </c>
      <c r="DU78" s="101"/>
      <c r="DV78" s="101"/>
    </row>
    <row r="79" spans="11:126" ht="18" hidden="1" customHeight="1" outlineLevel="1" x14ac:dyDescent="0.3">
      <c r="K79"/>
      <c r="N79"/>
      <c r="O79" s="101" t="str">
        <f>IFERROR((MP_DATA[[#This Row],[D, bottom '[m']]]+#REF!)/(2*#REF!/1000),"")</f>
        <v/>
      </c>
      <c r="AV79"/>
      <c r="AY79"/>
      <c r="AZ79" s="101" t="str">
        <f>IFERROR((TP_DATA[[#This Row],[D, bottom '[m']]]+#REF!)/(2*#REF!/1000),"")</f>
        <v/>
      </c>
      <c r="CH79"/>
      <c r="CK79"/>
      <c r="CL79" s="101" t="str">
        <f>IFERROR((TOWER_DATA[[#This Row],[D, bottom '[m']]]+#REF!)/(2*#REF!/1000),"")</f>
        <v/>
      </c>
      <c r="CV79" s="86">
        <v>62</v>
      </c>
      <c r="CW79" s="88">
        <v>55.153999999999996</v>
      </c>
      <c r="CX79" s="88">
        <v>53.786000000000001</v>
      </c>
      <c r="CY79" s="86">
        <v>7.21</v>
      </c>
      <c r="CZ79" s="86">
        <v>7.2309999999999999</v>
      </c>
      <c r="DA79" s="86">
        <v>38.199999999999996</v>
      </c>
      <c r="DC79" t="s">
        <v>278</v>
      </c>
      <c r="DD79">
        <v>22.12</v>
      </c>
      <c r="DE79">
        <v>22.12</v>
      </c>
      <c r="DF79">
        <v>13900</v>
      </c>
      <c r="DU79" s="101"/>
      <c r="DV79" s="101"/>
    </row>
    <row r="80" spans="11:126" ht="18" hidden="1" customHeight="1" outlineLevel="1" x14ac:dyDescent="0.3">
      <c r="K80"/>
      <c r="N80"/>
      <c r="O80" s="101" t="str">
        <f>IFERROR((MP_DATA[[#This Row],[D, bottom '[m']]]+#REF!)/(2*#REF!/1000),"")</f>
        <v/>
      </c>
      <c r="AV80"/>
      <c r="AY80"/>
      <c r="AZ80" s="101" t="str">
        <f>IFERROR((TP_DATA[[#This Row],[D, bottom '[m']]]+#REF!)/(2*#REF!/1000),"")</f>
        <v/>
      </c>
      <c r="CH80"/>
      <c r="CK80"/>
      <c r="CL80" s="101" t="str">
        <f>IFERROR((TOWER_DATA[[#This Row],[D, bottom '[m']]]+#REF!)/(2*#REF!/1000),"")</f>
        <v/>
      </c>
      <c r="CV80" s="86">
        <v>63</v>
      </c>
      <c r="CW80" s="88">
        <v>53.786000000000001</v>
      </c>
      <c r="CX80" s="88">
        <v>52.436000000000007</v>
      </c>
      <c r="CY80" s="86">
        <v>7.2309999999999999</v>
      </c>
      <c r="CZ80" s="86">
        <v>7.2519999999999998</v>
      </c>
      <c r="DA80" s="86">
        <v>38.199999999999996</v>
      </c>
      <c r="DC80" t="s">
        <v>278</v>
      </c>
      <c r="DD80">
        <v>21.14</v>
      </c>
      <c r="DE80">
        <v>21.14</v>
      </c>
      <c r="DF80">
        <v>53</v>
      </c>
      <c r="DU80" s="101"/>
      <c r="DV80" s="101"/>
    </row>
    <row r="81" spans="11:126" ht="18" hidden="1" customHeight="1" outlineLevel="1" x14ac:dyDescent="0.3">
      <c r="K81" s="101" t="str">
        <f>IFERROR(MP_DATA[[#This Row],[Bottom '[m']]]-MP_DATA[[#This Row],[D, top '[m']]], "")</f>
        <v/>
      </c>
      <c r="L81" t="str">
        <f>IFERROR(-(MP_DATA[[#This Row],[D, bottom '[m']]]-MP_DATA[[#This Row],[D, top '[m']]])/(MP_DATA[[#This Row],[Bottom '[m']]]-MP_DATA[[#This Row],[Top '[m']]]),"")</f>
        <v/>
      </c>
      <c r="M81" s="101" t="str">
        <f t="shared" ref="M81:M109" si="0">IF(7850/1000*(1/3)*PI()*ABS(F140-G140)*((H140/2)^2+(H140/2)*(I140/2)+(I140/2)^2-(H140/2-J140/1000)^2-(H140/2-J140/1000)*(I140/2-J140/1000)-(I140/2-J140/1000)^2)=0,"",7850/1000*(1/3)*PI()*ABS(F140-G140)*((H140/2)^2+(H140/2)*(I140/2)+(I140/2)^2-(H140/2-J140/1000)^2-(H140/2-J140/1000)*(I140/2-J140/1000)-(I140/2-J140/1000)^2))</f>
        <v/>
      </c>
      <c r="N81" s="101" t="str">
        <f>IFERROR((MP_DATA[[#This Row],[D, bottom '[m']]]+MP_DATA[[#This Row],[D, top '[m']]])/(2*MP_DATA[[#This Row],[t '[mm']]]/1000),"")</f>
        <v/>
      </c>
      <c r="O81" s="101" t="str">
        <f>IFERROR((MP_DATA[[#This Row],[D, bottom '[m']]]+#REF!)/(2*#REF!/1000),"")</f>
        <v/>
      </c>
      <c r="AV81" s="101" t="str">
        <f>IFERROR(TP_DATA[[#This Row],[Bottom '[m']]]-TP_DATA[[#This Row],[D, top '[m']]], "")</f>
        <v/>
      </c>
      <c r="AW81" t="str">
        <f>IFERROR(-(TP_DATA[[#This Row],[D, bottom '[m']]]-TP_DATA[[#This Row],[D, top '[m']]])/(TP_DATA[[#This Row],[Bottom '[m']]]-TP_DATA[[#This Row],[Top '[m']]]),"")</f>
        <v/>
      </c>
      <c r="AX81" s="101" t="str">
        <f t="shared" ref="AX81:AX83" si="1">IF(7850/1000*(1/3)*PI()*ABS(AQ140-AR140)*((AS140/2)^2+(AS140/2)*(AT140/2)+(AT140/2)^2-(AS140/2-AU140/1000)^2-(AS140/2-AU140/1000)*(AT140/2-AU140/1000)-(AT140/2-AU140/1000)^2)=0,"",7850/1000*(1/3)*PI()*ABS(AQ140-AR140)*((AS140/2)^2+(AS140/2)*(AT140/2)+(AT140/2)^2-(AS140/2-AU140/1000)^2-(AS140/2-AU140/1000)*(AT140/2-AU140/1000)-(AT140/2-AU140/1000)^2))</f>
        <v/>
      </c>
      <c r="AY81" s="101" t="str">
        <f>IFERROR((TP_DATA[[#This Row],[D, bottom '[m']]]+TP_DATA[[#This Row],[D, top '[m']]])/(2*TP_DATA[[#This Row],[t '[mm']]]/1000),"")</f>
        <v/>
      </c>
      <c r="AZ81" s="101" t="str">
        <f>IFERROR((TP_DATA[[#This Row],[D, bottom '[m']]]+#REF!)/(2*#REF!/1000),"")</f>
        <v/>
      </c>
      <c r="CH81" s="101" t="str">
        <f>IFERROR(TOWER_DATA[[#This Row],[Bottom '[m']]]-TOWER_DATA[[#This Row],[D, top '[m']]], "")</f>
        <v/>
      </c>
      <c r="CI81" t="str">
        <f>IFERROR(-(TOWER_DATA[[#This Row],[D, bottom '[m']]]-TOWER_DATA[[#This Row],[D, top '[m']]])/(TOWER_DATA[[#This Row],[Bottom '[m']]]-TOWER_DATA[[#This Row],[Top '[m']]]),"")</f>
        <v/>
      </c>
      <c r="CJ81" s="101">
        <f t="shared" ref="CJ81:CJ83" si="2">IF(7850/1000*(1/3)*PI()*ABS(CC140-CD140)*((CE140/2)^2+(CE140/2)*(CF140/2)+(CF140/2)^2-(CE140/2-CG140/1000)^2-(CE140/2-CG140/1000)*(CF140/2-CG140/1000)-(CF140/2-CG140/1000)^2)=0,"",7850/1000*(1/3)*PI()*ABS(CC140-CD140)*((CE140/2)^2+(CE140/2)*(CF140/2)+(CF140/2)^2-(CE140/2-CG140/1000)^2-(CE140/2-CG140/1000)*(CF140/2-CG140/1000)-(CF140/2-CG140/1000)^2))</f>
        <v>4.610791912861246</v>
      </c>
      <c r="CK81" s="101" t="str">
        <f>IFERROR((TOWER_DATA[[#This Row],[D, bottom '[m']]]+TOWER_DATA[[#This Row],[D, top '[m']]])/(2*TOWER_DATA[[#This Row],[t '[mm']]]/1000),"")</f>
        <v/>
      </c>
      <c r="CL81" s="101" t="str">
        <f>IFERROR((TOWER_DATA[[#This Row],[D, bottom '[m']]]+#REF!)/(2*#REF!/1000),"")</f>
        <v/>
      </c>
      <c r="CV81" s="86">
        <v>64</v>
      </c>
      <c r="CW81" s="88">
        <v>52.436000000000007</v>
      </c>
      <c r="CX81" s="88">
        <v>50.900000000000006</v>
      </c>
      <c r="CY81" s="86">
        <v>7.2519999999999998</v>
      </c>
      <c r="CZ81" s="86">
        <v>7.2770000000000001</v>
      </c>
      <c r="DA81" s="86">
        <v>38.199999999999996</v>
      </c>
      <c r="DC81" t="s">
        <v>278</v>
      </c>
      <c r="DD81">
        <v>21.080000000000002</v>
      </c>
      <c r="DE81">
        <v>21.080000000000002</v>
      </c>
      <c r="DF81">
        <v>14132</v>
      </c>
      <c r="DU81" s="101"/>
      <c r="DV81" s="101"/>
    </row>
    <row r="82" spans="11:126" ht="18" hidden="1" customHeight="1" outlineLevel="1" x14ac:dyDescent="0.3">
      <c r="K82" s="101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101" t="str">
        <f t="shared" si="0"/>
        <v/>
      </c>
      <c r="N82" s="101" t="str">
        <f>IFERROR((MP_DATA[[#This Row],[D, bottom '[m']]]+MP_DATA[[#This Row],[D, top '[m']]])/(2*MP_DATA[[#This Row],[t '[mm']]]/1000),"")</f>
        <v/>
      </c>
      <c r="O82" s="101" t="str">
        <f>IFERROR((MP_DATA[[#This Row],[D, bottom '[m']]]+#REF!)/(2*#REF!/1000),"")</f>
        <v/>
      </c>
      <c r="AV82" s="101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101" t="str">
        <f t="shared" si="1"/>
        <v/>
      </c>
      <c r="AY82" s="101" t="str">
        <f>IFERROR((TP_DATA[[#This Row],[D, bottom '[m']]]+TP_DATA[[#This Row],[D, top '[m']]])/(2*TP_DATA[[#This Row],[t '[mm']]]/1000),"")</f>
        <v/>
      </c>
      <c r="AZ82" s="101" t="str">
        <f>IFERROR((TP_DATA[[#This Row],[D, bottom '[m']]]+#REF!)/(2*#REF!/1000),"")</f>
        <v/>
      </c>
      <c r="CH82" s="101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101">
        <f t="shared" si="2"/>
        <v>8.0052884821827153</v>
      </c>
      <c r="CK82" s="101" t="str">
        <f>IFERROR((TOWER_DATA[[#This Row],[D, bottom '[m']]]+TOWER_DATA[[#This Row],[D, top '[m']]])/(2*TOWER_DATA[[#This Row],[t '[mm']]]/1000),"")</f>
        <v/>
      </c>
      <c r="CL82" s="101" t="str">
        <f>IFERROR((TOWER_DATA[[#This Row],[D, bottom '[m']]]+#REF!)/(2*#REF!/1000),"")</f>
        <v/>
      </c>
      <c r="CV82" s="86">
        <v>65</v>
      </c>
      <c r="CW82" s="88">
        <v>50.900000000000006</v>
      </c>
      <c r="CX82" s="88">
        <v>49.718000000000004</v>
      </c>
      <c r="CY82" s="86">
        <v>7.2770000000000001</v>
      </c>
      <c r="CZ82" s="86">
        <v>7.2919999999999998</v>
      </c>
      <c r="DA82" s="86">
        <v>38.199999999999996</v>
      </c>
      <c r="DU82" s="101"/>
      <c r="DV82" s="101"/>
    </row>
    <row r="83" spans="11:126" ht="18" hidden="1" customHeight="1" outlineLevel="1" x14ac:dyDescent="0.3">
      <c r="K83" s="101" t="str">
        <f>IFERROR(MP_DATA[[#This Row],[Bottom '[m']]]-MP_DATA[[#This Row],[D, top '[m']]], "")</f>
        <v/>
      </c>
      <c r="L83" s="101" t="str">
        <f>IFERROR(-(MP_DATA[[#This Row],[D, bottom '[m']]]-MP_DATA[[#This Row],[D, top '[m']]])/(MP_DATA[[#This Row],[Bottom '[m']]]-MP_DATA[[#This Row],[Top '[m']]]),"")</f>
        <v/>
      </c>
      <c r="M83" s="101" t="str">
        <f t="shared" si="0"/>
        <v/>
      </c>
      <c r="N83" s="101" t="str">
        <f>IFERROR((MP_DATA[[#This Row],[D, bottom '[m']]]+MP_DATA[[#This Row],[D, top '[m']]])/(2*MP_DATA[[#This Row],[t '[mm']]]/1000),"")</f>
        <v/>
      </c>
      <c r="O83" s="101" t="str">
        <f>IFERROR((MP_DATA[[#This Row],[D, bottom '[m']]]+#REF!)/(2*#REF!/1000),"")</f>
        <v/>
      </c>
      <c r="AV83" s="101" t="str">
        <f>IFERROR(TP_DATA[[#This Row],[Bottom '[m']]]-TP_DATA[[#This Row],[D, top '[m']]], "")</f>
        <v/>
      </c>
      <c r="AW83" s="101" t="str">
        <f>IFERROR(-(TP_DATA[[#This Row],[D, bottom '[m']]]-TP_DATA[[#This Row],[D, top '[m']]])/(TP_DATA[[#This Row],[Bottom '[m']]]-TP_DATA[[#This Row],[Top '[m']]]),"")</f>
        <v/>
      </c>
      <c r="AX83" s="101" t="str">
        <f t="shared" si="1"/>
        <v/>
      </c>
      <c r="AY83" s="101" t="str">
        <f>IFERROR((TP_DATA[[#This Row],[D, bottom '[m']]]+TP_DATA[[#This Row],[D, top '[m']]])/(2*TP_DATA[[#This Row],[t '[mm']]]/1000),"")</f>
        <v/>
      </c>
      <c r="AZ83" s="101" t="str">
        <f>IFERROR((TP_DATA[[#This Row],[D, bottom '[m']]]+#REF!)/(2*#REF!/1000),"")</f>
        <v/>
      </c>
      <c r="CH83" s="101" t="str">
        <f>IFERROR(TOWER_DATA[[#This Row],[Bottom '[m']]]-TOWER_DATA[[#This Row],[D, top '[m']]], "")</f>
        <v/>
      </c>
      <c r="CI83" s="101" t="str">
        <f>IFERROR(-(TOWER_DATA[[#This Row],[D, bottom '[m']]]-TOWER_DATA[[#This Row],[D, top '[m']]])/(TOWER_DATA[[#This Row],[Bottom '[m']]]-TOWER_DATA[[#This Row],[Top '[m']]]),"")</f>
        <v/>
      </c>
      <c r="CJ83" s="101">
        <f t="shared" si="2"/>
        <v>0.69183711520936486</v>
      </c>
      <c r="CK83" s="101" t="str">
        <f>IFERROR((TOWER_DATA[[#This Row],[D, bottom '[m']]]+TOWER_DATA[[#This Row],[D, top '[m']]])/(2*TOWER_DATA[[#This Row],[t '[mm']]]/1000),"")</f>
        <v/>
      </c>
      <c r="CL83" s="101" t="str">
        <f>IFERROR((TOWER_DATA[[#This Row],[D, bottom '[m']]]+#REF!)/(2*#REF!/1000),"")</f>
        <v/>
      </c>
      <c r="CV83" s="86">
        <v>66</v>
      </c>
      <c r="CW83" s="88">
        <v>49.718000000000004</v>
      </c>
      <c r="CX83" s="88">
        <v>49.674999999999997</v>
      </c>
      <c r="CY83" s="86">
        <v>7.2919999999999998</v>
      </c>
      <c r="CZ83" s="86">
        <v>7.2919999999999998</v>
      </c>
      <c r="DA83" s="86">
        <v>34.5</v>
      </c>
      <c r="DU83" s="101"/>
      <c r="DV83" s="101"/>
    </row>
    <row r="84" spans="11:126" ht="18" hidden="1" customHeight="1" outlineLevel="1" x14ac:dyDescent="0.3">
      <c r="K84"/>
      <c r="N84"/>
      <c r="O84" s="101" t="str">
        <f>IFERROR((MP_DATA[[#This Row],[D, bottom '[m']]]+#REF!)/(2*#REF!/1000),"")</f>
        <v/>
      </c>
      <c r="AV84"/>
      <c r="AY84"/>
      <c r="AZ84" s="101" t="str">
        <f>IFERROR((TP_DATA[[#This Row],[D, bottom '[m']]]+#REF!)/(2*#REF!/1000),"")</f>
        <v/>
      </c>
      <c r="CH84"/>
      <c r="CK84"/>
      <c r="CL84" s="101" t="str">
        <f>IFERROR((TOWER_DATA[[#This Row],[D, bottom '[m']]]+#REF!)/(2*#REF!/1000),"")</f>
        <v/>
      </c>
      <c r="CV84" s="86">
        <v>67</v>
      </c>
      <c r="CW84" s="88">
        <v>49.674999999999997</v>
      </c>
      <c r="CX84" s="88">
        <v>47</v>
      </c>
      <c r="CY84" s="86">
        <v>7.2919999999999998</v>
      </c>
      <c r="CZ84" s="86">
        <v>7.335</v>
      </c>
      <c r="DA84" s="86">
        <v>34.5</v>
      </c>
      <c r="DU84" s="101"/>
      <c r="DV84" s="101"/>
    </row>
    <row r="85" spans="11:126" ht="18" hidden="1" customHeight="1" outlineLevel="1" x14ac:dyDescent="0.3">
      <c r="K85"/>
      <c r="N85"/>
      <c r="O85" s="101" t="str">
        <f>IFERROR((MP_DATA[[#This Row],[D, bottom '[m']]]+#REF!)/(2*#REF!/1000),"")</f>
        <v/>
      </c>
      <c r="AV85"/>
      <c r="AY85"/>
      <c r="AZ85" s="101" t="str">
        <f>IFERROR((TP_DATA[[#This Row],[D, bottom '[m']]]+#REF!)/(2*#REF!/1000),"")</f>
        <v/>
      </c>
      <c r="CH85"/>
      <c r="CK85"/>
      <c r="CL85" s="101" t="str">
        <f>IFERROR((TOWER_DATA[[#This Row],[D, bottom '[m']]]+#REF!)/(2*#REF!/1000),"")</f>
        <v/>
      </c>
      <c r="CV85" s="86">
        <v>68</v>
      </c>
      <c r="CW85" s="88">
        <v>47</v>
      </c>
      <c r="CX85" s="88">
        <v>45.564000000000007</v>
      </c>
      <c r="CY85" s="86">
        <v>7.335</v>
      </c>
      <c r="CZ85" s="86">
        <v>7.3579999999999997</v>
      </c>
      <c r="DA85" s="86">
        <v>35</v>
      </c>
      <c r="DU85" s="101"/>
      <c r="DV85" s="101"/>
    </row>
    <row r="86" spans="11:126" ht="18" hidden="1" customHeight="1" outlineLevel="1" x14ac:dyDescent="0.3">
      <c r="K86"/>
      <c r="N86"/>
      <c r="O86" s="101" t="str">
        <f>IFERROR((MP_DATA[[#This Row],[D, bottom '[m']]]+#REF!)/(2*#REF!/1000),"")</f>
        <v/>
      </c>
      <c r="AV86"/>
      <c r="AY86"/>
      <c r="AZ86" s="101" t="str">
        <f>IFERROR((TP_DATA[[#This Row],[D, bottom '[m']]]+#REF!)/(2*#REF!/1000),"")</f>
        <v/>
      </c>
      <c r="CH86"/>
      <c r="CK86"/>
      <c r="CL86" s="101" t="str">
        <f>IFERROR((TOWER_DATA[[#This Row],[D, bottom '[m']]]+#REF!)/(2*#REF!/1000),"")</f>
        <v/>
      </c>
      <c r="CV86" s="86">
        <v>69</v>
      </c>
      <c r="CW86" s="88">
        <v>45.564000000000007</v>
      </c>
      <c r="CX86" s="88">
        <v>44.282000000000004</v>
      </c>
      <c r="CY86" s="86">
        <v>7.3579999999999997</v>
      </c>
      <c r="CZ86" s="86">
        <v>7.3789999999999996</v>
      </c>
      <c r="DA86" s="86">
        <v>35</v>
      </c>
      <c r="DU86" s="101"/>
      <c r="DV86" s="101"/>
    </row>
    <row r="87" spans="11:126" ht="18" hidden="1" customHeight="1" outlineLevel="1" x14ac:dyDescent="0.3">
      <c r="K87"/>
      <c r="N87"/>
      <c r="O87" s="101" t="str">
        <f>IFERROR((MP_DATA[[#This Row],[D, bottom '[m']]]+#REF!)/(2*#REF!/1000),"")</f>
        <v/>
      </c>
      <c r="AV87"/>
      <c r="AY87"/>
      <c r="AZ87" s="101" t="str">
        <f>IFERROR((TP_DATA[[#This Row],[D, bottom '[m']]]+#REF!)/(2*#REF!/1000),"")</f>
        <v/>
      </c>
      <c r="CH87"/>
      <c r="CK87"/>
      <c r="CL87" s="101" t="str">
        <f>IFERROR((TOWER_DATA[[#This Row],[D, bottom '[m']]]+#REF!)/(2*#REF!/1000),"")</f>
        <v/>
      </c>
      <c r="CV87" s="86">
        <v>70</v>
      </c>
      <c r="CW87" s="88">
        <v>44.282000000000004</v>
      </c>
      <c r="CX87" s="88">
        <v>41.561000000000007</v>
      </c>
      <c r="CY87" s="86">
        <v>7.3789999999999996</v>
      </c>
      <c r="CZ87" s="86">
        <v>7.4249999999999998</v>
      </c>
      <c r="DA87" s="86">
        <v>35.799999999999997</v>
      </c>
      <c r="DU87" s="101" t="str">
        <f>IF(7850/1000*(1/3)*PI()*ABS(DO87-DP87)*((DQ87/2)^2+(DQ87/2)*(DR87/2)+(DR87/2)^2-(DQ87/2-DT87/1000)^2-(DQ87/2-DT87/1000)*(DR87/2-DT87/1000)-(DR87/2-DT87/1000)^2)=0,"",7850/1000*(1/3)*PI()*ABS(DO87-DP87)*((DQ87/2)^2+(DQ87/2)*(DR87/2)+(DR87/2)^2-(DQ87/2-DT87/1000)^2-(DQ87/2-DT87/1000)*(DR87/2-DT87/1000)-(DR87/2-DT87/1000)^2))</f>
        <v/>
      </c>
      <c r="DV87" s="101"/>
    </row>
    <row r="88" spans="11:126" ht="18" hidden="1" customHeight="1" outlineLevel="1" x14ac:dyDescent="0.3">
      <c r="K88"/>
      <c r="N88"/>
      <c r="O88" s="101" t="str">
        <f>IFERROR((MP_DATA[[#This Row],[D, bottom '[m']]]+#REF!)/(2*#REF!/1000),"")</f>
        <v/>
      </c>
      <c r="AV88"/>
      <c r="AY88"/>
      <c r="AZ88" s="101" t="str">
        <f>IFERROR((TP_DATA[[#This Row],[D, bottom '[m']]]+#REF!)/(2*#REF!/1000),"")</f>
        <v/>
      </c>
      <c r="CH88"/>
      <c r="CK88"/>
      <c r="CL88" s="101" t="str">
        <f>IFERROR((TOWER_DATA[[#This Row],[D, bottom '[m']]]+#REF!)/(2*#REF!/1000),"")</f>
        <v/>
      </c>
      <c r="CV88" s="86">
        <v>71</v>
      </c>
      <c r="CW88" s="88">
        <v>41.561000000000007</v>
      </c>
      <c r="CX88" s="88">
        <v>40.900000000000006</v>
      </c>
      <c r="CY88" s="86">
        <v>7.4249999999999998</v>
      </c>
      <c r="CZ88" s="86">
        <v>7.4349999999999996</v>
      </c>
      <c r="DA88" s="86">
        <v>39</v>
      </c>
      <c r="DU88" s="101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  <c r="DV88" s="101"/>
    </row>
    <row r="89" spans="11:126" ht="18" hidden="1" customHeight="1" outlineLevel="1" x14ac:dyDescent="0.3">
      <c r="K89"/>
      <c r="N89"/>
      <c r="O89" s="101" t="str">
        <f>IFERROR((MP_DATA[[#This Row],[D, bottom '[m']]]+#REF!)/(2*#REF!/1000),"")</f>
        <v/>
      </c>
      <c r="AV89"/>
      <c r="AY89"/>
      <c r="AZ89" s="101" t="str">
        <f>IFERROR((TP_DATA[[#This Row],[D, bottom '[m']]]+#REF!)/(2*#REF!/1000),"")</f>
        <v/>
      </c>
      <c r="CH89"/>
      <c r="CK89"/>
      <c r="CL89" s="101" t="str">
        <f>IFERROR((TOWER_DATA[[#This Row],[D, bottom '[m']]]+#REF!)/(2*#REF!/1000),"")</f>
        <v/>
      </c>
      <c r="CV89" s="86">
        <v>72</v>
      </c>
      <c r="CW89" s="88">
        <v>40.900000000000006</v>
      </c>
      <c r="CX89" s="88">
        <v>38.775000000000006</v>
      </c>
      <c r="CY89" s="86">
        <v>7.4349999999999996</v>
      </c>
      <c r="CZ89" s="86">
        <v>7.476</v>
      </c>
      <c r="DA89" s="86">
        <v>39</v>
      </c>
      <c r="DU89" s="101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  <c r="DV89" s="101"/>
    </row>
    <row r="90" spans="11:126" ht="18" hidden="1" customHeight="1" outlineLevel="1" x14ac:dyDescent="0.3">
      <c r="K90"/>
      <c r="N90"/>
      <c r="O90" s="101" t="str">
        <f>IFERROR((MP_DATA[[#This Row],[D, bottom '[m']]]+#REF!)/(2*#REF!/1000),"")</f>
        <v/>
      </c>
      <c r="AV90"/>
      <c r="AY90"/>
      <c r="AZ90" s="101" t="str">
        <f>IFERROR((TP_DATA[[#This Row],[D, bottom '[m']]]+#REF!)/(2*#REF!/1000),"")</f>
        <v/>
      </c>
      <c r="CH90"/>
      <c r="CK90"/>
      <c r="CL90" s="101" t="str">
        <f>IFERROR((TOWER_DATA[[#This Row],[D, bottom '[m']]]+#REF!)/(2*#REF!/1000),"")</f>
        <v/>
      </c>
      <c r="CV90" s="86">
        <v>73</v>
      </c>
      <c r="CW90" s="88">
        <v>38.775000000000006</v>
      </c>
      <c r="CX90" s="88">
        <v>38.725000000000001</v>
      </c>
      <c r="CY90" s="86">
        <v>7.476</v>
      </c>
      <c r="CZ90" s="86">
        <v>7.476</v>
      </c>
      <c r="DA90" s="86">
        <v>46</v>
      </c>
      <c r="DU90" s="101" t="str">
        <f t="shared" ref="DU90:DU123" si="3"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  <c r="DV90" s="101"/>
    </row>
    <row r="91" spans="11:126" ht="18" hidden="1" customHeight="1" outlineLevel="1" x14ac:dyDescent="0.3">
      <c r="K91"/>
      <c r="N91"/>
      <c r="O91" s="101" t="str">
        <f>IFERROR((MP_DATA[[#This Row],[D, bottom '[m']]]+#REF!)/(2*#REF!/1000),"")</f>
        <v/>
      </c>
      <c r="AV91"/>
      <c r="AY91"/>
      <c r="AZ91" s="101" t="str">
        <f>IFERROR((TP_DATA[[#This Row],[D, bottom '[m']]]+#REF!)/(2*#REF!/1000),"")</f>
        <v/>
      </c>
      <c r="CH91"/>
      <c r="CK91"/>
      <c r="CL91" s="101" t="str">
        <f>IFERROR((TOWER_DATA[[#This Row],[D, bottom '[m']]]+#REF!)/(2*#REF!/1000),"")</f>
        <v/>
      </c>
      <c r="CV91" s="86">
        <v>74</v>
      </c>
      <c r="CW91" s="88">
        <v>38.725000000000001</v>
      </c>
      <c r="CX91" s="88">
        <v>38.540000000000006</v>
      </c>
      <c r="CY91" s="86">
        <v>7.476</v>
      </c>
      <c r="CZ91" s="86">
        <v>7.476</v>
      </c>
      <c r="DA91" s="86">
        <v>46</v>
      </c>
      <c r="DU91" s="101" t="str">
        <f t="shared" si="3"/>
        <v/>
      </c>
      <c r="DV91" s="101"/>
    </row>
    <row r="92" spans="11:126" ht="18" hidden="1" customHeight="1" outlineLevel="1" x14ac:dyDescent="0.3">
      <c r="K92"/>
      <c r="N92"/>
      <c r="O92" s="101" t="str">
        <f>IFERROR((MP_DATA[[#This Row],[D, bottom '[m']]]+#REF!)/(2*#REF!/1000),"")</f>
        <v/>
      </c>
      <c r="AV92"/>
      <c r="AY92"/>
      <c r="AZ92" s="101" t="str">
        <f>IFERROR((TP_DATA[[#This Row],[D, bottom '[m']]]+#REF!)/(2*#REF!/1000),"")</f>
        <v/>
      </c>
      <c r="CH92"/>
      <c r="CK92"/>
      <c r="CL92" s="101" t="str">
        <f>IFERROR((TOWER_DATA[[#This Row],[D, bottom '[m']]]+#REF!)/(2*#REF!/1000),"")</f>
        <v/>
      </c>
      <c r="CV92" s="86">
        <v>75</v>
      </c>
      <c r="CW92" s="88">
        <v>38.540000000000006</v>
      </c>
      <c r="CX92" s="88">
        <v>38.355000000000004</v>
      </c>
      <c r="CY92" s="86">
        <v>7.476</v>
      </c>
      <c r="CZ92" s="86">
        <v>7.476</v>
      </c>
      <c r="DA92" s="86">
        <v>46</v>
      </c>
      <c r="DU92" s="101" t="str">
        <f t="shared" si="3"/>
        <v/>
      </c>
      <c r="DV92" s="101"/>
    </row>
    <row r="93" spans="11:126" ht="18" hidden="1" customHeight="1" outlineLevel="1" x14ac:dyDescent="0.3">
      <c r="K93"/>
      <c r="N93"/>
      <c r="O93" s="101" t="str">
        <f>IFERROR((MP_DATA[[#This Row],[D, bottom '[m']]]+#REF!)/(2*#REF!/1000),"")</f>
        <v/>
      </c>
      <c r="AV93"/>
      <c r="AY93"/>
      <c r="AZ93" s="101" t="str">
        <f>IFERROR((TP_DATA[[#This Row],[D, bottom '[m']]]+#REF!)/(2*#REF!/1000),"")</f>
        <v/>
      </c>
      <c r="CH93"/>
      <c r="CK93"/>
      <c r="CL93" s="101" t="str">
        <f>IFERROR((TOWER_DATA[[#This Row],[D, bottom '[m']]]+#REF!)/(2*#REF!/1000),"")</f>
        <v/>
      </c>
      <c r="CV93" s="86">
        <v>76</v>
      </c>
      <c r="CW93" s="88">
        <v>38.355000000000004</v>
      </c>
      <c r="CX93" s="88">
        <v>38.305000000000007</v>
      </c>
      <c r="CY93" s="86">
        <v>7.476</v>
      </c>
      <c r="CZ93" s="86">
        <v>7.4740000000000002</v>
      </c>
      <c r="DA93" s="86">
        <v>46</v>
      </c>
      <c r="DU93" s="101" t="str">
        <f t="shared" si="3"/>
        <v/>
      </c>
      <c r="DV93" s="101"/>
    </row>
    <row r="94" spans="11:126" ht="18" hidden="1" customHeight="1" outlineLevel="1" x14ac:dyDescent="0.3">
      <c r="K94"/>
      <c r="N94"/>
      <c r="O94" s="101" t="str">
        <f>IFERROR((MP_DATA[[#This Row],[D, bottom '[m']]]+#REF!)/(2*#REF!/1000),"")</f>
        <v/>
      </c>
      <c r="AV94"/>
      <c r="AY94"/>
      <c r="AZ94" s="101" t="str">
        <f>IFERROR((TP_DATA[[#This Row],[D, bottom '[m']]]+#REF!)/(2*#REF!/1000),"")</f>
        <v/>
      </c>
      <c r="CH94"/>
      <c r="CK94"/>
      <c r="CL94" s="101" t="str">
        <f>IFERROR((TOWER_DATA[[#This Row],[D, bottom '[m']]]+#REF!)/(2*#REF!/1000),"")</f>
        <v/>
      </c>
      <c r="CV94" s="86">
        <v>77</v>
      </c>
      <c r="CW94" s="88">
        <v>38.305000000000007</v>
      </c>
      <c r="CX94" s="88">
        <v>37.343000000000004</v>
      </c>
      <c r="CY94" s="86">
        <v>7.4740000000000002</v>
      </c>
      <c r="CZ94" s="86">
        <v>7.4740000000000002</v>
      </c>
      <c r="DA94" s="86">
        <v>44.1</v>
      </c>
      <c r="DU94" s="101" t="str">
        <f t="shared" si="3"/>
        <v/>
      </c>
      <c r="DV94" s="101"/>
    </row>
    <row r="95" spans="11:126" ht="18" hidden="1" customHeight="1" outlineLevel="1" x14ac:dyDescent="0.3">
      <c r="K95"/>
      <c r="N95"/>
      <c r="O95" s="101" t="str">
        <f>IFERROR((MP_DATA[[#This Row],[D, bottom '[m']]]+#REF!)/(2*#REF!/1000),"")</f>
        <v/>
      </c>
      <c r="AV95"/>
      <c r="AY95"/>
      <c r="AZ95" s="101" t="str">
        <f>IFERROR((TP_DATA[[#This Row],[D, bottom '[m']]]+#REF!)/(2*#REF!/1000),"")</f>
        <v/>
      </c>
      <c r="CH95"/>
      <c r="CK95"/>
      <c r="CL95" s="101" t="str">
        <f>IFERROR((TOWER_DATA[[#This Row],[D, bottom '[m']]]+#REF!)/(2*#REF!/1000),"")</f>
        <v/>
      </c>
      <c r="CV95" s="86">
        <v>78</v>
      </c>
      <c r="CW95" s="88">
        <v>37.343000000000004</v>
      </c>
      <c r="CX95" s="88">
        <v>35.43</v>
      </c>
      <c r="CY95" s="86">
        <v>7.4740000000000002</v>
      </c>
      <c r="CZ95" s="86">
        <v>7.476</v>
      </c>
      <c r="DA95" s="86">
        <v>44.1</v>
      </c>
      <c r="DU95" s="101" t="str">
        <f t="shared" si="3"/>
        <v/>
      </c>
      <c r="DV95" s="101"/>
    </row>
    <row r="96" spans="11:126" ht="18" hidden="1" customHeight="1" outlineLevel="1" x14ac:dyDescent="0.3">
      <c r="K96"/>
      <c r="N96"/>
      <c r="O96" s="101" t="str">
        <f>IFERROR((MP_DATA[[#This Row],[D, bottom '[m']]]+#REF!)/(2*#REF!/1000),"")</f>
        <v/>
      </c>
      <c r="AV96"/>
      <c r="AY96"/>
      <c r="AZ96" s="101" t="str">
        <f>IFERROR((TP_DATA[[#This Row],[D, bottom '[m']]]+#REF!)/(2*#REF!/1000),"")</f>
        <v/>
      </c>
      <c r="CH96"/>
      <c r="CK96"/>
      <c r="CL96" s="101" t="str">
        <f>IFERROR((TOWER_DATA[[#This Row],[D, bottom '[m']]]+#REF!)/(2*#REF!/1000),"")</f>
        <v/>
      </c>
      <c r="CV96" s="86">
        <v>79</v>
      </c>
      <c r="CW96" s="88">
        <v>35.43</v>
      </c>
      <c r="CX96" s="88">
        <v>33.231999999999999</v>
      </c>
      <c r="CY96" s="86">
        <v>7.476</v>
      </c>
      <c r="CZ96" s="86">
        <v>7.476</v>
      </c>
      <c r="DA96" s="86">
        <v>45.6</v>
      </c>
      <c r="DU96" s="101" t="str">
        <f t="shared" si="3"/>
        <v/>
      </c>
      <c r="DV96" s="101"/>
    </row>
    <row r="97" spans="5:126" ht="18" hidden="1" customHeight="1" outlineLevel="1" x14ac:dyDescent="0.3">
      <c r="K97"/>
      <c r="N97"/>
      <c r="O97" s="101" t="str">
        <f>IFERROR((MP_DATA[[#This Row],[D, bottom '[m']]]+#REF!)/(2*#REF!/1000),"")</f>
        <v/>
      </c>
      <c r="AV97"/>
      <c r="AY97"/>
      <c r="AZ97" s="101" t="str">
        <f>IFERROR((TP_DATA[[#This Row],[D, bottom '[m']]]+#REF!)/(2*#REF!/1000),"")</f>
        <v/>
      </c>
      <c r="CH97"/>
      <c r="CK97"/>
      <c r="CL97" s="101" t="str">
        <f>IFERROR((TOWER_DATA[[#This Row],[D, bottom '[m']]]+#REF!)/(2*#REF!/1000),"")</f>
        <v/>
      </c>
      <c r="CV97" s="86">
        <v>80</v>
      </c>
      <c r="CW97" s="88">
        <v>33.231999999999999</v>
      </c>
      <c r="CX97" s="88">
        <v>32.5</v>
      </c>
      <c r="CY97" s="86">
        <v>7.476</v>
      </c>
      <c r="CZ97" s="86">
        <v>7.4770000000000003</v>
      </c>
      <c r="DA97" s="86">
        <v>45.6</v>
      </c>
      <c r="DU97" s="101" t="str">
        <f t="shared" si="3"/>
        <v/>
      </c>
      <c r="DV97" s="101"/>
    </row>
    <row r="98" spans="5:126" ht="18" hidden="1" customHeight="1" outlineLevel="1" x14ac:dyDescent="0.3">
      <c r="K98"/>
      <c r="N98"/>
      <c r="O98" s="101" t="str">
        <f>IFERROR((MP_DATA[[#This Row],[D, bottom '[m']]]+#REF!)/(2*#REF!/1000),"")</f>
        <v/>
      </c>
      <c r="AV98"/>
      <c r="AY98"/>
      <c r="AZ98" s="101" t="str">
        <f>IFERROR((TP_DATA[[#This Row],[D, bottom '[m']]]+#REF!)/(2*#REF!/1000),"")</f>
        <v/>
      </c>
      <c r="CH98"/>
      <c r="CK98"/>
      <c r="CL98" s="101" t="str">
        <f>IFERROR((TOWER_DATA[[#This Row],[D, bottom '[m']]]+#REF!)/(2*#REF!/1000),"")</f>
        <v/>
      </c>
      <c r="CV98" s="86">
        <v>81</v>
      </c>
      <c r="CW98" s="88">
        <v>32.5</v>
      </c>
      <c r="CX98" s="88">
        <v>30.9</v>
      </c>
      <c r="CY98" s="86">
        <v>7.4770000000000003</v>
      </c>
      <c r="CZ98" s="86">
        <v>7.4770000000000003</v>
      </c>
      <c r="DA98" s="86">
        <v>47.1</v>
      </c>
      <c r="DU98" s="101" t="str">
        <f t="shared" si="3"/>
        <v/>
      </c>
      <c r="DV98" s="101"/>
    </row>
    <row r="99" spans="5:126" ht="18" hidden="1" customHeight="1" outlineLevel="1" x14ac:dyDescent="0.3">
      <c r="K99"/>
      <c r="N99"/>
      <c r="O99" s="101" t="str">
        <f>IFERROR((MP_DATA[[#This Row],[D, bottom '[m']]]+#REF!)/(2*#REF!/1000),"")</f>
        <v/>
      </c>
      <c r="AV99"/>
      <c r="AY99"/>
      <c r="AZ99" s="101" t="str">
        <f>IFERROR((TP_DATA[[#This Row],[D, bottom '[m']]]+#REF!)/(2*#REF!/1000),"")</f>
        <v/>
      </c>
      <c r="CH99"/>
      <c r="CK99"/>
      <c r="CL99" s="101" t="str">
        <f>IFERROR((TOWER_DATA[[#This Row],[D, bottom '[m']]]+#REF!)/(2*#REF!/1000),"")</f>
        <v/>
      </c>
      <c r="CV99" s="86">
        <v>82</v>
      </c>
      <c r="CW99" s="88">
        <v>30.9</v>
      </c>
      <c r="CX99" s="88">
        <v>29.569999999999997</v>
      </c>
      <c r="CY99" s="86">
        <v>7.4770000000000003</v>
      </c>
      <c r="CZ99" s="86">
        <v>7.4790000000000001</v>
      </c>
      <c r="DA99" s="86">
        <v>47.1</v>
      </c>
      <c r="DU99" s="101" t="str">
        <f t="shared" si="3"/>
        <v/>
      </c>
      <c r="DV99" s="101"/>
    </row>
    <row r="100" spans="5:126" ht="18" hidden="1" customHeight="1" outlineLevel="1" x14ac:dyDescent="0.3">
      <c r="K100"/>
      <c r="N100"/>
      <c r="O100" s="101" t="str">
        <f>IFERROR((MP_DATA[[#This Row],[D, bottom '[m']]]+#REF!)/(2*#REF!/1000),"")</f>
        <v/>
      </c>
      <c r="AV100"/>
      <c r="AY100"/>
      <c r="AZ100" s="101" t="str">
        <f>IFERROR((TP_DATA[[#This Row],[D, bottom '[m']]]+#REF!)/(2*#REF!/1000),"")</f>
        <v/>
      </c>
      <c r="CH100"/>
      <c r="CK100"/>
      <c r="CL100" s="101" t="str">
        <f>IFERROR((TOWER_DATA[[#This Row],[D, bottom '[m']]]+#REF!)/(2*#REF!/1000),"")</f>
        <v/>
      </c>
      <c r="CV100" s="86">
        <v>83</v>
      </c>
      <c r="CW100" s="88">
        <v>29.569999999999997</v>
      </c>
      <c r="CX100" s="88">
        <v>29.120999999999999</v>
      </c>
      <c r="CY100" s="86">
        <v>7.4790000000000001</v>
      </c>
      <c r="CZ100" s="86">
        <v>7.4790000000000001</v>
      </c>
      <c r="DA100" s="86">
        <v>49</v>
      </c>
      <c r="DU100" s="101" t="str">
        <f t="shared" si="3"/>
        <v/>
      </c>
      <c r="DV100" s="101"/>
    </row>
    <row r="101" spans="5:126" ht="18" hidden="1" customHeight="1" outlineLevel="1" x14ac:dyDescent="0.3">
      <c r="K101"/>
      <c r="N101"/>
      <c r="O101" s="101" t="str">
        <f>IFERROR((MP_DATA[[#This Row],[D, bottom '[m']]]+#REF!)/(2*#REF!/1000),"")</f>
        <v/>
      </c>
      <c r="AV101"/>
      <c r="AY101"/>
      <c r="AZ101" s="101" t="str">
        <f>IFERROR((TP_DATA[[#This Row],[D, bottom '[m']]]+#REF!)/(2*#REF!/1000),"")</f>
        <v/>
      </c>
      <c r="CH101"/>
      <c r="CK101"/>
      <c r="CL101" s="101" t="str">
        <f>IFERROR((TOWER_DATA[[#This Row],[D, bottom '[m']]]+#REF!)/(2*#REF!/1000),"")</f>
        <v/>
      </c>
      <c r="CV101" s="86">
        <v>84</v>
      </c>
      <c r="CW101" s="88">
        <v>29.120999999999999</v>
      </c>
      <c r="CX101" s="88">
        <v>26.639999999999997</v>
      </c>
      <c r="CY101" s="86">
        <v>7.4790000000000001</v>
      </c>
      <c r="CZ101" s="86">
        <v>7.5</v>
      </c>
      <c r="DA101" s="86">
        <v>49</v>
      </c>
      <c r="DU101" s="101" t="str">
        <f t="shared" si="3"/>
        <v/>
      </c>
      <c r="DV101" s="101"/>
    </row>
    <row r="102" spans="5:126" ht="18" hidden="1" customHeight="1" outlineLevel="1" x14ac:dyDescent="0.3">
      <c r="K102"/>
      <c r="N102"/>
      <c r="O102" s="101" t="str">
        <f>IFERROR((MP_DATA[[#This Row],[D, bottom '[m']]]+#REF!)/(2*#REF!/1000),"")</f>
        <v/>
      </c>
      <c r="AV102"/>
      <c r="AY102"/>
      <c r="AZ102" s="101" t="str">
        <f>IFERROR((TP_DATA[[#This Row],[D, bottom '[m']]]+#REF!)/(2*#REF!/1000),"")</f>
        <v/>
      </c>
      <c r="CH102"/>
      <c r="CK102"/>
      <c r="CL102" s="101" t="str">
        <f>IFERROR((TOWER_DATA[[#This Row],[D, bottom '[m']]]+#REF!)/(2*#REF!/1000),"")</f>
        <v/>
      </c>
      <c r="CV102" s="86">
        <v>85</v>
      </c>
      <c r="CW102" s="88">
        <v>26.639999999999997</v>
      </c>
      <c r="CX102" s="88">
        <v>25.05</v>
      </c>
      <c r="CY102" s="86">
        <v>7.5</v>
      </c>
      <c r="CZ102" s="86">
        <v>7.5</v>
      </c>
      <c r="DA102" s="86">
        <v>70</v>
      </c>
      <c r="DU102" s="101" t="str">
        <f t="shared" si="3"/>
        <v/>
      </c>
      <c r="DV102" s="101"/>
    </row>
    <row r="103" spans="5:126" ht="18" hidden="1" customHeight="1" outlineLevel="1" x14ac:dyDescent="0.3">
      <c r="K103"/>
      <c r="N103"/>
      <c r="O103" s="101" t="str">
        <f>IFERROR((MP_DATA[[#This Row],[D, bottom '[m']]]+#REF!)/(2*#REF!/1000),"")</f>
        <v/>
      </c>
      <c r="AV103"/>
      <c r="AY103"/>
      <c r="AZ103" s="101" t="str">
        <f>IFERROR((TP_DATA[[#This Row],[D, bottom '[m']]]+#REF!)/(2*#REF!/1000),"")</f>
        <v/>
      </c>
      <c r="CH103"/>
      <c r="CK103"/>
      <c r="CL103" s="101" t="str">
        <f>IFERROR((TOWER_DATA[[#This Row],[D, bottom '[m']]]+#REF!)/(2*#REF!/1000),"")</f>
        <v/>
      </c>
      <c r="CV103" s="86">
        <v>86</v>
      </c>
      <c r="CW103" s="88">
        <v>25.05</v>
      </c>
      <c r="CX103" s="88">
        <v>25.010999999999999</v>
      </c>
      <c r="CY103" s="86">
        <v>7.5</v>
      </c>
      <c r="CZ103" s="86">
        <v>7.5</v>
      </c>
      <c r="DA103" s="86">
        <v>70</v>
      </c>
      <c r="DU103" s="101" t="str">
        <f t="shared" si="3"/>
        <v/>
      </c>
      <c r="DV103" s="101"/>
    </row>
    <row r="104" spans="5:126" ht="18" hidden="1" customHeight="1" outlineLevel="1" x14ac:dyDescent="0.3">
      <c r="K104"/>
      <c r="N104"/>
      <c r="O104" s="101" t="str">
        <f>IFERROR((MP_DATA[[#This Row],[D, bottom '[m']]]+#REF!)/(2*#REF!/1000),"")</f>
        <v/>
      </c>
      <c r="AV104"/>
      <c r="AY104"/>
      <c r="AZ104" s="101" t="str">
        <f>IFERROR((TP_DATA[[#This Row],[D, bottom '[m']]]+#REF!)/(2*#REF!/1000),"")</f>
        <v/>
      </c>
      <c r="CH104"/>
      <c r="CK104"/>
      <c r="CL104" s="101" t="str">
        <f>IFERROR((TOWER_DATA[[#This Row],[D, bottom '[m']]]+#REF!)/(2*#REF!/1000),"")</f>
        <v/>
      </c>
      <c r="CV104" s="86">
        <v>87</v>
      </c>
      <c r="CW104" s="88">
        <v>25.010999999999999</v>
      </c>
      <c r="CX104" s="88">
        <v>22.119999999999997</v>
      </c>
      <c r="CY104" s="86">
        <v>7.5</v>
      </c>
      <c r="CZ104" s="86">
        <v>7.5</v>
      </c>
      <c r="DA104" s="86">
        <v>70</v>
      </c>
      <c r="DU104" s="101" t="str">
        <f t="shared" si="3"/>
        <v/>
      </c>
      <c r="DV104" s="101"/>
    </row>
    <row r="105" spans="5:126" ht="18" hidden="1" customHeight="1" outlineLevel="1" x14ac:dyDescent="0.3">
      <c r="K105"/>
      <c r="N105"/>
      <c r="O105" s="101" t="str">
        <f>IFERROR((MP_DATA[[#This Row],[D, bottom '[m']]]+#REF!)/(2*#REF!/1000),"")</f>
        <v/>
      </c>
      <c r="AV105"/>
      <c r="AY105"/>
      <c r="AZ105" s="101" t="str">
        <f>IFERROR((TP_DATA[[#This Row],[D, bottom '[m']]]+#REF!)/(2*#REF!/1000),"")</f>
        <v/>
      </c>
      <c r="CH105"/>
      <c r="CK105"/>
      <c r="CL105" s="101" t="str">
        <f>IFERROR((TOWER_DATA[[#This Row],[D, bottom '[m']]]+#REF!)/(2*#REF!/1000),"")</f>
        <v/>
      </c>
      <c r="CV105" s="86">
        <v>88</v>
      </c>
      <c r="CW105" s="88">
        <v>22.119999999999997</v>
      </c>
      <c r="CX105" s="88">
        <v>21.139999999999997</v>
      </c>
      <c r="CY105" s="86">
        <v>7.5</v>
      </c>
      <c r="CZ105" s="86">
        <v>7.5</v>
      </c>
      <c r="DA105" s="86">
        <v>70</v>
      </c>
      <c r="DU105" s="101" t="str">
        <f t="shared" si="3"/>
        <v/>
      </c>
      <c r="DV105" s="101"/>
    </row>
    <row r="106" spans="5:126" ht="18" hidden="1" customHeight="1" outlineLevel="1" x14ac:dyDescent="0.3">
      <c r="K106"/>
      <c r="N106"/>
      <c r="O106" t="str">
        <f>IFERROR((MP_DATA[[#This Row],[D, bottom '[m']]]+#REF!)/(2*#REF!/1000),"")</f>
        <v/>
      </c>
      <c r="AV106"/>
      <c r="AY106"/>
      <c r="AZ106" t="str">
        <f>IFERROR((TP_DATA[[#This Row],[D, bottom '[m']]]+#REF!)/(2*#REF!/1000),"")</f>
        <v/>
      </c>
      <c r="CH106"/>
      <c r="CK106"/>
      <c r="CL106" t="str">
        <f>IFERROR((TOWER_DATA[[#This Row],[D, bottom '[m']]]+#REF!)/(2*#REF!/1000),"")</f>
        <v/>
      </c>
      <c r="CV106" s="86">
        <v>89</v>
      </c>
      <c r="CW106" s="88">
        <v>21.139999999999997</v>
      </c>
      <c r="CX106" s="88">
        <v>21.08</v>
      </c>
      <c r="CY106" s="86">
        <v>7.5</v>
      </c>
      <c r="CZ106" s="86">
        <v>7.5</v>
      </c>
      <c r="DA106" s="86">
        <v>70</v>
      </c>
      <c r="DU106" s="101" t="str">
        <f t="shared" si="3"/>
        <v/>
      </c>
      <c r="DV106" s="101"/>
    </row>
    <row r="107" spans="5:126" ht="18" hidden="1" customHeight="1" outlineLevel="1" x14ac:dyDescent="0.3"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86">
        <v>90</v>
      </c>
      <c r="CW107" s="88">
        <v>21.08</v>
      </c>
      <c r="CX107" s="88">
        <v>20.9</v>
      </c>
      <c r="CY107" s="86">
        <v>7.5</v>
      </c>
      <c r="CZ107" s="86">
        <v>7.5</v>
      </c>
      <c r="DA107" s="86">
        <v>70</v>
      </c>
      <c r="DU107" s="101" t="str">
        <f t="shared" si="3"/>
        <v/>
      </c>
      <c r="DV107" s="101"/>
    </row>
    <row r="108" spans="5:126" ht="18" hidden="1" customHeight="1" outlineLevel="1" x14ac:dyDescent="0.3">
      <c r="K108" s="101" t="str">
        <f>IFERROR(MP_DATA[[#This Row],[Bottom '[m']]]-MP_DATA[[#This Row],[D, top '[m']]], "")</f>
        <v/>
      </c>
      <c r="L108" t="str">
        <f>IFERROR(-(MP_DATA[[#This Row],[D, bottom '[m']]]-MP_DATA[[#This Row],[D, top '[m']]])/(MP_DATA[[#This Row],[Bottom '[m']]]-MP_DATA[[#This Row],[Top '[m']]]),"")</f>
        <v/>
      </c>
      <c r="M108" s="101" t="str">
        <f t="shared" si="0"/>
        <v/>
      </c>
      <c r="N108" s="101" t="str">
        <f>IFERROR((MP_DATA[[#This Row],[D, bottom '[m']]]+MP_DATA[[#This Row],[D, top '[m']]])/(2*MP_DATA[[#This Row],[t '[mm']]]/1000),"")</f>
        <v/>
      </c>
      <c r="O108" t="str">
        <f>IFERROR((MP_DATA[[#This Row],[D, bottom '[m']]]+#REF!)/(2*#REF!/1000),"")</f>
        <v/>
      </c>
      <c r="AV108" s="101" t="str">
        <f>IFERROR(TP_DATA[[#This Row],[Bottom '[m']]]-TP_DATA[[#This Row],[D, top '[m']]], "")</f>
        <v/>
      </c>
      <c r="AW108" t="str">
        <f>IFERROR(-(TP_DATA[[#This Row],[D, bottom '[m']]]-TP_DATA[[#This Row],[D, top '[m']]])/(TP_DATA[[#This Row],[Bottom '[m']]]-TP_DATA[[#This Row],[Top '[m']]]),"")</f>
        <v/>
      </c>
      <c r="AX108" s="101" t="str">
        <f t="shared" ref="AX108:AX109" si="4">IF(7850/1000*(1/3)*PI()*ABS(AQ167-AR167)*((AS167/2)^2+(AS167/2)*(AT167/2)+(AT167/2)^2-(AS167/2-AU167/1000)^2-(AS167/2-AU167/1000)*(AT167/2-AU167/1000)-(AT167/2-AU167/1000)^2)=0,"",7850/1000*(1/3)*PI()*ABS(AQ167-AR167)*((AS167/2)^2+(AS167/2)*(AT167/2)+(AT167/2)^2-(AS167/2-AU167/1000)^2-(AS167/2-AU167/1000)*(AT167/2-AU167/1000)-(AT167/2-AU167/1000)^2))</f>
        <v/>
      </c>
      <c r="AY108" s="101" t="str">
        <f>IFERROR((TP_DATA[[#This Row],[D, bottom '[m']]]+TP_DATA[[#This Row],[D, top '[m']]])/(2*TP_DATA[[#This Row],[t '[mm']]]/1000),"")</f>
        <v/>
      </c>
      <c r="AZ108" t="str">
        <f>IFERROR((TP_DATA[[#This Row],[D, bottom '[m']]]+#REF!)/(2*#REF!/1000),"")</f>
        <v/>
      </c>
      <c r="CH108" s="101" t="str">
        <f>IFERROR(TOWER_DATA[[#This Row],[Bottom '[m']]]-TOWER_DATA[[#This Row],[D, top '[m']]], "")</f>
        <v/>
      </c>
      <c r="CI108" t="str">
        <f>IFERROR(-(TOWER_DATA[[#This Row],[D, bottom '[m']]]-TOWER_DATA[[#This Row],[D, top '[m']]])/(TOWER_DATA[[#This Row],[Bottom '[m']]]-TOWER_DATA[[#This Row],[Top '[m']]]),"")</f>
        <v/>
      </c>
      <c r="CJ108" s="101">
        <f t="shared" ref="CJ108:CJ109" si="5">IF(7850/1000*(1/3)*PI()*ABS(CC167-CD167)*((CE167/2)^2+(CE167/2)*(CF167/2)+(CF167/2)^2-(CE167/2-CG167/1000)^2-(CE167/2-CG167/1000)*(CF167/2-CG167/1000)-(CF167/2-CG167/1000)^2)=0,"",7850/1000*(1/3)*PI()*ABS(CC167-CD167)*((CE167/2)^2+(CE167/2)*(CF167/2)+(CF167/2)^2-(CE167/2-CG167/1000)^2-(CE167/2-CG167/1000)*(CF167/2-CG167/1000)-(CF167/2-CG167/1000)^2))</f>
        <v>7.4681913438982228</v>
      </c>
      <c r="CK108" s="101" t="str">
        <f>IFERROR((TOWER_DATA[[#This Row],[D, bottom '[m']]]+TOWER_DATA[[#This Row],[D, top '[m']]])/(2*TOWER_DATA[[#This Row],[t '[mm']]]/1000),"")</f>
        <v/>
      </c>
      <c r="CL108" t="str">
        <f>IFERROR((TOWER_DATA[[#This Row],[D, bottom '[m']]]+#REF!)/(2*#REF!/1000),"")</f>
        <v/>
      </c>
      <c r="DU108" s="101" t="str">
        <f t="shared" si="3"/>
        <v/>
      </c>
      <c r="DV108" s="101"/>
    </row>
    <row r="109" spans="5:126" ht="18" customHeight="1" collapsed="1" x14ac:dyDescent="0.3">
      <c r="K109" s="101" t="str">
        <f>IFERROR(MP_DATA[[#This Row],[Bottom '[m']]]-MP_DATA[[#This Row],[D, top '[m']]], "")</f>
        <v/>
      </c>
      <c r="L109" s="101" t="str">
        <f>IFERROR(-(MP_DATA[[#This Row],[D, bottom '[m']]]-MP_DATA[[#This Row],[D, top '[m']]])/(MP_DATA[[#This Row],[Bottom '[m']]]-MP_DATA[[#This Row],[Top '[m']]]),"")</f>
        <v/>
      </c>
      <c r="M109" s="101" t="str">
        <f t="shared" si="0"/>
        <v/>
      </c>
      <c r="N109" s="101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101" t="str">
        <f>IFERROR(TP_DATA[[#This Row],[Bottom '[m']]]-TP_DATA[[#This Row],[D, top '[m']]], "")</f>
        <v/>
      </c>
      <c r="AW109" s="101" t="str">
        <f>IFERROR(-(TP_DATA[[#This Row],[D, bottom '[m']]]-TP_DATA[[#This Row],[D, top '[m']]])/(TP_DATA[[#This Row],[Bottom '[m']]]-TP_DATA[[#This Row],[Top '[m']]]),"")</f>
        <v/>
      </c>
      <c r="AX109" s="101" t="str">
        <f t="shared" si="4"/>
        <v/>
      </c>
      <c r="AY109" s="101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101" t="str">
        <f>IFERROR(TOWER_DATA[[#This Row],[Bottom '[m']]]-TOWER_DATA[[#This Row],[D, top '[m']]], "")</f>
        <v/>
      </c>
      <c r="CI109" s="101" t="str">
        <f>IFERROR(-(TOWER_DATA[[#This Row],[D, bottom '[m']]]-TOWER_DATA[[#This Row],[D, top '[m']]])/(TOWER_DATA[[#This Row],[Bottom '[m']]]-TOWER_DATA[[#This Row],[Top '[m']]]),"")</f>
        <v/>
      </c>
      <c r="CJ109" s="101">
        <f t="shared" si="5"/>
        <v>6.3716813187634509</v>
      </c>
      <c r="CK109" s="101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s="101" t="str">
        <f t="shared" si="3"/>
        <v/>
      </c>
      <c r="DV109" s="101"/>
    </row>
    <row r="110" spans="5:126" ht="18" customHeight="1" x14ac:dyDescent="0.4">
      <c r="E110" s="131" t="s">
        <v>274</v>
      </c>
      <c r="F110"/>
      <c r="G110"/>
      <c r="H110"/>
      <c r="I110"/>
      <c r="J110"/>
      <c r="K110" s="100" t="s">
        <v>268</v>
      </c>
      <c r="N110"/>
      <c r="O110" t="str">
        <f>IFERROR((MP_DATA[[#This Row],[D, bottom '[m']]]+#REF!)/(2*#REF!/1000),"")</f>
        <v/>
      </c>
      <c r="P110" s="133" t="s">
        <v>267</v>
      </c>
      <c r="AP110" s="131" t="s">
        <v>274</v>
      </c>
      <c r="AQ110"/>
      <c r="AR110"/>
      <c r="AS110"/>
      <c r="AT110"/>
      <c r="AU110"/>
      <c r="AV110" s="100" t="s">
        <v>268</v>
      </c>
      <c r="AY110"/>
      <c r="AZ110" t="str">
        <f>IFERROR((TP_DATA[[#This Row],[D, bottom '[m']]]+#REF!)/(2*#REF!/1000),"")</f>
        <v/>
      </c>
      <c r="BA110" s="133" t="s">
        <v>267</v>
      </c>
      <c r="CB110" s="131" t="s">
        <v>274</v>
      </c>
      <c r="CC110"/>
      <c r="CD110"/>
      <c r="CE110"/>
      <c r="CF110"/>
      <c r="CG110"/>
      <c r="CH110" s="100" t="s">
        <v>268</v>
      </c>
      <c r="CK110"/>
      <c r="CL110" t="str">
        <f>IFERROR((TOWER_DATA[[#This Row],[D, bottom '[m']]]+#REF!)/(2*#REF!/1000),"")</f>
        <v/>
      </c>
      <c r="CM110" s="133" t="s">
        <v>267</v>
      </c>
      <c r="DU110" s="101" t="str">
        <f t="shared" si="3"/>
        <v/>
      </c>
      <c r="DV110" s="101"/>
    </row>
    <row r="111" spans="5:126" ht="18" customHeight="1" x14ac:dyDescent="0.3">
      <c r="E111" s="112" t="s">
        <v>1</v>
      </c>
      <c r="F111" s="51" t="s">
        <v>95</v>
      </c>
      <c r="G111" s="51" t="s">
        <v>94</v>
      </c>
      <c r="H111" s="51" t="s">
        <v>78</v>
      </c>
      <c r="I111" s="51" t="s">
        <v>79</v>
      </c>
      <c r="J111" s="51" t="s">
        <v>80</v>
      </c>
      <c r="K111" s="118" t="s">
        <v>297</v>
      </c>
      <c r="L111" s="119" t="s">
        <v>263</v>
      </c>
      <c r="M111" s="119" t="s">
        <v>84</v>
      </c>
      <c r="N111" s="120" t="s">
        <v>264</v>
      </c>
      <c r="O111" t="str">
        <f>IFERROR((MP_DATA[[#This Row],[D, bottom '[m']]]+#REF!)/(2*#REF!/1000),"")</f>
        <v/>
      </c>
      <c r="P111" s="136" t="s">
        <v>249</v>
      </c>
      <c r="Q111" s="51" t="s">
        <v>95</v>
      </c>
      <c r="R111" s="51" t="s">
        <v>94</v>
      </c>
      <c r="S111" s="51" t="s">
        <v>87</v>
      </c>
      <c r="T111" s="51" t="s">
        <v>227</v>
      </c>
      <c r="U111" s="51" t="s">
        <v>228</v>
      </c>
      <c r="V111" s="51" t="s">
        <v>229</v>
      </c>
      <c r="W111" s="51" t="s">
        <v>231</v>
      </c>
      <c r="X111" s="137" t="s">
        <v>230</v>
      </c>
      <c r="AO111" s="51"/>
      <c r="AP111" s="112" t="s">
        <v>1</v>
      </c>
      <c r="AQ111" s="51" t="s">
        <v>95</v>
      </c>
      <c r="AR111" s="51" t="s">
        <v>94</v>
      </c>
      <c r="AS111" s="51" t="s">
        <v>78</v>
      </c>
      <c r="AT111" s="51" t="s">
        <v>79</v>
      </c>
      <c r="AU111" s="51" t="s">
        <v>80</v>
      </c>
      <c r="AV111" s="118" t="s">
        <v>297</v>
      </c>
      <c r="AW111" s="119" t="s">
        <v>263</v>
      </c>
      <c r="AX111" s="119" t="s">
        <v>84</v>
      </c>
      <c r="AY111" s="120" t="s">
        <v>264</v>
      </c>
      <c r="AZ111" t="str">
        <f>IFERROR((TP_DATA[[#This Row],[D, bottom '[m']]]+#REF!)/(2*#REF!/1000),"")</f>
        <v/>
      </c>
      <c r="BA111" s="136" t="s">
        <v>249</v>
      </c>
      <c r="BB111" s="51" t="s">
        <v>95</v>
      </c>
      <c r="BC111" s="51" t="s">
        <v>94</v>
      </c>
      <c r="BD111" s="51" t="s">
        <v>87</v>
      </c>
      <c r="BE111" s="51" t="s">
        <v>227</v>
      </c>
      <c r="BF111" s="51" t="s">
        <v>228</v>
      </c>
      <c r="BG111" s="51" t="s">
        <v>229</v>
      </c>
      <c r="BH111" s="51" t="s">
        <v>231</v>
      </c>
      <c r="BI111" s="137" t="s">
        <v>230</v>
      </c>
      <c r="CA111" s="51"/>
      <c r="CB111" s="112" t="s">
        <v>1</v>
      </c>
      <c r="CC111" s="51" t="s">
        <v>95</v>
      </c>
      <c r="CD111" s="51" t="s">
        <v>94</v>
      </c>
      <c r="CE111" s="51" t="s">
        <v>78</v>
      </c>
      <c r="CF111" s="51" t="s">
        <v>79</v>
      </c>
      <c r="CG111" s="51" t="s">
        <v>80</v>
      </c>
      <c r="CH111" s="149" t="s">
        <v>297</v>
      </c>
      <c r="CI111" s="119" t="s">
        <v>263</v>
      </c>
      <c r="CJ111" s="119" t="s">
        <v>84</v>
      </c>
      <c r="CK111" s="120" t="s">
        <v>264</v>
      </c>
      <c r="CL111" t="str">
        <f>IFERROR((TOWER_DATA[[#This Row],[D, bottom '[m']]]+#REF!)/(2*#REF!/1000),"")</f>
        <v/>
      </c>
      <c r="CM111" s="136" t="s">
        <v>249</v>
      </c>
      <c r="CN111" s="51" t="s">
        <v>95</v>
      </c>
      <c r="CO111" s="51" t="s">
        <v>94</v>
      </c>
      <c r="CP111" s="51" t="s">
        <v>87</v>
      </c>
      <c r="CQ111" s="51" t="s">
        <v>227</v>
      </c>
      <c r="CR111" s="51" t="s">
        <v>228</v>
      </c>
      <c r="CS111" s="51" t="s">
        <v>229</v>
      </c>
      <c r="CT111" s="51" t="s">
        <v>231</v>
      </c>
      <c r="CU111" s="137" t="s">
        <v>230</v>
      </c>
      <c r="DU111" s="101" t="str">
        <f t="shared" si="3"/>
        <v/>
      </c>
      <c r="DV111" s="101"/>
    </row>
    <row r="112" spans="5:126" ht="18" customHeight="1" x14ac:dyDescent="0.3">
      <c r="E112" s="169">
        <v>1</v>
      </c>
      <c r="F112" s="170">
        <v>5.5</v>
      </c>
      <c r="G112" s="170">
        <v>1.7</v>
      </c>
      <c r="H112" s="170">
        <v>8</v>
      </c>
      <c r="I112" s="170">
        <v>8</v>
      </c>
      <c r="J112" s="171">
        <v>115</v>
      </c>
      <c r="K112" s="53">
        <f>IFERROR(MP_DATA[[#This Row],[Top '[m']]]-MP_DATA[[#This Row],[Bottom '[m']]], "")</f>
        <v>3.8</v>
      </c>
      <c r="L112" s="121">
        <f>IFERROR(-(MP_DATA[[#This Row],[D, bottom '[m']]]-MP_DATA[[#This Row],[D, top '[m']]])/(MP_DATA[[#This Row],[Bottom '[m']]]-MP_DATA[[#This Row],[Top '[m']]]),"")</f>
        <v>0</v>
      </c>
      <c r="M112" s="121">
        <f>IF(7850/1000*(1/3)*PI()*ABS(F112-G112)*((H112/2)^2+(H112/2)*(I112/2)+(I112/2)^2-(H112/2-J112/1000)^2-(H112/2-J112/1000)*(I112/2-J112/1000)-(I112/2-J112/1000)^2)=0,"",7850/1000*(1/3)*PI()*ABS(F112-G112)*((H112/2)^2+(H112/2)*(I112/2)+(I112/2)^2-(H112/2-J112/1000)^2-(H112/2-J112/1000)*(I112/2-J112/1000)-(I112/2-J112/1000)^2))</f>
        <v>84.977248348428759</v>
      </c>
      <c r="N112" s="122">
        <f>IFERROR((MP_DATA[[#This Row],[D, bottom '[m']]]+MP_DATA[[#This Row],[D, top '[m']]])/(2*MP_DATA[[#This Row],[t '[mm']]]/1000),"")</f>
        <v>69.565217391304344</v>
      </c>
      <c r="P112" s="168" t="s">
        <v>89</v>
      </c>
      <c r="Q112" s="168">
        <v>4.3</v>
      </c>
      <c r="R112" s="168">
        <v>4.3</v>
      </c>
      <c r="S112" s="168">
        <v>14000</v>
      </c>
      <c r="T112" s="168"/>
      <c r="U112" s="168"/>
      <c r="V112" s="168"/>
      <c r="W112" s="168"/>
      <c r="X112" s="175"/>
      <c r="AO112" s="51"/>
      <c r="AP112" s="169">
        <v>1</v>
      </c>
      <c r="AQ112" s="170">
        <v>20.3</v>
      </c>
      <c r="AR112" s="170">
        <v>16.3</v>
      </c>
      <c r="AS112" s="170">
        <v>8</v>
      </c>
      <c r="AT112" s="170">
        <v>8</v>
      </c>
      <c r="AU112" s="171">
        <v>100</v>
      </c>
      <c r="AV112" s="53">
        <f>IFERROR(TP_DATA[[#This Row],[Top '[m']]]-TP_DATA[[#This Row],[Bottom '[m']]], "")</f>
        <v>4</v>
      </c>
      <c r="AW112" s="121">
        <f>IFERROR(-(TP_DATA[[#This Row],[D, bottom '[m']]]-TP_DATA[[#This Row],[D, top '[m']]])/(TP_DATA[[#This Row],[Bottom '[m']]]-TP_DATA[[#This Row],[Top '[m']]]),"")</f>
        <v>0</v>
      </c>
      <c r="AX112" s="121">
        <f>IF(7850/1000*(1/3)*PI()*ABS(AQ112-AR112)*((AS112/2)^2+(AS112/2)*(AT112/2)+(AT112/2)^2-(AS112/2-AU112/1000)^2-(AS112/2-AU112/1000)*(AT112/2-AU112/1000)-(AT112/2-AU112/1000)^2)=0,"",7850/1000*(1/3)*PI()*ABS(AQ112-AR112)*((AS112/2)^2+(AS112/2)*(AT112/2)+(AT112/2)^2-(AS112/2-AU112/1000)^2-(AS112/2-AU112/1000)*(AT112/2-AU112/1000)-(AT112/2-AU112/1000)^2))</f>
        <v>77.930347364948375</v>
      </c>
      <c r="AY112" s="122">
        <f>IFERROR((TP_DATA[[#This Row],[D, bottom '[m']]]+TP_DATA[[#This Row],[D, top '[m']]])/(2*TP_DATA[[#This Row],[t '[mm']]]/1000),"")</f>
        <v>80</v>
      </c>
      <c r="BA112" s="168" t="s">
        <v>280</v>
      </c>
      <c r="BB112" s="168">
        <v>20.2</v>
      </c>
      <c r="BC112" s="168">
        <v>20.2</v>
      </c>
      <c r="BD112" s="168">
        <v>30000</v>
      </c>
      <c r="BE112" s="168"/>
      <c r="BF112" s="168"/>
      <c r="BG112" s="168"/>
      <c r="BH112" s="168"/>
      <c r="BI112" s="175"/>
      <c r="CA112" s="51"/>
      <c r="CB112" s="116">
        <v>1</v>
      </c>
      <c r="CC112" s="53">
        <v>140.49999999999997</v>
      </c>
      <c r="CD112" s="53">
        <v>140.32499999999996</v>
      </c>
      <c r="CE112" s="53">
        <v>5.6159999999999997</v>
      </c>
      <c r="CF112" s="53">
        <v>5.6159999999999997</v>
      </c>
      <c r="CG112" s="52">
        <v>42</v>
      </c>
      <c r="CH112" s="150">
        <f>IFERROR(TOWER_DATA[[#This Row],[Top '[m']]]-TOWER_DATA[[#This Row],[Bottom '[m']]], "")</f>
        <v>0.17500000000001137</v>
      </c>
      <c r="CI112" s="151">
        <f>IFERROR(-(TOWER_DATA[[#This Row],[D, bottom '[m']]]-TOWER_DATA[[#This Row],[D, top '[m']]])/(TOWER_DATA[[#This Row],[Bottom '[m']]]-TOWER_DATA[[#This Row],[Top '[m']]]),"")</f>
        <v>0</v>
      </c>
      <c r="CJ112" s="151">
        <f>IF(7850/1000*(1/3)*PI()*ABS(CC112-CD112)*((CE112/2)^2+(CE112/2)*(CF112/2)+(CF112/2)^2-(CE112/2-CG112/1000)^2-(CE112/2-CG112/1000)*(CF112/2-CG112/1000)-(CF112/2-CG112/1000)^2)=0,"",7850/1000*(1/3)*PI()*ABS(CC112-CD112)*((CE112/2)^2+(CE112/2)*(CF112/2)+(CF112/2)^2-(CE112/2-CG112/1000)^2-(CE112/2-CG112/1000)*(CF112/2-CG112/1000)-(CF112/2-CG112/1000)^2))</f>
        <v>1.0103546228354485</v>
      </c>
      <c r="CK112" s="152">
        <f>IFERROR((TOWER_DATA[[#This Row],[D, bottom '[m']]]+TOWER_DATA[[#This Row],[D, top '[m']]])/(2*TOWER_DATA[[#This Row],[t '[mm']]]/1000),"")</f>
        <v>133.71428571428569</v>
      </c>
      <c r="CM112" s="51" t="s">
        <v>278</v>
      </c>
      <c r="CN112" s="51">
        <v>139.20000000000002</v>
      </c>
      <c r="CO112" s="51">
        <v>139.20000000000002</v>
      </c>
      <c r="CP112" s="51">
        <v>2543</v>
      </c>
      <c r="CQ112" s="51"/>
      <c r="CR112" s="51"/>
      <c r="CS112" s="51"/>
      <c r="CT112" s="51"/>
      <c r="CU112" s="137"/>
      <c r="DU112" s="101" t="str">
        <f t="shared" si="3"/>
        <v/>
      </c>
      <c r="DV112" s="101"/>
    </row>
    <row r="113" spans="5:126" ht="18" customHeight="1" x14ac:dyDescent="0.3">
      <c r="E113" s="169">
        <v>2</v>
      </c>
      <c r="F113" s="170">
        <v>1.7</v>
      </c>
      <c r="G113" s="170">
        <v>-1.8</v>
      </c>
      <c r="H113" s="170">
        <v>8</v>
      </c>
      <c r="I113" s="170">
        <v>8</v>
      </c>
      <c r="J113" s="171">
        <v>114</v>
      </c>
      <c r="K113" s="53">
        <f>IFERROR(MP_DATA[[#This Row],[Top '[m']]]-MP_DATA[[#This Row],[Bottom '[m']]], "")</f>
        <v>3.5</v>
      </c>
      <c r="L113" s="53">
        <f>IFERROR(-(MP_DATA[[#This Row],[D, bottom '[m']]]-MP_DATA[[#This Row],[D, top '[m']]])/(MP_DATA[[#This Row],[Bottom '[m']]]-MP_DATA[[#This Row],[Top '[m']]]),"")</f>
        <v>0</v>
      </c>
      <c r="M113" s="53">
        <f t="shared" ref="M113:M137" si="6"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77.597762344516724</v>
      </c>
      <c r="N113" s="123">
        <f>IFERROR((MP_DATA[[#This Row],[D, bottom '[m']]]+MP_DATA[[#This Row],[D, top '[m']]])/(2*MP_DATA[[#This Row],[t '[mm']]]/1000),"")</f>
        <v>70.175438596491219</v>
      </c>
      <c r="P113" s="168" t="s">
        <v>90</v>
      </c>
      <c r="Q113" s="168">
        <v>0.55000000000000004</v>
      </c>
      <c r="R113" s="168">
        <v>0.55000000000000004</v>
      </c>
      <c r="S113" s="168">
        <v>105000</v>
      </c>
      <c r="T113" s="168"/>
      <c r="U113" s="168"/>
      <c r="V113" s="168"/>
      <c r="W113" s="168"/>
      <c r="X113" s="175"/>
      <c r="AO113" s="51"/>
      <c r="AP113" s="169">
        <v>2</v>
      </c>
      <c r="AQ113" s="170">
        <v>16.3</v>
      </c>
      <c r="AR113" s="170">
        <v>12.9</v>
      </c>
      <c r="AS113" s="170">
        <v>8</v>
      </c>
      <c r="AT113" s="170">
        <v>8</v>
      </c>
      <c r="AU113" s="171">
        <v>105</v>
      </c>
      <c r="AV113" s="53">
        <f>IFERROR(TP_DATA[[#This Row],[Top '[m']]]-TP_DATA[[#This Row],[Bottom '[m']]], "")</f>
        <v>3.4000000000000004</v>
      </c>
      <c r="AW113" s="53">
        <f>IFERROR(-(TP_DATA[[#This Row],[D, bottom '[m']]]-TP_DATA[[#This Row],[D, top '[m']]])/(TP_DATA[[#This Row],[Bottom '[m']]]-TP_DATA[[#This Row],[Top '[m']]]),"")</f>
        <v>0</v>
      </c>
      <c r="AX113" s="53">
        <f t="shared" ref="AX113:AX137" si="7"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69.508814241556166</v>
      </c>
      <c r="AY113" s="123">
        <f>IFERROR((TP_DATA[[#This Row],[D, bottom '[m']]]+TP_DATA[[#This Row],[D, top '[m']]])/(2*TP_DATA[[#This Row],[t '[mm']]]/1000),"")</f>
        <v>76.19047619047619</v>
      </c>
      <c r="BA113" s="168" t="s">
        <v>281</v>
      </c>
      <c r="BB113" s="168">
        <v>19.7</v>
      </c>
      <c r="BC113" s="168">
        <v>19.7</v>
      </c>
      <c r="BD113" s="168">
        <v>26000</v>
      </c>
      <c r="BE113" s="168"/>
      <c r="BF113" s="168"/>
      <c r="BG113" s="168"/>
      <c r="BH113" s="168"/>
      <c r="BI113" s="175"/>
      <c r="CA113" s="51"/>
      <c r="CB113" s="139">
        <v>2</v>
      </c>
      <c r="CC113" s="140">
        <v>140.32499999999996</v>
      </c>
      <c r="CD113" s="140">
        <v>140.27499999999998</v>
      </c>
      <c r="CE113" s="140">
        <v>5.6159999999999997</v>
      </c>
      <c r="CF113" s="140">
        <v>5.609</v>
      </c>
      <c r="CG113" s="141">
        <v>42</v>
      </c>
      <c r="CH113" s="150">
        <f>IFERROR(TOWER_DATA[[#This Row],[Top '[m']]]-TOWER_DATA[[#This Row],[Bottom '[m']]], "")</f>
        <v>4.9999999999982947E-2</v>
      </c>
      <c r="CI113" s="150">
        <f>IFERROR(-(TOWER_DATA[[#This Row],[D, bottom '[m']]]-TOWER_DATA[[#This Row],[D, top '[m']]])/(TOWER_DATA[[#This Row],[Bottom '[m']]]-TOWER_DATA[[#This Row],[Top '[m']]]),"")</f>
        <v>-0.1400000000000412</v>
      </c>
      <c r="CJ113" s="150">
        <f t="shared" ref="CJ113:CJ137" si="8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0.28849148733930929</v>
      </c>
      <c r="CK113" s="153">
        <f>IFERROR((TOWER_DATA[[#This Row],[D, bottom '[m']]]+TOWER_DATA[[#This Row],[D, top '[m']]])/(2*TOWER_DATA[[#This Row],[t '[mm']]]/1000),"")</f>
        <v>133.63095238095238</v>
      </c>
      <c r="CM113" s="51" t="s">
        <v>278</v>
      </c>
      <c r="CN113" s="51">
        <v>138.102</v>
      </c>
      <c r="CO113" s="51">
        <v>138.102</v>
      </c>
      <c r="CP113" s="51">
        <v>1500</v>
      </c>
      <c r="CQ113" s="51"/>
      <c r="CR113" s="51"/>
      <c r="CS113" s="51"/>
      <c r="CT113" s="51"/>
      <c r="CU113" s="137"/>
      <c r="DU113" s="101" t="str">
        <f t="shared" si="3"/>
        <v/>
      </c>
      <c r="DV113" s="101"/>
    </row>
    <row r="114" spans="5:126" ht="18" customHeight="1" x14ac:dyDescent="0.3">
      <c r="E114" s="169">
        <v>3</v>
      </c>
      <c r="F114" s="170">
        <v>-1.8</v>
      </c>
      <c r="G114" s="170">
        <v>-5.3</v>
      </c>
      <c r="H114" s="170">
        <v>8</v>
      </c>
      <c r="I114" s="170">
        <v>8</v>
      </c>
      <c r="J114" s="171">
        <v>116</v>
      </c>
      <c r="K114" s="53">
        <f>IFERROR(MP_DATA[[#This Row],[Top '[m']]]-MP_DATA[[#This Row],[Bottom '[m']]], "")</f>
        <v>3.5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si="6"/>
        <v>78.939101456282515</v>
      </c>
      <c r="N114" s="123">
        <f>IFERROR((MP_DATA[[#This Row],[D, bottom '[m']]]+MP_DATA[[#This Row],[D, top '[m']]])/(2*MP_DATA[[#This Row],[t '[mm']]]/1000),"")</f>
        <v>68.965517241379303</v>
      </c>
      <c r="P114" s="179"/>
      <c r="Q114" s="179"/>
      <c r="R114" s="179"/>
      <c r="S114" s="179"/>
      <c r="T114" s="179"/>
      <c r="U114" s="179"/>
      <c r="V114" s="179"/>
      <c r="W114" s="179"/>
      <c r="X114" s="180"/>
      <c r="AO114" s="51"/>
      <c r="AP114" s="169">
        <v>3</v>
      </c>
      <c r="AQ114" s="170">
        <v>12.9</v>
      </c>
      <c r="AR114" s="170">
        <v>9.5</v>
      </c>
      <c r="AS114" s="170">
        <v>8</v>
      </c>
      <c r="AT114" s="170">
        <v>8</v>
      </c>
      <c r="AU114" s="171">
        <v>110</v>
      </c>
      <c r="AV114" s="53">
        <f>IFERROR(TP_DATA[[#This Row],[Top '[m']]]-TP_DATA[[#This Row],[Bottom '[m']]], "")</f>
        <v>3.4000000000000004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si="7"/>
        <v>72.772640767509913</v>
      </c>
      <c r="AY114" s="123">
        <f>IFERROR((TP_DATA[[#This Row],[D, bottom '[m']]]+TP_DATA[[#This Row],[D, top '[m']]])/(2*TP_DATA[[#This Row],[t '[mm']]]/1000),"")</f>
        <v>72.727272727272734</v>
      </c>
      <c r="BA114" s="168" t="s">
        <v>282</v>
      </c>
      <c r="BB114" s="168">
        <v>18.899999999999999</v>
      </c>
      <c r="BC114" s="168">
        <v>18.899999999999999</v>
      </c>
      <c r="BD114" s="168">
        <v>5000</v>
      </c>
      <c r="BE114" s="168"/>
      <c r="BF114" s="168"/>
      <c r="BG114" s="168"/>
      <c r="BH114" s="168"/>
      <c r="BI114" s="175"/>
      <c r="CA114" s="51"/>
      <c r="CB114" s="139">
        <v>3</v>
      </c>
      <c r="CC114" s="140">
        <v>140.27499999999998</v>
      </c>
      <c r="CD114" s="140">
        <v>138.62499999999997</v>
      </c>
      <c r="CE114" s="140">
        <v>5.609</v>
      </c>
      <c r="CF114" s="140">
        <v>5.9039999999999999</v>
      </c>
      <c r="CG114" s="141">
        <v>35</v>
      </c>
      <c r="CH114" s="150">
        <f>IFERROR(TOWER_DATA[[#This Row],[Top '[m']]]-TOWER_DATA[[#This Row],[Bottom '[m']]], "")</f>
        <v>1.6500000000000057</v>
      </c>
      <c r="CI114" s="150">
        <f>IFERROR(-(TOWER_DATA[[#This Row],[D, bottom '[m']]]-TOWER_DATA[[#This Row],[D, top '[m']]])/(TOWER_DATA[[#This Row],[Bottom '[m']]]-TOWER_DATA[[#This Row],[Top '[m']]]),"")</f>
        <v>0.17878787878787814</v>
      </c>
      <c r="CJ114" s="150">
        <f t="shared" si="8"/>
        <v>8.1485703675329084</v>
      </c>
      <c r="CK114" s="153">
        <f>IFERROR((TOWER_DATA[[#This Row],[D, bottom '[m']]]+TOWER_DATA[[#This Row],[D, top '[m']]])/(2*TOWER_DATA[[#This Row],[t '[mm']]]/1000),"")</f>
        <v>164.47142857142856</v>
      </c>
      <c r="CM114" s="51" t="s">
        <v>278</v>
      </c>
      <c r="CN114" s="51">
        <v>135.208</v>
      </c>
      <c r="CO114" s="51">
        <v>135.208</v>
      </c>
      <c r="CP114" s="51">
        <v>25000</v>
      </c>
      <c r="CQ114" s="51"/>
      <c r="CR114" s="51"/>
      <c r="CS114" s="51"/>
      <c r="CT114" s="51"/>
      <c r="CU114" s="137"/>
      <c r="DU114" s="101" t="str">
        <f t="shared" si="3"/>
        <v/>
      </c>
      <c r="DV114" s="101"/>
    </row>
    <row r="115" spans="5:126" ht="18" customHeight="1" x14ac:dyDescent="0.3">
      <c r="E115" s="169">
        <v>4</v>
      </c>
      <c r="F115" s="170">
        <v>-5.3</v>
      </c>
      <c r="G115" s="170">
        <v>-8.8000000000000007</v>
      </c>
      <c r="H115" s="170">
        <v>8</v>
      </c>
      <c r="I115" s="170">
        <v>8.36</v>
      </c>
      <c r="J115" s="171">
        <v>118</v>
      </c>
      <c r="K115" s="53">
        <f>IFERROR(MP_DATA[[#This Row],[Top '[m']]]-MP_DATA[[#This Row],[Bottom '[m']]], "")</f>
        <v>3.5000000000000009</v>
      </c>
      <c r="L115" s="53">
        <f>IFERROR(-(MP_DATA[[#This Row],[D, bottom '[m']]]-MP_DATA[[#This Row],[D, top '[m']]])/(MP_DATA[[#This Row],[Bottom '[m']]]-MP_DATA[[#This Row],[Top '[m']]]),"")</f>
        <v>0.10285714285714267</v>
      </c>
      <c r="M115" s="53">
        <f t="shared" si="6"/>
        <v>82.113086129245573</v>
      </c>
      <c r="N115" s="123">
        <f>IFERROR((MP_DATA[[#This Row],[D, bottom '[m']]]+MP_DATA[[#This Row],[D, top '[m']]])/(2*MP_DATA[[#This Row],[t '[mm']]]/1000),"")</f>
        <v>69.322033898305079</v>
      </c>
      <c r="P115" s="51"/>
      <c r="Q115" s="51"/>
      <c r="R115" s="51"/>
      <c r="S115" s="51"/>
      <c r="T115" s="51"/>
      <c r="U115" s="51"/>
      <c r="V115" s="51"/>
      <c r="W115" s="51"/>
      <c r="X115" s="137"/>
      <c r="AO115" s="51"/>
      <c r="AP115" s="169">
        <v>4</v>
      </c>
      <c r="AQ115" s="170">
        <v>9.5</v>
      </c>
      <c r="AR115" s="170">
        <v>5.5</v>
      </c>
      <c r="AS115" s="170">
        <v>8</v>
      </c>
      <c r="AT115" s="170">
        <v>8</v>
      </c>
      <c r="AU115" s="171">
        <v>115</v>
      </c>
      <c r="AV115" s="53">
        <f>IFERROR(TP_DATA[[#This Row],[Top '[m']]]-TP_DATA[[#This Row],[Bottom '[m']]], "")</f>
        <v>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89.449735103609214</v>
      </c>
      <c r="AY115" s="123">
        <f>IFERROR((TP_DATA[[#This Row],[D, bottom '[m']]]+TP_DATA[[#This Row],[D, top '[m']]])/(2*TP_DATA[[#This Row],[t '[mm']]]/1000),"")</f>
        <v>69.565217391304344</v>
      </c>
      <c r="BA115" s="168" t="s">
        <v>283</v>
      </c>
      <c r="BB115" s="168">
        <v>14</v>
      </c>
      <c r="BC115" s="168">
        <v>14</v>
      </c>
      <c r="BD115" s="168">
        <v>31000</v>
      </c>
      <c r="BE115" s="168"/>
      <c r="BF115" s="168"/>
      <c r="BG115" s="168"/>
      <c r="BH115" s="168"/>
      <c r="BI115" s="175"/>
      <c r="CA115" s="51"/>
      <c r="CB115" s="139">
        <v>4</v>
      </c>
      <c r="CC115" s="140">
        <v>138.62499999999997</v>
      </c>
      <c r="CD115" s="140">
        <v>136.97499999999997</v>
      </c>
      <c r="CE115" s="140">
        <v>5.9039999999999999</v>
      </c>
      <c r="CF115" s="140">
        <v>6.258</v>
      </c>
      <c r="CG115" s="141">
        <v>40</v>
      </c>
      <c r="CH115" s="150">
        <f>IFERROR(TOWER_DATA[[#This Row],[Top '[m']]]-TOWER_DATA[[#This Row],[Bottom '[m']]], "")</f>
        <v>1.6500000000000057</v>
      </c>
      <c r="CI115" s="150">
        <f>IFERROR(-(TOWER_DATA[[#This Row],[D, bottom '[m']]]-TOWER_DATA[[#This Row],[D, top '[m']]])/(TOWER_DATA[[#This Row],[Bottom '[m']]]-TOWER_DATA[[#This Row],[Top '[m']]]),"")</f>
        <v>0.21454545454545387</v>
      </c>
      <c r="CJ115" s="150">
        <f t="shared" si="8"/>
        <v>9.8326889482561182</v>
      </c>
      <c r="CK115" s="153">
        <f>IFERROR((TOWER_DATA[[#This Row],[D, bottom '[m']]]+TOWER_DATA[[#This Row],[D, top '[m']]])/(2*TOWER_DATA[[#This Row],[t '[mm']]]/1000),"")</f>
        <v>152.02499999999998</v>
      </c>
      <c r="CM115" s="51" t="s">
        <v>278</v>
      </c>
      <c r="CN115" s="51">
        <v>133.21100000000001</v>
      </c>
      <c r="CO115" s="51">
        <v>133.21100000000001</v>
      </c>
      <c r="CP115" s="51">
        <v>1000</v>
      </c>
      <c r="CQ115" s="51"/>
      <c r="CR115" s="51"/>
      <c r="CS115" s="51"/>
      <c r="CT115" s="51"/>
      <c r="CU115" s="137"/>
      <c r="DU115" s="101" t="str">
        <f t="shared" si="3"/>
        <v/>
      </c>
      <c r="DV115" s="101"/>
    </row>
    <row r="116" spans="5:126" ht="18" customHeight="1" x14ac:dyDescent="0.3">
      <c r="E116" s="169">
        <v>5</v>
      </c>
      <c r="F116" s="170">
        <v>-8.8000000000000007</v>
      </c>
      <c r="G116" s="170">
        <v>-12.3</v>
      </c>
      <c r="H116" s="170">
        <v>8.36</v>
      </c>
      <c r="I116" s="170">
        <v>8.7200000000000006</v>
      </c>
      <c r="J116" s="171">
        <v>108</v>
      </c>
      <c r="K116" s="53">
        <f>IFERROR(MP_DATA[[#This Row],[Top '[m']]]-MP_DATA[[#This Row],[Bottom '[m']]], "")</f>
        <v>3.5</v>
      </c>
      <c r="L116" s="53">
        <f>IFERROR(-(MP_DATA[[#This Row],[D, bottom '[m']]]-MP_DATA[[#This Row],[D, top '[m']]])/(MP_DATA[[#This Row],[Bottom '[m']]]-MP_DATA[[#This Row],[Top '[m']]]),"")</f>
        <v>0.1028571428571432</v>
      </c>
      <c r="M116" s="53">
        <f t="shared" si="6"/>
        <v>78.603507732566385</v>
      </c>
      <c r="N116" s="123">
        <f>IFERROR((MP_DATA[[#This Row],[D, bottom '[m']]]+MP_DATA[[#This Row],[D, top '[m']]])/(2*MP_DATA[[#This Row],[t '[mm']]]/1000),"")</f>
        <v>79.074074074074062</v>
      </c>
      <c r="P116" s="51"/>
      <c r="Q116" s="51"/>
      <c r="R116" s="51"/>
      <c r="S116" s="51"/>
      <c r="T116" s="51"/>
      <c r="U116" s="51"/>
      <c r="V116" s="51"/>
      <c r="W116" s="51"/>
      <c r="X116" s="137"/>
      <c r="AO116" s="51"/>
      <c r="AP116" s="172"/>
      <c r="AQ116" s="173"/>
      <c r="AR116" s="173"/>
      <c r="AS116" s="173"/>
      <c r="AT116" s="173"/>
      <c r="AU116" s="174"/>
      <c r="AV116" s="53" t="str">
        <f>IFERROR(TP_DATA[[#This Row],[Top '[m']]]-TP_DATA[[#This Row],[Bottom '[m']]], "")</f>
        <v/>
      </c>
      <c r="AW116" s="53" t="str">
        <f>IFERROR(-(TP_DATA[[#This Row],[D, bottom '[m']]]-TP_DATA[[#This Row],[D, top '[m']]])/(TP_DATA[[#This Row],[Bottom '[m']]]-TP_DATA[[#This Row],[Top '[m']]]),"")</f>
        <v/>
      </c>
      <c r="AX116" s="53" t="str">
        <f t="shared" si="7"/>
        <v/>
      </c>
      <c r="AY116" s="123" t="str">
        <f>IFERROR((TP_DATA[[#This Row],[D, bottom '[m']]]+TP_DATA[[#This Row],[D, top '[m']]])/(2*TP_DATA[[#This Row],[t '[mm']]]/1000),"")</f>
        <v/>
      </c>
      <c r="BA116" s="168" t="s">
        <v>284</v>
      </c>
      <c r="BB116" s="168">
        <v>5.5</v>
      </c>
      <c r="BC116" s="168">
        <v>5.5</v>
      </c>
      <c r="BD116" s="168">
        <v>70000</v>
      </c>
      <c r="BE116" s="168"/>
      <c r="BF116" s="168"/>
      <c r="BG116" s="168"/>
      <c r="BH116" s="168"/>
      <c r="BI116" s="175"/>
      <c r="CA116" s="51"/>
      <c r="CB116" s="139">
        <v>5</v>
      </c>
      <c r="CC116" s="140">
        <v>136.97499999999997</v>
      </c>
      <c r="CD116" s="140">
        <v>136.38899999999998</v>
      </c>
      <c r="CE116" s="140">
        <v>6.258</v>
      </c>
      <c r="CF116" s="140">
        <v>6.258</v>
      </c>
      <c r="CG116" s="141">
        <v>58</v>
      </c>
      <c r="CH116" s="150">
        <f>IFERROR(TOWER_DATA[[#This Row],[Top '[m']]]-TOWER_DATA[[#This Row],[Bottom '[m']]], "")</f>
        <v>0.58599999999998431</v>
      </c>
      <c r="CI116" s="150">
        <f>IFERROR(-(TOWER_DATA[[#This Row],[D, bottom '[m']]]-TOWER_DATA[[#This Row],[D, top '[m']]])/(TOWER_DATA[[#This Row],[Bottom '[m']]]-TOWER_DATA[[#This Row],[Top '[m']]]),"")</f>
        <v>0</v>
      </c>
      <c r="CJ116" s="150">
        <f t="shared" si="8"/>
        <v>5.1968098755337806</v>
      </c>
      <c r="CK116" s="153">
        <f>IFERROR((TOWER_DATA[[#This Row],[D, bottom '[m']]]+TOWER_DATA[[#This Row],[D, top '[m']]])/(2*TOWER_DATA[[#This Row],[t '[mm']]]/1000),"")</f>
        <v>107.89655172413792</v>
      </c>
      <c r="CM116" s="51" t="s">
        <v>278</v>
      </c>
      <c r="CN116" s="51">
        <v>113.741</v>
      </c>
      <c r="CO116" s="51">
        <v>113.741</v>
      </c>
      <c r="CP116" s="51">
        <v>4156</v>
      </c>
      <c r="CQ116" s="51"/>
      <c r="CR116" s="51"/>
      <c r="CS116" s="51"/>
      <c r="CT116" s="51"/>
      <c r="CU116" s="137"/>
      <c r="DU116" s="101" t="str">
        <f t="shared" si="3"/>
        <v/>
      </c>
      <c r="DV116" s="101"/>
    </row>
    <row r="117" spans="5:126" ht="18" customHeight="1" x14ac:dyDescent="0.3">
      <c r="E117" s="169">
        <v>6</v>
      </c>
      <c r="F117" s="170">
        <v>-12.3</v>
      </c>
      <c r="G117" s="170">
        <v>-15.8</v>
      </c>
      <c r="H117" s="170">
        <v>8.7200000000000006</v>
      </c>
      <c r="I117" s="170">
        <v>9.08</v>
      </c>
      <c r="J117" s="171">
        <v>100</v>
      </c>
      <c r="K117" s="53">
        <f>IFERROR(MP_DATA[[#This Row],[Top '[m']]]-MP_DATA[[#This Row],[Bottom '[m']]], "")</f>
        <v>3.5</v>
      </c>
      <c r="L117" s="53">
        <f>IFERROR(-(MP_DATA[[#This Row],[D, bottom '[m']]]-MP_DATA[[#This Row],[D, top '[m']]])/(MP_DATA[[#This Row],[Bottom '[m']]]-MP_DATA[[#This Row],[Top '[m']]]),"")</f>
        <v>0.10285714285714269</v>
      </c>
      <c r="M117" s="53">
        <f t="shared" si="6"/>
        <v>75.957427178493617</v>
      </c>
      <c r="N117" s="123">
        <f>IFERROR((MP_DATA[[#This Row],[D, bottom '[m']]]+MP_DATA[[#This Row],[D, top '[m']]])/(2*MP_DATA[[#This Row],[t '[mm']]]/1000),"")</f>
        <v>89</v>
      </c>
      <c r="P117" s="51"/>
      <c r="Q117" s="51"/>
      <c r="R117" s="51"/>
      <c r="S117" s="51"/>
      <c r="T117" s="51"/>
      <c r="U117" s="51"/>
      <c r="V117" s="51"/>
      <c r="W117" s="51"/>
      <c r="X117" s="137"/>
      <c r="AO117" s="51"/>
      <c r="AP117" s="172"/>
      <c r="AQ117" s="173"/>
      <c r="AR117" s="173"/>
      <c r="AS117" s="173"/>
      <c r="AT117" s="173"/>
      <c r="AU117" s="174"/>
      <c r="AV117" s="53" t="str">
        <f>IFERROR(TP_DATA[[#This Row],[Top '[m']]]-TP_DATA[[#This Row],[Bottom '[m']]], "")</f>
        <v/>
      </c>
      <c r="AW117" s="53" t="str">
        <f>IFERROR(-(TP_DATA[[#This Row],[D, bottom '[m']]]-TP_DATA[[#This Row],[D, top '[m']]])/(TP_DATA[[#This Row],[Bottom '[m']]]-TP_DATA[[#This Row],[Top '[m']]]),"")</f>
        <v/>
      </c>
      <c r="AX117" s="53" t="str">
        <f t="shared" si="7"/>
        <v/>
      </c>
      <c r="AY117" s="123" t="str">
        <f>IFERROR((TP_DATA[[#This Row],[D, bottom '[m']]]+TP_DATA[[#This Row],[D, top '[m']]])/(2*TP_DATA[[#This Row],[t '[mm']]]/1000),"")</f>
        <v/>
      </c>
      <c r="BA117" s="168" t="s">
        <v>285</v>
      </c>
      <c r="BB117" s="168">
        <v>22.5</v>
      </c>
      <c r="BC117" s="168">
        <v>10.7</v>
      </c>
      <c r="BD117" s="168">
        <v>3000</v>
      </c>
      <c r="BE117" s="168">
        <v>0.19400000000000001</v>
      </c>
      <c r="BF117" s="168">
        <v>130.80000000000001</v>
      </c>
      <c r="BG117" s="168">
        <v>4.8</v>
      </c>
      <c r="BH117" s="168"/>
      <c r="BI117" s="175">
        <v>0</v>
      </c>
      <c r="CA117" s="51"/>
      <c r="CB117" s="139">
        <v>6</v>
      </c>
      <c r="CC117" s="140">
        <v>136.38899999999998</v>
      </c>
      <c r="CD117" s="140">
        <v>135.29999999999998</v>
      </c>
      <c r="CE117" s="140">
        <v>6.258</v>
      </c>
      <c r="CF117" s="140">
        <v>6.258</v>
      </c>
      <c r="CG117" s="141">
        <v>58</v>
      </c>
      <c r="CH117" s="150">
        <f>IFERROR(TOWER_DATA[[#This Row],[Top '[m']]]-TOWER_DATA[[#This Row],[Bottom '[m']]], "")</f>
        <v>1.0889999999999986</v>
      </c>
      <c r="CI117" s="150">
        <f>IFERROR(-(TOWER_DATA[[#This Row],[D, bottom '[m']]]-TOWER_DATA[[#This Row],[D, top '[m']]])/(TOWER_DATA[[#This Row],[Bottom '[m']]]-TOWER_DATA[[#This Row],[Top '[m']]]),"")</f>
        <v>0</v>
      </c>
      <c r="CJ117" s="150">
        <f t="shared" si="8"/>
        <v>9.6575528233044903</v>
      </c>
      <c r="CK117" s="153">
        <f>IFERROR((TOWER_DATA[[#This Row],[D, bottom '[m']]]+TOWER_DATA[[#This Row],[D, top '[m']]])/(2*TOWER_DATA[[#This Row],[t '[mm']]]/1000),"")</f>
        <v>107.89655172413792</v>
      </c>
      <c r="CM117" s="51" t="s">
        <v>278</v>
      </c>
      <c r="CN117" s="51">
        <v>113.621</v>
      </c>
      <c r="CO117" s="51">
        <v>113.621</v>
      </c>
      <c r="CP117" s="51">
        <v>4156</v>
      </c>
      <c r="CQ117" s="51"/>
      <c r="CR117" s="51"/>
      <c r="CS117" s="51"/>
      <c r="CT117" s="51"/>
      <c r="CU117" s="137"/>
      <c r="DU117" s="101" t="str">
        <f t="shared" si="3"/>
        <v/>
      </c>
      <c r="DV117" s="101"/>
    </row>
    <row r="118" spans="5:126" ht="18" customHeight="1" x14ac:dyDescent="0.3">
      <c r="E118" s="169">
        <v>7</v>
      </c>
      <c r="F118" s="170">
        <v>-15.8</v>
      </c>
      <c r="G118" s="170">
        <v>-19.3</v>
      </c>
      <c r="H118" s="170">
        <v>9.08</v>
      </c>
      <c r="I118" s="170">
        <v>9.44</v>
      </c>
      <c r="J118" s="171">
        <v>94</v>
      </c>
      <c r="K118" s="53">
        <f>IFERROR(MP_DATA[[#This Row],[Top '[m']]]-MP_DATA[[#This Row],[Bottom '[m']]], "")</f>
        <v>3.5</v>
      </c>
      <c r="L118" s="53">
        <f>IFERROR(-(MP_DATA[[#This Row],[D, bottom '[m']]]-MP_DATA[[#This Row],[D, top '[m']]])/(MP_DATA[[#This Row],[Bottom '[m']]]-MP_DATA[[#This Row],[Top '[m']]]),"")</f>
        <v>0.10285714285714269</v>
      </c>
      <c r="M118" s="53">
        <f t="shared" si="6"/>
        <v>74.36957168943114</v>
      </c>
      <c r="N118" s="123">
        <f>IFERROR((MP_DATA[[#This Row],[D, bottom '[m']]]+MP_DATA[[#This Row],[D, top '[m']]])/(2*MP_DATA[[#This Row],[t '[mm']]]/1000),"")</f>
        <v>98.510638297872333</v>
      </c>
      <c r="AP118" s="172"/>
      <c r="AQ118" s="173"/>
      <c r="AR118" s="173"/>
      <c r="AS118" s="173"/>
      <c r="AT118" s="173"/>
      <c r="AU118" s="174"/>
      <c r="AV118" s="53" t="str">
        <f>IFERROR(TP_DATA[[#This Row],[Top '[m']]]-TP_DATA[[#This Row],[Bottom '[m']]], "")</f>
        <v/>
      </c>
      <c r="AW118" s="53" t="str">
        <f>IFERROR(-(TP_DATA[[#This Row],[D, bottom '[m']]]-TP_DATA[[#This Row],[D, top '[m']]])/(TP_DATA[[#This Row],[Bottom '[m']]]-TP_DATA[[#This Row],[Top '[m']]]),"")</f>
        <v/>
      </c>
      <c r="AX118" s="53" t="str">
        <f t="shared" si="7"/>
        <v/>
      </c>
      <c r="AY118" s="123" t="str">
        <f>IFERROR((TP_DATA[[#This Row],[D, bottom '[m']]]+TP_DATA[[#This Row],[D, top '[m']]])/(2*TP_DATA[[#This Row],[t '[mm']]]/1000),"")</f>
        <v/>
      </c>
      <c r="BA118" s="168" t="s">
        <v>285</v>
      </c>
      <c r="BB118" s="168">
        <v>22.5</v>
      </c>
      <c r="BC118" s="168">
        <v>10.7</v>
      </c>
      <c r="BD118" s="168">
        <v>3000</v>
      </c>
      <c r="BE118" s="168">
        <v>0.19400000000000001</v>
      </c>
      <c r="BF118" s="168">
        <v>139.19999999999999</v>
      </c>
      <c r="BG118" s="168">
        <v>4.8</v>
      </c>
      <c r="BH118" s="168"/>
      <c r="BI118" s="175">
        <v>0</v>
      </c>
      <c r="CB118" s="139">
        <v>7</v>
      </c>
      <c r="CC118" s="140">
        <v>135.29999999999998</v>
      </c>
      <c r="CD118" s="140">
        <v>133.47499999999997</v>
      </c>
      <c r="CE118" s="140">
        <v>6.258</v>
      </c>
      <c r="CF118" s="140">
        <v>6.2229999999999999</v>
      </c>
      <c r="CG118" s="141">
        <v>58</v>
      </c>
      <c r="CH118" s="150">
        <f>IFERROR(TOWER_DATA[[#This Row],[Top '[m']]]-TOWER_DATA[[#This Row],[Bottom '[m']]], "")</f>
        <v>1.8250000000000171</v>
      </c>
      <c r="CI118" s="150">
        <f>IFERROR(-(TOWER_DATA[[#This Row],[D, bottom '[m']]]-TOWER_DATA[[#This Row],[D, top '[m']]])/(TOWER_DATA[[#This Row],[Bottom '[m']]]-TOWER_DATA[[#This Row],[Top '[m']]]),"")</f>
        <v>-1.9178082191780719E-2</v>
      </c>
      <c r="CJ118" s="150">
        <f t="shared" si="8"/>
        <v>16.138921784175626</v>
      </c>
      <c r="CK118" s="153">
        <f>IFERROR((TOWER_DATA[[#This Row],[D, bottom '[m']]]+TOWER_DATA[[#This Row],[D, top '[m']]])/(2*TOWER_DATA[[#This Row],[t '[mm']]]/1000),"")</f>
        <v>107.59482758620689</v>
      </c>
      <c r="CM118" s="51" t="s">
        <v>278</v>
      </c>
      <c r="CN118" s="51">
        <v>112.32299999999999</v>
      </c>
      <c r="CO118" s="51">
        <v>112.32299999999999</v>
      </c>
      <c r="CP118" s="51">
        <v>1500</v>
      </c>
      <c r="CQ118" s="51"/>
      <c r="CR118" s="51"/>
      <c r="CS118" s="51"/>
      <c r="CT118" s="51"/>
      <c r="CU118" s="137"/>
      <c r="DU118" s="101" t="str">
        <f t="shared" si="3"/>
        <v/>
      </c>
      <c r="DV118" s="101"/>
    </row>
    <row r="119" spans="5:126" ht="18" customHeight="1" x14ac:dyDescent="0.3">
      <c r="E119" s="169">
        <v>8</v>
      </c>
      <c r="F119" s="170">
        <v>-19.3</v>
      </c>
      <c r="G119" s="170">
        <v>-22.8</v>
      </c>
      <c r="H119" s="170">
        <v>9.44</v>
      </c>
      <c r="I119" s="170">
        <v>9.8000000000000007</v>
      </c>
      <c r="J119" s="171">
        <v>93</v>
      </c>
      <c r="K119" s="53">
        <f>IFERROR(MP_DATA[[#This Row],[Top '[m']]]-MP_DATA[[#This Row],[Bottom '[m']]], "")</f>
        <v>3.5</v>
      </c>
      <c r="L119" s="53">
        <f>IFERROR(-(MP_DATA[[#This Row],[D, bottom '[m']]]-MP_DATA[[#This Row],[D, top '[m']]])/(MP_DATA[[#This Row],[Bottom '[m']]]-MP_DATA[[#This Row],[Top '[m']]]),"")</f>
        <v>0.1028571428571432</v>
      </c>
      <c r="M119" s="53">
        <f t="shared" si="6"/>
        <v>76.476268195278408</v>
      </c>
      <c r="N119" s="123">
        <f>IFERROR((MP_DATA[[#This Row],[D, bottom '[m']]]+MP_DATA[[#This Row],[D, top '[m']]])/(2*MP_DATA[[#This Row],[t '[mm']]]/1000),"")</f>
        <v>103.44086021505377</v>
      </c>
      <c r="AV119" s="53" t="str">
        <f>IFERROR(TP_DATA[[#This Row],[Top '[m']]]-TP_DATA[[#This Row],[Bottom '[m']]], "")</f>
        <v/>
      </c>
      <c r="AW119" s="53" t="str">
        <f>IFERROR(-(TP_DATA[[#This Row],[D, bottom '[m']]]-TP_DATA[[#This Row],[D, top '[m']]])/(TP_DATA[[#This Row],[Bottom '[m']]]-TP_DATA[[#This Row],[Top '[m']]]),"")</f>
        <v/>
      </c>
      <c r="AX119" s="53" t="str">
        <f t="shared" si="7"/>
        <v/>
      </c>
      <c r="AY119" s="123" t="str">
        <f>IFERROR((TP_DATA[[#This Row],[D, bottom '[m']]]+TP_DATA[[#This Row],[D, top '[m']]])/(2*TP_DATA[[#This Row],[t '[mm']]]/1000),"")</f>
        <v/>
      </c>
      <c r="BA119" s="179" t="s">
        <v>286</v>
      </c>
      <c r="BB119" s="179">
        <v>13.2</v>
      </c>
      <c r="BC119" s="179">
        <v>-2.6</v>
      </c>
      <c r="BD119" s="179">
        <v>3000</v>
      </c>
      <c r="BE119" s="179">
        <v>0.19400000000000001</v>
      </c>
      <c r="BF119" s="179">
        <v>115.6</v>
      </c>
      <c r="BG119" s="179">
        <v>4.8</v>
      </c>
      <c r="BH119" s="179"/>
      <c r="BI119" s="180">
        <v>0</v>
      </c>
      <c r="CB119" s="139">
        <v>8</v>
      </c>
      <c r="CC119" s="140">
        <v>133.47499999999997</v>
      </c>
      <c r="CD119" s="140">
        <v>131.23999999999998</v>
      </c>
      <c r="CE119" s="140">
        <v>6.2229999999999999</v>
      </c>
      <c r="CF119" s="140">
        <v>6.2229999999999999</v>
      </c>
      <c r="CG119" s="141">
        <v>23</v>
      </c>
      <c r="CH119" s="150">
        <f>IFERROR(TOWER_DATA[[#This Row],[Top '[m']]]-TOWER_DATA[[#This Row],[Bottom '[m']]], "")</f>
        <v>2.2349999999999852</v>
      </c>
      <c r="CI119" s="150">
        <f>IFERROR(-(TOWER_DATA[[#This Row],[D, bottom '[m']]]-TOWER_DATA[[#This Row],[D, top '[m']]])/(TOWER_DATA[[#This Row],[Bottom '[m']]]-TOWER_DATA[[#This Row],[Top '[m']]]),"")</f>
        <v>0</v>
      </c>
      <c r="CJ119" s="150">
        <f t="shared" si="8"/>
        <v>7.8598920693133492</v>
      </c>
      <c r="CK119" s="153">
        <f>IFERROR((TOWER_DATA[[#This Row],[D, bottom '[m']]]+TOWER_DATA[[#This Row],[D, top '[m']]])/(2*TOWER_DATA[[#This Row],[t '[mm']]]/1000),"")</f>
        <v>270.56521739130437</v>
      </c>
      <c r="CM119" s="51" t="s">
        <v>278</v>
      </c>
      <c r="CN119" s="51">
        <v>77.42</v>
      </c>
      <c r="CO119" s="51">
        <v>77.42</v>
      </c>
      <c r="CP119" s="51">
        <v>5785</v>
      </c>
      <c r="CQ119" s="51"/>
      <c r="CR119" s="51"/>
      <c r="CS119" s="51"/>
      <c r="CT119" s="51"/>
      <c r="CU119" s="137"/>
      <c r="DU119" s="101" t="str">
        <f t="shared" si="3"/>
        <v/>
      </c>
      <c r="DV119" s="101"/>
    </row>
    <row r="120" spans="5:126" ht="18" customHeight="1" x14ac:dyDescent="0.3">
      <c r="E120" s="172">
        <v>9</v>
      </c>
      <c r="F120" s="173">
        <v>-22.8</v>
      </c>
      <c r="G120" s="173">
        <v>-26.7</v>
      </c>
      <c r="H120" s="173">
        <v>9.8000000000000007</v>
      </c>
      <c r="I120" s="173">
        <v>9.8000000000000007</v>
      </c>
      <c r="J120" s="174">
        <v>93</v>
      </c>
      <c r="K120" s="53">
        <f>IFERROR(MP_DATA[[#This Row],[Top '[m']]]-MP_DATA[[#This Row],[Bottom '[m']]], "")</f>
        <v>3.8999999999999986</v>
      </c>
      <c r="L120" s="53">
        <f>IFERROR(-(MP_DATA[[#This Row],[D, bottom '[m']]]-MP_DATA[[#This Row],[D, top '[m']]])/(MP_DATA[[#This Row],[Bottom '[m']]]-MP_DATA[[#This Row],[Top '[m']]]),"")</f>
        <v>0</v>
      </c>
      <c r="M120" s="53">
        <f t="shared" si="6"/>
        <v>86.826463973042152</v>
      </c>
      <c r="N120" s="123">
        <f>IFERROR((MP_DATA[[#This Row],[D, bottom '[m']]]+MP_DATA[[#This Row],[D, top '[m']]])/(2*MP_DATA[[#This Row],[t '[mm']]]/1000),"")</f>
        <v>105.37634408602152</v>
      </c>
      <c r="AP120" s="139"/>
      <c r="AQ120" s="140"/>
      <c r="AR120" s="140"/>
      <c r="AS120" s="140"/>
      <c r="AT120" s="140"/>
      <c r="AU120" s="141"/>
      <c r="AV120" s="53" t="str">
        <f>IFERROR(TP_DATA[[#This Row],[Top '[m']]]-TP_DATA[[#This Row],[Bottom '[m']]], "")</f>
        <v/>
      </c>
      <c r="AW120" s="53" t="str">
        <f>IFERROR(-(TP_DATA[[#This Row],[D, bottom '[m']]]-TP_DATA[[#This Row],[D, top '[m']]])/(TP_DATA[[#This Row],[Bottom '[m']]]-TP_DATA[[#This Row],[Top '[m']]]),"")</f>
        <v/>
      </c>
      <c r="AX120" s="53" t="str">
        <f t="shared" si="7"/>
        <v/>
      </c>
      <c r="AY120" s="123" t="str">
        <f>IFERROR((TP_DATA[[#This Row],[D, bottom '[m']]]+TP_DATA[[#This Row],[D, top '[m']]])/(2*TP_DATA[[#This Row],[t '[mm']]]/1000),"")</f>
        <v/>
      </c>
      <c r="BA120" s="179" t="s">
        <v>286</v>
      </c>
      <c r="BB120" s="179">
        <v>13.2</v>
      </c>
      <c r="BC120" s="179">
        <v>-2.6</v>
      </c>
      <c r="BD120" s="179">
        <v>3000</v>
      </c>
      <c r="BE120" s="179">
        <v>0.19400000000000001</v>
      </c>
      <c r="BF120" s="179">
        <v>124.4</v>
      </c>
      <c r="BG120" s="179">
        <v>4.8</v>
      </c>
      <c r="BH120" s="179"/>
      <c r="BI120" s="180">
        <v>0</v>
      </c>
      <c r="CB120" s="139">
        <v>9</v>
      </c>
      <c r="CC120" s="140">
        <v>131.23999999999998</v>
      </c>
      <c r="CD120" s="140">
        <v>130.89999999999998</v>
      </c>
      <c r="CE120" s="140">
        <v>6.2229999999999999</v>
      </c>
      <c r="CF120" s="140">
        <v>6.2229999999999999</v>
      </c>
      <c r="CG120" s="141">
        <v>23</v>
      </c>
      <c r="CH120" s="150">
        <f>IFERROR(TOWER_DATA[[#This Row],[Top '[m']]]-TOWER_DATA[[#This Row],[Bottom '[m']]], "")</f>
        <v>0.34000000000000341</v>
      </c>
      <c r="CI120" s="150">
        <f>IFERROR(-(TOWER_DATA[[#This Row],[D, bottom '[m']]]-TOWER_DATA[[#This Row],[D, top '[m']]])/(TOWER_DATA[[#This Row],[Bottom '[m']]]-TOWER_DATA[[#This Row],[Top '[m']]]),"")</f>
        <v>0</v>
      </c>
      <c r="CJ120" s="150">
        <f t="shared" si="8"/>
        <v>1.1956882790007084</v>
      </c>
      <c r="CK120" s="153">
        <f>IFERROR((TOWER_DATA[[#This Row],[D, bottom '[m']]]+TOWER_DATA[[#This Row],[D, top '[m']]])/(2*TOWER_DATA[[#This Row],[t '[mm']]]/1000),"")</f>
        <v>270.56521739130437</v>
      </c>
      <c r="CM120" s="51" t="s">
        <v>278</v>
      </c>
      <c r="CN120" s="51">
        <v>77.289999999999992</v>
      </c>
      <c r="CO120" s="51">
        <v>77.289999999999992</v>
      </c>
      <c r="CP120" s="51">
        <v>5785</v>
      </c>
      <c r="CQ120" s="51"/>
      <c r="CR120" s="51"/>
      <c r="CS120" s="51"/>
      <c r="CT120" s="51"/>
      <c r="CU120" s="137"/>
      <c r="DU120" s="101" t="str">
        <f t="shared" si="3"/>
        <v/>
      </c>
      <c r="DV120" s="101"/>
    </row>
    <row r="121" spans="5:126" ht="18" customHeight="1" x14ac:dyDescent="0.3">
      <c r="E121" s="172">
        <v>10</v>
      </c>
      <c r="F121" s="173">
        <v>-26.7</v>
      </c>
      <c r="G121" s="173">
        <v>-30.6</v>
      </c>
      <c r="H121" s="173">
        <v>9.8000000000000007</v>
      </c>
      <c r="I121" s="173">
        <v>9.8000000000000007</v>
      </c>
      <c r="J121" s="174">
        <v>102</v>
      </c>
      <c r="K121" s="53">
        <f>IFERROR(MP_DATA[[#This Row],[Top '[m']]]-MP_DATA[[#This Row],[Bottom '[m']]], "")</f>
        <v>3.9000000000000021</v>
      </c>
      <c r="L121" s="53">
        <f>IFERROR(-(MP_DATA[[#This Row],[D, bottom '[m']]]-MP_DATA[[#This Row],[D, top '[m']]])/(MP_DATA[[#This Row],[Bottom '[m']]]-MP_DATA[[#This Row],[Top '[m']]]),"")</f>
        <v>0</v>
      </c>
      <c r="M121" s="53">
        <f t="shared" si="6"/>
        <v>95.140731892047384</v>
      </c>
      <c r="N121" s="123">
        <f>IFERROR((MP_DATA[[#This Row],[D, bottom '[m']]]+MP_DATA[[#This Row],[D, top '[m']]])/(2*MP_DATA[[#This Row],[t '[mm']]]/1000),"")</f>
        <v>96.078431372549034</v>
      </c>
      <c r="AP121" s="139"/>
      <c r="AQ121" s="140"/>
      <c r="AR121" s="140"/>
      <c r="AS121" s="140"/>
      <c r="AT121" s="140"/>
      <c r="AU121" s="141"/>
      <c r="AV121" s="53" t="str">
        <f>IFERROR(TP_DATA[[#This Row],[Top '[m']]]-TP_DATA[[#This Row],[Bottom '[m']]], "")</f>
        <v/>
      </c>
      <c r="AW121" s="53" t="str">
        <f>IFERROR(-(TP_DATA[[#This Row],[D, bottom '[m']]]-TP_DATA[[#This Row],[D, top '[m']]])/(TP_DATA[[#This Row],[Bottom '[m']]]-TP_DATA[[#This Row],[Top '[m']]]),"")</f>
        <v/>
      </c>
      <c r="AX121" s="53" t="str">
        <f t="shared" si="7"/>
        <v/>
      </c>
      <c r="AY121" s="123" t="str">
        <f>IFERROR((TP_DATA[[#This Row],[D, bottom '[m']]]+TP_DATA[[#This Row],[D, top '[m']]])/(2*TP_DATA[[#This Row],[t '[mm']]]/1000),"")</f>
        <v/>
      </c>
      <c r="BA121" s="179" t="s">
        <v>279</v>
      </c>
      <c r="BB121" s="179">
        <v>10.6</v>
      </c>
      <c r="BC121" s="179">
        <v>-2.6</v>
      </c>
      <c r="BD121" s="179">
        <v>8000</v>
      </c>
      <c r="BE121" s="179">
        <v>0.40600000000000003</v>
      </c>
      <c r="BF121" s="179">
        <v>110.4</v>
      </c>
      <c r="BG121" s="179">
        <v>5.2</v>
      </c>
      <c r="BH121" s="179"/>
      <c r="BI121" s="180">
        <v>0</v>
      </c>
      <c r="CB121" s="139">
        <v>10</v>
      </c>
      <c r="CC121" s="140">
        <v>130.89999999999998</v>
      </c>
      <c r="CD121" s="140">
        <v>128.48999999999998</v>
      </c>
      <c r="CE121" s="140">
        <v>6.2229999999999999</v>
      </c>
      <c r="CF121" s="140">
        <v>6.2229999999999999</v>
      </c>
      <c r="CG121" s="141">
        <v>23</v>
      </c>
      <c r="CH121" s="150">
        <f>IFERROR(TOWER_DATA[[#This Row],[Top '[m']]]-TOWER_DATA[[#This Row],[Bottom '[m']]], "")</f>
        <v>2.4099999999999966</v>
      </c>
      <c r="CI121" s="150">
        <f>IFERROR(-(TOWER_DATA[[#This Row],[D, bottom '[m']]]-TOWER_DATA[[#This Row],[D, top '[m']]])/(TOWER_DATA[[#This Row],[Bottom '[m']]]-TOWER_DATA[[#This Row],[Top '[m']]]),"")</f>
        <v>0</v>
      </c>
      <c r="CJ121" s="150">
        <f t="shared" si="8"/>
        <v>8.475319859975512</v>
      </c>
      <c r="CK121" s="153">
        <f>IFERROR((TOWER_DATA[[#This Row],[D, bottom '[m']]]+TOWER_DATA[[#This Row],[D, top '[m']]])/(2*TOWER_DATA[[#This Row],[t '[mm']]]/1000),"")</f>
        <v>270.56521739130437</v>
      </c>
      <c r="CM121" s="51" t="s">
        <v>278</v>
      </c>
      <c r="CN121" s="51">
        <v>75.992999999999995</v>
      </c>
      <c r="CO121" s="51">
        <v>75.992999999999995</v>
      </c>
      <c r="CP121" s="51">
        <v>1500</v>
      </c>
      <c r="CQ121" s="51"/>
      <c r="CR121" s="51"/>
      <c r="CS121" s="51"/>
      <c r="CT121" s="51"/>
      <c r="CU121" s="137"/>
      <c r="DU121" s="101" t="str">
        <f t="shared" si="3"/>
        <v/>
      </c>
      <c r="DV121" s="101"/>
    </row>
    <row r="122" spans="5:126" ht="18" customHeight="1" x14ac:dyDescent="0.3">
      <c r="E122" s="172">
        <v>11</v>
      </c>
      <c r="F122" s="173">
        <v>-30.6</v>
      </c>
      <c r="G122" s="173">
        <v>-34.5</v>
      </c>
      <c r="H122" s="173">
        <v>9.8000000000000007</v>
      </c>
      <c r="I122" s="173">
        <v>9.8000000000000007</v>
      </c>
      <c r="J122" s="174">
        <v>112</v>
      </c>
      <c r="K122" s="53">
        <f>IFERROR(MP_DATA[[#This Row],[Top '[m']]]-MP_DATA[[#This Row],[Bottom '[m']]], "")</f>
        <v>3.8999999999999986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104.36053318438101</v>
      </c>
      <c r="N122" s="123">
        <f>IFERROR((MP_DATA[[#This Row],[D, bottom '[m']]]+MP_DATA[[#This Row],[D, top '[m']]])/(2*MP_DATA[[#This Row],[t '[mm']]]/1000),"")</f>
        <v>87.5</v>
      </c>
      <c r="AP122" s="139"/>
      <c r="AQ122" s="140"/>
      <c r="AR122" s="140"/>
      <c r="AS122" s="140"/>
      <c r="AT122" s="140"/>
      <c r="AU122" s="141"/>
      <c r="AV122" s="53" t="str">
        <f>IFERROR(TP_DATA[[#This Row],[Top '[m']]]-TP_DATA[[#This Row],[Bottom '[m']]], "")</f>
        <v/>
      </c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123" t="str">
        <f>IFERROR((TP_DATA[[#This Row],[D, bottom '[m']]]+TP_DATA[[#This Row],[D, top '[m']]])/(2*TP_DATA[[#This Row],[t '[mm']]]/1000),"")</f>
        <v/>
      </c>
      <c r="BA122" s="179" t="s">
        <v>279</v>
      </c>
      <c r="BB122" s="179">
        <v>10.6</v>
      </c>
      <c r="BC122" s="179">
        <v>-2.6</v>
      </c>
      <c r="BD122" s="179">
        <v>8000</v>
      </c>
      <c r="BE122" s="179">
        <v>0.40600000000000003</v>
      </c>
      <c r="BF122" s="179">
        <v>129.6</v>
      </c>
      <c r="BG122" s="179">
        <v>5.2</v>
      </c>
      <c r="BH122" s="179"/>
      <c r="BI122" s="180">
        <v>0</v>
      </c>
      <c r="CB122" s="139">
        <v>11</v>
      </c>
      <c r="CC122" s="140">
        <v>128.48999999999998</v>
      </c>
      <c r="CD122" s="140">
        <v>125.74000000000001</v>
      </c>
      <c r="CE122" s="140">
        <v>6.2229999999999999</v>
      </c>
      <c r="CF122" s="140">
        <v>6.2229999999999999</v>
      </c>
      <c r="CG122" s="141">
        <v>23</v>
      </c>
      <c r="CH122" s="150">
        <f>IFERROR(TOWER_DATA[[#This Row],[Top '[m']]]-TOWER_DATA[[#This Row],[Bottom '[m']]], "")</f>
        <v>2.7499999999999716</v>
      </c>
      <c r="CI122" s="150">
        <f>IFERROR(-(TOWER_DATA[[#This Row],[D, bottom '[m']]]-TOWER_DATA[[#This Row],[D, top '[m']]])/(TOWER_DATA[[#This Row],[Bottom '[m']]]-TOWER_DATA[[#This Row],[Top '[m']]]),"")</f>
        <v>0</v>
      </c>
      <c r="CJ122" s="150">
        <f t="shared" si="8"/>
        <v>9.6710081389761218</v>
      </c>
      <c r="CK122" s="153">
        <f>IFERROR((TOWER_DATA[[#This Row],[D, bottom '[m']]]+TOWER_DATA[[#This Row],[D, top '[m']]])/(2*TOWER_DATA[[#This Row],[t '[mm']]]/1000),"")</f>
        <v>270.56521739130437</v>
      </c>
      <c r="CM122" s="51" t="s">
        <v>278</v>
      </c>
      <c r="CN122" s="51">
        <v>44.452999999999996</v>
      </c>
      <c r="CO122" s="51">
        <v>44.452999999999996</v>
      </c>
      <c r="CP122" s="51">
        <v>7233</v>
      </c>
      <c r="CQ122" s="51"/>
      <c r="CR122" s="51"/>
      <c r="CS122" s="51"/>
      <c r="CT122" s="51"/>
      <c r="CU122" s="137"/>
      <c r="DU122" s="101" t="str">
        <f t="shared" si="3"/>
        <v/>
      </c>
      <c r="DV122" s="101"/>
    </row>
    <row r="123" spans="5:126" ht="18" customHeight="1" x14ac:dyDescent="0.3">
      <c r="E123" s="172">
        <v>12</v>
      </c>
      <c r="F123" s="173">
        <v>-34.5</v>
      </c>
      <c r="G123" s="173">
        <v>-38.200000000000003</v>
      </c>
      <c r="H123" s="173">
        <v>9.8000000000000007</v>
      </c>
      <c r="I123" s="173">
        <v>9.8000000000000007</v>
      </c>
      <c r="J123" s="174">
        <v>116</v>
      </c>
      <c r="K123" s="53">
        <f>IFERROR(MP_DATA[[#This Row],[Top '[m']]]-MP_DATA[[#This Row],[Bottom '[m']]], "")</f>
        <v>3.7000000000000028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102.50239749437456</v>
      </c>
      <c r="N123" s="123">
        <f>IFERROR((MP_DATA[[#This Row],[D, bottom '[m']]]+MP_DATA[[#This Row],[D, top '[m']]])/(2*MP_DATA[[#This Row],[t '[mm']]]/1000),"")</f>
        <v>84.482758620689651</v>
      </c>
      <c r="AP123" s="139"/>
      <c r="AQ123" s="140"/>
      <c r="AR123" s="140"/>
      <c r="AS123" s="140"/>
      <c r="AT123" s="140"/>
      <c r="AU123" s="141"/>
      <c r="AV123" s="53" t="str">
        <f>IFERROR(TP_DATA[[#This Row],[Top '[m']]]-TP_DATA[[#This Row],[Bottom '[m']]], "")</f>
        <v/>
      </c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123" t="str">
        <f>IFERROR((TP_DATA[[#This Row],[D, bottom '[m']]]+TP_DATA[[#This Row],[D, top '[m']]])/(2*TP_DATA[[#This Row],[t '[mm']]]/1000),"")</f>
        <v/>
      </c>
      <c r="BA123" s="179" t="s">
        <v>287</v>
      </c>
      <c r="BB123" s="179">
        <v>12</v>
      </c>
      <c r="BC123" s="179">
        <v>10.7</v>
      </c>
      <c r="BD123" s="179">
        <v>3000</v>
      </c>
      <c r="BE123" s="179">
        <v>1.3</v>
      </c>
      <c r="BF123" s="179">
        <v>135</v>
      </c>
      <c r="BG123" s="179">
        <v>5.2</v>
      </c>
      <c r="BH123" s="179"/>
      <c r="BI123" s="180">
        <v>0</v>
      </c>
      <c r="CB123" s="139">
        <v>12</v>
      </c>
      <c r="CC123" s="140">
        <v>125.74000000000001</v>
      </c>
      <c r="CD123" s="140">
        <v>123.667</v>
      </c>
      <c r="CE123" s="140">
        <v>6.2229999999999999</v>
      </c>
      <c r="CF123" s="140">
        <v>6.2229999999999999</v>
      </c>
      <c r="CG123" s="141">
        <v>23</v>
      </c>
      <c r="CH123" s="150">
        <f>IFERROR(TOWER_DATA[[#This Row],[Top '[m']]]-TOWER_DATA[[#This Row],[Bottom '[m']]], "")</f>
        <v>2.0730000000000075</v>
      </c>
      <c r="CI123" s="150">
        <f>IFERROR(-(TOWER_DATA[[#This Row],[D, bottom '[m']]]-TOWER_DATA[[#This Row],[D, top '[m']]])/(TOWER_DATA[[#This Row],[Bottom '[m']]]-TOWER_DATA[[#This Row],[Top '[m']]]),"")</f>
        <v>0</v>
      </c>
      <c r="CJ123" s="150">
        <f t="shared" si="8"/>
        <v>7.2901817716719197</v>
      </c>
      <c r="CK123" s="153">
        <f>IFERROR((TOWER_DATA[[#This Row],[D, bottom '[m']]]+TOWER_DATA[[#This Row],[D, top '[m']]])/(2*TOWER_DATA[[#This Row],[t '[mm']]]/1000),"")</f>
        <v>270.56521739130437</v>
      </c>
      <c r="CM123" s="51" t="s">
        <v>278</v>
      </c>
      <c r="CN123" s="51">
        <v>44.312999999999995</v>
      </c>
      <c r="CO123" s="51">
        <v>44.312999999999995</v>
      </c>
      <c r="CP123" s="51">
        <v>7233</v>
      </c>
      <c r="CQ123" s="51"/>
      <c r="CR123" s="51"/>
      <c r="CS123" s="51"/>
      <c r="CT123" s="51"/>
      <c r="CU123" s="137"/>
      <c r="DU123" s="101" t="str">
        <f t="shared" si="3"/>
        <v/>
      </c>
      <c r="DV123" s="101"/>
    </row>
    <row r="124" spans="5:126" ht="18" customHeight="1" x14ac:dyDescent="0.3">
      <c r="E124" s="172">
        <v>13</v>
      </c>
      <c r="F124" s="173">
        <v>-38.200000000000003</v>
      </c>
      <c r="G124" s="173">
        <v>-40.29</v>
      </c>
      <c r="H124" s="173">
        <v>9.8000000000000007</v>
      </c>
      <c r="I124" s="173">
        <v>9.8000000000000007</v>
      </c>
      <c r="J124" s="174">
        <v>108</v>
      </c>
      <c r="K124" s="53">
        <f>IFERROR(MP_DATA[[#This Row],[Top '[m']]]-MP_DATA[[#This Row],[Bottom '[m']]], "")</f>
        <v>2.0899999999999963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53.951432014537446</v>
      </c>
      <c r="N124" s="123">
        <f>IFERROR((MP_DATA[[#This Row],[D, bottom '[m']]]+MP_DATA[[#This Row],[D, top '[m']]])/(2*MP_DATA[[#This Row],[t '[mm']]]/1000),"")</f>
        <v>90.740740740740748</v>
      </c>
      <c r="AP124" s="139"/>
      <c r="AQ124" s="140"/>
      <c r="AR124" s="140"/>
      <c r="AS124" s="140"/>
      <c r="AT124" s="140"/>
      <c r="AU124" s="141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123" t="str">
        <f>IFERROR((TP_DATA[[#This Row],[D, bottom '[m']]]+TP_DATA[[#This Row],[D, top '[m']]])/(2*TP_DATA[[#This Row],[t '[mm']]]/1000),"")</f>
        <v/>
      </c>
      <c r="BA124" s="179"/>
      <c r="BB124" s="179"/>
      <c r="BC124" s="179"/>
      <c r="BD124" s="179"/>
      <c r="BE124" s="179"/>
      <c r="BF124" s="179"/>
      <c r="BG124" s="179"/>
      <c r="BH124" s="179"/>
      <c r="BI124" s="180"/>
      <c r="CB124" s="139">
        <v>13</v>
      </c>
      <c r="CC124" s="140">
        <v>123.667</v>
      </c>
      <c r="CD124" s="140">
        <v>122.81</v>
      </c>
      <c r="CE124" s="140">
        <v>6.2229999999999999</v>
      </c>
      <c r="CF124" s="140">
        <v>6.2229999999999999</v>
      </c>
      <c r="CG124" s="141">
        <v>23</v>
      </c>
      <c r="CH124" s="150">
        <f>IFERROR(TOWER_DATA[[#This Row],[Top '[m']]]-TOWER_DATA[[#This Row],[Bottom '[m']]], "")</f>
        <v>0.85699999999999932</v>
      </c>
      <c r="CI124" s="150">
        <f>IFERROR(-(TOWER_DATA[[#This Row],[D, bottom '[m']]]-TOWER_DATA[[#This Row],[D, top '[m']]])/(TOWER_DATA[[#This Row],[Bottom '[m']]]-TOWER_DATA[[#This Row],[Top '[m']]]),"")</f>
        <v>0</v>
      </c>
      <c r="CJ124" s="150">
        <f t="shared" si="8"/>
        <v>3.0138378091282236</v>
      </c>
      <c r="CK124" s="153">
        <f>IFERROR((TOWER_DATA[[#This Row],[D, bottom '[m']]]+TOWER_DATA[[#This Row],[D, top '[m']]])/(2*TOWER_DATA[[#This Row],[t '[mm']]]/1000),"")</f>
        <v>270.56521739130437</v>
      </c>
      <c r="CM124" s="51" t="s">
        <v>278</v>
      </c>
      <c r="CN124" s="51">
        <v>43.015999999999991</v>
      </c>
      <c r="CO124" s="51">
        <v>43.015999999999991</v>
      </c>
      <c r="CP124" s="51">
        <v>1500</v>
      </c>
      <c r="CQ124" s="51"/>
      <c r="CR124" s="51"/>
      <c r="CS124" s="51"/>
      <c r="CT124" s="51"/>
      <c r="CU124" s="137"/>
      <c r="DU124" s="101" t="str">
        <f t="shared" ref="DU124:DU133" si="9">IF(7850/1000*(1/3)*PI()*ABS(DO124-DP124)*((DQ124/2)^2+(DQ124/2)*(DR124/2)+(DR124/2)^2-(DQ124/2-DT124/1000)^2-(DQ124/2-DT124/1000)*(DR124/2-DT124/1000)-(DR124/2-DT124/1000)^2)=0,"",7850/1000*(1/3)*PI()*ABS(DO124-DP124)*((DQ124/2)^2+(DQ124/2)*(DR124/2)+(DR124/2)^2-(DQ124/2-DT124/1000)^2-(DQ124/2-DT124/1000)*(DR124/2-DT124/1000)-(DR124/2-DT124/1000)^2))</f>
        <v/>
      </c>
      <c r="DV124" s="101"/>
    </row>
    <row r="125" spans="5:126" ht="18" customHeight="1" x14ac:dyDescent="0.3">
      <c r="E125" s="172">
        <v>14</v>
      </c>
      <c r="F125" s="173">
        <v>-40.29</v>
      </c>
      <c r="G125" s="173">
        <v>-42.2</v>
      </c>
      <c r="H125" s="173">
        <v>9.8000000000000007</v>
      </c>
      <c r="I125" s="173">
        <v>9.8000000000000007</v>
      </c>
      <c r="J125" s="174">
        <v>108</v>
      </c>
      <c r="K125" s="53">
        <f>IFERROR(MP_DATA[[#This Row],[Top '[m']]]-MP_DATA[[#This Row],[Bottom '[m']]], "")</f>
        <v>1.9100000000000037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49.304897199888472</v>
      </c>
      <c r="N125" s="123">
        <f>IFERROR((MP_DATA[[#This Row],[D, bottom '[m']]]+MP_DATA[[#This Row],[D, top '[m']]])/(2*MP_DATA[[#This Row],[t '[mm']]]/1000),"")</f>
        <v>90.740740740740748</v>
      </c>
      <c r="AP125" s="139"/>
      <c r="AQ125" s="140"/>
      <c r="AR125" s="140"/>
      <c r="AS125" s="140"/>
      <c r="AT125" s="140"/>
      <c r="AU125" s="141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123" t="str">
        <f>IFERROR((TP_DATA[[#This Row],[D, bottom '[m']]]+TP_DATA[[#This Row],[D, top '[m']]])/(2*TP_DATA[[#This Row],[t '[mm']]]/1000),"")</f>
        <v/>
      </c>
      <c r="BA125" s="179"/>
      <c r="BB125" s="179"/>
      <c r="BC125" s="179"/>
      <c r="BD125" s="179"/>
      <c r="BE125" s="179"/>
      <c r="BF125" s="179"/>
      <c r="BG125" s="179"/>
      <c r="BH125" s="179"/>
      <c r="BI125" s="180"/>
      <c r="CB125" s="139">
        <v>14</v>
      </c>
      <c r="CC125" s="140">
        <v>122.81</v>
      </c>
      <c r="CD125" s="140">
        <v>120.9</v>
      </c>
      <c r="CE125" s="140">
        <v>6.2229999999999999</v>
      </c>
      <c r="CF125" s="140">
        <v>6.2229999999999999</v>
      </c>
      <c r="CG125" s="141">
        <v>23</v>
      </c>
      <c r="CH125" s="150">
        <f>IFERROR(TOWER_DATA[[#This Row],[Top '[m']]]-TOWER_DATA[[#This Row],[Bottom '[m']]], "")</f>
        <v>1.9099999999999966</v>
      </c>
      <c r="CI125" s="150">
        <f>IFERROR(-(TOWER_DATA[[#This Row],[D, bottom '[m']]]-TOWER_DATA[[#This Row],[D, top '[m']]])/(TOWER_DATA[[#This Row],[Bottom '[m']]]-TOWER_DATA[[#This Row],[Top '[m']]]),"")</f>
        <v>0</v>
      </c>
      <c r="CJ125" s="150">
        <f t="shared" si="8"/>
        <v>6.7169547437980182</v>
      </c>
      <c r="CK125" s="153">
        <f>IFERROR((TOWER_DATA[[#This Row],[D, bottom '[m']]]+TOWER_DATA[[#This Row],[D, top '[m']]])/(2*TOWER_DATA[[#This Row],[t '[mm']]]/1000),"")</f>
        <v>270.56521739130437</v>
      </c>
      <c r="CM125" s="51" t="s">
        <v>278</v>
      </c>
      <c r="CN125" s="51">
        <v>21.995999999999999</v>
      </c>
      <c r="CO125" s="51">
        <v>21.995999999999999</v>
      </c>
      <c r="CP125" s="51">
        <v>10500</v>
      </c>
      <c r="CQ125" s="51"/>
      <c r="CR125" s="51"/>
      <c r="CS125" s="51"/>
      <c r="CT125" s="51"/>
      <c r="CU125" s="137"/>
      <c r="DU125" s="101" t="str">
        <f t="shared" si="9"/>
        <v/>
      </c>
      <c r="DV125" s="101"/>
    </row>
    <row r="126" spans="5:126" ht="18" customHeight="1" x14ac:dyDescent="0.3">
      <c r="E126" s="172">
        <v>15</v>
      </c>
      <c r="F126" s="173">
        <v>-42.2</v>
      </c>
      <c r="G126" s="173">
        <v>-46.2</v>
      </c>
      <c r="H126" s="173">
        <v>9.8000000000000007</v>
      </c>
      <c r="I126" s="173">
        <v>9.8000000000000007</v>
      </c>
      <c r="J126" s="174">
        <v>98</v>
      </c>
      <c r="K126" s="53">
        <f>IFERROR(MP_DATA[[#This Row],[Top '[m']]]-MP_DATA[[#This Row],[Bottom '[m']]], "")</f>
        <v>4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93.792231080004328</v>
      </c>
      <c r="N126" s="123">
        <f>IFERROR((MP_DATA[[#This Row],[D, bottom '[m']]]+MP_DATA[[#This Row],[D, top '[m']]])/(2*MP_DATA[[#This Row],[t '[mm']]]/1000),"")</f>
        <v>100</v>
      </c>
      <c r="AP126" s="139"/>
      <c r="AQ126" s="140"/>
      <c r="AR126" s="140"/>
      <c r="AS126" s="140"/>
      <c r="AT126" s="140"/>
      <c r="AU126" s="141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123" t="str">
        <f>IFERROR((TP_DATA[[#This Row],[D, bottom '[m']]]+TP_DATA[[#This Row],[D, top '[m']]])/(2*TP_DATA[[#This Row],[t '[mm']]]/1000),"")</f>
        <v/>
      </c>
      <c r="BA126" s="179"/>
      <c r="BB126" s="179"/>
      <c r="BC126" s="179"/>
      <c r="BD126" s="179"/>
      <c r="BE126" s="179"/>
      <c r="BF126" s="179"/>
      <c r="BG126" s="179"/>
      <c r="BH126" s="179"/>
      <c r="BI126" s="180"/>
      <c r="CB126" s="139">
        <v>15</v>
      </c>
      <c r="CC126" s="140">
        <v>120.9</v>
      </c>
      <c r="CD126" s="140">
        <v>119.88000000000001</v>
      </c>
      <c r="CE126" s="140">
        <v>6.2229999999999999</v>
      </c>
      <c r="CF126" s="140">
        <v>6.2229999999999999</v>
      </c>
      <c r="CG126" s="141">
        <v>23</v>
      </c>
      <c r="CH126" s="150">
        <f>IFERROR(TOWER_DATA[[#This Row],[Top '[m']]]-TOWER_DATA[[#This Row],[Bottom '[m']]], "")</f>
        <v>1.019999999999996</v>
      </c>
      <c r="CI126" s="150">
        <f>IFERROR(-(TOWER_DATA[[#This Row],[D, bottom '[m']]]-TOWER_DATA[[#This Row],[D, top '[m']]])/(TOWER_DATA[[#This Row],[Bottom '[m']]]-TOWER_DATA[[#This Row],[Top '[m']]]),"")</f>
        <v>0</v>
      </c>
      <c r="CJ126" s="150">
        <f t="shared" si="8"/>
        <v>3.587064837002075</v>
      </c>
      <c r="CK126" s="153">
        <f>IFERROR((TOWER_DATA[[#This Row],[D, bottom '[m']]]+TOWER_DATA[[#This Row],[D, top '[m']]])/(2*TOWER_DATA[[#This Row],[t '[mm']]]/1000),"")</f>
        <v>270.56521739130437</v>
      </c>
      <c r="CM126" s="51"/>
      <c r="CN126" s="51"/>
      <c r="CO126" s="51"/>
      <c r="CP126" s="51"/>
      <c r="CQ126" s="51"/>
      <c r="CR126" s="51"/>
      <c r="CS126" s="51"/>
      <c r="CT126" s="51"/>
      <c r="CU126" s="137"/>
      <c r="DU126" s="101" t="str">
        <f t="shared" si="9"/>
        <v/>
      </c>
      <c r="DV126" s="101"/>
    </row>
    <row r="127" spans="5:126" ht="18" customHeight="1" x14ac:dyDescent="0.3">
      <c r="E127" s="172">
        <v>16</v>
      </c>
      <c r="F127" s="173">
        <v>-46.2</v>
      </c>
      <c r="G127" s="173">
        <v>-50.2</v>
      </c>
      <c r="H127" s="173">
        <v>9.8000000000000007</v>
      </c>
      <c r="I127" s="173">
        <v>9.8000000000000007</v>
      </c>
      <c r="J127" s="174">
        <v>98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93.792231080004328</v>
      </c>
      <c r="N127" s="123">
        <f>IFERROR((MP_DATA[[#This Row],[D, bottom '[m']]]+MP_DATA[[#This Row],[D, top '[m']]])/(2*MP_DATA[[#This Row],[t '[mm']]]/1000),"")</f>
        <v>100</v>
      </c>
      <c r="AP127" s="139"/>
      <c r="AQ127" s="140"/>
      <c r="AR127" s="140"/>
      <c r="AS127" s="140"/>
      <c r="AT127" s="140"/>
      <c r="AU127" s="141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123" t="str">
        <f>IFERROR((TP_DATA[[#This Row],[D, bottom '[m']]]+TP_DATA[[#This Row],[D, top '[m']]])/(2*TP_DATA[[#This Row],[t '[mm']]]/1000),"")</f>
        <v/>
      </c>
      <c r="BA127" s="179"/>
      <c r="BB127" s="179"/>
      <c r="BC127" s="179"/>
      <c r="BD127" s="179"/>
      <c r="BE127" s="179"/>
      <c r="BF127" s="179"/>
      <c r="BG127" s="179"/>
      <c r="BH127" s="179"/>
      <c r="BI127" s="180"/>
      <c r="CB127" s="139">
        <v>16</v>
      </c>
      <c r="CC127" s="140">
        <v>119.88000000000001</v>
      </c>
      <c r="CD127" s="140">
        <v>116.95</v>
      </c>
      <c r="CE127" s="140">
        <v>6.2229999999999999</v>
      </c>
      <c r="CF127" s="140">
        <v>6.2229999999999999</v>
      </c>
      <c r="CG127" s="141">
        <v>23</v>
      </c>
      <c r="CH127" s="150">
        <f>IFERROR(TOWER_DATA[[#This Row],[Top '[m']]]-TOWER_DATA[[#This Row],[Bottom '[m']]], "")</f>
        <v>2.9300000000000068</v>
      </c>
      <c r="CI127" s="150">
        <f>IFERROR(-(TOWER_DATA[[#This Row],[D, bottom '[m']]]-TOWER_DATA[[#This Row],[D, top '[m']]])/(TOWER_DATA[[#This Row],[Bottom '[m']]]-TOWER_DATA[[#This Row],[Top '[m']]]),"")</f>
        <v>0</v>
      </c>
      <c r="CJ127" s="150">
        <f t="shared" si="8"/>
        <v>10.304019580800142</v>
      </c>
      <c r="CK127" s="153">
        <f>IFERROR((TOWER_DATA[[#This Row],[D, bottom '[m']]]+TOWER_DATA[[#This Row],[D, top '[m']]])/(2*TOWER_DATA[[#This Row],[t '[mm']]]/1000),"")</f>
        <v>270.56521739130437</v>
      </c>
      <c r="CM127" s="51"/>
      <c r="CN127" s="51"/>
      <c r="CO127" s="51"/>
      <c r="CP127" s="51"/>
      <c r="CQ127" s="51"/>
      <c r="CR127" s="51"/>
      <c r="CS127" s="51"/>
      <c r="CT127" s="51"/>
      <c r="CU127" s="137"/>
      <c r="DU127" s="101" t="str">
        <f t="shared" si="9"/>
        <v/>
      </c>
      <c r="DV127" s="101"/>
    </row>
    <row r="128" spans="5:126" ht="18" customHeight="1" x14ac:dyDescent="0.3">
      <c r="E128" s="172">
        <v>17</v>
      </c>
      <c r="F128" s="173">
        <v>-50.2</v>
      </c>
      <c r="G128" s="173">
        <v>-54.2</v>
      </c>
      <c r="H128" s="173">
        <v>9.8000000000000007</v>
      </c>
      <c r="I128" s="173">
        <v>9.8000000000000007</v>
      </c>
      <c r="J128" s="174">
        <v>98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93.792231080004328</v>
      </c>
      <c r="N128" s="123">
        <f>IFERROR((MP_DATA[[#This Row],[D, bottom '[m']]]+MP_DATA[[#This Row],[D, top '[m']]])/(2*MP_DATA[[#This Row],[t '[mm']]]/1000),"")</f>
        <v>100</v>
      </c>
      <c r="AP128" s="139"/>
      <c r="AQ128" s="140"/>
      <c r="AR128" s="140"/>
      <c r="AS128" s="140"/>
      <c r="AT128" s="140"/>
      <c r="AU128" s="141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123" t="str">
        <f>IFERROR((TP_DATA[[#This Row],[D, bottom '[m']]]+TP_DATA[[#This Row],[D, top '[m']]])/(2*TP_DATA[[#This Row],[t '[mm']]]/1000),"")</f>
        <v/>
      </c>
      <c r="CB128" s="139">
        <v>17</v>
      </c>
      <c r="CC128" s="140">
        <v>116.95</v>
      </c>
      <c r="CD128" s="140">
        <v>115.44600000000001</v>
      </c>
      <c r="CE128" s="140">
        <v>6.2229999999999999</v>
      </c>
      <c r="CF128" s="140">
        <v>6.2229999999999999</v>
      </c>
      <c r="CG128" s="141">
        <v>23</v>
      </c>
      <c r="CH128" s="150">
        <f>IFERROR(TOWER_DATA[[#This Row],[Top '[m']]]-TOWER_DATA[[#This Row],[Bottom '[m']]], "")</f>
        <v>1.5039999999999907</v>
      </c>
      <c r="CI128" s="150">
        <f>IFERROR(-(TOWER_DATA[[#This Row],[D, bottom '[m']]]-TOWER_DATA[[#This Row],[D, top '[m']]])/(TOWER_DATA[[#This Row],[Bottom '[m']]]-TOWER_DATA[[#This Row],[Top '[m']]]),"")</f>
        <v>0</v>
      </c>
      <c r="CJ128" s="150">
        <f t="shared" si="8"/>
        <v>5.2891622694618716</v>
      </c>
      <c r="CK128" s="153">
        <f>IFERROR((TOWER_DATA[[#This Row],[D, bottom '[m']]]+TOWER_DATA[[#This Row],[D, top '[m']]])/(2*TOWER_DATA[[#This Row],[t '[mm']]]/1000),"")</f>
        <v>270.56521739130437</v>
      </c>
      <c r="CM128" s="51"/>
      <c r="CN128" s="51"/>
      <c r="CO128" s="51"/>
      <c r="CP128" s="51"/>
      <c r="CQ128" s="51"/>
      <c r="CR128" s="51"/>
      <c r="CS128" s="51"/>
      <c r="CT128" s="51"/>
      <c r="CU128" s="137"/>
      <c r="DU128" s="101" t="str">
        <f t="shared" si="9"/>
        <v/>
      </c>
      <c r="DV128" s="101"/>
    </row>
    <row r="129" spans="5:126" ht="18" customHeight="1" x14ac:dyDescent="0.3">
      <c r="E129" s="172">
        <v>18</v>
      </c>
      <c r="F129" s="173">
        <v>-54.2</v>
      </c>
      <c r="G129" s="173">
        <v>-58.2</v>
      </c>
      <c r="H129" s="173">
        <v>9.8000000000000007</v>
      </c>
      <c r="I129" s="173">
        <v>9.8000000000000007</v>
      </c>
      <c r="J129" s="174">
        <v>98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93.792231080004328</v>
      </c>
      <c r="N129" s="123">
        <f>IFERROR((MP_DATA[[#This Row],[D, bottom '[m']]]+MP_DATA[[#This Row],[D, top '[m']]])/(2*MP_DATA[[#This Row],[t '[mm']]]/1000),"")</f>
        <v>100</v>
      </c>
      <c r="AP129" s="139"/>
      <c r="AQ129" s="140"/>
      <c r="AR129" s="140"/>
      <c r="AS129" s="140"/>
      <c r="AT129" s="140"/>
      <c r="AU129" s="141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123" t="str">
        <f>IFERROR((TP_DATA[[#This Row],[D, bottom '[m']]]+TP_DATA[[#This Row],[D, top '[m']]])/(2*TP_DATA[[#This Row],[t '[mm']]]/1000),"")</f>
        <v/>
      </c>
      <c r="CB129" s="139">
        <v>18</v>
      </c>
      <c r="CC129" s="140">
        <v>115.44600000000001</v>
      </c>
      <c r="CD129" s="140">
        <v>114.02000000000001</v>
      </c>
      <c r="CE129" s="140">
        <v>6.2229999999999999</v>
      </c>
      <c r="CF129" s="140">
        <v>6.2240000000000002</v>
      </c>
      <c r="CG129" s="141">
        <v>23</v>
      </c>
      <c r="CH129" s="150">
        <f>IFERROR(TOWER_DATA[[#This Row],[Top '[m']]]-TOWER_DATA[[#This Row],[Bottom '[m']]], "")</f>
        <v>1.4260000000000019</v>
      </c>
      <c r="CI129" s="150">
        <f>IFERROR(-(TOWER_DATA[[#This Row],[D, bottom '[m']]]-TOWER_DATA[[#This Row],[D, top '[m']]])/(TOWER_DATA[[#This Row],[Bottom '[m']]]-TOWER_DATA[[#This Row],[Top '[m']]]),"")</f>
        <v>7.0126227208999476E-4</v>
      </c>
      <c r="CJ129" s="150">
        <f t="shared" si="8"/>
        <v>5.0152617353149624</v>
      </c>
      <c r="CK129" s="153">
        <f>IFERROR((TOWER_DATA[[#This Row],[D, bottom '[m']]]+TOWER_DATA[[#This Row],[D, top '[m']]])/(2*TOWER_DATA[[#This Row],[t '[mm']]]/1000),"")</f>
        <v>270.58695652173913</v>
      </c>
      <c r="CM129" s="51"/>
      <c r="CN129" s="51"/>
      <c r="CO129" s="51"/>
      <c r="CP129" s="51"/>
      <c r="CQ129" s="51"/>
      <c r="CR129" s="51"/>
      <c r="CS129" s="51"/>
      <c r="CT129" s="51"/>
      <c r="CU129" s="137"/>
      <c r="DU129" s="101" t="str">
        <f t="shared" si="9"/>
        <v/>
      </c>
      <c r="DV129" s="101"/>
    </row>
    <row r="130" spans="5:126" ht="18" customHeight="1" x14ac:dyDescent="0.3">
      <c r="E130" s="172">
        <v>19</v>
      </c>
      <c r="F130" s="173">
        <v>-58.2</v>
      </c>
      <c r="G130" s="173">
        <v>-62.2</v>
      </c>
      <c r="H130" s="173">
        <v>9.8000000000000007</v>
      </c>
      <c r="I130" s="173">
        <v>9.8000000000000007</v>
      </c>
      <c r="J130" s="174">
        <v>91</v>
      </c>
      <c r="K130" s="53">
        <f>IFERROR(MP_DATA[[#This Row],[Top '[m']]]-MP_DATA[[#This Row],[Bottom '[m']]], "")</f>
        <v>4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87.15562351080024</v>
      </c>
      <c r="N130" s="123">
        <f>IFERROR((MP_DATA[[#This Row],[D, bottom '[m']]]+MP_DATA[[#This Row],[D, top '[m']]])/(2*MP_DATA[[#This Row],[t '[mm']]]/1000),"")</f>
        <v>107.69230769230771</v>
      </c>
      <c r="AP130" s="139"/>
      <c r="AQ130" s="140"/>
      <c r="AR130" s="140"/>
      <c r="AS130" s="140"/>
      <c r="AT130" s="140"/>
      <c r="AU130" s="141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123" t="str">
        <f>IFERROR((TP_DATA[[#This Row],[D, bottom '[m']]]+TP_DATA[[#This Row],[D, top '[m']]])/(2*TP_DATA[[#This Row],[t '[mm']]]/1000),"")</f>
        <v/>
      </c>
      <c r="CB130" s="139">
        <v>19</v>
      </c>
      <c r="CC130" s="140">
        <v>114.02000000000001</v>
      </c>
      <c r="CD130" s="140">
        <v>111.09</v>
      </c>
      <c r="CE130" s="140">
        <v>6.2240000000000002</v>
      </c>
      <c r="CF130" s="140">
        <v>6.2249999999999996</v>
      </c>
      <c r="CG130" s="141">
        <v>24</v>
      </c>
      <c r="CH130" s="150">
        <f>IFERROR(TOWER_DATA[[#This Row],[Top '[m']]]-TOWER_DATA[[#This Row],[Bottom '[m']]], "")</f>
        <v>2.9300000000000068</v>
      </c>
      <c r="CI130" s="150">
        <f>IFERROR(-(TOWER_DATA[[#This Row],[D, bottom '[m']]]-TOWER_DATA[[#This Row],[D, top '[m']]])/(TOWER_DATA[[#This Row],[Bottom '[m']]]-TOWER_DATA[[#This Row],[Top '[m']]]),"")</f>
        <v>3.412969283274551E-4</v>
      </c>
      <c r="CJ130" s="150">
        <f t="shared" si="8"/>
        <v>10.752887530560983</v>
      </c>
      <c r="CK130" s="153">
        <f>IFERROR((TOWER_DATA[[#This Row],[D, bottom '[m']]]+TOWER_DATA[[#This Row],[D, top '[m']]])/(2*TOWER_DATA[[#This Row],[t '[mm']]]/1000),"")</f>
        <v>259.35416666666669</v>
      </c>
      <c r="CM130" s="51"/>
      <c r="CN130" s="51"/>
      <c r="CO130" s="51"/>
      <c r="CP130" s="51"/>
      <c r="CQ130" s="51"/>
      <c r="CR130" s="51"/>
      <c r="CS130" s="51"/>
      <c r="CT130" s="51"/>
      <c r="CU130" s="137"/>
      <c r="DU130" s="101" t="str">
        <f t="shared" si="9"/>
        <v/>
      </c>
      <c r="DV130" s="101"/>
    </row>
    <row r="131" spans="5:126" ht="18" customHeight="1" x14ac:dyDescent="0.3">
      <c r="E131" s="172">
        <v>20</v>
      </c>
      <c r="F131" s="173">
        <v>-62.2</v>
      </c>
      <c r="G131" s="173">
        <v>-65.650000000000006</v>
      </c>
      <c r="H131" s="173">
        <v>9.8000000000000007</v>
      </c>
      <c r="I131" s="173">
        <v>9.8000000000000007</v>
      </c>
      <c r="J131" s="174">
        <v>88</v>
      </c>
      <c r="K131" s="53">
        <f>IFERROR(MP_DATA[[#This Row],[Top '[m']]]-MP_DATA[[#This Row],[Bottom '[m']]], "")</f>
        <v>3.4500000000000028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72.715998228957233</v>
      </c>
      <c r="N131" s="123">
        <f>IFERROR((MP_DATA[[#This Row],[D, bottom '[m']]]+MP_DATA[[#This Row],[D, top '[m']]])/(2*MP_DATA[[#This Row],[t '[mm']]]/1000),"")</f>
        <v>111.36363636363637</v>
      </c>
      <c r="AP131" s="139"/>
      <c r="AQ131" s="140"/>
      <c r="AR131" s="140"/>
      <c r="AS131" s="140"/>
      <c r="AT131" s="140"/>
      <c r="AU131" s="141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123" t="str">
        <f>IFERROR((TP_DATA[[#This Row],[D, bottom '[m']]]+TP_DATA[[#This Row],[D, top '[m']]])/(2*TP_DATA[[#This Row],[t '[mm']]]/1000),"")</f>
        <v/>
      </c>
      <c r="CB131" s="139">
        <v>20</v>
      </c>
      <c r="CC131" s="140">
        <v>111.09</v>
      </c>
      <c r="CD131" s="140">
        <v>110.9</v>
      </c>
      <c r="CE131" s="140">
        <v>6.2249999999999996</v>
      </c>
      <c r="CF131" s="140">
        <v>6.2249999999999996</v>
      </c>
      <c r="CG131" s="141">
        <v>25</v>
      </c>
      <c r="CH131" s="150">
        <f>IFERROR(TOWER_DATA[[#This Row],[Top '[m']]]-TOWER_DATA[[#This Row],[Bottom '[m']]], "")</f>
        <v>0.18999999999999773</v>
      </c>
      <c r="CI131" s="150">
        <f>IFERROR(-(TOWER_DATA[[#This Row],[D, bottom '[m']]]-TOWER_DATA[[#This Row],[D, top '[m']]])/(TOWER_DATA[[#This Row],[Bottom '[m']]]-TOWER_DATA[[#This Row],[Top '[m']]]),"")</f>
        <v>0</v>
      </c>
      <c r="CJ131" s="150">
        <f t="shared" si="8"/>
        <v>0.72628124363851332</v>
      </c>
      <c r="CK131" s="153">
        <f>IFERROR((TOWER_DATA[[#This Row],[D, bottom '[m']]]+TOWER_DATA[[#This Row],[D, top '[m']]])/(2*TOWER_DATA[[#This Row],[t '[mm']]]/1000),"")</f>
        <v>248.99999999999997</v>
      </c>
      <c r="CM131" s="51"/>
      <c r="CN131" s="51"/>
      <c r="CO131" s="51"/>
      <c r="CP131" s="51"/>
      <c r="CQ131" s="51"/>
      <c r="CR131" s="51"/>
      <c r="CS131" s="51"/>
      <c r="CT131" s="51"/>
      <c r="CU131" s="137"/>
      <c r="DU131" s="101" t="str">
        <f t="shared" si="9"/>
        <v/>
      </c>
      <c r="DV131" s="101"/>
    </row>
    <row r="132" spans="5:126" ht="18" customHeight="1" x14ac:dyDescent="0.3">
      <c r="E132" s="172">
        <v>21</v>
      </c>
      <c r="F132" s="173">
        <v>-65.650000000000006</v>
      </c>
      <c r="G132" s="173">
        <v>-69.349999999999994</v>
      </c>
      <c r="H132" s="173">
        <v>9.8000000000000007</v>
      </c>
      <c r="I132" s="173">
        <v>9.8000000000000007</v>
      </c>
      <c r="J132" s="174">
        <v>86</v>
      </c>
      <c r="K132" s="53">
        <f>IFERROR(MP_DATA[[#This Row],[Top '[m']]]-MP_DATA[[#This Row],[Bottom '[m']]], "")</f>
        <v>3.6999999999999886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76.228575464319491</v>
      </c>
      <c r="N132" s="123">
        <f>IFERROR((MP_DATA[[#This Row],[D, bottom '[m']]]+MP_DATA[[#This Row],[D, top '[m']]])/(2*MP_DATA[[#This Row],[t '[mm']]]/1000),"")</f>
        <v>113.95348837209303</v>
      </c>
      <c r="AP132" s="139"/>
      <c r="AQ132" s="140"/>
      <c r="AR132" s="140"/>
      <c r="AS132" s="140"/>
      <c r="AT132" s="140"/>
      <c r="AU132" s="141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123" t="str">
        <f>IFERROR((TP_DATA[[#This Row],[D, bottom '[m']]]+TP_DATA[[#This Row],[D, top '[m']]])/(2*TP_DATA[[#This Row],[t '[mm']]]/1000),"")</f>
        <v/>
      </c>
      <c r="CB132" s="139">
        <v>21</v>
      </c>
      <c r="CC132" s="140">
        <v>110.9</v>
      </c>
      <c r="CD132" s="140">
        <v>108.16000000000001</v>
      </c>
      <c r="CE132" s="140">
        <v>6.2249999999999996</v>
      </c>
      <c r="CF132" s="140">
        <v>6.226</v>
      </c>
      <c r="CG132" s="141">
        <v>25</v>
      </c>
      <c r="CH132" s="150">
        <f>IFERROR(TOWER_DATA[[#This Row],[Top '[m']]]-TOWER_DATA[[#This Row],[Bottom '[m']]], "")</f>
        <v>2.7399999999999949</v>
      </c>
      <c r="CI132" s="150">
        <f>IFERROR(-(TOWER_DATA[[#This Row],[D, bottom '[m']]]-TOWER_DATA[[#This Row],[D, top '[m']]])/(TOWER_DATA[[#This Row],[Bottom '[m']]]-TOWER_DATA[[#This Row],[Top '[m']]]),"")</f>
        <v>3.6496350364975758E-4</v>
      </c>
      <c r="CJ132" s="150">
        <f t="shared" si="8"/>
        <v>10.474584696294533</v>
      </c>
      <c r="CK132" s="153">
        <f>IFERROR((TOWER_DATA[[#This Row],[D, bottom '[m']]]+TOWER_DATA[[#This Row],[D, top '[m']]])/(2*TOWER_DATA[[#This Row],[t '[mm']]]/1000),"")</f>
        <v>249.02</v>
      </c>
      <c r="CM132" s="51"/>
      <c r="CN132" s="51"/>
      <c r="CO132" s="51"/>
      <c r="CP132" s="51"/>
      <c r="CQ132" s="51"/>
      <c r="CR132" s="51"/>
      <c r="CS132" s="51"/>
      <c r="CT132" s="51"/>
      <c r="CU132" s="137"/>
      <c r="DU132" s="101" t="str">
        <f t="shared" si="9"/>
        <v/>
      </c>
      <c r="DV132" s="101"/>
    </row>
    <row r="133" spans="5:126" ht="18" customHeight="1" x14ac:dyDescent="0.3">
      <c r="E133" s="172">
        <v>22</v>
      </c>
      <c r="F133" s="173">
        <v>-69.349999999999994</v>
      </c>
      <c r="G133" s="173">
        <v>-73.05</v>
      </c>
      <c r="H133" s="173">
        <v>9.8000000000000007</v>
      </c>
      <c r="I133" s="173">
        <v>9.8000000000000007</v>
      </c>
      <c r="J133" s="174">
        <v>95</v>
      </c>
      <c r="K133" s="53">
        <f>IFERROR(MP_DATA[[#This Row],[Top '[m']]]-MP_DATA[[#This Row],[Bottom '[m']]], "")</f>
        <v>3.7000000000000028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84.127967861915877</v>
      </c>
      <c r="N133" s="123">
        <f>IFERROR((MP_DATA[[#This Row],[D, bottom '[m']]]+MP_DATA[[#This Row],[D, top '[m']]])/(2*MP_DATA[[#This Row],[t '[mm']]]/1000),"")</f>
        <v>103.15789473684211</v>
      </c>
      <c r="AP133" s="139"/>
      <c r="AQ133" s="140"/>
      <c r="AR133" s="140"/>
      <c r="AS133" s="140"/>
      <c r="AT133" s="140"/>
      <c r="AU133" s="141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123" t="str">
        <f>IFERROR((TP_DATA[[#This Row],[D, bottom '[m']]]+TP_DATA[[#This Row],[D, top '[m']]])/(2*TP_DATA[[#This Row],[t '[mm']]]/1000),"")</f>
        <v/>
      </c>
      <c r="CB133" s="139">
        <v>22</v>
      </c>
      <c r="CC133" s="140">
        <v>108.16000000000001</v>
      </c>
      <c r="CD133" s="140">
        <v>107.224</v>
      </c>
      <c r="CE133" s="140">
        <v>6.226</v>
      </c>
      <c r="CF133" s="140">
        <v>6.226</v>
      </c>
      <c r="CG133" s="141">
        <v>26</v>
      </c>
      <c r="CH133" s="150">
        <f>IFERROR(TOWER_DATA[[#This Row],[Top '[m']]]-TOWER_DATA[[#This Row],[Bottom '[m']]], "")</f>
        <v>0.93600000000000705</v>
      </c>
      <c r="CI133" s="150">
        <f>IFERROR(-(TOWER_DATA[[#This Row],[D, bottom '[m']]]-TOWER_DATA[[#This Row],[D, top '[m']]])/(TOWER_DATA[[#This Row],[Bottom '[m']]]-TOWER_DATA[[#This Row],[Top '[m']]]),"")</f>
        <v>0</v>
      </c>
      <c r="CJ133" s="150">
        <f t="shared" si="8"/>
        <v>3.7210063884604585</v>
      </c>
      <c r="CK133" s="153">
        <f>IFERROR((TOWER_DATA[[#This Row],[D, bottom '[m']]]+TOWER_DATA[[#This Row],[D, top '[m']]])/(2*TOWER_DATA[[#This Row],[t '[mm']]]/1000),"")</f>
        <v>239.46153846153848</v>
      </c>
      <c r="CM133" s="51"/>
      <c r="CN133" s="51"/>
      <c r="CO133" s="51"/>
      <c r="CP133" s="51"/>
      <c r="CQ133" s="51"/>
      <c r="CR133" s="51"/>
      <c r="CS133" s="51"/>
      <c r="CT133" s="51"/>
      <c r="CU133" s="137"/>
      <c r="DU133" s="101" t="str">
        <f t="shared" si="9"/>
        <v/>
      </c>
      <c r="DV133" s="101"/>
    </row>
    <row r="134" spans="5:126" ht="18" customHeight="1" x14ac:dyDescent="0.3">
      <c r="E134" s="172">
        <v>23</v>
      </c>
      <c r="F134" s="173">
        <v>-73.05</v>
      </c>
      <c r="G134" s="173">
        <v>-76.05</v>
      </c>
      <c r="H134" s="173">
        <v>9.8000000000000007</v>
      </c>
      <c r="I134" s="173">
        <v>9.8000000000000007</v>
      </c>
      <c r="J134" s="174">
        <v>105</v>
      </c>
      <c r="K134" s="53">
        <f>IFERROR(MP_DATA[[#This Row],[Top '[m']]]-MP_DATA[[#This Row],[Bottom '[m']]], "")</f>
        <v>3</v>
      </c>
      <c r="L134" s="51">
        <f>IFERROR(-(MP_DATA[[#This Row],[D, bottom '[m']]]-MP_DATA[[#This Row],[D, top '[m']]])/(MP_DATA[[#This Row],[Bottom '[m']]]-MP_DATA[[#This Row],[Top '[m']]]),"")</f>
        <v>0</v>
      </c>
      <c r="M134" s="53">
        <f t="shared" si="6"/>
        <v>75.314378505222052</v>
      </c>
      <c r="N134" s="134">
        <f>IFERROR((MP_DATA[[#This Row],[D, bottom '[m']]]+MP_DATA[[#This Row],[D, top '[m']]])/(2*MP_DATA[[#This Row],[t '[mm']]]/1000),"")</f>
        <v>93.333333333333343</v>
      </c>
      <c r="AP134" s="139"/>
      <c r="AQ134" s="140"/>
      <c r="AR134" s="140"/>
      <c r="AS134" s="140"/>
      <c r="AT134" s="140"/>
      <c r="AU134" s="141"/>
      <c r="AV134" s="53" t="str">
        <f>IFERROR(TP_DATA[[#This Row],[Top '[m']]]-TP_DATA[[#This Row],[Bottom '[m']]], "")</f>
        <v/>
      </c>
      <c r="AW134" s="51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134" t="str">
        <f>IFERROR((TP_DATA[[#This Row],[D, bottom '[m']]]+TP_DATA[[#This Row],[D, top '[m']]])/(2*TP_DATA[[#This Row],[t '[mm']]]/1000),"")</f>
        <v/>
      </c>
      <c r="CB134" s="139">
        <v>23</v>
      </c>
      <c r="CC134" s="140">
        <v>107.224</v>
      </c>
      <c r="CD134" s="140">
        <v>105.23</v>
      </c>
      <c r="CE134" s="140">
        <v>6.226</v>
      </c>
      <c r="CF134" s="140">
        <v>6.226</v>
      </c>
      <c r="CG134" s="141">
        <v>26</v>
      </c>
      <c r="CH134" s="150">
        <f>IFERROR(TOWER_DATA[[#This Row],[Top '[m']]]-TOWER_DATA[[#This Row],[Bottom '[m']]], "")</f>
        <v>1.9939999999999998</v>
      </c>
      <c r="CI134">
        <f>IFERROR(-(TOWER_DATA[[#This Row],[D, bottom '[m']]]-TOWER_DATA[[#This Row],[D, top '[m']]])/(TOWER_DATA[[#This Row],[Bottom '[m']]]-TOWER_DATA[[#This Row],[Top '[m']]]),"")</f>
        <v>0</v>
      </c>
      <c r="CJ134" s="150">
        <f t="shared" si="8"/>
        <v>7.9270157463569424</v>
      </c>
      <c r="CK134" s="124">
        <f>IFERROR((TOWER_DATA[[#This Row],[D, bottom '[m']]]+TOWER_DATA[[#This Row],[D, top '[m']]])/(2*TOWER_DATA[[#This Row],[t '[mm']]]/1000),"")</f>
        <v>239.46153846153848</v>
      </c>
      <c r="CM134" s="51"/>
      <c r="CN134" s="51"/>
      <c r="CO134" s="51"/>
      <c r="CP134" s="51"/>
      <c r="CQ134" s="51"/>
      <c r="CR134" s="51"/>
      <c r="CS134" s="51"/>
      <c r="CT134" s="51"/>
      <c r="CU134" s="137"/>
    </row>
    <row r="135" spans="5:126" ht="18" customHeight="1" x14ac:dyDescent="0.3">
      <c r="K135" s="53" t="str">
        <f>IFERROR(MP_DATA[[#This Row],[Top '[m']]]-MP_DATA[[#This Row],[Bottom '[m']]], "")</f>
        <v/>
      </c>
      <c r="L135" s="101" t="str">
        <f>IFERROR(-(MP_DATA[[#This Row],[D, bottom '[m']]]-MP_DATA[[#This Row],[D, top '[m']]])/(MP_DATA[[#This Row],[Bottom '[m']]]-MP_DATA[[#This Row],[Top '[m']]]),"")</f>
        <v/>
      </c>
      <c r="M135" s="53" t="str">
        <f t="shared" si="6"/>
        <v/>
      </c>
      <c r="N135" s="124" t="str">
        <f>IFERROR((MP_DATA[[#This Row],[D, bottom '[m']]]+MP_DATA[[#This Row],[D, top '[m']]])/(2*MP_DATA[[#This Row],[t '[mm']]]/1000),"")</f>
        <v/>
      </c>
      <c r="AV135" s="53" t="str">
        <f>IFERROR(TP_DATA[[#This Row],[Top '[m']]]-TP_DATA[[#This Row],[Bottom '[m']]], "")</f>
        <v/>
      </c>
      <c r="AW135" s="101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124" t="str">
        <f>IFERROR((TP_DATA[[#This Row],[D, bottom '[m']]]+TP_DATA[[#This Row],[D, top '[m']]])/(2*TP_DATA[[#This Row],[t '[mm']]]/1000),"")</f>
        <v/>
      </c>
      <c r="CB135" s="139">
        <v>24</v>
      </c>
      <c r="CC135" s="140">
        <v>105.23</v>
      </c>
      <c r="CD135" s="140">
        <v>102.30000000000001</v>
      </c>
      <c r="CE135" s="140">
        <v>6.226</v>
      </c>
      <c r="CF135" s="140">
        <v>6.2279999999999998</v>
      </c>
      <c r="CG135" s="141">
        <v>26</v>
      </c>
      <c r="CH135" s="150">
        <f>IFERROR(TOWER_DATA[[#This Row],[Top '[m']]]-TOWER_DATA[[#This Row],[Bottom '[m']]], "")</f>
        <v>2.9299999999999926</v>
      </c>
      <c r="CI135" s="101">
        <f>IFERROR(-(TOWER_DATA[[#This Row],[D, bottom '[m']]]-TOWER_DATA[[#This Row],[D, top '[m']]])/(TOWER_DATA[[#This Row],[Bottom '[m']]]-TOWER_DATA[[#This Row],[Top '[m']]]),"")</f>
        <v>6.825938566552166E-4</v>
      </c>
      <c r="CJ135" s="150">
        <f t="shared" si="8"/>
        <v>11.64990084806473</v>
      </c>
      <c r="CK135" s="124">
        <f>IFERROR((TOWER_DATA[[#This Row],[D, bottom '[m']]]+TOWER_DATA[[#This Row],[D, top '[m']]])/(2*TOWER_DATA[[#This Row],[t '[mm']]]/1000),"")</f>
        <v>239.50000000000003</v>
      </c>
      <c r="CM135" s="51"/>
      <c r="CN135" s="51"/>
      <c r="CO135" s="51"/>
      <c r="CP135" s="51"/>
      <c r="CQ135" s="51"/>
      <c r="CR135" s="51"/>
      <c r="CS135" s="51"/>
      <c r="CT135" s="51"/>
      <c r="CU135" s="137"/>
    </row>
    <row r="136" spans="5:126" ht="18" customHeight="1" x14ac:dyDescent="0.3">
      <c r="K136" s="53" t="str">
        <f>IFERROR(MP_DATA[[#This Row],[Top '[m']]]-MP_DATA[[#This Row],[Bottom '[m']]], "")</f>
        <v/>
      </c>
      <c r="L136" s="101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124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101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124" t="str">
        <f>IFERROR((TP_DATA[[#This Row],[D, bottom '[m']]]+TP_DATA[[#This Row],[D, top '[m']]])/(2*TP_DATA[[#This Row],[t '[mm']]]/1000),"")</f>
        <v/>
      </c>
      <c r="CB136" s="139">
        <v>25</v>
      </c>
      <c r="CC136" s="140">
        <v>102.30000000000001</v>
      </c>
      <c r="CD136" s="140">
        <v>102.26</v>
      </c>
      <c r="CE136" s="140">
        <v>6.2279999999999998</v>
      </c>
      <c r="CF136" s="140">
        <v>6.2279999999999998</v>
      </c>
      <c r="CG136" s="141">
        <v>28</v>
      </c>
      <c r="CH136" s="150">
        <f>IFERROR(TOWER_DATA[[#This Row],[Top '[m']]]-TOWER_DATA[[#This Row],[Bottom '[m']]], "")</f>
        <v>4.0000000000006253E-2</v>
      </c>
      <c r="CI136" s="101">
        <f>IFERROR(-(TOWER_DATA[[#This Row],[D, bottom '[m']]]-TOWER_DATA[[#This Row],[D, top '[m']]])/(TOWER_DATA[[#This Row],[Bottom '[m']]]-TOWER_DATA[[#This Row],[Top '[m']]]),"")</f>
        <v>0</v>
      </c>
      <c r="CJ136" s="150">
        <f t="shared" si="8"/>
        <v>0.17124947218426703</v>
      </c>
      <c r="CK136" s="124">
        <f>IFERROR((TOWER_DATA[[#This Row],[D, bottom '[m']]]+TOWER_DATA[[#This Row],[D, top '[m']]])/(2*TOWER_DATA[[#This Row],[t '[mm']]]/1000),"")</f>
        <v>222.42857142857142</v>
      </c>
      <c r="CM136" s="51"/>
      <c r="CN136" s="51"/>
      <c r="CO136" s="51"/>
      <c r="CP136" s="51"/>
      <c r="CQ136" s="51"/>
      <c r="CR136" s="51"/>
      <c r="CS136" s="51"/>
      <c r="CT136" s="51"/>
      <c r="CU136" s="137"/>
    </row>
    <row r="137" spans="5:126" ht="18" customHeight="1" x14ac:dyDescent="0.3">
      <c r="K137" s="53" t="str">
        <f>IFERROR(MP_DATA[[#This Row],[Top '[m']]]-MP_DATA[[#This Row],[Bottom '[m']]], "")</f>
        <v/>
      </c>
      <c r="M137" s="53" t="str">
        <f t="shared" si="6"/>
        <v/>
      </c>
      <c r="N137" s="124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X137" s="53" t="str">
        <f t="shared" si="7"/>
        <v/>
      </c>
      <c r="AY137" s="124" t="str">
        <f>IFERROR((TP_DATA[[#This Row],[D, bottom '[m']]]+TP_DATA[[#This Row],[D, top '[m']]])/(2*TP_DATA[[#This Row],[t '[mm']]]/1000),"")</f>
        <v/>
      </c>
      <c r="CB137" s="139">
        <v>26</v>
      </c>
      <c r="CC137" s="140">
        <v>102.26</v>
      </c>
      <c r="CD137" s="140">
        <v>102.10000000000001</v>
      </c>
      <c r="CE137" s="140">
        <v>6.2279999999999998</v>
      </c>
      <c r="CF137" s="140">
        <v>6.2279999999999998</v>
      </c>
      <c r="CG137" s="141">
        <v>28</v>
      </c>
      <c r="CH137" s="150">
        <f>IFERROR(TOWER_DATA[[#This Row],[Top '[m']]]-TOWER_DATA[[#This Row],[Bottom '[m']]], "")</f>
        <v>0.15999999999999659</v>
      </c>
      <c r="CJ137" s="150">
        <f t="shared" si="8"/>
        <v>0.68499788873694645</v>
      </c>
      <c r="CK137" s="124">
        <f>IFERROR((TOWER_DATA[[#This Row],[D, bottom '[m']]]+TOWER_DATA[[#This Row],[D, top '[m']]])/(2*TOWER_DATA[[#This Row],[t '[mm']]]/1000),"")</f>
        <v>222.42857142857142</v>
      </c>
      <c r="CM137" s="51"/>
      <c r="CN137" s="51"/>
      <c r="CO137" s="51"/>
      <c r="CP137" s="51"/>
      <c r="CQ137" s="51"/>
      <c r="CR137" s="51"/>
      <c r="CS137" s="51"/>
      <c r="CT137" s="51"/>
      <c r="CU137" s="137"/>
    </row>
    <row r="138" spans="5:126" ht="18" customHeight="1" x14ac:dyDescent="0.3">
      <c r="K138" s="53" t="str">
        <f>IFERROR(MP_DATA[[#This Row],[Top '[m']]]-MP_DATA[[#This Row],[Bottom '[m']]], "")</f>
        <v/>
      </c>
      <c r="AV138" s="53" t="str">
        <f>IFERROR(TP_DATA[[#This Row],[Top '[m']]]-TP_DATA[[#This Row],[Bottom '[m']]], "")</f>
        <v/>
      </c>
      <c r="CB138" s="139">
        <v>27</v>
      </c>
      <c r="CC138" s="140">
        <v>102.10000000000001</v>
      </c>
      <c r="CD138" s="140">
        <v>101.94000000000001</v>
      </c>
      <c r="CE138" s="140">
        <v>6.2279999999999998</v>
      </c>
      <c r="CF138" s="140">
        <v>6.2279999999999998</v>
      </c>
      <c r="CG138" s="141">
        <v>28</v>
      </c>
      <c r="CH138" s="150">
        <f>IFERROR(TOWER_DATA[[#This Row],[Top '[m']]]-TOWER_DATA[[#This Row],[Bottom '[m']]], "")</f>
        <v>0.15999999999999659</v>
      </c>
      <c r="CM138" s="51"/>
      <c r="CN138" s="51"/>
      <c r="CO138" s="51"/>
      <c r="CP138" s="51"/>
      <c r="CQ138" s="51"/>
      <c r="CR138" s="51"/>
      <c r="CS138" s="51"/>
      <c r="CT138" s="51"/>
      <c r="CU138" s="137"/>
    </row>
    <row r="139" spans="5:126" ht="18" customHeight="1" x14ac:dyDescent="0.3">
      <c r="K139" s="53" t="str">
        <f>IFERROR(MP_DATA[[#This Row],[Top '[m']]]-MP_DATA[[#This Row],[Bottom '[m']]], "")</f>
        <v/>
      </c>
      <c r="AV139" s="53" t="str">
        <f>IFERROR(TP_DATA[[#This Row],[Top '[m']]]-TP_DATA[[#This Row],[Bottom '[m']]], "")</f>
        <v/>
      </c>
      <c r="CB139" s="139">
        <v>28</v>
      </c>
      <c r="CC139" s="140">
        <v>101.94000000000001</v>
      </c>
      <c r="CD139" s="140">
        <v>101.9</v>
      </c>
      <c r="CE139" s="140">
        <v>6.2279999999999998</v>
      </c>
      <c r="CF139" s="140">
        <v>6.23</v>
      </c>
      <c r="CG139" s="141">
        <v>28</v>
      </c>
      <c r="CH139" s="150">
        <f>IFERROR(TOWER_DATA[[#This Row],[Top '[m']]]-TOWER_DATA[[#This Row],[Bottom '[m']]], "")</f>
        <v>4.0000000000006253E-2</v>
      </c>
      <c r="CM139" s="51"/>
      <c r="CN139" s="51"/>
      <c r="CO139" s="51"/>
      <c r="CP139" s="51"/>
      <c r="CQ139" s="51"/>
      <c r="CR139" s="51"/>
      <c r="CS139" s="51"/>
      <c r="CT139" s="51"/>
      <c r="CU139" s="137"/>
    </row>
    <row r="140" spans="5:126" ht="18" customHeight="1" x14ac:dyDescent="0.3">
      <c r="K140" s="53" t="str">
        <f>IFERROR(MP_DATA[[#This Row],[Top '[m']]]-MP_DATA[[#This Row],[Bottom '[m']]], "")</f>
        <v/>
      </c>
      <c r="AV140" s="53" t="str">
        <f>IFERROR(TP_DATA[[#This Row],[Top '[m']]]-TP_DATA[[#This Row],[Bottom '[m']]], "")</f>
        <v/>
      </c>
      <c r="CB140" s="139">
        <v>29</v>
      </c>
      <c r="CC140" s="140">
        <v>101.9</v>
      </c>
      <c r="CD140" s="140">
        <v>100.9</v>
      </c>
      <c r="CE140" s="140">
        <v>6.23</v>
      </c>
      <c r="CF140" s="140">
        <v>6.2530000000000001</v>
      </c>
      <c r="CG140" s="141">
        <v>30.099999999999998</v>
      </c>
      <c r="CH140" s="150">
        <f>IFERROR(TOWER_DATA[[#This Row],[Top '[m']]]-TOWER_DATA[[#This Row],[Bottom '[m']]], "")</f>
        <v>1</v>
      </c>
      <c r="CM140" s="51"/>
      <c r="CN140" s="51"/>
      <c r="CO140" s="51"/>
      <c r="CP140" s="51"/>
      <c r="CQ140" s="51"/>
      <c r="CR140" s="51"/>
      <c r="CS140" s="51"/>
      <c r="CT140" s="51"/>
      <c r="CU140" s="137"/>
    </row>
    <row r="141" spans="5:126" ht="18" customHeight="1" x14ac:dyDescent="0.3">
      <c r="K141" s="53" t="str">
        <f>IFERROR(MP_DATA[[#This Row],[Top '[m']]]-MP_DATA[[#This Row],[Bottom '[m']]], "")</f>
        <v/>
      </c>
      <c r="AV141" s="53" t="str">
        <f>IFERROR(TP_DATA[[#This Row],[Top '[m']]]-TP_DATA[[#This Row],[Bottom '[m']]], "")</f>
        <v/>
      </c>
      <c r="CB141" s="139">
        <v>30</v>
      </c>
      <c r="CC141" s="140">
        <v>100.9</v>
      </c>
      <c r="CD141" s="140">
        <v>99.172000000000011</v>
      </c>
      <c r="CE141" s="140">
        <v>6.2530000000000001</v>
      </c>
      <c r="CF141" s="140">
        <v>6.2889999999999997</v>
      </c>
      <c r="CG141" s="141">
        <v>30.099999999999998</v>
      </c>
      <c r="CH141" s="150">
        <f>IFERROR(TOWER_DATA[[#This Row],[Top '[m']]]-TOWER_DATA[[#This Row],[Bottom '[m']]], "")</f>
        <v>1.7279999999999944</v>
      </c>
      <c r="CM141" s="51"/>
      <c r="CN141" s="51"/>
      <c r="CO141" s="51"/>
      <c r="CP141" s="51"/>
      <c r="CQ141" s="51"/>
      <c r="CR141" s="51"/>
      <c r="CS141" s="51"/>
      <c r="CT141" s="51"/>
      <c r="CU141" s="137"/>
    </row>
    <row r="142" spans="5:126" ht="18" customHeight="1" x14ac:dyDescent="0.3">
      <c r="K142" s="53" t="str">
        <f>IFERROR(MP_DATA[[#This Row],[Top '[m']]]-MP_DATA[[#This Row],[Bottom '[m']]], "")</f>
        <v/>
      </c>
      <c r="AV142" s="53" t="str">
        <f>IFERROR(TP_DATA[[#This Row],[Top '[m']]]-TP_DATA[[#This Row],[Bottom '[m']]], "")</f>
        <v/>
      </c>
      <c r="CB142" s="139">
        <v>31</v>
      </c>
      <c r="CC142" s="140">
        <v>99.172000000000011</v>
      </c>
      <c r="CD142" s="140">
        <v>99.003</v>
      </c>
      <c r="CE142" s="140">
        <v>6.2889999999999997</v>
      </c>
      <c r="CF142" s="140">
        <v>6.2919999999999998</v>
      </c>
      <c r="CG142" s="141">
        <v>26.5</v>
      </c>
      <c r="CH142" s="150">
        <f>IFERROR(TOWER_DATA[[#This Row],[Top '[m']]]-TOWER_DATA[[#This Row],[Bottom '[m']]], "")</f>
        <v>0.16900000000001114</v>
      </c>
      <c r="CM142" s="51"/>
      <c r="CN142" s="51"/>
      <c r="CO142" s="51"/>
      <c r="CP142" s="51"/>
      <c r="CQ142" s="51"/>
      <c r="CR142" s="51"/>
      <c r="CS142" s="51"/>
      <c r="CT142" s="51"/>
      <c r="CU142" s="137"/>
    </row>
    <row r="143" spans="5:126" ht="18" customHeight="1" x14ac:dyDescent="0.3">
      <c r="K143" s="53" t="str">
        <f>IFERROR(MP_DATA[[#This Row],[Top '[m']]]-MP_DATA[[#This Row],[Bottom '[m']]], "")</f>
        <v/>
      </c>
      <c r="AV143" s="53" t="str">
        <f>IFERROR(TP_DATA[[#This Row],[Top '[m']]]-TP_DATA[[#This Row],[Bottom '[m']]], "")</f>
        <v/>
      </c>
      <c r="CB143" s="139">
        <v>32</v>
      </c>
      <c r="CC143" s="140">
        <v>99.003</v>
      </c>
      <c r="CD143" s="140">
        <v>96.45</v>
      </c>
      <c r="CE143" s="140">
        <v>6.2919999999999998</v>
      </c>
      <c r="CF143" s="140">
        <v>6.351</v>
      </c>
      <c r="CG143" s="141">
        <v>26.5</v>
      </c>
      <c r="CH143" s="150">
        <f>IFERROR(TOWER_DATA[[#This Row],[Top '[m']]]-TOWER_DATA[[#This Row],[Bottom '[m']]], "")</f>
        <v>2.5529999999999973</v>
      </c>
      <c r="CM143" s="51"/>
      <c r="CN143" s="51"/>
      <c r="CO143" s="51"/>
      <c r="CP143" s="51"/>
      <c r="CQ143" s="51"/>
      <c r="CR143" s="51"/>
      <c r="CS143" s="51"/>
      <c r="CT143" s="51"/>
      <c r="CU143" s="137"/>
    </row>
    <row r="144" spans="5:126" ht="18" customHeight="1" x14ac:dyDescent="0.3">
      <c r="K144" s="53" t="str">
        <f>IFERROR(MP_DATA[[#This Row],[Top '[m']]]-MP_DATA[[#This Row],[Bottom '[m']]], "")</f>
        <v/>
      </c>
      <c r="AV144" s="53" t="str">
        <f>IFERROR(TP_DATA[[#This Row],[Top '[m']]]-TP_DATA[[#This Row],[Bottom '[m']]], "")</f>
        <v/>
      </c>
      <c r="CB144" s="139">
        <v>33</v>
      </c>
      <c r="CC144" s="140">
        <v>96.45</v>
      </c>
      <c r="CD144" s="140">
        <v>94.89200000000001</v>
      </c>
      <c r="CE144" s="140">
        <v>6.351</v>
      </c>
      <c r="CF144" s="140">
        <v>6.3869999999999996</v>
      </c>
      <c r="CG144" s="141">
        <v>28</v>
      </c>
      <c r="CH144" s="150">
        <f>IFERROR(TOWER_DATA[[#This Row],[Top '[m']]]-TOWER_DATA[[#This Row],[Bottom '[m']]], "")</f>
        <v>1.5579999999999927</v>
      </c>
      <c r="CM144" s="51"/>
      <c r="CN144" s="51"/>
      <c r="CO144" s="51"/>
      <c r="CP144" s="51"/>
      <c r="CQ144" s="51"/>
      <c r="CR144" s="51"/>
      <c r="CS144" s="51"/>
      <c r="CT144" s="51"/>
      <c r="CU144" s="137"/>
    </row>
    <row r="145" spans="11:99" ht="18" customHeight="1" x14ac:dyDescent="0.3">
      <c r="K145" s="53" t="str">
        <f>IFERROR(MP_DATA[[#This Row],[Top '[m']]]-MP_DATA[[#This Row],[Bottom '[m']]], "")</f>
        <v/>
      </c>
      <c r="AV145" s="53" t="str">
        <f>IFERROR(TP_DATA[[#This Row],[Top '[m']]]-TP_DATA[[#This Row],[Bottom '[m']]], "")</f>
        <v/>
      </c>
      <c r="CB145" s="139">
        <v>34</v>
      </c>
      <c r="CC145" s="140">
        <v>94.89200000000001</v>
      </c>
      <c r="CD145" s="140">
        <v>93.728000000000009</v>
      </c>
      <c r="CE145" s="140">
        <v>6.3869999999999996</v>
      </c>
      <c r="CF145" s="140">
        <v>6.4139999999999997</v>
      </c>
      <c r="CG145" s="141">
        <v>28</v>
      </c>
      <c r="CH145" s="150">
        <f>IFERROR(TOWER_DATA[[#This Row],[Top '[m']]]-TOWER_DATA[[#This Row],[Bottom '[m']]], "")</f>
        <v>1.1640000000000015</v>
      </c>
      <c r="CM145" s="51"/>
      <c r="CN145" s="51"/>
      <c r="CO145" s="51"/>
      <c r="CP145" s="51"/>
      <c r="CQ145" s="51"/>
      <c r="CR145" s="51"/>
      <c r="CS145" s="51"/>
      <c r="CT145" s="51"/>
      <c r="CU145" s="137"/>
    </row>
    <row r="146" spans="11:99" ht="18" customHeight="1" x14ac:dyDescent="0.3">
      <c r="K146" s="53" t="str">
        <f>IFERROR(MP_DATA[[#This Row],[Top '[m']]]-MP_DATA[[#This Row],[Bottom '[m']]], "")</f>
        <v/>
      </c>
      <c r="AV146" s="53" t="str">
        <f>IFERROR(TP_DATA[[#This Row],[Top '[m']]]-TP_DATA[[#This Row],[Bottom '[m']]], "")</f>
        <v/>
      </c>
      <c r="CB146" s="139">
        <v>35</v>
      </c>
      <c r="CC146" s="140">
        <v>93.728000000000009</v>
      </c>
      <c r="CD146" s="140">
        <v>91.006</v>
      </c>
      <c r="CE146" s="140">
        <v>6.4139999999999997</v>
      </c>
      <c r="CF146" s="140">
        <v>6.4749999999999996</v>
      </c>
      <c r="CG146" s="141">
        <v>28.6</v>
      </c>
      <c r="CH146" s="150">
        <f>IFERROR(TOWER_DATA[[#This Row],[Top '[m']]]-TOWER_DATA[[#This Row],[Bottom '[m']]], "")</f>
        <v>2.7220000000000084</v>
      </c>
      <c r="CM146" s="51"/>
      <c r="CN146" s="51"/>
      <c r="CO146" s="51"/>
      <c r="CP146" s="51"/>
      <c r="CQ146" s="51"/>
      <c r="CR146" s="51"/>
      <c r="CS146" s="51"/>
      <c r="CT146" s="51"/>
      <c r="CU146" s="137"/>
    </row>
    <row r="147" spans="11:99" ht="18" customHeight="1" x14ac:dyDescent="0.3">
      <c r="K147" s="53" t="str">
        <f>IFERROR(MP_DATA[[#This Row],[Top '[m']]]-MP_DATA[[#This Row],[Bottom '[m']]], "")</f>
        <v/>
      </c>
      <c r="AV147" s="53" t="str">
        <f>IFERROR(TP_DATA[[#This Row],[Top '[m']]]-TP_DATA[[#This Row],[Bottom '[m']]], "")</f>
        <v/>
      </c>
      <c r="CB147" s="139">
        <v>36</v>
      </c>
      <c r="CC147" s="140">
        <v>91.006</v>
      </c>
      <c r="CD147" s="140">
        <v>90.9</v>
      </c>
      <c r="CE147" s="140">
        <v>6.4749999999999996</v>
      </c>
      <c r="CF147" s="140">
        <v>6.4779999999999998</v>
      </c>
      <c r="CG147" s="141">
        <v>29.4</v>
      </c>
      <c r="CH147" s="150">
        <f>IFERROR(TOWER_DATA[[#This Row],[Top '[m']]]-TOWER_DATA[[#This Row],[Bottom '[m']]], "")</f>
        <v>0.10599999999999454</v>
      </c>
      <c r="CM147" s="51"/>
      <c r="CN147" s="51"/>
      <c r="CO147" s="51"/>
      <c r="CP147" s="51"/>
      <c r="CQ147" s="51"/>
      <c r="CR147" s="51"/>
      <c r="CS147" s="51"/>
      <c r="CT147" s="51"/>
      <c r="CU147" s="137"/>
    </row>
    <row r="148" spans="11:99" ht="18" customHeight="1" x14ac:dyDescent="0.3">
      <c r="K148" s="53" t="str">
        <f>IFERROR(MP_DATA[[#This Row],[Top '[m']]]-MP_DATA[[#This Row],[Bottom '[m']]], "")</f>
        <v/>
      </c>
      <c r="AV148" s="53" t="str">
        <f>IFERROR(TP_DATA[[#This Row],[Top '[m']]]-TP_DATA[[#This Row],[Bottom '[m']]], "")</f>
        <v/>
      </c>
      <c r="CB148" s="139">
        <v>37</v>
      </c>
      <c r="CC148" s="140">
        <v>90.9</v>
      </c>
      <c r="CD148" s="140">
        <v>88.284000000000006</v>
      </c>
      <c r="CE148" s="140">
        <v>6.4779999999999998</v>
      </c>
      <c r="CF148" s="140">
        <v>6.5380000000000003</v>
      </c>
      <c r="CG148" s="141">
        <v>29.4</v>
      </c>
      <c r="CH148" s="150">
        <f>IFERROR(TOWER_DATA[[#This Row],[Top '[m']]]-TOWER_DATA[[#This Row],[Bottom '[m']]], "")</f>
        <v>2.6159999999999997</v>
      </c>
      <c r="CM148" s="51"/>
      <c r="CN148" s="51"/>
      <c r="CO148" s="51"/>
      <c r="CP148" s="51"/>
      <c r="CQ148" s="51"/>
      <c r="CR148" s="51"/>
      <c r="CS148" s="51"/>
      <c r="CT148" s="51"/>
      <c r="CU148" s="137"/>
    </row>
    <row r="149" spans="11:99" ht="18" customHeight="1" x14ac:dyDescent="0.3">
      <c r="K149" s="53" t="str">
        <f>IFERROR(MP_DATA[[#This Row],[Top '[m']]]-MP_DATA[[#This Row],[Bottom '[m']]], "")</f>
        <v/>
      </c>
      <c r="AV149" s="53" t="str">
        <f>IFERROR(TP_DATA[[#This Row],[Top '[m']]]-TP_DATA[[#This Row],[Bottom '[m']]], "")</f>
        <v/>
      </c>
      <c r="CB149" s="139">
        <v>38</v>
      </c>
      <c r="CC149" s="140">
        <v>88.284000000000006</v>
      </c>
      <c r="CD149" s="140">
        <v>86.671000000000006</v>
      </c>
      <c r="CE149" s="140">
        <v>6.5380000000000003</v>
      </c>
      <c r="CF149" s="140">
        <v>6.5739999999999998</v>
      </c>
      <c r="CG149" s="141">
        <v>29.5</v>
      </c>
      <c r="CH149" s="150">
        <f>IFERROR(TOWER_DATA[[#This Row],[Top '[m']]]-TOWER_DATA[[#This Row],[Bottom '[m']]], "")</f>
        <v>1.6129999999999995</v>
      </c>
      <c r="CM149" s="51"/>
      <c r="CN149" s="51"/>
      <c r="CO149" s="51"/>
      <c r="CP149" s="51"/>
      <c r="CQ149" s="51"/>
      <c r="CR149" s="51"/>
      <c r="CS149" s="51"/>
      <c r="CT149" s="51"/>
      <c r="CU149" s="137"/>
    </row>
    <row r="150" spans="11:99" ht="18" customHeight="1" x14ac:dyDescent="0.3">
      <c r="K150" s="53" t="str">
        <f>IFERROR(MP_DATA[[#This Row],[Top '[m']]]-MP_DATA[[#This Row],[Bottom '[m']]], "")</f>
        <v/>
      </c>
      <c r="AV150" s="53" t="str">
        <f>IFERROR(TP_DATA[[#This Row],[Top '[m']]]-TP_DATA[[#This Row],[Bottom '[m']]], "")</f>
        <v/>
      </c>
      <c r="CB150" s="139">
        <v>39</v>
      </c>
      <c r="CC150" s="140">
        <v>86.671000000000006</v>
      </c>
      <c r="CD150" s="140">
        <v>85.562000000000012</v>
      </c>
      <c r="CE150" s="140">
        <v>6.5739999999999998</v>
      </c>
      <c r="CF150" s="140">
        <v>6.601</v>
      </c>
      <c r="CG150" s="141">
        <v>29.5</v>
      </c>
      <c r="CH150" s="150">
        <f>IFERROR(TOWER_DATA[[#This Row],[Top '[m']]]-TOWER_DATA[[#This Row],[Bottom '[m']]], "")</f>
        <v>1.1089999999999947</v>
      </c>
      <c r="CM150" s="51"/>
      <c r="CN150" s="51"/>
      <c r="CO150" s="51"/>
      <c r="CP150" s="51"/>
      <c r="CQ150" s="51"/>
      <c r="CR150" s="51"/>
      <c r="CS150" s="51"/>
      <c r="CT150" s="51"/>
      <c r="CU150" s="137"/>
    </row>
    <row r="151" spans="11:99" ht="18" customHeight="1" x14ac:dyDescent="0.3">
      <c r="K151" s="53" t="str">
        <f>IFERROR(MP_DATA[[#This Row],[Top '[m']]]-MP_DATA[[#This Row],[Bottom '[m']]], "")</f>
        <v/>
      </c>
      <c r="AV151" s="53" t="str">
        <f>IFERROR(TP_DATA[[#This Row],[Top '[m']]]-TP_DATA[[#This Row],[Bottom '[m']]], "")</f>
        <v/>
      </c>
      <c r="CB151" s="139">
        <v>40</v>
      </c>
      <c r="CC151" s="140">
        <v>85.562000000000012</v>
      </c>
      <c r="CD151" s="140">
        <v>82.84</v>
      </c>
      <c r="CE151" s="140">
        <v>6.601</v>
      </c>
      <c r="CF151" s="140">
        <v>6.6619999999999999</v>
      </c>
      <c r="CG151" s="141">
        <v>31.5</v>
      </c>
      <c r="CH151" s="150">
        <f>IFERROR(TOWER_DATA[[#This Row],[Top '[m']]]-TOWER_DATA[[#This Row],[Bottom '[m']]], "")</f>
        <v>2.7220000000000084</v>
      </c>
      <c r="CM151" s="51"/>
      <c r="CN151" s="51"/>
      <c r="CO151" s="51"/>
      <c r="CP151" s="51"/>
      <c r="CQ151" s="51"/>
      <c r="CR151" s="51"/>
      <c r="CS151" s="51"/>
      <c r="CT151" s="51"/>
      <c r="CU151" s="137"/>
    </row>
    <row r="152" spans="11:99" ht="18" customHeight="1" x14ac:dyDescent="0.3">
      <c r="K152" s="53" t="str">
        <f>IFERROR(MP_DATA[[#This Row],[Top '[m']]]-MP_DATA[[#This Row],[Bottom '[m']]], "")</f>
        <v/>
      </c>
      <c r="AV152" s="53" t="str">
        <f>IFERROR(TP_DATA[[#This Row],[Top '[m']]]-TP_DATA[[#This Row],[Bottom '[m']]], "")</f>
        <v/>
      </c>
      <c r="CB152" s="139">
        <v>41</v>
      </c>
      <c r="CC152" s="140">
        <v>82.84</v>
      </c>
      <c r="CD152" s="140">
        <v>82.56</v>
      </c>
      <c r="CE152" s="140">
        <v>6.6619999999999999</v>
      </c>
      <c r="CF152" s="140">
        <v>6.6689999999999996</v>
      </c>
      <c r="CG152" s="141">
        <v>31.2</v>
      </c>
      <c r="CH152" s="150">
        <f>IFERROR(TOWER_DATA[[#This Row],[Top '[m']]]-TOWER_DATA[[#This Row],[Bottom '[m']]], "")</f>
        <v>0.28000000000000114</v>
      </c>
      <c r="CM152" s="51"/>
      <c r="CN152" s="51"/>
      <c r="CO152" s="51"/>
      <c r="CP152" s="51"/>
      <c r="CQ152" s="51"/>
      <c r="CR152" s="51"/>
      <c r="CS152" s="51"/>
      <c r="CT152" s="51"/>
      <c r="CU152" s="137"/>
    </row>
    <row r="153" spans="11:99" ht="18" customHeight="1" x14ac:dyDescent="0.3">
      <c r="K153" s="53" t="str">
        <f>IFERROR(MP_DATA[[#This Row],[Top '[m']]]-MP_DATA[[#This Row],[Bottom '[m']]], "")</f>
        <v/>
      </c>
      <c r="AV153" s="53" t="str">
        <f>IFERROR(TP_DATA[[#This Row],[Top '[m']]]-TP_DATA[[#This Row],[Bottom '[m']]], "")</f>
        <v/>
      </c>
      <c r="CB153" s="139">
        <v>42</v>
      </c>
      <c r="CC153" s="140">
        <v>82.56</v>
      </c>
      <c r="CD153" s="140">
        <v>80.900000000000006</v>
      </c>
      <c r="CE153" s="140">
        <v>6.6689999999999996</v>
      </c>
      <c r="CF153" s="140">
        <v>6.7060000000000004</v>
      </c>
      <c r="CG153" s="141">
        <v>31.2</v>
      </c>
      <c r="CH153" s="150">
        <f>IFERROR(TOWER_DATA[[#This Row],[Top '[m']]]-TOWER_DATA[[#This Row],[Bottom '[m']]], "")</f>
        <v>1.6599999999999966</v>
      </c>
      <c r="CM153" s="51"/>
      <c r="CN153" s="51"/>
      <c r="CO153" s="51"/>
      <c r="CP153" s="51"/>
      <c r="CQ153" s="51"/>
      <c r="CR153" s="51"/>
      <c r="CS153" s="51"/>
      <c r="CT153" s="51"/>
      <c r="CU153" s="137"/>
    </row>
    <row r="154" spans="11:99" ht="18" customHeight="1" x14ac:dyDescent="0.3">
      <c r="K154" s="53" t="str">
        <f>IFERROR(MP_DATA[[#This Row],[Top '[m']]]-MP_DATA[[#This Row],[Bottom '[m']]], "")</f>
        <v/>
      </c>
      <c r="AV154" s="53" t="str">
        <f>IFERROR(TP_DATA[[#This Row],[Top '[m']]]-TP_DATA[[#This Row],[Bottom '[m']]], "")</f>
        <v/>
      </c>
      <c r="CB154" s="139">
        <v>43</v>
      </c>
      <c r="CC154" s="140">
        <v>80.900000000000006</v>
      </c>
      <c r="CD154" s="140">
        <v>80.118000000000009</v>
      </c>
      <c r="CE154" s="140">
        <v>6.7060000000000004</v>
      </c>
      <c r="CF154" s="140">
        <v>6.7240000000000002</v>
      </c>
      <c r="CG154" s="141">
        <v>31.2</v>
      </c>
      <c r="CH154" s="150">
        <f>IFERROR(TOWER_DATA[[#This Row],[Top '[m']]]-TOWER_DATA[[#This Row],[Bottom '[m']]], "")</f>
        <v>0.78199999999999648</v>
      </c>
      <c r="CM154" s="51"/>
      <c r="CN154" s="51"/>
      <c r="CO154" s="51"/>
      <c r="CP154" s="51"/>
      <c r="CQ154" s="51"/>
      <c r="CR154" s="51"/>
      <c r="CS154" s="51"/>
      <c r="CT154" s="51"/>
      <c r="CU154" s="137"/>
    </row>
    <row r="155" spans="11:99" ht="18" customHeight="1" x14ac:dyDescent="0.3">
      <c r="K155" s="53" t="str">
        <f>IFERROR(MP_DATA[[#This Row],[Top '[m']]]-MP_DATA[[#This Row],[Bottom '[m']]], "")</f>
        <v/>
      </c>
      <c r="AV155" s="53" t="str">
        <f>IFERROR(TP_DATA[[#This Row],[Top '[m']]]-TP_DATA[[#This Row],[Bottom '[m']]], "")</f>
        <v/>
      </c>
      <c r="CB155" s="139">
        <v>44</v>
      </c>
      <c r="CC155" s="140">
        <v>80.118000000000009</v>
      </c>
      <c r="CD155" s="140">
        <v>78.45</v>
      </c>
      <c r="CE155" s="140">
        <v>6.7240000000000002</v>
      </c>
      <c r="CF155" s="140">
        <v>6.7619999999999996</v>
      </c>
      <c r="CG155" s="141">
        <v>31.7</v>
      </c>
      <c r="CH155" s="150">
        <f>IFERROR(TOWER_DATA[[#This Row],[Top '[m']]]-TOWER_DATA[[#This Row],[Bottom '[m']]], "")</f>
        <v>1.6680000000000064</v>
      </c>
      <c r="CM155" s="51"/>
      <c r="CN155" s="51"/>
      <c r="CO155" s="51"/>
      <c r="CP155" s="51"/>
      <c r="CQ155" s="51"/>
      <c r="CR155" s="51"/>
      <c r="CS155" s="51"/>
      <c r="CT155" s="51"/>
      <c r="CU155" s="137"/>
    </row>
    <row r="156" spans="11:99" ht="18" customHeight="1" x14ac:dyDescent="0.3">
      <c r="K156" s="53" t="str">
        <f>IFERROR(MP_DATA[[#This Row],[Top '[m']]]-MP_DATA[[#This Row],[Bottom '[m']]], "")</f>
        <v/>
      </c>
      <c r="AV156" s="53" t="str">
        <f>IFERROR(TP_DATA[[#This Row],[Top '[m']]]-TP_DATA[[#This Row],[Bottom '[m']]], "")</f>
        <v/>
      </c>
      <c r="CB156" s="139">
        <v>45</v>
      </c>
      <c r="CC156" s="140">
        <v>78.45</v>
      </c>
      <c r="CD156" s="140">
        <v>77.396000000000001</v>
      </c>
      <c r="CE156" s="140">
        <v>6.7619999999999996</v>
      </c>
      <c r="CF156" s="140">
        <v>6.7859999999999996</v>
      </c>
      <c r="CG156" s="141">
        <v>31.7</v>
      </c>
      <c r="CH156" s="150">
        <f>IFERROR(TOWER_DATA[[#This Row],[Top '[m']]]-TOWER_DATA[[#This Row],[Bottom '[m']]], "")</f>
        <v>1.054000000000002</v>
      </c>
      <c r="CM156" s="51"/>
      <c r="CN156" s="51"/>
      <c r="CO156" s="51"/>
      <c r="CP156" s="51"/>
      <c r="CQ156" s="51"/>
      <c r="CR156" s="51"/>
      <c r="CS156" s="51"/>
      <c r="CT156" s="51"/>
      <c r="CU156" s="137"/>
    </row>
    <row r="157" spans="11:99" ht="18" customHeight="1" x14ac:dyDescent="0.3">
      <c r="K157" s="53" t="str">
        <f>IFERROR(MP_DATA[[#This Row],[Top '[m']]]-MP_DATA[[#This Row],[Bottom '[m']]], "")</f>
        <v/>
      </c>
      <c r="AV157" s="53" t="str">
        <f>IFERROR(TP_DATA[[#This Row],[Top '[m']]]-TP_DATA[[#This Row],[Bottom '[m']]], "")</f>
        <v/>
      </c>
      <c r="CB157" s="139">
        <v>46</v>
      </c>
      <c r="CC157" s="140">
        <v>77.396000000000001</v>
      </c>
      <c r="CD157" s="140">
        <v>74.674000000000007</v>
      </c>
      <c r="CE157" s="140">
        <v>6.7859999999999996</v>
      </c>
      <c r="CF157" s="140">
        <v>6.8479999999999999</v>
      </c>
      <c r="CG157" s="141">
        <v>32.200000000000003</v>
      </c>
      <c r="CH157" s="150">
        <f>IFERROR(TOWER_DATA[[#This Row],[Top '[m']]]-TOWER_DATA[[#This Row],[Bottom '[m']]], "")</f>
        <v>2.7219999999999942</v>
      </c>
      <c r="CM157" s="51"/>
      <c r="CN157" s="51"/>
      <c r="CO157" s="51"/>
      <c r="CP157" s="51"/>
      <c r="CQ157" s="51"/>
      <c r="CR157" s="51"/>
      <c r="CS157" s="51"/>
      <c r="CT157" s="51"/>
      <c r="CU157" s="137"/>
    </row>
    <row r="158" spans="11:99" ht="18" customHeight="1" x14ac:dyDescent="0.3">
      <c r="K158" s="53" t="str">
        <f>IFERROR(MP_DATA[[#This Row],[Top '[m']]]-MP_DATA[[#This Row],[Bottom '[m']]], "")</f>
        <v/>
      </c>
      <c r="AV158" s="53" t="str">
        <f>IFERROR(TP_DATA[[#This Row],[Top '[m']]]-TP_DATA[[#This Row],[Bottom '[m']]], "")</f>
        <v/>
      </c>
      <c r="CB158" s="139">
        <v>47</v>
      </c>
      <c r="CC158" s="140">
        <v>74.674000000000007</v>
      </c>
      <c r="CD158" s="140">
        <v>71.951999999999998</v>
      </c>
      <c r="CE158" s="140">
        <v>6.8479999999999999</v>
      </c>
      <c r="CF158" s="140">
        <v>6.9109999999999996</v>
      </c>
      <c r="CG158" s="141">
        <v>32.5</v>
      </c>
      <c r="CH158" s="150">
        <f>IFERROR(TOWER_DATA[[#This Row],[Top '[m']]]-TOWER_DATA[[#This Row],[Bottom '[m']]], "")</f>
        <v>2.7220000000000084</v>
      </c>
      <c r="CM158" s="51"/>
      <c r="CN158" s="51"/>
      <c r="CO158" s="51"/>
      <c r="CP158" s="51"/>
      <c r="CQ158" s="51"/>
      <c r="CR158" s="51"/>
      <c r="CS158" s="51"/>
      <c r="CT158" s="51"/>
      <c r="CU158" s="137"/>
    </row>
    <row r="159" spans="11:99" ht="18" customHeight="1" x14ac:dyDescent="0.3">
      <c r="K159" s="53" t="str">
        <f>IFERROR(MP_DATA[[#This Row],[Top '[m']]]-MP_DATA[[#This Row],[Bottom '[m']]], "")</f>
        <v/>
      </c>
      <c r="AV159" s="53" t="str">
        <f>IFERROR(TP_DATA[[#This Row],[Top '[m']]]-TP_DATA[[#This Row],[Bottom '[m']]], "")</f>
        <v/>
      </c>
      <c r="CB159" s="139">
        <v>48</v>
      </c>
      <c r="CC159" s="140">
        <v>71.951999999999998</v>
      </c>
      <c r="CD159" s="140">
        <v>70.900000000000006</v>
      </c>
      <c r="CE159" s="140">
        <v>6.9109999999999996</v>
      </c>
      <c r="CF159" s="140">
        <v>6.9340000000000002</v>
      </c>
      <c r="CG159" s="141">
        <v>33.5</v>
      </c>
      <c r="CH159" s="150">
        <f>IFERROR(TOWER_DATA[[#This Row],[Top '[m']]]-TOWER_DATA[[#This Row],[Bottom '[m']]], "")</f>
        <v>1.0519999999999925</v>
      </c>
      <c r="CM159" s="51"/>
      <c r="CN159" s="51"/>
      <c r="CO159" s="51"/>
      <c r="CP159" s="51"/>
      <c r="CQ159" s="51"/>
      <c r="CR159" s="51"/>
      <c r="CS159" s="51"/>
      <c r="CT159" s="51"/>
      <c r="CU159" s="137"/>
    </row>
    <row r="160" spans="11:99" ht="18" customHeight="1" x14ac:dyDescent="0.3">
      <c r="K160" s="53" t="str">
        <f>IFERROR(MP_DATA[[#This Row],[Top '[m']]]-MP_DATA[[#This Row],[Bottom '[m']]], "")</f>
        <v/>
      </c>
      <c r="AV160" s="53" t="str">
        <f>IFERROR(TP_DATA[[#This Row],[Top '[m']]]-TP_DATA[[#This Row],[Bottom '[m']]], "")</f>
        <v/>
      </c>
      <c r="CB160" s="139">
        <v>49</v>
      </c>
      <c r="CC160" s="140">
        <v>70.900000000000006</v>
      </c>
      <c r="CD160" s="140">
        <v>69.225000000000009</v>
      </c>
      <c r="CE160" s="140">
        <v>6.9340000000000002</v>
      </c>
      <c r="CF160" s="140">
        <v>6.9720000000000004</v>
      </c>
      <c r="CG160" s="141">
        <v>33.5</v>
      </c>
      <c r="CH160" s="150">
        <f>IFERROR(TOWER_DATA[[#This Row],[Top '[m']]]-TOWER_DATA[[#This Row],[Bottom '[m']]], "")</f>
        <v>1.6749999999999972</v>
      </c>
      <c r="CM160" s="51"/>
      <c r="CN160" s="51"/>
      <c r="CO160" s="51"/>
      <c r="CP160" s="51"/>
      <c r="CQ160" s="51"/>
      <c r="CR160" s="51"/>
      <c r="CS160" s="51"/>
      <c r="CT160" s="51"/>
      <c r="CU160" s="137"/>
    </row>
    <row r="161" spans="11:99" ht="18" customHeight="1" x14ac:dyDescent="0.3">
      <c r="K161" s="53" t="str">
        <f>IFERROR(MP_DATA[[#This Row],[Top '[m']]]-MP_DATA[[#This Row],[Bottom '[m']]], "")</f>
        <v/>
      </c>
      <c r="AV161" s="53" t="str">
        <f>IFERROR(TP_DATA[[#This Row],[Top '[m']]]-TP_DATA[[#This Row],[Bottom '[m']]], "")</f>
        <v/>
      </c>
      <c r="CB161" s="139">
        <v>50</v>
      </c>
      <c r="CC161" s="140">
        <v>69.225000000000009</v>
      </c>
      <c r="CD161" s="140">
        <v>66.490000000000009</v>
      </c>
      <c r="CE161" s="140">
        <v>6.9720000000000004</v>
      </c>
      <c r="CF161" s="140">
        <v>7.0380000000000003</v>
      </c>
      <c r="CG161" s="141">
        <v>34</v>
      </c>
      <c r="CH161" s="150">
        <f>IFERROR(TOWER_DATA[[#This Row],[Top '[m']]]-TOWER_DATA[[#This Row],[Bottom '[m']]], "")</f>
        <v>2.7349999999999994</v>
      </c>
      <c r="CM161" s="51"/>
      <c r="CN161" s="51"/>
      <c r="CO161" s="51"/>
      <c r="CP161" s="51"/>
      <c r="CQ161" s="51"/>
      <c r="CR161" s="51"/>
      <c r="CS161" s="51"/>
      <c r="CT161" s="51"/>
      <c r="CU161" s="137"/>
    </row>
    <row r="162" spans="11:99" ht="18" customHeight="1" x14ac:dyDescent="0.3">
      <c r="K162" s="53" t="str">
        <f>IFERROR(MP_DATA[[#This Row],[Top '[m']]]-MP_DATA[[#This Row],[Bottom '[m']]], "")</f>
        <v/>
      </c>
      <c r="AV162" s="53" t="str">
        <f>IFERROR(TP_DATA[[#This Row],[Top '[m']]]-TP_DATA[[#This Row],[Bottom '[m']]], "")</f>
        <v/>
      </c>
      <c r="CB162" s="139">
        <v>51</v>
      </c>
      <c r="CC162" s="140">
        <v>66.490000000000009</v>
      </c>
      <c r="CD162" s="140">
        <v>66.445000000000007</v>
      </c>
      <c r="CE162" s="140">
        <v>7.0380000000000003</v>
      </c>
      <c r="CF162" s="140">
        <v>7.0380000000000003</v>
      </c>
      <c r="CG162" s="141">
        <v>38</v>
      </c>
      <c r="CH162" s="150">
        <f>IFERROR(TOWER_DATA[[#This Row],[Top '[m']]]-TOWER_DATA[[#This Row],[Bottom '[m']]], "")</f>
        <v>4.5000000000001705E-2</v>
      </c>
      <c r="CM162" s="51"/>
      <c r="CN162" s="51"/>
      <c r="CO162" s="51"/>
      <c r="CP162" s="51"/>
      <c r="CQ162" s="51"/>
      <c r="CR162" s="51"/>
      <c r="CS162" s="51"/>
      <c r="CT162" s="51"/>
      <c r="CU162" s="137"/>
    </row>
    <row r="163" spans="11:99" ht="18" customHeight="1" x14ac:dyDescent="0.3">
      <c r="K163" s="53" t="str">
        <f>IFERROR(MP_DATA[[#This Row],[Top '[m']]]-MP_DATA[[#This Row],[Bottom '[m']]], "")</f>
        <v/>
      </c>
      <c r="AV163" s="53" t="str">
        <f>IFERROR(TP_DATA[[#This Row],[Top '[m']]]-TP_DATA[[#This Row],[Bottom '[m']]], "")</f>
        <v/>
      </c>
      <c r="CB163" s="139">
        <v>52</v>
      </c>
      <c r="CC163" s="140">
        <v>66.445000000000007</v>
      </c>
      <c r="CD163" s="140">
        <v>66.260000000000005</v>
      </c>
      <c r="CE163" s="140">
        <v>7.0380000000000003</v>
      </c>
      <c r="CF163" s="140">
        <v>7.0380000000000003</v>
      </c>
      <c r="CG163" s="141">
        <v>38</v>
      </c>
      <c r="CH163" s="150">
        <f>IFERROR(TOWER_DATA[[#This Row],[Top '[m']]]-TOWER_DATA[[#This Row],[Bottom '[m']]], "")</f>
        <v>0.18500000000000227</v>
      </c>
      <c r="CM163" s="51"/>
      <c r="CN163" s="51"/>
      <c r="CO163" s="51"/>
      <c r="CP163" s="51"/>
      <c r="CQ163" s="51"/>
      <c r="CR163" s="51"/>
      <c r="CS163" s="51"/>
      <c r="CT163" s="51"/>
      <c r="CU163" s="137"/>
    </row>
    <row r="164" spans="11:99" ht="18" customHeight="1" x14ac:dyDescent="0.3">
      <c r="K164" s="53" t="str">
        <f>IFERROR(MP_DATA[[#This Row],[Top '[m']]]-MP_DATA[[#This Row],[Bottom '[m']]], "")</f>
        <v/>
      </c>
      <c r="AV164" s="53" t="str">
        <f>IFERROR(TP_DATA[[#This Row],[Top '[m']]]-TP_DATA[[#This Row],[Bottom '[m']]], "")</f>
        <v/>
      </c>
      <c r="CB164" s="139">
        <v>53</v>
      </c>
      <c r="CC164" s="140">
        <v>66.260000000000005</v>
      </c>
      <c r="CD164" s="140">
        <v>66.075000000000003</v>
      </c>
      <c r="CE164" s="140">
        <v>7.0380000000000003</v>
      </c>
      <c r="CF164" s="140">
        <v>7.0380000000000003</v>
      </c>
      <c r="CG164" s="141">
        <v>38</v>
      </c>
      <c r="CH164" s="150">
        <f>IFERROR(TOWER_DATA[[#This Row],[Top '[m']]]-TOWER_DATA[[#This Row],[Bottom '[m']]], "")</f>
        <v>0.18500000000000227</v>
      </c>
      <c r="CM164" s="51"/>
      <c r="CN164" s="51"/>
      <c r="CO164" s="51"/>
      <c r="CP164" s="51"/>
      <c r="CQ164" s="51"/>
      <c r="CR164" s="51"/>
      <c r="CS164" s="51"/>
      <c r="CT164" s="51"/>
      <c r="CU164" s="137"/>
    </row>
    <row r="165" spans="11:99" ht="18" customHeight="1" x14ac:dyDescent="0.3">
      <c r="K165" s="53" t="str">
        <f>IFERROR(MP_DATA[[#This Row],[Top '[m']]]-MP_DATA[[#This Row],[Bottom '[m']]], "")</f>
        <v/>
      </c>
      <c r="AV165" s="53" t="str">
        <f>IFERROR(TP_DATA[[#This Row],[Top '[m']]]-TP_DATA[[#This Row],[Bottom '[m']]], "")</f>
        <v/>
      </c>
      <c r="CB165" s="139">
        <v>54</v>
      </c>
      <c r="CC165" s="140">
        <v>66.075000000000003</v>
      </c>
      <c r="CD165" s="140">
        <v>66.03</v>
      </c>
      <c r="CE165" s="140">
        <v>7.0380000000000003</v>
      </c>
      <c r="CF165" s="140">
        <v>7.032</v>
      </c>
      <c r="CG165" s="141">
        <v>38</v>
      </c>
      <c r="CH165" s="150">
        <f>IFERROR(TOWER_DATA[[#This Row],[Top '[m']]]-TOWER_DATA[[#This Row],[Bottom '[m']]], "")</f>
        <v>4.5000000000001705E-2</v>
      </c>
      <c r="CM165" s="51"/>
      <c r="CN165" s="51"/>
      <c r="CO165" s="51"/>
      <c r="CP165" s="51"/>
      <c r="CQ165" s="51"/>
      <c r="CR165" s="51"/>
      <c r="CS165" s="51"/>
      <c r="CT165" s="51"/>
      <c r="CU165" s="137"/>
    </row>
    <row r="166" spans="11:99" ht="18" customHeight="1" x14ac:dyDescent="0.3">
      <c r="K166" s="53" t="str">
        <f>IFERROR(MP_DATA[[#This Row],[Top '[m']]]-MP_DATA[[#This Row],[Bottom '[m']]], "")</f>
        <v/>
      </c>
      <c r="AV166" s="53" t="str">
        <f>IFERROR(TP_DATA[[#This Row],[Top '[m']]]-TP_DATA[[#This Row],[Bottom '[m']]], "")</f>
        <v/>
      </c>
      <c r="CB166" s="139">
        <v>55</v>
      </c>
      <c r="CC166" s="140">
        <v>66.03</v>
      </c>
      <c r="CD166" s="140">
        <v>63.308000000000007</v>
      </c>
      <c r="CE166" s="140">
        <v>7.032</v>
      </c>
      <c r="CF166" s="140">
        <v>7.0759999999999996</v>
      </c>
      <c r="CG166" s="141">
        <v>32</v>
      </c>
      <c r="CH166" s="150">
        <f>IFERROR(TOWER_DATA[[#This Row],[Top '[m']]]-TOWER_DATA[[#This Row],[Bottom '[m']]], "")</f>
        <v>2.7219999999999942</v>
      </c>
      <c r="CM166" s="51"/>
      <c r="CN166" s="51"/>
      <c r="CO166" s="51"/>
      <c r="CP166" s="51"/>
      <c r="CQ166" s="51"/>
      <c r="CR166" s="51"/>
      <c r="CS166" s="51"/>
      <c r="CT166" s="51"/>
      <c r="CU166" s="137"/>
    </row>
    <row r="167" spans="11:99" ht="18" customHeight="1" x14ac:dyDescent="0.3">
      <c r="K167" s="53" t="str">
        <f>IFERROR(MP_DATA[[#This Row],[Top '[m']]]-MP_DATA[[#This Row],[Bottom '[m']]], "")</f>
        <v/>
      </c>
      <c r="AV167" s="53" t="str">
        <f>IFERROR(TP_DATA[[#This Row],[Top '[m']]]-TP_DATA[[#This Row],[Bottom '[m']]], "")</f>
        <v/>
      </c>
      <c r="CB167" s="139">
        <v>56</v>
      </c>
      <c r="CC167" s="140">
        <v>63.308000000000007</v>
      </c>
      <c r="CD167" s="140">
        <v>62.007000000000005</v>
      </c>
      <c r="CE167" s="140">
        <v>7.0759999999999996</v>
      </c>
      <c r="CF167" s="140">
        <v>7.0970000000000004</v>
      </c>
      <c r="CG167" s="141">
        <v>33</v>
      </c>
      <c r="CH167" s="150">
        <f>IFERROR(TOWER_DATA[[#This Row],[Top '[m']]]-TOWER_DATA[[#This Row],[Bottom '[m']]], "")</f>
        <v>1.3010000000000019</v>
      </c>
      <c r="CM167" s="51"/>
      <c r="CN167" s="51"/>
      <c r="CO167" s="51"/>
      <c r="CP167" s="51"/>
      <c r="CQ167" s="51"/>
      <c r="CR167" s="51"/>
      <c r="CS167" s="51"/>
      <c r="CT167" s="51"/>
      <c r="CU167" s="137"/>
    </row>
    <row r="168" spans="11:99" ht="18" customHeight="1" x14ac:dyDescent="0.3">
      <c r="K168" s="53" t="str">
        <f>IFERROR(MP_DATA[[#This Row],[Top '[m']]]-MP_DATA[[#This Row],[Bottom '[m']]], "")</f>
        <v/>
      </c>
      <c r="AV168" s="53" t="str">
        <f>IFERROR(TP_DATA[[#This Row],[Top '[m']]]-TP_DATA[[#This Row],[Bottom '[m']]], "")</f>
        <v/>
      </c>
      <c r="CB168" s="139">
        <v>57</v>
      </c>
      <c r="CC168" s="140">
        <v>62.007000000000005</v>
      </c>
      <c r="CD168" s="140">
        <v>60.900000000000006</v>
      </c>
      <c r="CE168" s="140">
        <v>7.0970000000000004</v>
      </c>
      <c r="CF168" s="140">
        <v>7.1139999999999999</v>
      </c>
      <c r="CG168" s="141">
        <v>33</v>
      </c>
      <c r="CH168" s="150">
        <f>IFERROR(TOWER_DATA[[#This Row],[Top '[m']]]-TOWER_DATA[[#This Row],[Bottom '[m']]], "")</f>
        <v>1.1069999999999993</v>
      </c>
      <c r="CM168" s="51"/>
      <c r="CN168" s="51"/>
      <c r="CO168" s="51"/>
      <c r="CP168" s="51"/>
      <c r="CQ168" s="51"/>
      <c r="CR168" s="51"/>
      <c r="CS168" s="51"/>
      <c r="CT168" s="51"/>
      <c r="CU168" s="137"/>
    </row>
    <row r="169" spans="11:99" ht="18" customHeight="1" x14ac:dyDescent="0.3">
      <c r="K169" s="53" t="str">
        <f>IFERROR(MP_DATA[[#This Row],[Top '[m']]]-MP_DATA[[#This Row],[Bottom '[m']]], "")</f>
        <v/>
      </c>
      <c r="AV169" s="53" t="str">
        <f>IFERROR(TP_DATA[[#This Row],[Top '[m']]]-TP_DATA[[#This Row],[Bottom '[m']]], "")</f>
        <v/>
      </c>
      <c r="CB169" s="139">
        <v>58</v>
      </c>
      <c r="CC169" s="140">
        <v>60.900000000000006</v>
      </c>
      <c r="CD169" s="140">
        <v>60.59</v>
      </c>
      <c r="CE169" s="140">
        <v>7.1139999999999999</v>
      </c>
      <c r="CF169" s="140">
        <v>7.1189999999999998</v>
      </c>
      <c r="CG169" s="141">
        <v>33</v>
      </c>
      <c r="CH169" s="150">
        <f>IFERROR(TOWER_DATA[[#This Row],[Top '[m']]]-TOWER_DATA[[#This Row],[Bottom '[m']]], "")</f>
        <v>0.31000000000000227</v>
      </c>
      <c r="CM169" s="51"/>
      <c r="CN169" s="51"/>
      <c r="CO169" s="51"/>
      <c r="CP169" s="51"/>
      <c r="CQ169" s="51"/>
      <c r="CR169" s="51"/>
      <c r="CS169" s="51"/>
      <c r="CT169" s="51"/>
      <c r="CU169" s="137"/>
    </row>
    <row r="170" spans="11:99" ht="18" customHeight="1" x14ac:dyDescent="0.3">
      <c r="K170" s="53" t="str">
        <f>IFERROR(MP_DATA[[#This Row],[Top '[m']]]-MP_DATA[[#This Row],[Bottom '[m']]], "")</f>
        <v/>
      </c>
      <c r="AV170" s="53" t="str">
        <f>IFERROR(TP_DATA[[#This Row],[Top '[m']]]-TP_DATA[[#This Row],[Bottom '[m']]], "")</f>
        <v/>
      </c>
      <c r="CB170" s="139">
        <v>59</v>
      </c>
      <c r="CC170" s="140">
        <v>60.59</v>
      </c>
      <c r="CD170" s="140">
        <v>57.896000000000001</v>
      </c>
      <c r="CE170" s="140">
        <v>7.1189999999999998</v>
      </c>
      <c r="CF170" s="140">
        <v>7.1619999999999999</v>
      </c>
      <c r="CG170" s="141">
        <v>33</v>
      </c>
      <c r="CH170" s="150">
        <f>IFERROR(TOWER_DATA[[#This Row],[Top '[m']]]-TOWER_DATA[[#This Row],[Bottom '[m']]], "")</f>
        <v>2.6940000000000026</v>
      </c>
      <c r="CM170" s="51"/>
      <c r="CN170" s="51"/>
      <c r="CO170" s="51"/>
      <c r="CP170" s="51"/>
      <c r="CQ170" s="51"/>
      <c r="CR170" s="51"/>
      <c r="CS170" s="51"/>
      <c r="CT170" s="51"/>
      <c r="CU170" s="137"/>
    </row>
    <row r="171" spans="11:99" ht="18" customHeight="1" x14ac:dyDescent="0.3">
      <c r="K171" s="53" t="str">
        <f>IFERROR(MP_DATA[[#This Row],[Top '[m']]]-MP_DATA[[#This Row],[Bottom '[m']]], "")</f>
        <v/>
      </c>
      <c r="AV171" s="53" t="str">
        <f>IFERROR(TP_DATA[[#This Row],[Top '[m']]]-TP_DATA[[#This Row],[Bottom '[m']]], "")</f>
        <v/>
      </c>
      <c r="CB171" s="139">
        <v>60</v>
      </c>
      <c r="CC171" s="140">
        <v>57.896000000000001</v>
      </c>
      <c r="CD171" s="140">
        <v>57.872</v>
      </c>
      <c r="CE171" s="140">
        <v>7.1619999999999999</v>
      </c>
      <c r="CF171" s="140">
        <v>7.1630000000000003</v>
      </c>
      <c r="CG171" s="141">
        <v>33</v>
      </c>
      <c r="CH171" s="150">
        <f>IFERROR(TOWER_DATA[[#This Row],[Top '[m']]]-TOWER_DATA[[#This Row],[Bottom '[m']]], "")</f>
        <v>2.4000000000000909E-2</v>
      </c>
      <c r="CM171" s="51"/>
      <c r="CN171" s="51"/>
      <c r="CO171" s="51"/>
      <c r="CP171" s="51"/>
      <c r="CQ171" s="51"/>
      <c r="CR171" s="51"/>
      <c r="CS171" s="51"/>
      <c r="CT171" s="51"/>
      <c r="CU171" s="137"/>
    </row>
    <row r="172" spans="11:99" ht="18" customHeight="1" x14ac:dyDescent="0.3">
      <c r="K172" s="53" t="str">
        <f>IFERROR(MP_DATA[[#This Row],[Top '[m']]]-MP_DATA[[#This Row],[Bottom '[m']]], "")</f>
        <v/>
      </c>
      <c r="AV172" s="53" t="str">
        <f>IFERROR(TP_DATA[[#This Row],[Top '[m']]]-TP_DATA[[#This Row],[Bottom '[m']]], "")</f>
        <v/>
      </c>
      <c r="CB172" s="139">
        <v>61</v>
      </c>
      <c r="CC172" s="140">
        <v>57.872</v>
      </c>
      <c r="CD172" s="140">
        <v>55.153999999999996</v>
      </c>
      <c r="CE172" s="140">
        <v>7.1630000000000003</v>
      </c>
      <c r="CF172" s="140">
        <v>7.21</v>
      </c>
      <c r="CG172" s="141">
        <v>34</v>
      </c>
      <c r="CH172" s="150">
        <f>IFERROR(TOWER_DATA[[#This Row],[Top '[m']]]-TOWER_DATA[[#This Row],[Bottom '[m']]], "")</f>
        <v>2.7180000000000035</v>
      </c>
      <c r="CM172" s="51"/>
      <c r="CN172" s="51"/>
      <c r="CO172" s="51"/>
      <c r="CP172" s="51"/>
      <c r="CQ172" s="51"/>
      <c r="CR172" s="51"/>
      <c r="CS172" s="51"/>
      <c r="CT172" s="51"/>
      <c r="CU172" s="137"/>
    </row>
    <row r="173" spans="11:99" ht="18" customHeight="1" x14ac:dyDescent="0.3">
      <c r="K173" s="53" t="str">
        <f>IFERROR(MP_DATA[[#This Row],[Top '[m']]]-MP_DATA[[#This Row],[Bottom '[m']]], "")</f>
        <v/>
      </c>
      <c r="AV173" s="53" t="str">
        <f>IFERROR(TP_DATA[[#This Row],[Top '[m']]]-TP_DATA[[#This Row],[Bottom '[m']]], "")</f>
        <v/>
      </c>
      <c r="CB173" s="139">
        <v>62</v>
      </c>
      <c r="CC173" s="140">
        <v>55.153999999999996</v>
      </c>
      <c r="CD173" s="140">
        <v>53.786000000000001</v>
      </c>
      <c r="CE173" s="140">
        <v>7.21</v>
      </c>
      <c r="CF173" s="140">
        <v>7.2309999999999999</v>
      </c>
      <c r="CG173" s="141">
        <v>38.199999999999996</v>
      </c>
      <c r="CH173" s="150">
        <f>IFERROR(TOWER_DATA[[#This Row],[Top '[m']]]-TOWER_DATA[[#This Row],[Bottom '[m']]], "")</f>
        <v>1.367999999999995</v>
      </c>
      <c r="CM173" s="51"/>
      <c r="CN173" s="51"/>
      <c r="CO173" s="51"/>
      <c r="CP173" s="51"/>
      <c r="CQ173" s="51"/>
      <c r="CR173" s="51"/>
      <c r="CS173" s="51"/>
      <c r="CT173" s="51"/>
      <c r="CU173" s="137"/>
    </row>
    <row r="174" spans="11:99" ht="18" customHeight="1" x14ac:dyDescent="0.3">
      <c r="K174" s="53" t="str">
        <f>IFERROR(MP_DATA[[#This Row],[Top '[m']]]-MP_DATA[[#This Row],[Bottom '[m']]], "")</f>
        <v/>
      </c>
      <c r="AV174" s="53" t="str">
        <f>IFERROR(TP_DATA[[#This Row],[Top '[m']]]-TP_DATA[[#This Row],[Bottom '[m']]], "")</f>
        <v/>
      </c>
      <c r="CB174" s="139">
        <v>63</v>
      </c>
      <c r="CC174" s="140">
        <v>53.786000000000001</v>
      </c>
      <c r="CD174" s="140">
        <v>52.436000000000007</v>
      </c>
      <c r="CE174" s="140">
        <v>7.2309999999999999</v>
      </c>
      <c r="CF174" s="140">
        <v>7.2519999999999998</v>
      </c>
      <c r="CG174" s="141">
        <v>38.199999999999996</v>
      </c>
      <c r="CH174" s="150">
        <f>IFERROR(TOWER_DATA[[#This Row],[Top '[m']]]-TOWER_DATA[[#This Row],[Bottom '[m']]], "")</f>
        <v>1.3499999999999943</v>
      </c>
      <c r="CM174" s="51"/>
      <c r="CN174" s="51"/>
      <c r="CO174" s="51"/>
      <c r="CP174" s="51"/>
      <c r="CQ174" s="51"/>
      <c r="CR174" s="51"/>
      <c r="CS174" s="51"/>
      <c r="CT174" s="51"/>
      <c r="CU174" s="137"/>
    </row>
    <row r="175" spans="11:99" ht="18" customHeight="1" x14ac:dyDescent="0.3">
      <c r="K175" s="53" t="str">
        <f>IFERROR(MP_DATA[[#This Row],[Top '[m']]]-MP_DATA[[#This Row],[Bottom '[m']]], "")</f>
        <v/>
      </c>
      <c r="AV175" s="53" t="str">
        <f>IFERROR(TP_DATA[[#This Row],[Top '[m']]]-TP_DATA[[#This Row],[Bottom '[m']]], "")</f>
        <v/>
      </c>
      <c r="CB175" s="139">
        <v>64</v>
      </c>
      <c r="CC175" s="140">
        <v>52.436000000000007</v>
      </c>
      <c r="CD175" s="140">
        <v>50.900000000000006</v>
      </c>
      <c r="CE175" s="140">
        <v>7.2519999999999998</v>
      </c>
      <c r="CF175" s="140">
        <v>7.2770000000000001</v>
      </c>
      <c r="CG175" s="141">
        <v>38.199999999999996</v>
      </c>
      <c r="CH175" s="150">
        <f>IFERROR(TOWER_DATA[[#This Row],[Top '[m']]]-TOWER_DATA[[#This Row],[Bottom '[m']]], "")</f>
        <v>1.5360000000000014</v>
      </c>
      <c r="CM175" s="51"/>
      <c r="CN175" s="51"/>
      <c r="CO175" s="51"/>
      <c r="CP175" s="51"/>
      <c r="CQ175" s="51"/>
      <c r="CR175" s="51"/>
      <c r="CS175" s="51"/>
      <c r="CT175" s="51"/>
      <c r="CU175" s="137"/>
    </row>
    <row r="176" spans="11:99" ht="18" customHeight="1" x14ac:dyDescent="0.3">
      <c r="K176" s="53" t="str">
        <f>IFERROR(MP_DATA[[#This Row],[Top '[m']]]-MP_DATA[[#This Row],[Bottom '[m']]], "")</f>
        <v/>
      </c>
      <c r="AV176" s="53" t="str">
        <f>IFERROR(TP_DATA[[#This Row],[Top '[m']]]-TP_DATA[[#This Row],[Bottom '[m']]], "")</f>
        <v/>
      </c>
      <c r="CB176" s="139">
        <v>65</v>
      </c>
      <c r="CC176" s="140">
        <v>50.900000000000006</v>
      </c>
      <c r="CD176" s="140">
        <v>49.718000000000004</v>
      </c>
      <c r="CE176" s="140">
        <v>7.2770000000000001</v>
      </c>
      <c r="CF176" s="140">
        <v>7.2919999999999998</v>
      </c>
      <c r="CG176" s="141">
        <v>38.199999999999996</v>
      </c>
      <c r="CH176" s="150">
        <f>IFERROR(TOWER_DATA[[#This Row],[Top '[m']]]-TOWER_DATA[[#This Row],[Bottom '[m']]], "")</f>
        <v>1.1820000000000022</v>
      </c>
    </row>
    <row r="177" spans="11:86" ht="18" customHeight="1" x14ac:dyDescent="0.3">
      <c r="K177" s="53" t="str">
        <f>IFERROR(MP_DATA[[#This Row],[Top '[m']]]-MP_DATA[[#This Row],[Bottom '[m']]], "")</f>
        <v/>
      </c>
      <c r="AV177" s="53" t="str">
        <f>IFERROR(TP_DATA[[#This Row],[Top '[m']]]-TP_DATA[[#This Row],[Bottom '[m']]], "")</f>
        <v/>
      </c>
      <c r="CB177" s="139">
        <v>66</v>
      </c>
      <c r="CC177" s="140">
        <v>49.718000000000004</v>
      </c>
      <c r="CD177" s="140">
        <v>49.674999999999997</v>
      </c>
      <c r="CE177" s="140">
        <v>7.2919999999999998</v>
      </c>
      <c r="CF177" s="140">
        <v>7.2919999999999998</v>
      </c>
      <c r="CG177" s="141">
        <v>34.5</v>
      </c>
      <c r="CH177" s="150">
        <f>IFERROR(TOWER_DATA[[#This Row],[Top '[m']]]-TOWER_DATA[[#This Row],[Bottom '[m']]], "")</f>
        <v>4.3000000000006366E-2</v>
      </c>
    </row>
    <row r="178" spans="11:86" ht="18" customHeight="1" x14ac:dyDescent="0.3">
      <c r="K178" s="53" t="str">
        <f>IFERROR(MP_DATA[[#This Row],[Top '[m']]]-MP_DATA[[#This Row],[Bottom '[m']]], "")</f>
        <v/>
      </c>
      <c r="AV178" s="53" t="str">
        <f>IFERROR(TP_DATA[[#This Row],[Top '[m']]]-TP_DATA[[#This Row],[Bottom '[m']]], "")</f>
        <v/>
      </c>
      <c r="CB178" s="139">
        <v>67</v>
      </c>
      <c r="CC178" s="140">
        <v>49.674999999999997</v>
      </c>
      <c r="CD178" s="140">
        <v>47</v>
      </c>
      <c r="CE178" s="140">
        <v>7.2919999999999998</v>
      </c>
      <c r="CF178" s="140">
        <v>7.335</v>
      </c>
      <c r="CG178" s="141">
        <v>34.5</v>
      </c>
      <c r="CH178" s="150">
        <f>IFERROR(TOWER_DATA[[#This Row],[Top '[m']]]-TOWER_DATA[[#This Row],[Bottom '[m']]], "")</f>
        <v>2.6749999999999972</v>
      </c>
    </row>
    <row r="179" spans="11:86" ht="18" customHeight="1" x14ac:dyDescent="0.3">
      <c r="K179" s="53" t="str">
        <f>IFERROR(MP_DATA[[#This Row],[Top '[m']]]-MP_DATA[[#This Row],[Bottom '[m']]], "")</f>
        <v/>
      </c>
      <c r="AV179" s="53" t="str">
        <f>IFERROR(TP_DATA[[#This Row],[Top '[m']]]-TP_DATA[[#This Row],[Bottom '[m']]], "")</f>
        <v/>
      </c>
      <c r="CB179" s="139">
        <v>68</v>
      </c>
      <c r="CC179" s="140">
        <v>47</v>
      </c>
      <c r="CD179" s="140">
        <v>45.564000000000007</v>
      </c>
      <c r="CE179" s="140">
        <v>7.335</v>
      </c>
      <c r="CF179" s="140">
        <v>7.3579999999999997</v>
      </c>
      <c r="CG179" s="141">
        <v>35</v>
      </c>
      <c r="CH179" s="150">
        <f>IFERROR(TOWER_DATA[[#This Row],[Top '[m']]]-TOWER_DATA[[#This Row],[Bottom '[m']]], "")</f>
        <v>1.4359999999999928</v>
      </c>
    </row>
    <row r="180" spans="11:86" ht="18" customHeight="1" x14ac:dyDescent="0.3">
      <c r="K180" s="53" t="str">
        <f>IFERROR(MP_DATA[[#This Row],[Top '[m']]]-MP_DATA[[#This Row],[Bottom '[m']]], "")</f>
        <v/>
      </c>
      <c r="AV180" s="53" t="str">
        <f>IFERROR(TP_DATA[[#This Row],[Top '[m']]]-TP_DATA[[#This Row],[Bottom '[m']]], "")</f>
        <v/>
      </c>
      <c r="CB180" s="139">
        <v>69</v>
      </c>
      <c r="CC180" s="140">
        <v>45.564000000000007</v>
      </c>
      <c r="CD180" s="140">
        <v>44.282000000000004</v>
      </c>
      <c r="CE180" s="140">
        <v>7.3579999999999997</v>
      </c>
      <c r="CF180" s="140">
        <v>7.3789999999999996</v>
      </c>
      <c r="CG180" s="141">
        <v>35</v>
      </c>
      <c r="CH180" s="150">
        <f>IFERROR(TOWER_DATA[[#This Row],[Top '[m']]]-TOWER_DATA[[#This Row],[Bottom '[m']]], "")</f>
        <v>1.2820000000000036</v>
      </c>
    </row>
    <row r="181" spans="11:86" ht="18" customHeight="1" x14ac:dyDescent="0.3">
      <c r="K181" s="53" t="str">
        <f>IFERROR(MP_DATA[[#This Row],[Top '[m']]]-MP_DATA[[#This Row],[Bottom '[m']]], "")</f>
        <v/>
      </c>
      <c r="AV181" s="53" t="str">
        <f>IFERROR(TP_DATA[[#This Row],[Top '[m']]]-TP_DATA[[#This Row],[Bottom '[m']]], "")</f>
        <v/>
      </c>
      <c r="CB181" s="139">
        <v>70</v>
      </c>
      <c r="CC181" s="140">
        <v>44.282000000000004</v>
      </c>
      <c r="CD181" s="140">
        <v>41.561000000000007</v>
      </c>
      <c r="CE181" s="140">
        <v>7.3789999999999996</v>
      </c>
      <c r="CF181" s="140">
        <v>7.4249999999999998</v>
      </c>
      <c r="CG181" s="141">
        <v>35.799999999999997</v>
      </c>
      <c r="CH181" s="150">
        <f>IFERROR(TOWER_DATA[[#This Row],[Top '[m']]]-TOWER_DATA[[#This Row],[Bottom '[m']]], "")</f>
        <v>2.7209999999999965</v>
      </c>
    </row>
    <row r="182" spans="11:86" ht="18" customHeight="1" x14ac:dyDescent="0.3">
      <c r="K182" s="53" t="str">
        <f>IFERROR(MP_DATA[[#This Row],[Top '[m']]]-MP_DATA[[#This Row],[Bottom '[m']]], "")</f>
        <v/>
      </c>
      <c r="AV182" s="53" t="str">
        <f>IFERROR(TP_DATA[[#This Row],[Top '[m']]]-TP_DATA[[#This Row],[Bottom '[m']]], "")</f>
        <v/>
      </c>
      <c r="CB182" s="139">
        <v>71</v>
      </c>
      <c r="CC182" s="140">
        <v>41.561000000000007</v>
      </c>
      <c r="CD182" s="140">
        <v>40.900000000000006</v>
      </c>
      <c r="CE182" s="140">
        <v>7.4249999999999998</v>
      </c>
      <c r="CF182" s="140">
        <v>7.4349999999999996</v>
      </c>
      <c r="CG182" s="141">
        <v>39</v>
      </c>
      <c r="CH182" s="150">
        <f>IFERROR(TOWER_DATA[[#This Row],[Top '[m']]]-TOWER_DATA[[#This Row],[Bottom '[m']]], "")</f>
        <v>0.66100000000000136</v>
      </c>
    </row>
    <row r="183" spans="11:86" ht="18" customHeight="1" x14ac:dyDescent="0.3">
      <c r="K183" s="53" t="str">
        <f>IFERROR(MP_DATA[[#This Row],[Top '[m']]]-MP_DATA[[#This Row],[Bottom '[m']]], "")</f>
        <v/>
      </c>
      <c r="AV183" s="53" t="str">
        <f>IFERROR(TP_DATA[[#This Row],[Top '[m']]]-TP_DATA[[#This Row],[Bottom '[m']]], "")</f>
        <v/>
      </c>
      <c r="CB183" s="139">
        <v>72</v>
      </c>
      <c r="CC183" s="140">
        <v>40.900000000000006</v>
      </c>
      <c r="CD183" s="140">
        <v>38.775000000000006</v>
      </c>
      <c r="CE183" s="140">
        <v>7.4349999999999996</v>
      </c>
      <c r="CF183" s="140">
        <v>7.476</v>
      </c>
      <c r="CG183" s="141">
        <v>39</v>
      </c>
      <c r="CH183" s="150">
        <f>IFERROR(TOWER_DATA[[#This Row],[Top '[m']]]-TOWER_DATA[[#This Row],[Bottom '[m']]], "")</f>
        <v>2.125</v>
      </c>
    </row>
    <row r="184" spans="11:86" ht="18" customHeight="1" x14ac:dyDescent="0.3">
      <c r="K184" s="53" t="str">
        <f>IFERROR(MP_DATA[[#This Row],[Top '[m']]]-MP_DATA[[#This Row],[Bottom '[m']]], "")</f>
        <v/>
      </c>
      <c r="AV184" s="53" t="str">
        <f>IFERROR(TP_DATA[[#This Row],[Top '[m']]]-TP_DATA[[#This Row],[Bottom '[m']]], "")</f>
        <v/>
      </c>
      <c r="CB184" s="139">
        <v>73</v>
      </c>
      <c r="CC184" s="140">
        <v>38.775000000000006</v>
      </c>
      <c r="CD184" s="140">
        <v>38.725000000000001</v>
      </c>
      <c r="CE184" s="140">
        <v>7.476</v>
      </c>
      <c r="CF184" s="140">
        <v>7.476</v>
      </c>
      <c r="CG184" s="141">
        <v>46</v>
      </c>
      <c r="CH184" s="150">
        <f>IFERROR(TOWER_DATA[[#This Row],[Top '[m']]]-TOWER_DATA[[#This Row],[Bottom '[m']]], "")</f>
        <v>5.0000000000004263E-2</v>
      </c>
    </row>
    <row r="185" spans="11:86" ht="18" customHeight="1" x14ac:dyDescent="0.3">
      <c r="K185" s="53" t="str">
        <f>IFERROR(MP_DATA[[#This Row],[Top '[m']]]-MP_DATA[[#This Row],[Bottom '[m']]], "")</f>
        <v/>
      </c>
      <c r="AV185" s="53" t="str">
        <f>IFERROR(TP_DATA[[#This Row],[Top '[m']]]-TP_DATA[[#This Row],[Bottom '[m']]], "")</f>
        <v/>
      </c>
      <c r="CB185" s="139">
        <v>74</v>
      </c>
      <c r="CC185" s="140">
        <v>38.725000000000001</v>
      </c>
      <c r="CD185" s="140">
        <v>38.540000000000006</v>
      </c>
      <c r="CE185" s="140">
        <v>7.476</v>
      </c>
      <c r="CF185" s="140">
        <v>7.476</v>
      </c>
      <c r="CG185" s="141">
        <v>46</v>
      </c>
      <c r="CH185" s="150">
        <f>IFERROR(TOWER_DATA[[#This Row],[Top '[m']]]-TOWER_DATA[[#This Row],[Bottom '[m']]], "")</f>
        <v>0.18499999999999517</v>
      </c>
    </row>
    <row r="186" spans="11:86" ht="18" customHeight="1" x14ac:dyDescent="0.3">
      <c r="K186" s="53" t="str">
        <f>IFERROR(MP_DATA[[#This Row],[Top '[m']]]-MP_DATA[[#This Row],[Bottom '[m']]], "")</f>
        <v/>
      </c>
      <c r="AV186" s="53" t="str">
        <f>IFERROR(TP_DATA[[#This Row],[Top '[m']]]-TP_DATA[[#This Row],[Bottom '[m']]], "")</f>
        <v/>
      </c>
      <c r="CB186" s="139">
        <v>75</v>
      </c>
      <c r="CC186" s="140">
        <v>38.540000000000006</v>
      </c>
      <c r="CD186" s="140">
        <v>38.355000000000004</v>
      </c>
      <c r="CE186" s="140">
        <v>7.476</v>
      </c>
      <c r="CF186" s="140">
        <v>7.476</v>
      </c>
      <c r="CG186" s="141">
        <v>46</v>
      </c>
      <c r="CH186" s="150">
        <f>IFERROR(TOWER_DATA[[#This Row],[Top '[m']]]-TOWER_DATA[[#This Row],[Bottom '[m']]], "")</f>
        <v>0.18500000000000227</v>
      </c>
    </row>
    <row r="187" spans="11:86" ht="18" customHeight="1" x14ac:dyDescent="0.3">
      <c r="K187" s="53" t="str">
        <f>IFERROR(MP_DATA[[#This Row],[Top '[m']]]-MP_DATA[[#This Row],[Bottom '[m']]], "")</f>
        <v/>
      </c>
      <c r="AV187" s="53" t="str">
        <f>IFERROR(TP_DATA[[#This Row],[Top '[m']]]-TP_DATA[[#This Row],[Bottom '[m']]], "")</f>
        <v/>
      </c>
      <c r="CB187" s="139">
        <v>76</v>
      </c>
      <c r="CC187" s="140">
        <v>38.355000000000004</v>
      </c>
      <c r="CD187" s="140">
        <v>38.305000000000007</v>
      </c>
      <c r="CE187" s="140">
        <v>7.476</v>
      </c>
      <c r="CF187" s="140">
        <v>7.4740000000000002</v>
      </c>
      <c r="CG187" s="141">
        <v>46</v>
      </c>
      <c r="CH187" s="150">
        <f>IFERROR(TOWER_DATA[[#This Row],[Top '[m']]]-TOWER_DATA[[#This Row],[Bottom '[m']]], "")</f>
        <v>4.9999999999997158E-2</v>
      </c>
    </row>
    <row r="188" spans="11:86" ht="18" customHeight="1" x14ac:dyDescent="0.3">
      <c r="K188" s="53" t="str">
        <f>IFERROR(MP_DATA[[#This Row],[Top '[m']]]-MP_DATA[[#This Row],[Bottom '[m']]], "")</f>
        <v/>
      </c>
      <c r="AV188" s="53" t="str">
        <f>IFERROR(TP_DATA[[#This Row],[Top '[m']]]-TP_DATA[[#This Row],[Bottom '[m']]], "")</f>
        <v/>
      </c>
      <c r="CB188" s="139">
        <v>77</v>
      </c>
      <c r="CC188" s="140">
        <v>38.305000000000007</v>
      </c>
      <c r="CD188" s="140">
        <v>37.343000000000004</v>
      </c>
      <c r="CE188" s="140">
        <v>7.4740000000000002</v>
      </c>
      <c r="CF188" s="140">
        <v>7.4740000000000002</v>
      </c>
      <c r="CG188" s="141">
        <v>44.1</v>
      </c>
      <c r="CH188" s="150">
        <f>IFERROR(TOWER_DATA[[#This Row],[Top '[m']]]-TOWER_DATA[[#This Row],[Bottom '[m']]], "")</f>
        <v>0.9620000000000033</v>
      </c>
    </row>
    <row r="189" spans="11:86" ht="18" customHeight="1" x14ac:dyDescent="0.3">
      <c r="K189" s="53" t="str">
        <f>IFERROR(MP_DATA[[#This Row],[Top '[m']]]-MP_DATA[[#This Row],[Bottom '[m']]], "")</f>
        <v/>
      </c>
      <c r="AV189" s="53" t="str">
        <f>IFERROR(TP_DATA[[#This Row],[Top '[m']]]-TP_DATA[[#This Row],[Bottom '[m']]], "")</f>
        <v/>
      </c>
      <c r="CB189" s="139">
        <v>78</v>
      </c>
      <c r="CC189" s="140">
        <v>37.343000000000004</v>
      </c>
      <c r="CD189" s="140">
        <v>35.43</v>
      </c>
      <c r="CE189" s="140">
        <v>7.4740000000000002</v>
      </c>
      <c r="CF189" s="140">
        <v>7.476</v>
      </c>
      <c r="CG189" s="141">
        <v>44.1</v>
      </c>
      <c r="CH189" s="150">
        <f>IFERROR(TOWER_DATA[[#This Row],[Top '[m']]]-TOWER_DATA[[#This Row],[Bottom '[m']]], "")</f>
        <v>1.9130000000000038</v>
      </c>
    </row>
    <row r="190" spans="11:86" ht="18" customHeight="1" x14ac:dyDescent="0.3">
      <c r="K190" s="53" t="str">
        <f>IFERROR(MP_DATA[[#This Row],[Top '[m']]]-MP_DATA[[#This Row],[Bottom '[m']]], "")</f>
        <v/>
      </c>
      <c r="AV190" s="53" t="str">
        <f>IFERROR(TP_DATA[[#This Row],[Top '[m']]]-TP_DATA[[#This Row],[Bottom '[m']]], "")</f>
        <v/>
      </c>
      <c r="CB190" s="139">
        <v>79</v>
      </c>
      <c r="CC190" s="140">
        <v>35.43</v>
      </c>
      <c r="CD190" s="140">
        <v>33.231999999999999</v>
      </c>
      <c r="CE190" s="140">
        <v>7.476</v>
      </c>
      <c r="CF190" s="140">
        <v>7.476</v>
      </c>
      <c r="CG190" s="141">
        <v>45.6</v>
      </c>
      <c r="CH190" s="150">
        <f>IFERROR(TOWER_DATA[[#This Row],[Top '[m']]]-TOWER_DATA[[#This Row],[Bottom '[m']]], "")</f>
        <v>2.1980000000000004</v>
      </c>
    </row>
    <row r="191" spans="11:86" ht="18" customHeight="1" x14ac:dyDescent="0.3">
      <c r="K191" s="53" t="str">
        <f>IFERROR(MP_DATA[[#This Row],[Top '[m']]]-MP_DATA[[#This Row],[Bottom '[m']]], "")</f>
        <v/>
      </c>
      <c r="AV191" s="53" t="str">
        <f>IFERROR(TP_DATA[[#This Row],[Top '[m']]]-TP_DATA[[#This Row],[Bottom '[m']]], "")</f>
        <v/>
      </c>
      <c r="CB191" s="139">
        <v>80</v>
      </c>
      <c r="CC191" s="140">
        <v>33.231999999999999</v>
      </c>
      <c r="CD191" s="140">
        <v>32.5</v>
      </c>
      <c r="CE191" s="140">
        <v>7.476</v>
      </c>
      <c r="CF191" s="140">
        <v>7.4770000000000003</v>
      </c>
      <c r="CG191" s="141">
        <v>45.6</v>
      </c>
      <c r="CH191" s="150">
        <f>IFERROR(TOWER_DATA[[#This Row],[Top '[m']]]-TOWER_DATA[[#This Row],[Bottom '[m']]], "")</f>
        <v>0.73199999999999932</v>
      </c>
    </row>
    <row r="192" spans="11:86" ht="18" customHeight="1" x14ac:dyDescent="0.3">
      <c r="K192" s="53" t="str">
        <f>IFERROR(MP_DATA[[#This Row],[Top '[m']]]-MP_DATA[[#This Row],[Bottom '[m']]], "")</f>
        <v/>
      </c>
      <c r="AV192" s="53"/>
      <c r="CB192" s="139">
        <v>81</v>
      </c>
      <c r="CC192" s="140">
        <v>32.5</v>
      </c>
      <c r="CD192" s="140">
        <v>30.9</v>
      </c>
      <c r="CE192" s="140">
        <v>7.4770000000000003</v>
      </c>
      <c r="CF192" s="140">
        <v>7.4770000000000003</v>
      </c>
      <c r="CG192" s="141">
        <v>47.1</v>
      </c>
      <c r="CH192" s="150">
        <f>IFERROR(TOWER_DATA[[#This Row],[Top '[m']]]-TOWER_DATA[[#This Row],[Bottom '[m']]], "")</f>
        <v>1.6000000000000014</v>
      </c>
    </row>
    <row r="193" spans="11:86" ht="18" customHeight="1" x14ac:dyDescent="0.3">
      <c r="K193" s="53" t="str">
        <f>IFERROR(MP_DATA[[#This Row],[Top '[m']]]-MP_DATA[[#This Row],[Bottom '[m']]], "")</f>
        <v/>
      </c>
      <c r="CB193" s="139">
        <v>82</v>
      </c>
      <c r="CC193" s="140">
        <v>30.9</v>
      </c>
      <c r="CD193" s="140">
        <v>29.569999999999997</v>
      </c>
      <c r="CE193" s="140">
        <v>7.4770000000000003</v>
      </c>
      <c r="CF193" s="140">
        <v>7.4790000000000001</v>
      </c>
      <c r="CG193" s="141">
        <v>47.1</v>
      </c>
      <c r="CH193" s="150">
        <f>IFERROR(TOWER_DATA[[#This Row],[Top '[m']]]-TOWER_DATA[[#This Row],[Bottom '[m']]], "")</f>
        <v>1.3300000000000018</v>
      </c>
    </row>
    <row r="194" spans="11:86" ht="18" customHeight="1" x14ac:dyDescent="0.3">
      <c r="K194" s="53" t="str">
        <f>IFERROR(MP_DATA[[#This Row],[Top '[m']]]-MP_DATA[[#This Row],[Bottom '[m']]], "")</f>
        <v/>
      </c>
      <c r="CB194" s="139">
        <v>83</v>
      </c>
      <c r="CC194" s="140">
        <v>29.569999999999997</v>
      </c>
      <c r="CD194" s="140">
        <v>29.120999999999999</v>
      </c>
      <c r="CE194" s="140">
        <v>7.4790000000000001</v>
      </c>
      <c r="CF194" s="140">
        <v>7.4790000000000001</v>
      </c>
      <c r="CG194" s="141">
        <v>49</v>
      </c>
      <c r="CH194" s="150">
        <f>IFERROR(TOWER_DATA[[#This Row],[Top '[m']]]-TOWER_DATA[[#This Row],[Bottom '[m']]], "")</f>
        <v>0.44899999999999807</v>
      </c>
    </row>
    <row r="195" spans="11:86" ht="18" customHeight="1" x14ac:dyDescent="0.3">
      <c r="K195" s="53" t="str">
        <f>IFERROR(MP_DATA[[#This Row],[Top '[m']]]-MP_DATA[[#This Row],[Bottom '[m']]], "")</f>
        <v/>
      </c>
      <c r="CB195" s="139">
        <v>84</v>
      </c>
      <c r="CC195" s="140">
        <v>29.120999999999999</v>
      </c>
      <c r="CD195" s="140">
        <v>26.639999999999997</v>
      </c>
      <c r="CE195" s="140">
        <v>7.4790000000000001</v>
      </c>
      <c r="CF195" s="140">
        <v>7.5</v>
      </c>
      <c r="CG195" s="141">
        <v>49</v>
      </c>
      <c r="CH195" s="150">
        <f>IFERROR(TOWER_DATA[[#This Row],[Top '[m']]]-TOWER_DATA[[#This Row],[Bottom '[m']]], "")</f>
        <v>2.4810000000000016</v>
      </c>
    </row>
    <row r="196" spans="11:86" ht="18" customHeight="1" x14ac:dyDescent="0.3">
      <c r="K196" s="53" t="str">
        <f>IFERROR(MP_DATA[[#This Row],[Top '[m']]]-MP_DATA[[#This Row],[Bottom '[m']]], "")</f>
        <v/>
      </c>
      <c r="CB196" s="139">
        <v>85</v>
      </c>
      <c r="CC196" s="140">
        <v>26.639999999999997</v>
      </c>
      <c r="CD196" s="140">
        <v>25.05</v>
      </c>
      <c r="CE196" s="140">
        <v>7.5</v>
      </c>
      <c r="CF196" s="140">
        <v>7.5</v>
      </c>
      <c r="CG196" s="141">
        <v>70</v>
      </c>
      <c r="CH196" s="150">
        <f>IFERROR(TOWER_DATA[[#This Row],[Top '[m']]]-TOWER_DATA[[#This Row],[Bottom '[m']]], "")</f>
        <v>1.5899999999999963</v>
      </c>
    </row>
    <row r="197" spans="11:86" ht="18" customHeight="1" x14ac:dyDescent="0.3">
      <c r="K197" s="53" t="str">
        <f>IFERROR(MP_DATA[[#This Row],[Top '[m']]]-MP_DATA[[#This Row],[Bottom '[m']]], "")</f>
        <v/>
      </c>
      <c r="CB197" s="139">
        <v>86</v>
      </c>
      <c r="CC197" s="140">
        <v>25.05</v>
      </c>
      <c r="CD197" s="140">
        <v>25.010999999999999</v>
      </c>
      <c r="CE197" s="140">
        <v>7.5</v>
      </c>
      <c r="CF197" s="140">
        <v>7.5</v>
      </c>
      <c r="CG197" s="141">
        <v>70</v>
      </c>
      <c r="CH197" s="150">
        <f>IFERROR(TOWER_DATA[[#This Row],[Top '[m']]]-TOWER_DATA[[#This Row],[Bottom '[m']]], "")</f>
        <v>3.9000000000001478E-2</v>
      </c>
    </row>
    <row r="198" spans="11:86" ht="18" customHeight="1" x14ac:dyDescent="0.3">
      <c r="K198" s="53"/>
      <c r="CB198" s="139">
        <v>87</v>
      </c>
      <c r="CC198" s="140">
        <v>25.010999999999999</v>
      </c>
      <c r="CD198" s="140">
        <v>22.119999999999997</v>
      </c>
      <c r="CE198" s="140">
        <v>7.5</v>
      </c>
      <c r="CF198" s="140">
        <v>7.5</v>
      </c>
      <c r="CG198" s="141">
        <v>70</v>
      </c>
      <c r="CH198" s="150">
        <f>IFERROR(TOWER_DATA[[#This Row],[Top '[m']]]-TOWER_DATA[[#This Row],[Bottom '[m']]], "")</f>
        <v>2.8910000000000018</v>
      </c>
    </row>
    <row r="199" spans="11:86" ht="18" customHeight="1" x14ac:dyDescent="0.3">
      <c r="CB199" s="139">
        <v>88</v>
      </c>
      <c r="CC199" s="140">
        <v>22.119999999999997</v>
      </c>
      <c r="CD199" s="140">
        <v>21.139999999999997</v>
      </c>
      <c r="CE199" s="140">
        <v>7.5</v>
      </c>
      <c r="CF199" s="140">
        <v>7.5</v>
      </c>
      <c r="CG199" s="141">
        <v>70</v>
      </c>
      <c r="CH199" s="150">
        <f>IFERROR(TOWER_DATA[[#This Row],[Top '[m']]]-TOWER_DATA[[#This Row],[Bottom '[m']]], "")</f>
        <v>0.98000000000000043</v>
      </c>
    </row>
    <row r="200" spans="11:86" ht="18" customHeight="1" x14ac:dyDescent="0.3">
      <c r="CB200" s="139">
        <v>89</v>
      </c>
      <c r="CC200" s="140">
        <v>21.139999999999997</v>
      </c>
      <c r="CD200" s="140">
        <v>21.08</v>
      </c>
      <c r="CE200" s="140">
        <v>7.5</v>
      </c>
      <c r="CF200" s="140">
        <v>7.5</v>
      </c>
      <c r="CG200" s="141">
        <v>70</v>
      </c>
      <c r="CH200" s="150">
        <f>IFERROR(TOWER_DATA[[#This Row],[Top '[m']]]-TOWER_DATA[[#This Row],[Bottom '[m']]], "")</f>
        <v>5.9999999999998721E-2</v>
      </c>
    </row>
    <row r="201" spans="11:86" ht="18" customHeight="1" x14ac:dyDescent="0.3">
      <c r="CB201" s="139">
        <v>90</v>
      </c>
      <c r="CC201" s="140">
        <v>21.08</v>
      </c>
      <c r="CD201" s="140">
        <v>20.9</v>
      </c>
      <c r="CE201" s="140">
        <v>7.5</v>
      </c>
      <c r="CF201" s="140">
        <v>7.5</v>
      </c>
      <c r="CG201" s="141">
        <v>70</v>
      </c>
      <c r="CH201" s="150">
        <f>IFERROR(TOWER_DATA[[#This Row],[Top '[m']]]-TOWER_DATA[[#This Row],[Bottom '[m']]], "")</f>
        <v>0.17999999999999972</v>
      </c>
    </row>
    <row r="202" spans="11:86" ht="18" customHeight="1" x14ac:dyDescent="0.3">
      <c r="CH202" s="150" t="str">
        <f>IFERROR(TOWER_DATA[[#This Row],[Top '[m']]]-TOWER_DATA[[#This Row],[Bottom '[m']]], "")</f>
        <v/>
      </c>
    </row>
    <row r="203" spans="11:86" ht="18" customHeight="1" x14ac:dyDescent="0.3">
      <c r="CH203" s="150" t="str">
        <f>IFERROR(TOWER_DATA[[#This Row],[Top '[m']]]-TOWER_DATA[[#This Row],[Bottom '[m']]], "")</f>
        <v/>
      </c>
    </row>
    <row r="204" spans="11:86" ht="18" customHeight="1" x14ac:dyDescent="0.3">
      <c r="CH204" s="150" t="str">
        <f>IFERROR(TOWER_DATA[[#This Row],[Top '[m']]]-TOWER_DATA[[#This Row],[Bottom '[m']]], "")</f>
        <v/>
      </c>
    </row>
    <row r="205" spans="11:86" ht="18" customHeight="1" x14ac:dyDescent="0.3">
      <c r="CH205" s="150" t="str">
        <f>IFERROR(TOWER_DATA[[#This Row],[Top '[m']]]-TOWER_DATA[[#This Row],[Bottom '[m']]], "")</f>
        <v/>
      </c>
    </row>
    <row r="206" spans="11:86" ht="18" customHeight="1" x14ac:dyDescent="0.3">
      <c r="CH206" s="150" t="str">
        <f>IFERROR(TOWER_DATA[[#This Row],[Top '[m']]]-TOWER_DATA[[#This Row],[Bottom '[m']]], "")</f>
        <v/>
      </c>
    </row>
    <row r="207" spans="11:86" ht="18" customHeight="1" x14ac:dyDescent="0.3">
      <c r="CH207" s="150" t="str">
        <f>IFERROR(TOWER_DATA[[#This Row],[Top '[m']]]-TOWER_DATA[[#This Row],[Bottom '[m']]], "")</f>
        <v/>
      </c>
    </row>
    <row r="208" spans="11:86" ht="18" customHeight="1" x14ac:dyDescent="0.3">
      <c r="CH208" s="150" t="str">
        <f>IFERROR(TOWER_DATA[[#This Row],[Top '[m']]]-TOWER_DATA[[#This Row],[Bottom '[m']]], "")</f>
        <v/>
      </c>
    </row>
    <row r="209" spans="86:86" ht="18" customHeight="1" x14ac:dyDescent="0.3">
      <c r="CH209" s="150" t="str">
        <f>IFERROR(TOWER_DATA[[#This Row],[Top '[m']]]-TOWER_DATA[[#This Row],[Bottom '[m']]], "")</f>
        <v/>
      </c>
    </row>
    <row r="210" spans="86:86" ht="18" customHeight="1" x14ac:dyDescent="0.3">
      <c r="CH210" s="150" t="str">
        <f>IFERROR(TOWER_DATA[[#This Row],[Top '[m']]]-TOWER_DATA[[#This Row],[Bottom '[m']]], "")</f>
        <v/>
      </c>
    </row>
    <row r="211" spans="86:86" ht="18" customHeight="1" x14ac:dyDescent="0.3">
      <c r="CH211" s="150" t="str">
        <f>IFERROR(TOWER_DATA[[#This Row],[Top '[m']]]-TOWER_DATA[[#This Row],[Bottom '[m']]], "")</f>
        <v/>
      </c>
    </row>
    <row r="212" spans="86:86" ht="18" customHeight="1" x14ac:dyDescent="0.3">
      <c r="CH212" s="150" t="str">
        <f>IFERROR(TOWER_DATA[[#This Row],[Top '[m']]]-TOWER_DATA[[#This Row],[Bottom '[m']]], "")</f>
        <v/>
      </c>
    </row>
    <row r="213" spans="86:86" ht="18" customHeight="1" x14ac:dyDescent="0.3">
      <c r="CH213" s="150" t="str">
        <f>IFERROR(TOWER_DATA[[#This Row],[Top '[m']]]-TOWER_DATA[[#This Row],[Bottom '[m']]], "")</f>
        <v/>
      </c>
    </row>
    <row r="214" spans="86:86" ht="18" customHeight="1" x14ac:dyDescent="0.3">
      <c r="CH214" s="150" t="str">
        <f>IFERROR(TOWER_DATA[[#This Row],[Top '[m']]]-TOWER_DATA[[#This Row],[Bottom '[m']]], "")</f>
        <v/>
      </c>
    </row>
    <row r="215" spans="86:86" ht="18" customHeight="1" x14ac:dyDescent="0.3">
      <c r="CH215" s="150" t="str">
        <f>IFERROR(TOWER_DATA[[#This Row],[Top '[m']]]-TOWER_DATA[[#This Row],[Bottom '[m']]], "")</f>
        <v/>
      </c>
    </row>
    <row r="216" spans="86:86" ht="18" customHeight="1" x14ac:dyDescent="0.3">
      <c r="CH216" s="150" t="str">
        <f>IFERROR(TOWER_DATA[[#This Row],[Top '[m']]]-TOWER_DATA[[#This Row],[Bottom '[m']]], "")</f>
        <v/>
      </c>
    </row>
    <row r="217" spans="86:86" ht="18" customHeight="1" x14ac:dyDescent="0.3">
      <c r="CH217" s="150" t="str">
        <f>IFERROR(TOWER_DATA[[#This Row],[Top '[m']]]-TOWER_DATA[[#This Row],[Bottom '[m']]], "")</f>
        <v/>
      </c>
    </row>
    <row r="218" spans="86:86" ht="18" customHeight="1" x14ac:dyDescent="0.3">
      <c r="CH218" s="150" t="str">
        <f>IFERROR(TOWER_DATA[[#This Row],[Top '[m']]]-TOWER_DATA[[#This Row],[Bottom '[m']]], "")</f>
        <v/>
      </c>
    </row>
    <row r="219" spans="86:86" ht="18" customHeight="1" x14ac:dyDescent="0.3">
      <c r="CH219" s="150" t="str">
        <f>IFERROR(TOWER_DATA[[#This Row],[Top '[m']]]-TOWER_DATA[[#This Row],[Bottom '[m']]], "")</f>
        <v/>
      </c>
    </row>
    <row r="220" spans="86:86" ht="18" customHeight="1" x14ac:dyDescent="0.3">
      <c r="CH220" s="150" t="str">
        <f>IFERROR(TOWER_DATA[[#This Row],[Top '[m']]]-TOWER_DATA[[#This Row],[Bottom '[m']]], "")</f>
        <v/>
      </c>
    </row>
    <row r="221" spans="86:86" ht="18" customHeight="1" x14ac:dyDescent="0.3">
      <c r="CH221" s="150" t="str">
        <f>IFERROR(TOWER_DATA[[#This Row],[Top '[m']]]-TOWER_DATA[[#This Row],[Bottom '[m']]], "")</f>
        <v/>
      </c>
    </row>
    <row r="222" spans="86:86" ht="18" customHeight="1" x14ac:dyDescent="0.3">
      <c r="CH222" s="150" t="str">
        <f>IFERROR(TOWER_DATA[[#This Row],[Top '[m']]]-TOWER_DATA[[#This Row],[Bottom '[m']]], "")</f>
        <v/>
      </c>
    </row>
    <row r="223" spans="86:86" ht="18" customHeight="1" x14ac:dyDescent="0.3">
      <c r="CH223" s="150" t="str">
        <f>IFERROR(TOWER_DATA[[#This Row],[Top '[m']]]-TOWER_DATA[[#This Row],[Bottom '[m']]], "")</f>
        <v/>
      </c>
    </row>
    <row r="224" spans="86:86" ht="18" customHeight="1" x14ac:dyDescent="0.3">
      <c r="CH224" s="150" t="str">
        <f>IFERROR(TOWER_DATA[[#This Row],[Top '[m']]]-TOWER_DATA[[#This Row],[Bottom '[m']]], "")</f>
        <v/>
      </c>
    </row>
    <row r="225" spans="86:86" ht="18" customHeight="1" x14ac:dyDescent="0.3">
      <c r="CH225" s="150" t="str">
        <f>IFERROR(TOWER_DATA[[#This Row],[Top '[m']]]-TOWER_DATA[[#This Row],[Bottom '[m']]], "")</f>
        <v/>
      </c>
    </row>
    <row r="226" spans="86:86" ht="18" customHeight="1" x14ac:dyDescent="0.3">
      <c r="CH226" s="150" t="str">
        <f>IFERROR(TOWER_DATA[[#This Row],[Top '[m']]]-TOWER_DATA[[#This Row],[Bottom '[m']]], "")</f>
        <v/>
      </c>
    </row>
    <row r="227" spans="86:86" ht="18" customHeight="1" x14ac:dyDescent="0.3">
      <c r="CH227" s="150" t="str">
        <f>IFERROR(TOWER_DATA[[#This Row],[Top '[m']]]-TOWER_DATA[[#This Row],[Bottom '[m']]], "")</f>
        <v/>
      </c>
    </row>
    <row r="228" spans="86:86" ht="18" customHeight="1" x14ac:dyDescent="0.3">
      <c r="CH228" s="150" t="str">
        <f>IFERROR(TOWER_DATA[[#This Row],[Top '[m']]]-TOWER_DATA[[#This Row],[Bottom '[m']]], "")</f>
        <v/>
      </c>
    </row>
    <row r="229" spans="86:86" ht="18" customHeight="1" x14ac:dyDescent="0.3">
      <c r="CH229" s="150" t="str">
        <f>IFERROR(TOWER_DATA[[#This Row],[Top '[m']]]-TOWER_DATA[[#This Row],[Bottom '[m']]], "")</f>
        <v/>
      </c>
    </row>
    <row r="230" spans="86:86" ht="18" customHeight="1" x14ac:dyDescent="0.3">
      <c r="CH230" s="150" t="str">
        <f>IFERROR(TOWER_DATA[[#This Row],[Top '[m']]]-TOWER_DATA[[#This Row],[Bottom '[m']]], "")</f>
        <v/>
      </c>
    </row>
    <row r="231" spans="86:86" ht="18" customHeight="1" x14ac:dyDescent="0.3">
      <c r="CH231" s="150" t="str">
        <f>IFERROR(TOWER_DATA[[#This Row],[Top '[m']]]-TOWER_DATA[[#This Row],[Bottom '[m']]], "")</f>
        <v/>
      </c>
    </row>
    <row r="232" spans="86:86" ht="18" customHeight="1" x14ac:dyDescent="0.3">
      <c r="CH232" s="150" t="str">
        <f>IFERROR(TOWER_DATA[[#This Row],[Top '[m']]]-TOWER_DATA[[#This Row],[Bottom '[m']]], "")</f>
        <v/>
      </c>
    </row>
    <row r="233" spans="86:86" ht="18" customHeight="1" x14ac:dyDescent="0.3">
      <c r="CH233" s="150" t="str">
        <f>IFERROR(TOWER_DATA[[#This Row],[Top '[m']]]-TOWER_DATA[[#This Row],[Bottom '[m']]], "")</f>
        <v/>
      </c>
    </row>
    <row r="234" spans="86:86" ht="18" customHeight="1" x14ac:dyDescent="0.3">
      <c r="CH234" s="150" t="str">
        <f>IFERROR(TOWER_DATA[[#This Row],[Top '[m']]]-TOWER_DATA[[#This Row],[Bottom '[m']]], "")</f>
        <v/>
      </c>
    </row>
    <row r="235" spans="86:86" ht="18" customHeight="1" x14ac:dyDescent="0.3">
      <c r="CH235" s="150" t="str">
        <f>IFERROR(TOWER_DATA[[#This Row],[Top '[m']]]-TOWER_DATA[[#This Row],[Bottom '[m']]], "")</f>
        <v/>
      </c>
    </row>
    <row r="236" spans="86:86" ht="18" customHeight="1" x14ac:dyDescent="0.3">
      <c r="CH236" s="150" t="str">
        <f>IFERROR(TOWER_DATA[[#This Row],[Top '[m']]]-TOWER_DATA[[#This Row],[Bottom '[m']]], "")</f>
        <v/>
      </c>
    </row>
    <row r="237" spans="86:86" ht="18" customHeight="1" x14ac:dyDescent="0.3">
      <c r="CH237" s="150" t="str">
        <f>IFERROR(TOWER_DATA[[#This Row],[Top '[m']]]-TOWER_DATA[[#This Row],[Bottom '[m']]], "")</f>
        <v/>
      </c>
    </row>
    <row r="238" spans="86:86" ht="18" customHeight="1" x14ac:dyDescent="0.3">
      <c r="CH238" s="150" t="str">
        <f>IFERROR(TOWER_DATA[[#This Row],[Top '[m']]]-TOWER_DATA[[#This Row],[Bottom '[m']]], "")</f>
        <v/>
      </c>
    </row>
    <row r="239" spans="86:86" ht="18" customHeight="1" x14ac:dyDescent="0.3">
      <c r="CH239" s="150" t="str">
        <f>IFERROR(TOWER_DATA[[#This Row],[Top '[m']]]-TOWER_DATA[[#This Row],[Bottom '[m']]], "")</f>
        <v/>
      </c>
    </row>
    <row r="240" spans="86:86" ht="18" customHeight="1" x14ac:dyDescent="0.3">
      <c r="CH240" s="150" t="str">
        <f>IFERROR(TOWER_DATA[[#This Row],[Top '[m']]]-TOWER_DATA[[#This Row],[Bottom '[m']]], "")</f>
        <v/>
      </c>
    </row>
    <row r="241" spans="86:86" ht="18" customHeight="1" x14ac:dyDescent="0.3">
      <c r="CH241" s="150" t="str">
        <f>IFERROR(TOWER_DATA[[#This Row],[Top '[m']]]-TOWER_DATA[[#This Row],[Bottom '[m']]], "")</f>
        <v/>
      </c>
    </row>
    <row r="242" spans="86:86" ht="18" customHeight="1" x14ac:dyDescent="0.3">
      <c r="CH242" s="150" t="str">
        <f>IFERROR(TOWER_DATA[[#This Row],[Top '[m']]]-TOWER_DATA[[#This Row],[Bottom '[m']]], "")</f>
        <v/>
      </c>
    </row>
    <row r="243" spans="86:86" ht="18" customHeight="1" x14ac:dyDescent="0.3">
      <c r="CH243" s="150" t="str">
        <f>IFERROR(TOWER_DATA[[#This Row],[Top '[m']]]-TOWER_DATA[[#This Row],[Bottom '[m']]], "")</f>
        <v/>
      </c>
    </row>
    <row r="244" spans="86:86" ht="18" customHeight="1" x14ac:dyDescent="0.3">
      <c r="CH244" s="150" t="str">
        <f>IFERROR(TOWER_DATA[[#This Row],[Top '[m']]]-TOWER_DATA[[#This Row],[Bottom '[m']]], "")</f>
        <v/>
      </c>
    </row>
    <row r="245" spans="86:86" ht="18" customHeight="1" x14ac:dyDescent="0.3">
      <c r="CH245" s="150" t="str">
        <f>IFERROR(TOWER_DATA[[#This Row],[Top '[m']]]-TOWER_DATA[[#This Row],[Bottom '[m']]], "")</f>
        <v/>
      </c>
    </row>
    <row r="246" spans="86:86" ht="18" customHeight="1" x14ac:dyDescent="0.3">
      <c r="CH246" s="150" t="str">
        <f>IFERROR(TOWER_DATA[[#This Row],[Top '[m']]]-TOWER_DATA[[#This Row],[Bottom '[m']]], "")</f>
        <v/>
      </c>
    </row>
    <row r="247" spans="86:86" ht="18" customHeight="1" x14ac:dyDescent="0.3">
      <c r="CH247" s="150" t="str">
        <f>IFERROR(TOWER_DATA[[#This Row],[Top '[m']]]-TOWER_DATA[[#This Row],[Bottom '[m']]], "")</f>
        <v/>
      </c>
    </row>
    <row r="248" spans="86:86" ht="18" customHeight="1" x14ac:dyDescent="0.3">
      <c r="CH248" s="150" t="str">
        <f>IFERROR(TOWER_DATA[[#This Row],[Top '[m']]]-TOWER_DATA[[#This Row],[Bottom '[m']]], "")</f>
        <v/>
      </c>
    </row>
    <row r="249" spans="86:86" ht="18" customHeight="1" x14ac:dyDescent="0.3">
      <c r="CH249" s="150" t="str">
        <f>IFERROR(TOWER_DATA[[#This Row],[Top '[m']]]-TOWER_DATA[[#This Row],[Bottom '[m']]], "")</f>
        <v/>
      </c>
    </row>
    <row r="250" spans="86:86" ht="18" customHeight="1" x14ac:dyDescent="0.3">
      <c r="CH250" s="150" t="str">
        <f>IFERROR(TOWER_DATA[[#This Row],[Top '[m']]]-TOWER_DATA[[#This Row],[Bottom '[m']]], "")</f>
        <v/>
      </c>
    </row>
    <row r="251" spans="86:86" ht="18" customHeight="1" x14ac:dyDescent="0.3">
      <c r="CH251" s="150" t="str">
        <f>IFERROR(TOWER_DATA[[#This Row],[Top '[m']]]-TOWER_DATA[[#This Row],[Bottom '[m']]], "")</f>
        <v/>
      </c>
    </row>
    <row r="252" spans="86:86" ht="18" customHeight="1" x14ac:dyDescent="0.3">
      <c r="CH252" s="150" t="str">
        <f>IFERROR(TOWER_DATA[[#This Row],[Top '[m']]]-TOWER_DATA[[#This Row],[Bottom '[m']]], "")</f>
        <v/>
      </c>
    </row>
    <row r="253" spans="86:86" ht="18" customHeight="1" x14ac:dyDescent="0.3">
      <c r="CH253" s="150" t="str">
        <f>IFERROR(TOWER_DATA[[#This Row],[Top '[m']]]-TOWER_DATA[[#This Row],[Bottom '[m']]], "")</f>
        <v/>
      </c>
    </row>
    <row r="254" spans="86:86" ht="18" customHeight="1" x14ac:dyDescent="0.3">
      <c r="CH254" s="150" t="str">
        <f>IFERROR(TOWER_DATA[[#This Row],[Top '[m']]]-TOWER_DATA[[#This Row],[Bottom '[m']]], "")</f>
        <v/>
      </c>
    </row>
    <row r="255" spans="86:86" ht="18" customHeight="1" x14ac:dyDescent="0.3">
      <c r="CH255" s="150" t="str">
        <f>IFERROR(TOWER_DATA[[#This Row],[Top '[m']]]-TOWER_DATA[[#This Row],[Bottom '[m']]], "")</f>
        <v/>
      </c>
    </row>
    <row r="256" spans="86:86" ht="18" customHeight="1" x14ac:dyDescent="0.3">
      <c r="CH256" s="150" t="str">
        <f>IFERROR(TOWER_DATA[[#This Row],[Top '[m']]]-TOWER_DATA[[#This Row],[Bottom '[m']]], "")</f>
        <v/>
      </c>
    </row>
    <row r="257" spans="86:86" ht="18" customHeight="1" x14ac:dyDescent="0.3">
      <c r="CH257" s="150" t="str">
        <f>IFERROR(TOWER_DATA[[#This Row],[Top '[m']]]-TOWER_DATA[[#This Row],[Bottom '[m']]], "")</f>
        <v/>
      </c>
    </row>
    <row r="258" spans="86:86" ht="18" customHeight="1" x14ac:dyDescent="0.3">
      <c r="CH258" s="150" t="str">
        <f>IFERROR(TOWER_DATA[[#This Row],[Top '[m']]]-TOWER_DATA[[#This Row],[Bottom '[m']]], "")</f>
        <v/>
      </c>
    </row>
    <row r="259" spans="86:86" ht="18" customHeight="1" x14ac:dyDescent="0.3">
      <c r="CH259" s="150" t="str">
        <f>IFERROR(TOWER_DATA[[#This Row],[Top '[m']]]-TOWER_DATA[[#This Row],[Bottom '[m']]], "")</f>
        <v/>
      </c>
    </row>
    <row r="260" spans="86:86" ht="18" customHeight="1" x14ac:dyDescent="0.3">
      <c r="CH260" s="150" t="str">
        <f>IFERROR(TOWER_DATA[[#This Row],[Top '[m']]]-TOWER_DATA[[#This Row],[Bottom '[m']]], "")</f>
        <v/>
      </c>
    </row>
    <row r="261" spans="86:86" ht="18" customHeight="1" x14ac:dyDescent="0.3">
      <c r="CH261" s="150" t="str">
        <f>IFERROR(TOWER_DATA[[#This Row],[Top '[m']]]-TOWER_DATA[[#This Row],[Bottom '[m']]], "")</f>
        <v/>
      </c>
    </row>
    <row r="262" spans="86:86" ht="18" customHeight="1" x14ac:dyDescent="0.3">
      <c r="CH262" s="150" t="str">
        <f>IFERROR(TOWER_DATA[[#This Row],[Top '[m']]]-TOWER_DATA[[#This Row],[Bottom '[m']]], "")</f>
        <v/>
      </c>
    </row>
    <row r="263" spans="86:86" ht="18" customHeight="1" x14ac:dyDescent="0.3">
      <c r="CH263" s="150" t="str">
        <f>IFERROR(TOWER_DATA[[#This Row],[Top '[m']]]-TOWER_DATA[[#This Row],[Bottom '[m']]], "")</f>
        <v/>
      </c>
    </row>
    <row r="264" spans="86:86" ht="18" customHeight="1" x14ac:dyDescent="0.3">
      <c r="CH264" s="150" t="str">
        <f>IFERROR(TOWER_DATA[[#This Row],[Top '[m']]]-TOWER_DATA[[#This Row],[Bottom '[m']]], "")</f>
        <v/>
      </c>
    </row>
    <row r="265" spans="86:86" ht="18" customHeight="1" x14ac:dyDescent="0.3">
      <c r="CH265" s="150" t="str">
        <f>IFERROR(TOWER_DATA[[#This Row],[Top '[m']]]-TOWER_DATA[[#This Row],[Bottom '[m']]], "")</f>
        <v/>
      </c>
    </row>
    <row r="266" spans="86:86" ht="18" customHeight="1" x14ac:dyDescent="0.3">
      <c r="CH266" s="150" t="str">
        <f>IFERROR(TOWER_DATA[[#This Row],[Top '[m']]]-TOWER_DATA[[#This Row],[Bottom '[m']]], "")</f>
        <v/>
      </c>
    </row>
    <row r="267" spans="86:86" ht="18" customHeight="1" x14ac:dyDescent="0.3">
      <c r="CH267" s="150" t="str">
        <f>IFERROR(TOWER_DATA[[#This Row],[Top '[m']]]-TOWER_DATA[[#This Row],[Bottom '[m']]], "")</f>
        <v/>
      </c>
    </row>
    <row r="268" spans="86:86" ht="18" customHeight="1" x14ac:dyDescent="0.3">
      <c r="CH268" s="150" t="str">
        <f>IFERROR(TOWER_DATA[[#This Row],[Top '[m']]]-TOWER_DATA[[#This Row],[Bottom '[m']]], "")</f>
        <v/>
      </c>
    </row>
    <row r="269" spans="86:86" ht="18" customHeight="1" x14ac:dyDescent="0.3">
      <c r="CH269" s="150" t="str">
        <f>IFERROR(TOWER_DATA[[#This Row],[Top '[m']]]-TOWER_DATA[[#This Row],[Bottom '[m']]], "")</f>
        <v/>
      </c>
    </row>
    <row r="270" spans="86:86" ht="18" customHeight="1" x14ac:dyDescent="0.3">
      <c r="CH270" s="150" t="str">
        <f>IFERROR(TOWER_DATA[[#This Row],[Top '[m']]]-TOWER_DATA[[#This Row],[Bottom '[m']]], "")</f>
        <v/>
      </c>
    </row>
    <row r="271" spans="86:86" ht="18" customHeight="1" x14ac:dyDescent="0.3">
      <c r="CH271" s="150" t="str">
        <f>IFERROR(TOWER_DATA[[#This Row],[Top '[m']]]-TOWER_DATA[[#This Row],[Bottom '[m']]], "")</f>
        <v/>
      </c>
    </row>
    <row r="272" spans="86:86" ht="18" customHeight="1" x14ac:dyDescent="0.3">
      <c r="CH272" s="150" t="str">
        <f>IFERROR(TOWER_DATA[[#This Row],[Top '[m']]]-TOWER_DATA[[#This Row],[Bottom '[m']]], "")</f>
        <v/>
      </c>
    </row>
    <row r="273" spans="86:86" ht="18" customHeight="1" x14ac:dyDescent="0.3">
      <c r="CH273" s="150" t="str">
        <f>IFERROR(TOWER_DATA[[#This Row],[Top '[m']]]-TOWER_DATA[[#This Row],[Bottom '[m']]], "")</f>
        <v/>
      </c>
    </row>
    <row r="274" spans="86:86" ht="18" customHeight="1" x14ac:dyDescent="0.3">
      <c r="CH274" s="150" t="str">
        <f>IFERROR(TOWER_DATA[[#This Row],[Top '[m']]]-TOWER_DATA[[#This Row],[Bottom '[m']]], "")</f>
        <v/>
      </c>
    </row>
    <row r="275" spans="86:86" ht="18" customHeight="1" x14ac:dyDescent="0.3">
      <c r="CH275" s="150" t="str">
        <f>IFERROR(TOWER_DATA[[#This Row],[Top '[m']]]-TOWER_DATA[[#This Row],[Bottom '[m']]], "")</f>
        <v/>
      </c>
    </row>
    <row r="276" spans="86:86" ht="18" customHeight="1" x14ac:dyDescent="0.3">
      <c r="CH276" s="150" t="str">
        <f>IFERROR(TOWER_DATA[[#This Row],[Top '[m']]]-TOWER_DATA[[#This Row],[Bottom '[m']]], "")</f>
        <v/>
      </c>
    </row>
    <row r="277" spans="86:86" ht="18" customHeight="1" x14ac:dyDescent="0.3">
      <c r="CH277" s="150" t="str">
        <f>IFERROR(TOWER_DATA[[#This Row],[Top '[m']]]-TOWER_DATA[[#This Row],[Bottom '[m']]], "")</f>
        <v/>
      </c>
    </row>
    <row r="278" spans="86:86" ht="18" customHeight="1" x14ac:dyDescent="0.3">
      <c r="CH278" s="150" t="str">
        <f>IFERROR(TOWER_DATA[[#This Row],[Top '[m']]]-TOWER_DATA[[#This Row],[Bottom '[m']]], "")</f>
        <v/>
      </c>
    </row>
    <row r="279" spans="86:86" ht="18" customHeight="1" x14ac:dyDescent="0.3">
      <c r="CH279" s="150" t="str">
        <f>IFERROR(TOWER_DATA[[#This Row],[Top '[m']]]-TOWER_DATA[[#This Row],[Bottom '[m']]], "")</f>
        <v/>
      </c>
    </row>
    <row r="280" spans="86:86" ht="18" customHeight="1" x14ac:dyDescent="0.3">
      <c r="CH280" s="150" t="str">
        <f>IFERROR(TOWER_DATA[[#This Row],[Top '[m']]]-TOWER_DATA[[#This Row],[Bottom '[m']]], "")</f>
        <v/>
      </c>
    </row>
    <row r="281" spans="86:86" ht="18" customHeight="1" x14ac:dyDescent="0.3">
      <c r="CH281" s="150" t="str">
        <f>IFERROR(TOWER_DATA[[#This Row],[Top '[m']]]-TOWER_DATA[[#This Row],[Bottom '[m']]], "")</f>
        <v/>
      </c>
    </row>
    <row r="282" spans="86:86" ht="18" customHeight="1" x14ac:dyDescent="0.3">
      <c r="CH282" s="150" t="str">
        <f>IFERROR(TOWER_DATA[[#This Row],[Top '[m']]]-TOWER_DATA[[#This Row],[Bottom '[m']]], "")</f>
        <v/>
      </c>
    </row>
    <row r="283" spans="86:86" ht="18" customHeight="1" x14ac:dyDescent="0.3">
      <c r="CH283" s="150" t="str">
        <f>IFERROR(TOWER_DATA[[#This Row],[Top '[m']]]-TOWER_DATA[[#This Row],[Bottom '[m']]], "")</f>
        <v/>
      </c>
    </row>
    <row r="284" spans="86:86" ht="18" customHeight="1" x14ac:dyDescent="0.3">
      <c r="CH284" s="150" t="str">
        <f>IFERROR(TOWER_DATA[[#This Row],[Top '[m']]]-TOWER_DATA[[#This Row],[Bottom '[m']]], "")</f>
        <v/>
      </c>
    </row>
    <row r="285" spans="86:86" ht="18" customHeight="1" x14ac:dyDescent="0.3">
      <c r="CH285" s="150" t="str">
        <f>IFERROR(TOWER_DATA[[#This Row],[Top '[m']]]-TOWER_DATA[[#This Row],[Bottom '[m']]], "")</f>
        <v/>
      </c>
    </row>
    <row r="286" spans="86:86" ht="18" customHeight="1" x14ac:dyDescent="0.3">
      <c r="CH286" s="150" t="str">
        <f>IFERROR(TOWER_DATA[[#This Row],[Top '[m']]]-TOWER_DATA[[#This Row],[Bottom '[m']]], "")</f>
        <v/>
      </c>
    </row>
    <row r="287" spans="86:86" ht="18" customHeight="1" x14ac:dyDescent="0.3">
      <c r="CH287" s="150" t="str">
        <f>IFERROR(TOWER_DATA[[#This Row],[Top '[m']]]-TOWER_DATA[[#This Row],[Bottom '[m']]], "")</f>
        <v/>
      </c>
    </row>
    <row r="288" spans="86:86" ht="18" customHeight="1" x14ac:dyDescent="0.3">
      <c r="CH288" s="150" t="str">
        <f>IFERROR(TOWER_DATA[[#This Row],[Top '[m']]]-TOWER_DATA[[#This Row],[Bottom '[m']]], "")</f>
        <v/>
      </c>
    </row>
    <row r="289" spans="86:86" ht="18" customHeight="1" x14ac:dyDescent="0.3">
      <c r="CH289" s="150" t="str">
        <f>IFERROR(TOWER_DATA[[#This Row],[Top '[m']]]-TOWER_DATA[[#This Row],[Bottom '[m']]], "")</f>
        <v/>
      </c>
    </row>
    <row r="290" spans="86:86" ht="18" customHeight="1" x14ac:dyDescent="0.3">
      <c r="CH290" s="150" t="str">
        <f>IFERROR(TOWER_DATA[[#This Row],[Top '[m']]]-TOWER_DATA[[#This Row],[Bottom '[m']]], "")</f>
        <v/>
      </c>
    </row>
    <row r="291" spans="86:86" ht="18" customHeight="1" x14ac:dyDescent="0.3">
      <c r="CH291" s="150" t="str">
        <f>IFERROR(TOWER_DATA[[#This Row],[Top '[m']]]-TOWER_DATA[[#This Row],[Bottom '[m']]], "")</f>
        <v/>
      </c>
    </row>
    <row r="292" spans="86:86" ht="18" customHeight="1" x14ac:dyDescent="0.3">
      <c r="CH292" s="150" t="str">
        <f>IFERROR(TOWER_DATA[[#This Row],[Top '[m']]]-TOWER_DATA[[#This Row],[Bottom '[m']]], "")</f>
        <v/>
      </c>
    </row>
    <row r="293" spans="86:86" ht="18" customHeight="1" x14ac:dyDescent="0.3">
      <c r="CH293" s="150" t="str">
        <f>IFERROR(TOWER_DATA[[#This Row],[Top '[m']]]-TOWER_DATA[[#This Row],[Bottom '[m']]], "")</f>
        <v/>
      </c>
    </row>
    <row r="294" spans="86:86" ht="18" customHeight="1" x14ac:dyDescent="0.3">
      <c r="CH294" s="150" t="str">
        <f>IFERROR(TOWER_DATA[[#This Row],[Top '[m']]]-TOWER_DATA[[#This Row],[Bottom '[m']]], "")</f>
        <v/>
      </c>
    </row>
    <row r="295" spans="86:86" ht="18" customHeight="1" x14ac:dyDescent="0.3">
      <c r="CH295" s="150" t="str">
        <f>IFERROR(TOWER_DATA[[#This Row],[Top '[m']]]-TOWER_DATA[[#This Row],[Bottom '[m']]], "")</f>
        <v/>
      </c>
    </row>
    <row r="296" spans="86:86" ht="18" customHeight="1" x14ac:dyDescent="0.3">
      <c r="CH296" s="150" t="str">
        <f>IFERROR(TOWER_DATA[[#This Row],[Top '[m']]]-TOWER_DATA[[#This Row],[Bottom '[m']]], "")</f>
        <v/>
      </c>
    </row>
    <row r="297" spans="86:86" ht="18" customHeight="1" x14ac:dyDescent="0.3">
      <c r="CH297" s="150" t="str">
        <f>IFERROR(TOWER_DATA[[#This Row],[Top '[m']]]-TOWER_DATA[[#This Row],[Bottom '[m']]], "")</f>
        <v/>
      </c>
    </row>
    <row r="298" spans="86:86" ht="18" customHeight="1" x14ac:dyDescent="0.3">
      <c r="CH298" s="150" t="str">
        <f>IFERROR(TOWER_DATA[[#This Row],[Top '[m']]]-TOWER_DATA[[#This Row],[Bottom '[m']]], "")</f>
        <v/>
      </c>
    </row>
    <row r="299" spans="86:86" ht="18" customHeight="1" x14ac:dyDescent="0.3">
      <c r="CH299" s="150" t="str">
        <f>IFERROR(TOWER_DATA[[#This Row],[Top '[m']]]-TOWER_DATA[[#This Row],[Bottom '[m']]], "")</f>
        <v/>
      </c>
    </row>
    <row r="300" spans="86:86" ht="18" customHeight="1" x14ac:dyDescent="0.3">
      <c r="CH300" s="150" t="str">
        <f>IFERROR(TOWER_DATA[[#This Row],[Top '[m']]]-TOWER_DATA[[#This Row],[Bottom '[m']]], "")</f>
        <v/>
      </c>
    </row>
    <row r="301" spans="86:86" ht="18" customHeight="1" x14ac:dyDescent="0.3">
      <c r="CH301" s="150" t="str">
        <f>IFERROR(TOWER_DATA[[#This Row],[Top '[m']]]-TOWER_DATA[[#This Row],[Bottom '[m']]], "")</f>
        <v/>
      </c>
    </row>
    <row r="302" spans="86:86" ht="18" customHeight="1" x14ac:dyDescent="0.3">
      <c r="CH302" s="150" t="str">
        <f>IFERROR(TOWER_DATA[[#This Row],[Top '[m']]]-TOWER_DATA[[#This Row],[Bottom '[m']]], "")</f>
        <v/>
      </c>
    </row>
    <row r="303" spans="86:86" ht="18" customHeight="1" x14ac:dyDescent="0.3">
      <c r="CH303" s="150" t="str">
        <f>IFERROR(TOWER_DATA[[#This Row],[Top '[m']]]-TOWER_DATA[[#This Row],[Bottom '[m']]], "")</f>
        <v/>
      </c>
    </row>
    <row r="304" spans="86:86" ht="18" customHeight="1" x14ac:dyDescent="0.3">
      <c r="CH304" s="150" t="str">
        <f>IFERROR(TOWER_DATA[[#This Row],[Top '[m']]]-TOWER_DATA[[#This Row],[Bottom '[m']]], "")</f>
        <v/>
      </c>
    </row>
    <row r="305" spans="86:86" ht="18" customHeight="1" x14ac:dyDescent="0.3">
      <c r="CH305" s="150" t="str">
        <f>IFERROR(TOWER_DATA[[#This Row],[Top '[m']]]-TOWER_DATA[[#This Row],[Bottom '[m']]], "")</f>
        <v/>
      </c>
    </row>
    <row r="306" spans="86:86" ht="18" customHeight="1" x14ac:dyDescent="0.3">
      <c r="CH306" s="150" t="str">
        <f>IFERROR(TOWER_DATA[[#This Row],[Top '[m']]]-TOWER_DATA[[#This Row],[Bottom '[m']]], "")</f>
        <v/>
      </c>
    </row>
    <row r="307" spans="86:86" ht="18" customHeight="1" x14ac:dyDescent="0.3">
      <c r="CH307" s="150" t="str">
        <f>IFERROR(TOWER_DATA[[#This Row],[Top '[m']]]-TOWER_DATA[[#This Row],[Bottom '[m']]], "")</f>
        <v/>
      </c>
    </row>
    <row r="308" spans="86:86" ht="18" customHeight="1" x14ac:dyDescent="0.3">
      <c r="CH308" s="150" t="str">
        <f>IFERROR(TOWER_DATA[[#This Row],[Top '[m']]]-TOWER_DATA[[#This Row],[Bottom '[m']]], "")</f>
        <v/>
      </c>
    </row>
    <row r="309" spans="86:86" ht="18" customHeight="1" x14ac:dyDescent="0.3">
      <c r="CH309" s="150" t="str">
        <f>IFERROR(TOWER_DATA[[#This Row],[Top '[m']]]-TOWER_DATA[[#This Row],[Bottom '[m']]], "")</f>
        <v/>
      </c>
    </row>
    <row r="310" spans="86:86" ht="18" customHeight="1" x14ac:dyDescent="0.3">
      <c r="CH310" s="150" t="str">
        <f>IFERROR(TOWER_DATA[[#This Row],[Top '[m']]]-TOWER_DATA[[#This Row],[Bottom '[m']]], "")</f>
        <v/>
      </c>
    </row>
    <row r="311" spans="86:86" ht="18" customHeight="1" x14ac:dyDescent="0.3">
      <c r="CH311" s="150" t="str">
        <f>IFERROR(TOWER_DATA[[#This Row],[Top '[m']]]-TOWER_DATA[[#This Row],[Bottom '[m']]], "")</f>
        <v/>
      </c>
    </row>
    <row r="312" spans="86:86" ht="18" customHeight="1" x14ac:dyDescent="0.3">
      <c r="CH312" s="150" t="str">
        <f>IFERROR(TOWER_DATA[[#This Row],[Top '[m']]]-TOWER_DATA[[#This Row],[Bottom '[m']]], "")</f>
        <v/>
      </c>
    </row>
    <row r="313" spans="86:86" ht="18" customHeight="1" x14ac:dyDescent="0.3">
      <c r="CH313" s="150" t="str">
        <f>IFERROR(TOWER_DATA[[#This Row],[Top '[m']]]-TOWER_DATA[[#This Row],[Bottom '[m']]], "")</f>
        <v/>
      </c>
    </row>
    <row r="314" spans="86:86" ht="18" customHeight="1" x14ac:dyDescent="0.3">
      <c r="CH314" s="150" t="str">
        <f>IFERROR(TOWER_DATA[[#This Row],[Top '[m']]]-TOWER_DATA[[#This Row],[Bottom '[m']]], "")</f>
        <v/>
      </c>
    </row>
    <row r="315" spans="86:86" ht="18" customHeight="1" x14ac:dyDescent="0.3">
      <c r="CH315" s="150" t="str">
        <f>IFERROR(TOWER_DATA[[#This Row],[Top '[m']]]-TOWER_DATA[[#This Row],[Bottom '[m']]], "")</f>
        <v/>
      </c>
    </row>
    <row r="316" spans="86:86" ht="18" customHeight="1" x14ac:dyDescent="0.3">
      <c r="CH316" s="150" t="str">
        <f>IFERROR(TOWER_DATA[[#This Row],[Top '[m']]]-TOWER_DATA[[#This Row],[Bottom '[m']]], "")</f>
        <v/>
      </c>
    </row>
    <row r="317" spans="86:86" ht="18" customHeight="1" x14ac:dyDescent="0.3">
      <c r="CH317" s="150" t="str">
        <f>IFERROR(TOWER_DATA[[#This Row],[Top '[m']]]-TOWER_DATA[[#This Row],[Bottom '[m']]], "")</f>
        <v/>
      </c>
    </row>
    <row r="318" spans="86:86" ht="18" customHeight="1" x14ac:dyDescent="0.3">
      <c r="CH318" s="150" t="str">
        <f>IFERROR(TOWER_DATA[[#This Row],[Top '[m']]]-TOWER_DATA[[#This Row],[Bottom '[m']]], "")</f>
        <v/>
      </c>
    </row>
    <row r="319" spans="86:86" ht="18" customHeight="1" x14ac:dyDescent="0.3">
      <c r="CH319" s="150" t="str">
        <f>IFERROR(TOWER_DATA[[#This Row],[Top '[m']]]-TOWER_DATA[[#This Row],[Bottom '[m']]], "")</f>
        <v/>
      </c>
    </row>
    <row r="320" spans="86:86" ht="18" customHeight="1" x14ac:dyDescent="0.3">
      <c r="CH320" s="150" t="str">
        <f>IFERROR(TOWER_DATA[[#This Row],[Top '[m']]]-TOWER_DATA[[#This Row],[Bottom '[m']]], "")</f>
        <v/>
      </c>
    </row>
    <row r="321" spans="86:86" ht="18" customHeight="1" x14ac:dyDescent="0.3">
      <c r="CH321" s="150" t="str">
        <f>IFERROR(TOWER_DATA[[#This Row],[Top '[m']]]-TOWER_DATA[[#This Row],[Bottom '[m']]], "")</f>
        <v/>
      </c>
    </row>
    <row r="322" spans="86:86" ht="18" customHeight="1" x14ac:dyDescent="0.3">
      <c r="CH322" s="150" t="str">
        <f>IFERROR(TOWER_DATA[[#This Row],[Top '[m']]]-TOWER_DATA[[#This Row],[Bottom '[m']]], "")</f>
        <v/>
      </c>
    </row>
    <row r="323" spans="86:86" ht="18" customHeight="1" x14ac:dyDescent="0.3">
      <c r="CH323" s="150" t="str">
        <f>IFERROR(TOWER_DATA[[#This Row],[Top '[m']]]-TOWER_DATA[[#This Row],[Bottom '[m']]], "")</f>
        <v/>
      </c>
    </row>
    <row r="324" spans="86:86" ht="18" customHeight="1" x14ac:dyDescent="0.3">
      <c r="CH324" s="150" t="str">
        <f>IFERROR(TOWER_DATA[[#This Row],[Top '[m']]]-TOWER_DATA[[#This Row],[Bottom '[m']]], "")</f>
        <v/>
      </c>
    </row>
    <row r="325" spans="86:86" ht="18" customHeight="1" x14ac:dyDescent="0.3">
      <c r="CH325" s="150" t="str">
        <f>IFERROR(TOWER_DATA[[#This Row],[Top '[m']]]-TOWER_DATA[[#This Row],[Bottom '[m']]], "")</f>
        <v/>
      </c>
    </row>
    <row r="326" spans="86:86" ht="18" customHeight="1" x14ac:dyDescent="0.3">
      <c r="CH326" s="150" t="str">
        <f>IFERROR(TOWER_DATA[[#This Row],[Top '[m']]]-TOWER_DATA[[#This Row],[Bottom '[m']]], "")</f>
        <v/>
      </c>
    </row>
    <row r="327" spans="86:86" ht="18" customHeight="1" x14ac:dyDescent="0.3">
      <c r="CH327" s="150" t="str">
        <f>IFERROR(TOWER_DATA[[#This Row],[Top '[m']]]-TOWER_DATA[[#This Row],[Bottom '[m']]], "")</f>
        <v/>
      </c>
    </row>
    <row r="328" spans="86:86" ht="18" customHeight="1" x14ac:dyDescent="0.3">
      <c r="CH328" s="150" t="str">
        <f>IFERROR(TOWER_DATA[[#This Row],[Top '[m']]]-TOWER_DATA[[#This Row],[Bottom '[m']]], "")</f>
        <v/>
      </c>
    </row>
    <row r="329" spans="86:86" ht="18" customHeight="1" x14ac:dyDescent="0.3">
      <c r="CH329" s="150" t="str">
        <f>IFERROR(TOWER_DATA[[#This Row],[Top '[m']]]-TOWER_DATA[[#This Row],[Bottom '[m']]], "")</f>
        <v/>
      </c>
    </row>
    <row r="330" spans="86:86" ht="18" customHeight="1" x14ac:dyDescent="0.3">
      <c r="CH330" s="150" t="str">
        <f>IFERROR(TOWER_DATA[[#This Row],[Top '[m']]]-TOWER_DATA[[#This Row],[Bottom '[m']]], "")</f>
        <v/>
      </c>
    </row>
    <row r="331" spans="86:86" ht="18" customHeight="1" x14ac:dyDescent="0.3">
      <c r="CH331" s="150" t="str">
        <f>IFERROR(TOWER_DATA[[#This Row],[Top '[m']]]-TOWER_DATA[[#This Row],[Bottom '[m']]], "")</f>
        <v/>
      </c>
    </row>
    <row r="332" spans="86:86" ht="18" customHeight="1" x14ac:dyDescent="0.3">
      <c r="CH332" s="150" t="str">
        <f>IFERROR(TOWER_DATA[[#This Row],[Top '[m']]]-TOWER_DATA[[#This Row],[Bottom '[m']]], "")</f>
        <v/>
      </c>
    </row>
    <row r="333" spans="86:86" ht="18" customHeight="1" x14ac:dyDescent="0.3">
      <c r="CH333" s="150" t="str">
        <f>IFERROR(TOWER_DATA[[#This Row],[Top '[m']]]-TOWER_DATA[[#This Row],[Bottom '[m']]], "")</f>
        <v/>
      </c>
    </row>
    <row r="334" spans="86:86" ht="18" customHeight="1" x14ac:dyDescent="0.3">
      <c r="CH334" s="150" t="str">
        <f>IFERROR(TOWER_DATA[[#This Row],[Top '[m']]]-TOWER_DATA[[#This Row],[Bottom '[m']]], "")</f>
        <v/>
      </c>
    </row>
    <row r="335" spans="86:86" ht="18" customHeight="1" x14ac:dyDescent="0.3">
      <c r="CH335" s="150" t="str">
        <f>IFERROR(TOWER_DATA[[#This Row],[Top '[m']]]-TOWER_DATA[[#This Row],[Bottom '[m']]], "")</f>
        <v/>
      </c>
    </row>
    <row r="336" spans="86:86" ht="18" customHeight="1" x14ac:dyDescent="0.3">
      <c r="CH336" s="150" t="str">
        <f>IFERROR(TOWER_DATA[[#This Row],[Top '[m']]]-TOWER_DATA[[#This Row],[Bottom '[m']]], "")</f>
        <v/>
      </c>
    </row>
    <row r="337" spans="86:86" ht="18" customHeight="1" x14ac:dyDescent="0.3">
      <c r="CH337" s="150" t="str">
        <f>IFERROR(TOWER_DATA[[#This Row],[Top '[m']]]-TOWER_DATA[[#This Row],[Bottom '[m']]], "")</f>
        <v/>
      </c>
    </row>
    <row r="338" spans="86:86" ht="18" customHeight="1" x14ac:dyDescent="0.3">
      <c r="CH338" s="150" t="str">
        <f>IFERROR(TOWER_DATA[[#This Row],[Top '[m']]]-TOWER_DATA[[#This Row],[Bottom '[m']]], "")</f>
        <v/>
      </c>
    </row>
    <row r="339" spans="86:86" ht="18" customHeight="1" x14ac:dyDescent="0.3">
      <c r="CH339" s="150" t="str">
        <f>IFERROR(TOWER_DATA[[#This Row],[Top '[m']]]-TOWER_DATA[[#This Row],[Bottom '[m']]], "")</f>
        <v/>
      </c>
    </row>
    <row r="340" spans="86:86" ht="18" customHeight="1" x14ac:dyDescent="0.3">
      <c r="CH340" s="150" t="str">
        <f>IFERROR(TOWER_DATA[[#This Row],[Top '[m']]]-TOWER_DATA[[#This Row],[Bottom '[m']]], "")</f>
        <v/>
      </c>
    </row>
    <row r="341" spans="86:86" ht="18" customHeight="1" x14ac:dyDescent="0.3">
      <c r="CH341" s="150" t="str">
        <f>IFERROR(TOWER_DATA[[#This Row],[Top '[m']]]-TOWER_DATA[[#This Row],[Bottom '[m']]], "")</f>
        <v/>
      </c>
    </row>
    <row r="342" spans="86:86" ht="18" customHeight="1" x14ac:dyDescent="0.3">
      <c r="CH342" s="150" t="str">
        <f>IFERROR(TOWER_DATA[[#This Row],[Top '[m']]]-TOWER_DATA[[#This Row],[Bottom '[m']]], "")</f>
        <v/>
      </c>
    </row>
    <row r="343" spans="86:86" ht="18" customHeight="1" x14ac:dyDescent="0.3">
      <c r="CH343" s="150" t="str">
        <f>IFERROR(TOWER_DATA[[#This Row],[Top '[m']]]-TOWER_DATA[[#This Row],[Bottom '[m']]], "")</f>
        <v/>
      </c>
    </row>
    <row r="344" spans="86:86" ht="18" customHeight="1" x14ac:dyDescent="0.3">
      <c r="CH344" s="150" t="str">
        <f>IFERROR(TOWER_DATA[[#This Row],[Top '[m']]]-TOWER_DATA[[#This Row],[Bottom '[m']]], "")</f>
        <v/>
      </c>
    </row>
    <row r="345" spans="86:86" ht="18" customHeight="1" x14ac:dyDescent="0.3">
      <c r="CH345" s="150" t="str">
        <f>IFERROR(TOWER_DATA[[#This Row],[Top '[m']]]-TOWER_DATA[[#This Row],[Bottom '[m']]], "")</f>
        <v/>
      </c>
    </row>
    <row r="346" spans="86:86" ht="18" customHeight="1" x14ac:dyDescent="0.3">
      <c r="CH346" s="150" t="str">
        <f>IFERROR(TOWER_DATA[[#This Row],[Top '[m']]]-TOWER_DATA[[#This Row],[Bottom '[m']]], "")</f>
        <v/>
      </c>
    </row>
    <row r="347" spans="86:86" ht="18" customHeight="1" x14ac:dyDescent="0.3">
      <c r="CH347" s="150" t="str">
        <f>IFERROR(TOWER_DATA[[#This Row],[Top '[m']]]-TOWER_DATA[[#This Row],[Bottom '[m']]], "")</f>
        <v/>
      </c>
    </row>
    <row r="348" spans="86:86" ht="18" customHeight="1" x14ac:dyDescent="0.3">
      <c r="CH348" s="150" t="str">
        <f>IFERROR(TOWER_DATA[[#This Row],[Top '[m']]]-TOWER_DATA[[#This Row],[Bottom '[m']]], "")</f>
        <v/>
      </c>
    </row>
    <row r="349" spans="86:86" ht="18" customHeight="1" x14ac:dyDescent="0.3">
      <c r="CH349" s="150" t="str">
        <f>IFERROR(TOWER_DATA[[#This Row],[Top '[m']]]-TOWER_DATA[[#This Row],[Bottom '[m']]], "")</f>
        <v/>
      </c>
    </row>
    <row r="350" spans="86:86" ht="18" customHeight="1" x14ac:dyDescent="0.3">
      <c r="CH350" s="150" t="str">
        <f>IFERROR(TOWER_DATA[[#This Row],[Top '[m']]]-TOWER_DATA[[#This Row],[Bottom '[m']]], "")</f>
        <v/>
      </c>
    </row>
    <row r="351" spans="86:86" ht="18" customHeight="1" x14ac:dyDescent="0.3">
      <c r="CH351" s="150" t="str">
        <f>IFERROR(TOWER_DATA[[#This Row],[Top '[m']]]-TOWER_DATA[[#This Row],[Bottom '[m']]], "")</f>
        <v/>
      </c>
    </row>
    <row r="352" spans="86:86" ht="18" customHeight="1" x14ac:dyDescent="0.3">
      <c r="CH352" s="150" t="str">
        <f>IFERROR(TOWER_DATA[[#This Row],[Top '[m']]]-TOWER_DATA[[#This Row],[Bottom '[m']]], "")</f>
        <v/>
      </c>
    </row>
    <row r="353" spans="86:86" ht="18" customHeight="1" x14ac:dyDescent="0.3">
      <c r="CH353" s="150" t="str">
        <f>IFERROR(TOWER_DATA[[#This Row],[Top '[m']]]-TOWER_DATA[[#This Row],[Bottom '[m']]], "")</f>
        <v/>
      </c>
    </row>
    <row r="354" spans="86:86" ht="18" customHeight="1" x14ac:dyDescent="0.3">
      <c r="CH354" s="150" t="str">
        <f>IFERROR(TOWER_DATA[[#This Row],[Top '[m']]]-TOWER_DATA[[#This Row],[Bottom '[m']]], "")</f>
        <v/>
      </c>
    </row>
    <row r="355" spans="86:86" ht="18" customHeight="1" x14ac:dyDescent="0.3">
      <c r="CH355" s="150" t="str">
        <f>IFERROR(TOWER_DATA[[#This Row],[Top '[m']]]-TOWER_DATA[[#This Row],[Bottom '[m']]], "")</f>
        <v/>
      </c>
    </row>
    <row r="356" spans="86:86" ht="18" customHeight="1" x14ac:dyDescent="0.3">
      <c r="CH356" s="150" t="str">
        <f>IFERROR(TOWER_DATA[[#This Row],[Top '[m']]]-TOWER_DATA[[#This Row],[Bottom '[m']]], "")</f>
        <v/>
      </c>
    </row>
    <row r="357" spans="86:86" ht="18" customHeight="1" x14ac:dyDescent="0.3">
      <c r="CH357" s="150" t="str">
        <f>IFERROR(TOWER_DATA[[#This Row],[Top '[m']]]-TOWER_DATA[[#This Row],[Bottom '[m']]], "")</f>
        <v/>
      </c>
    </row>
    <row r="358" spans="86:86" ht="18" customHeight="1" x14ac:dyDescent="0.3">
      <c r="CH358" s="150" t="str">
        <f>IFERROR(TOWER_DATA[[#This Row],[Top '[m']]]-TOWER_DATA[[#This Row],[Bottom '[m']]], "")</f>
        <v/>
      </c>
    </row>
    <row r="359" spans="86:86" ht="18" customHeight="1" x14ac:dyDescent="0.3">
      <c r="CH359" s="150" t="str">
        <f>IFERROR(TOWER_DATA[[#This Row],[Top '[m']]]-TOWER_DATA[[#This Row],[Bottom '[m']]], "")</f>
        <v/>
      </c>
    </row>
    <row r="360" spans="86:86" ht="18" customHeight="1" x14ac:dyDescent="0.3">
      <c r="CH360" s="150" t="str">
        <f>IFERROR(TOWER_DATA[[#This Row],[Top '[m']]]-TOWER_DATA[[#This Row],[Bottom '[m']]], "")</f>
        <v/>
      </c>
    </row>
    <row r="361" spans="86:86" ht="18" customHeight="1" x14ac:dyDescent="0.3">
      <c r="CH361" s="150" t="str">
        <f>IFERROR(TOWER_DATA[[#This Row],[Top '[m']]]-TOWER_DATA[[#This Row],[Bottom '[m']]], "")</f>
        <v/>
      </c>
    </row>
    <row r="362" spans="86:86" ht="18" customHeight="1" x14ac:dyDescent="0.3">
      <c r="CH362" s="150" t="str">
        <f>IFERROR(TOWER_DATA[[#This Row],[Top '[m']]]-TOWER_DATA[[#This Row],[Bottom '[m']]], "")</f>
        <v/>
      </c>
    </row>
    <row r="363" spans="86:86" ht="18" customHeight="1" x14ac:dyDescent="0.3">
      <c r="CH363" s="150" t="str">
        <f>IFERROR(TOWER_DATA[[#This Row],[Top '[m']]]-TOWER_DATA[[#This Row],[Bottom '[m']]], "")</f>
        <v/>
      </c>
    </row>
    <row r="364" spans="86:86" ht="18" customHeight="1" x14ac:dyDescent="0.3">
      <c r="CH364" s="150" t="str">
        <f>IFERROR(TOWER_DATA[[#This Row],[Top '[m']]]-TOWER_DATA[[#This Row],[Bottom '[m']]], "")</f>
        <v/>
      </c>
    </row>
    <row r="365" spans="86:86" ht="18" customHeight="1" x14ac:dyDescent="0.3">
      <c r="CH365" s="150" t="str">
        <f>IFERROR(TOWER_DATA[[#This Row],[Top '[m']]]-TOWER_DATA[[#This Row],[Bottom '[m']]], "")</f>
        <v/>
      </c>
    </row>
    <row r="366" spans="86:86" ht="18" customHeight="1" x14ac:dyDescent="0.3">
      <c r="CH366" s="150" t="str">
        <f>IFERROR(TOWER_DATA[[#This Row],[Top '[m']]]-TOWER_DATA[[#This Row],[Bottom '[m']]], "")</f>
        <v/>
      </c>
    </row>
    <row r="367" spans="86:86" ht="18" customHeight="1" x14ac:dyDescent="0.3">
      <c r="CH367" s="150" t="str">
        <f>IFERROR(TOWER_DATA[[#This Row],[Top '[m']]]-TOWER_DATA[[#This Row],[Bottom '[m']]], "")</f>
        <v/>
      </c>
    </row>
    <row r="368" spans="86:86" ht="18" customHeight="1" x14ac:dyDescent="0.3">
      <c r="CH368" s="150" t="str">
        <f>IFERROR(TOWER_DATA[[#This Row],[Top '[m']]]-TOWER_DATA[[#This Row],[Bottom '[m']]], "")</f>
        <v/>
      </c>
    </row>
    <row r="369" spans="86:86" ht="18" customHeight="1" x14ac:dyDescent="0.3">
      <c r="CH369" s="150" t="str">
        <f>IFERROR(TOWER_DATA[[#This Row],[Top '[m']]]-TOWER_DATA[[#This Row],[Bottom '[m']]], "")</f>
        <v/>
      </c>
    </row>
    <row r="370" spans="86:86" ht="18" customHeight="1" x14ac:dyDescent="0.3">
      <c r="CH370" s="150" t="str">
        <f>IFERROR(TOWER_DATA[[#This Row],[Top '[m']]]-TOWER_DATA[[#This Row],[Bottom '[m']]], "")</f>
        <v/>
      </c>
    </row>
    <row r="371" spans="86:86" ht="18" customHeight="1" x14ac:dyDescent="0.3">
      <c r="CH371" s="150" t="str">
        <f>IFERROR(TOWER_DATA[[#This Row],[Top '[m']]]-TOWER_DATA[[#This Row],[Bottom '[m']]], "")</f>
        <v/>
      </c>
    </row>
    <row r="372" spans="86:86" ht="18" customHeight="1" x14ac:dyDescent="0.3">
      <c r="CH372" s="150" t="str">
        <f>IFERROR(TOWER_DATA[[#This Row],[Top '[m']]]-TOWER_DATA[[#This Row],[Bottom '[m']]], "")</f>
        <v/>
      </c>
    </row>
    <row r="373" spans="86:86" ht="18" customHeight="1" x14ac:dyDescent="0.3">
      <c r="CH373" s="150" t="str">
        <f>IFERROR(TOWER_DATA[[#This Row],[Top '[m']]]-TOWER_DATA[[#This Row],[Bottom '[m']]], "")</f>
        <v/>
      </c>
    </row>
    <row r="374" spans="86:86" ht="18" customHeight="1" x14ac:dyDescent="0.3">
      <c r="CH374" s="150" t="str">
        <f>IFERROR(TOWER_DATA[[#This Row],[Top '[m']]]-TOWER_DATA[[#This Row],[Bottom '[m']]], "")</f>
        <v/>
      </c>
    </row>
    <row r="375" spans="86:86" ht="18" customHeight="1" x14ac:dyDescent="0.3">
      <c r="CH375" s="150" t="str">
        <f>IFERROR(TOWER_DATA[[#This Row],[Top '[m']]]-TOWER_DATA[[#This Row],[Bottom '[m']]], "")</f>
        <v/>
      </c>
    </row>
    <row r="376" spans="86:86" ht="18" customHeight="1" x14ac:dyDescent="0.3">
      <c r="CH376" s="150" t="str">
        <f>IFERROR(TOWER_DATA[[#This Row],[Top '[m']]]-TOWER_DATA[[#This Row],[Bottom '[m']]], "")</f>
        <v/>
      </c>
    </row>
    <row r="377" spans="86:86" ht="18" customHeight="1" x14ac:dyDescent="0.3">
      <c r="CH377" s="150" t="str">
        <f>IFERROR(TOWER_DATA[[#This Row],[Top '[m']]]-TOWER_DATA[[#This Row],[Bottom '[m']]], "")</f>
        <v/>
      </c>
    </row>
    <row r="378" spans="86:86" ht="18" customHeight="1" x14ac:dyDescent="0.3">
      <c r="CH378" s="150" t="str">
        <f>IFERROR(TOWER_DATA[[#This Row],[Top '[m']]]-TOWER_DATA[[#This Row],[Bottom '[m']]], "")</f>
        <v/>
      </c>
    </row>
    <row r="379" spans="86:86" ht="18" customHeight="1" x14ac:dyDescent="0.3">
      <c r="CH379" s="150" t="str">
        <f>IFERROR(TOWER_DATA[[#This Row],[Top '[m']]]-TOWER_DATA[[#This Row],[Bottom '[m']]], "")</f>
        <v/>
      </c>
    </row>
    <row r="380" spans="86:86" ht="18" customHeight="1" x14ac:dyDescent="0.3">
      <c r="CH380" s="150" t="str">
        <f>IFERROR(TOWER_DATA[[#This Row],[Top '[m']]]-TOWER_DATA[[#This Row],[Bottom '[m']]], "")</f>
        <v/>
      </c>
    </row>
    <row r="381" spans="86:86" ht="18" customHeight="1" x14ac:dyDescent="0.3">
      <c r="CH381" s="150" t="str">
        <f>IFERROR(TOWER_DATA[[#This Row],[Top '[m']]]-TOWER_DATA[[#This Row],[Bottom '[m']]], "")</f>
        <v/>
      </c>
    </row>
    <row r="382" spans="86:86" ht="18" customHeight="1" x14ac:dyDescent="0.3">
      <c r="CH382" s="150" t="str">
        <f>IFERROR(TOWER_DATA[[#This Row],[Top '[m']]]-TOWER_DATA[[#This Row],[Bottom '[m']]], "")</f>
        <v/>
      </c>
    </row>
    <row r="383" spans="86:86" ht="18" customHeight="1" x14ac:dyDescent="0.3">
      <c r="CH383" s="150" t="str">
        <f>IFERROR(TOWER_DATA[[#This Row],[Top '[m']]]-TOWER_DATA[[#This Row],[Bottom '[m']]], "")</f>
        <v/>
      </c>
    </row>
    <row r="384" spans="86:86" ht="18" customHeight="1" x14ac:dyDescent="0.3">
      <c r="CH384" s="150" t="str">
        <f>IFERROR(TOWER_DATA[[#This Row],[Top '[m']]]-TOWER_DATA[[#This Row],[Bottom '[m']]], "")</f>
        <v/>
      </c>
    </row>
    <row r="385" spans="86:86" ht="18" customHeight="1" x14ac:dyDescent="0.3">
      <c r="CH385" s="150" t="str">
        <f>IFERROR(TOWER_DATA[[#This Row],[Top '[m']]]-TOWER_DATA[[#This Row],[Bottom '[m']]], "")</f>
        <v/>
      </c>
    </row>
    <row r="386" spans="86:86" ht="18" customHeight="1" x14ac:dyDescent="0.3">
      <c r="CH386" s="150" t="str">
        <f>IFERROR(TOWER_DATA[[#This Row],[Top '[m']]]-TOWER_DATA[[#This Row],[Bottom '[m']]], "")</f>
        <v/>
      </c>
    </row>
    <row r="387" spans="86:86" ht="18" customHeight="1" x14ac:dyDescent="0.3">
      <c r="CH387" s="150" t="str">
        <f>IFERROR(TOWER_DATA[[#This Row],[Top '[m']]]-TOWER_DATA[[#This Row],[Bottom '[m']]], "")</f>
        <v/>
      </c>
    </row>
    <row r="388" spans="86:86" ht="18" customHeight="1" x14ac:dyDescent="0.3">
      <c r="CH388" s="150" t="str">
        <f>IFERROR(TOWER_DATA[[#This Row],[Top '[m']]]-TOWER_DATA[[#This Row],[Bottom '[m']]], "")</f>
        <v/>
      </c>
    </row>
    <row r="389" spans="86:86" ht="18" customHeight="1" x14ac:dyDescent="0.3">
      <c r="CH389" s="150" t="str">
        <f>IFERROR(TOWER_DATA[[#This Row],[Top '[m']]]-TOWER_DATA[[#This Row],[Bottom '[m']]], "")</f>
        <v/>
      </c>
    </row>
    <row r="390" spans="86:86" ht="18" customHeight="1" x14ac:dyDescent="0.3">
      <c r="CH390" s="150" t="str">
        <f>IFERROR(TOWER_DATA[[#This Row],[Top '[m']]]-TOWER_DATA[[#This Row],[Bottom '[m']]], "")</f>
        <v/>
      </c>
    </row>
    <row r="391" spans="86:86" ht="18" customHeight="1" x14ac:dyDescent="0.3">
      <c r="CH391" s="150" t="str">
        <f>IFERROR(TOWER_DATA[[#This Row],[Top '[m']]]-TOWER_DATA[[#This Row],[Bottom '[m']]], "")</f>
        <v/>
      </c>
    </row>
    <row r="392" spans="86:86" ht="18" customHeight="1" x14ac:dyDescent="0.3">
      <c r="CH392" s="150" t="str">
        <f>IFERROR(TOWER_DATA[[#This Row],[Top '[m']]]-TOWER_DATA[[#This Row],[Bottom '[m']]], "")</f>
        <v/>
      </c>
    </row>
    <row r="393" spans="86:86" ht="18" customHeight="1" x14ac:dyDescent="0.3">
      <c r="CH393" s="150" t="str">
        <f>IFERROR(TOWER_DATA[[#This Row],[Top '[m']]]-TOWER_DATA[[#This Row],[Bottom '[m']]], "")</f>
        <v/>
      </c>
    </row>
    <row r="394" spans="86:86" ht="18" customHeight="1" x14ac:dyDescent="0.3">
      <c r="CH394" s="150" t="str">
        <f>IFERROR(TOWER_DATA[[#This Row],[Top '[m']]]-TOWER_DATA[[#This Row],[Bottom '[m']]], "")</f>
        <v/>
      </c>
    </row>
    <row r="395" spans="86:86" ht="18" customHeight="1" x14ac:dyDescent="0.3">
      <c r="CH395" s="150" t="str">
        <f>IFERROR(TOWER_DATA[[#This Row],[Top '[m']]]-TOWER_DATA[[#This Row],[Bottom '[m']]], "")</f>
        <v/>
      </c>
    </row>
    <row r="396" spans="86:86" ht="18" customHeight="1" x14ac:dyDescent="0.3">
      <c r="CH396" s="150" t="str">
        <f>IFERROR(TOWER_DATA[[#This Row],[Top '[m']]]-TOWER_DATA[[#This Row],[Bottom '[m']]], "")</f>
        <v/>
      </c>
    </row>
    <row r="397" spans="86:86" ht="18" customHeight="1" x14ac:dyDescent="0.3">
      <c r="CH397" s="150" t="str">
        <f>IFERROR(TOWER_DATA[[#This Row],[Top '[m']]]-TOWER_DATA[[#This Row],[Bottom '[m']]], "")</f>
        <v/>
      </c>
    </row>
    <row r="398" spans="86:86" ht="18" customHeight="1" x14ac:dyDescent="0.3">
      <c r="CH398" s="150" t="str">
        <f>IFERROR(TOWER_DATA[[#This Row],[Top '[m']]]-TOWER_DATA[[#This Row],[Bottom '[m']]], "")</f>
        <v/>
      </c>
    </row>
    <row r="399" spans="86:86" ht="18" customHeight="1" x14ac:dyDescent="0.3">
      <c r="CH399" s="150" t="str">
        <f>IFERROR(TOWER_DATA[[#This Row],[Top '[m']]]-TOWER_DATA[[#This Row],[Bottom '[m']]], "")</f>
        <v/>
      </c>
    </row>
    <row r="400" spans="86:86" ht="18" customHeight="1" x14ac:dyDescent="0.3">
      <c r="CH400" s="150" t="str">
        <f>IFERROR(TOWER_DATA[[#This Row],[Top '[m']]]-TOWER_DATA[[#This Row],[Bottom '[m']]], "")</f>
        <v/>
      </c>
    </row>
    <row r="401" spans="86:86" ht="18" customHeight="1" x14ac:dyDescent="0.3">
      <c r="CH401" s="150" t="str">
        <f>IFERROR(TOWER_DATA[[#This Row],[Top '[m']]]-TOWER_DATA[[#This Row],[Bottom '[m']]], "")</f>
        <v/>
      </c>
    </row>
    <row r="402" spans="86:86" ht="18" customHeight="1" x14ac:dyDescent="0.3">
      <c r="CH402" s="150" t="str">
        <f>IFERROR(TOWER_DATA[[#This Row],[Top '[m']]]-TOWER_DATA[[#This Row],[Bottom '[m']]], "")</f>
        <v/>
      </c>
    </row>
    <row r="403" spans="86:86" ht="18" customHeight="1" x14ac:dyDescent="0.3">
      <c r="CH403" s="150" t="str">
        <f>IFERROR(TOWER_DATA[[#This Row],[Top '[m']]]-TOWER_DATA[[#This Row],[Bottom '[m']]], "")</f>
        <v/>
      </c>
    </row>
    <row r="404" spans="86:86" ht="18" customHeight="1" x14ac:dyDescent="0.3">
      <c r="CH404" s="150" t="str">
        <f>IFERROR(TOWER_DATA[[#This Row],[Top '[m']]]-TOWER_DATA[[#This Row],[Bottom '[m']]], "")</f>
        <v/>
      </c>
    </row>
    <row r="405" spans="86:86" ht="18" customHeight="1" x14ac:dyDescent="0.3">
      <c r="CH405" s="150" t="str">
        <f>IFERROR(TOWER_DATA[[#This Row],[Top '[m']]]-TOWER_DATA[[#This Row],[Bottom '[m']]], "")</f>
        <v/>
      </c>
    </row>
    <row r="406" spans="86:86" ht="18" customHeight="1" x14ac:dyDescent="0.3">
      <c r="CH406" s="150" t="str">
        <f>IFERROR(TOWER_DATA[[#This Row],[Top '[m']]]-TOWER_DATA[[#This Row],[Bottom '[m']]], "")</f>
        <v/>
      </c>
    </row>
    <row r="407" spans="86:86" ht="18" customHeight="1" x14ac:dyDescent="0.3">
      <c r="CH407" s="150" t="str">
        <f>IFERROR(TOWER_DATA[[#This Row],[Top '[m']]]-TOWER_DATA[[#This Row],[Bottom '[m']]], "")</f>
        <v/>
      </c>
    </row>
    <row r="408" spans="86:86" ht="18" customHeight="1" x14ac:dyDescent="0.3">
      <c r="CH408" s="150" t="str">
        <f>IFERROR(TOWER_DATA[[#This Row],[Top '[m']]]-TOWER_DATA[[#This Row],[Bottom '[m']]], "")</f>
        <v/>
      </c>
    </row>
    <row r="409" spans="86:86" ht="18" customHeight="1" x14ac:dyDescent="0.3">
      <c r="CH409" s="150" t="str">
        <f>IFERROR(TOWER_DATA[[#This Row],[Top '[m']]]-TOWER_DATA[[#This Row],[Bottom '[m']]], "")</f>
        <v/>
      </c>
    </row>
    <row r="410" spans="86:86" ht="18" customHeight="1" x14ac:dyDescent="0.3">
      <c r="CH410" s="150" t="str">
        <f>IFERROR(TOWER_DATA[[#This Row],[Top '[m']]]-TOWER_DATA[[#This Row],[Bottom '[m']]], "")</f>
        <v/>
      </c>
    </row>
    <row r="411" spans="86:86" ht="18" customHeight="1" x14ac:dyDescent="0.3">
      <c r="CH411" s="150" t="str">
        <f>IFERROR(TOWER_DATA[[#This Row],[Top '[m']]]-TOWER_DATA[[#This Row],[Bottom '[m']]], "")</f>
        <v/>
      </c>
    </row>
    <row r="412" spans="86:86" ht="18" customHeight="1" x14ac:dyDescent="0.3">
      <c r="CH412" s="150" t="str">
        <f>IFERROR(TOWER_DATA[[#This Row],[Top '[m']]]-TOWER_DATA[[#This Row],[Bottom '[m']]], "")</f>
        <v/>
      </c>
    </row>
    <row r="413" spans="86:86" ht="18" customHeight="1" x14ac:dyDescent="0.3">
      <c r="CH413" s="150" t="str">
        <f>IFERROR(TOWER_DATA[[#This Row],[Top '[m']]]-TOWER_DATA[[#This Row],[Bottom '[m']]], "")</f>
        <v/>
      </c>
    </row>
    <row r="414" spans="86:86" ht="18" customHeight="1" x14ac:dyDescent="0.3">
      <c r="CH414" s="150" t="str">
        <f>IFERROR(TOWER_DATA[[#This Row],[Top '[m']]]-TOWER_DATA[[#This Row],[Bottom '[m']]], "")</f>
        <v/>
      </c>
    </row>
    <row r="415" spans="86:86" ht="18" customHeight="1" x14ac:dyDescent="0.3">
      <c r="CH415" s="150" t="str">
        <f>IFERROR(TOWER_DATA[[#This Row],[Top '[m']]]-TOWER_DATA[[#This Row],[Bottom '[m']]], "")</f>
        <v/>
      </c>
    </row>
    <row r="416" spans="86:86" ht="18" customHeight="1" x14ac:dyDescent="0.3">
      <c r="CH416" s="150" t="str">
        <f>IFERROR(TOWER_DATA[[#This Row],[Top '[m']]]-TOWER_DATA[[#This Row],[Bottom '[m']]], "")</f>
        <v/>
      </c>
    </row>
    <row r="417" spans="86:86" ht="18" customHeight="1" x14ac:dyDescent="0.3">
      <c r="CH417" s="150" t="str">
        <f>IFERROR(TOWER_DATA[[#This Row],[Top '[m']]]-TOWER_DATA[[#This Row],[Bottom '[m']]], "")</f>
        <v/>
      </c>
    </row>
    <row r="418" spans="86:86" ht="18" customHeight="1" x14ac:dyDescent="0.3">
      <c r="CH418" s="150" t="str">
        <f>IFERROR(TOWER_DATA[[#This Row],[Top '[m']]]-TOWER_DATA[[#This Row],[Bottom '[m']]], "")</f>
        <v/>
      </c>
    </row>
    <row r="419" spans="86:86" ht="18" customHeight="1" x14ac:dyDescent="0.3">
      <c r="CH419" s="150" t="str">
        <f>IFERROR(TOWER_DATA[[#This Row],[Top '[m']]]-TOWER_DATA[[#This Row],[Bottom '[m']]], "")</f>
        <v/>
      </c>
    </row>
    <row r="420" spans="86:86" ht="18" customHeight="1" x14ac:dyDescent="0.3">
      <c r="CH420" s="150" t="str">
        <f>IFERROR(TOWER_DATA[[#This Row],[Top '[m']]]-TOWER_DATA[[#This Row],[Bottom '[m']]], "")</f>
        <v/>
      </c>
    </row>
    <row r="421" spans="86:86" ht="18" customHeight="1" x14ac:dyDescent="0.3">
      <c r="CH421" s="150" t="str">
        <f>IFERROR(TOWER_DATA[[#This Row],[Top '[m']]]-TOWER_DATA[[#This Row],[Bottom '[m']]], "")</f>
        <v/>
      </c>
    </row>
    <row r="422" spans="86:86" ht="18" customHeight="1" x14ac:dyDescent="0.3">
      <c r="CH422" s="150" t="str">
        <f>IFERROR(TOWER_DATA[[#This Row],[Top '[m']]]-TOWER_DATA[[#This Row],[Bottom '[m']]], "")</f>
        <v/>
      </c>
    </row>
    <row r="423" spans="86:86" ht="18" customHeight="1" x14ac:dyDescent="0.3">
      <c r="CH423" s="150" t="str">
        <f>IFERROR(TOWER_DATA[[#This Row],[Top '[m']]]-TOWER_DATA[[#This Row],[Bottom '[m']]], "")</f>
        <v/>
      </c>
    </row>
    <row r="424" spans="86:86" ht="18" customHeight="1" x14ac:dyDescent="0.3">
      <c r="CH424" s="150" t="str">
        <f>IFERROR(TOWER_DATA[[#This Row],[Top '[m']]]-TOWER_DATA[[#This Row],[Bottom '[m']]], "")</f>
        <v/>
      </c>
    </row>
    <row r="425" spans="86:86" ht="18" customHeight="1" x14ac:dyDescent="0.3">
      <c r="CH425" s="150" t="str">
        <f>IFERROR(TOWER_DATA[[#This Row],[Top '[m']]]-TOWER_DATA[[#This Row],[Bottom '[m']]], "")</f>
        <v/>
      </c>
    </row>
    <row r="426" spans="86:86" ht="18" customHeight="1" x14ac:dyDescent="0.3">
      <c r="CH426" s="150" t="str">
        <f>IFERROR(TOWER_DATA[[#This Row],[Top '[m']]]-TOWER_DATA[[#This Row],[Bottom '[m']]], "")</f>
        <v/>
      </c>
    </row>
    <row r="427" spans="86:86" ht="18" customHeight="1" x14ac:dyDescent="0.3">
      <c r="CH427" s="150" t="str">
        <f>IFERROR(TOWER_DATA[[#This Row],[Top '[m']]]-TOWER_DATA[[#This Row],[Bottom '[m']]], "")</f>
        <v/>
      </c>
    </row>
    <row r="428" spans="86:86" ht="18" customHeight="1" x14ac:dyDescent="0.3">
      <c r="CH428" s="150" t="str">
        <f>IFERROR(TOWER_DATA[[#This Row],[Top '[m']]]-TOWER_DATA[[#This Row],[Bottom '[m']]], "")</f>
        <v/>
      </c>
    </row>
    <row r="429" spans="86:86" ht="18" customHeight="1" x14ac:dyDescent="0.3">
      <c r="CH429" s="150" t="str">
        <f>IFERROR(TOWER_DATA[[#This Row],[Top '[m']]]-TOWER_DATA[[#This Row],[Bottom '[m']]], "")</f>
        <v/>
      </c>
    </row>
    <row r="430" spans="86:86" ht="18" customHeight="1" x14ac:dyDescent="0.3">
      <c r="CH430" s="150" t="str">
        <f>IFERROR(TOWER_DATA[[#This Row],[Top '[m']]]-TOWER_DATA[[#This Row],[Bottom '[m']]], "")</f>
        <v/>
      </c>
    </row>
    <row r="431" spans="86:86" ht="18" customHeight="1" x14ac:dyDescent="0.3">
      <c r="CH431" s="150" t="str">
        <f>IFERROR(TOWER_DATA[[#This Row],[Top '[m']]]-TOWER_DATA[[#This Row],[Bottom '[m']]], "")</f>
        <v/>
      </c>
    </row>
    <row r="432" spans="86:86" ht="18" customHeight="1" x14ac:dyDescent="0.3">
      <c r="CH432" s="150" t="str">
        <f>IFERROR(TOWER_DATA[[#This Row],[Top '[m']]]-TOWER_DATA[[#This Row],[Bottom '[m']]], "")</f>
        <v/>
      </c>
    </row>
    <row r="433" spans="86:86" ht="18" customHeight="1" x14ac:dyDescent="0.3">
      <c r="CH433" s="150" t="str">
        <f>IFERROR(TOWER_DATA[[#This Row],[Top '[m']]]-TOWER_DATA[[#This Row],[Bottom '[m']]], "")</f>
        <v/>
      </c>
    </row>
    <row r="434" spans="86:86" ht="18" customHeight="1" x14ac:dyDescent="0.3">
      <c r="CH434" s="150" t="str">
        <f>IFERROR(TOWER_DATA[[#This Row],[Top '[m']]]-TOWER_DATA[[#This Row],[Bottom '[m']]], "")</f>
        <v/>
      </c>
    </row>
    <row r="435" spans="86:86" ht="18" customHeight="1" x14ac:dyDescent="0.3">
      <c r="CH435" s="150" t="str">
        <f>IFERROR(TOWER_DATA[[#This Row],[Top '[m']]]-TOWER_DATA[[#This Row],[Bottom '[m']]], "")</f>
        <v/>
      </c>
    </row>
    <row r="436" spans="86:86" ht="18" customHeight="1" x14ac:dyDescent="0.3">
      <c r="CH436" s="150" t="str">
        <f>IFERROR(TOWER_DATA[[#This Row],[Top '[m']]]-TOWER_DATA[[#This Row],[Bottom '[m']]], "")</f>
        <v/>
      </c>
    </row>
    <row r="437" spans="86:86" ht="18" customHeight="1" x14ac:dyDescent="0.3">
      <c r="CH437" s="150" t="str">
        <f>IFERROR(TOWER_DATA[[#This Row],[Top '[m']]]-TOWER_DATA[[#This Row],[Bottom '[m']]], "")</f>
        <v/>
      </c>
    </row>
    <row r="438" spans="86:86" ht="18" customHeight="1" x14ac:dyDescent="0.3">
      <c r="CH438" s="150" t="str">
        <f>IFERROR(TOWER_DATA[[#This Row],[Top '[m']]]-TOWER_DATA[[#This Row],[Bottom '[m']]], "")</f>
        <v/>
      </c>
    </row>
    <row r="439" spans="86:86" ht="18" customHeight="1" x14ac:dyDescent="0.3">
      <c r="CH439" s="150" t="str">
        <f>IFERROR(TOWER_DATA[[#This Row],[Top '[m']]]-TOWER_DATA[[#This Row],[Bottom '[m']]], "")</f>
        <v/>
      </c>
    </row>
    <row r="440" spans="86:86" ht="18" customHeight="1" x14ac:dyDescent="0.3">
      <c r="CH440" s="150" t="str">
        <f>IFERROR(TOWER_DATA[[#This Row],[Top '[m']]]-TOWER_DATA[[#This Row],[Bottom '[m']]], "")</f>
        <v/>
      </c>
    </row>
    <row r="441" spans="86:86" ht="18" customHeight="1" x14ac:dyDescent="0.3">
      <c r="CH441" s="150" t="str">
        <f>IFERROR(TOWER_DATA[[#This Row],[Top '[m']]]-TOWER_DATA[[#This Row],[Bottom '[m']]], "")</f>
        <v/>
      </c>
    </row>
    <row r="442" spans="86:86" ht="18" customHeight="1" x14ac:dyDescent="0.3">
      <c r="CH442" s="150" t="str">
        <f>IFERROR(TOWER_DATA[[#This Row],[Top '[m']]]-TOWER_DATA[[#This Row],[Bottom '[m']]], "")</f>
        <v/>
      </c>
    </row>
    <row r="443" spans="86:86" ht="18" customHeight="1" x14ac:dyDescent="0.3">
      <c r="CH443" s="150" t="str">
        <f>IFERROR(TOWER_DATA[[#This Row],[Top '[m']]]-TOWER_DATA[[#This Row],[Bottom '[m']]], "")</f>
        <v/>
      </c>
    </row>
    <row r="444" spans="86:86" ht="18" customHeight="1" x14ac:dyDescent="0.3">
      <c r="CH444" s="150" t="str">
        <f>IFERROR(TOWER_DATA[[#This Row],[Top '[m']]]-TOWER_DATA[[#This Row],[Bottom '[m']]], "")</f>
        <v/>
      </c>
    </row>
    <row r="445" spans="86:86" ht="18" customHeight="1" x14ac:dyDescent="0.3">
      <c r="CH445" s="150" t="str">
        <f>IFERROR(TOWER_DATA[[#This Row],[Top '[m']]]-TOWER_DATA[[#This Row],[Bottom '[m']]], "")</f>
        <v/>
      </c>
    </row>
    <row r="446" spans="86:86" ht="18" customHeight="1" x14ac:dyDescent="0.3">
      <c r="CH446" s="150" t="str">
        <f>IFERROR(TOWER_DATA[[#This Row],[Top '[m']]]-TOWER_DATA[[#This Row],[Bottom '[m']]], "")</f>
        <v/>
      </c>
    </row>
    <row r="447" spans="86:86" ht="18" customHeight="1" x14ac:dyDescent="0.3">
      <c r="CH447" s="150" t="str">
        <f>IFERROR(TOWER_DATA[[#This Row],[Top '[m']]]-TOWER_DATA[[#This Row],[Bottom '[m']]], "")</f>
        <v/>
      </c>
    </row>
    <row r="448" spans="86:86" ht="18" customHeight="1" x14ac:dyDescent="0.3">
      <c r="CH448" s="150" t="str">
        <f>IFERROR(TOWER_DATA[[#This Row],[Top '[m']]]-TOWER_DATA[[#This Row],[Bottom '[m']]], "")</f>
        <v/>
      </c>
    </row>
    <row r="449" spans="86:86" ht="18" customHeight="1" x14ac:dyDescent="0.3">
      <c r="CH449" s="150" t="str">
        <f>IFERROR(TOWER_DATA[[#This Row],[Top '[m']]]-TOWER_DATA[[#This Row],[Bottom '[m']]], "")</f>
        <v/>
      </c>
    </row>
    <row r="450" spans="86:86" ht="18" customHeight="1" x14ac:dyDescent="0.3">
      <c r="CH450" s="150" t="str">
        <f>IFERROR(TOWER_DATA[[#This Row],[Top '[m']]]-TOWER_DATA[[#This Row],[Bottom '[m']]], "")</f>
        <v/>
      </c>
    </row>
    <row r="451" spans="86:86" ht="18" customHeight="1" x14ac:dyDescent="0.3">
      <c r="CH451" s="150" t="str">
        <f>IFERROR(TOWER_DATA[[#This Row],[Top '[m']]]-TOWER_DATA[[#This Row],[Bottom '[m']]], "")</f>
        <v/>
      </c>
    </row>
    <row r="452" spans="86:86" ht="18" customHeight="1" x14ac:dyDescent="0.3">
      <c r="CH452" s="150" t="str">
        <f>IFERROR(TOWER_DATA[[#This Row],[Top '[m']]]-TOWER_DATA[[#This Row],[Bottom '[m']]], "")</f>
        <v/>
      </c>
    </row>
    <row r="453" spans="86:86" ht="18" customHeight="1" x14ac:dyDescent="0.3">
      <c r="CH453" s="150" t="str">
        <f>IFERROR(TOWER_DATA[[#This Row],[Top '[m']]]-TOWER_DATA[[#This Row],[Bottom '[m']]], "")</f>
        <v/>
      </c>
    </row>
    <row r="454" spans="86:86" ht="18" customHeight="1" x14ac:dyDescent="0.3">
      <c r="CH454" s="150" t="str">
        <f>IFERROR(TOWER_DATA[[#This Row],[Top '[m']]]-TOWER_DATA[[#This Row],[Bottom '[m']]], "")</f>
        <v/>
      </c>
    </row>
    <row r="455" spans="86:86" ht="18" customHeight="1" x14ac:dyDescent="0.3">
      <c r="CH455" s="150" t="str">
        <f>IFERROR(TOWER_DATA[[#This Row],[Top '[m']]]-TOWER_DATA[[#This Row],[Bottom '[m']]], "")</f>
        <v/>
      </c>
    </row>
    <row r="456" spans="86:86" ht="18" customHeight="1" x14ac:dyDescent="0.3">
      <c r="CH456" s="150" t="str">
        <f>IFERROR(TOWER_DATA[[#This Row],[Top '[m']]]-TOWER_DATA[[#This Row],[Bottom '[m']]], "")</f>
        <v/>
      </c>
    </row>
    <row r="457" spans="86:86" ht="18" customHeight="1" x14ac:dyDescent="0.3">
      <c r="CH457" s="150" t="str">
        <f>IFERROR(TOWER_DATA[[#This Row],[Top '[m']]]-TOWER_DATA[[#This Row],[Bottom '[m']]], "")</f>
        <v/>
      </c>
    </row>
    <row r="458" spans="86:86" ht="18" customHeight="1" x14ac:dyDescent="0.3">
      <c r="CH458" s="150" t="str">
        <f>IFERROR(TOWER_DATA[[#This Row],[Top '[m']]]-TOWER_DATA[[#This Row],[Bottom '[m']]], "")</f>
        <v/>
      </c>
    </row>
    <row r="459" spans="86:86" ht="18" customHeight="1" x14ac:dyDescent="0.3">
      <c r="CH459" s="150" t="str">
        <f>IFERROR(TOWER_DATA[[#This Row],[Top '[m']]]-TOWER_DATA[[#This Row],[Bottom '[m']]], "")</f>
        <v/>
      </c>
    </row>
    <row r="460" spans="86:86" ht="18" customHeight="1" x14ac:dyDescent="0.3">
      <c r="CH460" s="150" t="str">
        <f>IFERROR(TOWER_DATA[[#This Row],[Top '[m']]]-TOWER_DATA[[#This Row],[Bottom '[m']]], "")</f>
        <v/>
      </c>
    </row>
    <row r="461" spans="86:86" ht="18" customHeight="1" x14ac:dyDescent="0.3">
      <c r="CH461" s="150" t="str">
        <f>IFERROR(TOWER_DATA[[#This Row],[Top '[m']]]-TOWER_DATA[[#This Row],[Bottom '[m']]], "")</f>
        <v/>
      </c>
    </row>
    <row r="462" spans="86:86" ht="18" customHeight="1" x14ac:dyDescent="0.3">
      <c r="CH462" s="150" t="str">
        <f>IFERROR(TOWER_DATA[[#This Row],[Top '[m']]]-TOWER_DATA[[#This Row],[Bottom '[m']]], "")</f>
        <v/>
      </c>
    </row>
    <row r="463" spans="86:86" ht="18" customHeight="1" x14ac:dyDescent="0.3">
      <c r="CH463" s="150" t="str">
        <f>IFERROR(TOWER_DATA[[#This Row],[Top '[m']]]-TOWER_DATA[[#This Row],[Bottom '[m']]], "")</f>
        <v/>
      </c>
    </row>
    <row r="464" spans="86:86" ht="18" customHeight="1" x14ac:dyDescent="0.3">
      <c r="CH464" s="150" t="str">
        <f>IFERROR(TOWER_DATA[[#This Row],[Top '[m']]]-TOWER_DATA[[#This Row],[Bottom '[m']]], "")</f>
        <v/>
      </c>
    </row>
    <row r="465" spans="86:86" ht="18" customHeight="1" x14ac:dyDescent="0.3">
      <c r="CH465" s="150" t="str">
        <f>IFERROR(TOWER_DATA[[#This Row],[Top '[m']]]-TOWER_DATA[[#This Row],[Bottom '[m']]], "")</f>
        <v/>
      </c>
    </row>
    <row r="466" spans="86:86" ht="18" customHeight="1" x14ac:dyDescent="0.3">
      <c r="CH466" s="150" t="str">
        <f>IFERROR(TOWER_DATA[[#This Row],[Top '[m']]]-TOWER_DATA[[#This Row],[Bottom '[m']]], "")</f>
        <v/>
      </c>
    </row>
    <row r="467" spans="86:86" ht="18" customHeight="1" x14ac:dyDescent="0.3">
      <c r="CH467" s="150" t="str">
        <f>IFERROR(TOWER_DATA[[#This Row],[Top '[m']]]-TOWER_DATA[[#This Row],[Bottom '[m']]], "")</f>
        <v/>
      </c>
    </row>
    <row r="468" spans="86:86" ht="18" customHeight="1" x14ac:dyDescent="0.3">
      <c r="CH468" s="150" t="str">
        <f>IFERROR(TOWER_DATA[[#This Row],[Top '[m']]]-TOWER_DATA[[#This Row],[Bottom '[m']]], "")</f>
        <v/>
      </c>
    </row>
    <row r="469" spans="86:86" ht="18" customHeight="1" x14ac:dyDescent="0.3">
      <c r="CH469" s="150" t="str">
        <f>IFERROR(TOWER_DATA[[#This Row],[Top '[m']]]-TOWER_DATA[[#This Row],[Bottom '[m']]], "")</f>
        <v/>
      </c>
    </row>
    <row r="470" spans="86:86" ht="18" customHeight="1" x14ac:dyDescent="0.3">
      <c r="CH470" s="150" t="str">
        <f>IFERROR(TOWER_DATA[[#This Row],[Top '[m']]]-TOWER_DATA[[#This Row],[Bottom '[m']]], "")</f>
        <v/>
      </c>
    </row>
    <row r="471" spans="86:86" ht="18" customHeight="1" x14ac:dyDescent="0.3">
      <c r="CH471" s="150" t="str">
        <f>IFERROR(TOWER_DATA[[#This Row],[Top '[m']]]-TOWER_DATA[[#This Row],[Bottom '[m']]], "")</f>
        <v/>
      </c>
    </row>
    <row r="472" spans="86:86" ht="18" customHeight="1" x14ac:dyDescent="0.3">
      <c r="CH472" s="150" t="str">
        <f>IFERROR(TOWER_DATA[[#This Row],[Top '[m']]]-TOWER_DATA[[#This Row],[Bottom '[m']]], "")</f>
        <v/>
      </c>
    </row>
    <row r="473" spans="86:86" ht="18" customHeight="1" x14ac:dyDescent="0.3">
      <c r="CH473" s="150" t="str">
        <f>IFERROR(TOWER_DATA[[#This Row],[Top '[m']]]-TOWER_DATA[[#This Row],[Bottom '[m']]], "")</f>
        <v/>
      </c>
    </row>
    <row r="474" spans="86:86" ht="18" customHeight="1" x14ac:dyDescent="0.3">
      <c r="CH474" s="150" t="str">
        <f>IFERROR(TOWER_DATA[[#This Row],[Top '[m']]]-TOWER_DATA[[#This Row],[Bottom '[m']]], "")</f>
        <v/>
      </c>
    </row>
    <row r="475" spans="86:86" ht="18" customHeight="1" x14ac:dyDescent="0.3">
      <c r="CH475" s="150" t="str">
        <f>IFERROR(TOWER_DATA[[#This Row],[Top '[m']]]-TOWER_DATA[[#This Row],[Bottom '[m']]], "")</f>
        <v/>
      </c>
    </row>
    <row r="476" spans="86:86" ht="18" customHeight="1" x14ac:dyDescent="0.3">
      <c r="CH476" s="150" t="str">
        <f>IFERROR(TOWER_DATA[[#This Row],[Top '[m']]]-TOWER_DATA[[#This Row],[Bottom '[m']]], "")</f>
        <v/>
      </c>
    </row>
    <row r="477" spans="86:86" ht="18" customHeight="1" x14ac:dyDescent="0.3">
      <c r="CH477" s="150" t="str">
        <f>IFERROR(TOWER_DATA[[#This Row],[Top '[m']]]-TOWER_DATA[[#This Row],[Bottom '[m']]], "")</f>
        <v/>
      </c>
    </row>
    <row r="478" spans="86:86" ht="18" customHeight="1" x14ac:dyDescent="0.3">
      <c r="CH478" s="150" t="str">
        <f>IFERROR(TOWER_DATA[[#This Row],[Top '[m']]]-TOWER_DATA[[#This Row],[Bottom '[m']]], "")</f>
        <v/>
      </c>
    </row>
    <row r="479" spans="86:86" ht="18" customHeight="1" x14ac:dyDescent="0.3">
      <c r="CH479" s="150" t="str">
        <f>IFERROR(TOWER_DATA[[#This Row],[Top '[m']]]-TOWER_DATA[[#This Row],[Bottom '[m']]], "")</f>
        <v/>
      </c>
    </row>
    <row r="480" spans="86:86" ht="18" customHeight="1" x14ac:dyDescent="0.3">
      <c r="CH480" s="150" t="str">
        <f>IFERROR(TOWER_DATA[[#This Row],[Top '[m']]]-TOWER_DATA[[#This Row],[Bottom '[m']]], "")</f>
        <v/>
      </c>
    </row>
    <row r="481" spans="86:86" ht="18" customHeight="1" x14ac:dyDescent="0.3">
      <c r="CH481" s="150" t="str">
        <f>IFERROR(TOWER_DATA[[#This Row],[Top '[m']]]-TOWER_DATA[[#This Row],[Bottom '[m']]], "")</f>
        <v/>
      </c>
    </row>
    <row r="482" spans="86:86" ht="18" customHeight="1" x14ac:dyDescent="0.3">
      <c r="CH482" s="150" t="str">
        <f>IFERROR(TOWER_DATA[[#This Row],[Top '[m']]]-TOWER_DATA[[#This Row],[Bottom '[m']]], "")</f>
        <v/>
      </c>
    </row>
    <row r="483" spans="86:86" ht="18" customHeight="1" x14ac:dyDescent="0.3">
      <c r="CH483" s="150" t="str">
        <f>IFERROR(TOWER_DATA[[#This Row],[Top '[m']]]-TOWER_DATA[[#This Row],[Bottom '[m']]], "")</f>
        <v/>
      </c>
    </row>
    <row r="484" spans="86:86" ht="18" customHeight="1" x14ac:dyDescent="0.3">
      <c r="CH484" s="150" t="str">
        <f>IFERROR(TOWER_DATA[[#This Row],[Top '[m']]]-TOWER_DATA[[#This Row],[Bottom '[m']]], "")</f>
        <v/>
      </c>
    </row>
    <row r="485" spans="86:86" ht="18" customHeight="1" x14ac:dyDescent="0.3">
      <c r="CH485" s="150" t="str">
        <f>IFERROR(TOWER_DATA[[#This Row],[Top '[m']]]-TOWER_DATA[[#This Row],[Bottom '[m']]], "")</f>
        <v/>
      </c>
    </row>
    <row r="486" spans="86:86" ht="18" customHeight="1" x14ac:dyDescent="0.3">
      <c r="CH486" s="150" t="str">
        <f>IFERROR(TOWER_DATA[[#This Row],[Top '[m']]]-TOWER_DATA[[#This Row],[Bottom '[m']]], "")</f>
        <v/>
      </c>
    </row>
    <row r="487" spans="86:86" ht="18" customHeight="1" x14ac:dyDescent="0.3">
      <c r="CH487" s="150" t="str">
        <f>IFERROR(TOWER_DATA[[#This Row],[Top '[m']]]-TOWER_DATA[[#This Row],[Bottom '[m']]], "")</f>
        <v/>
      </c>
    </row>
    <row r="488" spans="86:86" ht="18" customHeight="1" x14ac:dyDescent="0.3">
      <c r="CH488" s="150" t="str">
        <f>IFERROR(TOWER_DATA[[#This Row],[Top '[m']]]-TOWER_DATA[[#This Row],[Bottom '[m']]], "")</f>
        <v/>
      </c>
    </row>
    <row r="489" spans="86:86" ht="18" customHeight="1" x14ac:dyDescent="0.3">
      <c r="CH489" s="150" t="str">
        <f>IFERROR(TOWER_DATA[[#This Row],[Top '[m']]]-TOWER_DATA[[#This Row],[Bottom '[m']]], "")</f>
        <v/>
      </c>
    </row>
    <row r="490" spans="86:86" ht="18" customHeight="1" x14ac:dyDescent="0.3">
      <c r="CH490" s="150" t="str">
        <f>IFERROR(TOWER_DATA[[#This Row],[Top '[m']]]-TOWER_DATA[[#This Row],[Bottom '[m']]], "")</f>
        <v/>
      </c>
    </row>
    <row r="491" spans="86:86" ht="18" customHeight="1" x14ac:dyDescent="0.3">
      <c r="CH491" s="150" t="str">
        <f>IFERROR(TOWER_DATA[[#This Row],[Top '[m']]]-TOWER_DATA[[#This Row],[Bottom '[m']]], "")</f>
        <v/>
      </c>
    </row>
    <row r="492" spans="86:86" ht="18" customHeight="1" x14ac:dyDescent="0.3">
      <c r="CH492" s="150" t="str">
        <f>IFERROR(TOWER_DATA[[#This Row],[Top '[m']]]-TOWER_DATA[[#This Row],[Bottom '[m']]], "")</f>
        <v/>
      </c>
    </row>
    <row r="493" spans="86:86" ht="18" customHeight="1" x14ac:dyDescent="0.3">
      <c r="CH493" s="150" t="str">
        <f>IFERROR(TOWER_DATA[[#This Row],[Top '[m']]]-TOWER_DATA[[#This Row],[Bottom '[m']]], "")</f>
        <v/>
      </c>
    </row>
    <row r="494" spans="86:86" ht="18" customHeight="1" x14ac:dyDescent="0.3">
      <c r="CH494" s="150" t="str">
        <f>IFERROR(TOWER_DATA[[#This Row],[Top '[m']]]-TOWER_DATA[[#This Row],[Bottom '[m']]], "")</f>
        <v/>
      </c>
    </row>
    <row r="495" spans="86:86" ht="18" customHeight="1" x14ac:dyDescent="0.3">
      <c r="CH495" s="150" t="str">
        <f>IFERROR(TOWER_DATA[[#This Row],[Top '[m']]]-TOWER_DATA[[#This Row],[Bottom '[m']]], "")</f>
        <v/>
      </c>
    </row>
    <row r="496" spans="86:86" ht="18" customHeight="1" x14ac:dyDescent="0.3">
      <c r="CH496" s="150" t="str">
        <f>IFERROR(TOWER_DATA[[#This Row],[Top '[m']]]-TOWER_DATA[[#This Row],[Bottom '[m']]], "")</f>
        <v/>
      </c>
    </row>
    <row r="497" spans="86:86" ht="18" customHeight="1" x14ac:dyDescent="0.3">
      <c r="CH497" s="150" t="str">
        <f>IFERROR(TOWER_DATA[[#This Row],[Top '[m']]]-TOWER_DATA[[#This Row],[Bottom '[m']]], "")</f>
        <v/>
      </c>
    </row>
    <row r="498" spans="86:86" ht="18" customHeight="1" x14ac:dyDescent="0.3">
      <c r="CH498" s="150" t="str">
        <f>IFERROR(TOWER_DATA[[#This Row],[Top '[m']]]-TOWER_DATA[[#This Row],[Bottom '[m']]], "")</f>
        <v/>
      </c>
    </row>
    <row r="499" spans="86:86" ht="18" customHeight="1" x14ac:dyDescent="0.3">
      <c r="CH499" s="150" t="str">
        <f>IFERROR(TOWER_DATA[[#This Row],[Top '[m']]]-TOWER_DATA[[#This Row],[Bottom '[m']]], "")</f>
        <v/>
      </c>
    </row>
    <row r="500" spans="86:86" ht="18" customHeight="1" x14ac:dyDescent="0.3">
      <c r="CH500" s="150" t="str">
        <f>IFERROR(TOWER_DATA[[#This Row],[Top '[m']]]-TOWER_DATA[[#This Row],[Bottom '[m']]], "")</f>
        <v/>
      </c>
    </row>
    <row r="501" spans="86:86" ht="18" customHeight="1" x14ac:dyDescent="0.3">
      <c r="CH501" s="150" t="str">
        <f>IFERROR(TOWER_DATA[[#This Row],[Top '[m']]]-TOWER_DATA[[#This Row],[Bottom '[m']]], "")</f>
        <v/>
      </c>
    </row>
    <row r="502" spans="86:86" ht="18" customHeight="1" x14ac:dyDescent="0.3">
      <c r="CH502" s="150" t="str">
        <f>IFERROR(TOWER_DATA[[#This Row],[Top '[m']]]-TOWER_DATA[[#This Row],[Bottom '[m']]], "")</f>
        <v/>
      </c>
    </row>
    <row r="503" spans="86:86" ht="18" customHeight="1" x14ac:dyDescent="0.3">
      <c r="CH503" s="150" t="str">
        <f>IFERROR(TOWER_DATA[[#This Row],[Top '[m']]]-TOWER_DATA[[#This Row],[Bottom '[m']]], "")</f>
        <v/>
      </c>
    </row>
    <row r="504" spans="86:86" ht="18" customHeight="1" x14ac:dyDescent="0.3">
      <c r="CH504" s="150" t="str">
        <f>IFERROR(TOWER_DATA[[#This Row],[Top '[m']]]-TOWER_DATA[[#This Row],[Bottom '[m']]], "")</f>
        <v/>
      </c>
    </row>
    <row r="505" spans="86:86" ht="18" customHeight="1" x14ac:dyDescent="0.3">
      <c r="CH505" s="150" t="str">
        <f>IFERROR(TOWER_DATA[[#This Row],[Top '[m']]]-TOWER_DATA[[#This Row],[Bottom '[m']]], "")</f>
        <v/>
      </c>
    </row>
    <row r="506" spans="86:86" ht="18" customHeight="1" x14ac:dyDescent="0.3">
      <c r="CH506" s="150" t="str">
        <f>IFERROR(TOWER_DATA[[#This Row],[Top '[m']]]-TOWER_DATA[[#This Row],[Bottom '[m']]], "")</f>
        <v/>
      </c>
    </row>
    <row r="507" spans="86:86" ht="18" customHeight="1" x14ac:dyDescent="0.3">
      <c r="CH507" s="150" t="str">
        <f>IFERROR(TOWER_DATA[[#This Row],[Top '[m']]]-TOWER_DATA[[#This Row],[Bottom '[m']]], "")</f>
        <v/>
      </c>
    </row>
    <row r="508" spans="86:86" ht="18" customHeight="1" x14ac:dyDescent="0.3">
      <c r="CH508" s="150" t="str">
        <f>IFERROR(TOWER_DATA[[#This Row],[Top '[m']]]-TOWER_DATA[[#This Row],[Bottom '[m']]], "")</f>
        <v/>
      </c>
    </row>
    <row r="509" spans="86:86" ht="18" customHeight="1" x14ac:dyDescent="0.3">
      <c r="CH509" s="150" t="str">
        <f>IFERROR(TOWER_DATA[[#This Row],[Top '[m']]]-TOWER_DATA[[#This Row],[Bottom '[m']]], "")</f>
        <v/>
      </c>
    </row>
    <row r="510" spans="86:86" ht="18" customHeight="1" x14ac:dyDescent="0.3">
      <c r="CH510" s="150" t="str">
        <f>IFERROR(TOWER_DATA[[#This Row],[Top '[m']]]-TOWER_DATA[[#This Row],[Bottom '[m']]], "")</f>
        <v/>
      </c>
    </row>
    <row r="511" spans="86:86" ht="18" customHeight="1" x14ac:dyDescent="0.3">
      <c r="CH511" s="150" t="str">
        <f>IFERROR(TOWER_DATA[[#This Row],[Top '[m']]]-TOWER_DATA[[#This Row],[Bottom '[m']]], "")</f>
        <v/>
      </c>
    </row>
    <row r="512" spans="86:86" ht="18" customHeight="1" x14ac:dyDescent="0.3">
      <c r="CH512" s="150" t="str">
        <f>IFERROR(TOWER_DATA[[#This Row],[Top '[m']]]-TOWER_DATA[[#This Row],[Bottom '[m']]], "")</f>
        <v/>
      </c>
    </row>
    <row r="513" spans="86:86" ht="18" customHeight="1" x14ac:dyDescent="0.3">
      <c r="CH513" s="150" t="str">
        <f>IFERROR(TOWER_DATA[[#This Row],[Top '[m']]]-TOWER_DATA[[#This Row],[Bottom '[m']]], "")</f>
        <v/>
      </c>
    </row>
    <row r="514" spans="86:86" ht="18" customHeight="1" x14ac:dyDescent="0.3">
      <c r="CH514" s="150" t="str">
        <f>IFERROR(TOWER_DATA[[#This Row],[Top '[m']]]-TOWER_DATA[[#This Row],[Bottom '[m']]], "")</f>
        <v/>
      </c>
    </row>
    <row r="515" spans="86:86" ht="18" customHeight="1" x14ac:dyDescent="0.3">
      <c r="CH515" s="150" t="str">
        <f>IFERROR(TOWER_DATA[[#This Row],[Top '[m']]]-TOWER_DATA[[#This Row],[Bottom '[m']]], "")</f>
        <v/>
      </c>
    </row>
    <row r="516" spans="86:86" ht="18" customHeight="1" x14ac:dyDescent="0.3">
      <c r="CH516" s="150" t="str">
        <f>IFERROR(TOWER_DATA[[#This Row],[Top '[m']]]-TOWER_DATA[[#This Row],[Bottom '[m']]], "")</f>
        <v/>
      </c>
    </row>
    <row r="517" spans="86:86" ht="18" customHeight="1" x14ac:dyDescent="0.3">
      <c r="CH517" s="150" t="str">
        <f>IFERROR(TOWER_DATA[[#This Row],[Top '[m']]]-TOWER_DATA[[#This Row],[Bottom '[m']]], "")</f>
        <v/>
      </c>
    </row>
    <row r="518" spans="86:86" ht="18" customHeight="1" x14ac:dyDescent="0.3">
      <c r="CH518" s="150" t="str">
        <f>IFERROR(TOWER_DATA[[#This Row],[Top '[m']]]-TOWER_DATA[[#This Row],[Bottom '[m']]], "")</f>
        <v/>
      </c>
    </row>
    <row r="519" spans="86:86" ht="18" customHeight="1" x14ac:dyDescent="0.3">
      <c r="CH519" s="150" t="str">
        <f>IFERROR(TOWER_DATA[[#This Row],[Top '[m']]]-TOWER_DATA[[#This Row],[Bottom '[m']]], "")</f>
        <v/>
      </c>
    </row>
    <row r="520" spans="86:86" ht="18" customHeight="1" x14ac:dyDescent="0.3">
      <c r="CH520" s="150" t="str">
        <f>IFERROR(TOWER_DATA[[#This Row],[Top '[m']]]-TOWER_DATA[[#This Row],[Bottom '[m']]], "")</f>
        <v/>
      </c>
    </row>
    <row r="521" spans="86:86" ht="18" customHeight="1" x14ac:dyDescent="0.3">
      <c r="CH521" s="150" t="str">
        <f>IFERROR(TOWER_DATA[[#This Row],[Top '[m']]]-TOWER_DATA[[#This Row],[Bottom '[m']]], "")</f>
        <v/>
      </c>
    </row>
    <row r="522" spans="86:86" ht="18" customHeight="1" x14ac:dyDescent="0.3">
      <c r="CH522" s="150" t="str">
        <f>IFERROR(TOWER_DATA[[#This Row],[Top '[m']]]-TOWER_DATA[[#This Row],[Bottom '[m']]], "")</f>
        <v/>
      </c>
    </row>
    <row r="523" spans="86:86" ht="18" customHeight="1" x14ac:dyDescent="0.3">
      <c r="CH523" s="150" t="str">
        <f>IFERROR(TOWER_DATA[[#This Row],[Top '[m']]]-TOWER_DATA[[#This Row],[Bottom '[m']]], "")</f>
        <v/>
      </c>
    </row>
    <row r="524" spans="86:86" ht="18" customHeight="1" x14ac:dyDescent="0.3">
      <c r="CH524" s="150" t="str">
        <f>IFERROR(TOWER_DATA[[#This Row],[Top '[m']]]-TOWER_DATA[[#This Row],[Bottom '[m']]], "")</f>
        <v/>
      </c>
    </row>
    <row r="525" spans="86:86" ht="18" customHeight="1" x14ac:dyDescent="0.3">
      <c r="CH525" s="150" t="str">
        <f>IFERROR(TOWER_DATA[[#This Row],[Top '[m']]]-TOWER_DATA[[#This Row],[Bottom '[m']]], "")</f>
        <v/>
      </c>
    </row>
    <row r="526" spans="86:86" ht="18" customHeight="1" x14ac:dyDescent="0.3">
      <c r="CH526" s="150" t="str">
        <f>IFERROR(TOWER_DATA[[#This Row],[Top '[m']]]-TOWER_DATA[[#This Row],[Bottom '[m']]], "")</f>
        <v/>
      </c>
    </row>
    <row r="527" spans="86:86" ht="18" customHeight="1" x14ac:dyDescent="0.3">
      <c r="CH527" s="150" t="str">
        <f>IFERROR(TOWER_DATA[[#This Row],[Top '[m']]]-TOWER_DATA[[#This Row],[Bottom '[m']]], "")</f>
        <v/>
      </c>
    </row>
    <row r="528" spans="86:86" ht="18" customHeight="1" x14ac:dyDescent="0.3">
      <c r="CH528" s="150" t="str">
        <f>IFERROR(TOWER_DATA[[#This Row],[Top '[m']]]-TOWER_DATA[[#This Row],[Bottom '[m']]], "")</f>
        <v/>
      </c>
    </row>
    <row r="529" spans="86:86" ht="18" customHeight="1" x14ac:dyDescent="0.3">
      <c r="CH529" s="150" t="str">
        <f>IFERROR(TOWER_DATA[[#This Row],[Top '[m']]]-TOWER_DATA[[#This Row],[Bottom '[m']]], "")</f>
        <v/>
      </c>
    </row>
    <row r="530" spans="86:86" ht="18" customHeight="1" x14ac:dyDescent="0.3">
      <c r="CH530" s="150" t="str">
        <f>IFERROR(TOWER_DATA[[#This Row],[Top '[m']]]-TOWER_DATA[[#This Row],[Bottom '[m']]], "")</f>
        <v/>
      </c>
    </row>
    <row r="531" spans="86:86" ht="18" customHeight="1" x14ac:dyDescent="0.3">
      <c r="CH531" s="150" t="str">
        <f>IFERROR(TOWER_DATA[[#This Row],[Top '[m']]]-TOWER_DATA[[#This Row],[Bottom '[m']]], "")</f>
        <v/>
      </c>
    </row>
    <row r="532" spans="86:86" ht="18" customHeight="1" x14ac:dyDescent="0.3">
      <c r="CH532" s="150" t="str">
        <f>IFERROR(TOWER_DATA[[#This Row],[Top '[m']]]-TOWER_DATA[[#This Row],[Bottom '[m']]], "")</f>
        <v/>
      </c>
    </row>
    <row r="533" spans="86:86" ht="18" customHeight="1" x14ac:dyDescent="0.3">
      <c r="CH533" s="150" t="str">
        <f>IFERROR(TOWER_DATA[[#This Row],[Top '[m']]]-TOWER_DATA[[#This Row],[Bottom '[m']]], "")</f>
        <v/>
      </c>
    </row>
    <row r="534" spans="86:86" ht="18" customHeight="1" x14ac:dyDescent="0.3">
      <c r="CH534" s="150" t="str">
        <f>IFERROR(TOWER_DATA[[#This Row],[Top '[m']]]-TOWER_DATA[[#This Row],[Bottom '[m']]], "")</f>
        <v/>
      </c>
    </row>
    <row r="535" spans="86:86" ht="18" customHeight="1" x14ac:dyDescent="0.3">
      <c r="CH535" s="150" t="str">
        <f>IFERROR(TOWER_DATA[[#This Row],[Top '[m']]]-TOWER_DATA[[#This Row],[Bottom '[m']]], "")</f>
        <v/>
      </c>
    </row>
    <row r="536" spans="86:86" ht="18" customHeight="1" x14ac:dyDescent="0.3">
      <c r="CH536" s="150" t="str">
        <f>IFERROR(TOWER_DATA[[#This Row],[Top '[m']]]-TOWER_DATA[[#This Row],[Bottom '[m']]], "")</f>
        <v/>
      </c>
    </row>
    <row r="537" spans="86:86" ht="18" customHeight="1" x14ac:dyDescent="0.3">
      <c r="CH537" s="150" t="str">
        <f>IFERROR(TOWER_DATA[[#This Row],[Top '[m']]]-TOWER_DATA[[#This Row],[Bottom '[m']]], "")</f>
        <v/>
      </c>
    </row>
    <row r="538" spans="86:86" ht="18" customHeight="1" x14ac:dyDescent="0.3">
      <c r="CH538" s="150" t="str">
        <f>IFERROR(TOWER_DATA[[#This Row],[Top '[m']]]-TOWER_DATA[[#This Row],[Bottom '[m']]], "")</f>
        <v/>
      </c>
    </row>
    <row r="539" spans="86:86" ht="18" customHeight="1" x14ac:dyDescent="0.3">
      <c r="CH539" s="150" t="str">
        <f>IFERROR(TOWER_DATA[[#This Row],[Top '[m']]]-TOWER_DATA[[#This Row],[Bottom '[m']]], "")</f>
        <v/>
      </c>
    </row>
    <row r="540" spans="86:86" ht="18" customHeight="1" x14ac:dyDescent="0.3">
      <c r="CH540" s="150" t="str">
        <f>IFERROR(TOWER_DATA[[#This Row],[Top '[m']]]-TOWER_DATA[[#This Row],[Bottom '[m']]], "")</f>
        <v/>
      </c>
    </row>
    <row r="541" spans="86:86" ht="18" customHeight="1" x14ac:dyDescent="0.3">
      <c r="CH541" s="150" t="str">
        <f>IFERROR(TOWER_DATA[[#This Row],[Top '[m']]]-TOWER_DATA[[#This Row],[Bottom '[m']]], "")</f>
        <v/>
      </c>
    </row>
    <row r="542" spans="86:86" ht="18" customHeight="1" x14ac:dyDescent="0.3">
      <c r="CH542" s="150" t="str">
        <f>IFERROR(TOWER_DATA[[#This Row],[Top '[m']]]-TOWER_DATA[[#This Row],[Bottom '[m']]], "")</f>
        <v/>
      </c>
    </row>
    <row r="543" spans="86:86" ht="18" customHeight="1" x14ac:dyDescent="0.3">
      <c r="CH543" s="150" t="str">
        <f>IFERROR(TOWER_DATA[[#This Row],[Top '[m']]]-TOWER_DATA[[#This Row],[Bottom '[m']]], "")</f>
        <v/>
      </c>
    </row>
    <row r="544" spans="86:86" ht="18" customHeight="1" x14ac:dyDescent="0.3">
      <c r="CH544" s="150" t="str">
        <f>IFERROR(TOWER_DATA[[#This Row],[Top '[m']]]-TOWER_DATA[[#This Row],[Bottom '[m']]], "")</f>
        <v/>
      </c>
    </row>
    <row r="545" spans="86:86" ht="18" customHeight="1" x14ac:dyDescent="0.3">
      <c r="CH545" s="150" t="str">
        <f>IFERROR(TOWER_DATA[[#This Row],[Top '[m']]]-TOWER_DATA[[#This Row],[Bottom '[m']]], "")</f>
        <v/>
      </c>
    </row>
    <row r="546" spans="86:86" ht="18" customHeight="1" x14ac:dyDescent="0.3">
      <c r="CH546" s="150" t="str">
        <f>IFERROR(TOWER_DATA[[#This Row],[Top '[m']]]-TOWER_DATA[[#This Row],[Bottom '[m']]], "")</f>
        <v/>
      </c>
    </row>
    <row r="547" spans="86:86" ht="18" customHeight="1" x14ac:dyDescent="0.3">
      <c r="CH547" s="150" t="str">
        <f>IFERROR(TOWER_DATA[[#This Row],[Top '[m']]]-TOWER_DATA[[#This Row],[Bottom '[m']]], "")</f>
        <v/>
      </c>
    </row>
    <row r="548" spans="86:86" ht="18" customHeight="1" x14ac:dyDescent="0.3">
      <c r="CH548" s="150" t="str">
        <f>IFERROR(TOWER_DATA[[#This Row],[Top '[m']]]-TOWER_DATA[[#This Row],[Bottom '[m']]], "")</f>
        <v/>
      </c>
    </row>
    <row r="549" spans="86:86" ht="18" customHeight="1" x14ac:dyDescent="0.3">
      <c r="CH549" s="150" t="str">
        <f>IFERROR(TOWER_DATA[[#This Row],[Top '[m']]]-TOWER_DATA[[#This Row],[Bottom '[m']]], "")</f>
        <v/>
      </c>
    </row>
    <row r="550" spans="86:86" ht="18" customHeight="1" x14ac:dyDescent="0.3">
      <c r="CH550" s="150" t="str">
        <f>IFERROR(TOWER_DATA[[#This Row],[Top '[m']]]-TOWER_DATA[[#This Row],[Bottom '[m']]], "")</f>
        <v/>
      </c>
    </row>
    <row r="551" spans="86:86" ht="18" customHeight="1" x14ac:dyDescent="0.3">
      <c r="CH551" s="150" t="str">
        <f>IFERROR(TOWER_DATA[[#This Row],[Top '[m']]]-TOWER_DATA[[#This Row],[Bottom '[m']]], "")</f>
        <v/>
      </c>
    </row>
    <row r="552" spans="86:86" ht="18" customHeight="1" x14ac:dyDescent="0.3">
      <c r="CH552" s="150" t="str">
        <f>IFERROR(TOWER_DATA[[#This Row],[Top '[m']]]-TOWER_DATA[[#This Row],[Bottom '[m']]], "")</f>
        <v/>
      </c>
    </row>
    <row r="553" spans="86:86" ht="18" customHeight="1" x14ac:dyDescent="0.3">
      <c r="CH553" s="150" t="str">
        <f>IFERROR(TOWER_DATA[[#This Row],[Top '[m']]]-TOWER_DATA[[#This Row],[Bottom '[m']]], "")</f>
        <v/>
      </c>
    </row>
    <row r="554" spans="86:86" ht="18" customHeight="1" x14ac:dyDescent="0.3">
      <c r="CH554" s="150" t="str">
        <f>IFERROR(TOWER_DATA[[#This Row],[Top '[m']]]-TOWER_DATA[[#This Row],[Bottom '[m']]], "")</f>
        <v/>
      </c>
    </row>
    <row r="555" spans="86:86" ht="18" customHeight="1" x14ac:dyDescent="0.3">
      <c r="CH555" s="150" t="str">
        <f>IFERROR(TOWER_DATA[[#This Row],[Top '[m']]]-TOWER_DATA[[#This Row],[Bottom '[m']]], "")</f>
        <v/>
      </c>
    </row>
    <row r="556" spans="86:86" ht="18" customHeight="1" x14ac:dyDescent="0.3">
      <c r="CH556" s="150" t="str">
        <f>IFERROR(TOWER_DATA[[#This Row],[Top '[m']]]-TOWER_DATA[[#This Row],[Bottom '[m']]], "")</f>
        <v/>
      </c>
    </row>
    <row r="557" spans="86:86" ht="18" customHeight="1" x14ac:dyDescent="0.3">
      <c r="CH557" s="150" t="str">
        <f>IFERROR(TOWER_DATA[[#This Row],[Top '[m']]]-TOWER_DATA[[#This Row],[Bottom '[m']]], "")</f>
        <v/>
      </c>
    </row>
    <row r="558" spans="86:86" ht="18" customHeight="1" x14ac:dyDescent="0.3">
      <c r="CH558" s="150" t="str">
        <f>IFERROR(TOWER_DATA[[#This Row],[Top '[m']]]-TOWER_DATA[[#This Row],[Bottom '[m']]], "")</f>
        <v/>
      </c>
    </row>
    <row r="559" spans="86:86" ht="18" customHeight="1" x14ac:dyDescent="0.3">
      <c r="CH559" s="150" t="str">
        <f>IFERROR(TOWER_DATA[[#This Row],[Top '[m']]]-TOWER_DATA[[#This Row],[Bottom '[m']]], "")</f>
        <v/>
      </c>
    </row>
    <row r="560" spans="86:86" ht="18" customHeight="1" x14ac:dyDescent="0.3">
      <c r="CH560" s="150" t="str">
        <f>IFERROR(TOWER_DATA[[#This Row],[Top '[m']]]-TOWER_DATA[[#This Row],[Bottom '[m']]], "")</f>
        <v/>
      </c>
    </row>
    <row r="561" spans="86:86" ht="18" customHeight="1" x14ac:dyDescent="0.3">
      <c r="CH561" s="150" t="str">
        <f>IFERROR(TOWER_DATA[[#This Row],[Top '[m']]]-TOWER_DATA[[#This Row],[Bottom '[m']]], "")</f>
        <v/>
      </c>
    </row>
    <row r="562" spans="86:86" ht="18" customHeight="1" x14ac:dyDescent="0.3">
      <c r="CH562" s="150" t="str">
        <f>IFERROR(TOWER_DATA[[#This Row],[Top '[m']]]-TOWER_DATA[[#This Row],[Bottom '[m']]], "")</f>
        <v/>
      </c>
    </row>
    <row r="563" spans="86:86" ht="18" customHeight="1" x14ac:dyDescent="0.3">
      <c r="CH563" s="150" t="str">
        <f>IFERROR(TOWER_DATA[[#This Row],[Top '[m']]]-TOWER_DATA[[#This Row],[Bottom '[m']]], "")</f>
        <v/>
      </c>
    </row>
    <row r="564" spans="86:86" ht="18" customHeight="1" x14ac:dyDescent="0.3">
      <c r="CH564" s="150" t="str">
        <f>IFERROR(TOWER_DATA[[#This Row],[Top '[m']]]-TOWER_DATA[[#This Row],[Bottom '[m']]], "")</f>
        <v/>
      </c>
    </row>
    <row r="565" spans="86:86" ht="18" customHeight="1" x14ac:dyDescent="0.3">
      <c r="CH565" s="150" t="str">
        <f>IFERROR(TOWER_DATA[[#This Row],[Top '[m']]]-TOWER_DATA[[#This Row],[Bottom '[m']]], "")</f>
        <v/>
      </c>
    </row>
    <row r="566" spans="86:86" ht="18" customHeight="1" x14ac:dyDescent="0.3">
      <c r="CH566" s="150" t="str">
        <f>IFERROR(TOWER_DATA[[#This Row],[Top '[m']]]-TOWER_DATA[[#This Row],[Bottom '[m']]], "")</f>
        <v/>
      </c>
    </row>
    <row r="567" spans="86:86" ht="18" customHeight="1" x14ac:dyDescent="0.3">
      <c r="CH567" s="150" t="str">
        <f>IFERROR(TOWER_DATA[[#This Row],[Top '[m']]]-TOWER_DATA[[#This Row],[Bottom '[m']]], "")</f>
        <v/>
      </c>
    </row>
    <row r="568" spans="86:86" ht="18" customHeight="1" x14ac:dyDescent="0.3">
      <c r="CH568" s="150" t="str">
        <f>IFERROR(TOWER_DATA[[#This Row],[Top '[m']]]-TOWER_DATA[[#This Row],[Bottom '[m']]], "")</f>
        <v/>
      </c>
    </row>
    <row r="569" spans="86:86" ht="18" customHeight="1" x14ac:dyDescent="0.3">
      <c r="CH569" s="150" t="str">
        <f>IFERROR(TOWER_DATA[[#This Row],[Top '[m']]]-TOWER_DATA[[#This Row],[Bottom '[m']]], "")</f>
        <v/>
      </c>
    </row>
    <row r="570" spans="86:86" ht="18" customHeight="1" x14ac:dyDescent="0.3">
      <c r="CH570" s="150" t="str">
        <f>IFERROR(TOWER_DATA[[#This Row],[Top '[m']]]-TOWER_DATA[[#This Row],[Bottom '[m']]], "")</f>
        <v/>
      </c>
    </row>
    <row r="571" spans="86:86" ht="18" customHeight="1" x14ac:dyDescent="0.3">
      <c r="CH571" s="150" t="str">
        <f>IFERROR(TOWER_DATA[[#This Row],[Top '[m']]]-TOWER_DATA[[#This Row],[Bottom '[m']]], "")</f>
        <v/>
      </c>
    </row>
    <row r="572" spans="86:86" ht="18" customHeight="1" x14ac:dyDescent="0.3">
      <c r="CH572" s="150" t="str">
        <f>IFERROR(TOWER_DATA[[#This Row],[Top '[m']]]-TOWER_DATA[[#This Row],[Bottom '[m']]], "")</f>
        <v/>
      </c>
    </row>
    <row r="573" spans="86:86" ht="18" customHeight="1" x14ac:dyDescent="0.3">
      <c r="CH573" s="150" t="str">
        <f>IFERROR(TOWER_DATA[[#This Row],[Top '[m']]]-TOWER_DATA[[#This Row],[Bottom '[m']]], "")</f>
        <v/>
      </c>
    </row>
    <row r="574" spans="86:86" ht="18" customHeight="1" x14ac:dyDescent="0.3">
      <c r="CH574" s="150" t="str">
        <f>IFERROR(TOWER_DATA[[#This Row],[Top '[m']]]-TOWER_DATA[[#This Row],[Bottom '[m']]], "")</f>
        <v/>
      </c>
    </row>
    <row r="575" spans="86:86" ht="18" customHeight="1" x14ac:dyDescent="0.3">
      <c r="CH575" s="150" t="str">
        <f>IFERROR(TOWER_DATA[[#This Row],[Top '[m']]]-TOWER_DATA[[#This Row],[Bottom '[m']]], "")</f>
        <v/>
      </c>
    </row>
    <row r="576" spans="86:86" ht="18" customHeight="1" x14ac:dyDescent="0.3">
      <c r="CH576" s="150" t="str">
        <f>IFERROR(TOWER_DATA[[#This Row],[Top '[m']]]-TOWER_DATA[[#This Row],[Bottom '[m']]], "")</f>
        <v/>
      </c>
    </row>
    <row r="577" spans="86:86" ht="18" customHeight="1" x14ac:dyDescent="0.3">
      <c r="CH577" s="150" t="str">
        <f>IFERROR(TOWER_DATA[[#This Row],[Top '[m']]]-TOWER_DATA[[#This Row],[Bottom '[m']]], "")</f>
        <v/>
      </c>
    </row>
    <row r="578" spans="86:86" ht="18" customHeight="1" x14ac:dyDescent="0.3">
      <c r="CH578" s="150" t="str">
        <f>IFERROR(TOWER_DATA[[#This Row],[Top '[m']]]-TOWER_DATA[[#This Row],[Bottom '[m']]], "")</f>
        <v/>
      </c>
    </row>
    <row r="579" spans="86:86" ht="18" customHeight="1" x14ac:dyDescent="0.3">
      <c r="CH579" s="150" t="str">
        <f>IFERROR(TOWER_DATA[[#This Row],[Top '[m']]]-TOWER_DATA[[#This Row],[Bottom '[m']]], "")</f>
        <v/>
      </c>
    </row>
    <row r="580" spans="86:86" ht="18" customHeight="1" x14ac:dyDescent="0.3">
      <c r="CH580" s="150" t="str">
        <f>IFERROR(TOWER_DATA[[#This Row],[Top '[m']]]-TOWER_DATA[[#This Row],[Bottom '[m']]], "")</f>
        <v/>
      </c>
    </row>
    <row r="581" spans="86:86" ht="18" customHeight="1" x14ac:dyDescent="0.3">
      <c r="CH581" s="150" t="str">
        <f>IFERROR(TOWER_DATA[[#This Row],[Top '[m']]]-TOWER_DATA[[#This Row],[Bottom '[m']]], "")</f>
        <v/>
      </c>
    </row>
    <row r="582" spans="86:86" ht="18" customHeight="1" x14ac:dyDescent="0.3">
      <c r="CH582" s="150" t="str">
        <f>IFERROR(TOWER_DATA[[#This Row],[Top '[m']]]-TOWER_DATA[[#This Row],[Bottom '[m']]], "")</f>
        <v/>
      </c>
    </row>
    <row r="583" spans="86:86" ht="18" customHeight="1" x14ac:dyDescent="0.3">
      <c r="CH583" s="150" t="str">
        <f>IFERROR(TOWER_DATA[[#This Row],[Top '[m']]]-TOWER_DATA[[#This Row],[Bottom '[m']]], "")</f>
        <v/>
      </c>
    </row>
    <row r="584" spans="86:86" ht="18" customHeight="1" x14ac:dyDescent="0.3">
      <c r="CH584" s="150" t="str">
        <f>IFERROR(TOWER_DATA[[#This Row],[Top '[m']]]-TOWER_DATA[[#This Row],[Bottom '[m']]], "")</f>
        <v/>
      </c>
    </row>
    <row r="585" spans="86:86" ht="18" customHeight="1" x14ac:dyDescent="0.3">
      <c r="CH585" s="150" t="str">
        <f>IFERROR(TOWER_DATA[[#This Row],[Top '[m']]]-TOWER_DATA[[#This Row],[Bottom '[m']]], "")</f>
        <v/>
      </c>
    </row>
    <row r="586" spans="86:86" ht="18" customHeight="1" x14ac:dyDescent="0.3">
      <c r="CH586" s="150" t="str">
        <f>IFERROR(TOWER_DATA[[#This Row],[Top '[m']]]-TOWER_DATA[[#This Row],[Bottom '[m']]], "")</f>
        <v/>
      </c>
    </row>
    <row r="587" spans="86:86" ht="18" customHeight="1" x14ac:dyDescent="0.3">
      <c r="CH587" s="150" t="str">
        <f>IFERROR(TOWER_DATA[[#This Row],[Top '[m']]]-TOWER_DATA[[#This Row],[Bottom '[m']]], "")</f>
        <v/>
      </c>
    </row>
    <row r="588" spans="86:86" ht="18" customHeight="1" x14ac:dyDescent="0.3">
      <c r="CH588" s="150" t="str">
        <f>IFERROR(TOWER_DATA[[#This Row],[Top '[m']]]-TOWER_DATA[[#This Row],[Bottom '[m']]], "")</f>
        <v/>
      </c>
    </row>
    <row r="589" spans="86:86" ht="18" customHeight="1" x14ac:dyDescent="0.3">
      <c r="CH589" s="150" t="str">
        <f>IFERROR(TOWER_DATA[[#This Row],[Top '[m']]]-TOWER_DATA[[#This Row],[Bottom '[m']]], "")</f>
        <v/>
      </c>
    </row>
    <row r="590" spans="86:86" ht="18" customHeight="1" x14ac:dyDescent="0.3">
      <c r="CH590" s="150" t="str">
        <f>IFERROR(TOWER_DATA[[#This Row],[Top '[m']]]-TOWER_DATA[[#This Row],[Bottom '[m']]], "")</f>
        <v/>
      </c>
    </row>
    <row r="591" spans="86:86" ht="18" customHeight="1" x14ac:dyDescent="0.3">
      <c r="CH591" s="150" t="str">
        <f>IFERROR(TOWER_DATA[[#This Row],[Top '[m']]]-TOWER_DATA[[#This Row],[Bottom '[m']]], "")</f>
        <v/>
      </c>
    </row>
    <row r="592" spans="86:86" ht="18" customHeight="1" x14ac:dyDescent="0.3">
      <c r="CH592" s="150" t="str">
        <f>IFERROR(TOWER_DATA[[#This Row],[Top '[m']]]-TOWER_DATA[[#This Row],[Bottom '[m']]], "")</f>
        <v/>
      </c>
    </row>
    <row r="593" spans="86:86" ht="18" customHeight="1" x14ac:dyDescent="0.3">
      <c r="CH593" s="150" t="str">
        <f>IFERROR(TOWER_DATA[[#This Row],[Top '[m']]]-TOWER_DATA[[#This Row],[Bottom '[m']]], "")</f>
        <v/>
      </c>
    </row>
    <row r="594" spans="86:86" ht="18" customHeight="1" x14ac:dyDescent="0.3">
      <c r="CH594" s="150" t="str">
        <f>IFERROR(TOWER_DATA[[#This Row],[Top '[m']]]-TOWER_DATA[[#This Row],[Bottom '[m']]], "")</f>
        <v/>
      </c>
    </row>
    <row r="595" spans="86:86" ht="18" customHeight="1" x14ac:dyDescent="0.3">
      <c r="CH595" s="150" t="str">
        <f>IFERROR(TOWER_DATA[[#This Row],[Top '[m']]]-TOWER_DATA[[#This Row],[Bottom '[m']]], "")</f>
        <v/>
      </c>
    </row>
    <row r="596" spans="86:86" ht="18" customHeight="1" x14ac:dyDescent="0.3">
      <c r="CH596" s="150" t="str">
        <f>IFERROR(TOWER_DATA[[#This Row],[Top '[m']]]-TOWER_DATA[[#This Row],[Bottom '[m']]], "")</f>
        <v/>
      </c>
    </row>
    <row r="597" spans="86:86" ht="18" customHeight="1" x14ac:dyDescent="0.3">
      <c r="CH597" s="150" t="str">
        <f>IFERROR(TOWER_DATA[[#This Row],[Top '[m']]]-TOWER_DATA[[#This Row],[Bottom '[m']]], "")</f>
        <v/>
      </c>
    </row>
    <row r="598" spans="86:86" ht="18" customHeight="1" x14ac:dyDescent="0.3">
      <c r="CH598" s="150" t="str">
        <f>IFERROR(TOWER_DATA[[#This Row],[Top '[m']]]-TOWER_DATA[[#This Row],[Bottom '[m']]], "")</f>
        <v/>
      </c>
    </row>
    <row r="599" spans="86:86" ht="18" customHeight="1" x14ac:dyDescent="0.3">
      <c r="CH599" s="150" t="str">
        <f>IFERROR(TOWER_DATA[[#This Row],[Top '[m']]]-TOWER_DATA[[#This Row],[Bottom '[m']]], "")</f>
        <v/>
      </c>
    </row>
    <row r="600" spans="86:86" ht="18" customHeight="1" x14ac:dyDescent="0.3">
      <c r="CH600" s="150" t="str">
        <f>IFERROR(TOWER_DATA[[#This Row],[Top '[m']]]-TOWER_DATA[[#This Row],[Bottom '[m']]], "")</f>
        <v/>
      </c>
    </row>
    <row r="601" spans="86:86" ht="18" customHeight="1" x14ac:dyDescent="0.3">
      <c r="CH601" s="150" t="str">
        <f>IFERROR(TOWER_DATA[[#This Row],[Top '[m']]]-TOWER_DATA[[#This Row],[Bottom '[m']]], "")</f>
        <v/>
      </c>
    </row>
    <row r="602" spans="86:86" ht="18" customHeight="1" x14ac:dyDescent="0.3">
      <c r="CH602" s="150" t="str">
        <f>IFERROR(TOWER_DATA[[#This Row],[Top '[m']]]-TOWER_DATA[[#This Row],[Bottom '[m']]], "")</f>
        <v/>
      </c>
    </row>
    <row r="603" spans="86:86" ht="18" customHeight="1" x14ac:dyDescent="0.3">
      <c r="CH603" s="150" t="str">
        <f>IFERROR(TOWER_DATA[[#This Row],[Top '[m']]]-TOWER_DATA[[#This Row],[Bottom '[m']]], "")</f>
        <v/>
      </c>
    </row>
    <row r="604" spans="86:86" ht="18" customHeight="1" x14ac:dyDescent="0.3">
      <c r="CH604" s="150" t="str">
        <f>IFERROR(TOWER_DATA[[#This Row],[Top '[m']]]-TOWER_DATA[[#This Row],[Bottom '[m']]], "")</f>
        <v/>
      </c>
    </row>
    <row r="605" spans="86:86" ht="18" customHeight="1" x14ac:dyDescent="0.3">
      <c r="CH605" s="150" t="str">
        <f>IFERROR(TOWER_DATA[[#This Row],[Top '[m']]]-TOWER_DATA[[#This Row],[Bottom '[m']]], "")</f>
        <v/>
      </c>
    </row>
    <row r="606" spans="86:86" ht="18" customHeight="1" x14ac:dyDescent="0.3">
      <c r="CH606" s="150" t="str">
        <f>IFERROR(TOWER_DATA[[#This Row],[Top '[m']]]-TOWER_DATA[[#This Row],[Bottom '[m']]], "")</f>
        <v/>
      </c>
    </row>
    <row r="607" spans="86:86" ht="18" customHeight="1" x14ac:dyDescent="0.3">
      <c r="CH607" s="150" t="str">
        <f>IFERROR(TOWER_DATA[[#This Row],[Top '[m']]]-TOWER_DATA[[#This Row],[Bottom '[m']]], "")</f>
        <v/>
      </c>
    </row>
    <row r="608" spans="86:86" ht="18" customHeight="1" x14ac:dyDescent="0.3">
      <c r="CH608" s="150" t="str">
        <f>IFERROR(TOWER_DATA[[#This Row],[Top '[m']]]-TOWER_DATA[[#This Row],[Bottom '[m']]], "")</f>
        <v/>
      </c>
    </row>
    <row r="609" spans="86:86" ht="18" customHeight="1" x14ac:dyDescent="0.3">
      <c r="CH609" s="150" t="str">
        <f>IFERROR(TOWER_DATA[[#This Row],[Top '[m']]]-TOWER_DATA[[#This Row],[Bottom '[m']]], "")</f>
        <v/>
      </c>
    </row>
    <row r="610" spans="86:86" ht="18" customHeight="1" x14ac:dyDescent="0.3">
      <c r="CH610" s="150" t="str">
        <f>IFERROR(TOWER_DATA[[#This Row],[Top '[m']]]-TOWER_DATA[[#This Row],[Bottom '[m']]], "")</f>
        <v/>
      </c>
    </row>
    <row r="611" spans="86:86" ht="18" customHeight="1" x14ac:dyDescent="0.3">
      <c r="CH611" s="150" t="str">
        <f>IFERROR(TOWER_DATA[[#This Row],[Top '[m']]]-TOWER_DATA[[#This Row],[Bottom '[m']]], "")</f>
        <v/>
      </c>
    </row>
    <row r="612" spans="86:86" ht="18" customHeight="1" x14ac:dyDescent="0.3">
      <c r="CH612" s="150" t="str">
        <f>IFERROR(TOWER_DATA[[#This Row],[Top '[m']]]-TOWER_DATA[[#This Row],[Bottom '[m']]], "")</f>
        <v/>
      </c>
    </row>
    <row r="613" spans="86:86" ht="18" customHeight="1" x14ac:dyDescent="0.3">
      <c r="CH613" s="150" t="str">
        <f>IFERROR(TOWER_DATA[[#This Row],[Top '[m']]]-TOWER_DATA[[#This Row],[Bottom '[m']]], "")</f>
        <v/>
      </c>
    </row>
    <row r="614" spans="86:86" ht="18" customHeight="1" x14ac:dyDescent="0.3">
      <c r="CH614" s="150" t="str">
        <f>IFERROR(TOWER_DATA[[#This Row],[Top '[m']]]-TOWER_DATA[[#This Row],[Bottom '[m']]], "")</f>
        <v/>
      </c>
    </row>
    <row r="615" spans="86:86" ht="18" customHeight="1" x14ac:dyDescent="0.3">
      <c r="CH615" s="150" t="str">
        <f>IFERROR(TOWER_DATA[[#This Row],[Top '[m']]]-TOWER_DATA[[#This Row],[Bottom '[m']]], "")</f>
        <v/>
      </c>
    </row>
    <row r="616" spans="86:86" ht="18" customHeight="1" x14ac:dyDescent="0.3">
      <c r="CH616" s="150" t="str">
        <f>IFERROR(TOWER_DATA[[#This Row],[Top '[m']]]-TOWER_DATA[[#This Row],[Bottom '[m']]], "")</f>
        <v/>
      </c>
    </row>
    <row r="617" spans="86:86" ht="18" customHeight="1" x14ac:dyDescent="0.3">
      <c r="CH617" s="150" t="str">
        <f>IFERROR(TOWER_DATA[[#This Row],[Top '[m']]]-TOWER_DATA[[#This Row],[Bottom '[m']]], "")</f>
        <v/>
      </c>
    </row>
    <row r="618" spans="86:86" ht="18" customHeight="1" x14ac:dyDescent="0.3">
      <c r="CH618" s="150" t="str">
        <f>IFERROR(TOWER_DATA[[#This Row],[Top '[m']]]-TOWER_DATA[[#This Row],[Bottom '[m']]], "")</f>
        <v/>
      </c>
    </row>
    <row r="619" spans="86:86" ht="18" customHeight="1" x14ac:dyDescent="0.3">
      <c r="CH619" s="150" t="str">
        <f>IFERROR(TOWER_DATA[[#This Row],[Top '[m']]]-TOWER_DATA[[#This Row],[Bottom '[m']]], "")</f>
        <v/>
      </c>
    </row>
    <row r="620" spans="86:86" ht="18" customHeight="1" x14ac:dyDescent="0.3">
      <c r="CH620" s="150" t="str">
        <f>IFERROR(TOWER_DATA[[#This Row],[Top '[m']]]-TOWER_DATA[[#This Row],[Bottom '[m']]], "")</f>
        <v/>
      </c>
    </row>
    <row r="621" spans="86:86" ht="18" customHeight="1" x14ac:dyDescent="0.3">
      <c r="CH621" s="150" t="str">
        <f>IFERROR(TOWER_DATA[[#This Row],[Top '[m']]]-TOWER_DATA[[#This Row],[Bottom '[m']]], "")</f>
        <v/>
      </c>
    </row>
    <row r="622" spans="86:86" ht="18" customHeight="1" x14ac:dyDescent="0.3">
      <c r="CH622" s="150" t="str">
        <f>IFERROR(TOWER_DATA[[#This Row],[Top '[m']]]-TOWER_DATA[[#This Row],[Bottom '[m']]], "")</f>
        <v/>
      </c>
    </row>
    <row r="623" spans="86:86" ht="18" customHeight="1" x14ac:dyDescent="0.3">
      <c r="CH623" s="150" t="str">
        <f>IFERROR(TOWER_DATA[[#This Row],[Top '[m']]]-TOWER_DATA[[#This Row],[Bottom '[m']]], "")</f>
        <v/>
      </c>
    </row>
    <row r="624" spans="86:86" ht="18" customHeight="1" x14ac:dyDescent="0.3">
      <c r="CH624" s="150" t="str">
        <f>IFERROR(TOWER_DATA[[#This Row],[Top '[m']]]-TOWER_DATA[[#This Row],[Bottom '[m']]], "")</f>
        <v/>
      </c>
    </row>
    <row r="625" spans="86:86" ht="18" customHeight="1" x14ac:dyDescent="0.3">
      <c r="CH625" s="150" t="str">
        <f>IFERROR(TOWER_DATA[[#This Row],[Top '[m']]]-TOWER_DATA[[#This Row],[Bottom '[m']]], "")</f>
        <v/>
      </c>
    </row>
    <row r="626" spans="86:86" ht="18" customHeight="1" x14ac:dyDescent="0.3">
      <c r="CH626" s="150" t="str">
        <f>IFERROR(TOWER_DATA[[#This Row],[Top '[m']]]-TOWER_DATA[[#This Row],[Bottom '[m']]], "")</f>
        <v/>
      </c>
    </row>
    <row r="627" spans="86:86" ht="18" customHeight="1" x14ac:dyDescent="0.3">
      <c r="CH627" s="150" t="str">
        <f>IFERROR(TOWER_DATA[[#This Row],[Top '[m']]]-TOWER_DATA[[#This Row],[Bottom '[m']]], "")</f>
        <v/>
      </c>
    </row>
    <row r="628" spans="86:86" ht="18" customHeight="1" x14ac:dyDescent="0.3">
      <c r="CH628" s="150" t="str">
        <f>IFERROR(TOWER_DATA[[#This Row],[Top '[m']]]-TOWER_DATA[[#This Row],[Bottom '[m']]], "")</f>
        <v/>
      </c>
    </row>
    <row r="629" spans="86:86" ht="18" customHeight="1" x14ac:dyDescent="0.3">
      <c r="CH629" s="150" t="str">
        <f>IFERROR(TOWER_DATA[[#This Row],[Top '[m']]]-TOWER_DATA[[#This Row],[Bottom '[m']]], "")</f>
        <v/>
      </c>
    </row>
    <row r="630" spans="86:86" ht="18" customHeight="1" x14ac:dyDescent="0.3">
      <c r="CH630" s="150" t="str">
        <f>IFERROR(TOWER_DATA[[#This Row],[Top '[m']]]-TOWER_DATA[[#This Row],[Bottom '[m']]], "")</f>
        <v/>
      </c>
    </row>
    <row r="631" spans="86:86" ht="18" customHeight="1" x14ac:dyDescent="0.3">
      <c r="CH631" s="150" t="str">
        <f>IFERROR(TOWER_DATA[[#This Row],[Top '[m']]]-TOWER_DATA[[#This Row],[Bottom '[m']]], "")</f>
        <v/>
      </c>
    </row>
    <row r="632" spans="86:86" ht="18" customHeight="1" x14ac:dyDescent="0.3">
      <c r="CH632" s="150" t="str">
        <f>IFERROR(TOWER_DATA[[#This Row],[Top '[m']]]-TOWER_DATA[[#This Row],[Bottom '[m']]], "")</f>
        <v/>
      </c>
    </row>
    <row r="633" spans="86:86" ht="18" customHeight="1" x14ac:dyDescent="0.3">
      <c r="CH633" s="150" t="str">
        <f>IFERROR(TOWER_DATA[[#This Row],[Top '[m']]]-TOWER_DATA[[#This Row],[Bottom '[m']]], "")</f>
        <v/>
      </c>
    </row>
    <row r="634" spans="86:86" ht="18" customHeight="1" x14ac:dyDescent="0.3">
      <c r="CH634" s="150" t="str">
        <f>IFERROR(TOWER_DATA[[#This Row],[Top '[m']]]-TOWER_DATA[[#This Row],[Bottom '[m']]], "")</f>
        <v/>
      </c>
    </row>
    <row r="635" spans="86:86" ht="18" customHeight="1" x14ac:dyDescent="0.3">
      <c r="CH635" s="150" t="str">
        <f>IFERROR(TOWER_DATA[[#This Row],[Top '[m']]]-TOWER_DATA[[#This Row],[Bottom '[m']]], "")</f>
        <v/>
      </c>
    </row>
    <row r="636" spans="86:86" ht="18" customHeight="1" x14ac:dyDescent="0.3">
      <c r="CH636" s="150" t="str">
        <f>IFERROR(TOWER_DATA[[#This Row],[Top '[m']]]-TOWER_DATA[[#This Row],[Bottom '[m']]], "")</f>
        <v/>
      </c>
    </row>
    <row r="637" spans="86:86" ht="18" customHeight="1" x14ac:dyDescent="0.3">
      <c r="CH637" s="150" t="str">
        <f>IFERROR(TOWER_DATA[[#This Row],[Top '[m']]]-TOWER_DATA[[#This Row],[Bottom '[m']]], "")</f>
        <v/>
      </c>
    </row>
    <row r="638" spans="86:86" ht="18" customHeight="1" x14ac:dyDescent="0.3">
      <c r="CH638" s="150" t="str">
        <f>IFERROR(TOWER_DATA[[#This Row],[Top '[m']]]-TOWER_DATA[[#This Row],[Bottom '[m']]], "")</f>
        <v/>
      </c>
    </row>
    <row r="639" spans="86:86" ht="18" customHeight="1" x14ac:dyDescent="0.3">
      <c r="CH639" s="150" t="str">
        <f>IFERROR(TOWER_DATA[[#This Row],[Top '[m']]]-TOWER_DATA[[#This Row],[Bottom '[m']]], "")</f>
        <v/>
      </c>
    </row>
    <row r="640" spans="86:86" ht="18" customHeight="1" x14ac:dyDescent="0.3">
      <c r="CH640" s="150" t="str">
        <f>IFERROR(TOWER_DATA[[#This Row],[Top '[m']]]-TOWER_DATA[[#This Row],[Bottom '[m']]], "")</f>
        <v/>
      </c>
    </row>
    <row r="641" spans="86:86" ht="18" customHeight="1" x14ac:dyDescent="0.3">
      <c r="CH641" s="150" t="str">
        <f>IFERROR(TOWER_DATA[[#This Row],[Top '[m']]]-TOWER_DATA[[#This Row],[Bottom '[m']]], "")</f>
        <v/>
      </c>
    </row>
    <row r="642" spans="86:86" ht="18" customHeight="1" x14ac:dyDescent="0.3">
      <c r="CH642" s="150" t="str">
        <f>IFERROR(TOWER_DATA[[#This Row],[Top '[m']]]-TOWER_DATA[[#This Row],[Bottom '[m']]], "")</f>
        <v/>
      </c>
    </row>
    <row r="643" spans="86:86" ht="18" customHeight="1" x14ac:dyDescent="0.3">
      <c r="CH643" s="150" t="str">
        <f>IFERROR(TOWER_DATA[[#This Row],[Top '[m']]]-TOWER_DATA[[#This Row],[Bottom '[m']]], "")</f>
        <v/>
      </c>
    </row>
    <row r="644" spans="86:86" ht="18" customHeight="1" x14ac:dyDescent="0.3">
      <c r="CH644" s="150" t="str">
        <f>IFERROR(TOWER_DATA[[#This Row],[Top '[m']]]-TOWER_DATA[[#This Row],[Bottom '[m']]], "")</f>
        <v/>
      </c>
    </row>
    <row r="645" spans="86:86" ht="18" customHeight="1" x14ac:dyDescent="0.3">
      <c r="CH645" s="150" t="str">
        <f>IFERROR(TOWER_DATA[[#This Row],[Top '[m']]]-TOWER_DATA[[#This Row],[Bottom '[m']]], "")</f>
        <v/>
      </c>
    </row>
    <row r="646" spans="86:86" ht="18" customHeight="1" x14ac:dyDescent="0.3">
      <c r="CH646" s="150" t="str">
        <f>IFERROR(TOWER_DATA[[#This Row],[Top '[m']]]-TOWER_DATA[[#This Row],[Bottom '[m']]], "")</f>
        <v/>
      </c>
    </row>
    <row r="647" spans="86:86" ht="18" customHeight="1" x14ac:dyDescent="0.3">
      <c r="CH647" s="150" t="str">
        <f>IFERROR(TOWER_DATA[[#This Row],[Top '[m']]]-TOWER_DATA[[#This Row],[Bottom '[m']]], "")</f>
        <v/>
      </c>
    </row>
    <row r="648" spans="86:86" ht="18" customHeight="1" x14ac:dyDescent="0.3">
      <c r="CH648" s="150" t="str">
        <f>IFERROR(TOWER_DATA[[#This Row],[Top '[m']]]-TOWER_DATA[[#This Row],[Bottom '[m']]], "")</f>
        <v/>
      </c>
    </row>
    <row r="649" spans="86:86" ht="18" customHeight="1" x14ac:dyDescent="0.3">
      <c r="CH649" s="150" t="str">
        <f>IFERROR(TOWER_DATA[[#This Row],[Top '[m']]]-TOWER_DATA[[#This Row],[Bottom '[m']]], "")</f>
        <v/>
      </c>
    </row>
    <row r="650" spans="86:86" ht="18" customHeight="1" x14ac:dyDescent="0.3">
      <c r="CH650" s="150" t="str">
        <f>IFERROR(TOWER_DATA[[#This Row],[Top '[m']]]-TOWER_DATA[[#This Row],[Bottom '[m']]], "")</f>
        <v/>
      </c>
    </row>
    <row r="651" spans="86:86" ht="18" customHeight="1" x14ac:dyDescent="0.3">
      <c r="CH651" s="150" t="str">
        <f>IFERROR(TOWER_DATA[[#This Row],[Top '[m']]]-TOWER_DATA[[#This Row],[Bottom '[m']]], "")</f>
        <v/>
      </c>
    </row>
    <row r="652" spans="86:86" ht="18" customHeight="1" x14ac:dyDescent="0.3">
      <c r="CH652" s="150" t="str">
        <f>IFERROR(TOWER_DATA[[#This Row],[Top '[m']]]-TOWER_DATA[[#This Row],[Bottom '[m']]], "")</f>
        <v/>
      </c>
    </row>
    <row r="653" spans="86:86" ht="18" customHeight="1" x14ac:dyDescent="0.3">
      <c r="CH653" s="150" t="str">
        <f>IFERROR(TOWER_DATA[[#This Row],[Top '[m']]]-TOWER_DATA[[#This Row],[Bottom '[m']]], "")</f>
        <v/>
      </c>
    </row>
    <row r="654" spans="86:86" ht="18" customHeight="1" x14ac:dyDescent="0.3">
      <c r="CH654" s="150" t="str">
        <f>IFERROR(TOWER_DATA[[#This Row],[Top '[m']]]-TOWER_DATA[[#This Row],[Bottom '[m']]], "")</f>
        <v/>
      </c>
    </row>
    <row r="655" spans="86:86" ht="18" customHeight="1" x14ac:dyDescent="0.3">
      <c r="CH655" s="150" t="str">
        <f>IFERROR(TOWER_DATA[[#This Row],[Top '[m']]]-TOWER_DATA[[#This Row],[Bottom '[m']]], "")</f>
        <v/>
      </c>
    </row>
    <row r="656" spans="86:86" ht="18" customHeight="1" x14ac:dyDescent="0.3">
      <c r="CH656" s="150" t="str">
        <f>IFERROR(TOWER_DATA[[#This Row],[Top '[m']]]-TOWER_DATA[[#This Row],[Bottom '[m']]], "")</f>
        <v/>
      </c>
    </row>
    <row r="657" spans="86:86" ht="18" customHeight="1" x14ac:dyDescent="0.3">
      <c r="CH657" s="150" t="str">
        <f>IFERROR(TOWER_DATA[[#This Row],[Top '[m']]]-TOWER_DATA[[#This Row],[Bottom '[m']]], "")</f>
        <v/>
      </c>
    </row>
    <row r="658" spans="86:86" ht="18" customHeight="1" x14ac:dyDescent="0.3">
      <c r="CH658" s="150" t="str">
        <f>IFERROR(TOWER_DATA[[#This Row],[Top '[m']]]-TOWER_DATA[[#This Row],[Bottom '[m']]], "")</f>
        <v/>
      </c>
    </row>
    <row r="659" spans="86:86" ht="18" customHeight="1" x14ac:dyDescent="0.3">
      <c r="CH659" s="150" t="str">
        <f>IFERROR(TOWER_DATA[[#This Row],[Top '[m']]]-TOWER_DATA[[#This Row],[Bottom '[m']]], "")</f>
        <v/>
      </c>
    </row>
    <row r="660" spans="86:86" ht="18" customHeight="1" x14ac:dyDescent="0.3">
      <c r="CH660" s="150" t="str">
        <f>IFERROR(TOWER_DATA[[#This Row],[Top '[m']]]-TOWER_DATA[[#This Row],[Bottom '[m']]], "")</f>
        <v/>
      </c>
    </row>
    <row r="661" spans="86:86" ht="18" customHeight="1" x14ac:dyDescent="0.3">
      <c r="CH661" s="150" t="str">
        <f>IFERROR(TOWER_DATA[[#This Row],[Top '[m']]]-TOWER_DATA[[#This Row],[Bottom '[m']]], "")</f>
        <v/>
      </c>
    </row>
    <row r="662" spans="86:86" ht="18" customHeight="1" x14ac:dyDescent="0.3">
      <c r="CH662" s="150" t="str">
        <f>IFERROR(TOWER_DATA[[#This Row],[Top '[m']]]-TOWER_DATA[[#This Row],[Bottom '[m']]], "")</f>
        <v/>
      </c>
    </row>
    <row r="663" spans="86:86" ht="18" customHeight="1" x14ac:dyDescent="0.3">
      <c r="CH663" s="150" t="str">
        <f>IFERROR(TOWER_DATA[[#This Row],[Top '[m']]]-TOWER_DATA[[#This Row],[Bottom '[m']]], "")</f>
        <v/>
      </c>
    </row>
    <row r="664" spans="86:86" ht="18" customHeight="1" x14ac:dyDescent="0.3">
      <c r="CH664" s="150" t="str">
        <f>IFERROR(TOWER_DATA[[#This Row],[Top '[m']]]-TOWER_DATA[[#This Row],[Bottom '[m']]], "")</f>
        <v/>
      </c>
    </row>
    <row r="665" spans="86:86" ht="18" customHeight="1" x14ac:dyDescent="0.3">
      <c r="CH665" s="150" t="str">
        <f>IFERROR(TOWER_DATA[[#This Row],[Top '[m']]]-TOWER_DATA[[#This Row],[Bottom '[m']]], "")</f>
        <v/>
      </c>
    </row>
    <row r="666" spans="86:86" ht="18" customHeight="1" x14ac:dyDescent="0.3">
      <c r="CH666" s="150" t="str">
        <f>IFERROR(TOWER_DATA[[#This Row],[Top '[m']]]-TOWER_DATA[[#This Row],[Bottom '[m']]], "")</f>
        <v/>
      </c>
    </row>
    <row r="667" spans="86:86" ht="18" customHeight="1" x14ac:dyDescent="0.3">
      <c r="CH667" s="150" t="str">
        <f>IFERROR(TOWER_DATA[[#This Row],[Top '[m']]]-TOWER_DATA[[#This Row],[Bottom '[m']]], "")</f>
        <v/>
      </c>
    </row>
    <row r="668" spans="86:86" ht="18" customHeight="1" x14ac:dyDescent="0.3">
      <c r="CH668" s="150" t="str">
        <f>IFERROR(TOWER_DATA[[#This Row],[Top '[m']]]-TOWER_DATA[[#This Row],[Bottom '[m']]], "")</f>
        <v/>
      </c>
    </row>
    <row r="669" spans="86:86" ht="18" customHeight="1" x14ac:dyDescent="0.3">
      <c r="CH669" s="150" t="str">
        <f>IFERROR(TOWER_DATA[[#This Row],[Top '[m']]]-TOWER_DATA[[#This Row],[Bottom '[m']]], "")</f>
        <v/>
      </c>
    </row>
    <row r="670" spans="86:86" ht="18" customHeight="1" x14ac:dyDescent="0.3">
      <c r="CH670" s="150" t="str">
        <f>IFERROR(TOWER_DATA[[#This Row],[Top '[m']]]-TOWER_DATA[[#This Row],[Bottom '[m']]], "")</f>
        <v/>
      </c>
    </row>
    <row r="671" spans="86:86" ht="18" customHeight="1" x14ac:dyDescent="0.3">
      <c r="CH671" s="150" t="str">
        <f>IFERROR(TOWER_DATA[[#This Row],[Top '[m']]]-TOWER_DATA[[#This Row],[Bottom '[m']]], "")</f>
        <v/>
      </c>
    </row>
    <row r="672" spans="86:86" ht="18" customHeight="1" x14ac:dyDescent="0.3">
      <c r="CH672" s="150" t="str">
        <f>IFERROR(TOWER_DATA[[#This Row],[Top '[m']]]-TOWER_DATA[[#This Row],[Bottom '[m']]], "")</f>
        <v/>
      </c>
    </row>
    <row r="673" spans="86:86" ht="18" customHeight="1" x14ac:dyDescent="0.3">
      <c r="CH673" s="150" t="str">
        <f>IFERROR(TOWER_DATA[[#This Row],[Top '[m']]]-TOWER_DATA[[#This Row],[Bottom '[m']]], "")</f>
        <v/>
      </c>
    </row>
    <row r="674" spans="86:86" ht="18" customHeight="1" x14ac:dyDescent="0.3">
      <c r="CH674" s="150" t="str">
        <f>IFERROR(TOWER_DATA[[#This Row],[Top '[m']]]-TOWER_DATA[[#This Row],[Bottom '[m']]], "")</f>
        <v/>
      </c>
    </row>
    <row r="675" spans="86:86" ht="18" customHeight="1" x14ac:dyDescent="0.3">
      <c r="CH675" s="150" t="str">
        <f>IFERROR(TOWER_DATA[[#This Row],[Top '[m']]]-TOWER_DATA[[#This Row],[Bottom '[m']]], "")</f>
        <v/>
      </c>
    </row>
    <row r="676" spans="86:86" ht="18" customHeight="1" x14ac:dyDescent="0.3">
      <c r="CH676" s="150" t="str">
        <f>IFERROR(TOWER_DATA[[#This Row],[Top '[m']]]-TOWER_DATA[[#This Row],[Bottom '[m']]], "")</f>
        <v/>
      </c>
    </row>
    <row r="677" spans="86:86" ht="18" customHeight="1" x14ac:dyDescent="0.3">
      <c r="CH677" s="150" t="str">
        <f>IFERROR(TOWER_DATA[[#This Row],[Top '[m']]]-TOWER_DATA[[#This Row],[Bottom '[m']]], "")</f>
        <v/>
      </c>
    </row>
    <row r="678" spans="86:86" ht="18" customHeight="1" x14ac:dyDescent="0.3">
      <c r="CH678" s="150" t="str">
        <f>IFERROR(TOWER_DATA[[#This Row],[Top '[m']]]-TOWER_DATA[[#This Row],[Bottom '[m']]], "")</f>
        <v/>
      </c>
    </row>
    <row r="679" spans="86:86" ht="18" customHeight="1" x14ac:dyDescent="0.3">
      <c r="CH679" s="150" t="str">
        <f>IFERROR(TOWER_DATA[[#This Row],[Top '[m']]]-TOWER_DATA[[#This Row],[Bottom '[m']]], "")</f>
        <v/>
      </c>
    </row>
    <row r="680" spans="86:86" ht="18" customHeight="1" x14ac:dyDescent="0.3">
      <c r="CH680" s="150" t="str">
        <f>IFERROR(TOWER_DATA[[#This Row],[Top '[m']]]-TOWER_DATA[[#This Row],[Bottom '[m']]], "")</f>
        <v/>
      </c>
    </row>
    <row r="681" spans="86:86" ht="18" customHeight="1" x14ac:dyDescent="0.3">
      <c r="CH681" s="150" t="str">
        <f>IFERROR(TOWER_DATA[[#This Row],[Top '[m']]]-TOWER_DATA[[#This Row],[Bottom '[m']]], "")</f>
        <v/>
      </c>
    </row>
    <row r="682" spans="86:86" ht="18" customHeight="1" x14ac:dyDescent="0.3">
      <c r="CH682" s="150" t="str">
        <f>IFERROR(TOWER_DATA[[#This Row],[Top '[m']]]-TOWER_DATA[[#This Row],[Bottom '[m']]], "")</f>
        <v/>
      </c>
    </row>
    <row r="683" spans="86:86" ht="18" customHeight="1" x14ac:dyDescent="0.3">
      <c r="CH683" s="150" t="str">
        <f>IFERROR(TOWER_DATA[[#This Row],[Top '[m']]]-TOWER_DATA[[#This Row],[Bottom '[m']]], "")</f>
        <v/>
      </c>
    </row>
    <row r="684" spans="86:86" ht="18" customHeight="1" x14ac:dyDescent="0.3">
      <c r="CH684" s="150" t="str">
        <f>IFERROR(TOWER_DATA[[#This Row],[Top '[m']]]-TOWER_DATA[[#This Row],[Bottom '[m']]], "")</f>
        <v/>
      </c>
    </row>
    <row r="685" spans="86:86" ht="18" customHeight="1" x14ac:dyDescent="0.3">
      <c r="CH685" s="150" t="str">
        <f>IFERROR(TOWER_DATA[[#This Row],[Top '[m']]]-TOWER_DATA[[#This Row],[Bottom '[m']]], "")</f>
        <v/>
      </c>
    </row>
    <row r="686" spans="86:86" ht="18" customHeight="1" x14ac:dyDescent="0.3">
      <c r="CH686" s="150" t="str">
        <f>IFERROR(TOWER_DATA[[#This Row],[Top '[m']]]-TOWER_DATA[[#This Row],[Bottom '[m']]], "")</f>
        <v/>
      </c>
    </row>
    <row r="687" spans="86:86" ht="18" customHeight="1" x14ac:dyDescent="0.3">
      <c r="CH687" s="150" t="str">
        <f>IFERROR(TOWER_DATA[[#This Row],[Top '[m']]]-TOWER_DATA[[#This Row],[Bottom '[m']]], "")</f>
        <v/>
      </c>
    </row>
    <row r="688" spans="86:86" ht="18" customHeight="1" x14ac:dyDescent="0.3">
      <c r="CH688" s="150" t="str">
        <f>IFERROR(TOWER_DATA[[#This Row],[Top '[m']]]-TOWER_DATA[[#This Row],[Bottom '[m']]], "")</f>
        <v/>
      </c>
    </row>
    <row r="689" spans="86:86" ht="18" customHeight="1" x14ac:dyDescent="0.3">
      <c r="CH689" s="150" t="str">
        <f>IFERROR(TOWER_DATA[[#This Row],[Top '[m']]]-TOWER_DATA[[#This Row],[Bottom '[m']]], "")</f>
        <v/>
      </c>
    </row>
    <row r="690" spans="86:86" ht="18" customHeight="1" x14ac:dyDescent="0.3">
      <c r="CH690" s="150" t="str">
        <f>IFERROR(TOWER_DATA[[#This Row],[Top '[m']]]-TOWER_DATA[[#This Row],[Bottom '[m']]], "")</f>
        <v/>
      </c>
    </row>
    <row r="691" spans="86:86" ht="18" customHeight="1" x14ac:dyDescent="0.3">
      <c r="CH691" s="150" t="str">
        <f>IFERROR(TOWER_DATA[[#This Row],[Top '[m']]]-TOWER_DATA[[#This Row],[Bottom '[m']]], "")</f>
        <v/>
      </c>
    </row>
    <row r="692" spans="86:86" ht="18" customHeight="1" x14ac:dyDescent="0.3">
      <c r="CH692" s="150" t="str">
        <f>IFERROR(TOWER_DATA[[#This Row],[Top '[m']]]-TOWER_DATA[[#This Row],[Bottom '[m']]], "")</f>
        <v/>
      </c>
    </row>
    <row r="693" spans="86:86" ht="18" customHeight="1" x14ac:dyDescent="0.3">
      <c r="CH693" s="150" t="str">
        <f>IFERROR(TOWER_DATA[[#This Row],[Top '[m']]]-TOWER_DATA[[#This Row],[Bottom '[m']]], "")</f>
        <v/>
      </c>
    </row>
    <row r="694" spans="86:86" ht="18" customHeight="1" x14ac:dyDescent="0.3">
      <c r="CH694" s="150" t="str">
        <f>IFERROR(TOWER_DATA[[#This Row],[Top '[m']]]-TOWER_DATA[[#This Row],[Bottom '[m']]], "")</f>
        <v/>
      </c>
    </row>
    <row r="695" spans="86:86" ht="18" customHeight="1" x14ac:dyDescent="0.3">
      <c r="CH695" s="150" t="str">
        <f>IFERROR(TOWER_DATA[[#This Row],[Top '[m']]]-TOWER_DATA[[#This Row],[Bottom '[m']]], "")</f>
        <v/>
      </c>
    </row>
    <row r="696" spans="86:86" ht="18" customHeight="1" x14ac:dyDescent="0.3">
      <c r="CH696" s="150" t="str">
        <f>IFERROR(TOWER_DATA[[#This Row],[Top '[m']]]-TOWER_DATA[[#This Row],[Bottom '[m']]], "")</f>
        <v/>
      </c>
    </row>
    <row r="697" spans="86:86" ht="18" customHeight="1" x14ac:dyDescent="0.3">
      <c r="CH697" s="150" t="str">
        <f>IFERROR(TOWER_DATA[[#This Row],[Top '[m']]]-TOWER_DATA[[#This Row],[Bottom '[m']]], "")</f>
        <v/>
      </c>
    </row>
    <row r="698" spans="86:86" ht="18" customHeight="1" x14ac:dyDescent="0.3">
      <c r="CH698" s="150" t="str">
        <f>IFERROR(TOWER_DATA[[#This Row],[Top '[m']]]-TOWER_DATA[[#This Row],[Bottom '[m']]], "")</f>
        <v/>
      </c>
    </row>
    <row r="699" spans="86:86" ht="18" customHeight="1" x14ac:dyDescent="0.3">
      <c r="CH699" s="150" t="str">
        <f>IFERROR(TOWER_DATA[[#This Row],[Top '[m']]]-TOWER_DATA[[#This Row],[Bottom '[m']]], "")</f>
        <v/>
      </c>
    </row>
    <row r="700" spans="86:86" ht="18" customHeight="1" x14ac:dyDescent="0.3">
      <c r="CH700" s="150" t="str">
        <f>IFERROR(TOWER_DATA[[#This Row],[Top '[m']]]-TOWER_DATA[[#This Row],[Bottom '[m']]], "")</f>
        <v/>
      </c>
    </row>
    <row r="701" spans="86:86" ht="18" customHeight="1" x14ac:dyDescent="0.3">
      <c r="CH701" s="150" t="str">
        <f>IFERROR(TOWER_DATA[[#This Row],[Top '[m']]]-TOWER_DATA[[#This Row],[Bottom '[m']]], "")</f>
        <v/>
      </c>
    </row>
    <row r="702" spans="86:86" ht="18" customHeight="1" x14ac:dyDescent="0.3">
      <c r="CH702" s="150" t="str">
        <f>IFERROR(TOWER_DATA[[#This Row],[Top '[m']]]-TOWER_DATA[[#This Row],[Bottom '[m']]], "")</f>
        <v/>
      </c>
    </row>
    <row r="703" spans="86:86" ht="18" customHeight="1" x14ac:dyDescent="0.3">
      <c r="CH703" s="150" t="str">
        <f>IFERROR(TOWER_DATA[[#This Row],[Top '[m']]]-TOWER_DATA[[#This Row],[Bottom '[m']]], "")</f>
        <v/>
      </c>
    </row>
    <row r="704" spans="86:86" ht="18" customHeight="1" x14ac:dyDescent="0.3">
      <c r="CH704" s="150" t="str">
        <f>IFERROR(TOWER_DATA[[#This Row],[Top '[m']]]-TOWER_DATA[[#This Row],[Bottom '[m']]], "")</f>
        <v/>
      </c>
    </row>
    <row r="705" spans="86:86" ht="18" customHeight="1" x14ac:dyDescent="0.3">
      <c r="CH705" s="150" t="str">
        <f>IFERROR(TOWER_DATA[[#This Row],[Top '[m']]]-TOWER_DATA[[#This Row],[Bottom '[m']]], "")</f>
        <v/>
      </c>
    </row>
    <row r="706" spans="86:86" ht="18" customHeight="1" x14ac:dyDescent="0.3">
      <c r="CH706" s="150" t="str">
        <f>IFERROR(TOWER_DATA[[#This Row],[Top '[m']]]-TOWER_DATA[[#This Row],[Bottom '[m']]], "")</f>
        <v/>
      </c>
    </row>
    <row r="707" spans="86:86" ht="18" customHeight="1" x14ac:dyDescent="0.3">
      <c r="CH707" s="150" t="str">
        <f>IFERROR(TOWER_DATA[[#This Row],[Top '[m']]]-TOWER_DATA[[#This Row],[Bottom '[m']]], "")</f>
        <v/>
      </c>
    </row>
    <row r="708" spans="86:86" ht="18" customHeight="1" x14ac:dyDescent="0.3">
      <c r="CH708" s="150" t="str">
        <f>IFERROR(TOWER_DATA[[#This Row],[Top '[m']]]-TOWER_DATA[[#This Row],[Bottom '[m']]], "")</f>
        <v/>
      </c>
    </row>
    <row r="709" spans="86:86" ht="18" customHeight="1" x14ac:dyDescent="0.3">
      <c r="CH709" s="150" t="str">
        <f>IFERROR(TOWER_DATA[[#This Row],[Top '[m']]]-TOWER_DATA[[#This Row],[Bottom '[m']]], "")</f>
        <v/>
      </c>
    </row>
    <row r="710" spans="86:86" ht="18" customHeight="1" x14ac:dyDescent="0.3">
      <c r="CH710" s="150" t="str">
        <f>IFERROR(TOWER_DATA[[#This Row],[Top '[m']]]-TOWER_DATA[[#This Row],[Bottom '[m']]], "")</f>
        <v/>
      </c>
    </row>
    <row r="711" spans="86:86" ht="18" customHeight="1" x14ac:dyDescent="0.3">
      <c r="CH711" s="150" t="str">
        <f>IFERROR(TOWER_DATA[[#This Row],[Top '[m']]]-TOWER_DATA[[#This Row],[Bottom '[m']]], "")</f>
        <v/>
      </c>
    </row>
    <row r="712" spans="86:86" ht="18" customHeight="1" x14ac:dyDescent="0.3">
      <c r="CH712" s="150" t="str">
        <f>IFERROR(TOWER_DATA[[#This Row],[Top '[m']]]-TOWER_DATA[[#This Row],[Bottom '[m']]], "")</f>
        <v/>
      </c>
    </row>
    <row r="713" spans="86:86" ht="18" customHeight="1" x14ac:dyDescent="0.3">
      <c r="CH713" s="150" t="str">
        <f>IFERROR(TOWER_DATA[[#This Row],[Top '[m']]]-TOWER_DATA[[#This Row],[Bottom '[m']]], "")</f>
        <v/>
      </c>
    </row>
    <row r="714" spans="86:86" ht="18" customHeight="1" x14ac:dyDescent="0.3">
      <c r="CH714" s="150" t="str">
        <f>IFERROR(TOWER_DATA[[#This Row],[Top '[m']]]-TOWER_DATA[[#This Row],[Bottom '[m']]], "")</f>
        <v/>
      </c>
    </row>
    <row r="715" spans="86:86" ht="18" customHeight="1" x14ac:dyDescent="0.3">
      <c r="CH715" s="150" t="str">
        <f>IFERROR(TOWER_DATA[[#This Row],[Top '[m']]]-TOWER_DATA[[#This Row],[Bottom '[m']]], "")</f>
        <v/>
      </c>
    </row>
    <row r="716" spans="86:86" ht="18" customHeight="1" x14ac:dyDescent="0.3">
      <c r="CH716" s="150" t="str">
        <f>IFERROR(TOWER_DATA[[#This Row],[Top '[m']]]-TOWER_DATA[[#This Row],[Bottom '[m']]], "")</f>
        <v/>
      </c>
    </row>
    <row r="717" spans="86:86" ht="18" customHeight="1" x14ac:dyDescent="0.3">
      <c r="CH717" s="150" t="str">
        <f>IFERROR(TOWER_DATA[[#This Row],[Top '[m']]]-TOWER_DATA[[#This Row],[Bottom '[m']]], "")</f>
        <v/>
      </c>
    </row>
    <row r="718" spans="86:86" ht="18" customHeight="1" x14ac:dyDescent="0.3">
      <c r="CH718" s="150" t="str">
        <f>IFERROR(TOWER_DATA[[#This Row],[Top '[m']]]-TOWER_DATA[[#This Row],[Bottom '[m']]], "")</f>
        <v/>
      </c>
    </row>
    <row r="719" spans="86:86" ht="18" customHeight="1" x14ac:dyDescent="0.3">
      <c r="CH719" s="150" t="str">
        <f>IFERROR(TOWER_DATA[[#This Row],[Top '[m']]]-TOWER_DATA[[#This Row],[Bottom '[m']]], "")</f>
        <v/>
      </c>
    </row>
    <row r="720" spans="86:86" ht="18" customHeight="1" x14ac:dyDescent="0.3">
      <c r="CH720" s="150" t="str">
        <f>IFERROR(TOWER_DATA[[#This Row],[Top '[m']]]-TOWER_DATA[[#This Row],[Bottom '[m']]], "")</f>
        <v/>
      </c>
    </row>
    <row r="721" spans="86:86" ht="18" customHeight="1" x14ac:dyDescent="0.3">
      <c r="CH721" s="150" t="str">
        <f>IFERROR(TOWER_DATA[[#This Row],[Top '[m']]]-TOWER_DATA[[#This Row],[Bottom '[m']]], "")</f>
        <v/>
      </c>
    </row>
    <row r="722" spans="86:86" ht="18" customHeight="1" x14ac:dyDescent="0.3">
      <c r="CH722" s="150" t="str">
        <f>IFERROR(TOWER_DATA[[#This Row],[Top '[m']]]-TOWER_DATA[[#This Row],[Bottom '[m']]], "")</f>
        <v/>
      </c>
    </row>
    <row r="723" spans="86:86" ht="18" customHeight="1" x14ac:dyDescent="0.3">
      <c r="CH723" s="150" t="str">
        <f>IFERROR(TOWER_DATA[[#This Row],[Top '[m']]]-TOWER_DATA[[#This Row],[Bottom '[m']]], "")</f>
        <v/>
      </c>
    </row>
    <row r="724" spans="86:86" ht="18" customHeight="1" x14ac:dyDescent="0.3">
      <c r="CH724" s="150" t="str">
        <f>IFERROR(TOWER_DATA[[#This Row],[Top '[m']]]-TOWER_DATA[[#This Row],[Bottom '[m']]], "")</f>
        <v/>
      </c>
    </row>
    <row r="725" spans="86:86" ht="18" customHeight="1" x14ac:dyDescent="0.3">
      <c r="CH725" s="150" t="str">
        <f>IFERROR(TOWER_DATA[[#This Row],[Top '[m']]]-TOWER_DATA[[#This Row],[Bottom '[m']]], "")</f>
        <v/>
      </c>
    </row>
    <row r="726" spans="86:86" ht="18" customHeight="1" x14ac:dyDescent="0.3">
      <c r="CH726" s="150" t="str">
        <f>IFERROR(TOWER_DATA[[#This Row],[Top '[m']]]-TOWER_DATA[[#This Row],[Bottom '[m']]], "")</f>
        <v/>
      </c>
    </row>
    <row r="727" spans="86:86" ht="18" customHeight="1" x14ac:dyDescent="0.3">
      <c r="CH727" s="150" t="str">
        <f>IFERROR(TOWER_DATA[[#This Row],[Top '[m']]]-TOWER_DATA[[#This Row],[Bottom '[m']]], "")</f>
        <v/>
      </c>
    </row>
    <row r="728" spans="86:86" ht="18" customHeight="1" x14ac:dyDescent="0.3">
      <c r="CH728" s="150" t="str">
        <f>IFERROR(TOWER_DATA[[#This Row],[Top '[m']]]-TOWER_DATA[[#This Row],[Bottom '[m']]], "")</f>
        <v/>
      </c>
    </row>
    <row r="729" spans="86:86" ht="18" customHeight="1" x14ac:dyDescent="0.3">
      <c r="CH729" s="150" t="str">
        <f>IFERROR(TOWER_DATA[[#This Row],[Top '[m']]]-TOWER_DATA[[#This Row],[Bottom '[m']]], "")</f>
        <v/>
      </c>
    </row>
    <row r="730" spans="86:86" ht="18" customHeight="1" x14ac:dyDescent="0.3">
      <c r="CH730" s="150" t="str">
        <f>IFERROR(TOWER_DATA[[#This Row],[Top '[m']]]-TOWER_DATA[[#This Row],[Bottom '[m']]], "")</f>
        <v/>
      </c>
    </row>
    <row r="731" spans="86:86" ht="18" customHeight="1" x14ac:dyDescent="0.3">
      <c r="CH731" s="150" t="str">
        <f>IFERROR(TOWER_DATA[[#This Row],[Top '[m']]]-TOWER_DATA[[#This Row],[Bottom '[m']]], "")</f>
        <v/>
      </c>
    </row>
    <row r="732" spans="86:86" ht="18" customHeight="1" x14ac:dyDescent="0.3">
      <c r="CH732" s="150" t="str">
        <f>IFERROR(TOWER_DATA[[#This Row],[Top '[m']]]-TOWER_DATA[[#This Row],[Bottom '[m']]], "")</f>
        <v/>
      </c>
    </row>
    <row r="733" spans="86:86" ht="18" customHeight="1" x14ac:dyDescent="0.3">
      <c r="CH733" s="150" t="str">
        <f>IFERROR(TOWER_DATA[[#This Row],[Top '[m']]]-TOWER_DATA[[#This Row],[Bottom '[m']]], "")</f>
        <v/>
      </c>
    </row>
    <row r="734" spans="86:86" ht="18" customHeight="1" x14ac:dyDescent="0.3">
      <c r="CH734" s="150" t="str">
        <f>IFERROR(TOWER_DATA[[#This Row],[Top '[m']]]-TOWER_DATA[[#This Row],[Bottom '[m']]], "")</f>
        <v/>
      </c>
    </row>
    <row r="735" spans="86:86" ht="18" customHeight="1" x14ac:dyDescent="0.3">
      <c r="CH735" s="150" t="str">
        <f>IFERROR(TOWER_DATA[[#This Row],[Top '[m']]]-TOWER_DATA[[#This Row],[Bottom '[m']]], "")</f>
        <v/>
      </c>
    </row>
    <row r="736" spans="86:86" ht="18" customHeight="1" x14ac:dyDescent="0.3">
      <c r="CH736" s="150" t="str">
        <f>IFERROR(TOWER_DATA[[#This Row],[Top '[m']]]-TOWER_DATA[[#This Row],[Bottom '[m']]], "")</f>
        <v/>
      </c>
    </row>
    <row r="737" spans="86:86" ht="18" customHeight="1" x14ac:dyDescent="0.3">
      <c r="CH737" s="150" t="str">
        <f>IFERROR(TOWER_DATA[[#This Row],[Top '[m']]]-TOWER_DATA[[#This Row],[Bottom '[m']]], "")</f>
        <v/>
      </c>
    </row>
    <row r="738" spans="86:86" ht="18" customHeight="1" x14ac:dyDescent="0.3">
      <c r="CH738" s="150" t="str">
        <f>IFERROR(TOWER_DATA[[#This Row],[Top '[m']]]-TOWER_DATA[[#This Row],[Bottom '[m']]], "")</f>
        <v/>
      </c>
    </row>
    <row r="739" spans="86:86" ht="18" customHeight="1" x14ac:dyDescent="0.3">
      <c r="CH739" s="150" t="str">
        <f>IFERROR(TOWER_DATA[[#This Row],[Top '[m']]]-TOWER_DATA[[#This Row],[Bottom '[m']]], "")</f>
        <v/>
      </c>
    </row>
    <row r="740" spans="86:86" ht="18" customHeight="1" x14ac:dyDescent="0.3">
      <c r="CH740" s="150" t="str">
        <f>IFERROR(TOWER_DATA[[#This Row],[Top '[m']]]-TOWER_DATA[[#This Row],[Bottom '[m']]], "")</f>
        <v/>
      </c>
    </row>
    <row r="741" spans="86:86" ht="18" customHeight="1" x14ac:dyDescent="0.3">
      <c r="CH741" s="150" t="str">
        <f>IFERROR(TOWER_DATA[[#This Row],[Top '[m']]]-TOWER_DATA[[#This Row],[Bottom '[m']]], "")</f>
        <v/>
      </c>
    </row>
    <row r="742" spans="86:86" ht="18" customHeight="1" x14ac:dyDescent="0.3">
      <c r="CH742" s="150" t="str">
        <f>IFERROR(TOWER_DATA[[#This Row],[Top '[m']]]-TOWER_DATA[[#This Row],[Bottom '[m']]], "")</f>
        <v/>
      </c>
    </row>
    <row r="743" spans="86:86" ht="18" customHeight="1" x14ac:dyDescent="0.3">
      <c r="CH743" s="150" t="str">
        <f>IFERROR(TOWER_DATA[[#This Row],[Top '[m']]]-TOWER_DATA[[#This Row],[Bottom '[m']]], "")</f>
        <v/>
      </c>
    </row>
    <row r="744" spans="86:86" ht="18" customHeight="1" x14ac:dyDescent="0.3">
      <c r="CH744" s="150" t="str">
        <f>IFERROR(TOWER_DATA[[#This Row],[Top '[m']]]-TOWER_DATA[[#This Row],[Bottom '[m']]], "")</f>
        <v/>
      </c>
    </row>
    <row r="745" spans="86:86" ht="18" customHeight="1" x14ac:dyDescent="0.3">
      <c r="CH745" s="150" t="str">
        <f>IFERROR(TOWER_DATA[[#This Row],[Top '[m']]]-TOWER_DATA[[#This Row],[Bottom '[m']]], "")</f>
        <v/>
      </c>
    </row>
    <row r="746" spans="86:86" ht="18" customHeight="1" x14ac:dyDescent="0.3">
      <c r="CH746" s="150" t="str">
        <f>IFERROR(TOWER_DATA[[#This Row],[Top '[m']]]-TOWER_DATA[[#This Row],[Bottom '[m']]], "")</f>
        <v/>
      </c>
    </row>
    <row r="747" spans="86:86" ht="18" customHeight="1" x14ac:dyDescent="0.3">
      <c r="CH747" s="150" t="str">
        <f>IFERROR(TOWER_DATA[[#This Row],[Top '[m']]]-TOWER_DATA[[#This Row],[Bottom '[m']]], "")</f>
        <v/>
      </c>
    </row>
    <row r="748" spans="86:86" ht="18" customHeight="1" x14ac:dyDescent="0.3">
      <c r="CH748" s="150" t="str">
        <f>IFERROR(TOWER_DATA[[#This Row],[Top '[m']]]-TOWER_DATA[[#This Row],[Bottom '[m']]], "")</f>
        <v/>
      </c>
    </row>
    <row r="749" spans="86:86" ht="18" customHeight="1" x14ac:dyDescent="0.3">
      <c r="CH749" s="150" t="str">
        <f>IFERROR(TOWER_DATA[[#This Row],[Top '[m']]]-TOWER_DATA[[#This Row],[Bottom '[m']]], "")</f>
        <v/>
      </c>
    </row>
    <row r="750" spans="86:86" ht="18" customHeight="1" x14ac:dyDescent="0.3">
      <c r="CH750" s="150" t="str">
        <f>IFERROR(TOWER_DATA[[#This Row],[Top '[m']]]-TOWER_DATA[[#This Row],[Bottom '[m']]], "")</f>
        <v/>
      </c>
    </row>
    <row r="751" spans="86:86" ht="18" customHeight="1" x14ac:dyDescent="0.3">
      <c r="CH751" s="150" t="str">
        <f>IFERROR(TOWER_DATA[[#This Row],[Top '[m']]]-TOWER_DATA[[#This Row],[Bottom '[m']]], "")</f>
        <v/>
      </c>
    </row>
    <row r="752" spans="86:86" ht="18" customHeight="1" x14ac:dyDescent="0.3">
      <c r="CH752" s="150" t="str">
        <f>IFERROR(TOWER_DATA[[#This Row],[Top '[m']]]-TOWER_DATA[[#This Row],[Bottom '[m']]], "")</f>
        <v/>
      </c>
    </row>
    <row r="753" spans="86:86" ht="18" customHeight="1" x14ac:dyDescent="0.3">
      <c r="CH753" s="150" t="str">
        <f>IFERROR(TOWER_DATA[[#This Row],[Top '[m']]]-TOWER_DATA[[#This Row],[Bottom '[m']]], "")</f>
        <v/>
      </c>
    </row>
    <row r="754" spans="86:86" ht="18" customHeight="1" x14ac:dyDescent="0.3">
      <c r="CH754" s="150" t="str">
        <f>IFERROR(TOWER_DATA[[#This Row],[Top '[m']]]-TOWER_DATA[[#This Row],[Bottom '[m']]], "")</f>
        <v/>
      </c>
    </row>
    <row r="755" spans="86:86" ht="18" customHeight="1" x14ac:dyDescent="0.3">
      <c r="CH755" s="150" t="str">
        <f>IFERROR(TOWER_DATA[[#This Row],[Top '[m']]]-TOWER_DATA[[#This Row],[Bottom '[m']]], "")</f>
        <v/>
      </c>
    </row>
    <row r="756" spans="86:86" ht="18" customHeight="1" x14ac:dyDescent="0.3">
      <c r="CH756" s="150" t="str">
        <f>IFERROR(TOWER_DATA[[#This Row],[Top '[m']]]-TOWER_DATA[[#This Row],[Bottom '[m']]], "")</f>
        <v/>
      </c>
    </row>
    <row r="757" spans="86:86" ht="18" customHeight="1" x14ac:dyDescent="0.3">
      <c r="CH757" s="150" t="str">
        <f>IFERROR(TOWER_DATA[[#This Row],[Top '[m']]]-TOWER_DATA[[#This Row],[Bottom '[m']]], "")</f>
        <v/>
      </c>
    </row>
    <row r="758" spans="86:86" ht="18" customHeight="1" x14ac:dyDescent="0.3">
      <c r="CH758" s="150" t="str">
        <f>IFERROR(TOWER_DATA[[#This Row],[Top '[m']]]-TOWER_DATA[[#This Row],[Bottom '[m']]], "")</f>
        <v/>
      </c>
    </row>
    <row r="759" spans="86:86" ht="18" customHeight="1" x14ac:dyDescent="0.3">
      <c r="CH759" s="150" t="str">
        <f>IFERROR(TOWER_DATA[[#This Row],[Top '[m']]]-TOWER_DATA[[#This Row],[Bottom '[m']]], "")</f>
        <v/>
      </c>
    </row>
    <row r="760" spans="86:86" ht="18" customHeight="1" x14ac:dyDescent="0.3">
      <c r="CH760" s="150" t="str">
        <f>IFERROR(TOWER_DATA[[#This Row],[Top '[m']]]-TOWER_DATA[[#This Row],[Bottom '[m']]], "")</f>
        <v/>
      </c>
    </row>
    <row r="761" spans="86:86" ht="18" customHeight="1" x14ac:dyDescent="0.3">
      <c r="CH761" s="150" t="str">
        <f>IFERROR(TOWER_DATA[[#This Row],[Top '[m']]]-TOWER_DATA[[#This Row],[Bottom '[m']]], "")</f>
        <v/>
      </c>
    </row>
    <row r="762" spans="86:86" ht="18" customHeight="1" x14ac:dyDescent="0.3">
      <c r="CH762" s="150" t="str">
        <f>IFERROR(TOWER_DATA[[#This Row],[Top '[m']]]-TOWER_DATA[[#This Row],[Bottom '[m']]], "")</f>
        <v/>
      </c>
    </row>
    <row r="763" spans="86:86" ht="18" customHeight="1" x14ac:dyDescent="0.3">
      <c r="CH763" s="150" t="str">
        <f>IFERROR(TOWER_DATA[[#This Row],[Top '[m']]]-TOWER_DATA[[#This Row],[Bottom '[m']]], "")</f>
        <v/>
      </c>
    </row>
    <row r="764" spans="86:86" ht="18" customHeight="1" x14ac:dyDescent="0.3">
      <c r="CH764" s="150" t="str">
        <f>IFERROR(TOWER_DATA[[#This Row],[Top '[m']]]-TOWER_DATA[[#This Row],[Bottom '[m']]], "")</f>
        <v/>
      </c>
    </row>
    <row r="765" spans="86:86" ht="18" customHeight="1" x14ac:dyDescent="0.3">
      <c r="CH765" s="150" t="str">
        <f>IFERROR(TOWER_DATA[[#This Row],[Top '[m']]]-TOWER_DATA[[#This Row],[Bottom '[m']]], "")</f>
        <v/>
      </c>
    </row>
    <row r="766" spans="86:86" ht="18" customHeight="1" x14ac:dyDescent="0.3">
      <c r="CH766" s="150" t="str">
        <f>IFERROR(TOWER_DATA[[#This Row],[Top '[m']]]-TOWER_DATA[[#This Row],[Bottom '[m']]], "")</f>
        <v/>
      </c>
    </row>
    <row r="767" spans="86:86" ht="18" customHeight="1" x14ac:dyDescent="0.3">
      <c r="CH767" s="150" t="str">
        <f>IFERROR(TOWER_DATA[[#This Row],[Top '[m']]]-TOWER_DATA[[#This Row],[Bottom '[m']]], "")</f>
        <v/>
      </c>
    </row>
    <row r="768" spans="86:86" ht="18" customHeight="1" x14ac:dyDescent="0.3">
      <c r="CH768" s="150" t="str">
        <f>IFERROR(TOWER_DATA[[#This Row],[Top '[m']]]-TOWER_DATA[[#This Row],[Bottom '[m']]], "")</f>
        <v/>
      </c>
    </row>
    <row r="769" spans="86:86" ht="18" customHeight="1" x14ac:dyDescent="0.3">
      <c r="CH769" s="150" t="str">
        <f>IFERROR(TOWER_DATA[[#This Row],[Top '[m']]]-TOWER_DATA[[#This Row],[Bottom '[m']]], "")</f>
        <v/>
      </c>
    </row>
    <row r="770" spans="86:86" ht="18" customHeight="1" x14ac:dyDescent="0.3">
      <c r="CH770" s="150" t="str">
        <f>IFERROR(TOWER_DATA[[#This Row],[Top '[m']]]-TOWER_DATA[[#This Row],[Bottom '[m']]], "")</f>
        <v/>
      </c>
    </row>
    <row r="771" spans="86:86" ht="18" customHeight="1" x14ac:dyDescent="0.3">
      <c r="CH771" s="150" t="str">
        <f>IFERROR(TOWER_DATA[[#This Row],[Top '[m']]]-TOWER_DATA[[#This Row],[Bottom '[m']]], "")</f>
        <v/>
      </c>
    </row>
    <row r="772" spans="86:86" ht="18" customHeight="1" x14ac:dyDescent="0.3">
      <c r="CH772" s="150" t="str">
        <f>IFERROR(TOWER_DATA[[#This Row],[Top '[m']]]-TOWER_DATA[[#This Row],[Bottom '[m']]], "")</f>
        <v/>
      </c>
    </row>
    <row r="773" spans="86:86" ht="18" customHeight="1" x14ac:dyDescent="0.3">
      <c r="CH773" s="150" t="str">
        <f>IFERROR(TOWER_DATA[[#This Row],[Top '[m']]]-TOWER_DATA[[#This Row],[Bottom '[m']]], "")</f>
        <v/>
      </c>
    </row>
    <row r="774" spans="86:86" ht="18" customHeight="1" x14ac:dyDescent="0.3">
      <c r="CH774" s="150" t="str">
        <f>IFERROR(TOWER_DATA[[#This Row],[Top '[m']]]-TOWER_DATA[[#This Row],[Bottom '[m']]], "")</f>
        <v/>
      </c>
    </row>
    <row r="775" spans="86:86" ht="18" customHeight="1" x14ac:dyDescent="0.3">
      <c r="CH775" s="150" t="str">
        <f>IFERROR(TOWER_DATA[[#This Row],[Top '[m']]]-TOWER_DATA[[#This Row],[Bottom '[m']]], "")</f>
        <v/>
      </c>
    </row>
    <row r="776" spans="86:86" ht="18" customHeight="1" x14ac:dyDescent="0.3">
      <c r="CH776" s="150" t="str">
        <f>IFERROR(TOWER_DATA[[#This Row],[Top '[m']]]-TOWER_DATA[[#This Row],[Bottom '[m']]], "")</f>
        <v/>
      </c>
    </row>
    <row r="777" spans="86:86" ht="18" customHeight="1" x14ac:dyDescent="0.3">
      <c r="CH777" s="150" t="str">
        <f>IFERROR(TOWER_DATA[[#This Row],[Top '[m']]]-TOWER_DATA[[#This Row],[Bottom '[m']]], "")</f>
        <v/>
      </c>
    </row>
    <row r="778" spans="86:86" ht="18" customHeight="1" x14ac:dyDescent="0.3">
      <c r="CH778" s="150" t="str">
        <f>IFERROR(TOWER_DATA[[#This Row],[Top '[m']]]-TOWER_DATA[[#This Row],[Bottom '[m']]], "")</f>
        <v/>
      </c>
    </row>
    <row r="779" spans="86:86" ht="18" customHeight="1" x14ac:dyDescent="0.3">
      <c r="CH779" s="150" t="str">
        <f>IFERROR(TOWER_DATA[[#This Row],[Top '[m']]]-TOWER_DATA[[#This Row],[Bottom '[m']]], "")</f>
        <v/>
      </c>
    </row>
    <row r="780" spans="86:86" ht="18" customHeight="1" x14ac:dyDescent="0.3">
      <c r="CH780" s="150" t="str">
        <f>IFERROR(TOWER_DATA[[#This Row],[Top '[m']]]-TOWER_DATA[[#This Row],[Bottom '[m']]], "")</f>
        <v/>
      </c>
    </row>
    <row r="781" spans="86:86" ht="18" customHeight="1" x14ac:dyDescent="0.3">
      <c r="CH781" s="150" t="str">
        <f>IFERROR(TOWER_DATA[[#This Row],[Top '[m']]]-TOWER_DATA[[#This Row],[Bottom '[m']]], "")</f>
        <v/>
      </c>
    </row>
    <row r="782" spans="86:86" ht="18" customHeight="1" x14ac:dyDescent="0.3">
      <c r="CH782" s="150" t="str">
        <f>IFERROR(TOWER_DATA[[#This Row],[Top '[m']]]-TOWER_DATA[[#This Row],[Bottom '[m']]], "")</f>
        <v/>
      </c>
    </row>
    <row r="783" spans="86:86" ht="18" customHeight="1" x14ac:dyDescent="0.3">
      <c r="CH783" s="150" t="str">
        <f>IFERROR(TOWER_DATA[[#This Row],[Top '[m']]]-TOWER_DATA[[#This Row],[Bottom '[m']]], "")</f>
        <v/>
      </c>
    </row>
    <row r="784" spans="86:86" ht="18" customHeight="1" x14ac:dyDescent="0.3">
      <c r="CH784" s="150" t="str">
        <f>IFERROR(TOWER_DATA[[#This Row],[Top '[m']]]-TOWER_DATA[[#This Row],[Bottom '[m']]], "")</f>
        <v/>
      </c>
    </row>
    <row r="785" spans="86:86" ht="18" customHeight="1" x14ac:dyDescent="0.3">
      <c r="CH785" s="150" t="str">
        <f>IFERROR(TOWER_DATA[[#This Row],[Top '[m']]]-TOWER_DATA[[#This Row],[Bottom '[m']]], "")</f>
        <v/>
      </c>
    </row>
    <row r="786" spans="86:86" ht="18" customHeight="1" x14ac:dyDescent="0.3">
      <c r="CH786" s="150" t="str">
        <f>IFERROR(TOWER_DATA[[#This Row],[Top '[m']]]-TOWER_DATA[[#This Row],[Bottom '[m']]], "")</f>
        <v/>
      </c>
    </row>
    <row r="787" spans="86:86" ht="18" customHeight="1" x14ac:dyDescent="0.3">
      <c r="CH787" s="150" t="str">
        <f>IFERROR(TOWER_DATA[[#This Row],[Top '[m']]]-TOWER_DATA[[#This Row],[Bottom '[m']]], "")</f>
        <v/>
      </c>
    </row>
    <row r="788" spans="86:86" ht="18" customHeight="1" x14ac:dyDescent="0.3">
      <c r="CH788" s="150" t="str">
        <f>IFERROR(TOWER_DATA[[#This Row],[Top '[m']]]-TOWER_DATA[[#This Row],[Bottom '[m']]], "")</f>
        <v/>
      </c>
    </row>
    <row r="789" spans="86:86" ht="18" customHeight="1" x14ac:dyDescent="0.3">
      <c r="CH789" s="150" t="str">
        <f>IFERROR(TOWER_DATA[[#This Row],[Top '[m']]]-TOWER_DATA[[#This Row],[Bottom '[m']]], "")</f>
        <v/>
      </c>
    </row>
    <row r="790" spans="86:86" ht="18" customHeight="1" x14ac:dyDescent="0.3">
      <c r="CH790" s="150" t="str">
        <f>IFERROR(TOWER_DATA[[#This Row],[Top '[m']]]-TOWER_DATA[[#This Row],[Bottom '[m']]], "")</f>
        <v/>
      </c>
    </row>
    <row r="791" spans="86:86" ht="18" customHeight="1" x14ac:dyDescent="0.3">
      <c r="CH791" s="150" t="str">
        <f>IFERROR(TOWER_DATA[[#This Row],[Top '[m']]]-TOWER_DATA[[#This Row],[Bottom '[m']]], "")</f>
        <v/>
      </c>
    </row>
    <row r="792" spans="86:86" ht="18" customHeight="1" x14ac:dyDescent="0.3">
      <c r="CH792" s="150" t="str">
        <f>IFERROR(TOWER_DATA[[#This Row],[Top '[m']]]-TOWER_DATA[[#This Row],[Bottom '[m']]], "")</f>
        <v/>
      </c>
    </row>
    <row r="793" spans="86:86" ht="18" customHeight="1" x14ac:dyDescent="0.3">
      <c r="CH793" s="150" t="str">
        <f>IFERROR(TOWER_DATA[[#This Row],[Top '[m']]]-TOWER_DATA[[#This Row],[Bottom '[m']]], "")</f>
        <v/>
      </c>
    </row>
    <row r="794" spans="86:86" ht="18" customHeight="1" x14ac:dyDescent="0.3">
      <c r="CH794" s="150" t="str">
        <f>IFERROR(TOWER_DATA[[#This Row],[Top '[m']]]-TOWER_DATA[[#This Row],[Bottom '[m']]], "")</f>
        <v/>
      </c>
    </row>
    <row r="795" spans="86:86" ht="18" customHeight="1" x14ac:dyDescent="0.3">
      <c r="CH795" s="150" t="str">
        <f>IFERROR(TOWER_DATA[[#This Row],[Top '[m']]]-TOWER_DATA[[#This Row],[Bottom '[m']]], "")</f>
        <v/>
      </c>
    </row>
    <row r="796" spans="86:86" ht="18" customHeight="1" x14ac:dyDescent="0.3">
      <c r="CH796" s="150" t="str">
        <f>IFERROR(TOWER_DATA[[#This Row],[Top '[m']]]-TOWER_DATA[[#This Row],[Bottom '[m']]], "")</f>
        <v/>
      </c>
    </row>
    <row r="797" spans="86:86" ht="18" customHeight="1" x14ac:dyDescent="0.3">
      <c r="CH797" s="150" t="str">
        <f>IFERROR(TOWER_DATA[[#This Row],[Top '[m']]]-TOWER_DATA[[#This Row],[Bottom '[m']]], "")</f>
        <v/>
      </c>
    </row>
    <row r="798" spans="86:86" ht="18" customHeight="1" x14ac:dyDescent="0.3">
      <c r="CH798" s="150" t="str">
        <f>IFERROR(TOWER_DATA[[#This Row],[Top '[m']]]-TOWER_DATA[[#This Row],[Bottom '[m']]], "")</f>
        <v/>
      </c>
    </row>
    <row r="799" spans="86:86" ht="18" customHeight="1" x14ac:dyDescent="0.3">
      <c r="CH799" s="150" t="str">
        <f>IFERROR(TOWER_DATA[[#This Row],[Top '[m']]]-TOWER_DATA[[#This Row],[Bottom '[m']]], "")</f>
        <v/>
      </c>
    </row>
    <row r="800" spans="86:86" ht="18" customHeight="1" x14ac:dyDescent="0.3">
      <c r="CH800" s="150" t="str">
        <f>IFERROR(TOWER_DATA[[#This Row],[Top '[m']]]-TOWER_DATA[[#This Row],[Bottom '[m']]], "")</f>
        <v/>
      </c>
    </row>
    <row r="801" spans="86:86" ht="18" customHeight="1" x14ac:dyDescent="0.3">
      <c r="CH801" s="150" t="str">
        <f>IFERROR(TOWER_DATA[[#This Row],[Top '[m']]]-TOWER_DATA[[#This Row],[Bottom '[m']]], "")</f>
        <v/>
      </c>
    </row>
    <row r="802" spans="86:86" ht="18" customHeight="1" x14ac:dyDescent="0.3">
      <c r="CH802" s="150" t="str">
        <f>IFERROR(TOWER_DATA[[#This Row],[Top '[m']]]-TOWER_DATA[[#This Row],[Bottom '[m']]], "")</f>
        <v/>
      </c>
    </row>
    <row r="803" spans="86:86" ht="18" customHeight="1" x14ac:dyDescent="0.3">
      <c r="CH803" s="150" t="str">
        <f>IFERROR(TOWER_DATA[[#This Row],[Top '[m']]]-TOWER_DATA[[#This Row],[Bottom '[m']]], "")</f>
        <v/>
      </c>
    </row>
    <row r="804" spans="86:86" ht="18" customHeight="1" x14ac:dyDescent="0.3">
      <c r="CH804" s="150" t="str">
        <f>IFERROR(TOWER_DATA[[#This Row],[Top '[m']]]-TOWER_DATA[[#This Row],[Bottom '[m']]], "")</f>
        <v/>
      </c>
    </row>
    <row r="805" spans="86:86" ht="18" customHeight="1" x14ac:dyDescent="0.3">
      <c r="CH805" s="150" t="str">
        <f>IFERROR(TOWER_DATA[[#This Row],[Top '[m']]]-TOWER_DATA[[#This Row],[Bottom '[m']]], "")</f>
        <v/>
      </c>
    </row>
    <row r="806" spans="86:86" ht="18" customHeight="1" x14ac:dyDescent="0.3">
      <c r="CH806" s="150" t="str">
        <f>IFERROR(TOWER_DATA[[#This Row],[Top '[m']]]-TOWER_DATA[[#This Row],[Bottom '[m']]], "")</f>
        <v/>
      </c>
    </row>
    <row r="807" spans="86:86" ht="18" customHeight="1" x14ac:dyDescent="0.3">
      <c r="CH807" s="150" t="str">
        <f>IFERROR(TOWER_DATA[[#This Row],[Top '[m']]]-TOWER_DATA[[#This Row],[Bottom '[m']]], "")</f>
        <v/>
      </c>
    </row>
    <row r="808" spans="86:86" ht="18" customHeight="1" x14ac:dyDescent="0.3">
      <c r="CH808" s="150" t="str">
        <f>IFERROR(TOWER_DATA[[#This Row],[Top '[m']]]-TOWER_DATA[[#This Row],[Bottom '[m']]], "")</f>
        <v/>
      </c>
    </row>
    <row r="809" spans="86:86" ht="18" customHeight="1" x14ac:dyDescent="0.3">
      <c r="CH809" s="150" t="str">
        <f>IFERROR(TOWER_DATA[[#This Row],[Top '[m']]]-TOWER_DATA[[#This Row],[Bottom '[m']]], "")</f>
        <v/>
      </c>
    </row>
    <row r="810" spans="86:86" ht="18" customHeight="1" x14ac:dyDescent="0.3">
      <c r="CH810" s="150" t="str">
        <f>IFERROR(TOWER_DATA[[#This Row],[Top '[m']]]-TOWER_DATA[[#This Row],[Bottom '[m']]], "")</f>
        <v/>
      </c>
    </row>
    <row r="811" spans="86:86" ht="18" customHeight="1" x14ac:dyDescent="0.3">
      <c r="CH811" s="150" t="str">
        <f>IFERROR(TOWER_DATA[[#This Row],[Top '[m']]]-TOWER_DATA[[#This Row],[Bottom '[m']]], "")</f>
        <v/>
      </c>
    </row>
    <row r="812" spans="86:86" ht="18" customHeight="1" x14ac:dyDescent="0.3">
      <c r="CH812" s="150" t="str">
        <f>IFERROR(TOWER_DATA[[#This Row],[Top '[m']]]-TOWER_DATA[[#This Row],[Bottom '[m']]], "")</f>
        <v/>
      </c>
    </row>
    <row r="813" spans="86:86" ht="18" customHeight="1" x14ac:dyDescent="0.3">
      <c r="CH813" s="150" t="str">
        <f>IFERROR(TOWER_DATA[[#This Row],[Top '[m']]]-TOWER_DATA[[#This Row],[Bottom '[m']]], "")</f>
        <v/>
      </c>
    </row>
    <row r="814" spans="86:86" ht="18" customHeight="1" x14ac:dyDescent="0.3">
      <c r="CH814" s="150" t="str">
        <f>IFERROR(TOWER_DATA[[#This Row],[Top '[m']]]-TOWER_DATA[[#This Row],[Bottom '[m']]], "")</f>
        <v/>
      </c>
    </row>
    <row r="815" spans="86:86" ht="18" customHeight="1" x14ac:dyDescent="0.3">
      <c r="CH815" s="150" t="str">
        <f>IFERROR(TOWER_DATA[[#This Row],[Top '[m']]]-TOWER_DATA[[#This Row],[Bottom '[m']]], "")</f>
        <v/>
      </c>
    </row>
    <row r="816" spans="86:86" ht="18" customHeight="1" x14ac:dyDescent="0.3">
      <c r="CH816" s="150" t="str">
        <f>IFERROR(TOWER_DATA[[#This Row],[Top '[m']]]-TOWER_DATA[[#This Row],[Bottom '[m']]], "")</f>
        <v/>
      </c>
    </row>
    <row r="817" spans="86:86" ht="18" customHeight="1" x14ac:dyDescent="0.3">
      <c r="CH817" s="150" t="str">
        <f>IFERROR(TOWER_DATA[[#This Row],[Top '[m']]]-TOWER_DATA[[#This Row],[Bottom '[m']]], "")</f>
        <v/>
      </c>
    </row>
    <row r="818" spans="86:86" ht="18" customHeight="1" x14ac:dyDescent="0.3">
      <c r="CH818" s="150" t="str">
        <f>IFERROR(TOWER_DATA[[#This Row],[Top '[m']]]-TOWER_DATA[[#This Row],[Bottom '[m']]], "")</f>
        <v/>
      </c>
    </row>
    <row r="819" spans="86:86" ht="18" customHeight="1" x14ac:dyDescent="0.3">
      <c r="CH819" s="150" t="str">
        <f>IFERROR(TOWER_DATA[[#This Row],[Top '[m']]]-TOWER_DATA[[#This Row],[Bottom '[m']]], "")</f>
        <v/>
      </c>
    </row>
    <row r="820" spans="86:86" ht="18" customHeight="1" x14ac:dyDescent="0.3">
      <c r="CH820" s="150" t="str">
        <f>IFERROR(TOWER_DATA[[#This Row],[Top '[m']]]-TOWER_DATA[[#This Row],[Bottom '[m']]], "")</f>
        <v/>
      </c>
    </row>
    <row r="821" spans="86:86" ht="18" customHeight="1" x14ac:dyDescent="0.3">
      <c r="CH821" s="150" t="str">
        <f>IFERROR(TOWER_DATA[[#This Row],[Top '[m']]]-TOWER_DATA[[#This Row],[Bottom '[m']]], "")</f>
        <v/>
      </c>
    </row>
    <row r="822" spans="86:86" ht="18" customHeight="1" x14ac:dyDescent="0.3">
      <c r="CH822" s="150" t="str">
        <f>IFERROR(TOWER_DATA[[#This Row],[Top '[m']]]-TOWER_DATA[[#This Row],[Bottom '[m']]], "")</f>
        <v/>
      </c>
    </row>
    <row r="823" spans="86:86" ht="18" customHeight="1" x14ac:dyDescent="0.3">
      <c r="CH823" s="150" t="str">
        <f>IFERROR(TOWER_DATA[[#This Row],[Top '[m']]]-TOWER_DATA[[#This Row],[Bottom '[m']]], "")</f>
        <v/>
      </c>
    </row>
    <row r="824" spans="86:86" ht="18" customHeight="1" x14ac:dyDescent="0.3">
      <c r="CH824" s="150" t="str">
        <f>IFERROR(TOWER_DATA[[#This Row],[Top '[m']]]-TOWER_DATA[[#This Row],[Bottom '[m']]], "")</f>
        <v/>
      </c>
    </row>
    <row r="825" spans="86:86" ht="18" customHeight="1" x14ac:dyDescent="0.3">
      <c r="CH825" s="150" t="str">
        <f>IFERROR(TOWER_DATA[[#This Row],[Top '[m']]]-TOWER_DATA[[#This Row],[Bottom '[m']]], "")</f>
        <v/>
      </c>
    </row>
    <row r="826" spans="86:86" ht="18" customHeight="1" x14ac:dyDescent="0.3">
      <c r="CH826" s="150" t="str">
        <f>IFERROR(TOWER_DATA[[#This Row],[Top '[m']]]-TOWER_DATA[[#This Row],[Bottom '[m']]], "")</f>
        <v/>
      </c>
    </row>
    <row r="827" spans="86:86" ht="18" customHeight="1" x14ac:dyDescent="0.3">
      <c r="CH827" s="150" t="str">
        <f>IFERROR(TOWER_DATA[[#This Row],[Top '[m']]]-TOWER_DATA[[#This Row],[Bottom '[m']]], "")</f>
        <v/>
      </c>
    </row>
    <row r="828" spans="86:86" ht="18" customHeight="1" x14ac:dyDescent="0.3">
      <c r="CH828" s="150" t="str">
        <f>IFERROR(TOWER_DATA[[#This Row],[Top '[m']]]-TOWER_DATA[[#This Row],[Bottom '[m']]], "")</f>
        <v/>
      </c>
    </row>
    <row r="829" spans="86:86" ht="18" customHeight="1" x14ac:dyDescent="0.3">
      <c r="CH829" s="150" t="str">
        <f>IFERROR(TOWER_DATA[[#This Row],[Top '[m']]]-TOWER_DATA[[#This Row],[Bottom '[m']]], "")</f>
        <v/>
      </c>
    </row>
    <row r="830" spans="86:86" ht="18" customHeight="1" x14ac:dyDescent="0.3">
      <c r="CH830" s="150" t="str">
        <f>IFERROR(TOWER_DATA[[#This Row],[Top '[m']]]-TOWER_DATA[[#This Row],[Bottom '[m']]], "")</f>
        <v/>
      </c>
    </row>
    <row r="831" spans="86:86" ht="18" customHeight="1" x14ac:dyDescent="0.3">
      <c r="CH831" s="150" t="str">
        <f>IFERROR(TOWER_DATA[[#This Row],[Top '[m']]]-TOWER_DATA[[#This Row],[Bottom '[m']]], "")</f>
        <v/>
      </c>
    </row>
    <row r="832" spans="86:86" ht="18" customHeight="1" x14ac:dyDescent="0.3">
      <c r="CH832" s="150" t="str">
        <f>IFERROR(TOWER_DATA[[#This Row],[Top '[m']]]-TOWER_DATA[[#This Row],[Bottom '[m']]], "")</f>
        <v/>
      </c>
    </row>
    <row r="833" spans="86:86" ht="18" customHeight="1" x14ac:dyDescent="0.3">
      <c r="CH833" s="150" t="str">
        <f>IFERROR(TOWER_DATA[[#This Row],[Top '[m']]]-TOWER_DATA[[#This Row],[Bottom '[m']]], "")</f>
        <v/>
      </c>
    </row>
    <row r="834" spans="86:86" ht="18" customHeight="1" x14ac:dyDescent="0.3">
      <c r="CH834" s="150" t="str">
        <f>IFERROR(TOWER_DATA[[#This Row],[Top '[m']]]-TOWER_DATA[[#This Row],[Bottom '[m']]], "")</f>
        <v/>
      </c>
    </row>
    <row r="835" spans="86:86" ht="18" customHeight="1" x14ac:dyDescent="0.3">
      <c r="CH835" s="150" t="str">
        <f>IFERROR(TOWER_DATA[[#This Row],[Top '[m']]]-TOWER_DATA[[#This Row],[Bottom '[m']]], "")</f>
        <v/>
      </c>
    </row>
    <row r="836" spans="86:86" ht="18" customHeight="1" x14ac:dyDescent="0.3">
      <c r="CH836" s="150" t="str">
        <f>IFERROR(TOWER_DATA[[#This Row],[Top '[m']]]-TOWER_DATA[[#This Row],[Bottom '[m']]], "")</f>
        <v/>
      </c>
    </row>
    <row r="837" spans="86:86" ht="18" customHeight="1" x14ac:dyDescent="0.3">
      <c r="CH837" s="150" t="str">
        <f>IFERROR(TOWER_DATA[[#This Row],[Top '[m']]]-TOWER_DATA[[#This Row],[Bottom '[m']]], "")</f>
        <v/>
      </c>
    </row>
    <row r="838" spans="86:86" ht="18" customHeight="1" x14ac:dyDescent="0.3">
      <c r="CH838" s="150" t="str">
        <f>IFERROR(TOWER_DATA[[#This Row],[Top '[m']]]-TOWER_DATA[[#This Row],[Bottom '[m']]], "")</f>
        <v/>
      </c>
    </row>
    <row r="839" spans="86:86" ht="18" customHeight="1" x14ac:dyDescent="0.3">
      <c r="CH839" s="150" t="str">
        <f>IFERROR(TOWER_DATA[[#This Row],[Top '[m']]]-TOWER_DATA[[#This Row],[Bottom '[m']]], "")</f>
        <v/>
      </c>
    </row>
    <row r="840" spans="86:86" ht="18" customHeight="1" x14ac:dyDescent="0.3">
      <c r="CH840" s="150" t="str">
        <f>IFERROR(TOWER_DATA[[#This Row],[Top '[m']]]-TOWER_DATA[[#This Row],[Bottom '[m']]], "")</f>
        <v/>
      </c>
    </row>
    <row r="841" spans="86:86" ht="18" customHeight="1" x14ac:dyDescent="0.3">
      <c r="CH841" s="150" t="str">
        <f>IFERROR(TOWER_DATA[[#This Row],[Top '[m']]]-TOWER_DATA[[#This Row],[Bottom '[m']]], "")</f>
        <v/>
      </c>
    </row>
    <row r="842" spans="86:86" ht="18" customHeight="1" x14ac:dyDescent="0.3">
      <c r="CH842" s="150" t="str">
        <f>IFERROR(TOWER_DATA[[#This Row],[Top '[m']]]-TOWER_DATA[[#This Row],[Bottom '[m']]], "")</f>
        <v/>
      </c>
    </row>
    <row r="843" spans="86:86" ht="18" customHeight="1" x14ac:dyDescent="0.3">
      <c r="CH843" s="150" t="str">
        <f>IFERROR(TOWER_DATA[[#This Row],[Top '[m']]]-TOWER_DATA[[#This Row],[Bottom '[m']]], "")</f>
        <v/>
      </c>
    </row>
    <row r="844" spans="86:86" ht="18" customHeight="1" x14ac:dyDescent="0.3">
      <c r="CH844" s="150" t="str">
        <f>IFERROR(TOWER_DATA[[#This Row],[Top '[m']]]-TOWER_DATA[[#This Row],[Bottom '[m']]], "")</f>
        <v/>
      </c>
    </row>
    <row r="845" spans="86:86" ht="18" customHeight="1" x14ac:dyDescent="0.3">
      <c r="CH845" s="150" t="str">
        <f>IFERROR(TOWER_DATA[[#This Row],[Top '[m']]]-TOWER_DATA[[#This Row],[Bottom '[m']]], "")</f>
        <v/>
      </c>
    </row>
    <row r="846" spans="86:86" ht="18" customHeight="1" x14ac:dyDescent="0.3">
      <c r="CH846" s="150" t="str">
        <f>IFERROR(TOWER_DATA[[#This Row],[Top '[m']]]-TOWER_DATA[[#This Row],[Bottom '[m']]], "")</f>
        <v/>
      </c>
    </row>
    <row r="847" spans="86:86" ht="18" customHeight="1" x14ac:dyDescent="0.3">
      <c r="CH847" s="150" t="str">
        <f>IFERROR(TOWER_DATA[[#This Row],[Top '[m']]]-TOWER_DATA[[#This Row],[Bottom '[m']]], "")</f>
        <v/>
      </c>
    </row>
    <row r="848" spans="86:86" ht="18" customHeight="1" x14ac:dyDescent="0.3">
      <c r="CH848" s="150" t="str">
        <f>IFERROR(TOWER_DATA[[#This Row],[Top '[m']]]-TOWER_DATA[[#This Row],[Bottom '[m']]], "")</f>
        <v/>
      </c>
    </row>
    <row r="849" spans="86:86" ht="18" customHeight="1" x14ac:dyDescent="0.3">
      <c r="CH849" s="150" t="str">
        <f>IFERROR(TOWER_DATA[[#This Row],[Top '[m']]]-TOWER_DATA[[#This Row],[Bottom '[m']]], "")</f>
        <v/>
      </c>
    </row>
    <row r="850" spans="86:86" ht="18" customHeight="1" x14ac:dyDescent="0.3">
      <c r="CH850" s="150" t="str">
        <f>IFERROR(TOWER_DATA[[#This Row],[Top '[m']]]-TOWER_DATA[[#This Row],[Bottom '[m']]], "")</f>
        <v/>
      </c>
    </row>
    <row r="851" spans="86:86" ht="18" customHeight="1" x14ac:dyDescent="0.3">
      <c r="CH851" s="150" t="str">
        <f>IFERROR(TOWER_DATA[[#This Row],[Top '[m']]]-TOWER_DATA[[#This Row],[Bottom '[m']]], "")</f>
        <v/>
      </c>
    </row>
    <row r="852" spans="86:86" ht="18" customHeight="1" x14ac:dyDescent="0.3">
      <c r="CH852" s="150" t="str">
        <f>IFERROR(TOWER_DATA[[#This Row],[Top '[m']]]-TOWER_DATA[[#This Row],[Bottom '[m']]], "")</f>
        <v/>
      </c>
    </row>
    <row r="853" spans="86:86" ht="18" customHeight="1" x14ac:dyDescent="0.3">
      <c r="CH853" s="150" t="str">
        <f>IFERROR(TOWER_DATA[[#This Row],[Top '[m']]]-TOWER_DATA[[#This Row],[Bottom '[m']]], "")</f>
        <v/>
      </c>
    </row>
    <row r="854" spans="86:86" ht="18" customHeight="1" x14ac:dyDescent="0.3">
      <c r="CH854" s="150" t="str">
        <f>IFERROR(TOWER_DATA[[#This Row],[Top '[m']]]-TOWER_DATA[[#This Row],[Bottom '[m']]], "")</f>
        <v/>
      </c>
    </row>
    <row r="855" spans="86:86" ht="18" customHeight="1" x14ac:dyDescent="0.3">
      <c r="CH855" s="150" t="str">
        <f>IFERROR(TOWER_DATA[[#This Row],[Top '[m']]]-TOWER_DATA[[#This Row],[Bottom '[m']]], "")</f>
        <v/>
      </c>
    </row>
    <row r="856" spans="86:86" ht="18" customHeight="1" x14ac:dyDescent="0.3">
      <c r="CH856" s="150" t="str">
        <f>IFERROR(TOWER_DATA[[#This Row],[Top '[m']]]-TOWER_DATA[[#This Row],[Bottom '[m']]], "")</f>
        <v/>
      </c>
    </row>
    <row r="857" spans="86:86" ht="18" customHeight="1" x14ac:dyDescent="0.3">
      <c r="CH857" s="150" t="str">
        <f>IFERROR(TOWER_DATA[[#This Row],[Top '[m']]]-TOWER_DATA[[#This Row],[Bottom '[m']]], "")</f>
        <v/>
      </c>
    </row>
    <row r="858" spans="86:86" ht="18" customHeight="1" x14ac:dyDescent="0.3">
      <c r="CH858" s="150" t="str">
        <f>IFERROR(TOWER_DATA[[#This Row],[Top '[m']]]-TOWER_DATA[[#This Row],[Bottom '[m']]], "")</f>
        <v/>
      </c>
    </row>
    <row r="859" spans="86:86" ht="18" customHeight="1" x14ac:dyDescent="0.3">
      <c r="CH859" s="150" t="str">
        <f>IFERROR(TOWER_DATA[[#This Row],[Top '[m']]]-TOWER_DATA[[#This Row],[Bottom '[m']]], "")</f>
        <v/>
      </c>
    </row>
    <row r="860" spans="86:86" ht="18" customHeight="1" x14ac:dyDescent="0.3">
      <c r="CH860" s="150" t="str">
        <f>IFERROR(TOWER_DATA[[#This Row],[Top '[m']]]-TOWER_DATA[[#This Row],[Bottom '[m']]], "")</f>
        <v/>
      </c>
    </row>
    <row r="861" spans="86:86" ht="18" customHeight="1" x14ac:dyDescent="0.3">
      <c r="CH861" s="150" t="str">
        <f>IFERROR(TOWER_DATA[[#This Row],[Top '[m']]]-TOWER_DATA[[#This Row],[Bottom '[m']]], "")</f>
        <v/>
      </c>
    </row>
    <row r="862" spans="86:86" ht="18" customHeight="1" x14ac:dyDescent="0.3">
      <c r="CH862" s="150" t="str">
        <f>IFERROR(TOWER_DATA[[#This Row],[Top '[m']]]-TOWER_DATA[[#This Row],[Bottom '[m']]], "")</f>
        <v/>
      </c>
    </row>
    <row r="863" spans="86:86" ht="18" customHeight="1" x14ac:dyDescent="0.3">
      <c r="CH863" s="150" t="str">
        <f>IFERROR(TOWER_DATA[[#This Row],[Top '[m']]]-TOWER_DATA[[#This Row],[Bottom '[m']]], "")</f>
        <v/>
      </c>
    </row>
    <row r="864" spans="86:86" ht="18" customHeight="1" x14ac:dyDescent="0.3">
      <c r="CH864" s="150" t="str">
        <f>IFERROR(TOWER_DATA[[#This Row],[Top '[m']]]-TOWER_DATA[[#This Row],[Bottom '[m']]], "")</f>
        <v/>
      </c>
    </row>
    <row r="865" spans="86:86" ht="18" customHeight="1" x14ac:dyDescent="0.3">
      <c r="CH865" s="150" t="str">
        <f>IFERROR(TOWER_DATA[[#This Row],[Top '[m']]]-TOWER_DATA[[#This Row],[Bottom '[m']]], "")</f>
        <v/>
      </c>
    </row>
    <row r="866" spans="86:86" ht="18" customHeight="1" x14ac:dyDescent="0.3">
      <c r="CH866" s="150" t="str">
        <f>IFERROR(TOWER_DATA[[#This Row],[Top '[m']]]-TOWER_DATA[[#This Row],[Bottom '[m']]], "")</f>
        <v/>
      </c>
    </row>
    <row r="867" spans="86:86" ht="18" customHeight="1" x14ac:dyDescent="0.3">
      <c r="CH867" s="150" t="str">
        <f>IFERROR(TOWER_DATA[[#This Row],[Top '[m']]]-TOWER_DATA[[#This Row],[Bottom '[m']]], "")</f>
        <v/>
      </c>
    </row>
    <row r="868" spans="86:86" ht="18" customHeight="1" x14ac:dyDescent="0.3">
      <c r="CH868" s="150" t="str">
        <f>IFERROR(TOWER_DATA[[#This Row],[Top '[m']]]-TOWER_DATA[[#This Row],[Bottom '[m']]], "")</f>
        <v/>
      </c>
    </row>
    <row r="869" spans="86:86" ht="18" customHeight="1" x14ac:dyDescent="0.3">
      <c r="CH869" s="150" t="str">
        <f>IFERROR(TOWER_DATA[[#This Row],[Top '[m']]]-TOWER_DATA[[#This Row],[Bottom '[m']]], "")</f>
        <v/>
      </c>
    </row>
    <row r="870" spans="86:86" ht="18" customHeight="1" x14ac:dyDescent="0.3">
      <c r="CH870" s="150" t="str">
        <f>IFERROR(TOWER_DATA[[#This Row],[Top '[m']]]-TOWER_DATA[[#This Row],[Bottom '[m']]], "")</f>
        <v/>
      </c>
    </row>
    <row r="871" spans="86:86" ht="18" customHeight="1" x14ac:dyDescent="0.3">
      <c r="CH871" s="150" t="str">
        <f>IFERROR(TOWER_DATA[[#This Row],[Top '[m']]]-TOWER_DATA[[#This Row],[Bottom '[m']]], "")</f>
        <v/>
      </c>
    </row>
    <row r="872" spans="86:86" ht="18" customHeight="1" x14ac:dyDescent="0.3">
      <c r="CH872" s="150" t="str">
        <f>IFERROR(TOWER_DATA[[#This Row],[Top '[m']]]-TOWER_DATA[[#This Row],[Bottom '[m']]], "")</f>
        <v/>
      </c>
    </row>
    <row r="873" spans="86:86" ht="18" customHeight="1" x14ac:dyDescent="0.3">
      <c r="CH873" s="150" t="str">
        <f>IFERROR(TOWER_DATA[[#This Row],[Top '[m']]]-TOWER_DATA[[#This Row],[Bottom '[m']]], "")</f>
        <v/>
      </c>
    </row>
    <row r="874" spans="86:86" ht="18" customHeight="1" x14ac:dyDescent="0.3">
      <c r="CH874" s="150" t="str">
        <f>IFERROR(TOWER_DATA[[#This Row],[Top '[m']]]-TOWER_DATA[[#This Row],[Bottom '[m']]], "")</f>
        <v/>
      </c>
    </row>
    <row r="875" spans="86:86" ht="18" customHeight="1" x14ac:dyDescent="0.3">
      <c r="CH875" s="150" t="str">
        <f>IFERROR(TOWER_DATA[[#This Row],[Top '[m']]]-TOWER_DATA[[#This Row],[Bottom '[m']]], "")</f>
        <v/>
      </c>
    </row>
    <row r="876" spans="86:86" ht="18" customHeight="1" x14ac:dyDescent="0.3">
      <c r="CH876" s="150" t="str">
        <f>IFERROR(TOWER_DATA[[#This Row],[Top '[m']]]-TOWER_DATA[[#This Row],[Bottom '[m']]], "")</f>
        <v/>
      </c>
    </row>
    <row r="877" spans="86:86" ht="18" customHeight="1" x14ac:dyDescent="0.3">
      <c r="CH877" s="150" t="str">
        <f>IFERROR(TOWER_DATA[[#This Row],[Top '[m']]]-TOWER_DATA[[#This Row],[Bottom '[m']]], "")</f>
        <v/>
      </c>
    </row>
    <row r="878" spans="86:86" ht="18" customHeight="1" x14ac:dyDescent="0.3">
      <c r="CH878" s="150" t="str">
        <f>IFERROR(TOWER_DATA[[#This Row],[Top '[m']]]-TOWER_DATA[[#This Row],[Bottom '[m']]], "")</f>
        <v/>
      </c>
    </row>
    <row r="879" spans="86:86" ht="18" customHeight="1" x14ac:dyDescent="0.3">
      <c r="CH879" s="150" t="str">
        <f>IFERROR(TOWER_DATA[[#This Row],[Top '[m']]]-TOWER_DATA[[#This Row],[Bottom '[m']]], "")</f>
        <v/>
      </c>
    </row>
    <row r="880" spans="86:86" ht="18" customHeight="1" x14ac:dyDescent="0.3">
      <c r="CH880" s="150" t="str">
        <f>IFERROR(TOWER_DATA[[#This Row],[Top '[m']]]-TOWER_DATA[[#This Row],[Bottom '[m']]], "")</f>
        <v/>
      </c>
    </row>
    <row r="881" spans="86:86" ht="18" customHeight="1" x14ac:dyDescent="0.3">
      <c r="CH881" s="150" t="str">
        <f>IFERROR(TOWER_DATA[[#This Row],[Top '[m']]]-TOWER_DATA[[#This Row],[Bottom '[m']]], "")</f>
        <v/>
      </c>
    </row>
    <row r="882" spans="86:86" ht="18" customHeight="1" x14ac:dyDescent="0.3">
      <c r="CH882" s="150" t="str">
        <f>IFERROR(TOWER_DATA[[#This Row],[Top '[m']]]-TOWER_DATA[[#This Row],[Bottom '[m']]], "")</f>
        <v/>
      </c>
    </row>
    <row r="883" spans="86:86" ht="18" customHeight="1" x14ac:dyDescent="0.3">
      <c r="CH883" s="150" t="str">
        <f>IFERROR(TOWER_DATA[[#This Row],[Top '[m']]]-TOWER_DATA[[#This Row],[Bottom '[m']]], "")</f>
        <v/>
      </c>
    </row>
    <row r="884" spans="86:86" ht="18" customHeight="1" x14ac:dyDescent="0.3">
      <c r="CH884" s="150" t="str">
        <f>IFERROR(TOWER_DATA[[#This Row],[Top '[m']]]-TOWER_DATA[[#This Row],[Bottom '[m']]], "")</f>
        <v/>
      </c>
    </row>
    <row r="885" spans="86:86" ht="18" customHeight="1" x14ac:dyDescent="0.3">
      <c r="CH885" s="150" t="str">
        <f>IFERROR(TOWER_DATA[[#This Row],[Top '[m']]]-TOWER_DATA[[#This Row],[Bottom '[m']]], "")</f>
        <v/>
      </c>
    </row>
    <row r="886" spans="86:86" ht="18" customHeight="1" x14ac:dyDescent="0.3">
      <c r="CH886" s="150" t="str">
        <f>IFERROR(TOWER_DATA[[#This Row],[Top '[m']]]-TOWER_DATA[[#This Row],[Bottom '[m']]], "")</f>
        <v/>
      </c>
    </row>
    <row r="887" spans="86:86" ht="18" customHeight="1" x14ac:dyDescent="0.3">
      <c r="CH887" s="150" t="str">
        <f>IFERROR(TOWER_DATA[[#This Row],[Top '[m']]]-TOWER_DATA[[#This Row],[Bottom '[m']]], "")</f>
        <v/>
      </c>
    </row>
    <row r="888" spans="86:86" ht="18" customHeight="1" x14ac:dyDescent="0.3">
      <c r="CH888" s="150" t="str">
        <f>IFERROR(TOWER_DATA[[#This Row],[Top '[m']]]-TOWER_DATA[[#This Row],[Bottom '[m']]], "")</f>
        <v/>
      </c>
    </row>
    <row r="889" spans="86:86" ht="18" customHeight="1" x14ac:dyDescent="0.3">
      <c r="CH889" s="150" t="str">
        <f>IFERROR(TOWER_DATA[[#This Row],[Top '[m']]]-TOWER_DATA[[#This Row],[Bottom '[m']]], "")</f>
        <v/>
      </c>
    </row>
  </sheetData>
  <protectedRanges>
    <protectedRange sqref="DX12:DY12 EB12:ED12 DR14:DT14 DN14:DO14" name="Bereich1_1"/>
    <protectedRange sqref="F112:G133 F81:G83 AQ112:AR133 AQ81:AR83 CC112:CD133 CC81:CD83" name="Eingaben2"/>
    <protectedRange sqref="H81:J83 AS81:AU83 CE81:CG83" name="Eingaben2_2"/>
    <protectedRange sqref="H112:J133 AS112:AU133 CE112:CG133" name="Eingaben2_4"/>
  </protectedRanges>
  <dataConsolidate/>
  <phoneticPr fontId="10" type="noConversion"/>
  <conditionalFormatting sqref="E2010">
    <cfRule type="expression" dxfId="89" priority="41">
      <formula>E2009&lt;&gt;_xludf.INDIRECT("B" &amp; _xludf.ROW() + 200)</formula>
    </cfRule>
  </conditionalFormatting>
  <conditionalFormatting sqref="L137 O114:O137 L138:O161 E135:J220 DN87:DT174">
    <cfRule type="expression" dxfId="88" priority="43">
      <formula>#REF!&lt;&gt;_xludf.INDIRECT(_xludf.ADDRESS(_xludf.ROW()-200,_xludf.COLUMN()))</formula>
    </cfRule>
  </conditionalFormatting>
  <conditionalFormatting sqref="G222">
    <cfRule type="expression" dxfId="87" priority="48">
      <formula>#REF!&lt;&gt;_xludf.INDIRECT(_xludf.ADDRESS(_xludf.ROW()-200,_xludf.COLUMN()))</formula>
    </cfRule>
  </conditionalFormatting>
  <conditionalFormatting sqref="E221:E225">
    <cfRule type="expression" dxfId="86" priority="66">
      <formula>#REF!&lt;&gt;_xludf.INDIRECT(_xludf.ADDRESS(_xludf.ROW()-200,_xludf.COLUMN()))</formula>
    </cfRule>
  </conditionalFormatting>
  <conditionalFormatting sqref="DU134:DV137">
    <cfRule type="expression" dxfId="85" priority="29">
      <formula>#REF!&lt;&gt;_xludf.INDIRECT(_xludf.ADDRESS(_xludf.ROW()-200,_xludf.COLUMN()))</formula>
    </cfRule>
  </conditionalFormatting>
  <conditionalFormatting sqref="O167:O181">
    <cfRule type="expression" dxfId="84" priority="72">
      <formula>O22&lt;&gt;_xludf.INDIRECT(_xludf.ADDRESS(_xludf.ROW()-200,_xludf.COLUMN()))</formula>
    </cfRule>
  </conditionalFormatting>
  <conditionalFormatting sqref="N184 O182:O184">
    <cfRule type="expression" dxfId="83" priority="123">
      <formula>#REF!&lt;&gt;_xludf.INDIRECT(_xludf.ADDRESS(_xludf.ROW()-200,_xludf.COLUMN()))</formula>
    </cfRule>
  </conditionalFormatting>
  <conditionalFormatting sqref="N167:N183">
    <cfRule type="expression" dxfId="82" priority="168">
      <formula>N117&lt;&gt;_xludf.INDIRECT(_xludf.ADDRESS(_xludf.ROW()-200,_xludf.COLUMN()))</formula>
    </cfRule>
  </conditionalFormatting>
  <conditionalFormatting sqref="L167:M184">
    <cfRule type="expression" dxfId="81" priority="169">
      <formula>L116&lt;&gt;_xludf.INDIRECT(_xludf.ADDRESS(_xludf.ROW()-200,_xludf.COLUMN()))</formula>
    </cfRule>
  </conditionalFormatting>
  <conditionalFormatting sqref="J236">
    <cfRule type="expression" dxfId="80" priority="172">
      <formula>K125&lt;&gt;_xludf.INDIRECT(_xludf.ADDRESS(_xludf.ROW()-200,_xludf.COLUMN()))</formula>
    </cfRule>
  </conditionalFormatting>
  <conditionalFormatting sqref="L162:O166">
    <cfRule type="expression" dxfId="79" priority="173">
      <formula>K111&lt;&gt;_xludf.INDIRECT(_xludf.ADDRESS(_xludf.ROW()-200,_xludf.COLUMN()))</formula>
    </cfRule>
  </conditionalFormatting>
  <conditionalFormatting sqref="H222">
    <cfRule type="expression" dxfId="78" priority="174">
      <formula>F112&lt;&gt;_xludf.INDIRECT(_xludf.ADDRESS(_xludf.ROW()-200,_xludf.COLUMN()))</formula>
    </cfRule>
  </conditionalFormatting>
  <conditionalFormatting sqref="J226:J235 E226:I243 J237:J243">
    <cfRule type="expression" dxfId="77" priority="175">
      <formula>E116&lt;&gt;_xludf.INDIRECT(_xludf.ADDRESS(_xludf.ROW()-200,_xludf.COLUMN()))</formula>
    </cfRule>
  </conditionalFormatting>
  <conditionalFormatting sqref="F222:F225 G223:H225 F221:J221 I222:J225">
    <cfRule type="expression" dxfId="76" priority="178">
      <formula>E111&lt;&gt;_xludf.INDIRECT(_xludf.ADDRESS(_xludf.ROW()-200,_xludf.COLUMN()))</formula>
    </cfRule>
  </conditionalFormatting>
  <conditionalFormatting sqref="AP2010">
    <cfRule type="expression" dxfId="75" priority="15">
      <formula>AP2009&lt;&gt;_xludf.INDIRECT("B" &amp; _xludf.ROW() + 200)</formula>
    </cfRule>
  </conditionalFormatting>
  <conditionalFormatting sqref="AW137 AZ114:AZ137 AW138:AZ161 AP135:AU220">
    <cfRule type="expression" dxfId="74" priority="16">
      <formula>#REF!&lt;&gt;_xludf.INDIRECT(_xludf.ADDRESS(_xludf.ROW()-200,_xludf.COLUMN()))</formula>
    </cfRule>
  </conditionalFormatting>
  <conditionalFormatting sqref="AR222">
    <cfRule type="expression" dxfId="73" priority="18">
      <formula>#REF!&lt;&gt;_xludf.INDIRECT(_xludf.ADDRESS(_xludf.ROW()-200,_xludf.COLUMN()))</formula>
    </cfRule>
  </conditionalFormatting>
  <conditionalFormatting sqref="AP221:AP225">
    <cfRule type="expression" dxfId="72" priority="19">
      <formula>#REF!&lt;&gt;_xludf.INDIRECT(_xludf.ADDRESS(_xludf.ROW()-200,_xludf.COLUMN()))</formula>
    </cfRule>
  </conditionalFormatting>
  <conditionalFormatting sqref="AZ167:AZ181">
    <cfRule type="expression" dxfId="71" priority="20">
      <formula>AZ22&lt;&gt;_xludf.INDIRECT(_xludf.ADDRESS(_xludf.ROW()-200,_xludf.COLUMN()))</formula>
    </cfRule>
  </conditionalFormatting>
  <conditionalFormatting sqref="AY184 AZ182:AZ184">
    <cfRule type="expression" dxfId="70" priority="21">
      <formula>#REF!&lt;&gt;_xludf.INDIRECT(_xludf.ADDRESS(_xludf.ROW()-200,_xludf.COLUMN()))</formula>
    </cfRule>
  </conditionalFormatting>
  <conditionalFormatting sqref="AY167:AY183">
    <cfRule type="expression" dxfId="69" priority="22">
      <formula>AY117&lt;&gt;_xludf.INDIRECT(_xludf.ADDRESS(_xludf.ROW()-200,_xludf.COLUMN()))</formula>
    </cfRule>
  </conditionalFormatting>
  <conditionalFormatting sqref="AW167:AX184">
    <cfRule type="expression" dxfId="68" priority="23">
      <formula>AW116&lt;&gt;_xludf.INDIRECT(_xludf.ADDRESS(_xludf.ROW()-200,_xludf.COLUMN()))</formula>
    </cfRule>
  </conditionalFormatting>
  <conditionalFormatting sqref="AU236">
    <cfRule type="expression" dxfId="67" priority="24">
      <formula>AV125&lt;&gt;_xludf.INDIRECT(_xludf.ADDRESS(_xludf.ROW()-200,_xludf.COLUMN()))</formula>
    </cfRule>
  </conditionalFormatting>
  <conditionalFormatting sqref="AW162:AZ166">
    <cfRule type="expression" dxfId="66" priority="25">
      <formula>AV111&lt;&gt;_xludf.INDIRECT(_xludf.ADDRESS(_xludf.ROW()-200,_xludf.COLUMN()))</formula>
    </cfRule>
  </conditionalFormatting>
  <conditionalFormatting sqref="AS222">
    <cfRule type="expression" dxfId="65" priority="26">
      <formula>AQ112&lt;&gt;_xludf.INDIRECT(_xludf.ADDRESS(_xludf.ROW()-200,_xludf.COLUMN()))</formula>
    </cfRule>
  </conditionalFormatting>
  <conditionalFormatting sqref="AU226:AU235 AP226:AT243 AU237:AU243">
    <cfRule type="expression" dxfId="64" priority="27">
      <formula>AP116&lt;&gt;_xludf.INDIRECT(_xludf.ADDRESS(_xludf.ROW()-200,_xludf.COLUMN()))</formula>
    </cfRule>
  </conditionalFormatting>
  <conditionalFormatting sqref="AQ222:AQ225 AR223:AS225 AQ221:AU221 AT222:AU225">
    <cfRule type="expression" dxfId="63" priority="28">
      <formula>AP111&lt;&gt;_xludf.INDIRECT(_xludf.ADDRESS(_xludf.ROW()-200,_xludf.COLUMN()))</formula>
    </cfRule>
  </conditionalFormatting>
  <conditionalFormatting sqref="CB2010">
    <cfRule type="expression" dxfId="62" priority="1">
      <formula>CB2009&lt;&gt;_xludf.INDIRECT("B" &amp; _xludf.ROW() + 200)</formula>
    </cfRule>
  </conditionalFormatting>
  <conditionalFormatting sqref="CI137 CL114:CL137 CI138:CL161 CB135:CG220">
    <cfRule type="expression" dxfId="61" priority="2">
      <formula>#REF!&lt;&gt;_xludf.INDIRECT(_xludf.ADDRESS(_xludf.ROW()-200,_xludf.COLUMN()))</formula>
    </cfRule>
  </conditionalFormatting>
  <conditionalFormatting sqref="CD222">
    <cfRule type="expression" dxfId="60" priority="4">
      <formula>#REF!&lt;&gt;_xludf.INDIRECT(_xludf.ADDRESS(_xludf.ROW()-200,_xludf.COLUMN()))</formula>
    </cfRule>
  </conditionalFormatting>
  <conditionalFormatting sqref="CB221:CB225">
    <cfRule type="expression" dxfId="59" priority="5">
      <formula>#REF!&lt;&gt;_xludf.INDIRECT(_xludf.ADDRESS(_xludf.ROW()-200,_xludf.COLUMN()))</formula>
    </cfRule>
  </conditionalFormatting>
  <conditionalFormatting sqref="CL167:CL181">
    <cfRule type="expression" dxfId="58" priority="6">
      <formula>CL22&lt;&gt;_xludf.INDIRECT(_xludf.ADDRESS(_xludf.ROW()-200,_xludf.COLUMN()))</formula>
    </cfRule>
  </conditionalFormatting>
  <conditionalFormatting sqref="CK184 CL182:CL184">
    <cfRule type="expression" dxfId="57" priority="7">
      <formula>#REF!&lt;&gt;_xludf.INDIRECT(_xludf.ADDRESS(_xludf.ROW()-200,_xludf.COLUMN()))</formula>
    </cfRule>
  </conditionalFormatting>
  <conditionalFormatting sqref="CK167:CK183">
    <cfRule type="expression" dxfId="56" priority="8">
      <formula>CK117&lt;&gt;_xludf.INDIRECT(_xludf.ADDRESS(_xludf.ROW()-200,_xludf.COLUMN()))</formula>
    </cfRule>
  </conditionalFormatting>
  <conditionalFormatting sqref="CI167:CJ184">
    <cfRule type="expression" dxfId="55" priority="9">
      <formula>CI116&lt;&gt;_xludf.INDIRECT(_xludf.ADDRESS(_xludf.ROW()-200,_xludf.COLUMN()))</formula>
    </cfRule>
  </conditionalFormatting>
  <conditionalFormatting sqref="CG236">
    <cfRule type="expression" dxfId="54" priority="10">
      <formula>CH125&lt;&gt;_xludf.INDIRECT(_xludf.ADDRESS(_xludf.ROW()-200,_xludf.COLUMN()))</formula>
    </cfRule>
  </conditionalFormatting>
  <conditionalFormatting sqref="CI162:CL166">
    <cfRule type="expression" dxfId="53" priority="11">
      <formula>CH111&lt;&gt;_xludf.INDIRECT(_xludf.ADDRESS(_xludf.ROW()-200,_xludf.COLUMN()))</formula>
    </cfRule>
  </conditionalFormatting>
  <conditionalFormatting sqref="CE222">
    <cfRule type="expression" dxfId="52" priority="12">
      <formula>CC112&lt;&gt;_xludf.INDIRECT(_xludf.ADDRESS(_xludf.ROW()-200,_xludf.COLUMN()))</formula>
    </cfRule>
  </conditionalFormatting>
  <conditionalFormatting sqref="CG226:CG235 CB226:CF243 CG237:CG243">
    <cfRule type="expression" dxfId="51" priority="13">
      <formula>CB116&lt;&gt;_xludf.INDIRECT(_xludf.ADDRESS(_xludf.ROW()-200,_xludf.COLUMN()))</formula>
    </cfRule>
  </conditionalFormatting>
  <conditionalFormatting sqref="CC222:CC225 CD223:CE225 CC221:CG221 CF222:CG225">
    <cfRule type="expression" dxfId="50" priority="14">
      <formula>CB111&lt;&gt;_xludf.INDIRECT(_xludf.ADDRESS(_xludf.ROW()-200,_xludf.COLUMN()))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83820</xdr:colOff>
                    <xdr:row>0</xdr:row>
                    <xdr:rowOff>99060</xdr:rowOff>
                  </from>
                  <to>
                    <xdr:col>3</xdr:col>
                    <xdr:colOff>1470660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2">
              <controlPr defaultSize="0" autoLine="0" autoPict="0" macro="[0]!load_MP_Data">
                <anchor moveWithCells="1">
                  <from>
                    <xdr:col>5</xdr:col>
                    <xdr:colOff>30480</xdr:colOff>
                    <xdr:row>6</xdr:row>
                    <xdr:rowOff>38100</xdr:rowOff>
                  </from>
                  <to>
                    <xdr:col>42</xdr:col>
                    <xdr:colOff>1211580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45720</xdr:colOff>
                    <xdr:row>4</xdr:row>
                    <xdr:rowOff>22860</xdr:rowOff>
                  </from>
                  <to>
                    <xdr:col>4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30480</xdr:colOff>
                    <xdr:row>20</xdr:row>
                    <xdr:rowOff>160020</xdr:rowOff>
                  </from>
                  <to>
                    <xdr:col>8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1470660</xdr:colOff>
                    <xdr:row>20</xdr:row>
                    <xdr:rowOff>160020</xdr:rowOff>
                  </from>
                  <to>
                    <xdr:col>10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60960</xdr:colOff>
                    <xdr:row>17</xdr:row>
                    <xdr:rowOff>30480</xdr:rowOff>
                  </from>
                  <to>
                    <xdr:col>1</xdr:col>
                    <xdr:colOff>1630680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5</xdr:row>
                    <xdr:rowOff>38100</xdr:rowOff>
                  </from>
                  <to>
                    <xdr:col>63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1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30480</xdr:colOff>
                    <xdr:row>6</xdr:row>
                    <xdr:rowOff>7620</xdr:rowOff>
                  </from>
                  <to>
                    <xdr:col>4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2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5</xdr:row>
                    <xdr:rowOff>22860</xdr:rowOff>
                  </from>
                  <to>
                    <xdr:col>64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3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19</xdr:row>
                    <xdr:rowOff>99060</xdr:rowOff>
                  </from>
                  <to>
                    <xdr:col>1</xdr:col>
                    <xdr:colOff>807720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4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19</xdr:row>
                    <xdr:rowOff>114300</xdr:rowOff>
                  </from>
                  <to>
                    <xdr:col>0</xdr:col>
                    <xdr:colOff>990600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5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30480</xdr:colOff>
                    <xdr:row>21</xdr:row>
                    <xdr:rowOff>22860</xdr:rowOff>
                  </from>
                  <to>
                    <xdr:col>4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6" name="Button 40">
              <controlPr defaultSize="0" print="0" autoFill="0" autoPict="0" macro="[0]!load_RNA_DB">
                <anchor moveWithCells="1" sizeWithCells="1">
                  <from>
                    <xdr:col>117</xdr:col>
                    <xdr:colOff>38100</xdr:colOff>
                    <xdr:row>5</xdr:row>
                    <xdr:rowOff>38100</xdr:rowOff>
                  </from>
                  <to>
                    <xdr:col>117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7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22860</xdr:colOff>
                    <xdr:row>9</xdr:row>
                    <xdr:rowOff>22860</xdr:rowOff>
                  </from>
                  <to>
                    <xdr:col>119</xdr:col>
                    <xdr:colOff>723900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8" name="Button 43">
              <controlPr defaultSize="0" print="0" autoFill="0" autoPict="0" macro="[0]!reload_RNA_DB">
                <anchor moveWithCells="1" sizeWithCells="1">
                  <from>
                    <xdr:col>117</xdr:col>
                    <xdr:colOff>822960</xdr:colOff>
                    <xdr:row>5</xdr:row>
                    <xdr:rowOff>22860</xdr:rowOff>
                  </from>
                  <to>
                    <xdr:col>118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9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45720</xdr:colOff>
                    <xdr:row>17</xdr:row>
                    <xdr:rowOff>30480</xdr:rowOff>
                  </from>
                  <to>
                    <xdr:col>3</xdr:col>
                    <xdr:colOff>1493520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0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121920</xdr:colOff>
                    <xdr:row>2</xdr:row>
                    <xdr:rowOff>106680</xdr:rowOff>
                  </from>
                  <to>
                    <xdr:col>1</xdr:col>
                    <xdr:colOff>1630680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1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114300</xdr:colOff>
                    <xdr:row>5</xdr:row>
                    <xdr:rowOff>22860</xdr:rowOff>
                  </from>
                  <to>
                    <xdr:col>1</xdr:col>
                    <xdr:colOff>1607820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2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121920</xdr:colOff>
                    <xdr:row>7</xdr:row>
                    <xdr:rowOff>220980</xdr:rowOff>
                  </from>
                  <to>
                    <xdr:col>1</xdr:col>
                    <xdr:colOff>1607820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3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19</xdr:row>
                    <xdr:rowOff>106680</xdr:rowOff>
                  </from>
                  <to>
                    <xdr:col>2</xdr:col>
                    <xdr:colOff>914400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4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19</xdr:row>
                    <xdr:rowOff>83820</xdr:rowOff>
                  </from>
                  <to>
                    <xdr:col>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5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19</xdr:row>
                    <xdr:rowOff>76200</xdr:rowOff>
                  </from>
                  <to>
                    <xdr:col>3</xdr:col>
                    <xdr:colOff>1516380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6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144780</xdr:colOff>
                    <xdr:row>10</xdr:row>
                    <xdr:rowOff>213360</xdr:rowOff>
                  </from>
                  <to>
                    <xdr:col>1</xdr:col>
                    <xdr:colOff>1623060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7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7</xdr:row>
                    <xdr:rowOff>22860</xdr:rowOff>
                  </from>
                  <to>
                    <xdr:col>145</xdr:col>
                    <xdr:colOff>1402080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8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7</xdr:row>
                    <xdr:rowOff>22860</xdr:rowOff>
                  </from>
                  <to>
                    <xdr:col>145</xdr:col>
                    <xdr:colOff>1447800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9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1</xdr:row>
                    <xdr:rowOff>7620</xdr:rowOff>
                  </from>
                  <to>
                    <xdr:col>11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0" name="Dropdown_TP_Structures2">
              <controlPr defaultSize="0" autoLine="0" autoPict="0" macro="[0]!load_TP_Data">
                <anchor moveWithCells="1">
                  <from>
                    <xdr:col>41</xdr:col>
                    <xdr:colOff>3383280</xdr:colOff>
                    <xdr:row>6</xdr:row>
                    <xdr:rowOff>38100</xdr:rowOff>
                  </from>
                  <to>
                    <xdr:col>44</xdr:col>
                    <xdr:colOff>1577340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31" name="Button 63">
              <controlPr defaultSize="0" print="0" autoFill="0" autoPict="0" macro="[0]!load_TP_DB">
                <anchor moveWithCells="1" sizeWithCells="1">
                  <from>
                    <xdr:col>41</xdr:col>
                    <xdr:colOff>45720</xdr:colOff>
                    <xdr:row>4</xdr:row>
                    <xdr:rowOff>22860</xdr:rowOff>
                  </from>
                  <to>
                    <xdr:col>41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32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30480</xdr:colOff>
                    <xdr:row>20</xdr:row>
                    <xdr:rowOff>160020</xdr:rowOff>
                  </from>
                  <to>
                    <xdr:col>45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33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1470660</xdr:colOff>
                    <xdr:row>20</xdr:row>
                    <xdr:rowOff>160020</xdr:rowOff>
                  </from>
                  <to>
                    <xdr:col>47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34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30480</xdr:colOff>
                    <xdr:row>6</xdr:row>
                    <xdr:rowOff>7620</xdr:rowOff>
                  </from>
                  <to>
                    <xdr:col>41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35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21</xdr:row>
                    <xdr:rowOff>22860</xdr:rowOff>
                  </from>
                  <to>
                    <xdr:col>41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6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1</xdr:row>
                    <xdr:rowOff>7620</xdr:rowOff>
                  </from>
                  <to>
                    <xdr:col>48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7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5</xdr:row>
                    <xdr:rowOff>38100</xdr:rowOff>
                  </from>
                  <to>
                    <xdr:col>101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8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5</xdr:row>
                    <xdr:rowOff>22860</xdr:rowOff>
                  </from>
                  <to>
                    <xdr:col>102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9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7</xdr:row>
                    <xdr:rowOff>22860</xdr:rowOff>
                  </from>
                  <to>
                    <xdr:col>145</xdr:col>
                    <xdr:colOff>1447800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0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7</xdr:row>
                    <xdr:rowOff>22860</xdr:rowOff>
                  </from>
                  <to>
                    <xdr:col>145</xdr:col>
                    <xdr:colOff>1493520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41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20</xdr:row>
                    <xdr:rowOff>160020</xdr:rowOff>
                  </from>
                  <to>
                    <xdr:col>83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2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1470660</xdr:colOff>
                    <xdr:row>20</xdr:row>
                    <xdr:rowOff>160020</xdr:rowOff>
                  </from>
                  <to>
                    <xdr:col>85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43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21</xdr:row>
                    <xdr:rowOff>22860</xdr:rowOff>
                  </from>
                  <to>
                    <xdr:col>79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44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1</xdr:row>
                    <xdr:rowOff>7620</xdr:rowOff>
                  </from>
                  <to>
                    <xdr:col>86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45" name="Dropdown_TOWER_Structures2">
              <controlPr defaultSize="0" autoLine="0" autoPict="0" macro="[0]!load_TOWER_Data">
                <anchor moveWithCells="1">
                  <from>
                    <xdr:col>79</xdr:col>
                    <xdr:colOff>3383280</xdr:colOff>
                    <xdr:row>6</xdr:row>
                    <xdr:rowOff>38100</xdr:rowOff>
                  </from>
                  <to>
                    <xdr:col>146</xdr:col>
                    <xdr:colOff>1531620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6" name="Button 75">
              <controlPr defaultSize="0" print="0" autoFill="0" autoPict="0" macro="[0]!load_TOWER_DB">
                <anchor moveWithCells="1" sizeWithCells="1">
                  <from>
                    <xdr:col>79</xdr:col>
                    <xdr:colOff>45720</xdr:colOff>
                    <xdr:row>4</xdr:row>
                    <xdr:rowOff>22860</xdr:rowOff>
                  </from>
                  <to>
                    <xdr:col>79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7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30480</xdr:colOff>
                    <xdr:row>6</xdr:row>
                    <xdr:rowOff>7620</xdr:rowOff>
                  </from>
                  <to>
                    <xdr:col>79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8" name="Dropdown_RNA_Structures2">
              <controlPr defaultSize="0" autoLine="0" autoPict="0">
                <anchor moveWithCells="1">
                  <from>
                    <xdr:col>117</xdr:col>
                    <xdr:colOff>3383280</xdr:colOff>
                    <xdr:row>6</xdr:row>
                    <xdr:rowOff>38100</xdr:rowOff>
                  </from>
                  <to>
                    <xdr:col>146</xdr:col>
                    <xdr:colOff>1493520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9" name="Button 85">
              <controlPr defaultSize="0" print="0" autoFill="0" autoPict="0" macro="[0]!load_RNA_DB">
                <anchor moveWithCells="1" sizeWithCells="1">
                  <from>
                    <xdr:col>117</xdr:col>
                    <xdr:colOff>45720</xdr:colOff>
                    <xdr:row>4</xdr:row>
                    <xdr:rowOff>22860</xdr:rowOff>
                  </from>
                  <to>
                    <xdr:col>117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50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30480</xdr:colOff>
                    <xdr:row>6</xdr:row>
                    <xdr:rowOff>7620</xdr:rowOff>
                  </from>
                  <to>
                    <xdr:col>117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51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106680</xdr:colOff>
                    <xdr:row>108</xdr:row>
                    <xdr:rowOff>45720</xdr:rowOff>
                  </from>
                  <to>
                    <xdr:col>3</xdr:col>
                    <xdr:colOff>1440180</xdr:colOff>
                    <xdr:row>111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6"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BA455"/>
  <sheetViews>
    <sheetView zoomScale="55" zoomScaleNormal="55" workbookViewId="0">
      <selection activeCell="I42" sqref="I42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5.33203125" style="55" customWidth="1"/>
    <col min="20" max="20" width="23" style="55" customWidth="1"/>
    <col min="21" max="21" width="21.88671875" style="55" customWidth="1"/>
    <col min="22" max="22" width="27.44140625" style="55" customWidth="1"/>
    <col min="23" max="23" width="28.109375" style="55" customWidth="1"/>
    <col min="24" max="24" width="26.88671875" style="55" customWidth="1"/>
    <col min="25" max="25" width="15.33203125" style="55" customWidth="1"/>
    <col min="26" max="26" width="13" style="51" customWidth="1"/>
    <col min="27" max="27" width="14.44140625" style="51" customWidth="1"/>
    <col min="28" max="28" width="19.33203125" style="51" customWidth="1"/>
    <col min="29" max="29" width="14.44140625" style="51"/>
    <col min="30" max="30" width="17.6640625" style="51" customWidth="1"/>
    <col min="31" max="33" width="14.44140625" style="51"/>
    <col min="34" max="34" width="19" customWidth="1"/>
    <col min="35" max="35" width="18.44140625" customWidth="1"/>
    <col min="37" max="37" width="22.6640625" customWidth="1"/>
    <col min="39" max="39" width="20.44140625" customWidth="1"/>
    <col min="43" max="44" width="14.44140625" style="51"/>
    <col min="45" max="45" width="20.44140625" style="51" customWidth="1"/>
    <col min="46" max="46" width="26.6640625" style="51" customWidth="1"/>
    <col min="47" max="47" width="17.44140625" style="51" customWidth="1"/>
    <col min="48" max="16384" width="14.44140625" style="51"/>
  </cols>
  <sheetData>
    <row r="2" spans="2:53" ht="15" customHeight="1" x14ac:dyDescent="0.3">
      <c r="B2" s="51" t="s">
        <v>27</v>
      </c>
      <c r="C2" s="51" t="s">
        <v>105</v>
      </c>
      <c r="D2" s="55" t="s">
        <v>106</v>
      </c>
      <c r="E2" s="55"/>
      <c r="F2" s="55"/>
      <c r="G2" s="55"/>
      <c r="H2" s="55"/>
      <c r="I2" s="55" t="s">
        <v>127</v>
      </c>
      <c r="J2" s="51" t="s">
        <v>105</v>
      </c>
      <c r="K2" s="51" t="s">
        <v>106</v>
      </c>
      <c r="M2" s="55"/>
      <c r="N2" s="55"/>
    </row>
    <row r="3" spans="2:53" x14ac:dyDescent="0.3">
      <c r="B3" s="68" t="s">
        <v>120</v>
      </c>
      <c r="C3" s="70"/>
      <c r="D3" s="73" t="s">
        <v>77</v>
      </c>
      <c r="E3" s="55"/>
      <c r="I3" t="s">
        <v>71</v>
      </c>
      <c r="J3" s="64">
        <f>SUMIF(WHOLE_STRUCTURE[Affiliation], "TOWER", J14:J2252)</f>
        <v>691.70737506686044</v>
      </c>
      <c r="K3" s="51" t="s">
        <v>6</v>
      </c>
      <c r="M3" s="55"/>
      <c r="N3" s="55"/>
    </row>
    <row r="4" spans="2:53" ht="15" customHeight="1" x14ac:dyDescent="0.3">
      <c r="B4" s="68" t="s">
        <v>119</v>
      </c>
      <c r="C4" s="70" t="s">
        <v>49</v>
      </c>
      <c r="D4" s="73" t="s">
        <v>77</v>
      </c>
      <c r="I4" t="s">
        <v>83</v>
      </c>
      <c r="J4" s="64">
        <f>SUMIF(WHOLE_STRUCTURE[Affiliation], "TP", J14:J2252)</f>
        <v>222.52056289920802</v>
      </c>
      <c r="K4" s="51" t="s">
        <v>6</v>
      </c>
      <c r="L4" s="55"/>
      <c r="M4" s="55"/>
      <c r="N4" s="55"/>
    </row>
    <row r="5" spans="2:53" ht="15" customHeight="1" x14ac:dyDescent="0.3">
      <c r="B5" s="69" t="s">
        <v>204</v>
      </c>
      <c r="C5" s="71"/>
      <c r="D5" s="72" t="s">
        <v>121</v>
      </c>
      <c r="I5" t="s">
        <v>69</v>
      </c>
      <c r="J5" s="64">
        <f>SUMIF(WHOLE_STRUCTURE[Affiliation], "MP", J14:J2252)</f>
        <v>1905.9672533221333</v>
      </c>
      <c r="K5" s="51" t="s">
        <v>6</v>
      </c>
      <c r="M5" s="55"/>
      <c r="N5" s="55"/>
    </row>
    <row r="6" spans="2:53" x14ac:dyDescent="0.3">
      <c r="B6" s="68" t="s">
        <v>122</v>
      </c>
      <c r="C6" s="70">
        <v>-38.9</v>
      </c>
      <c r="D6" s="73" t="s">
        <v>121</v>
      </c>
      <c r="I6" t="s">
        <v>115</v>
      </c>
      <c r="J6" s="64" cm="1">
        <f t="array" ref="J6">RNA[Power '[MW']]</f>
        <v>8</v>
      </c>
      <c r="K6" s="51" t="s">
        <v>6</v>
      </c>
      <c r="M6" s="55"/>
      <c r="N6" s="55"/>
      <c r="AI6" s="74"/>
      <c r="AJ6" s="74"/>
    </row>
    <row r="7" spans="2:53" ht="15" customHeight="1" x14ac:dyDescent="0.3">
      <c r="I7" t="s">
        <v>118</v>
      </c>
      <c r="J7" s="64">
        <f>SUM(Q14:Q1048576)</f>
        <v>1449.2369999999999</v>
      </c>
      <c r="K7" s="51" t="s">
        <v>6</v>
      </c>
      <c r="M7" s="55"/>
      <c r="N7" s="55"/>
      <c r="AT7" s="51" t="s">
        <v>237</v>
      </c>
    </row>
    <row r="8" spans="2:53" ht="15" customHeight="1" x14ac:dyDescent="0.3">
      <c r="B8" s="81" t="s">
        <v>195</v>
      </c>
      <c r="C8" s="70">
        <f xml:space="preserve"> INDEX(WHOLE_STRUCTURE[Top '[m']], 1) + INDEX(RNA[Vertical Offset TT to HH '[m']],1)</f>
        <v>142.18999999999997</v>
      </c>
      <c r="D8" s="73" t="s">
        <v>121</v>
      </c>
      <c r="I8" t="s">
        <v>126</v>
      </c>
      <c r="J8" s="64">
        <f>SUM(J3:J7)</f>
        <v>4277.4321912882015</v>
      </c>
      <c r="K8" s="51" t="s">
        <v>6</v>
      </c>
      <c r="M8" s="55"/>
      <c r="N8" s="55"/>
    </row>
    <row r="9" spans="2:53" ht="15" customHeight="1" x14ac:dyDescent="0.3">
      <c r="I9"/>
      <c r="J9" s="64"/>
      <c r="M9" s="55"/>
      <c r="N9" s="55"/>
    </row>
    <row r="10" spans="2:53" ht="15" customHeight="1" x14ac:dyDescent="0.3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53" ht="31.95" customHeight="1" x14ac:dyDescent="0.6">
      <c r="B11" s="63" t="s">
        <v>97</v>
      </c>
      <c r="O11" s="63" t="s">
        <v>98</v>
      </c>
      <c r="AA11" s="63" t="s">
        <v>100</v>
      </c>
      <c r="AH11" s="63" t="s">
        <v>115</v>
      </c>
      <c r="AR11" s="63" t="s">
        <v>20</v>
      </c>
      <c r="AX11" s="63" t="s">
        <v>99</v>
      </c>
    </row>
    <row r="14" spans="2:53" x14ac:dyDescent="0.3">
      <c r="B14" s="51" t="s">
        <v>1</v>
      </c>
      <c r="C14" s="51" t="s">
        <v>85</v>
      </c>
      <c r="D14" s="51" t="s">
        <v>82</v>
      </c>
      <c r="E14" s="51" t="s">
        <v>95</v>
      </c>
      <c r="F14" s="51" t="s">
        <v>94</v>
      </c>
      <c r="G14" s="51" t="s">
        <v>78</v>
      </c>
      <c r="H14" s="51" t="s">
        <v>79</v>
      </c>
      <c r="I14" s="51" t="s">
        <v>80</v>
      </c>
      <c r="J14" s="51" t="s">
        <v>84</v>
      </c>
      <c r="K14" s="51" t="s">
        <v>9</v>
      </c>
      <c r="L14" s="51" t="s">
        <v>10</v>
      </c>
      <c r="M14" s="51" t="s">
        <v>12</v>
      </c>
      <c r="O14" s="55" t="s">
        <v>85</v>
      </c>
      <c r="P14" s="83" t="s">
        <v>249</v>
      </c>
      <c r="Q14" t="s">
        <v>95</v>
      </c>
      <c r="R14" t="s">
        <v>94</v>
      </c>
      <c r="S14" s="51" t="s">
        <v>87</v>
      </c>
      <c r="T14" s="51" t="s">
        <v>227</v>
      </c>
      <c r="U14" s="51" t="s">
        <v>228</v>
      </c>
      <c r="V14" s="51" t="s">
        <v>229</v>
      </c>
      <c r="W14" s="51" t="s">
        <v>231</v>
      </c>
      <c r="X14" s="51" t="s">
        <v>230</v>
      </c>
      <c r="AA14" s="61" t="s">
        <v>85</v>
      </c>
      <c r="AB14" s="57" t="s">
        <v>96</v>
      </c>
      <c r="AC14" s="57" t="s">
        <v>117</v>
      </c>
      <c r="AD14" s="62" t="s">
        <v>19</v>
      </c>
      <c r="AH14" t="s">
        <v>73</v>
      </c>
      <c r="AI14" t="s">
        <v>128</v>
      </c>
      <c r="AJ14" t="s">
        <v>129</v>
      </c>
      <c r="AK14" t="s">
        <v>206</v>
      </c>
      <c r="AL14" t="s">
        <v>215</v>
      </c>
      <c r="AM14" t="s">
        <v>216</v>
      </c>
      <c r="AN14" t="s">
        <v>225</v>
      </c>
      <c r="AO14" t="s">
        <v>224</v>
      </c>
      <c r="AP14" s="78" t="s">
        <v>19</v>
      </c>
      <c r="AR14" s="51" t="s">
        <v>94</v>
      </c>
      <c r="AS14" s="51" t="s">
        <v>95</v>
      </c>
      <c r="AT14" s="51" t="s">
        <v>101</v>
      </c>
      <c r="AU14" s="51" t="s">
        <v>236</v>
      </c>
      <c r="AV14" s="51" t="s">
        <v>235</v>
      </c>
      <c r="AX14" s="51" t="s">
        <v>94</v>
      </c>
      <c r="AY14" s="51" t="s">
        <v>95</v>
      </c>
      <c r="AZ14" s="51" t="s">
        <v>17</v>
      </c>
      <c r="BA14" s="51" t="s">
        <v>18</v>
      </c>
    </row>
    <row r="15" spans="2:53" x14ac:dyDescent="0.3">
      <c r="B15" s="51">
        <v>1</v>
      </c>
      <c r="C15" s="51" t="s">
        <v>71</v>
      </c>
      <c r="D15" s="51">
        <v>1</v>
      </c>
      <c r="E15" s="51">
        <v>139.89999999999998</v>
      </c>
      <c r="F15" s="51">
        <v>139.72499999999997</v>
      </c>
      <c r="G15" s="51">
        <v>5.6159999999999997</v>
      </c>
      <c r="H15" s="51">
        <v>5.6159999999999997</v>
      </c>
      <c r="I15" s="51">
        <v>42</v>
      </c>
      <c r="J15" s="54">
        <f t="shared" ref="J15:J46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>1.0103546228354485</v>
      </c>
      <c r="K15" s="53">
        <f>IFERROR(IF(OR(ISBLANK(WHOLE_STRUCTURE[[#This Row],[Top '[m']]]), ISBLANK(WHOLE_STRUCTURE[[#This Row],[Bottom '[m']]])), "", WHOLE_STRUCTURE[[#This Row],[Top '[m']]] - WHOLE_STRUCTURE[[#This Row],[Bottom '[m']]]),"")</f>
        <v>0.17500000000001137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133.71428571428569</v>
      </c>
      <c r="O15" s="55" t="s">
        <v>71</v>
      </c>
      <c r="P15" s="55" t="s">
        <v>278</v>
      </c>
      <c r="Q15" s="55">
        <v>138.60000000000002</v>
      </c>
      <c r="R15" s="55">
        <v>138.60000000000002</v>
      </c>
      <c r="S15" s="51">
        <v>2543</v>
      </c>
      <c r="T15" s="51"/>
      <c r="U15" s="51"/>
      <c r="V15" s="51"/>
      <c r="W15" s="51"/>
      <c r="X15" s="51"/>
      <c r="AB15" s="64"/>
      <c r="AC15" s="64"/>
      <c r="AH15" s="58" t="s">
        <v>137</v>
      </c>
      <c r="AI15" s="58">
        <v>8</v>
      </c>
      <c r="AJ15" s="58">
        <v>164</v>
      </c>
      <c r="AK15" s="60">
        <v>450972</v>
      </c>
      <c r="AL15" s="60">
        <v>72350120</v>
      </c>
      <c r="AM15" s="60">
        <v>72350120</v>
      </c>
      <c r="AN15" s="60">
        <v>2.29</v>
      </c>
      <c r="AO15" s="60">
        <v>2.29</v>
      </c>
      <c r="AP15" s="60" t="s">
        <v>144</v>
      </c>
      <c r="AR15" s="51">
        <v>140.49999999999997</v>
      </c>
      <c r="AS15" s="51">
        <v>3.1</v>
      </c>
      <c r="AT15" s="51">
        <v>0</v>
      </c>
      <c r="AU15" s="51">
        <v>1325</v>
      </c>
      <c r="AV15" s="51">
        <v>0.5</v>
      </c>
      <c r="AX15" s="51">
        <v>20</v>
      </c>
      <c r="AY15" s="51">
        <v>6.5</v>
      </c>
      <c r="AZ15" s="51">
        <v>0.9</v>
      </c>
      <c r="BA15" s="51">
        <v>2</v>
      </c>
    </row>
    <row r="16" spans="2:53" x14ac:dyDescent="0.3">
      <c r="B16" s="51">
        <v>2</v>
      </c>
      <c r="C16" s="51" t="s">
        <v>71</v>
      </c>
      <c r="D16" s="51">
        <v>2</v>
      </c>
      <c r="E16" s="51">
        <v>139.72499999999997</v>
      </c>
      <c r="F16" s="51">
        <v>139.67499999999998</v>
      </c>
      <c r="G16" s="51">
        <v>5.6159999999999997</v>
      </c>
      <c r="H16" s="51">
        <v>5.609</v>
      </c>
      <c r="I16" s="51">
        <v>42</v>
      </c>
      <c r="J16" s="54">
        <f t="shared" si="0"/>
        <v>0.28849148733930929</v>
      </c>
      <c r="K16" s="53">
        <f>IFERROR(IF(OR(ISBLANK(WHOLE_STRUCTURE[[#This Row],[Top '[m']]]), ISBLANK(WHOLE_STRUCTURE[[#This Row],[Bottom '[m']]])), "", WHOLE_STRUCTURE[[#This Row],[Top '[m']]] - WHOLE_STRUCTURE[[#This Row],[Bottom '[m']]]),"")</f>
        <v>4.9999999999982947E-2</v>
      </c>
      <c r="L16" s="54">
        <f>IFERROR(-(WHOLE_STRUCTURE[[#This Row],[D, bottom '[m']]]-WHOLE_STRUCTURE[[#This Row],[D, top '[m']]])/(WHOLE_STRUCTURE[[#This Row],[Bottom '[m']]]-WHOLE_STRUCTURE[[#This Row],[Top '[m']]]),"")</f>
        <v>-0.1400000000000412</v>
      </c>
      <c r="M16" s="52">
        <f>IFERROR((WHOLE_STRUCTURE[[#This Row],[D, bottom '[m']]]+WHOLE_STRUCTURE[[#This Row],[D, top '[m']]])/(2*WHOLE_STRUCTURE[[#This Row],[t '[mm']]]/1000),"")</f>
        <v>133.63095238095238</v>
      </c>
      <c r="O16" s="55" t="s">
        <v>71</v>
      </c>
      <c r="P16" s="55" t="s">
        <v>278</v>
      </c>
      <c r="Q16" s="55">
        <v>137.50200000000001</v>
      </c>
      <c r="R16" s="55">
        <v>137.50200000000001</v>
      </c>
      <c r="S16" s="51">
        <v>1500</v>
      </c>
      <c r="T16" s="51"/>
      <c r="U16" s="51"/>
      <c r="V16" s="51"/>
      <c r="W16" s="51"/>
      <c r="X16" s="51"/>
      <c r="AR16" s="51">
        <v>3.1</v>
      </c>
      <c r="AS16" s="51">
        <v>-8.9</v>
      </c>
      <c r="AT16" s="51">
        <v>150</v>
      </c>
      <c r="AU16" s="51">
        <v>1325</v>
      </c>
      <c r="AV16" s="51">
        <v>0.5</v>
      </c>
      <c r="AX16" s="51">
        <f>IF(ISBLANK(AY16),"",AY15)</f>
        <v>6.5</v>
      </c>
      <c r="AY16" s="51">
        <v>-22</v>
      </c>
      <c r="AZ16" s="51">
        <v>0.9</v>
      </c>
      <c r="BA16" s="51">
        <v>2</v>
      </c>
    </row>
    <row r="17" spans="2:51" x14ac:dyDescent="0.3">
      <c r="B17" s="51">
        <v>3</v>
      </c>
      <c r="C17" s="51" t="s">
        <v>71</v>
      </c>
      <c r="D17" s="51">
        <v>3</v>
      </c>
      <c r="E17" s="51">
        <v>139.67499999999998</v>
      </c>
      <c r="F17" s="51">
        <v>138.02499999999998</v>
      </c>
      <c r="G17" s="51">
        <v>5.609</v>
      </c>
      <c r="H17" s="51">
        <v>5.9039999999999999</v>
      </c>
      <c r="I17" s="51">
        <v>35</v>
      </c>
      <c r="J17" s="54">
        <f t="shared" si="0"/>
        <v>8.1485703675329084</v>
      </c>
      <c r="K17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L17" s="54">
        <f>IFERROR(-(WHOLE_STRUCTURE[[#This Row],[D, bottom '[m']]]-WHOLE_STRUCTURE[[#This Row],[D, top '[m']]])/(WHOLE_STRUCTURE[[#This Row],[Bottom '[m']]]-WHOLE_STRUCTURE[[#This Row],[Top '[m']]]),"")</f>
        <v>0.17878787878787814</v>
      </c>
      <c r="M17" s="52">
        <f>IFERROR((WHOLE_STRUCTURE[[#This Row],[D, bottom '[m']]]+WHOLE_STRUCTURE[[#This Row],[D, top '[m']]])/(2*WHOLE_STRUCTURE[[#This Row],[t '[mm']]]/1000),"")</f>
        <v>164.47142857142856</v>
      </c>
      <c r="O17" s="55" t="s">
        <v>71</v>
      </c>
      <c r="P17" s="55" t="s">
        <v>278</v>
      </c>
      <c r="Q17" s="55">
        <v>134.608</v>
      </c>
      <c r="R17" s="55">
        <v>134.608</v>
      </c>
      <c r="S17" s="51">
        <v>25000</v>
      </c>
      <c r="T17" s="51"/>
      <c r="U17" s="51"/>
      <c r="V17" s="51"/>
      <c r="W17" s="51"/>
      <c r="X17" s="51"/>
      <c r="AR17" s="51">
        <v>-8.9</v>
      </c>
      <c r="AS17" s="51">
        <v>-38.9</v>
      </c>
      <c r="AT17" s="51">
        <v>100</v>
      </c>
      <c r="AU17" s="51">
        <v>1325</v>
      </c>
      <c r="AV17" s="51">
        <v>0.5</v>
      </c>
      <c r="AX17" s="51" t="str">
        <f t="shared" ref="AX17" si="1">IF(ISBLANK(AY17),"",AY16)</f>
        <v/>
      </c>
    </row>
    <row r="18" spans="2:51" x14ac:dyDescent="0.3">
      <c r="B18" s="51">
        <v>4</v>
      </c>
      <c r="C18" s="51" t="s">
        <v>71</v>
      </c>
      <c r="D18" s="51">
        <v>4</v>
      </c>
      <c r="E18" s="51">
        <v>138.02499999999998</v>
      </c>
      <c r="F18" s="51">
        <v>136.37499999999997</v>
      </c>
      <c r="G18" s="51">
        <v>5.9039999999999999</v>
      </c>
      <c r="H18" s="51">
        <v>6.258</v>
      </c>
      <c r="I18" s="51">
        <v>40</v>
      </c>
      <c r="J18" s="54">
        <f t="shared" si="0"/>
        <v>9.8326889482561182</v>
      </c>
      <c r="K18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L18" s="54">
        <f>IFERROR(-(WHOLE_STRUCTURE[[#This Row],[D, bottom '[m']]]-WHOLE_STRUCTURE[[#This Row],[D, top '[m']]])/(WHOLE_STRUCTURE[[#This Row],[Bottom '[m']]]-WHOLE_STRUCTURE[[#This Row],[Top '[m']]]),"")</f>
        <v>0.21454545454545387</v>
      </c>
      <c r="M18" s="52">
        <f>IFERROR((WHOLE_STRUCTURE[[#This Row],[D, bottom '[m']]]+WHOLE_STRUCTURE[[#This Row],[D, top '[m']]])/(2*WHOLE_STRUCTURE[[#This Row],[t '[mm']]]/1000),"")</f>
        <v>152.02499999999998</v>
      </c>
      <c r="O18" s="55" t="s">
        <v>71</v>
      </c>
      <c r="P18" s="55" t="s">
        <v>278</v>
      </c>
      <c r="Q18" s="55">
        <v>132.61100000000002</v>
      </c>
      <c r="R18" s="55">
        <v>132.61100000000002</v>
      </c>
      <c r="S18" s="51">
        <v>1000</v>
      </c>
      <c r="T18" s="51"/>
      <c r="U18" s="51"/>
      <c r="V18" s="51"/>
      <c r="W18" s="51"/>
      <c r="X18" s="51"/>
      <c r="AA18" s="56" t="s">
        <v>85</v>
      </c>
      <c r="AB18" s="57" t="s">
        <v>95</v>
      </c>
      <c r="AC18" s="57" t="s">
        <v>94</v>
      </c>
      <c r="AD18" s="57" t="s">
        <v>78</v>
      </c>
      <c r="AE18" s="57" t="s">
        <v>79</v>
      </c>
      <c r="AF18" s="57" t="s">
        <v>80</v>
      </c>
      <c r="AR18" s="51">
        <v>-38.9</v>
      </c>
      <c r="AS18" s="51">
        <v>-43.5</v>
      </c>
      <c r="AT18" s="51">
        <v>50</v>
      </c>
      <c r="AU18" s="51">
        <v>1325</v>
      </c>
      <c r="AV18" s="51">
        <v>0.5</v>
      </c>
    </row>
    <row r="19" spans="2:51" x14ac:dyDescent="0.3">
      <c r="B19" s="51">
        <v>5</v>
      </c>
      <c r="C19" s="51" t="s">
        <v>71</v>
      </c>
      <c r="D19" s="51">
        <v>5</v>
      </c>
      <c r="E19" s="51">
        <v>136.37499999999997</v>
      </c>
      <c r="F19" s="51">
        <v>135.78899999999999</v>
      </c>
      <c r="G19" s="51">
        <v>6.258</v>
      </c>
      <c r="H19" s="51">
        <v>6.258</v>
      </c>
      <c r="I19" s="51">
        <v>58</v>
      </c>
      <c r="J19" s="54">
        <f t="shared" si="0"/>
        <v>5.1968098755337806</v>
      </c>
      <c r="K19" s="53">
        <f>IFERROR(IF(OR(ISBLANK(WHOLE_STRUCTURE[[#This Row],[Top '[m']]]), ISBLANK(WHOLE_STRUCTURE[[#This Row],[Bottom '[m']]])), "", WHOLE_STRUCTURE[[#This Row],[Top '[m']]] - WHOLE_STRUCTURE[[#This Row],[Bottom '[m']]]),"")</f>
        <v>0.58599999999998431</v>
      </c>
      <c r="L19" s="54">
        <f>IFERROR(-(WHOLE_STRUCTURE[[#This Row],[D, bottom '[m']]]-WHOLE_STRUCTURE[[#This Row],[D, top '[m']]])/(WHOLE_STRUCTURE[[#This Row],[Bottom '[m']]]-WHOLE_STRUCTURE[[#This Row],[Top '[m']]]),"")</f>
        <v>0</v>
      </c>
      <c r="M19" s="52">
        <f>IFERROR((WHOLE_STRUCTURE[[#This Row],[D, bottom '[m']]]+WHOLE_STRUCTURE[[#This Row],[D, top '[m']]])/(2*WHOLE_STRUCTURE[[#This Row],[t '[mm']]]/1000),"")</f>
        <v>107.89655172413792</v>
      </c>
      <c r="O19" s="55" t="s">
        <v>71</v>
      </c>
      <c r="P19" s="55" t="s">
        <v>278</v>
      </c>
      <c r="Q19" s="55">
        <v>113.14100000000001</v>
      </c>
      <c r="R19" s="55">
        <v>113.14100000000001</v>
      </c>
      <c r="S19" s="51">
        <v>4156</v>
      </c>
      <c r="T19" s="51"/>
      <c r="U19" s="51"/>
      <c r="V19" s="51"/>
      <c r="W19" s="51"/>
      <c r="X19" s="51"/>
      <c r="AA19" s="58"/>
      <c r="AB19" s="58"/>
      <c r="AC19" s="58"/>
      <c r="AD19" s="58"/>
      <c r="AE19" s="59"/>
      <c r="AF19" s="60"/>
    </row>
    <row r="20" spans="2:51" x14ac:dyDescent="0.3">
      <c r="B20" s="51">
        <v>6</v>
      </c>
      <c r="C20" s="51" t="s">
        <v>71</v>
      </c>
      <c r="D20" s="51">
        <v>6</v>
      </c>
      <c r="E20" s="51">
        <v>135.78899999999999</v>
      </c>
      <c r="F20" s="51">
        <v>134.69999999999999</v>
      </c>
      <c r="G20" s="51">
        <v>6.258</v>
      </c>
      <c r="H20" s="51">
        <v>6.258</v>
      </c>
      <c r="I20" s="51">
        <v>58</v>
      </c>
      <c r="J20" s="54">
        <f t="shared" si="0"/>
        <v>9.6575528233044903</v>
      </c>
      <c r="K20" s="53">
        <f>IFERROR(IF(OR(ISBLANK(WHOLE_STRUCTURE[[#This Row],[Top '[m']]]), ISBLANK(WHOLE_STRUCTURE[[#This Row],[Bottom '[m']]])), "", WHOLE_STRUCTURE[[#This Row],[Top '[m']]] - WHOLE_STRUCTURE[[#This Row],[Bottom '[m']]]),"")</f>
        <v>1.0889999999999986</v>
      </c>
      <c r="L20" s="54">
        <f>IFERROR(-(WHOLE_STRUCTURE[[#This Row],[D, bottom '[m']]]-WHOLE_STRUCTURE[[#This Row],[D, top '[m']]])/(WHOLE_STRUCTURE[[#This Row],[Bottom '[m']]]-WHOLE_STRUCTURE[[#This Row],[Top '[m']]]),"")</f>
        <v>0</v>
      </c>
      <c r="M20" s="52">
        <f>IFERROR((WHOLE_STRUCTURE[[#This Row],[D, bottom '[m']]]+WHOLE_STRUCTURE[[#This Row],[D, top '[m']]])/(2*WHOLE_STRUCTURE[[#This Row],[t '[mm']]]/1000),"")</f>
        <v>107.89655172413792</v>
      </c>
      <c r="O20" s="55" t="s">
        <v>71</v>
      </c>
      <c r="P20" s="55" t="s">
        <v>278</v>
      </c>
      <c r="Q20" s="55">
        <v>113.021</v>
      </c>
      <c r="R20" s="55">
        <v>113.021</v>
      </c>
      <c r="S20" s="51">
        <v>4156</v>
      </c>
      <c r="T20" s="51"/>
      <c r="U20" s="51"/>
      <c r="V20" s="51"/>
      <c r="W20" s="51"/>
      <c r="X20" s="51"/>
      <c r="AA20" s="183"/>
      <c r="AB20" s="183"/>
      <c r="AC20" s="183"/>
      <c r="AD20" s="183"/>
      <c r="AE20" s="184"/>
      <c r="AF20" s="183"/>
    </row>
    <row r="21" spans="2:51" x14ac:dyDescent="0.3">
      <c r="B21" s="51">
        <v>7</v>
      </c>
      <c r="C21" s="51" t="s">
        <v>71</v>
      </c>
      <c r="D21" s="51">
        <v>7</v>
      </c>
      <c r="E21" s="51">
        <v>134.69999999999999</v>
      </c>
      <c r="F21" s="51">
        <v>132.87499999999997</v>
      </c>
      <c r="G21" s="51">
        <v>6.258</v>
      </c>
      <c r="H21" s="51">
        <v>6.2229999999999999</v>
      </c>
      <c r="I21" s="51">
        <v>58</v>
      </c>
      <c r="J21" s="54">
        <f t="shared" si="0"/>
        <v>16.138921784175626</v>
      </c>
      <c r="K21" s="53">
        <f>IFERROR(IF(OR(ISBLANK(WHOLE_STRUCTURE[[#This Row],[Top '[m']]]), ISBLANK(WHOLE_STRUCTURE[[#This Row],[Bottom '[m']]])), "", WHOLE_STRUCTURE[[#This Row],[Top '[m']]] - WHOLE_STRUCTURE[[#This Row],[Bottom '[m']]]),"")</f>
        <v>1.8250000000000171</v>
      </c>
      <c r="L21" s="54">
        <f>IFERROR(-(WHOLE_STRUCTURE[[#This Row],[D, bottom '[m']]]-WHOLE_STRUCTURE[[#This Row],[D, top '[m']]])/(WHOLE_STRUCTURE[[#This Row],[Bottom '[m']]]-WHOLE_STRUCTURE[[#This Row],[Top '[m']]]),"")</f>
        <v>-1.9178082191780719E-2</v>
      </c>
      <c r="M21" s="52">
        <f>IFERROR((WHOLE_STRUCTURE[[#This Row],[D, bottom '[m']]]+WHOLE_STRUCTURE[[#This Row],[D, top '[m']]])/(2*WHOLE_STRUCTURE[[#This Row],[t '[mm']]]/1000),"")</f>
        <v>107.59482758620689</v>
      </c>
      <c r="O21" s="55" t="s">
        <v>71</v>
      </c>
      <c r="P21" s="55" t="s">
        <v>278</v>
      </c>
      <c r="Q21" s="55">
        <v>111.723</v>
      </c>
      <c r="R21" s="55">
        <v>111.723</v>
      </c>
      <c r="S21" s="51">
        <v>1500</v>
      </c>
      <c r="T21" s="51"/>
      <c r="U21" s="51"/>
      <c r="V21" s="51"/>
      <c r="W21" s="51"/>
      <c r="X21" s="51"/>
    </row>
    <row r="22" spans="2:51" x14ac:dyDescent="0.3">
      <c r="B22" s="51">
        <v>8</v>
      </c>
      <c r="C22" s="51" t="s">
        <v>71</v>
      </c>
      <c r="D22" s="51">
        <v>8</v>
      </c>
      <c r="E22" s="51">
        <v>132.87499999999997</v>
      </c>
      <c r="F22" s="51">
        <v>130.63999999999999</v>
      </c>
      <c r="G22" s="51">
        <v>6.2229999999999999</v>
      </c>
      <c r="H22" s="51">
        <v>6.2229999999999999</v>
      </c>
      <c r="I22" s="51">
        <v>23</v>
      </c>
      <c r="J22" s="54">
        <f t="shared" si="0"/>
        <v>7.8598920693133492</v>
      </c>
      <c r="K22" s="53">
        <f>IFERROR(IF(OR(ISBLANK(WHOLE_STRUCTURE[[#This Row],[Top '[m']]]), ISBLANK(WHOLE_STRUCTURE[[#This Row],[Bottom '[m']]])), "", WHOLE_STRUCTURE[[#This Row],[Top '[m']]] - WHOLE_STRUCTURE[[#This Row],[Bottom '[m']]]),"")</f>
        <v>2.2349999999999852</v>
      </c>
      <c r="L22" s="54">
        <f>IFERROR(-(WHOLE_STRUCTURE[[#This Row],[D, bottom '[m']]]-WHOLE_STRUCTURE[[#This Row],[D, top '[m']]])/(WHOLE_STRUCTURE[[#This Row],[Bottom '[m']]]-WHOLE_STRUCTURE[[#This Row],[Top '[m']]]),"")</f>
        <v>0</v>
      </c>
      <c r="M22" s="52">
        <f>IFERROR((WHOLE_STRUCTURE[[#This Row],[D, bottom '[m']]]+WHOLE_STRUCTURE[[#This Row],[D, top '[m']]])/(2*WHOLE_STRUCTURE[[#This Row],[t '[mm']]]/1000),"")</f>
        <v>270.56521739130437</v>
      </c>
      <c r="O22" s="55" t="s">
        <v>71</v>
      </c>
      <c r="P22" s="55" t="s">
        <v>278</v>
      </c>
      <c r="Q22" s="55">
        <v>76.820000000000007</v>
      </c>
      <c r="R22" s="55">
        <v>76.820000000000007</v>
      </c>
      <c r="S22" s="51">
        <v>5785</v>
      </c>
      <c r="T22" s="51"/>
      <c r="U22" s="51"/>
      <c r="V22" s="51"/>
      <c r="W22" s="51"/>
      <c r="X22" s="51"/>
    </row>
    <row r="23" spans="2:51" x14ac:dyDescent="0.3">
      <c r="B23" s="51">
        <v>9</v>
      </c>
      <c r="C23" s="51" t="s">
        <v>71</v>
      </c>
      <c r="D23" s="51">
        <v>9</v>
      </c>
      <c r="E23" s="51">
        <v>130.63999999999999</v>
      </c>
      <c r="F23" s="51">
        <v>130.29999999999998</v>
      </c>
      <c r="G23" s="51">
        <v>6.2229999999999999</v>
      </c>
      <c r="H23" s="51">
        <v>6.2229999999999999</v>
      </c>
      <c r="I23" s="51">
        <v>23</v>
      </c>
      <c r="J23" s="54">
        <f t="shared" si="0"/>
        <v>1.1956882790007084</v>
      </c>
      <c r="K23" s="53">
        <f>IFERROR(IF(OR(ISBLANK(WHOLE_STRUCTURE[[#This Row],[Top '[m']]]), ISBLANK(WHOLE_STRUCTURE[[#This Row],[Bottom '[m']]])), "", WHOLE_STRUCTURE[[#This Row],[Top '[m']]] - WHOLE_STRUCTURE[[#This Row],[Bottom '[m']]]),"")</f>
        <v>0.34000000000000341</v>
      </c>
      <c r="L23" s="54">
        <f>IFERROR(-(WHOLE_STRUCTURE[[#This Row],[D, bottom '[m']]]-WHOLE_STRUCTURE[[#This Row],[D, top '[m']]])/(WHOLE_STRUCTURE[[#This Row],[Bottom '[m']]]-WHOLE_STRUCTURE[[#This Row],[Top '[m']]]),"")</f>
        <v>0</v>
      </c>
      <c r="M23" s="52">
        <f>IFERROR((WHOLE_STRUCTURE[[#This Row],[D, bottom '[m']]]+WHOLE_STRUCTURE[[#This Row],[D, top '[m']]])/(2*WHOLE_STRUCTURE[[#This Row],[t '[mm']]]/1000),"")</f>
        <v>270.56521739130437</v>
      </c>
      <c r="O23" s="55" t="s">
        <v>71</v>
      </c>
      <c r="P23" s="55" t="s">
        <v>278</v>
      </c>
      <c r="Q23" s="55">
        <v>76.69</v>
      </c>
      <c r="R23" s="55">
        <v>76.69</v>
      </c>
      <c r="S23" s="51">
        <v>5785</v>
      </c>
      <c r="T23" s="51"/>
      <c r="U23" s="51"/>
      <c r="V23" s="51"/>
      <c r="W23" s="51"/>
      <c r="X23" s="51"/>
    </row>
    <row r="24" spans="2:51" x14ac:dyDescent="0.3">
      <c r="B24" s="51">
        <v>10</v>
      </c>
      <c r="C24" s="51" t="s">
        <v>71</v>
      </c>
      <c r="D24" s="51">
        <v>10</v>
      </c>
      <c r="E24" s="51">
        <v>130.29999999999998</v>
      </c>
      <c r="F24" s="51">
        <v>127.88999999999999</v>
      </c>
      <c r="G24" s="51">
        <v>6.2229999999999999</v>
      </c>
      <c r="H24" s="51">
        <v>6.2229999999999999</v>
      </c>
      <c r="I24" s="51">
        <v>23</v>
      </c>
      <c r="J24" s="54">
        <f t="shared" si="0"/>
        <v>8.475319859975512</v>
      </c>
      <c r="K24" s="53">
        <f>IFERROR(IF(OR(ISBLANK(WHOLE_STRUCTURE[[#This Row],[Top '[m']]]), ISBLANK(WHOLE_STRUCTURE[[#This Row],[Bottom '[m']]])), "", WHOLE_STRUCTURE[[#This Row],[Top '[m']]] - WHOLE_STRUCTURE[[#This Row],[Bottom '[m']]]),"")</f>
        <v>2.4099999999999966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270.56521739130437</v>
      </c>
      <c r="O24" s="55" t="s">
        <v>71</v>
      </c>
      <c r="P24" s="55" t="s">
        <v>278</v>
      </c>
      <c r="Q24" s="55">
        <v>75.393000000000001</v>
      </c>
      <c r="R24" s="55">
        <v>75.393000000000001</v>
      </c>
      <c r="S24" s="51">
        <v>1500</v>
      </c>
      <c r="T24" s="51"/>
      <c r="U24" s="51"/>
      <c r="V24" s="51"/>
      <c r="W24" s="51"/>
      <c r="X24" s="51"/>
    </row>
    <row r="25" spans="2:51" x14ac:dyDescent="0.3">
      <c r="B25" s="51">
        <v>11</v>
      </c>
      <c r="C25" s="51" t="s">
        <v>71</v>
      </c>
      <c r="D25" s="51">
        <v>11</v>
      </c>
      <c r="E25" s="51">
        <v>127.88999999999999</v>
      </c>
      <c r="F25" s="51">
        <v>125.14000000000001</v>
      </c>
      <c r="G25" s="51">
        <v>6.2229999999999999</v>
      </c>
      <c r="H25" s="51">
        <v>6.2229999999999999</v>
      </c>
      <c r="I25" s="51">
        <v>23</v>
      </c>
      <c r="J25" s="54">
        <f t="shared" si="0"/>
        <v>9.6710081389761218</v>
      </c>
      <c r="K25" s="53">
        <f>IFERROR(IF(OR(ISBLANK(WHOLE_STRUCTURE[[#This Row],[Top '[m']]]), ISBLANK(WHOLE_STRUCTURE[[#This Row],[Bottom '[m']]])), "", WHOLE_STRUCTURE[[#This Row],[Top '[m']]] - WHOLE_STRUCTURE[[#This Row],[Bottom '[m']]]),"")</f>
        <v>2.7499999999999716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270.56521739130437</v>
      </c>
      <c r="O25" s="55" t="s">
        <v>71</v>
      </c>
      <c r="P25" s="55" t="s">
        <v>278</v>
      </c>
      <c r="Q25" s="55">
        <v>43.852999999999994</v>
      </c>
      <c r="R25" s="55">
        <v>43.852999999999994</v>
      </c>
      <c r="S25" s="51">
        <v>7233</v>
      </c>
      <c r="T25" s="51"/>
      <c r="U25" s="51"/>
      <c r="V25" s="51"/>
      <c r="W25" s="51"/>
      <c r="X25" s="51"/>
    </row>
    <row r="26" spans="2:51" ht="15" thickBot="1" x14ac:dyDescent="0.35">
      <c r="B26" s="51">
        <v>12</v>
      </c>
      <c r="C26" s="51" t="s">
        <v>71</v>
      </c>
      <c r="D26" s="51">
        <v>12</v>
      </c>
      <c r="E26" s="51">
        <v>125.14000000000001</v>
      </c>
      <c r="F26" s="51">
        <v>123.06700000000001</v>
      </c>
      <c r="G26" s="51">
        <v>6.2229999999999999</v>
      </c>
      <c r="H26" s="51">
        <v>6.2229999999999999</v>
      </c>
      <c r="I26" s="51">
        <v>23</v>
      </c>
      <c r="J26" s="54">
        <f t="shared" si="0"/>
        <v>7.2901817716719197</v>
      </c>
      <c r="K26" s="53">
        <f>IFERROR(IF(OR(ISBLANK(WHOLE_STRUCTURE[[#This Row],[Top '[m']]]), ISBLANK(WHOLE_STRUCTURE[[#This Row],[Bottom '[m']]])), "", WHOLE_STRUCTURE[[#This Row],[Top '[m']]] - WHOLE_STRUCTURE[[#This Row],[Bottom '[m']]]),"")</f>
        <v>2.0730000000000075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270.56521739130437</v>
      </c>
      <c r="O26" s="55" t="s">
        <v>71</v>
      </c>
      <c r="P26" s="55" t="s">
        <v>278</v>
      </c>
      <c r="Q26" s="55">
        <v>43.712999999999994</v>
      </c>
      <c r="R26" s="55">
        <v>43.712999999999994</v>
      </c>
      <c r="S26" s="51">
        <v>7233</v>
      </c>
      <c r="T26" s="51"/>
      <c r="U26" s="51"/>
      <c r="V26" s="51"/>
      <c r="W26" s="51"/>
      <c r="X26" s="51"/>
    </row>
    <row r="27" spans="2:51" ht="15" thickBot="1" x14ac:dyDescent="0.35">
      <c r="B27" s="51">
        <v>13</v>
      </c>
      <c r="C27" s="51" t="s">
        <v>71</v>
      </c>
      <c r="D27" s="51">
        <v>13</v>
      </c>
      <c r="E27" s="51">
        <v>123.06700000000001</v>
      </c>
      <c r="F27" s="51">
        <v>122.21000000000001</v>
      </c>
      <c r="G27" s="51">
        <v>6.2229999999999999</v>
      </c>
      <c r="H27" s="51">
        <v>6.2229999999999999</v>
      </c>
      <c r="I27" s="51">
        <v>23</v>
      </c>
      <c r="J27" s="54">
        <f t="shared" si="0"/>
        <v>3.0138378091282236</v>
      </c>
      <c r="K27" s="53">
        <f>IFERROR(IF(OR(ISBLANK(WHOLE_STRUCTURE[[#This Row],[Top '[m']]]), ISBLANK(WHOLE_STRUCTURE[[#This Row],[Bottom '[m']]])), "", WHOLE_STRUCTURE[[#This Row],[Top '[m']]] - WHOLE_STRUCTURE[[#This Row],[Bottom '[m']]]),"")</f>
        <v>0.85699999999999932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270.56521739130437</v>
      </c>
      <c r="O27" s="55" t="s">
        <v>71</v>
      </c>
      <c r="P27" s="55" t="s">
        <v>278</v>
      </c>
      <c r="Q27" s="55">
        <v>42.415999999999997</v>
      </c>
      <c r="R27" s="55">
        <v>42.415999999999997</v>
      </c>
      <c r="S27" s="51">
        <v>1500</v>
      </c>
      <c r="T27" s="51"/>
      <c r="U27" s="51"/>
      <c r="V27" s="51"/>
      <c r="W27" s="51"/>
      <c r="X27" s="51"/>
      <c r="AW27" s="155"/>
      <c r="AX27" s="156"/>
      <c r="AY27" s="154"/>
    </row>
    <row r="28" spans="2:51" ht="15" thickBot="1" x14ac:dyDescent="0.35">
      <c r="B28" s="51">
        <v>14</v>
      </c>
      <c r="C28" s="51" t="s">
        <v>71</v>
      </c>
      <c r="D28" s="51">
        <v>14</v>
      </c>
      <c r="E28" s="51">
        <v>122.21000000000001</v>
      </c>
      <c r="F28" s="51">
        <v>120.30000000000001</v>
      </c>
      <c r="G28" s="51">
        <v>6.2229999999999999</v>
      </c>
      <c r="H28" s="51">
        <v>6.2229999999999999</v>
      </c>
      <c r="I28" s="51">
        <v>23</v>
      </c>
      <c r="J28" s="54">
        <f t="shared" si="0"/>
        <v>6.7169547437980182</v>
      </c>
      <c r="K28" s="53">
        <f>IFERROR(IF(OR(ISBLANK(WHOLE_STRUCTURE[[#This Row],[Top '[m']]]), ISBLANK(WHOLE_STRUCTURE[[#This Row],[Bottom '[m']]])), "", WHOLE_STRUCTURE[[#This Row],[Top '[m']]] - WHOLE_STRUCTURE[[#This Row],[Bottom '[m']]]),"")</f>
        <v>1.9099999999999966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270.56521739130437</v>
      </c>
      <c r="O28" s="55" t="s">
        <v>83</v>
      </c>
      <c r="P28" s="55" t="s">
        <v>285</v>
      </c>
      <c r="Q28" s="55">
        <v>22.5</v>
      </c>
      <c r="R28" s="55">
        <v>10.7</v>
      </c>
      <c r="S28" s="51">
        <v>3000</v>
      </c>
      <c r="T28" s="51">
        <v>0.19400000000000001</v>
      </c>
      <c r="U28" s="51">
        <v>130.80000000000001</v>
      </c>
      <c r="V28" s="51">
        <v>4.8</v>
      </c>
      <c r="W28" s="51"/>
      <c r="X28" s="51">
        <v>0</v>
      </c>
      <c r="AW28" s="157"/>
      <c r="AX28" s="156"/>
      <c r="AY28" s="154"/>
    </row>
    <row r="29" spans="2:51" ht="15" thickBot="1" x14ac:dyDescent="0.35">
      <c r="B29" s="51">
        <v>15</v>
      </c>
      <c r="C29" s="51" t="s">
        <v>71</v>
      </c>
      <c r="D29" s="51">
        <v>15</v>
      </c>
      <c r="E29" s="51">
        <v>120.30000000000001</v>
      </c>
      <c r="F29" s="51">
        <v>119.28000000000002</v>
      </c>
      <c r="G29" s="51">
        <v>6.2229999999999999</v>
      </c>
      <c r="H29" s="51">
        <v>6.2229999999999999</v>
      </c>
      <c r="I29" s="51">
        <v>23</v>
      </c>
      <c r="J29" s="54">
        <f t="shared" si="0"/>
        <v>3.587064837002075</v>
      </c>
      <c r="K29" s="53">
        <f>IFERROR(IF(OR(ISBLANK(WHOLE_STRUCTURE[[#This Row],[Top '[m']]]), ISBLANK(WHOLE_STRUCTURE[[#This Row],[Bottom '[m']]])), "", WHOLE_STRUCTURE[[#This Row],[Top '[m']]] - WHOLE_STRUCTURE[[#This Row],[Bottom '[m']]]),"")</f>
        <v>1.019999999999996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270.56521739130437</v>
      </c>
      <c r="O29" s="55" t="s">
        <v>83</v>
      </c>
      <c r="P29" s="55" t="s">
        <v>285</v>
      </c>
      <c r="Q29" s="55">
        <v>22.5</v>
      </c>
      <c r="R29" s="55">
        <v>10.7</v>
      </c>
      <c r="S29" s="51">
        <v>3000</v>
      </c>
      <c r="T29" s="51">
        <v>0.19400000000000001</v>
      </c>
      <c r="U29" s="51">
        <v>139.19999999999999</v>
      </c>
      <c r="V29" s="51">
        <v>4.8</v>
      </c>
      <c r="W29" s="51"/>
      <c r="X29" s="51">
        <v>0</v>
      </c>
      <c r="AW29" s="157"/>
      <c r="AX29" s="156"/>
      <c r="AY29" s="154"/>
    </row>
    <row r="30" spans="2:51" ht="15" thickBot="1" x14ac:dyDescent="0.35">
      <c r="B30" s="51">
        <v>16</v>
      </c>
      <c r="C30" s="51" t="s">
        <v>71</v>
      </c>
      <c r="D30" s="51">
        <v>16</v>
      </c>
      <c r="E30" s="51">
        <v>119.28000000000002</v>
      </c>
      <c r="F30" s="51">
        <v>116.35000000000001</v>
      </c>
      <c r="G30" s="51">
        <v>6.2229999999999999</v>
      </c>
      <c r="H30" s="51">
        <v>6.2229999999999999</v>
      </c>
      <c r="I30" s="51">
        <v>23</v>
      </c>
      <c r="J30" s="54">
        <f t="shared" si="0"/>
        <v>10.304019580800142</v>
      </c>
      <c r="K30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270.56521739130437</v>
      </c>
      <c r="O30" s="55" t="s">
        <v>71</v>
      </c>
      <c r="P30" s="55" t="s">
        <v>278</v>
      </c>
      <c r="Q30" s="55">
        <v>21.396000000000001</v>
      </c>
      <c r="R30" s="55">
        <v>21.396000000000001</v>
      </c>
      <c r="S30" s="51">
        <v>10500</v>
      </c>
      <c r="T30" s="51"/>
      <c r="U30" s="51"/>
      <c r="V30" s="51"/>
      <c r="W30" s="51"/>
      <c r="X30" s="51"/>
      <c r="AW30" s="157"/>
      <c r="AX30" s="156"/>
      <c r="AY30" s="154"/>
    </row>
    <row r="31" spans="2:51" x14ac:dyDescent="0.3">
      <c r="B31" s="51">
        <v>17</v>
      </c>
      <c r="C31" s="51" t="s">
        <v>71</v>
      </c>
      <c r="D31" s="51">
        <v>17</v>
      </c>
      <c r="E31" s="51">
        <v>116.35000000000001</v>
      </c>
      <c r="F31" s="51">
        <v>114.84600000000002</v>
      </c>
      <c r="G31" s="51">
        <v>6.2229999999999999</v>
      </c>
      <c r="H31" s="51">
        <v>6.2229999999999999</v>
      </c>
      <c r="I31" s="51">
        <v>23</v>
      </c>
      <c r="J31" s="54">
        <f t="shared" si="0"/>
        <v>5.2891622694618716</v>
      </c>
      <c r="K31" s="53">
        <f>IFERROR(IF(OR(ISBLANK(WHOLE_STRUCTURE[[#This Row],[Top '[m']]]), ISBLANK(WHOLE_STRUCTURE[[#This Row],[Bottom '[m']]])), "", WHOLE_STRUCTURE[[#This Row],[Top '[m']]] - WHOLE_STRUCTURE[[#This Row],[Bottom '[m']]]),"")</f>
        <v>1.5039999999999907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270.56521739130437</v>
      </c>
      <c r="O31" s="55" t="s">
        <v>83</v>
      </c>
      <c r="P31" s="55" t="s">
        <v>280</v>
      </c>
      <c r="Q31" s="55">
        <v>20.2</v>
      </c>
      <c r="R31" s="55">
        <v>20.2</v>
      </c>
      <c r="S31" s="51">
        <v>30000</v>
      </c>
      <c r="T31" s="51"/>
      <c r="U31" s="51"/>
      <c r="V31" s="51"/>
      <c r="W31" s="51"/>
      <c r="X31" s="51"/>
    </row>
    <row r="32" spans="2:51" x14ac:dyDescent="0.3">
      <c r="B32" s="51">
        <v>18</v>
      </c>
      <c r="C32" s="51" t="s">
        <v>71</v>
      </c>
      <c r="D32" s="51">
        <v>18</v>
      </c>
      <c r="E32" s="51">
        <v>114.84600000000002</v>
      </c>
      <c r="F32" s="51">
        <v>113.42000000000002</v>
      </c>
      <c r="G32" s="51">
        <v>6.2229999999999999</v>
      </c>
      <c r="H32" s="51">
        <v>6.2240000000000002</v>
      </c>
      <c r="I32" s="51">
        <v>23</v>
      </c>
      <c r="J32" s="54">
        <f t="shared" si="0"/>
        <v>5.0152617353149624</v>
      </c>
      <c r="K32" s="53">
        <f>IFERROR(IF(OR(ISBLANK(WHOLE_STRUCTURE[[#This Row],[Top '[m']]]), ISBLANK(WHOLE_STRUCTURE[[#This Row],[Bottom '[m']]])), "", WHOLE_STRUCTURE[[#This Row],[Top '[m']]] - WHOLE_STRUCTURE[[#This Row],[Bottom '[m']]]),"")</f>
        <v>1.4260000000000019</v>
      </c>
      <c r="L32" s="54">
        <f>IFERROR(-(WHOLE_STRUCTURE[[#This Row],[D, bottom '[m']]]-WHOLE_STRUCTURE[[#This Row],[D, top '[m']]])/(WHOLE_STRUCTURE[[#This Row],[Bottom '[m']]]-WHOLE_STRUCTURE[[#This Row],[Top '[m']]]),"")</f>
        <v>7.0126227208999476E-4</v>
      </c>
      <c r="M32" s="52">
        <f>IFERROR((WHOLE_STRUCTURE[[#This Row],[D, bottom '[m']]]+WHOLE_STRUCTURE[[#This Row],[D, top '[m']]])/(2*WHOLE_STRUCTURE[[#This Row],[t '[mm']]]/1000),"")</f>
        <v>270.58695652173913</v>
      </c>
      <c r="O32" s="55" t="s">
        <v>83</v>
      </c>
      <c r="P32" s="55" t="s">
        <v>281</v>
      </c>
      <c r="Q32" s="55">
        <v>19.7</v>
      </c>
      <c r="R32" s="55">
        <v>19.7</v>
      </c>
      <c r="S32" s="51">
        <v>26000</v>
      </c>
      <c r="T32" s="51"/>
      <c r="U32" s="51"/>
      <c r="V32" s="51"/>
      <c r="W32" s="51"/>
      <c r="X32" s="51"/>
    </row>
    <row r="33" spans="2:24" x14ac:dyDescent="0.3">
      <c r="B33" s="51">
        <v>19</v>
      </c>
      <c r="C33" s="51" t="s">
        <v>71</v>
      </c>
      <c r="D33" s="51">
        <v>19</v>
      </c>
      <c r="E33" s="51">
        <v>113.42000000000002</v>
      </c>
      <c r="F33" s="51">
        <v>110.49000000000001</v>
      </c>
      <c r="G33" s="51">
        <v>6.2240000000000002</v>
      </c>
      <c r="H33" s="51">
        <v>6.2249999999999996</v>
      </c>
      <c r="I33" s="51">
        <v>24</v>
      </c>
      <c r="J33" s="54">
        <f t="shared" si="0"/>
        <v>10.752887530560983</v>
      </c>
      <c r="K33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L33" s="54">
        <f>IFERROR(-(WHOLE_STRUCTURE[[#This Row],[D, bottom '[m']]]-WHOLE_STRUCTURE[[#This Row],[D, top '[m']]])/(WHOLE_STRUCTURE[[#This Row],[Bottom '[m']]]-WHOLE_STRUCTURE[[#This Row],[Top '[m']]]),"")</f>
        <v>3.412969283274551E-4</v>
      </c>
      <c r="M33" s="52">
        <f>IFERROR((WHOLE_STRUCTURE[[#This Row],[D, bottom '[m']]]+WHOLE_STRUCTURE[[#This Row],[D, top '[m']]])/(2*WHOLE_STRUCTURE[[#This Row],[t '[mm']]]/1000),"")</f>
        <v>259.35416666666669</v>
      </c>
      <c r="O33" s="55" t="s">
        <v>83</v>
      </c>
      <c r="P33" s="55" t="s">
        <v>282</v>
      </c>
      <c r="Q33" s="55">
        <v>18.899999999999999</v>
      </c>
      <c r="R33" s="55">
        <v>18.899999999999999</v>
      </c>
      <c r="S33" s="51">
        <v>5000</v>
      </c>
      <c r="T33" s="51"/>
      <c r="U33" s="51"/>
      <c r="V33" s="51"/>
      <c r="W33" s="51"/>
      <c r="X33" s="51"/>
    </row>
    <row r="34" spans="2:24" x14ac:dyDescent="0.3">
      <c r="B34" s="51">
        <v>20</v>
      </c>
      <c r="C34" s="51" t="s">
        <v>71</v>
      </c>
      <c r="D34" s="51">
        <v>20</v>
      </c>
      <c r="E34" s="51">
        <v>110.49000000000001</v>
      </c>
      <c r="F34" s="51">
        <v>110.30000000000001</v>
      </c>
      <c r="G34" s="51">
        <v>6.2249999999999996</v>
      </c>
      <c r="H34" s="51">
        <v>6.2249999999999996</v>
      </c>
      <c r="I34" s="51">
        <v>25</v>
      </c>
      <c r="J34" s="54">
        <f t="shared" si="0"/>
        <v>0.72628124363851332</v>
      </c>
      <c r="K34" s="53">
        <f>IFERROR(IF(OR(ISBLANK(WHOLE_STRUCTURE[[#This Row],[Top '[m']]]), ISBLANK(WHOLE_STRUCTURE[[#This Row],[Bottom '[m']]])), "", WHOLE_STRUCTURE[[#This Row],[Top '[m']]] - WHOLE_STRUCTURE[[#This Row],[Bottom '[m']]]),"")</f>
        <v>0.18999999999999773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248.99999999999997</v>
      </c>
      <c r="O34" s="55" t="s">
        <v>83</v>
      </c>
      <c r="P34" s="55" t="s">
        <v>283</v>
      </c>
      <c r="Q34" s="55">
        <v>14</v>
      </c>
      <c r="R34" s="55">
        <v>14</v>
      </c>
      <c r="S34" s="51">
        <v>31000</v>
      </c>
      <c r="T34" s="51"/>
      <c r="U34" s="51"/>
      <c r="V34" s="51"/>
      <c r="W34" s="51"/>
      <c r="X34" s="51"/>
    </row>
    <row r="35" spans="2:24" x14ac:dyDescent="0.3">
      <c r="B35" s="51">
        <v>21</v>
      </c>
      <c r="C35" s="51" t="s">
        <v>71</v>
      </c>
      <c r="D35" s="51">
        <v>21</v>
      </c>
      <c r="E35" s="51">
        <v>110.30000000000001</v>
      </c>
      <c r="F35" s="51">
        <v>107.56000000000002</v>
      </c>
      <c r="G35" s="51">
        <v>6.2249999999999996</v>
      </c>
      <c r="H35" s="51">
        <v>6.226</v>
      </c>
      <c r="I35" s="51">
        <v>25</v>
      </c>
      <c r="J35" s="54">
        <f t="shared" si="0"/>
        <v>10.474584696294533</v>
      </c>
      <c r="K35" s="53">
        <f>IFERROR(IF(OR(ISBLANK(WHOLE_STRUCTURE[[#This Row],[Top '[m']]]), ISBLANK(WHOLE_STRUCTURE[[#This Row],[Bottom '[m']]])), "", WHOLE_STRUCTURE[[#This Row],[Top '[m']]] - WHOLE_STRUCTURE[[#This Row],[Bottom '[m']]]),"")</f>
        <v>2.7399999999999949</v>
      </c>
      <c r="L35" s="54">
        <f>IFERROR(-(WHOLE_STRUCTURE[[#This Row],[D, bottom '[m']]]-WHOLE_STRUCTURE[[#This Row],[D, top '[m']]])/(WHOLE_STRUCTURE[[#This Row],[Bottom '[m']]]-WHOLE_STRUCTURE[[#This Row],[Top '[m']]]),"")</f>
        <v>3.6496350364975758E-4</v>
      </c>
      <c r="M35" s="52">
        <f>IFERROR((WHOLE_STRUCTURE[[#This Row],[D, bottom '[m']]]+WHOLE_STRUCTURE[[#This Row],[D, top '[m']]])/(2*WHOLE_STRUCTURE[[#This Row],[t '[mm']]]/1000),"")</f>
        <v>249.02</v>
      </c>
      <c r="O35" s="55" t="s">
        <v>83</v>
      </c>
      <c r="P35" s="55" t="s">
        <v>286</v>
      </c>
      <c r="Q35" s="55">
        <v>13.2</v>
      </c>
      <c r="R35" s="55">
        <v>-2.6</v>
      </c>
      <c r="S35" s="51">
        <v>3000</v>
      </c>
      <c r="T35" s="51">
        <v>0.19400000000000001</v>
      </c>
      <c r="U35" s="51">
        <v>124.4</v>
      </c>
      <c r="V35" s="51">
        <v>4.8</v>
      </c>
      <c r="W35" s="51"/>
      <c r="X35" s="51">
        <v>0</v>
      </c>
    </row>
    <row r="36" spans="2:24" x14ac:dyDescent="0.3">
      <c r="B36" s="51">
        <v>22</v>
      </c>
      <c r="C36" s="51" t="s">
        <v>71</v>
      </c>
      <c r="D36" s="51">
        <v>22</v>
      </c>
      <c r="E36" s="51">
        <v>107.56000000000002</v>
      </c>
      <c r="F36" s="51">
        <v>106.62400000000001</v>
      </c>
      <c r="G36" s="51">
        <v>6.226</v>
      </c>
      <c r="H36" s="51">
        <v>6.226</v>
      </c>
      <c r="I36" s="51">
        <v>26</v>
      </c>
      <c r="J36" s="54">
        <f t="shared" si="0"/>
        <v>3.7210063884604585</v>
      </c>
      <c r="K36" s="53">
        <f>IFERROR(IF(OR(ISBLANK(WHOLE_STRUCTURE[[#This Row],[Top '[m']]]), ISBLANK(WHOLE_STRUCTURE[[#This Row],[Bottom '[m']]])), "", WHOLE_STRUCTURE[[#This Row],[Top '[m']]] - WHOLE_STRUCTURE[[#This Row],[Bottom '[m']]]),"")</f>
        <v>0.93600000000000705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239.46153846153848</v>
      </c>
      <c r="O36" s="55" t="s">
        <v>83</v>
      </c>
      <c r="P36" s="55" t="s">
        <v>286</v>
      </c>
      <c r="Q36" s="55">
        <v>13.2</v>
      </c>
      <c r="R36" s="55">
        <v>-2.6</v>
      </c>
      <c r="S36" s="51">
        <v>3000</v>
      </c>
      <c r="T36" s="51">
        <v>0.19400000000000001</v>
      </c>
      <c r="U36" s="51">
        <v>115.6</v>
      </c>
      <c r="V36" s="51">
        <v>4.8</v>
      </c>
      <c r="W36" s="51"/>
      <c r="X36" s="51">
        <v>0</v>
      </c>
    </row>
    <row r="37" spans="2:24" x14ac:dyDescent="0.3">
      <c r="B37" s="51">
        <v>23</v>
      </c>
      <c r="C37" s="51" t="s">
        <v>71</v>
      </c>
      <c r="D37" s="51">
        <v>23</v>
      </c>
      <c r="E37" s="51">
        <v>106.62400000000001</v>
      </c>
      <c r="F37" s="51">
        <v>104.63000000000001</v>
      </c>
      <c r="G37" s="51">
        <v>6.226</v>
      </c>
      <c r="H37" s="51">
        <v>6.226</v>
      </c>
      <c r="I37" s="51">
        <v>26</v>
      </c>
      <c r="J37" s="54">
        <f t="shared" si="0"/>
        <v>7.9270157463569424</v>
      </c>
      <c r="K37" s="53">
        <f>IFERROR(IF(OR(ISBLANK(WHOLE_STRUCTURE[[#This Row],[Top '[m']]]), ISBLANK(WHOLE_STRUCTURE[[#This Row],[Bottom '[m']]])), "", WHOLE_STRUCTURE[[#This Row],[Top '[m']]] - WHOLE_STRUCTURE[[#This Row],[Bottom '[m']]]),"")</f>
        <v>1.9939999999999998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239.46153846153848</v>
      </c>
      <c r="O37" s="55" t="s">
        <v>83</v>
      </c>
      <c r="P37" s="55" t="s">
        <v>287</v>
      </c>
      <c r="Q37" s="55">
        <v>12</v>
      </c>
      <c r="R37" s="55">
        <v>10.7</v>
      </c>
      <c r="S37" s="51">
        <v>3000</v>
      </c>
      <c r="T37" s="51">
        <v>1.3</v>
      </c>
      <c r="U37" s="51">
        <v>135</v>
      </c>
      <c r="V37" s="51">
        <v>5.2</v>
      </c>
      <c r="W37" s="51"/>
      <c r="X37" s="51">
        <v>0</v>
      </c>
    </row>
    <row r="38" spans="2:24" x14ac:dyDescent="0.3">
      <c r="B38" s="51">
        <v>24</v>
      </c>
      <c r="C38" s="51" t="s">
        <v>71</v>
      </c>
      <c r="D38" s="51">
        <v>24</v>
      </c>
      <c r="E38" s="51">
        <v>104.63000000000001</v>
      </c>
      <c r="F38" s="51">
        <v>101.70000000000002</v>
      </c>
      <c r="G38" s="51">
        <v>6.226</v>
      </c>
      <c r="H38" s="51">
        <v>6.2279999999999998</v>
      </c>
      <c r="I38" s="51">
        <v>26</v>
      </c>
      <c r="J38" s="54">
        <f t="shared" si="0"/>
        <v>11.64990084806473</v>
      </c>
      <c r="K38" s="53">
        <f>IFERROR(IF(OR(ISBLANK(WHOLE_STRUCTURE[[#This Row],[Top '[m']]]), ISBLANK(WHOLE_STRUCTURE[[#This Row],[Bottom '[m']]])), "", WHOLE_STRUCTURE[[#This Row],[Top '[m']]] - WHOLE_STRUCTURE[[#This Row],[Bottom '[m']]]),"")</f>
        <v>2.9299999999999926</v>
      </c>
      <c r="L38" s="54">
        <f>IFERROR(-(WHOLE_STRUCTURE[[#This Row],[D, bottom '[m']]]-WHOLE_STRUCTURE[[#This Row],[D, top '[m']]])/(WHOLE_STRUCTURE[[#This Row],[Bottom '[m']]]-WHOLE_STRUCTURE[[#This Row],[Top '[m']]]),"")</f>
        <v>6.825938566552166E-4</v>
      </c>
      <c r="M38" s="52">
        <f>IFERROR((WHOLE_STRUCTURE[[#This Row],[D, bottom '[m']]]+WHOLE_STRUCTURE[[#This Row],[D, top '[m']]])/(2*WHOLE_STRUCTURE[[#This Row],[t '[mm']]]/1000),"")</f>
        <v>239.50000000000003</v>
      </c>
      <c r="O38" s="55" t="s">
        <v>83</v>
      </c>
      <c r="P38" s="55" t="s">
        <v>279</v>
      </c>
      <c r="Q38" s="55">
        <v>10.6</v>
      </c>
      <c r="R38" s="55">
        <v>-2.6</v>
      </c>
      <c r="S38" s="51">
        <v>8000</v>
      </c>
      <c r="T38" s="51">
        <v>0.40600000000000003</v>
      </c>
      <c r="U38" s="51">
        <v>129.6</v>
      </c>
      <c r="V38" s="51">
        <v>5.2</v>
      </c>
      <c r="W38" s="51"/>
      <c r="X38" s="51">
        <v>0</v>
      </c>
    </row>
    <row r="39" spans="2:24" x14ac:dyDescent="0.3">
      <c r="B39" s="51">
        <v>25</v>
      </c>
      <c r="C39" s="51" t="s">
        <v>71</v>
      </c>
      <c r="D39" s="51">
        <v>25</v>
      </c>
      <c r="E39" s="51">
        <v>101.70000000000002</v>
      </c>
      <c r="F39" s="51">
        <v>101.66000000000001</v>
      </c>
      <c r="G39" s="51">
        <v>6.2279999999999998</v>
      </c>
      <c r="H39" s="51">
        <v>6.2279999999999998</v>
      </c>
      <c r="I39" s="51">
        <v>28</v>
      </c>
      <c r="J39" s="54">
        <f t="shared" si="0"/>
        <v>0.17124947218426703</v>
      </c>
      <c r="K39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222.42857142857142</v>
      </c>
      <c r="O39" s="55" t="s">
        <v>83</v>
      </c>
      <c r="P39" s="55" t="s">
        <v>279</v>
      </c>
      <c r="Q39" s="55">
        <v>10.6</v>
      </c>
      <c r="R39" s="55">
        <v>-2.6</v>
      </c>
      <c r="S39" s="51">
        <v>8000</v>
      </c>
      <c r="T39" s="51">
        <v>0.40600000000000003</v>
      </c>
      <c r="U39" s="51">
        <v>110.4</v>
      </c>
      <c r="V39" s="51">
        <v>5.2</v>
      </c>
      <c r="W39" s="51"/>
      <c r="X39" s="51">
        <v>0</v>
      </c>
    </row>
    <row r="40" spans="2:24" x14ac:dyDescent="0.3">
      <c r="B40" s="51">
        <v>26</v>
      </c>
      <c r="C40" s="51" t="s">
        <v>71</v>
      </c>
      <c r="D40" s="51">
        <v>26</v>
      </c>
      <c r="E40" s="51">
        <v>101.66000000000001</v>
      </c>
      <c r="F40" s="51">
        <v>101.50000000000001</v>
      </c>
      <c r="G40" s="51">
        <v>6.2279999999999998</v>
      </c>
      <c r="H40" s="51">
        <v>6.2279999999999998</v>
      </c>
      <c r="I40" s="51">
        <v>28</v>
      </c>
      <c r="J40" s="54">
        <f t="shared" si="0"/>
        <v>0.68499788873694645</v>
      </c>
      <c r="K40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222.42857142857142</v>
      </c>
      <c r="O40" s="55" t="s">
        <v>83</v>
      </c>
      <c r="P40" s="55" t="s">
        <v>284</v>
      </c>
      <c r="Q40" s="55">
        <v>5.5</v>
      </c>
      <c r="R40" s="55">
        <v>5.5</v>
      </c>
      <c r="S40" s="51">
        <v>70000</v>
      </c>
      <c r="T40" s="51"/>
      <c r="U40" s="51"/>
      <c r="V40" s="51"/>
      <c r="W40" s="51"/>
      <c r="X40" s="51"/>
    </row>
    <row r="41" spans="2:24" x14ac:dyDescent="0.3">
      <c r="B41" s="51">
        <v>27</v>
      </c>
      <c r="C41" s="51" t="s">
        <v>71</v>
      </c>
      <c r="D41" s="51">
        <v>27</v>
      </c>
      <c r="E41" s="51">
        <v>101.50000000000001</v>
      </c>
      <c r="F41" s="51">
        <v>101.34000000000002</v>
      </c>
      <c r="G41" s="51">
        <v>6.2279999999999998</v>
      </c>
      <c r="H41" s="51">
        <v>6.2279999999999998</v>
      </c>
      <c r="I41" s="51">
        <v>28</v>
      </c>
      <c r="J41" s="54">
        <f t="shared" si="0"/>
        <v>0.68499788873694645</v>
      </c>
      <c r="K41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222.42857142857142</v>
      </c>
      <c r="O41" s="55" t="s">
        <v>69</v>
      </c>
      <c r="P41" s="55" t="s">
        <v>89</v>
      </c>
      <c r="Q41" s="55">
        <v>4.3</v>
      </c>
      <c r="R41" s="55">
        <v>4.3</v>
      </c>
      <c r="S41" s="51">
        <v>14000</v>
      </c>
      <c r="T41" s="51"/>
      <c r="U41" s="51"/>
      <c r="V41" s="51"/>
      <c r="W41" s="51"/>
      <c r="X41" s="51"/>
    </row>
    <row r="42" spans="2:24" x14ac:dyDescent="0.3">
      <c r="B42" s="51">
        <v>28</v>
      </c>
      <c r="C42" s="51" t="s">
        <v>71</v>
      </c>
      <c r="D42" s="51">
        <v>28</v>
      </c>
      <c r="E42" s="51">
        <v>101.34000000000002</v>
      </c>
      <c r="F42" s="51">
        <v>101.30000000000001</v>
      </c>
      <c r="G42" s="51">
        <v>6.2279999999999998</v>
      </c>
      <c r="H42" s="51">
        <v>6.23</v>
      </c>
      <c r="I42" s="51">
        <v>28</v>
      </c>
      <c r="J42" s="54">
        <f t="shared" si="0"/>
        <v>0.1712770930668801</v>
      </c>
      <c r="K42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L42" s="54">
        <f>IFERROR(-(WHOLE_STRUCTURE[[#This Row],[D, bottom '[m']]]-WHOLE_STRUCTURE[[#This Row],[D, top '[m']]])/(WHOLE_STRUCTURE[[#This Row],[Bottom '[m']]]-WHOLE_STRUCTURE[[#This Row],[Top '[m']]]),"")</f>
        <v>5.0000000000008885E-2</v>
      </c>
      <c r="M42" s="52">
        <f>IFERROR((WHOLE_STRUCTURE[[#This Row],[D, bottom '[m']]]+WHOLE_STRUCTURE[[#This Row],[D, top '[m']]])/(2*WHOLE_STRUCTURE[[#This Row],[t '[mm']]]/1000),"")</f>
        <v>222.46428571428572</v>
      </c>
      <c r="O42" s="55" t="s">
        <v>69</v>
      </c>
      <c r="P42" s="55" t="s">
        <v>90</v>
      </c>
      <c r="Q42" s="55">
        <v>0.55000000000000004</v>
      </c>
      <c r="R42" s="55">
        <v>0.55000000000000004</v>
      </c>
      <c r="S42" s="51">
        <v>105000</v>
      </c>
      <c r="T42" s="51"/>
      <c r="U42" s="51"/>
      <c r="V42" s="51"/>
      <c r="W42" s="51"/>
      <c r="X42" s="51"/>
    </row>
    <row r="43" spans="2:24" x14ac:dyDescent="0.3">
      <c r="B43" s="51">
        <v>29</v>
      </c>
      <c r="C43" s="51" t="s">
        <v>71</v>
      </c>
      <c r="D43" s="51">
        <v>29</v>
      </c>
      <c r="E43" s="51">
        <v>101.30000000000001</v>
      </c>
      <c r="F43" s="51">
        <v>100.30000000000001</v>
      </c>
      <c r="G43" s="51">
        <v>6.23</v>
      </c>
      <c r="H43" s="51">
        <v>6.2530000000000001</v>
      </c>
      <c r="I43" s="51">
        <v>30.099999999999998</v>
      </c>
      <c r="J43" s="54">
        <f t="shared" si="0"/>
        <v>4.610791912861246</v>
      </c>
      <c r="K43" s="53">
        <f>IFERROR(IF(OR(ISBLANK(WHOLE_STRUCTURE[[#This Row],[Top '[m']]]), ISBLANK(WHOLE_STRUCTURE[[#This Row],[Bottom '[m']]])), "", WHOLE_STRUCTURE[[#This Row],[Top '[m']]] - WHOLE_STRUCTURE[[#This Row],[Bottom '[m']]]),"")</f>
        <v>1</v>
      </c>
      <c r="L43" s="54">
        <f>IFERROR(-(WHOLE_STRUCTURE[[#This Row],[D, bottom '[m']]]-WHOLE_STRUCTURE[[#This Row],[D, top '[m']]])/(WHOLE_STRUCTURE[[#This Row],[Bottom '[m']]]-WHOLE_STRUCTURE[[#This Row],[Top '[m']]]),"")</f>
        <v>2.2999999999999687E-2</v>
      </c>
      <c r="M43" s="52">
        <f>IFERROR((WHOLE_STRUCTURE[[#This Row],[D, bottom '[m']]]+WHOLE_STRUCTURE[[#This Row],[D, top '[m']]])/(2*WHOLE_STRUCTURE[[#This Row],[t '[mm']]]/1000),"")</f>
        <v>207.358803986711</v>
      </c>
      <c r="S43" s="51"/>
      <c r="T43" s="51"/>
      <c r="U43" s="51"/>
      <c r="V43" s="51"/>
      <c r="W43" s="51"/>
      <c r="X43" s="51"/>
    </row>
    <row r="44" spans="2:24" x14ac:dyDescent="0.3">
      <c r="B44" s="51">
        <v>30</v>
      </c>
      <c r="C44" s="51" t="s">
        <v>71</v>
      </c>
      <c r="D44" s="51">
        <v>30</v>
      </c>
      <c r="E44" s="51">
        <v>100.30000000000001</v>
      </c>
      <c r="F44" s="51">
        <v>98.572000000000017</v>
      </c>
      <c r="G44" s="51">
        <v>6.2530000000000001</v>
      </c>
      <c r="H44" s="51">
        <v>6.2889999999999997</v>
      </c>
      <c r="I44" s="51">
        <v>30.099999999999998</v>
      </c>
      <c r="J44" s="54">
        <f t="shared" si="0"/>
        <v>8.0052884821827153</v>
      </c>
      <c r="K44" s="53">
        <f>IFERROR(IF(OR(ISBLANK(WHOLE_STRUCTURE[[#This Row],[Top '[m']]]), ISBLANK(WHOLE_STRUCTURE[[#This Row],[Bottom '[m']]])), "", WHOLE_STRUCTURE[[#This Row],[Top '[m']]] - WHOLE_STRUCTURE[[#This Row],[Bottom '[m']]]),"")</f>
        <v>1.7279999999999944</v>
      </c>
      <c r="L44" s="54">
        <f>IFERROR(-(WHOLE_STRUCTURE[[#This Row],[D, bottom '[m']]]-WHOLE_STRUCTURE[[#This Row],[D, top '[m']]])/(WHOLE_STRUCTURE[[#This Row],[Bottom '[m']]]-WHOLE_STRUCTURE[[#This Row],[Top '[m']]]),"")</f>
        <v>2.0833333333333162E-2</v>
      </c>
      <c r="M44" s="52">
        <f>IFERROR((WHOLE_STRUCTURE[[#This Row],[D, bottom '[m']]]+WHOLE_STRUCTURE[[#This Row],[D, top '[m']]])/(2*WHOLE_STRUCTURE[[#This Row],[t '[mm']]]/1000),"")</f>
        <v>208.3388704318937</v>
      </c>
      <c r="O44" s="182"/>
      <c r="P44" s="182"/>
      <c r="Q44" s="182"/>
      <c r="R44" s="182"/>
      <c r="S44" s="168"/>
      <c r="T44" s="168"/>
      <c r="U44" s="168"/>
      <c r="V44" s="168"/>
      <c r="W44" s="168"/>
      <c r="X44" s="168"/>
    </row>
    <row r="45" spans="2:24" x14ac:dyDescent="0.3">
      <c r="B45" s="51">
        <v>31</v>
      </c>
      <c r="C45" s="51" t="s">
        <v>71</v>
      </c>
      <c r="D45" s="51">
        <v>31</v>
      </c>
      <c r="E45" s="51">
        <v>98.572000000000017</v>
      </c>
      <c r="F45" s="51">
        <v>98.403000000000006</v>
      </c>
      <c r="G45" s="51">
        <v>6.2889999999999997</v>
      </c>
      <c r="H45" s="51">
        <v>6.2919999999999998</v>
      </c>
      <c r="I45" s="51">
        <v>26.5</v>
      </c>
      <c r="J45" s="54">
        <f t="shared" si="0"/>
        <v>0.69183711520936486</v>
      </c>
      <c r="K45" s="53">
        <f>IFERROR(IF(OR(ISBLANK(WHOLE_STRUCTURE[[#This Row],[Top '[m']]]), ISBLANK(WHOLE_STRUCTURE[[#This Row],[Bottom '[m']]])), "", WHOLE_STRUCTURE[[#This Row],[Top '[m']]] - WHOLE_STRUCTURE[[#This Row],[Bottom '[m']]]),"")</f>
        <v>0.16900000000001114</v>
      </c>
      <c r="L45" s="54">
        <f>IFERROR(-(WHOLE_STRUCTURE[[#This Row],[D, bottom '[m']]]-WHOLE_STRUCTURE[[#This Row],[D, top '[m']]])/(WHOLE_STRUCTURE[[#This Row],[Bottom '[m']]]-WHOLE_STRUCTURE[[#This Row],[Top '[m']]]),"")</f>
        <v>1.7751479289940329E-2</v>
      </c>
      <c r="M45" s="52">
        <f>IFERROR((WHOLE_STRUCTURE[[#This Row],[D, bottom '[m']]]+WHOLE_STRUCTURE[[#This Row],[D, top '[m']]])/(2*WHOLE_STRUCTURE[[#This Row],[t '[mm']]]/1000),"")</f>
        <v>237.37735849056602</v>
      </c>
      <c r="O45" s="182"/>
      <c r="P45" s="182"/>
      <c r="Q45" s="182"/>
      <c r="R45" s="182"/>
      <c r="S45" s="168"/>
      <c r="T45" s="168"/>
      <c r="U45" s="168"/>
      <c r="V45" s="168"/>
      <c r="W45" s="168"/>
      <c r="X45" s="168"/>
    </row>
    <row r="46" spans="2:24" x14ac:dyDescent="0.3">
      <c r="B46" s="51">
        <v>32</v>
      </c>
      <c r="C46" s="51" t="s">
        <v>71</v>
      </c>
      <c r="D46" s="51">
        <v>32</v>
      </c>
      <c r="E46" s="51">
        <v>98.403000000000006</v>
      </c>
      <c r="F46" s="51">
        <v>95.850000000000009</v>
      </c>
      <c r="G46" s="51">
        <v>6.2919999999999998</v>
      </c>
      <c r="H46" s="51">
        <v>6.351</v>
      </c>
      <c r="I46" s="51">
        <v>26.5</v>
      </c>
      <c r="J46" s="54">
        <f t="shared" si="0"/>
        <v>10.502965831367973</v>
      </c>
      <c r="K46" s="53">
        <f>IFERROR(IF(OR(ISBLANK(WHOLE_STRUCTURE[[#This Row],[Top '[m']]]), ISBLANK(WHOLE_STRUCTURE[[#This Row],[Bottom '[m']]])), "", WHOLE_STRUCTURE[[#This Row],[Top '[m']]] - WHOLE_STRUCTURE[[#This Row],[Bottom '[m']]]),"")</f>
        <v>2.5529999999999973</v>
      </c>
      <c r="L46" s="54">
        <f>IFERROR(-(WHOLE_STRUCTURE[[#This Row],[D, bottom '[m']]]-WHOLE_STRUCTURE[[#This Row],[D, top '[m']]])/(WHOLE_STRUCTURE[[#This Row],[Bottom '[m']]]-WHOLE_STRUCTURE[[#This Row],[Top '[m']]]),"")</f>
        <v>2.3110066588327545E-2</v>
      </c>
      <c r="M46" s="52">
        <f>IFERROR((WHOLE_STRUCTURE[[#This Row],[D, bottom '[m']]]+WHOLE_STRUCTURE[[#This Row],[D, top '[m']]])/(2*WHOLE_STRUCTURE[[#This Row],[t '[mm']]]/1000),"")</f>
        <v>238.54716981132077</v>
      </c>
      <c r="O46" s="182"/>
      <c r="P46" s="182"/>
      <c r="Q46" s="182"/>
      <c r="R46" s="182"/>
      <c r="S46" s="168"/>
      <c r="T46" s="168"/>
      <c r="U46" s="168"/>
      <c r="V46" s="168"/>
      <c r="W46" s="168"/>
      <c r="X46" s="168"/>
    </row>
    <row r="47" spans="2:24" x14ac:dyDescent="0.3">
      <c r="B47" s="51">
        <v>33</v>
      </c>
      <c r="C47" s="51" t="s">
        <v>71</v>
      </c>
      <c r="D47" s="51">
        <v>33</v>
      </c>
      <c r="E47" s="51">
        <v>95.850000000000009</v>
      </c>
      <c r="F47" s="51">
        <v>94.292000000000016</v>
      </c>
      <c r="G47" s="51">
        <v>6.351</v>
      </c>
      <c r="H47" s="51">
        <v>6.3869999999999996</v>
      </c>
      <c r="I47" s="51">
        <v>28</v>
      </c>
      <c r="J47" s="54">
        <f t="shared" ref="J47:J78" si="2">IF(7850/1000*(1/3)*PI()*ABS(E47-F47)*((G47/2)^2+(G47/2)*(H47/2)+(H47/2)^2-(G47/2-I47/1000)^2-(G47/2-I47/1000)*(H47/2-I47/1000)-(H47/2-I47/1000)^2)=0,"",7850/1000*(1/3)*PI()*ABS(E47-F47)*((G47/2)^2+(G47/2)*(H47/2)+(H47/2)^2-(G47/2-I47/1000)^2-(G47/2-I47/1000)*(H47/2-I47/1000)-(H47/2-I47/1000)^2))</f>
        <v>6.8218594478281238</v>
      </c>
      <c r="K47" s="53">
        <f>IFERROR(IF(OR(ISBLANK(WHOLE_STRUCTURE[[#This Row],[Top '[m']]]), ISBLANK(WHOLE_STRUCTURE[[#This Row],[Bottom '[m']]])), "", WHOLE_STRUCTURE[[#This Row],[Top '[m']]] - WHOLE_STRUCTURE[[#This Row],[Bottom '[m']]]),"")</f>
        <v>1.5579999999999927</v>
      </c>
      <c r="L47" s="54">
        <f>IFERROR(-(WHOLE_STRUCTURE[[#This Row],[D, bottom '[m']]]-WHOLE_STRUCTURE[[#This Row],[D, top '[m']]])/(WHOLE_STRUCTURE[[#This Row],[Bottom '[m']]]-WHOLE_STRUCTURE[[#This Row],[Top '[m']]]),"")</f>
        <v>2.3106546854942078E-2</v>
      </c>
      <c r="M47" s="52">
        <f>IFERROR((WHOLE_STRUCTURE[[#This Row],[D, bottom '[m']]]+WHOLE_STRUCTURE[[#This Row],[D, top '[m']]])/(2*WHOLE_STRUCTURE[[#This Row],[t '[mm']]]/1000),"")</f>
        <v>227.46428571428569</v>
      </c>
      <c r="S47" s="51"/>
      <c r="T47" s="51"/>
      <c r="U47" s="51"/>
      <c r="V47" s="51"/>
      <c r="W47" s="51"/>
      <c r="X47" s="51"/>
    </row>
    <row r="48" spans="2:24" x14ac:dyDescent="0.3">
      <c r="B48" s="51">
        <v>34</v>
      </c>
      <c r="C48" s="51" t="s">
        <v>71</v>
      </c>
      <c r="D48" s="51">
        <v>34</v>
      </c>
      <c r="E48" s="51">
        <v>94.292000000000016</v>
      </c>
      <c r="F48" s="51">
        <v>93.128000000000014</v>
      </c>
      <c r="G48" s="51">
        <v>6.3869999999999996</v>
      </c>
      <c r="H48" s="51">
        <v>6.4139999999999997</v>
      </c>
      <c r="I48" s="51">
        <v>28</v>
      </c>
      <c r="J48" s="54">
        <f t="shared" si="2"/>
        <v>5.1220095660448148</v>
      </c>
      <c r="K48" s="53">
        <f>IFERROR(IF(OR(ISBLANK(WHOLE_STRUCTURE[[#This Row],[Top '[m']]]), ISBLANK(WHOLE_STRUCTURE[[#This Row],[Bottom '[m']]])), "", WHOLE_STRUCTURE[[#This Row],[Top '[m']]] - WHOLE_STRUCTURE[[#This Row],[Bottom '[m']]]),"")</f>
        <v>1.1640000000000015</v>
      </c>
      <c r="L48" s="54">
        <f>IFERROR(-(WHOLE_STRUCTURE[[#This Row],[D, bottom '[m']]]-WHOLE_STRUCTURE[[#This Row],[D, top '[m']]])/(WHOLE_STRUCTURE[[#This Row],[Bottom '[m']]]-WHOLE_STRUCTURE[[#This Row],[Top '[m']]]),"")</f>
        <v>2.3195876288659881E-2</v>
      </c>
      <c r="M48" s="52">
        <f>IFERROR((WHOLE_STRUCTURE[[#This Row],[D, bottom '[m']]]+WHOLE_STRUCTURE[[#This Row],[D, top '[m']]])/(2*WHOLE_STRUCTURE[[#This Row],[t '[mm']]]/1000),"")</f>
        <v>228.58928571428569</v>
      </c>
      <c r="S48" s="51"/>
      <c r="T48" s="51"/>
      <c r="U48" s="51"/>
      <c r="V48" s="51"/>
      <c r="W48" s="51"/>
      <c r="X48" s="51"/>
    </row>
    <row r="49" spans="2:24" x14ac:dyDescent="0.3">
      <c r="B49" s="51">
        <v>35</v>
      </c>
      <c r="C49" s="51" t="s">
        <v>71</v>
      </c>
      <c r="D49" s="51">
        <v>35</v>
      </c>
      <c r="E49" s="51">
        <v>93.128000000000014</v>
      </c>
      <c r="F49" s="51">
        <v>90.406000000000006</v>
      </c>
      <c r="G49" s="51">
        <v>6.4139999999999997</v>
      </c>
      <c r="H49" s="51">
        <v>6.4749999999999996</v>
      </c>
      <c r="I49" s="51">
        <v>28.6</v>
      </c>
      <c r="J49" s="54">
        <f t="shared" si="2"/>
        <v>12.317746718159135</v>
      </c>
      <c r="K49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L49" s="54">
        <f>IFERROR(-(WHOLE_STRUCTURE[[#This Row],[D, bottom '[m']]]-WHOLE_STRUCTURE[[#This Row],[D, top '[m']]])/(WHOLE_STRUCTURE[[#This Row],[Bottom '[m']]]-WHOLE_STRUCTURE[[#This Row],[Top '[m']]]),"")</f>
        <v>2.2409992652461335E-2</v>
      </c>
      <c r="M49" s="52">
        <f>IFERROR((WHOLE_STRUCTURE[[#This Row],[D, bottom '[m']]]+WHOLE_STRUCTURE[[#This Row],[D, top '[m']]])/(2*WHOLE_STRUCTURE[[#This Row],[t '[mm']]]/1000),"")</f>
        <v>225.33216783216781</v>
      </c>
      <c r="S49" s="51"/>
      <c r="T49" s="51"/>
      <c r="U49" s="51"/>
      <c r="V49" s="51"/>
      <c r="W49" s="51"/>
      <c r="X49" s="51"/>
    </row>
    <row r="50" spans="2:24" x14ac:dyDescent="0.3">
      <c r="B50" s="51">
        <v>36</v>
      </c>
      <c r="C50" s="51" t="s">
        <v>71</v>
      </c>
      <c r="D50" s="51">
        <v>36</v>
      </c>
      <c r="E50" s="51">
        <v>90.406000000000006</v>
      </c>
      <c r="F50" s="51">
        <v>90.300000000000011</v>
      </c>
      <c r="G50" s="51">
        <v>6.4749999999999996</v>
      </c>
      <c r="H50" s="51">
        <v>6.4779999999999998</v>
      </c>
      <c r="I50" s="51">
        <v>29.4</v>
      </c>
      <c r="J50" s="54">
        <f t="shared" si="2"/>
        <v>0.49549255301145406</v>
      </c>
      <c r="K50" s="53">
        <f>IFERROR(IF(OR(ISBLANK(WHOLE_STRUCTURE[[#This Row],[Top '[m']]]), ISBLANK(WHOLE_STRUCTURE[[#This Row],[Bottom '[m']]])), "", WHOLE_STRUCTURE[[#This Row],[Top '[m']]] - WHOLE_STRUCTURE[[#This Row],[Bottom '[m']]]),"")</f>
        <v>0.10599999999999454</v>
      </c>
      <c r="L50" s="54">
        <f>IFERROR(-(WHOLE_STRUCTURE[[#This Row],[D, bottom '[m']]]-WHOLE_STRUCTURE[[#This Row],[D, top '[m']]])/(WHOLE_STRUCTURE[[#This Row],[Bottom '[m']]]-WHOLE_STRUCTURE[[#This Row],[Top '[m']]]),"")</f>
        <v>2.830188679245536E-2</v>
      </c>
      <c r="M50" s="52">
        <f>IFERROR((WHOLE_STRUCTURE[[#This Row],[D, bottom '[m']]]+WHOLE_STRUCTURE[[#This Row],[D, top '[m']]])/(2*WHOLE_STRUCTURE[[#This Row],[t '[mm']]]/1000),"")</f>
        <v>220.28911564625849</v>
      </c>
      <c r="S50" s="51"/>
      <c r="T50" s="51"/>
      <c r="U50" s="51"/>
      <c r="V50" s="51"/>
      <c r="W50" s="51"/>
      <c r="X50" s="51"/>
    </row>
    <row r="51" spans="2:24" x14ac:dyDescent="0.3">
      <c r="B51" s="51">
        <v>37</v>
      </c>
      <c r="C51" s="51" t="s">
        <v>71</v>
      </c>
      <c r="D51" s="51">
        <v>37</v>
      </c>
      <c r="E51" s="51">
        <v>90.300000000000011</v>
      </c>
      <c r="F51" s="51">
        <v>87.684000000000012</v>
      </c>
      <c r="G51" s="51">
        <v>6.4779999999999998</v>
      </c>
      <c r="H51" s="51">
        <v>6.5380000000000003</v>
      </c>
      <c r="I51" s="51">
        <v>29.4</v>
      </c>
      <c r="J51" s="54">
        <f t="shared" si="2"/>
        <v>12.288129120958363</v>
      </c>
      <c r="K51" s="53">
        <f>IFERROR(IF(OR(ISBLANK(WHOLE_STRUCTURE[[#This Row],[Top '[m']]]), ISBLANK(WHOLE_STRUCTURE[[#This Row],[Bottom '[m']]])), "", WHOLE_STRUCTURE[[#This Row],[Top '[m']]] - WHOLE_STRUCTURE[[#This Row],[Bottom '[m']]]),"")</f>
        <v>2.6159999999999997</v>
      </c>
      <c r="L51" s="54">
        <f>IFERROR(-(WHOLE_STRUCTURE[[#This Row],[D, bottom '[m']]]-WHOLE_STRUCTURE[[#This Row],[D, top '[m']]])/(WHOLE_STRUCTURE[[#This Row],[Bottom '[m']]]-WHOLE_STRUCTURE[[#This Row],[Top '[m']]]),"")</f>
        <v>2.2935779816513954E-2</v>
      </c>
      <c r="M51" s="52">
        <f>IFERROR((WHOLE_STRUCTURE[[#This Row],[D, bottom '[m']]]+WHOLE_STRUCTURE[[#This Row],[D, top '[m']]])/(2*WHOLE_STRUCTURE[[#This Row],[t '[mm']]]/1000),"")</f>
        <v>221.36054421768708</v>
      </c>
      <c r="S51" s="51"/>
      <c r="T51" s="51"/>
      <c r="U51" s="51"/>
      <c r="V51" s="51"/>
      <c r="W51" s="51"/>
      <c r="X51" s="51"/>
    </row>
    <row r="52" spans="2:24" x14ac:dyDescent="0.3">
      <c r="B52" s="51">
        <v>38</v>
      </c>
      <c r="C52" s="51" t="s">
        <v>71</v>
      </c>
      <c r="D52" s="51">
        <v>38</v>
      </c>
      <c r="E52" s="51">
        <v>87.684000000000012</v>
      </c>
      <c r="F52" s="51">
        <v>86.071000000000012</v>
      </c>
      <c r="G52" s="51">
        <v>6.5380000000000003</v>
      </c>
      <c r="H52" s="51">
        <v>6.5739999999999998</v>
      </c>
      <c r="I52" s="51">
        <v>29.5</v>
      </c>
      <c r="J52" s="54">
        <f t="shared" si="2"/>
        <v>7.6587211107854793</v>
      </c>
      <c r="K52" s="53">
        <f>IFERROR(IF(OR(ISBLANK(WHOLE_STRUCTURE[[#This Row],[Top '[m']]]), ISBLANK(WHOLE_STRUCTURE[[#This Row],[Bottom '[m']]])), "", WHOLE_STRUCTURE[[#This Row],[Top '[m']]] - WHOLE_STRUCTURE[[#This Row],[Bottom '[m']]]),"")</f>
        <v>1.6129999999999995</v>
      </c>
      <c r="L52" s="54">
        <f>IFERROR(-(WHOLE_STRUCTURE[[#This Row],[D, bottom '[m']]]-WHOLE_STRUCTURE[[#This Row],[D, top '[m']]])/(WHOLE_STRUCTURE[[#This Row],[Bottom '[m']]]-WHOLE_STRUCTURE[[#This Row],[Top '[m']]]),"")</f>
        <v>2.2318660880346931E-2</v>
      </c>
      <c r="M52" s="52">
        <f>IFERROR((WHOLE_STRUCTURE[[#This Row],[D, bottom '[m']]]+WHOLE_STRUCTURE[[#This Row],[D, top '[m']]])/(2*WHOLE_STRUCTURE[[#This Row],[t '[mm']]]/1000),"")</f>
        <v>222.23728813559325</v>
      </c>
      <c r="S52" s="51"/>
      <c r="T52" s="51"/>
      <c r="U52" s="51"/>
      <c r="V52" s="51"/>
      <c r="W52" s="51"/>
      <c r="X52" s="51"/>
    </row>
    <row r="53" spans="2:24" x14ac:dyDescent="0.3">
      <c r="B53" s="51">
        <v>39</v>
      </c>
      <c r="C53" s="51" t="s">
        <v>71</v>
      </c>
      <c r="D53" s="51">
        <v>39</v>
      </c>
      <c r="E53" s="51">
        <v>86.071000000000012</v>
      </c>
      <c r="F53" s="51">
        <v>84.962000000000018</v>
      </c>
      <c r="G53" s="51">
        <v>6.5739999999999998</v>
      </c>
      <c r="H53" s="51">
        <v>6.601</v>
      </c>
      <c r="I53" s="51">
        <v>29.5</v>
      </c>
      <c r="J53" s="54">
        <f t="shared" si="2"/>
        <v>5.2910821427568031</v>
      </c>
      <c r="K53" s="53">
        <f>IFERROR(IF(OR(ISBLANK(WHOLE_STRUCTURE[[#This Row],[Top '[m']]]), ISBLANK(WHOLE_STRUCTURE[[#This Row],[Bottom '[m']]])), "", WHOLE_STRUCTURE[[#This Row],[Top '[m']]] - WHOLE_STRUCTURE[[#This Row],[Bottom '[m']]]),"")</f>
        <v>1.1089999999999947</v>
      </c>
      <c r="L53" s="54">
        <f>IFERROR(-(WHOLE_STRUCTURE[[#This Row],[D, bottom '[m']]]-WHOLE_STRUCTURE[[#This Row],[D, top '[m']]])/(WHOLE_STRUCTURE[[#This Row],[Bottom '[m']]]-WHOLE_STRUCTURE[[#This Row],[Top '[m']]]),"")</f>
        <v>2.4346257889991223E-2</v>
      </c>
      <c r="M53" s="52">
        <f>IFERROR((WHOLE_STRUCTURE[[#This Row],[D, bottom '[m']]]+WHOLE_STRUCTURE[[#This Row],[D, top '[m']]])/(2*WHOLE_STRUCTURE[[#This Row],[t '[mm']]]/1000),"")</f>
        <v>223.30508474576274</v>
      </c>
      <c r="S53" s="51"/>
      <c r="T53" s="51"/>
      <c r="U53" s="51"/>
      <c r="V53" s="51"/>
      <c r="W53" s="51"/>
      <c r="X53" s="51"/>
    </row>
    <row r="54" spans="2:24" x14ac:dyDescent="0.3">
      <c r="B54" s="51">
        <v>40</v>
      </c>
      <c r="C54" s="51" t="s">
        <v>71</v>
      </c>
      <c r="D54" s="51">
        <v>40</v>
      </c>
      <c r="E54" s="51">
        <v>84.962000000000018</v>
      </c>
      <c r="F54" s="51">
        <v>82.240000000000009</v>
      </c>
      <c r="G54" s="51">
        <v>6.601</v>
      </c>
      <c r="H54" s="51">
        <v>6.6619999999999999</v>
      </c>
      <c r="I54" s="51">
        <v>31.5</v>
      </c>
      <c r="J54" s="54">
        <f t="shared" si="2"/>
        <v>13.956037882640588</v>
      </c>
      <c r="K54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L54" s="54">
        <f>IFERROR(-(WHOLE_STRUCTURE[[#This Row],[D, bottom '[m']]]-WHOLE_STRUCTURE[[#This Row],[D, top '[m']]])/(WHOLE_STRUCTURE[[#This Row],[Bottom '[m']]]-WHOLE_STRUCTURE[[#This Row],[Top '[m']]]),"")</f>
        <v>2.2409992652461335E-2</v>
      </c>
      <c r="M54" s="52">
        <f>IFERROR((WHOLE_STRUCTURE[[#This Row],[D, bottom '[m']]]+WHOLE_STRUCTURE[[#This Row],[D, top '[m']]])/(2*WHOLE_STRUCTURE[[#This Row],[t '[mm']]]/1000),"")</f>
        <v>210.52380952380952</v>
      </c>
      <c r="S54" s="51"/>
      <c r="T54" s="51"/>
      <c r="U54" s="51"/>
      <c r="V54" s="51"/>
      <c r="W54" s="51"/>
      <c r="X54" s="51"/>
    </row>
    <row r="55" spans="2:24" x14ac:dyDescent="0.3">
      <c r="B55" s="51">
        <v>41</v>
      </c>
      <c r="C55" s="51" t="s">
        <v>71</v>
      </c>
      <c r="D55" s="51">
        <v>41</v>
      </c>
      <c r="E55" s="51">
        <v>82.240000000000009</v>
      </c>
      <c r="F55" s="51">
        <v>81.960000000000008</v>
      </c>
      <c r="G55" s="51">
        <v>6.6619999999999999</v>
      </c>
      <c r="H55" s="51">
        <v>6.6689999999999996</v>
      </c>
      <c r="I55" s="51">
        <v>31.2</v>
      </c>
      <c r="J55" s="54">
        <f t="shared" si="2"/>
        <v>1.4293127277149946</v>
      </c>
      <c r="K55" s="53">
        <f>IFERROR(IF(OR(ISBLANK(WHOLE_STRUCTURE[[#This Row],[Top '[m']]]), ISBLANK(WHOLE_STRUCTURE[[#This Row],[Bottom '[m']]])), "", WHOLE_STRUCTURE[[#This Row],[Top '[m']]] - WHOLE_STRUCTURE[[#This Row],[Bottom '[m']]]),"")</f>
        <v>0.28000000000000114</v>
      </c>
      <c r="L55" s="54">
        <f>IFERROR(-(WHOLE_STRUCTURE[[#This Row],[D, bottom '[m']]]-WHOLE_STRUCTURE[[#This Row],[D, top '[m']]])/(WHOLE_STRUCTURE[[#This Row],[Bottom '[m']]]-WHOLE_STRUCTURE[[#This Row],[Top '[m']]]),"")</f>
        <v>2.4999999999998732E-2</v>
      </c>
      <c r="M55" s="52">
        <f>IFERROR((WHOLE_STRUCTURE[[#This Row],[D, bottom '[m']]]+WHOLE_STRUCTURE[[#This Row],[D, top '[m']]])/(2*WHOLE_STRUCTURE[[#This Row],[t '[mm']]]/1000),"")</f>
        <v>213.63782051282053</v>
      </c>
      <c r="S55" s="51"/>
      <c r="T55" s="51"/>
      <c r="U55" s="51"/>
      <c r="V55" s="51"/>
      <c r="W55" s="51"/>
      <c r="X55" s="51"/>
    </row>
    <row r="56" spans="2:24" x14ac:dyDescent="0.3">
      <c r="B56" s="51">
        <v>42</v>
      </c>
      <c r="C56" s="51" t="s">
        <v>71</v>
      </c>
      <c r="D56" s="51">
        <v>42</v>
      </c>
      <c r="E56" s="51">
        <v>81.960000000000008</v>
      </c>
      <c r="F56" s="51">
        <v>80.300000000000011</v>
      </c>
      <c r="G56" s="51">
        <v>6.6689999999999996</v>
      </c>
      <c r="H56" s="51">
        <v>6.7060000000000004</v>
      </c>
      <c r="I56" s="51">
        <v>31.2</v>
      </c>
      <c r="J56" s="54">
        <f t="shared" si="2"/>
        <v>8.5018825076561395</v>
      </c>
      <c r="K56" s="53">
        <f>IFERROR(IF(OR(ISBLANK(WHOLE_STRUCTURE[[#This Row],[Top '[m']]]), ISBLANK(WHOLE_STRUCTURE[[#This Row],[Bottom '[m']]])), "", WHOLE_STRUCTURE[[#This Row],[Top '[m']]] - WHOLE_STRUCTURE[[#This Row],[Bottom '[m']]]),"")</f>
        <v>1.6599999999999966</v>
      </c>
      <c r="L56" s="54">
        <f>IFERROR(-(WHOLE_STRUCTURE[[#This Row],[D, bottom '[m']]]-WHOLE_STRUCTURE[[#This Row],[D, top '[m']]])/(WHOLE_STRUCTURE[[#This Row],[Bottom '[m']]]-WHOLE_STRUCTURE[[#This Row],[Top '[m']]]),"")</f>
        <v>2.2289156626506559E-2</v>
      </c>
      <c r="M56" s="52">
        <f>IFERROR((WHOLE_STRUCTURE[[#This Row],[D, bottom '[m']]]+WHOLE_STRUCTURE[[#This Row],[D, top '[m']]])/(2*WHOLE_STRUCTURE[[#This Row],[t '[mm']]]/1000),"")</f>
        <v>214.34294871794873</v>
      </c>
      <c r="S56" s="51"/>
      <c r="T56" s="51"/>
      <c r="U56" s="51"/>
      <c r="V56" s="51"/>
      <c r="W56" s="51"/>
      <c r="X56" s="51"/>
    </row>
    <row r="57" spans="2:24" x14ac:dyDescent="0.3">
      <c r="B57" s="51">
        <v>43</v>
      </c>
      <c r="C57" s="51" t="s">
        <v>71</v>
      </c>
      <c r="D57" s="51">
        <v>43</v>
      </c>
      <c r="E57" s="51">
        <v>80.300000000000011</v>
      </c>
      <c r="F57" s="51">
        <v>79.518000000000015</v>
      </c>
      <c r="G57" s="51">
        <v>6.7060000000000004</v>
      </c>
      <c r="H57" s="51">
        <v>6.7240000000000002</v>
      </c>
      <c r="I57" s="51">
        <v>31.2</v>
      </c>
      <c r="J57" s="54">
        <f t="shared" si="2"/>
        <v>4.0216504702994413</v>
      </c>
      <c r="K57" s="53">
        <f>IFERROR(IF(OR(ISBLANK(WHOLE_STRUCTURE[[#This Row],[Top '[m']]]), ISBLANK(WHOLE_STRUCTURE[[#This Row],[Bottom '[m']]])), "", WHOLE_STRUCTURE[[#This Row],[Top '[m']]] - WHOLE_STRUCTURE[[#This Row],[Bottom '[m']]]),"")</f>
        <v>0.78199999999999648</v>
      </c>
      <c r="L57" s="54">
        <f>IFERROR(-(WHOLE_STRUCTURE[[#This Row],[D, bottom '[m']]]-WHOLE_STRUCTURE[[#This Row],[D, top '[m']]])/(WHOLE_STRUCTURE[[#This Row],[Bottom '[m']]]-WHOLE_STRUCTURE[[#This Row],[Top '[m']]]),"")</f>
        <v>2.3017902813299074E-2</v>
      </c>
      <c r="M57" s="52">
        <f>IFERROR((WHOLE_STRUCTURE[[#This Row],[D, bottom '[m']]]+WHOLE_STRUCTURE[[#This Row],[D, top '[m']]])/(2*WHOLE_STRUCTURE[[#This Row],[t '[mm']]]/1000),"")</f>
        <v>215.22435897435898</v>
      </c>
      <c r="S57" s="51"/>
      <c r="T57" s="51"/>
      <c r="U57" s="51"/>
      <c r="V57" s="51"/>
      <c r="W57" s="51"/>
      <c r="X57" s="51"/>
    </row>
    <row r="58" spans="2:24" x14ac:dyDescent="0.3">
      <c r="B58" s="51">
        <v>44</v>
      </c>
      <c r="C58" s="51" t="s">
        <v>71</v>
      </c>
      <c r="D58" s="51">
        <v>44</v>
      </c>
      <c r="E58" s="51">
        <v>79.518000000000015</v>
      </c>
      <c r="F58" s="51">
        <v>77.850000000000009</v>
      </c>
      <c r="G58" s="51">
        <v>6.7240000000000002</v>
      </c>
      <c r="H58" s="51">
        <v>6.7619999999999996</v>
      </c>
      <c r="I58" s="51">
        <v>31.7</v>
      </c>
      <c r="J58" s="54">
        <f t="shared" si="2"/>
        <v>8.751479715240583</v>
      </c>
      <c r="K58" s="53">
        <f>IFERROR(IF(OR(ISBLANK(WHOLE_STRUCTURE[[#This Row],[Top '[m']]]), ISBLANK(WHOLE_STRUCTURE[[#This Row],[Bottom '[m']]])), "", WHOLE_STRUCTURE[[#This Row],[Top '[m']]] - WHOLE_STRUCTURE[[#This Row],[Bottom '[m']]]),"")</f>
        <v>1.6680000000000064</v>
      </c>
      <c r="L58" s="54">
        <f>IFERROR(-(WHOLE_STRUCTURE[[#This Row],[D, bottom '[m']]]-WHOLE_STRUCTURE[[#This Row],[D, top '[m']]])/(WHOLE_STRUCTURE[[#This Row],[Bottom '[m']]]-WHOLE_STRUCTURE[[#This Row],[Top '[m']]]),"")</f>
        <v>2.2781774580335264E-2</v>
      </c>
      <c r="M58" s="52">
        <f>IFERROR((WHOLE_STRUCTURE[[#This Row],[D, bottom '[m']]]+WHOLE_STRUCTURE[[#This Row],[D, top '[m']]])/(2*WHOLE_STRUCTURE[[#This Row],[t '[mm']]]/1000),"")</f>
        <v>212.71293375394325</v>
      </c>
      <c r="S58" s="51"/>
      <c r="T58" s="51"/>
      <c r="U58" s="51"/>
      <c r="V58" s="51"/>
      <c r="W58" s="51"/>
      <c r="X58" s="51"/>
    </row>
    <row r="59" spans="2:24" x14ac:dyDescent="0.3">
      <c r="B59" s="51">
        <v>45</v>
      </c>
      <c r="C59" s="51" t="s">
        <v>71</v>
      </c>
      <c r="D59" s="51">
        <v>45</v>
      </c>
      <c r="E59" s="51">
        <v>77.850000000000009</v>
      </c>
      <c r="F59" s="51">
        <v>76.796000000000006</v>
      </c>
      <c r="G59" s="51">
        <v>6.7619999999999996</v>
      </c>
      <c r="H59" s="51">
        <v>6.7859999999999996</v>
      </c>
      <c r="I59" s="51">
        <v>31.7</v>
      </c>
      <c r="J59" s="54">
        <f t="shared" si="2"/>
        <v>5.5555553031988758</v>
      </c>
      <c r="K59" s="53">
        <f>IFERROR(IF(OR(ISBLANK(WHOLE_STRUCTURE[[#This Row],[Top '[m']]]), ISBLANK(WHOLE_STRUCTURE[[#This Row],[Bottom '[m']]])), "", WHOLE_STRUCTURE[[#This Row],[Top '[m']]] - WHOLE_STRUCTURE[[#This Row],[Bottom '[m']]]),"")</f>
        <v>1.054000000000002</v>
      </c>
      <c r="L59" s="54">
        <f>IFERROR(-(WHOLE_STRUCTURE[[#This Row],[D, bottom '[m']]]-WHOLE_STRUCTURE[[#This Row],[D, top '[m']]])/(WHOLE_STRUCTURE[[#This Row],[Bottom '[m']]]-WHOLE_STRUCTURE[[#This Row],[Top '[m']]]),"")</f>
        <v>2.277039848197341E-2</v>
      </c>
      <c r="M59" s="52">
        <f>IFERROR((WHOLE_STRUCTURE[[#This Row],[D, bottom '[m']]]+WHOLE_STRUCTURE[[#This Row],[D, top '[m']]])/(2*WHOLE_STRUCTURE[[#This Row],[t '[mm']]]/1000),"")</f>
        <v>213.69085173501574</v>
      </c>
      <c r="S59" s="51"/>
      <c r="T59" s="51"/>
      <c r="U59" s="51"/>
      <c r="V59" s="51"/>
      <c r="W59" s="51"/>
      <c r="X59" s="51"/>
    </row>
    <row r="60" spans="2:24" x14ac:dyDescent="0.3">
      <c r="B60" s="51">
        <v>46</v>
      </c>
      <c r="C60" s="51" t="s">
        <v>71</v>
      </c>
      <c r="D60" s="51">
        <v>46</v>
      </c>
      <c r="E60" s="51">
        <v>76.796000000000006</v>
      </c>
      <c r="F60" s="51">
        <v>74.074000000000012</v>
      </c>
      <c r="G60" s="51">
        <v>6.7859999999999996</v>
      </c>
      <c r="H60" s="51">
        <v>6.8479999999999999</v>
      </c>
      <c r="I60" s="51">
        <v>32.200000000000003</v>
      </c>
      <c r="J60" s="54">
        <f t="shared" si="2"/>
        <v>14.665624875429092</v>
      </c>
      <c r="K60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L60" s="54">
        <f>IFERROR(-(WHOLE_STRUCTURE[[#This Row],[D, bottom '[m']]]-WHOLE_STRUCTURE[[#This Row],[D, top '[m']]])/(WHOLE_STRUCTURE[[#This Row],[Bottom '[m']]]-WHOLE_STRUCTURE[[#This Row],[Top '[m']]]),"")</f>
        <v>2.2777369581190452E-2</v>
      </c>
      <c r="M60" s="52">
        <f>IFERROR((WHOLE_STRUCTURE[[#This Row],[D, bottom '[m']]]+WHOLE_STRUCTURE[[#This Row],[D, top '[m']]])/(2*WHOLE_STRUCTURE[[#This Row],[t '[mm']]]/1000),"")</f>
        <v>211.70807453416151</v>
      </c>
      <c r="S60" s="51"/>
      <c r="T60" s="51"/>
      <c r="U60" s="51"/>
      <c r="V60" s="51"/>
      <c r="W60" s="51"/>
      <c r="X60" s="51"/>
    </row>
    <row r="61" spans="2:24" x14ac:dyDescent="0.3">
      <c r="B61" s="51">
        <v>47</v>
      </c>
      <c r="C61" s="51" t="s">
        <v>71</v>
      </c>
      <c r="D61" s="51">
        <v>47</v>
      </c>
      <c r="E61" s="51">
        <v>74.074000000000012</v>
      </c>
      <c r="F61" s="51">
        <v>71.352000000000004</v>
      </c>
      <c r="G61" s="51">
        <v>6.8479999999999999</v>
      </c>
      <c r="H61" s="51">
        <v>6.9109999999999996</v>
      </c>
      <c r="I61" s="51">
        <v>32.5</v>
      </c>
      <c r="J61" s="54">
        <f t="shared" si="2"/>
        <v>14.937961615821818</v>
      </c>
      <c r="K61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L61" s="54">
        <f>IFERROR(-(WHOLE_STRUCTURE[[#This Row],[D, bottom '[m']]]-WHOLE_STRUCTURE[[#This Row],[D, top '[m']]])/(WHOLE_STRUCTURE[[#This Row],[Bottom '[m']]]-WHOLE_STRUCTURE[[#This Row],[Top '[m']]]),"")</f>
        <v>2.3144746509919004E-2</v>
      </c>
      <c r="M61" s="52">
        <f>IFERROR((WHOLE_STRUCTURE[[#This Row],[D, bottom '[m']]]+WHOLE_STRUCTURE[[#This Row],[D, top '[m']]])/(2*WHOLE_STRUCTURE[[#This Row],[t '[mm']]]/1000),"")</f>
        <v>211.67692307692309</v>
      </c>
      <c r="S61" s="51"/>
      <c r="T61" s="51"/>
      <c r="U61" s="51"/>
      <c r="V61" s="51"/>
      <c r="W61" s="51"/>
      <c r="X61" s="51"/>
    </row>
    <row r="62" spans="2:24" x14ac:dyDescent="0.3">
      <c r="B62" s="51">
        <v>48</v>
      </c>
      <c r="C62" s="51" t="s">
        <v>71</v>
      </c>
      <c r="D62" s="51">
        <v>48</v>
      </c>
      <c r="E62" s="51">
        <v>71.352000000000004</v>
      </c>
      <c r="F62" s="51">
        <v>70.300000000000011</v>
      </c>
      <c r="G62" s="51">
        <v>6.9109999999999996</v>
      </c>
      <c r="H62" s="51">
        <v>6.9340000000000002</v>
      </c>
      <c r="I62" s="51">
        <v>33.5</v>
      </c>
      <c r="J62" s="54">
        <f t="shared" si="2"/>
        <v>5.9873722621344063</v>
      </c>
      <c r="K62" s="53">
        <f>IFERROR(IF(OR(ISBLANK(WHOLE_STRUCTURE[[#This Row],[Top '[m']]]), ISBLANK(WHOLE_STRUCTURE[[#This Row],[Bottom '[m']]])), "", WHOLE_STRUCTURE[[#This Row],[Top '[m']]] - WHOLE_STRUCTURE[[#This Row],[Bottom '[m']]]),"")</f>
        <v>1.0519999999999925</v>
      </c>
      <c r="L62" s="54">
        <f>IFERROR(-(WHOLE_STRUCTURE[[#This Row],[D, bottom '[m']]]-WHOLE_STRUCTURE[[#This Row],[D, top '[m']]])/(WHOLE_STRUCTURE[[#This Row],[Bottom '[m']]]-WHOLE_STRUCTURE[[#This Row],[Top '[m']]]),"")</f>
        <v>2.1863117870723137E-2</v>
      </c>
      <c r="M62" s="52">
        <f>IFERROR((WHOLE_STRUCTURE[[#This Row],[D, bottom '[m']]]+WHOLE_STRUCTURE[[#This Row],[D, top '[m']]])/(2*WHOLE_STRUCTURE[[#This Row],[t '[mm']]]/1000),"")</f>
        <v>206.64179104477608</v>
      </c>
      <c r="S62" s="51"/>
      <c r="T62" s="51"/>
      <c r="U62" s="51"/>
      <c r="V62" s="51"/>
      <c r="W62" s="51"/>
      <c r="X62" s="51"/>
    </row>
    <row r="63" spans="2:24" x14ac:dyDescent="0.3">
      <c r="B63" s="51">
        <v>49</v>
      </c>
      <c r="C63" s="51" t="s">
        <v>71</v>
      </c>
      <c r="D63" s="51">
        <v>49</v>
      </c>
      <c r="E63" s="51">
        <v>70.300000000000011</v>
      </c>
      <c r="F63" s="51">
        <v>68.625000000000014</v>
      </c>
      <c r="G63" s="51">
        <v>6.9340000000000002</v>
      </c>
      <c r="H63" s="51">
        <v>6.9720000000000004</v>
      </c>
      <c r="I63" s="51">
        <v>33.5</v>
      </c>
      <c r="J63" s="54">
        <f t="shared" si="2"/>
        <v>9.5753324534747843</v>
      </c>
      <c r="K63" s="53">
        <f>IFERROR(IF(OR(ISBLANK(WHOLE_STRUCTURE[[#This Row],[Top '[m']]]), ISBLANK(WHOLE_STRUCTURE[[#This Row],[Bottom '[m']]])), "", WHOLE_STRUCTURE[[#This Row],[Top '[m']]] - WHOLE_STRUCTURE[[#This Row],[Bottom '[m']]]),"")</f>
        <v>1.6749999999999972</v>
      </c>
      <c r="L63" s="54">
        <f>IFERROR(-(WHOLE_STRUCTURE[[#This Row],[D, bottom '[m']]]-WHOLE_STRUCTURE[[#This Row],[D, top '[m']]])/(WHOLE_STRUCTURE[[#This Row],[Bottom '[m']]]-WHOLE_STRUCTURE[[#This Row],[Top '[m']]]),"")</f>
        <v>2.2686567164179296E-2</v>
      </c>
      <c r="M63" s="52">
        <f>IFERROR((WHOLE_STRUCTURE[[#This Row],[D, bottom '[m']]]+WHOLE_STRUCTURE[[#This Row],[D, top '[m']]])/(2*WHOLE_STRUCTURE[[#This Row],[t '[mm']]]/1000),"")</f>
        <v>207.55223880597015</v>
      </c>
      <c r="S63" s="51"/>
      <c r="T63" s="51"/>
      <c r="U63" s="51"/>
      <c r="V63" s="51"/>
      <c r="W63" s="51"/>
      <c r="X63" s="51"/>
    </row>
    <row r="64" spans="2:24" x14ac:dyDescent="0.3">
      <c r="B64" s="51">
        <v>50</v>
      </c>
      <c r="C64" s="51" t="s">
        <v>71</v>
      </c>
      <c r="D64" s="51">
        <v>50</v>
      </c>
      <c r="E64" s="51">
        <v>68.625000000000014</v>
      </c>
      <c r="F64" s="51">
        <v>65.890000000000015</v>
      </c>
      <c r="G64" s="51">
        <v>6.9720000000000004</v>
      </c>
      <c r="H64" s="51">
        <v>7.0380000000000003</v>
      </c>
      <c r="I64" s="51">
        <v>34</v>
      </c>
      <c r="J64" s="54">
        <f t="shared" si="2"/>
        <v>15.986406792159258</v>
      </c>
      <c r="K64" s="53">
        <f>IFERROR(IF(OR(ISBLANK(WHOLE_STRUCTURE[[#This Row],[Top '[m']]]), ISBLANK(WHOLE_STRUCTURE[[#This Row],[Bottom '[m']]])), "", WHOLE_STRUCTURE[[#This Row],[Top '[m']]] - WHOLE_STRUCTURE[[#This Row],[Bottom '[m']]]),"")</f>
        <v>2.7349999999999994</v>
      </c>
      <c r="L64" s="54">
        <f>IFERROR(-(WHOLE_STRUCTURE[[#This Row],[D, bottom '[m']]]-WHOLE_STRUCTURE[[#This Row],[D, top '[m']]])/(WHOLE_STRUCTURE[[#This Row],[Bottom '[m']]]-WHOLE_STRUCTURE[[#This Row],[Top '[m']]]),"")</f>
        <v>2.4131627056672707E-2</v>
      </c>
      <c r="M64" s="52">
        <f>IFERROR((WHOLE_STRUCTURE[[#This Row],[D, bottom '[m']]]+WHOLE_STRUCTURE[[#This Row],[D, top '[m']]])/(2*WHOLE_STRUCTURE[[#This Row],[t '[mm']]]/1000),"")</f>
        <v>206.02941176470588</v>
      </c>
      <c r="S64" s="51"/>
      <c r="T64" s="51"/>
      <c r="U64" s="51"/>
      <c r="V64" s="51"/>
      <c r="W64" s="51"/>
      <c r="X64" s="51"/>
    </row>
    <row r="65" spans="2:24" x14ac:dyDescent="0.3">
      <c r="B65" s="51">
        <v>51</v>
      </c>
      <c r="C65" s="51" t="s">
        <v>71</v>
      </c>
      <c r="D65" s="51">
        <v>51</v>
      </c>
      <c r="E65" s="51">
        <v>65.890000000000015</v>
      </c>
      <c r="F65" s="51">
        <v>65.845000000000013</v>
      </c>
      <c r="G65" s="51">
        <v>7.0380000000000003</v>
      </c>
      <c r="H65" s="51">
        <v>7.0380000000000003</v>
      </c>
      <c r="I65" s="51">
        <v>38</v>
      </c>
      <c r="J65" s="54">
        <f t="shared" si="2"/>
        <v>0.29519818289824729</v>
      </c>
      <c r="K65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185.21052631578948</v>
      </c>
      <c r="S65" s="51"/>
      <c r="T65" s="51"/>
      <c r="U65" s="51"/>
      <c r="V65" s="51"/>
      <c r="W65" s="51"/>
      <c r="X65" s="51"/>
    </row>
    <row r="66" spans="2:24" x14ac:dyDescent="0.3">
      <c r="B66" s="51">
        <v>52</v>
      </c>
      <c r="C66" s="51" t="s">
        <v>71</v>
      </c>
      <c r="D66" s="51">
        <v>52</v>
      </c>
      <c r="E66" s="51">
        <v>65.845000000000013</v>
      </c>
      <c r="F66" s="51">
        <v>65.660000000000011</v>
      </c>
      <c r="G66" s="51">
        <v>7.0380000000000003</v>
      </c>
      <c r="H66" s="51">
        <v>7.0380000000000003</v>
      </c>
      <c r="I66" s="51">
        <v>38</v>
      </c>
      <c r="J66" s="54">
        <f t="shared" si="2"/>
        <v>1.2135925296927634</v>
      </c>
      <c r="K66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185.21052631578948</v>
      </c>
      <c r="S66" s="51"/>
      <c r="T66" s="51"/>
      <c r="U66" s="51"/>
      <c r="V66" s="51"/>
      <c r="W66" s="51"/>
      <c r="X66" s="51"/>
    </row>
    <row r="67" spans="2:24" x14ac:dyDescent="0.3">
      <c r="B67" s="51">
        <v>53</v>
      </c>
      <c r="C67" s="51" t="s">
        <v>71</v>
      </c>
      <c r="D67" s="51">
        <v>53</v>
      </c>
      <c r="E67" s="51">
        <v>65.660000000000011</v>
      </c>
      <c r="F67" s="51">
        <v>65.475000000000009</v>
      </c>
      <c r="G67" s="51">
        <v>7.0380000000000003</v>
      </c>
      <c r="H67" s="51">
        <v>7.0380000000000003</v>
      </c>
      <c r="I67" s="51">
        <v>38</v>
      </c>
      <c r="J67" s="54">
        <f t="shared" si="2"/>
        <v>1.2135925296927634</v>
      </c>
      <c r="K67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185.21052631578948</v>
      </c>
      <c r="S67" s="51"/>
      <c r="T67" s="51"/>
      <c r="U67" s="51"/>
      <c r="V67" s="51"/>
      <c r="W67" s="51"/>
      <c r="X67" s="51"/>
    </row>
    <row r="68" spans="2:24" x14ac:dyDescent="0.3">
      <c r="B68" s="51">
        <v>54</v>
      </c>
      <c r="C68" s="51" t="s">
        <v>71</v>
      </c>
      <c r="D68" s="51">
        <v>54</v>
      </c>
      <c r="E68" s="51">
        <v>65.475000000000009</v>
      </c>
      <c r="F68" s="51">
        <v>65.430000000000007</v>
      </c>
      <c r="G68" s="51">
        <v>7.0380000000000003</v>
      </c>
      <c r="H68" s="51">
        <v>7.032</v>
      </c>
      <c r="I68" s="51">
        <v>38</v>
      </c>
      <c r="J68" s="54">
        <f t="shared" si="2"/>
        <v>0.29507166939129226</v>
      </c>
      <c r="K68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L68" s="54">
        <f>IFERROR(-(WHOLE_STRUCTURE[[#This Row],[D, bottom '[m']]]-WHOLE_STRUCTURE[[#This Row],[D, top '[m']]])/(WHOLE_STRUCTURE[[#This Row],[Bottom '[m']]]-WHOLE_STRUCTURE[[#This Row],[Top '[m']]]),"")</f>
        <v>-0.13333333333333333</v>
      </c>
      <c r="M68" s="54">
        <f>IFERROR((WHOLE_STRUCTURE[[#This Row],[D, bottom '[m']]]+WHOLE_STRUCTURE[[#This Row],[D, top '[m']]])/(2*WHOLE_STRUCTURE[[#This Row],[t '[mm']]]/1000),"")</f>
        <v>185.13157894736844</v>
      </c>
      <c r="S68" s="51"/>
      <c r="T68" s="51"/>
      <c r="U68" s="51"/>
      <c r="V68" s="51"/>
      <c r="W68" s="51"/>
      <c r="X68" s="51"/>
    </row>
    <row r="69" spans="2:24" x14ac:dyDescent="0.3">
      <c r="B69" s="51">
        <v>55</v>
      </c>
      <c r="C69" s="51" t="s">
        <v>71</v>
      </c>
      <c r="D69" s="51">
        <v>55</v>
      </c>
      <c r="E69" s="51">
        <v>65.430000000000007</v>
      </c>
      <c r="F69" s="51">
        <v>62.708000000000013</v>
      </c>
      <c r="G69" s="51">
        <v>7.032</v>
      </c>
      <c r="H69" s="51">
        <v>7.0759999999999996</v>
      </c>
      <c r="I69" s="51">
        <v>32</v>
      </c>
      <c r="J69" s="54">
        <f t="shared" si="2"/>
        <v>15.0840670340591</v>
      </c>
      <c r="K69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L69" s="54">
        <f>IFERROR(-(WHOLE_STRUCTURE[[#This Row],[D, bottom '[m']]]-WHOLE_STRUCTURE[[#This Row],[D, top '[m']]])/(WHOLE_STRUCTURE[[#This Row],[Bottom '[m']]]-WHOLE_STRUCTURE[[#This Row],[Top '[m']]]),"")</f>
        <v>1.6164584864070422E-2</v>
      </c>
      <c r="M69" s="54">
        <f>IFERROR((WHOLE_STRUCTURE[[#This Row],[D, bottom '[m']]]+WHOLE_STRUCTURE[[#This Row],[D, top '[m']]])/(2*WHOLE_STRUCTURE[[#This Row],[t '[mm']]]/1000),"")</f>
        <v>220.4375</v>
      </c>
      <c r="S69" s="51"/>
      <c r="T69" s="51"/>
      <c r="U69" s="51"/>
      <c r="V69" s="51"/>
      <c r="W69" s="51"/>
      <c r="X69" s="51"/>
    </row>
    <row r="70" spans="2:24" x14ac:dyDescent="0.3">
      <c r="B70" s="51">
        <v>56</v>
      </c>
      <c r="C70" s="51" t="s">
        <v>71</v>
      </c>
      <c r="D70" s="51">
        <v>56</v>
      </c>
      <c r="E70" s="51">
        <v>62.708000000000013</v>
      </c>
      <c r="F70" s="51">
        <v>61.407000000000011</v>
      </c>
      <c r="G70" s="51">
        <v>7.0759999999999996</v>
      </c>
      <c r="H70" s="51">
        <v>7.0970000000000004</v>
      </c>
      <c r="I70" s="51">
        <v>33</v>
      </c>
      <c r="J70" s="54">
        <f t="shared" si="2"/>
        <v>7.4681913438982228</v>
      </c>
      <c r="K70" s="53">
        <f>IFERROR(IF(OR(ISBLANK(WHOLE_STRUCTURE[[#This Row],[Top '[m']]]), ISBLANK(WHOLE_STRUCTURE[[#This Row],[Bottom '[m']]])), "", WHOLE_STRUCTURE[[#This Row],[Top '[m']]] - WHOLE_STRUCTURE[[#This Row],[Bottom '[m']]]),"")</f>
        <v>1.3010000000000019</v>
      </c>
      <c r="L70" s="54">
        <f>IFERROR(-(WHOLE_STRUCTURE[[#This Row],[D, bottom '[m']]]-WHOLE_STRUCTURE[[#This Row],[D, top '[m']]])/(WHOLE_STRUCTURE[[#This Row],[Bottom '[m']]]-WHOLE_STRUCTURE[[#This Row],[Top '[m']]]),"")</f>
        <v>1.6141429669485598E-2</v>
      </c>
      <c r="M70" s="54">
        <f>IFERROR((WHOLE_STRUCTURE[[#This Row],[D, bottom '[m']]]+WHOLE_STRUCTURE[[#This Row],[D, top '[m']]])/(2*WHOLE_STRUCTURE[[#This Row],[t '[mm']]]/1000),"")</f>
        <v>214.74242424242422</v>
      </c>
      <c r="S70" s="51"/>
      <c r="T70" s="51"/>
      <c r="U70" s="51"/>
      <c r="V70" s="51"/>
      <c r="W70" s="51"/>
      <c r="X70" s="51"/>
    </row>
    <row r="71" spans="2:24" x14ac:dyDescent="0.3">
      <c r="B71" s="51">
        <v>57</v>
      </c>
      <c r="C71" s="51" t="s">
        <v>71</v>
      </c>
      <c r="D71" s="51">
        <v>57</v>
      </c>
      <c r="E71" s="51">
        <v>61.407000000000011</v>
      </c>
      <c r="F71" s="51">
        <v>60.300000000000011</v>
      </c>
      <c r="G71" s="51">
        <v>7.0970000000000004</v>
      </c>
      <c r="H71" s="51">
        <v>7.1139999999999999</v>
      </c>
      <c r="I71" s="51">
        <v>33</v>
      </c>
      <c r="J71" s="54">
        <f t="shared" si="2"/>
        <v>6.3716813187634509</v>
      </c>
      <c r="K71" s="53">
        <f>IFERROR(IF(OR(ISBLANK(WHOLE_STRUCTURE[[#This Row],[Top '[m']]]), ISBLANK(WHOLE_STRUCTURE[[#This Row],[Bottom '[m']]])), "", WHOLE_STRUCTURE[[#This Row],[Top '[m']]] - WHOLE_STRUCTURE[[#This Row],[Bottom '[m']]]),"")</f>
        <v>1.1069999999999993</v>
      </c>
      <c r="L71" s="54">
        <f>IFERROR(-(WHOLE_STRUCTURE[[#This Row],[D, bottom '[m']]]-WHOLE_STRUCTURE[[#This Row],[D, top '[m']]])/(WHOLE_STRUCTURE[[#This Row],[Bottom '[m']]]-WHOLE_STRUCTURE[[#This Row],[Top '[m']]]),"")</f>
        <v>1.5356820234868536E-2</v>
      </c>
      <c r="M71" s="54">
        <f>IFERROR((WHOLE_STRUCTURE[[#This Row],[D, bottom '[m']]]+WHOLE_STRUCTURE[[#This Row],[D, top '[m']]])/(2*WHOLE_STRUCTURE[[#This Row],[t '[mm']]]/1000),"")</f>
        <v>215.31818181818181</v>
      </c>
      <c r="S71" s="51"/>
      <c r="T71" s="51"/>
      <c r="U71" s="51"/>
      <c r="V71" s="51"/>
      <c r="W71" s="51"/>
      <c r="X71" s="51"/>
    </row>
    <row r="72" spans="2:24" x14ac:dyDescent="0.3">
      <c r="B72" s="51">
        <v>58</v>
      </c>
      <c r="C72" s="51" t="s">
        <v>71</v>
      </c>
      <c r="D72" s="51">
        <v>58</v>
      </c>
      <c r="E72" s="51">
        <v>60.300000000000011</v>
      </c>
      <c r="F72" s="51">
        <v>59.990000000000009</v>
      </c>
      <c r="G72" s="51">
        <v>7.1139999999999999</v>
      </c>
      <c r="H72" s="51">
        <v>7.1189999999999998</v>
      </c>
      <c r="I72" s="51">
        <v>33</v>
      </c>
      <c r="J72" s="54">
        <f t="shared" si="2"/>
        <v>1.7870761604983658</v>
      </c>
      <c r="K72" s="53">
        <f>IFERROR(IF(OR(ISBLANK(WHOLE_STRUCTURE[[#This Row],[Top '[m']]]), ISBLANK(WHOLE_STRUCTURE[[#This Row],[Bottom '[m']]])), "", WHOLE_STRUCTURE[[#This Row],[Top '[m']]] - WHOLE_STRUCTURE[[#This Row],[Bottom '[m']]]),"")</f>
        <v>0.31000000000000227</v>
      </c>
      <c r="L72" s="54">
        <f>IFERROR(-(WHOLE_STRUCTURE[[#This Row],[D, bottom '[m']]]-WHOLE_STRUCTURE[[#This Row],[D, top '[m']]])/(WHOLE_STRUCTURE[[#This Row],[Bottom '[m']]]-WHOLE_STRUCTURE[[#This Row],[Top '[m']]]),"")</f>
        <v>1.6129032258064054E-2</v>
      </c>
      <c r="M72" s="54">
        <f>IFERROR((WHOLE_STRUCTURE[[#This Row],[D, bottom '[m']]]+WHOLE_STRUCTURE[[#This Row],[D, top '[m']]])/(2*WHOLE_STRUCTURE[[#This Row],[t '[mm']]]/1000),"")</f>
        <v>215.65151515151516</v>
      </c>
      <c r="S72" s="51"/>
      <c r="T72" s="51"/>
      <c r="U72" s="51"/>
      <c r="V72" s="51"/>
      <c r="W72" s="51"/>
      <c r="X72" s="51"/>
    </row>
    <row r="73" spans="2:24" x14ac:dyDescent="0.3">
      <c r="B73" s="51">
        <v>59</v>
      </c>
      <c r="C73" s="51" t="s">
        <v>71</v>
      </c>
      <c r="D73" s="51">
        <v>59</v>
      </c>
      <c r="E73" s="51">
        <v>59.990000000000009</v>
      </c>
      <c r="F73" s="51">
        <v>57.296000000000006</v>
      </c>
      <c r="G73" s="51">
        <v>7.1189999999999998</v>
      </c>
      <c r="H73" s="51">
        <v>7.1619999999999999</v>
      </c>
      <c r="I73" s="51">
        <v>33</v>
      </c>
      <c r="J73" s="54">
        <f t="shared" si="2"/>
        <v>15.582887276036354</v>
      </c>
      <c r="K73" s="53">
        <f>IFERROR(IF(OR(ISBLANK(WHOLE_STRUCTURE[[#This Row],[Top '[m']]]), ISBLANK(WHOLE_STRUCTURE[[#This Row],[Bottom '[m']]])), "", WHOLE_STRUCTURE[[#This Row],[Top '[m']]] - WHOLE_STRUCTURE[[#This Row],[Bottom '[m']]]),"")</f>
        <v>2.6940000000000026</v>
      </c>
      <c r="L73" s="54">
        <f>IFERROR(-(WHOLE_STRUCTURE[[#This Row],[D, bottom '[m']]]-WHOLE_STRUCTURE[[#This Row],[D, top '[m']]])/(WHOLE_STRUCTURE[[#This Row],[Bottom '[m']]]-WHOLE_STRUCTURE[[#This Row],[Top '[m']]]),"")</f>
        <v>1.5961395694135155E-2</v>
      </c>
      <c r="M73" s="54">
        <f>IFERROR((WHOLE_STRUCTURE[[#This Row],[D, bottom '[m']]]+WHOLE_STRUCTURE[[#This Row],[D, top '[m']]])/(2*WHOLE_STRUCTURE[[#This Row],[t '[mm']]]/1000),"")</f>
        <v>216.37878787878785</v>
      </c>
      <c r="S73" s="51"/>
      <c r="T73" s="51"/>
      <c r="U73" s="51"/>
      <c r="V73" s="51"/>
      <c r="W73" s="51"/>
      <c r="X73" s="51"/>
    </row>
    <row r="74" spans="2:24" x14ac:dyDescent="0.3">
      <c r="B74" s="51">
        <v>60</v>
      </c>
      <c r="C74" s="51" t="s">
        <v>71</v>
      </c>
      <c r="D74" s="51">
        <v>60</v>
      </c>
      <c r="E74" s="51">
        <v>57.296000000000006</v>
      </c>
      <c r="F74" s="51">
        <v>57.272000000000006</v>
      </c>
      <c r="G74" s="51">
        <v>7.1619999999999999</v>
      </c>
      <c r="H74" s="51">
        <v>7.1630000000000003</v>
      </c>
      <c r="I74" s="51">
        <v>33</v>
      </c>
      <c r="J74" s="54">
        <f t="shared" si="2"/>
        <v>0.13925275124633829</v>
      </c>
      <c r="K74" s="53">
        <f>IFERROR(IF(OR(ISBLANK(WHOLE_STRUCTURE[[#This Row],[Top '[m']]]), ISBLANK(WHOLE_STRUCTURE[[#This Row],[Bottom '[m']]])), "", WHOLE_STRUCTURE[[#This Row],[Top '[m']]] - WHOLE_STRUCTURE[[#This Row],[Bottom '[m']]]),"")</f>
        <v>2.4000000000000909E-2</v>
      </c>
      <c r="L74" s="54">
        <f>IFERROR(-(WHOLE_STRUCTURE[[#This Row],[D, bottom '[m']]]-WHOLE_STRUCTURE[[#This Row],[D, top '[m']]])/(WHOLE_STRUCTURE[[#This Row],[Bottom '[m']]]-WHOLE_STRUCTURE[[#This Row],[Top '[m']]]),"")</f>
        <v>4.1666666666679002E-2</v>
      </c>
      <c r="M74" s="54">
        <f>IFERROR((WHOLE_STRUCTURE[[#This Row],[D, bottom '[m']]]+WHOLE_STRUCTURE[[#This Row],[D, top '[m']]])/(2*WHOLE_STRUCTURE[[#This Row],[t '[mm']]]/1000),"")</f>
        <v>217.04545454545453</v>
      </c>
      <c r="S74" s="51"/>
      <c r="T74" s="51"/>
      <c r="U74" s="51"/>
      <c r="V74" s="51"/>
      <c r="W74" s="51"/>
      <c r="X74" s="51"/>
    </row>
    <row r="75" spans="2:24" x14ac:dyDescent="0.3">
      <c r="B75" s="51">
        <v>61</v>
      </c>
      <c r="C75" s="51" t="s">
        <v>71</v>
      </c>
      <c r="D75" s="51">
        <v>61</v>
      </c>
      <c r="E75" s="51">
        <v>57.272000000000006</v>
      </c>
      <c r="F75" s="51">
        <v>54.554000000000002</v>
      </c>
      <c r="G75" s="51">
        <v>7.1630000000000003</v>
      </c>
      <c r="H75" s="51">
        <v>7.21</v>
      </c>
      <c r="I75" s="51">
        <v>34</v>
      </c>
      <c r="J75" s="54">
        <f t="shared" si="2"/>
        <v>16.300681633570363</v>
      </c>
      <c r="K75" s="53">
        <f>IFERROR(IF(OR(ISBLANK(WHOLE_STRUCTURE[[#This Row],[Top '[m']]]), ISBLANK(WHOLE_STRUCTURE[[#This Row],[Bottom '[m']]])), "", WHOLE_STRUCTURE[[#This Row],[Top '[m']]] - WHOLE_STRUCTURE[[#This Row],[Bottom '[m']]]),"")</f>
        <v>2.7180000000000035</v>
      </c>
      <c r="L75" s="54">
        <f>IFERROR(-(WHOLE_STRUCTURE[[#This Row],[D, bottom '[m']]]-WHOLE_STRUCTURE[[#This Row],[D, top '[m']]])/(WHOLE_STRUCTURE[[#This Row],[Bottom '[m']]]-WHOLE_STRUCTURE[[#This Row],[Top '[m']]]),"")</f>
        <v>1.7292126563649615E-2</v>
      </c>
      <c r="M75" s="54">
        <f>IFERROR((WHOLE_STRUCTURE[[#This Row],[D, bottom '[m']]]+WHOLE_STRUCTURE[[#This Row],[D, top '[m']]])/(2*WHOLE_STRUCTURE[[#This Row],[t '[mm']]]/1000),"")</f>
        <v>211.36764705882354</v>
      </c>
      <c r="S75" s="51"/>
      <c r="T75" s="51"/>
      <c r="U75" s="51"/>
      <c r="V75" s="51"/>
      <c r="W75" s="51"/>
      <c r="X75" s="51"/>
    </row>
    <row r="76" spans="2:24" x14ac:dyDescent="0.3">
      <c r="B76" s="51">
        <v>62</v>
      </c>
      <c r="C76" s="51" t="s">
        <v>71</v>
      </c>
      <c r="D76" s="51">
        <v>62</v>
      </c>
      <c r="E76" s="51">
        <v>54.554000000000002</v>
      </c>
      <c r="F76" s="51">
        <v>53.186000000000007</v>
      </c>
      <c r="G76" s="51">
        <v>7.21</v>
      </c>
      <c r="H76" s="51">
        <v>7.2309999999999999</v>
      </c>
      <c r="I76" s="51">
        <v>38.199999999999996</v>
      </c>
      <c r="J76" s="54">
        <f t="shared" si="2"/>
        <v>9.2561957628509823</v>
      </c>
      <c r="K76" s="53">
        <f>IFERROR(IF(OR(ISBLANK(WHOLE_STRUCTURE[[#This Row],[Top '[m']]]), ISBLANK(WHOLE_STRUCTURE[[#This Row],[Bottom '[m']]])), "", WHOLE_STRUCTURE[[#This Row],[Top '[m']]] - WHOLE_STRUCTURE[[#This Row],[Bottom '[m']]]),"")</f>
        <v>1.367999999999995</v>
      </c>
      <c r="L76" s="54">
        <f>IFERROR(-(WHOLE_STRUCTURE[[#This Row],[D, bottom '[m']]]-WHOLE_STRUCTURE[[#This Row],[D, top '[m']]])/(WHOLE_STRUCTURE[[#This Row],[Bottom '[m']]]-WHOLE_STRUCTURE[[#This Row],[Top '[m']]]),"")</f>
        <v>1.5350877192982445E-2</v>
      </c>
      <c r="M76" s="54">
        <f>IFERROR((WHOLE_STRUCTURE[[#This Row],[D, bottom '[m']]]+WHOLE_STRUCTURE[[#This Row],[D, top '[m']]])/(2*WHOLE_STRUCTURE[[#This Row],[t '[mm']]]/1000),"")</f>
        <v>189.01832460732984</v>
      </c>
      <c r="S76" s="51"/>
      <c r="T76" s="51"/>
      <c r="U76" s="51"/>
      <c r="V76" s="51"/>
      <c r="W76" s="51"/>
      <c r="X76" s="51"/>
    </row>
    <row r="77" spans="2:24" x14ac:dyDescent="0.3">
      <c r="B77" s="51">
        <v>63</v>
      </c>
      <c r="C77" s="51" t="s">
        <v>71</v>
      </c>
      <c r="D77" s="51">
        <v>63</v>
      </c>
      <c r="E77" s="51">
        <v>53.186000000000007</v>
      </c>
      <c r="F77" s="51">
        <v>51.836000000000013</v>
      </c>
      <c r="G77" s="51">
        <v>7.2309999999999999</v>
      </c>
      <c r="H77" s="51">
        <v>7.2519999999999998</v>
      </c>
      <c r="I77" s="51">
        <v>38.199999999999996</v>
      </c>
      <c r="J77" s="54">
        <f t="shared" si="2"/>
        <v>9.1611113805187827</v>
      </c>
      <c r="K77" s="53">
        <f>IFERROR(IF(OR(ISBLANK(WHOLE_STRUCTURE[[#This Row],[Top '[m']]]), ISBLANK(WHOLE_STRUCTURE[[#This Row],[Bottom '[m']]])), "", WHOLE_STRUCTURE[[#This Row],[Top '[m']]] - WHOLE_STRUCTURE[[#This Row],[Bottom '[m']]]),"")</f>
        <v>1.3499999999999943</v>
      </c>
      <c r="L77" s="54">
        <f>IFERROR(-(WHOLE_STRUCTURE[[#This Row],[D, bottom '[m']]]-WHOLE_STRUCTURE[[#This Row],[D, top '[m']]])/(WHOLE_STRUCTURE[[#This Row],[Bottom '[m']]]-WHOLE_STRUCTURE[[#This Row],[Top '[m']]]),"")</f>
        <v>1.5555555555555553E-2</v>
      </c>
      <c r="M77" s="54">
        <f>IFERROR((WHOLE_STRUCTURE[[#This Row],[D, bottom '[m']]]+WHOLE_STRUCTURE[[#This Row],[D, top '[m']]])/(2*WHOLE_STRUCTURE[[#This Row],[t '[mm']]]/1000),"")</f>
        <v>189.56806282722516</v>
      </c>
      <c r="S77" s="51"/>
      <c r="T77" s="51"/>
      <c r="U77" s="51"/>
      <c r="V77" s="51"/>
      <c r="W77" s="51"/>
      <c r="X77" s="51"/>
    </row>
    <row r="78" spans="2:24" x14ac:dyDescent="0.3">
      <c r="B78" s="51">
        <v>64</v>
      </c>
      <c r="C78" s="51" t="s">
        <v>71</v>
      </c>
      <c r="D78" s="51">
        <v>64</v>
      </c>
      <c r="E78" s="51">
        <v>51.836000000000013</v>
      </c>
      <c r="F78" s="51">
        <v>50.300000000000011</v>
      </c>
      <c r="G78" s="51">
        <v>7.2519999999999998</v>
      </c>
      <c r="H78" s="51">
        <v>7.2770000000000001</v>
      </c>
      <c r="I78" s="51">
        <v>38.199999999999996</v>
      </c>
      <c r="J78" s="54">
        <f t="shared" si="2"/>
        <v>10.456590375877102</v>
      </c>
      <c r="K78" s="53">
        <f>IFERROR(IF(OR(ISBLANK(WHOLE_STRUCTURE[[#This Row],[Top '[m']]]), ISBLANK(WHOLE_STRUCTURE[[#This Row],[Bottom '[m']]])), "", WHOLE_STRUCTURE[[#This Row],[Top '[m']]] - WHOLE_STRUCTURE[[#This Row],[Bottom '[m']]]),"")</f>
        <v>1.5360000000000014</v>
      </c>
      <c r="L78" s="54">
        <f>IFERROR(-(WHOLE_STRUCTURE[[#This Row],[D, bottom '[m']]]-WHOLE_STRUCTURE[[#This Row],[D, top '[m']]])/(WHOLE_STRUCTURE[[#This Row],[Bottom '[m']]]-WHOLE_STRUCTURE[[#This Row],[Top '[m']]]),"")</f>
        <v>1.6276041666666883E-2</v>
      </c>
      <c r="M78" s="54">
        <f>IFERROR((WHOLE_STRUCTURE[[#This Row],[D, bottom '[m']]]+WHOLE_STRUCTURE[[#This Row],[D, top '[m']]])/(2*WHOLE_STRUCTURE[[#This Row],[t '[mm']]]/1000),"")</f>
        <v>190.17015706806285</v>
      </c>
      <c r="S78" s="51"/>
      <c r="T78" s="51"/>
      <c r="U78" s="51"/>
      <c r="V78" s="51"/>
      <c r="W78" s="51"/>
      <c r="X78" s="51"/>
    </row>
    <row r="79" spans="2:24" x14ac:dyDescent="0.3">
      <c r="B79" s="51">
        <v>65</v>
      </c>
      <c r="C79" s="51" t="s">
        <v>71</v>
      </c>
      <c r="D79" s="51">
        <v>65</v>
      </c>
      <c r="E79" s="51">
        <v>50.300000000000011</v>
      </c>
      <c r="F79" s="51">
        <v>49.118000000000009</v>
      </c>
      <c r="G79" s="51">
        <v>7.2770000000000001</v>
      </c>
      <c r="H79" s="51">
        <v>7.2919999999999998</v>
      </c>
      <c r="I79" s="51">
        <v>38.199999999999996</v>
      </c>
      <c r="J79" s="54">
        <f t="shared" ref="J79:J110" si="3">IF(7850/1000*(1/3)*PI()*ABS(E79-F79)*((G79/2)^2+(G79/2)*(H79/2)+(H79/2)^2-(G79/2-I79/1000)^2-(G79/2-I79/1000)*(H79/2-I79/1000)-(H79/2-I79/1000)^2)=0,"",7850/1000*(1/3)*PI()*ABS(E79-F79)*((G79/2)^2+(G79/2)*(H79/2)+(H79/2)^2-(G79/2-I79/1000)^2-(G79/2-I79/1000)*(H79/2-I79/1000)-(H79/2-I79/1000)^2))</f>
        <v>8.0689435830434757</v>
      </c>
      <c r="K79" s="53">
        <f>IFERROR(IF(OR(ISBLANK(WHOLE_STRUCTURE[[#This Row],[Top '[m']]]), ISBLANK(WHOLE_STRUCTURE[[#This Row],[Bottom '[m']]])), "", WHOLE_STRUCTURE[[#This Row],[Top '[m']]] - WHOLE_STRUCTURE[[#This Row],[Bottom '[m']]]),"")</f>
        <v>1.1820000000000022</v>
      </c>
      <c r="L79" s="54">
        <f>IFERROR(-(WHOLE_STRUCTURE[[#This Row],[D, bottom '[m']]]-WHOLE_STRUCTURE[[#This Row],[D, top '[m']]])/(WHOLE_STRUCTURE[[#This Row],[Bottom '[m']]]-WHOLE_STRUCTURE[[#This Row],[Top '[m']]]),"")</f>
        <v>1.2690355329948945E-2</v>
      </c>
      <c r="M79" s="54">
        <f>IFERROR((WHOLE_STRUCTURE[[#This Row],[D, bottom '[m']]]+WHOLE_STRUCTURE[[#This Row],[D, top '[m']]])/(2*WHOLE_STRUCTURE[[#This Row],[t '[mm']]]/1000),"")</f>
        <v>190.69371727748691</v>
      </c>
      <c r="S79" s="51"/>
      <c r="T79" s="51"/>
      <c r="U79" s="51"/>
      <c r="V79" s="51"/>
      <c r="W79" s="51"/>
      <c r="X79" s="51"/>
    </row>
    <row r="80" spans="2:24" x14ac:dyDescent="0.3">
      <c r="B80" s="51">
        <v>66</v>
      </c>
      <c r="C80" s="51" t="s">
        <v>71</v>
      </c>
      <c r="D80" s="51">
        <v>66</v>
      </c>
      <c r="E80" s="51">
        <v>49.118000000000009</v>
      </c>
      <c r="F80" s="51">
        <v>49.075000000000003</v>
      </c>
      <c r="G80" s="51">
        <v>7.2919999999999998</v>
      </c>
      <c r="H80" s="51">
        <v>7.2919999999999998</v>
      </c>
      <c r="I80" s="51">
        <v>34.5</v>
      </c>
      <c r="J80" s="54">
        <f t="shared" si="3"/>
        <v>0.26551809567018186</v>
      </c>
      <c r="K80" s="53">
        <f>IFERROR(IF(OR(ISBLANK(WHOLE_STRUCTURE[[#This Row],[Top '[m']]]), ISBLANK(WHOLE_STRUCTURE[[#This Row],[Bottom '[m']]])), "", WHOLE_STRUCTURE[[#This Row],[Top '[m']]] - WHOLE_STRUCTURE[[#This Row],[Bottom '[m']]]),"")</f>
        <v>4.3000000000006366E-2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211.36231884057969</v>
      </c>
      <c r="S80" s="51"/>
      <c r="T80" s="51"/>
      <c r="U80" s="51"/>
      <c r="V80" s="51"/>
      <c r="W80" s="51"/>
      <c r="X80" s="51"/>
    </row>
    <row r="81" spans="2:24" x14ac:dyDescent="0.3">
      <c r="B81" s="51">
        <v>67</v>
      </c>
      <c r="C81" s="51" t="s">
        <v>71</v>
      </c>
      <c r="D81" s="51">
        <v>67</v>
      </c>
      <c r="E81" s="51">
        <v>49.075000000000003</v>
      </c>
      <c r="F81" s="51">
        <v>46.400000000000006</v>
      </c>
      <c r="G81" s="51">
        <v>7.2919999999999998</v>
      </c>
      <c r="H81" s="51">
        <v>7.335</v>
      </c>
      <c r="I81" s="51">
        <v>34.5</v>
      </c>
      <c r="J81" s="54">
        <f t="shared" si="3"/>
        <v>16.566628376977938</v>
      </c>
      <c r="K81" s="53">
        <f>IFERROR(IF(OR(ISBLANK(WHOLE_STRUCTURE[[#This Row],[Top '[m']]]), ISBLANK(WHOLE_STRUCTURE[[#This Row],[Bottom '[m']]])), "", WHOLE_STRUCTURE[[#This Row],[Top '[m']]] - WHOLE_STRUCTURE[[#This Row],[Bottom '[m']]]),"")</f>
        <v>2.6749999999999972</v>
      </c>
      <c r="L81" s="54">
        <f>IFERROR(-(WHOLE_STRUCTURE[[#This Row],[D, bottom '[m']]]-WHOLE_STRUCTURE[[#This Row],[D, top '[m']]])/(WHOLE_STRUCTURE[[#This Row],[Bottom '[m']]]-WHOLE_STRUCTURE[[#This Row],[Top '[m']]]),"")</f>
        <v>1.6074766355140258E-2</v>
      </c>
      <c r="M81" s="54">
        <f>IFERROR((WHOLE_STRUCTURE[[#This Row],[D, bottom '[m']]]+WHOLE_STRUCTURE[[#This Row],[D, top '[m']]])/(2*WHOLE_STRUCTURE[[#This Row],[t '[mm']]]/1000),"")</f>
        <v>211.98550724637678</v>
      </c>
      <c r="S81" s="51"/>
      <c r="T81" s="51"/>
      <c r="U81" s="51"/>
      <c r="V81" s="51"/>
      <c r="W81" s="51"/>
      <c r="X81" s="51"/>
    </row>
    <row r="82" spans="2:24" x14ac:dyDescent="0.3">
      <c r="B82" s="51">
        <v>68</v>
      </c>
      <c r="C82" s="51" t="s">
        <v>71</v>
      </c>
      <c r="D82" s="51">
        <v>68</v>
      </c>
      <c r="E82" s="51">
        <v>46.400000000000006</v>
      </c>
      <c r="F82" s="51">
        <v>44.964000000000013</v>
      </c>
      <c r="G82" s="51">
        <v>7.335</v>
      </c>
      <c r="H82" s="51">
        <v>7.3579999999999997</v>
      </c>
      <c r="I82" s="51">
        <v>35</v>
      </c>
      <c r="J82" s="54">
        <f t="shared" si="3"/>
        <v>9.0625099838538912</v>
      </c>
      <c r="K82" s="53">
        <f>IFERROR(IF(OR(ISBLANK(WHOLE_STRUCTURE[[#This Row],[Top '[m']]]), ISBLANK(WHOLE_STRUCTURE[[#This Row],[Bottom '[m']]])), "", WHOLE_STRUCTURE[[#This Row],[Top '[m']]] - WHOLE_STRUCTURE[[#This Row],[Bottom '[m']]]),"")</f>
        <v>1.4359999999999928</v>
      </c>
      <c r="L82" s="54">
        <f>IFERROR(-(WHOLE_STRUCTURE[[#This Row],[D, bottom '[m']]]-WHOLE_STRUCTURE[[#This Row],[D, top '[m']]])/(WHOLE_STRUCTURE[[#This Row],[Bottom '[m']]]-WHOLE_STRUCTURE[[#This Row],[Top '[m']]]),"")</f>
        <v>1.6016713091921868E-2</v>
      </c>
      <c r="M82" s="54">
        <f>IFERROR((WHOLE_STRUCTURE[[#This Row],[D, bottom '[m']]]+WHOLE_STRUCTURE[[#This Row],[D, top '[m']]])/(2*WHOLE_STRUCTURE[[#This Row],[t '[mm']]]/1000),"")</f>
        <v>209.89999999999998</v>
      </c>
      <c r="S82" s="51"/>
      <c r="T82" s="51"/>
      <c r="U82" s="51"/>
      <c r="V82" s="51"/>
      <c r="W82" s="51"/>
      <c r="X82" s="51"/>
    </row>
    <row r="83" spans="2:24" x14ac:dyDescent="0.3">
      <c r="B83" s="51">
        <v>69</v>
      </c>
      <c r="C83" s="51" t="s">
        <v>71</v>
      </c>
      <c r="D83" s="51">
        <v>69</v>
      </c>
      <c r="E83" s="51">
        <v>44.964000000000013</v>
      </c>
      <c r="F83" s="51">
        <v>43.682000000000002</v>
      </c>
      <c r="G83" s="51">
        <v>7.3579999999999997</v>
      </c>
      <c r="H83" s="51">
        <v>7.3789999999999996</v>
      </c>
      <c r="I83" s="51">
        <v>35</v>
      </c>
      <c r="J83" s="54">
        <f t="shared" si="3"/>
        <v>8.1149695638374375</v>
      </c>
      <c r="K83" s="53">
        <f>IFERROR(IF(OR(ISBLANK(WHOLE_STRUCTURE[[#This Row],[Top '[m']]]), ISBLANK(WHOLE_STRUCTURE[[#This Row],[Bottom '[m']]])), "", WHOLE_STRUCTURE[[#This Row],[Top '[m']]] - WHOLE_STRUCTURE[[#This Row],[Bottom '[m']]]),"")</f>
        <v>1.2820000000000107</v>
      </c>
      <c r="L83" s="54">
        <f>IFERROR(-(WHOLE_STRUCTURE[[#This Row],[D, bottom '[m']]]-WHOLE_STRUCTURE[[#This Row],[D, top '[m']]])/(WHOLE_STRUCTURE[[#This Row],[Bottom '[m']]]-WHOLE_STRUCTURE[[#This Row],[Top '[m']]]),"")</f>
        <v>1.6380655226208841E-2</v>
      </c>
      <c r="M83" s="54">
        <f>IFERROR((WHOLE_STRUCTURE[[#This Row],[D, bottom '[m']]]+WHOLE_STRUCTURE[[#This Row],[D, top '[m']]])/(2*WHOLE_STRUCTURE[[#This Row],[t '[mm']]]/1000),"")</f>
        <v>210.52857142857138</v>
      </c>
      <c r="S83" s="51"/>
      <c r="T83" s="51"/>
      <c r="U83" s="51"/>
      <c r="V83" s="51"/>
      <c r="W83" s="51"/>
      <c r="X83" s="51"/>
    </row>
    <row r="84" spans="2:24" x14ac:dyDescent="0.3">
      <c r="B84" s="51">
        <v>70</v>
      </c>
      <c r="C84" s="51" t="s">
        <v>71</v>
      </c>
      <c r="D84" s="51">
        <v>70</v>
      </c>
      <c r="E84" s="51">
        <v>43.682000000000002</v>
      </c>
      <c r="F84" s="51">
        <v>40.961000000000013</v>
      </c>
      <c r="G84" s="51">
        <v>7.3789999999999996</v>
      </c>
      <c r="H84" s="51">
        <v>7.4249999999999998</v>
      </c>
      <c r="I84" s="51">
        <v>35.799999999999997</v>
      </c>
      <c r="J84" s="54">
        <f t="shared" si="3"/>
        <v>17.695979401197679</v>
      </c>
      <c r="K84" s="53">
        <f>IFERROR(IF(OR(ISBLANK(WHOLE_STRUCTURE[[#This Row],[Top '[m']]]), ISBLANK(WHOLE_STRUCTURE[[#This Row],[Bottom '[m']]])), "", WHOLE_STRUCTURE[[#This Row],[Top '[m']]] - WHOLE_STRUCTURE[[#This Row],[Bottom '[m']]]),"")</f>
        <v>2.7209999999999894</v>
      </c>
      <c r="L84" s="54">
        <f>IFERROR(-(WHOLE_STRUCTURE[[#This Row],[D, bottom '[m']]]-WHOLE_STRUCTURE[[#This Row],[D, top '[m']]])/(WHOLE_STRUCTURE[[#This Row],[Bottom '[m']]]-WHOLE_STRUCTURE[[#This Row],[Top '[m']]]),"")</f>
        <v>1.6905549430356649E-2</v>
      </c>
      <c r="M84" s="54">
        <f>IFERROR((WHOLE_STRUCTURE[[#This Row],[D, bottom '[m']]]+WHOLE_STRUCTURE[[#This Row],[D, top '[m']]])/(2*WHOLE_STRUCTURE[[#This Row],[t '[mm']]]/1000),"")</f>
        <v>206.75977653631284</v>
      </c>
      <c r="S84" s="51"/>
      <c r="T84" s="51"/>
      <c r="U84" s="51"/>
      <c r="V84" s="51"/>
      <c r="W84" s="51"/>
      <c r="X84" s="51"/>
    </row>
    <row r="85" spans="2:24" x14ac:dyDescent="0.3">
      <c r="B85" s="51">
        <v>71</v>
      </c>
      <c r="C85" s="51" t="s">
        <v>71</v>
      </c>
      <c r="D85" s="51">
        <v>71</v>
      </c>
      <c r="E85" s="51">
        <v>40.961000000000013</v>
      </c>
      <c r="F85" s="51">
        <v>40.300000000000011</v>
      </c>
      <c r="G85" s="51">
        <v>7.4249999999999998</v>
      </c>
      <c r="H85" s="51">
        <v>7.4349999999999996</v>
      </c>
      <c r="I85" s="51">
        <v>39</v>
      </c>
      <c r="J85" s="54">
        <f t="shared" si="3"/>
        <v>4.6988198876939959</v>
      </c>
      <c r="K85" s="53">
        <f>IFERROR(IF(OR(ISBLANK(WHOLE_STRUCTURE[[#This Row],[Top '[m']]]), ISBLANK(WHOLE_STRUCTURE[[#This Row],[Bottom '[m']]])), "", WHOLE_STRUCTURE[[#This Row],[Top '[m']]] - WHOLE_STRUCTURE[[#This Row],[Bottom '[m']]]),"")</f>
        <v>0.66100000000000136</v>
      </c>
      <c r="L85" s="54">
        <f>IFERROR(-(WHOLE_STRUCTURE[[#This Row],[D, bottom '[m']]]-WHOLE_STRUCTURE[[#This Row],[D, top '[m']]])/(WHOLE_STRUCTURE[[#This Row],[Bottom '[m']]]-WHOLE_STRUCTURE[[#This Row],[Top '[m']]]),"")</f>
        <v>1.5128593040846848E-2</v>
      </c>
      <c r="M85" s="54">
        <f>IFERROR((WHOLE_STRUCTURE[[#This Row],[D, bottom '[m']]]+WHOLE_STRUCTURE[[#This Row],[D, top '[m']]])/(2*WHOLE_STRUCTURE[[#This Row],[t '[mm']]]/1000),"")</f>
        <v>190.5128205128205</v>
      </c>
      <c r="S85" s="51"/>
      <c r="T85" s="51"/>
      <c r="U85" s="51"/>
      <c r="V85" s="51"/>
      <c r="W85" s="51"/>
      <c r="X85" s="51"/>
    </row>
    <row r="86" spans="2:24" x14ac:dyDescent="0.3">
      <c r="B86" s="51">
        <v>72</v>
      </c>
      <c r="C86" s="51" t="s">
        <v>71</v>
      </c>
      <c r="D86" s="51">
        <v>72</v>
      </c>
      <c r="E86" s="51">
        <v>40.300000000000011</v>
      </c>
      <c r="F86" s="51">
        <v>38.175000000000011</v>
      </c>
      <c r="G86" s="51">
        <v>7.4349999999999996</v>
      </c>
      <c r="H86" s="51">
        <v>7.476</v>
      </c>
      <c r="I86" s="51">
        <v>39</v>
      </c>
      <c r="J86" s="54">
        <f t="shared" si="3"/>
        <v>15.158005904941108</v>
      </c>
      <c r="K86" s="53">
        <f>IFERROR(IF(OR(ISBLANK(WHOLE_STRUCTURE[[#This Row],[Top '[m']]]), ISBLANK(WHOLE_STRUCTURE[[#This Row],[Bottom '[m']]])), "", WHOLE_STRUCTURE[[#This Row],[Top '[m']]] - WHOLE_STRUCTURE[[#This Row],[Bottom '[m']]]),"")</f>
        <v>2.125</v>
      </c>
      <c r="L86" s="54">
        <f>IFERROR(-(WHOLE_STRUCTURE[[#This Row],[D, bottom '[m']]]-WHOLE_STRUCTURE[[#This Row],[D, top '[m']]])/(WHOLE_STRUCTURE[[#This Row],[Bottom '[m']]]-WHOLE_STRUCTURE[[#This Row],[Top '[m']]]),"")</f>
        <v>1.9294117647058996E-2</v>
      </c>
      <c r="M86" s="54">
        <f>IFERROR((WHOLE_STRUCTURE[[#This Row],[D, bottom '[m']]]+WHOLE_STRUCTURE[[#This Row],[D, top '[m']]])/(2*WHOLE_STRUCTURE[[#This Row],[t '[mm']]]/1000),"")</f>
        <v>191.16666666666666</v>
      </c>
      <c r="S86" s="51"/>
      <c r="T86" s="51"/>
      <c r="U86" s="51"/>
      <c r="V86" s="51"/>
      <c r="W86" s="51"/>
      <c r="X86" s="51"/>
    </row>
    <row r="87" spans="2:24" x14ac:dyDescent="0.3">
      <c r="B87" s="51">
        <v>73</v>
      </c>
      <c r="C87" s="51" t="s">
        <v>71</v>
      </c>
      <c r="D87" s="51">
        <v>73</v>
      </c>
      <c r="E87" s="51">
        <v>38.175000000000011</v>
      </c>
      <c r="F87" s="51">
        <v>38.125</v>
      </c>
      <c r="G87" s="51">
        <v>7.476</v>
      </c>
      <c r="H87" s="51">
        <v>7.476</v>
      </c>
      <c r="I87" s="51">
        <v>46</v>
      </c>
      <c r="J87" s="54">
        <f t="shared" si="3"/>
        <v>0.42144041332908266</v>
      </c>
      <c r="K87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L87" s="54">
        <f>IFERROR(-(WHOLE_STRUCTURE[[#This Row],[D, bottom '[m']]]-WHOLE_STRUCTURE[[#This Row],[D, top '[m']]])/(WHOLE_STRUCTURE[[#This Row],[Bottom '[m']]]-WHOLE_STRUCTURE[[#This Row],[Top '[m']]]),"")</f>
        <v>0</v>
      </c>
      <c r="M87" s="54">
        <f>IFERROR((WHOLE_STRUCTURE[[#This Row],[D, bottom '[m']]]+WHOLE_STRUCTURE[[#This Row],[D, top '[m']]])/(2*WHOLE_STRUCTURE[[#This Row],[t '[mm']]]/1000),"")</f>
        <v>162.52173913043478</v>
      </c>
      <c r="S87" s="51"/>
      <c r="T87" s="51"/>
      <c r="U87" s="51"/>
      <c r="V87" s="51"/>
      <c r="W87" s="51"/>
      <c r="X87" s="51"/>
    </row>
    <row r="88" spans="2:24" x14ac:dyDescent="0.3">
      <c r="B88" s="51">
        <v>74</v>
      </c>
      <c r="C88" s="51" t="s">
        <v>71</v>
      </c>
      <c r="D88" s="51">
        <v>74</v>
      </c>
      <c r="E88" s="51">
        <v>38.125</v>
      </c>
      <c r="F88" s="51">
        <v>37.940000000000012</v>
      </c>
      <c r="G88" s="51">
        <v>7.476</v>
      </c>
      <c r="H88" s="51">
        <v>7.476</v>
      </c>
      <c r="I88" s="51">
        <v>46</v>
      </c>
      <c r="J88" s="54">
        <f t="shared" si="3"/>
        <v>1.5593295293171507</v>
      </c>
      <c r="K88" s="53">
        <f>IFERROR(IF(OR(ISBLANK(WHOLE_STRUCTURE[[#This Row],[Top '[m']]]), ISBLANK(WHOLE_STRUCTURE[[#This Row],[Bottom '[m']]])), "", WHOLE_STRUCTURE[[#This Row],[Top '[m']]] - WHOLE_STRUCTURE[[#This Row],[Bottom '[m']]]),"")</f>
        <v>0.18499999999998806</v>
      </c>
      <c r="L88" s="54">
        <f>IFERROR(-(WHOLE_STRUCTURE[[#This Row],[D, bottom '[m']]]-WHOLE_STRUCTURE[[#This Row],[D, top '[m']]])/(WHOLE_STRUCTURE[[#This Row],[Bottom '[m']]]-WHOLE_STRUCTURE[[#This Row],[Top '[m']]]),"")</f>
        <v>0</v>
      </c>
      <c r="M88" s="54">
        <f>IFERROR((WHOLE_STRUCTURE[[#This Row],[D, bottom '[m']]]+WHOLE_STRUCTURE[[#This Row],[D, top '[m']]])/(2*WHOLE_STRUCTURE[[#This Row],[t '[mm']]]/1000),"")</f>
        <v>162.52173913043478</v>
      </c>
      <c r="S88" s="51"/>
      <c r="T88" s="51"/>
      <c r="U88" s="51"/>
      <c r="V88" s="51"/>
      <c r="W88" s="51"/>
      <c r="X88" s="51"/>
    </row>
    <row r="89" spans="2:24" x14ac:dyDescent="0.3">
      <c r="B89" s="51">
        <v>75</v>
      </c>
      <c r="C89" s="51" t="s">
        <v>71</v>
      </c>
      <c r="D89" s="51">
        <v>75</v>
      </c>
      <c r="E89" s="51">
        <v>37.940000000000012</v>
      </c>
      <c r="F89" s="51">
        <v>37.75500000000001</v>
      </c>
      <c r="G89" s="51">
        <v>7.476</v>
      </c>
      <c r="H89" s="51">
        <v>7.476</v>
      </c>
      <c r="I89" s="51">
        <v>46</v>
      </c>
      <c r="J89" s="54">
        <f t="shared" si="3"/>
        <v>1.5593295293172704</v>
      </c>
      <c r="K89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L89" s="54">
        <f>IFERROR(-(WHOLE_STRUCTURE[[#This Row],[D, bottom '[m']]]-WHOLE_STRUCTURE[[#This Row],[D, top '[m']]])/(WHOLE_STRUCTURE[[#This Row],[Bottom '[m']]]-WHOLE_STRUCTURE[[#This Row],[Top '[m']]]),"")</f>
        <v>0</v>
      </c>
      <c r="M89" s="54">
        <f>IFERROR((WHOLE_STRUCTURE[[#This Row],[D, bottom '[m']]]+WHOLE_STRUCTURE[[#This Row],[D, top '[m']]])/(2*WHOLE_STRUCTURE[[#This Row],[t '[mm']]]/1000),"")</f>
        <v>162.52173913043478</v>
      </c>
      <c r="S89" s="51"/>
      <c r="T89" s="51"/>
      <c r="U89" s="51"/>
      <c r="V89" s="51"/>
      <c r="W89" s="51"/>
      <c r="X89" s="51"/>
    </row>
    <row r="90" spans="2:24" x14ac:dyDescent="0.3">
      <c r="B90" s="51">
        <v>76</v>
      </c>
      <c r="C90" s="51" t="s">
        <v>71</v>
      </c>
      <c r="D90" s="51">
        <v>76</v>
      </c>
      <c r="E90" s="51">
        <v>37.75500000000001</v>
      </c>
      <c r="F90" s="51">
        <v>37.705000000000013</v>
      </c>
      <c r="G90" s="51">
        <v>7.476</v>
      </c>
      <c r="H90" s="51">
        <v>7.4740000000000002</v>
      </c>
      <c r="I90" s="51">
        <v>46</v>
      </c>
      <c r="J90" s="54">
        <f t="shared" si="3"/>
        <v>0.42138369187360242</v>
      </c>
      <c r="K90" s="53">
        <f>IFERROR(IF(OR(ISBLANK(WHOLE_STRUCTURE[[#This Row],[Top '[m']]]), ISBLANK(WHOLE_STRUCTURE[[#This Row],[Bottom '[m']]])), "", WHOLE_STRUCTURE[[#This Row],[Top '[m']]] - WHOLE_STRUCTURE[[#This Row],[Bottom '[m']]]),"")</f>
        <v>4.9999999999997158E-2</v>
      </c>
      <c r="L90" s="54">
        <f>IFERROR(-(WHOLE_STRUCTURE[[#This Row],[D, bottom '[m']]]-WHOLE_STRUCTURE[[#This Row],[D, top '[m']]])/(WHOLE_STRUCTURE[[#This Row],[Bottom '[m']]]-WHOLE_STRUCTURE[[#This Row],[Top '[m']]]),"")</f>
        <v>-3.9999999999997871E-2</v>
      </c>
      <c r="M90" s="54">
        <f>IFERROR((WHOLE_STRUCTURE[[#This Row],[D, bottom '[m']]]+WHOLE_STRUCTURE[[#This Row],[D, top '[m']]])/(2*WHOLE_STRUCTURE[[#This Row],[t '[mm']]]/1000),"")</f>
        <v>162.5</v>
      </c>
      <c r="S90" s="51"/>
      <c r="T90" s="51"/>
      <c r="U90" s="51"/>
      <c r="V90" s="51"/>
      <c r="W90" s="51"/>
      <c r="X90" s="51"/>
    </row>
    <row r="91" spans="2:24" x14ac:dyDescent="0.3">
      <c r="B91" s="51">
        <v>77</v>
      </c>
      <c r="C91" s="51" t="s">
        <v>71</v>
      </c>
      <c r="D91" s="51">
        <v>77</v>
      </c>
      <c r="E91" s="51">
        <v>37.705000000000013</v>
      </c>
      <c r="F91" s="51">
        <v>36.743000000000009</v>
      </c>
      <c r="G91" s="51">
        <v>7.4740000000000002</v>
      </c>
      <c r="H91" s="51">
        <v>7.4740000000000002</v>
      </c>
      <c r="I91" s="51">
        <v>44.1</v>
      </c>
      <c r="J91" s="54">
        <f t="shared" si="3"/>
        <v>7.7734920638760601</v>
      </c>
      <c r="K91" s="53">
        <f>IFERROR(IF(OR(ISBLANK(WHOLE_STRUCTURE[[#This Row],[Top '[m']]]), ISBLANK(WHOLE_STRUCTURE[[#This Row],[Bottom '[m']]])), "", WHOLE_STRUCTURE[[#This Row],[Top '[m']]] - WHOLE_STRUCTURE[[#This Row],[Bottom '[m']]]),"")</f>
        <v>0.9620000000000033</v>
      </c>
      <c r="L91" s="54">
        <f>IFERROR(-(WHOLE_STRUCTURE[[#This Row],[D, bottom '[m']]]-WHOLE_STRUCTURE[[#This Row],[D, top '[m']]])/(WHOLE_STRUCTURE[[#This Row],[Bottom '[m']]]-WHOLE_STRUCTURE[[#This Row],[Top '[m']]]),"")</f>
        <v>0</v>
      </c>
      <c r="M91" s="54">
        <f>IFERROR((WHOLE_STRUCTURE[[#This Row],[D, bottom '[m']]]+WHOLE_STRUCTURE[[#This Row],[D, top '[m']]])/(2*WHOLE_STRUCTURE[[#This Row],[t '[mm']]]/1000),"")</f>
        <v>169.47845804988663</v>
      </c>
      <c r="S91" s="51"/>
      <c r="T91" s="51"/>
      <c r="U91" s="51"/>
      <c r="V91" s="51"/>
      <c r="W91" s="51"/>
      <c r="X91" s="51"/>
    </row>
    <row r="92" spans="2:24" x14ac:dyDescent="0.3">
      <c r="B92" s="51">
        <v>78</v>
      </c>
      <c r="C92" s="51" t="s">
        <v>71</v>
      </c>
      <c r="D92" s="51">
        <v>78</v>
      </c>
      <c r="E92" s="51">
        <v>36.743000000000009</v>
      </c>
      <c r="F92" s="51">
        <v>34.83</v>
      </c>
      <c r="G92" s="51">
        <v>7.4740000000000002</v>
      </c>
      <c r="H92" s="51">
        <v>7.476</v>
      </c>
      <c r="I92" s="51">
        <v>44.1</v>
      </c>
      <c r="J92" s="54">
        <f t="shared" si="3"/>
        <v>15.460178569581293</v>
      </c>
      <c r="K92" s="53">
        <f>IFERROR(IF(OR(ISBLANK(WHOLE_STRUCTURE[[#This Row],[Top '[m']]]), ISBLANK(WHOLE_STRUCTURE[[#This Row],[Bottom '[m']]])), "", WHOLE_STRUCTURE[[#This Row],[Top '[m']]] - WHOLE_STRUCTURE[[#This Row],[Bottom '[m']]]),"")</f>
        <v>1.9130000000000109</v>
      </c>
      <c r="L92" s="54">
        <f>IFERROR(-(WHOLE_STRUCTURE[[#This Row],[D, bottom '[m']]]-WHOLE_STRUCTURE[[#This Row],[D, top '[m']]])/(WHOLE_STRUCTURE[[#This Row],[Bottom '[m']]]-WHOLE_STRUCTURE[[#This Row],[Top '[m']]]),"")</f>
        <v>1.0454783063250227E-3</v>
      </c>
      <c r="M92" s="54">
        <f>IFERROR((WHOLE_STRUCTURE[[#This Row],[D, bottom '[m']]]+WHOLE_STRUCTURE[[#This Row],[D, top '[m']]])/(2*WHOLE_STRUCTURE[[#This Row],[t '[mm']]]/1000),"")</f>
        <v>169.50113378684807</v>
      </c>
      <c r="S92" s="51"/>
      <c r="T92" s="51"/>
      <c r="U92" s="51"/>
      <c r="V92" s="51"/>
      <c r="W92" s="51"/>
      <c r="X92" s="51"/>
    </row>
    <row r="93" spans="2:24" x14ac:dyDescent="0.3">
      <c r="B93" s="51">
        <v>79</v>
      </c>
      <c r="C93" s="51" t="s">
        <v>71</v>
      </c>
      <c r="D93" s="51">
        <v>79</v>
      </c>
      <c r="E93" s="51">
        <v>34.83</v>
      </c>
      <c r="F93" s="51">
        <v>32.632000000000005</v>
      </c>
      <c r="G93" s="51">
        <v>7.476</v>
      </c>
      <c r="H93" s="51">
        <v>7.476</v>
      </c>
      <c r="I93" s="51">
        <v>45.6</v>
      </c>
      <c r="J93" s="54">
        <f t="shared" si="3"/>
        <v>18.366409108187099</v>
      </c>
      <c r="K93" s="53">
        <f>IFERROR(IF(OR(ISBLANK(WHOLE_STRUCTURE[[#This Row],[Top '[m']]]), ISBLANK(WHOLE_STRUCTURE[[#This Row],[Bottom '[m']]])), "", WHOLE_STRUCTURE[[#This Row],[Top '[m']]] - WHOLE_STRUCTURE[[#This Row],[Bottom '[m']]]),"")</f>
        <v>2.1979999999999933</v>
      </c>
      <c r="L93" s="54">
        <f>IFERROR(-(WHOLE_STRUCTURE[[#This Row],[D, bottom '[m']]]-WHOLE_STRUCTURE[[#This Row],[D, top '[m']]])/(WHOLE_STRUCTURE[[#This Row],[Bottom '[m']]]-WHOLE_STRUCTURE[[#This Row],[Top '[m']]]),"")</f>
        <v>0</v>
      </c>
      <c r="M93" s="54">
        <f>IFERROR((WHOLE_STRUCTURE[[#This Row],[D, bottom '[m']]]+WHOLE_STRUCTURE[[#This Row],[D, top '[m']]])/(2*WHOLE_STRUCTURE[[#This Row],[t '[mm']]]/1000),"")</f>
        <v>163.94736842105263</v>
      </c>
      <c r="S93" s="51"/>
      <c r="T93" s="51"/>
      <c r="U93" s="51"/>
      <c r="V93" s="51"/>
      <c r="W93" s="51"/>
      <c r="X93" s="51"/>
    </row>
    <row r="94" spans="2:24" x14ac:dyDescent="0.3">
      <c r="B94" s="51">
        <v>80</v>
      </c>
      <c r="C94" s="51" t="s">
        <v>71</v>
      </c>
      <c r="D94" s="51">
        <v>80</v>
      </c>
      <c r="E94" s="51">
        <v>32.632000000000005</v>
      </c>
      <c r="F94" s="51">
        <v>31.900000000000002</v>
      </c>
      <c r="G94" s="51">
        <v>7.476</v>
      </c>
      <c r="H94" s="51">
        <v>7.4770000000000003</v>
      </c>
      <c r="I94" s="51">
        <v>45.6</v>
      </c>
      <c r="J94" s="54">
        <f t="shared" si="3"/>
        <v>6.1169773172667474</v>
      </c>
      <c r="K94" s="53">
        <f>IFERROR(IF(OR(ISBLANK(WHOLE_STRUCTURE[[#This Row],[Top '[m']]]), ISBLANK(WHOLE_STRUCTURE[[#This Row],[Bottom '[m']]])), "", WHOLE_STRUCTURE[[#This Row],[Top '[m']]] - WHOLE_STRUCTURE[[#This Row],[Bottom '[m']]]),"")</f>
        <v>0.73200000000000287</v>
      </c>
      <c r="L94" s="54">
        <f>IFERROR(-(WHOLE_STRUCTURE[[#This Row],[D, bottom '[m']]]-WHOLE_STRUCTURE[[#This Row],[D, top '[m']]])/(WHOLE_STRUCTURE[[#This Row],[Bottom '[m']]]-WHOLE_STRUCTURE[[#This Row],[Top '[m']]]),"")</f>
        <v>1.3661202185796858E-3</v>
      </c>
      <c r="M94" s="54">
        <f>IFERROR((WHOLE_STRUCTURE[[#This Row],[D, bottom '[m']]]+WHOLE_STRUCTURE[[#This Row],[D, top '[m']]])/(2*WHOLE_STRUCTURE[[#This Row],[t '[mm']]]/1000),"")</f>
        <v>163.95833333333331</v>
      </c>
      <c r="S94" s="51"/>
      <c r="T94" s="51"/>
      <c r="U94" s="51"/>
      <c r="V94" s="51"/>
      <c r="W94" s="51"/>
      <c r="X94" s="51"/>
    </row>
    <row r="95" spans="2:24" x14ac:dyDescent="0.3">
      <c r="B95" s="51">
        <v>81</v>
      </c>
      <c r="C95" s="51" t="s">
        <v>71</v>
      </c>
      <c r="D95" s="51">
        <v>81</v>
      </c>
      <c r="E95" s="51">
        <v>31.900000000000002</v>
      </c>
      <c r="F95" s="51">
        <v>30.3</v>
      </c>
      <c r="G95" s="51">
        <v>7.4770000000000003</v>
      </c>
      <c r="H95" s="51">
        <v>7.4770000000000003</v>
      </c>
      <c r="I95" s="51">
        <v>47.1</v>
      </c>
      <c r="J95" s="54">
        <f t="shared" si="3"/>
        <v>13.808400911123877</v>
      </c>
      <c r="K95" s="53">
        <f>IFERROR(IF(OR(ISBLANK(WHOLE_STRUCTURE[[#This Row],[Top '[m']]]), ISBLANK(WHOLE_STRUCTURE[[#This Row],[Bottom '[m']]])), "", WHOLE_STRUCTURE[[#This Row],[Top '[m']]] - WHOLE_STRUCTURE[[#This Row],[Bottom '[m']]]),"")</f>
        <v>1.6000000000000014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158.74734607218684</v>
      </c>
      <c r="S95" s="51"/>
      <c r="T95" s="51"/>
      <c r="U95" s="51"/>
      <c r="V95" s="51"/>
      <c r="W95" s="51"/>
      <c r="X95" s="51"/>
    </row>
    <row r="96" spans="2:24" x14ac:dyDescent="0.3">
      <c r="B96" s="51">
        <v>82</v>
      </c>
      <c r="C96" s="51" t="s">
        <v>71</v>
      </c>
      <c r="D96" s="51">
        <v>82</v>
      </c>
      <c r="E96" s="51">
        <v>30.3</v>
      </c>
      <c r="F96" s="51">
        <v>28.97</v>
      </c>
      <c r="G96" s="51">
        <v>7.4770000000000003</v>
      </c>
      <c r="H96" s="51">
        <v>7.4790000000000001</v>
      </c>
      <c r="I96" s="51">
        <v>47.1</v>
      </c>
      <c r="J96" s="54">
        <f t="shared" si="3"/>
        <v>11.47977812786228</v>
      </c>
      <c r="K96" s="53">
        <f>IFERROR(IF(OR(ISBLANK(WHOLE_STRUCTURE[[#This Row],[Top '[m']]]), ISBLANK(WHOLE_STRUCTURE[[#This Row],[Bottom '[m']]])), "", WHOLE_STRUCTURE[[#This Row],[Top '[m']]] - WHOLE_STRUCTURE[[#This Row],[Bottom '[m']]]),"")</f>
        <v>1.3300000000000018</v>
      </c>
      <c r="L96" s="54">
        <f>IFERROR(-(WHOLE_STRUCTURE[[#This Row],[D, bottom '[m']]]-WHOLE_STRUCTURE[[#This Row],[D, top '[m']]])/(WHOLE_STRUCTURE[[#This Row],[Bottom '[m']]]-WHOLE_STRUCTURE[[#This Row],[Top '[m']]]),"")</f>
        <v>1.5037593984960729E-3</v>
      </c>
      <c r="M96" s="54">
        <f>IFERROR((WHOLE_STRUCTURE[[#This Row],[D, bottom '[m']]]+WHOLE_STRUCTURE[[#This Row],[D, top '[m']]])/(2*WHOLE_STRUCTURE[[#This Row],[t '[mm']]]/1000),"")</f>
        <v>158.76857749469212</v>
      </c>
      <c r="S96" s="51"/>
      <c r="T96" s="51"/>
      <c r="U96" s="51"/>
      <c r="V96" s="51"/>
      <c r="W96" s="51"/>
      <c r="X96" s="51"/>
    </row>
    <row r="97" spans="2:24" x14ac:dyDescent="0.3">
      <c r="B97" s="51">
        <v>83</v>
      </c>
      <c r="C97" s="51" t="s">
        <v>71</v>
      </c>
      <c r="D97" s="51">
        <v>83</v>
      </c>
      <c r="E97" s="51">
        <v>28.97</v>
      </c>
      <c r="F97" s="51">
        <v>28.521000000000001</v>
      </c>
      <c r="G97" s="51">
        <v>7.4790000000000001</v>
      </c>
      <c r="H97" s="51">
        <v>7.4790000000000001</v>
      </c>
      <c r="I97" s="51">
        <v>49</v>
      </c>
      <c r="J97" s="54">
        <f t="shared" si="3"/>
        <v>4.0313524059352366</v>
      </c>
      <c r="K97" s="53">
        <f>IFERROR(IF(OR(ISBLANK(WHOLE_STRUCTURE[[#This Row],[Top '[m']]]), ISBLANK(WHOLE_STRUCTURE[[#This Row],[Bottom '[m']]])), "", WHOLE_STRUCTURE[[#This Row],[Top '[m']]] - WHOLE_STRUCTURE[[#This Row],[Bottom '[m']]]),"")</f>
        <v>0.44899999999999807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152.63265306122449</v>
      </c>
      <c r="S97" s="51"/>
      <c r="T97" s="51"/>
      <c r="U97" s="51"/>
      <c r="V97" s="51"/>
      <c r="W97" s="51"/>
      <c r="X97" s="51"/>
    </row>
    <row r="98" spans="2:24" x14ac:dyDescent="0.3">
      <c r="B98" s="51">
        <v>84</v>
      </c>
      <c r="C98" s="51" t="s">
        <v>71</v>
      </c>
      <c r="D98" s="51">
        <v>84</v>
      </c>
      <c r="E98" s="51">
        <v>28.521000000000001</v>
      </c>
      <c r="F98" s="51">
        <v>26.04</v>
      </c>
      <c r="G98" s="51">
        <v>7.4790000000000001</v>
      </c>
      <c r="H98" s="51">
        <v>7.5</v>
      </c>
      <c r="I98" s="51">
        <v>49</v>
      </c>
      <c r="J98" s="54">
        <f t="shared" si="3"/>
        <v>22.307170912766217</v>
      </c>
      <c r="K98" s="53">
        <f>IFERROR(IF(OR(ISBLANK(WHOLE_STRUCTURE[[#This Row],[Top '[m']]]), ISBLANK(WHOLE_STRUCTURE[[#This Row],[Bottom '[m']]])), "", WHOLE_STRUCTURE[[#This Row],[Top '[m']]] - WHOLE_STRUCTURE[[#This Row],[Bottom '[m']]]),"")</f>
        <v>2.4810000000000016</v>
      </c>
      <c r="L98" s="54">
        <f>IFERROR(-(WHOLE_STRUCTURE[[#This Row],[D, bottom '[m']]]-WHOLE_STRUCTURE[[#This Row],[D, top '[m']]])/(WHOLE_STRUCTURE[[#This Row],[Bottom '[m']]]-WHOLE_STRUCTURE[[#This Row],[Top '[m']]]),"")</f>
        <v>8.4643288996371999E-3</v>
      </c>
      <c r="M98" s="54">
        <f>IFERROR((WHOLE_STRUCTURE[[#This Row],[D, bottom '[m']]]+WHOLE_STRUCTURE[[#This Row],[D, top '[m']]])/(2*WHOLE_STRUCTURE[[#This Row],[t '[mm']]]/1000),"")</f>
        <v>152.84693877551018</v>
      </c>
      <c r="S98" s="51"/>
      <c r="T98" s="51"/>
      <c r="U98" s="51"/>
      <c r="V98" s="51"/>
      <c r="W98" s="51"/>
      <c r="X98" s="51"/>
    </row>
    <row r="99" spans="2:24" x14ac:dyDescent="0.3">
      <c r="B99" s="51">
        <v>85</v>
      </c>
      <c r="C99" s="51" t="s">
        <v>71</v>
      </c>
      <c r="D99" s="51">
        <v>85</v>
      </c>
      <c r="E99" s="51">
        <v>26.04</v>
      </c>
      <c r="F99" s="51">
        <v>24.450000000000003</v>
      </c>
      <c r="G99" s="51">
        <v>7.5</v>
      </c>
      <c r="H99" s="51">
        <v>7.5</v>
      </c>
      <c r="I99" s="51">
        <v>70</v>
      </c>
      <c r="J99" s="54">
        <f t="shared" si="3"/>
        <v>20.394051305876623</v>
      </c>
      <c r="K99" s="53">
        <f>IFERROR(IF(OR(ISBLANK(WHOLE_STRUCTURE[[#This Row],[Top '[m']]]), ISBLANK(WHOLE_STRUCTURE[[#This Row],[Bottom '[m']]])), "", WHOLE_STRUCTURE[[#This Row],[Top '[m']]] - WHOLE_STRUCTURE[[#This Row],[Bottom '[m']]]),"")</f>
        <v>1.5899999999999963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107.14285714285714</v>
      </c>
      <c r="S99" s="51"/>
      <c r="T99" s="51"/>
      <c r="U99" s="51"/>
      <c r="V99" s="51"/>
      <c r="W99" s="51"/>
      <c r="X99" s="51"/>
    </row>
    <row r="100" spans="2:24" x14ac:dyDescent="0.3">
      <c r="B100" s="51">
        <v>86</v>
      </c>
      <c r="C100" s="51" t="s">
        <v>71</v>
      </c>
      <c r="D100" s="51">
        <v>86</v>
      </c>
      <c r="E100" s="51">
        <v>24.450000000000003</v>
      </c>
      <c r="F100" s="51">
        <v>24.411000000000001</v>
      </c>
      <c r="G100" s="51">
        <v>7.5</v>
      </c>
      <c r="H100" s="51">
        <v>7.5</v>
      </c>
      <c r="I100" s="51">
        <v>70</v>
      </c>
      <c r="J100" s="54">
        <f t="shared" si="3"/>
        <v>0.50023144712529577</v>
      </c>
      <c r="K100" s="53">
        <f>IFERROR(IF(OR(ISBLANK(WHOLE_STRUCTURE[[#This Row],[Top '[m']]]), ISBLANK(WHOLE_STRUCTURE[[#This Row],[Bottom '[m']]])), "", WHOLE_STRUCTURE[[#This Row],[Top '[m']]] - WHOLE_STRUCTURE[[#This Row],[Bottom '[m']]]),"")</f>
        <v>3.9000000000001478E-2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107.14285714285714</v>
      </c>
      <c r="S100" s="51"/>
      <c r="T100" s="51"/>
      <c r="U100" s="51"/>
      <c r="V100" s="51"/>
      <c r="W100" s="51"/>
      <c r="X100" s="51"/>
    </row>
    <row r="101" spans="2:24" x14ac:dyDescent="0.3">
      <c r="B101" s="51">
        <v>87</v>
      </c>
      <c r="C101" s="51" t="s">
        <v>71</v>
      </c>
      <c r="D101" s="51">
        <v>87</v>
      </c>
      <c r="E101" s="51">
        <v>24.411000000000001</v>
      </c>
      <c r="F101" s="51">
        <v>21.52</v>
      </c>
      <c r="G101" s="51">
        <v>7.5</v>
      </c>
      <c r="H101" s="51">
        <v>7.5</v>
      </c>
      <c r="I101" s="51">
        <v>70</v>
      </c>
      <c r="J101" s="54">
        <f t="shared" si="3"/>
        <v>37.081259324081437</v>
      </c>
      <c r="K101" s="53">
        <f>IFERROR(IF(OR(ISBLANK(WHOLE_STRUCTURE[[#This Row],[Top '[m']]]), ISBLANK(WHOLE_STRUCTURE[[#This Row],[Bottom '[m']]])), "", WHOLE_STRUCTURE[[#This Row],[Top '[m']]] - WHOLE_STRUCTURE[[#This Row],[Bottom '[m']]]),"")</f>
        <v>2.8910000000000018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107.14285714285714</v>
      </c>
      <c r="S101" s="51"/>
      <c r="T101" s="51"/>
      <c r="U101" s="51"/>
      <c r="V101" s="51"/>
      <c r="W101" s="51"/>
      <c r="X101" s="51"/>
    </row>
    <row r="102" spans="2:24" x14ac:dyDescent="0.3">
      <c r="B102" s="51">
        <v>88</v>
      </c>
      <c r="C102" s="51" t="s">
        <v>71</v>
      </c>
      <c r="D102" s="51">
        <v>88</v>
      </c>
      <c r="E102" s="51">
        <v>21.52</v>
      </c>
      <c r="F102" s="51">
        <v>20.54</v>
      </c>
      <c r="G102" s="51">
        <v>7.5</v>
      </c>
      <c r="H102" s="51">
        <v>7.5</v>
      </c>
      <c r="I102" s="51">
        <v>70</v>
      </c>
      <c r="J102" s="54">
        <f t="shared" si="3"/>
        <v>12.569918414942858</v>
      </c>
      <c r="K102" s="53">
        <f>IFERROR(IF(OR(ISBLANK(WHOLE_STRUCTURE[[#This Row],[Top '[m']]]), ISBLANK(WHOLE_STRUCTURE[[#This Row],[Bottom '[m']]])), "", WHOLE_STRUCTURE[[#This Row],[Top '[m']]] - WHOLE_STRUCTURE[[#This Row],[Bottom '[m']]]),"")</f>
        <v>0.98000000000000043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107.14285714285714</v>
      </c>
      <c r="S102" s="51"/>
      <c r="T102" s="51"/>
      <c r="U102" s="51"/>
      <c r="V102" s="51"/>
      <c r="W102" s="51"/>
      <c r="X102" s="51"/>
    </row>
    <row r="103" spans="2:24" x14ac:dyDescent="0.3">
      <c r="B103" s="51">
        <v>89</v>
      </c>
      <c r="C103" s="51" t="s">
        <v>71</v>
      </c>
      <c r="D103" s="51">
        <v>89</v>
      </c>
      <c r="E103" s="51">
        <v>20.54</v>
      </c>
      <c r="F103" s="51">
        <v>20.48</v>
      </c>
      <c r="G103" s="51">
        <v>7.5</v>
      </c>
      <c r="H103" s="51">
        <v>7.5</v>
      </c>
      <c r="I103" s="51">
        <v>70</v>
      </c>
      <c r="J103" s="54">
        <f t="shared" si="3"/>
        <v>0.76958684173117875</v>
      </c>
      <c r="K103" s="53">
        <f>IFERROR(IF(OR(ISBLANK(WHOLE_STRUCTURE[[#This Row],[Top '[m']]]), ISBLANK(WHOLE_STRUCTURE[[#This Row],[Bottom '[m']]])), "", WHOLE_STRUCTURE[[#This Row],[Top '[m']]] - WHOLE_STRUCTURE[[#This Row],[Bottom '[m']]]),"")</f>
        <v>5.9999999999998721E-2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107.14285714285714</v>
      </c>
      <c r="S103" s="51"/>
      <c r="T103" s="51"/>
      <c r="U103" s="51"/>
      <c r="V103" s="51"/>
      <c r="W103" s="51"/>
      <c r="X103" s="51"/>
    </row>
    <row r="104" spans="2:24" x14ac:dyDescent="0.3">
      <c r="B104" s="51">
        <v>90</v>
      </c>
      <c r="C104" s="51" t="s">
        <v>71</v>
      </c>
      <c r="D104" s="51">
        <v>90</v>
      </c>
      <c r="E104" s="51">
        <v>20.48</v>
      </c>
      <c r="F104" s="51">
        <v>20.3</v>
      </c>
      <c r="G104" s="51">
        <v>7.5</v>
      </c>
      <c r="H104" s="51">
        <v>7.5</v>
      </c>
      <c r="I104" s="51">
        <v>70</v>
      </c>
      <c r="J104" s="54">
        <f t="shared" si="3"/>
        <v>2.3087605251935819</v>
      </c>
      <c r="K104" s="53">
        <f>IFERROR(IF(OR(ISBLANK(WHOLE_STRUCTURE[[#This Row],[Top '[m']]]), ISBLANK(WHOLE_STRUCTURE[[#This Row],[Bottom '[m']]])), "", WHOLE_STRUCTURE[[#This Row],[Top '[m']]] - WHOLE_STRUCTURE[[#This Row],[Bottom '[m']]]),"")</f>
        <v>0.17999999999999972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107.14285714285714</v>
      </c>
      <c r="S104" s="51"/>
      <c r="T104" s="51"/>
      <c r="U104" s="51"/>
      <c r="V104" s="51"/>
      <c r="W104" s="51"/>
      <c r="X104" s="51"/>
    </row>
    <row r="105" spans="2:24" x14ac:dyDescent="0.3">
      <c r="B105" s="51">
        <v>91</v>
      </c>
      <c r="C105" s="51" t="s">
        <v>83</v>
      </c>
      <c r="D105" s="51">
        <v>1</v>
      </c>
      <c r="E105" s="51">
        <v>20.3</v>
      </c>
      <c r="F105" s="51">
        <v>16.3</v>
      </c>
      <c r="G105" s="51">
        <v>8</v>
      </c>
      <c r="H105" s="51">
        <v>8</v>
      </c>
      <c r="I105" s="51">
        <v>100</v>
      </c>
      <c r="J105" s="54">
        <f t="shared" si="3"/>
        <v>77.930347364948375</v>
      </c>
      <c r="K10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80</v>
      </c>
      <c r="S105" s="51"/>
      <c r="T105" s="51"/>
      <c r="U105" s="51"/>
      <c r="V105" s="51"/>
      <c r="W105" s="51"/>
      <c r="X105" s="51"/>
    </row>
    <row r="106" spans="2:24" x14ac:dyDescent="0.3">
      <c r="B106" s="51">
        <v>92</v>
      </c>
      <c r="C106" s="51" t="s">
        <v>83</v>
      </c>
      <c r="D106" s="51">
        <v>2</v>
      </c>
      <c r="E106" s="51">
        <v>16.3</v>
      </c>
      <c r="F106" s="51">
        <v>12.9</v>
      </c>
      <c r="G106" s="51">
        <v>8</v>
      </c>
      <c r="H106" s="51">
        <v>8</v>
      </c>
      <c r="I106" s="51">
        <v>105</v>
      </c>
      <c r="J106" s="54">
        <f t="shared" si="3"/>
        <v>69.508814241556166</v>
      </c>
      <c r="K106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76.19047619047619</v>
      </c>
      <c r="S106" s="51"/>
      <c r="T106" s="51"/>
      <c r="U106" s="51"/>
      <c r="V106" s="51"/>
      <c r="W106" s="51"/>
      <c r="X106" s="51"/>
    </row>
    <row r="107" spans="2:24" x14ac:dyDescent="0.3">
      <c r="B107" s="51">
        <v>93</v>
      </c>
      <c r="C107" s="51" t="s">
        <v>83</v>
      </c>
      <c r="D107" s="51">
        <v>3</v>
      </c>
      <c r="E107" s="51">
        <v>12.9</v>
      </c>
      <c r="F107" s="51">
        <v>9.5</v>
      </c>
      <c r="G107" s="51">
        <v>8</v>
      </c>
      <c r="H107" s="51">
        <v>8</v>
      </c>
      <c r="I107" s="51">
        <v>110</v>
      </c>
      <c r="J107" s="54">
        <f t="shared" si="3"/>
        <v>72.772640767509913</v>
      </c>
      <c r="K107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72.727272727272734</v>
      </c>
      <c r="S107" s="51"/>
      <c r="T107" s="51"/>
      <c r="U107" s="51"/>
      <c r="V107" s="51"/>
      <c r="W107" s="51"/>
      <c r="X107" s="51"/>
    </row>
    <row r="108" spans="2:24" x14ac:dyDescent="0.3">
      <c r="B108" s="51">
        <v>94</v>
      </c>
      <c r="C108" s="51" t="s">
        <v>83</v>
      </c>
      <c r="D108" s="51">
        <v>4</v>
      </c>
      <c r="E108" s="51">
        <v>9.5</v>
      </c>
      <c r="F108" s="51">
        <v>5.5</v>
      </c>
      <c r="G108" s="51">
        <v>8</v>
      </c>
      <c r="H108" s="51">
        <v>8</v>
      </c>
      <c r="I108" s="51">
        <v>115</v>
      </c>
      <c r="J108" s="54">
        <f t="shared" si="3"/>
        <v>89.449735103609214</v>
      </c>
      <c r="K10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69.565217391304344</v>
      </c>
      <c r="S108" s="51"/>
      <c r="T108" s="51"/>
      <c r="U108" s="51"/>
      <c r="V108" s="51"/>
      <c r="W108" s="51"/>
      <c r="X108" s="51"/>
    </row>
    <row r="109" spans="2:24" x14ac:dyDescent="0.3">
      <c r="B109" s="51">
        <v>95</v>
      </c>
      <c r="C109" s="51" t="s">
        <v>69</v>
      </c>
      <c r="D109" s="51">
        <v>1</v>
      </c>
      <c r="E109" s="51">
        <v>5.5</v>
      </c>
      <c r="F109" s="51">
        <v>1.7</v>
      </c>
      <c r="G109" s="51">
        <v>8</v>
      </c>
      <c r="H109" s="51">
        <v>8</v>
      </c>
      <c r="I109" s="51">
        <v>115</v>
      </c>
      <c r="J109" s="54">
        <f t="shared" si="3"/>
        <v>84.977248348428759</v>
      </c>
      <c r="K109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L109" s="54">
        <f>IFERROR(-(WHOLE_STRUCTURE[[#This Row],[D, bottom '[m']]]-WHOLE_STRUCTURE[[#This Row],[D, top '[m']]])/(WHOLE_STRUCTURE[[#This Row],[Bottom '[m']]]-WHOLE_STRUCTURE[[#This Row],[Top '[m']]]),"")</f>
        <v>0</v>
      </c>
      <c r="M109" s="54">
        <f>IFERROR((WHOLE_STRUCTURE[[#This Row],[D, bottom '[m']]]+WHOLE_STRUCTURE[[#This Row],[D, top '[m']]])/(2*WHOLE_STRUCTURE[[#This Row],[t '[mm']]]/1000),"")</f>
        <v>69.565217391304344</v>
      </c>
      <c r="S109" s="51"/>
      <c r="T109" s="51"/>
      <c r="U109" s="51"/>
      <c r="V109" s="51"/>
      <c r="W109" s="51"/>
      <c r="X109" s="51"/>
    </row>
    <row r="110" spans="2:24" x14ac:dyDescent="0.3">
      <c r="B110" s="51">
        <v>96</v>
      </c>
      <c r="C110" s="51" t="s">
        <v>69</v>
      </c>
      <c r="D110" s="51">
        <v>2</v>
      </c>
      <c r="E110" s="51">
        <v>1.7</v>
      </c>
      <c r="F110" s="51">
        <v>-1.8</v>
      </c>
      <c r="G110" s="51">
        <v>8</v>
      </c>
      <c r="H110" s="51">
        <v>8</v>
      </c>
      <c r="I110" s="51">
        <v>114</v>
      </c>
      <c r="J110" s="54">
        <f t="shared" si="3"/>
        <v>77.597762344516724</v>
      </c>
      <c r="K110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0" s="54">
        <f>IFERROR(-(WHOLE_STRUCTURE[[#This Row],[D, bottom '[m']]]-WHOLE_STRUCTURE[[#This Row],[D, top '[m']]])/(WHOLE_STRUCTURE[[#This Row],[Bottom '[m']]]-WHOLE_STRUCTURE[[#This Row],[Top '[m']]]),"")</f>
        <v>0</v>
      </c>
      <c r="M110" s="54">
        <f>IFERROR((WHOLE_STRUCTURE[[#This Row],[D, bottom '[m']]]+WHOLE_STRUCTURE[[#This Row],[D, top '[m']]])/(2*WHOLE_STRUCTURE[[#This Row],[t '[mm']]]/1000),"")</f>
        <v>70.175438596491219</v>
      </c>
      <c r="S110" s="51"/>
      <c r="T110" s="51"/>
      <c r="U110" s="51"/>
      <c r="V110" s="51"/>
      <c r="W110" s="51"/>
      <c r="X110" s="51"/>
    </row>
    <row r="111" spans="2:24" x14ac:dyDescent="0.3">
      <c r="B111" s="51">
        <v>97</v>
      </c>
      <c r="C111" s="51" t="s">
        <v>69</v>
      </c>
      <c r="D111" s="51">
        <v>3</v>
      </c>
      <c r="E111" s="51">
        <v>-1.8</v>
      </c>
      <c r="F111" s="51">
        <v>-5.3</v>
      </c>
      <c r="G111" s="51">
        <v>8</v>
      </c>
      <c r="H111" s="51">
        <v>8</v>
      </c>
      <c r="I111" s="51">
        <v>116</v>
      </c>
      <c r="J111" s="54">
        <f t="shared" ref="J111:J142" si="4">IF(7850/1000*(1/3)*PI()*ABS(E111-F111)*((G111/2)^2+(G111/2)*(H111/2)+(H111/2)^2-(G111/2-I111/1000)^2-(G111/2-I111/1000)*(H111/2-I111/1000)-(H111/2-I111/1000)^2)=0,"",7850/1000*(1/3)*PI()*ABS(E111-F111)*((G111/2)^2+(G111/2)*(H111/2)+(H111/2)^2-(G111/2-I111/1000)^2-(G111/2-I111/1000)*(H111/2-I111/1000)-(H111/2-I111/1000)^2))</f>
        <v>78.939101456282515</v>
      </c>
      <c r="K111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1" s="54">
        <f>IFERROR(-(WHOLE_STRUCTURE[[#This Row],[D, bottom '[m']]]-WHOLE_STRUCTURE[[#This Row],[D, top '[m']]])/(WHOLE_STRUCTURE[[#This Row],[Bottom '[m']]]-WHOLE_STRUCTURE[[#This Row],[Top '[m']]]),"")</f>
        <v>0</v>
      </c>
      <c r="M111" s="54">
        <f>IFERROR((WHOLE_STRUCTURE[[#This Row],[D, bottom '[m']]]+WHOLE_STRUCTURE[[#This Row],[D, top '[m']]])/(2*WHOLE_STRUCTURE[[#This Row],[t '[mm']]]/1000),"")</f>
        <v>68.965517241379303</v>
      </c>
      <c r="S111" s="51"/>
      <c r="T111" s="51"/>
      <c r="U111" s="51"/>
      <c r="V111" s="51"/>
      <c r="W111" s="51"/>
      <c r="X111" s="51"/>
    </row>
    <row r="112" spans="2:24" x14ac:dyDescent="0.3">
      <c r="B112" s="51">
        <v>98</v>
      </c>
      <c r="C112" s="51" t="s">
        <v>69</v>
      </c>
      <c r="D112" s="51">
        <v>4</v>
      </c>
      <c r="E112" s="51">
        <v>-5.3</v>
      </c>
      <c r="F112" s="51">
        <v>-8.8000000000000007</v>
      </c>
      <c r="G112" s="51">
        <v>8</v>
      </c>
      <c r="H112" s="51">
        <v>8.36</v>
      </c>
      <c r="I112" s="51">
        <v>118</v>
      </c>
      <c r="J112" s="54">
        <f t="shared" si="4"/>
        <v>82.113086129245573</v>
      </c>
      <c r="K112" s="53">
        <f>IFERROR(IF(OR(ISBLANK(WHOLE_STRUCTURE[[#This Row],[Top '[m']]]), ISBLANK(WHOLE_STRUCTURE[[#This Row],[Bottom '[m']]])), "", WHOLE_STRUCTURE[[#This Row],[Top '[m']]] - WHOLE_STRUCTURE[[#This Row],[Bottom '[m']]]),"")</f>
        <v>3.5000000000000009</v>
      </c>
      <c r="L112" s="54">
        <f>IFERROR(-(WHOLE_STRUCTURE[[#This Row],[D, bottom '[m']]]-WHOLE_STRUCTURE[[#This Row],[D, top '[m']]])/(WHOLE_STRUCTURE[[#This Row],[Bottom '[m']]]-WHOLE_STRUCTURE[[#This Row],[Top '[m']]]),"")</f>
        <v>0.10285714285714267</v>
      </c>
      <c r="M112" s="54">
        <f>IFERROR((WHOLE_STRUCTURE[[#This Row],[D, bottom '[m']]]+WHOLE_STRUCTURE[[#This Row],[D, top '[m']]])/(2*WHOLE_STRUCTURE[[#This Row],[t '[mm']]]/1000),"")</f>
        <v>69.322033898305079</v>
      </c>
      <c r="S112" s="51"/>
      <c r="T112" s="51"/>
      <c r="U112" s="51"/>
      <c r="V112" s="51"/>
      <c r="W112" s="51"/>
      <c r="X112" s="51"/>
    </row>
    <row r="113" spans="2:24" x14ac:dyDescent="0.3">
      <c r="B113" s="51">
        <v>99</v>
      </c>
      <c r="C113" s="51" t="s">
        <v>69</v>
      </c>
      <c r="D113" s="51">
        <v>5</v>
      </c>
      <c r="E113" s="51">
        <v>-8.8000000000000007</v>
      </c>
      <c r="F113" s="51">
        <v>-12.3</v>
      </c>
      <c r="G113" s="51">
        <v>8.36</v>
      </c>
      <c r="H113" s="51">
        <v>8.7200000000000006</v>
      </c>
      <c r="I113" s="51">
        <v>108</v>
      </c>
      <c r="J113" s="54">
        <f t="shared" si="4"/>
        <v>78.603507732566385</v>
      </c>
      <c r="K113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3" s="54">
        <f>IFERROR(-(WHOLE_STRUCTURE[[#This Row],[D, bottom '[m']]]-WHOLE_STRUCTURE[[#This Row],[D, top '[m']]])/(WHOLE_STRUCTURE[[#This Row],[Bottom '[m']]]-WHOLE_STRUCTURE[[#This Row],[Top '[m']]]),"")</f>
        <v>0.1028571428571432</v>
      </c>
      <c r="M113" s="54">
        <f>IFERROR((WHOLE_STRUCTURE[[#This Row],[D, bottom '[m']]]+WHOLE_STRUCTURE[[#This Row],[D, top '[m']]])/(2*WHOLE_STRUCTURE[[#This Row],[t '[mm']]]/1000),"")</f>
        <v>79.074074074074062</v>
      </c>
      <c r="S113" s="51"/>
      <c r="T113" s="51"/>
      <c r="U113" s="51"/>
      <c r="V113" s="51"/>
      <c r="W113" s="51"/>
      <c r="X113" s="51"/>
    </row>
    <row r="114" spans="2:24" x14ac:dyDescent="0.3">
      <c r="B114" s="51">
        <v>100</v>
      </c>
      <c r="C114" s="51" t="s">
        <v>69</v>
      </c>
      <c r="D114" s="51">
        <v>6</v>
      </c>
      <c r="E114" s="51">
        <v>-12.3</v>
      </c>
      <c r="F114" s="51">
        <v>-15.8</v>
      </c>
      <c r="G114" s="51">
        <v>8.7200000000000006</v>
      </c>
      <c r="H114" s="51">
        <v>9.08</v>
      </c>
      <c r="I114" s="51">
        <v>100</v>
      </c>
      <c r="J114" s="54">
        <f t="shared" si="4"/>
        <v>75.957427178493617</v>
      </c>
      <c r="K114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4" s="54">
        <f>IFERROR(-(WHOLE_STRUCTURE[[#This Row],[D, bottom '[m']]]-WHOLE_STRUCTURE[[#This Row],[D, top '[m']]])/(WHOLE_STRUCTURE[[#This Row],[Bottom '[m']]]-WHOLE_STRUCTURE[[#This Row],[Top '[m']]]),"")</f>
        <v>0.10285714285714269</v>
      </c>
      <c r="M114" s="54">
        <f>IFERROR((WHOLE_STRUCTURE[[#This Row],[D, bottom '[m']]]+WHOLE_STRUCTURE[[#This Row],[D, top '[m']]])/(2*WHOLE_STRUCTURE[[#This Row],[t '[mm']]]/1000),"")</f>
        <v>89</v>
      </c>
      <c r="S114" s="51"/>
      <c r="T114" s="51"/>
      <c r="U114" s="51"/>
      <c r="V114" s="51"/>
      <c r="W114" s="51"/>
      <c r="X114" s="51"/>
    </row>
    <row r="115" spans="2:24" x14ac:dyDescent="0.3">
      <c r="B115" s="51">
        <v>101</v>
      </c>
      <c r="C115" s="51" t="s">
        <v>69</v>
      </c>
      <c r="D115" s="51">
        <v>7</v>
      </c>
      <c r="E115" s="51">
        <v>-15.8</v>
      </c>
      <c r="F115" s="51">
        <v>-19.3</v>
      </c>
      <c r="G115" s="51">
        <v>9.08</v>
      </c>
      <c r="H115" s="51">
        <v>9.44</v>
      </c>
      <c r="I115" s="51">
        <v>94</v>
      </c>
      <c r="J115" s="54">
        <f t="shared" si="4"/>
        <v>74.36957168943114</v>
      </c>
      <c r="K115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5" s="54">
        <f>IFERROR(-(WHOLE_STRUCTURE[[#This Row],[D, bottom '[m']]]-WHOLE_STRUCTURE[[#This Row],[D, top '[m']]])/(WHOLE_STRUCTURE[[#This Row],[Bottom '[m']]]-WHOLE_STRUCTURE[[#This Row],[Top '[m']]]),"")</f>
        <v>0.10285714285714269</v>
      </c>
      <c r="M115" s="54">
        <f>IFERROR((WHOLE_STRUCTURE[[#This Row],[D, bottom '[m']]]+WHOLE_STRUCTURE[[#This Row],[D, top '[m']]])/(2*WHOLE_STRUCTURE[[#This Row],[t '[mm']]]/1000),"")</f>
        <v>98.510638297872333</v>
      </c>
      <c r="S115" s="51"/>
      <c r="T115" s="51"/>
      <c r="U115" s="51"/>
      <c r="V115" s="51"/>
      <c r="W115" s="51"/>
      <c r="X115" s="51"/>
    </row>
    <row r="116" spans="2:24" x14ac:dyDescent="0.3">
      <c r="B116" s="51">
        <v>102</v>
      </c>
      <c r="C116" s="51" t="s">
        <v>69</v>
      </c>
      <c r="D116" s="51">
        <v>8</v>
      </c>
      <c r="E116" s="51">
        <v>-19.3</v>
      </c>
      <c r="F116" s="51">
        <v>-22.8</v>
      </c>
      <c r="G116" s="51">
        <v>9.44</v>
      </c>
      <c r="H116" s="51">
        <v>9.8000000000000007</v>
      </c>
      <c r="I116" s="51">
        <v>93</v>
      </c>
      <c r="J116" s="54">
        <f t="shared" si="4"/>
        <v>76.476268195278408</v>
      </c>
      <c r="K116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L116" s="54">
        <f>IFERROR(-(WHOLE_STRUCTURE[[#This Row],[D, bottom '[m']]]-WHOLE_STRUCTURE[[#This Row],[D, top '[m']]])/(WHOLE_STRUCTURE[[#This Row],[Bottom '[m']]]-WHOLE_STRUCTURE[[#This Row],[Top '[m']]]),"")</f>
        <v>0.1028571428571432</v>
      </c>
      <c r="M116" s="54">
        <f>IFERROR((WHOLE_STRUCTURE[[#This Row],[D, bottom '[m']]]+WHOLE_STRUCTURE[[#This Row],[D, top '[m']]])/(2*WHOLE_STRUCTURE[[#This Row],[t '[mm']]]/1000),"")</f>
        <v>103.44086021505377</v>
      </c>
      <c r="S116" s="51"/>
      <c r="T116" s="51"/>
      <c r="U116" s="51"/>
      <c r="V116" s="51"/>
      <c r="W116" s="51"/>
      <c r="X116" s="51"/>
    </row>
    <row r="117" spans="2:24" x14ac:dyDescent="0.3">
      <c r="B117" s="51">
        <v>103</v>
      </c>
      <c r="C117" s="51" t="s">
        <v>69</v>
      </c>
      <c r="D117" s="51">
        <v>9</v>
      </c>
      <c r="E117" s="51">
        <v>-22.8</v>
      </c>
      <c r="F117" s="51">
        <v>-26.7</v>
      </c>
      <c r="G117" s="51">
        <v>9.8000000000000007</v>
      </c>
      <c r="H117" s="51">
        <v>9.8000000000000007</v>
      </c>
      <c r="I117" s="51">
        <v>93</v>
      </c>
      <c r="J117" s="54">
        <f t="shared" si="4"/>
        <v>86.826463973042152</v>
      </c>
      <c r="K117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L117" s="54">
        <f>IFERROR(-(WHOLE_STRUCTURE[[#This Row],[D, bottom '[m']]]-WHOLE_STRUCTURE[[#This Row],[D, top '[m']]])/(WHOLE_STRUCTURE[[#This Row],[Bottom '[m']]]-WHOLE_STRUCTURE[[#This Row],[Top '[m']]]),"")</f>
        <v>0</v>
      </c>
      <c r="M117" s="54">
        <f>IFERROR((WHOLE_STRUCTURE[[#This Row],[D, bottom '[m']]]+WHOLE_STRUCTURE[[#This Row],[D, top '[m']]])/(2*WHOLE_STRUCTURE[[#This Row],[t '[mm']]]/1000),"")</f>
        <v>105.37634408602152</v>
      </c>
      <c r="S117" s="51"/>
      <c r="T117" s="51"/>
      <c r="U117" s="51"/>
      <c r="V117" s="51"/>
      <c r="W117" s="51"/>
      <c r="X117" s="51"/>
    </row>
    <row r="118" spans="2:24" x14ac:dyDescent="0.3">
      <c r="B118" s="51">
        <v>104</v>
      </c>
      <c r="C118" s="51" t="s">
        <v>69</v>
      </c>
      <c r="D118" s="51">
        <v>10</v>
      </c>
      <c r="E118" s="51">
        <v>-26.7</v>
      </c>
      <c r="F118" s="51">
        <v>-30.6</v>
      </c>
      <c r="G118" s="51">
        <v>9.8000000000000007</v>
      </c>
      <c r="H118" s="51">
        <v>9.8000000000000007</v>
      </c>
      <c r="I118" s="51">
        <v>102</v>
      </c>
      <c r="J118" s="54">
        <f t="shared" si="4"/>
        <v>95.140731892047384</v>
      </c>
      <c r="K118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L118" s="54">
        <f>IFERROR(-(WHOLE_STRUCTURE[[#This Row],[D, bottom '[m']]]-WHOLE_STRUCTURE[[#This Row],[D, top '[m']]])/(WHOLE_STRUCTURE[[#This Row],[Bottom '[m']]]-WHOLE_STRUCTURE[[#This Row],[Top '[m']]]),"")</f>
        <v>0</v>
      </c>
      <c r="M118" s="54">
        <f>IFERROR((WHOLE_STRUCTURE[[#This Row],[D, bottom '[m']]]+WHOLE_STRUCTURE[[#This Row],[D, top '[m']]])/(2*WHOLE_STRUCTURE[[#This Row],[t '[mm']]]/1000),"")</f>
        <v>96.078431372549034</v>
      </c>
      <c r="S118" s="51"/>
      <c r="T118" s="51"/>
      <c r="U118" s="51"/>
      <c r="V118" s="51"/>
      <c r="W118" s="51"/>
      <c r="X118" s="51"/>
    </row>
    <row r="119" spans="2:24" x14ac:dyDescent="0.3">
      <c r="B119" s="51">
        <v>105</v>
      </c>
      <c r="C119" s="51" t="s">
        <v>69</v>
      </c>
      <c r="D119" s="51">
        <v>11</v>
      </c>
      <c r="E119" s="51">
        <v>-30.6</v>
      </c>
      <c r="F119" s="51">
        <v>-34.5</v>
      </c>
      <c r="G119" s="51">
        <v>9.8000000000000007</v>
      </c>
      <c r="H119" s="51">
        <v>9.8000000000000007</v>
      </c>
      <c r="I119" s="51">
        <v>112</v>
      </c>
      <c r="J119" s="54">
        <f t="shared" si="4"/>
        <v>104.36053318438101</v>
      </c>
      <c r="K119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L119" s="54">
        <f>IFERROR(-(WHOLE_STRUCTURE[[#This Row],[D, bottom '[m']]]-WHOLE_STRUCTURE[[#This Row],[D, top '[m']]])/(WHOLE_STRUCTURE[[#This Row],[Bottom '[m']]]-WHOLE_STRUCTURE[[#This Row],[Top '[m']]]),"")</f>
        <v>0</v>
      </c>
      <c r="M119" s="54">
        <f>IFERROR((WHOLE_STRUCTURE[[#This Row],[D, bottom '[m']]]+WHOLE_STRUCTURE[[#This Row],[D, top '[m']]])/(2*WHOLE_STRUCTURE[[#This Row],[t '[mm']]]/1000),"")</f>
        <v>87.5</v>
      </c>
      <c r="S119" s="51"/>
      <c r="T119" s="51"/>
      <c r="U119" s="51"/>
      <c r="V119" s="51"/>
      <c r="W119" s="51"/>
      <c r="X119" s="51"/>
    </row>
    <row r="120" spans="2:24" x14ac:dyDescent="0.3">
      <c r="B120" s="51">
        <v>106</v>
      </c>
      <c r="C120" s="51" t="s">
        <v>69</v>
      </c>
      <c r="D120" s="51">
        <v>12</v>
      </c>
      <c r="E120" s="51">
        <v>-34.5</v>
      </c>
      <c r="F120" s="51">
        <v>-38.200000000000003</v>
      </c>
      <c r="G120" s="51">
        <v>9.8000000000000007</v>
      </c>
      <c r="H120" s="51">
        <v>9.8000000000000007</v>
      </c>
      <c r="I120" s="51">
        <v>116</v>
      </c>
      <c r="J120" s="54">
        <f t="shared" si="4"/>
        <v>102.50239749437456</v>
      </c>
      <c r="K120" s="53">
        <f>IFERROR(IF(OR(ISBLANK(WHOLE_STRUCTURE[[#This Row],[Top '[m']]]), ISBLANK(WHOLE_STRUCTURE[[#This Row],[Bottom '[m']]])), "", WHOLE_STRUCTURE[[#This Row],[Top '[m']]] - WHOLE_STRUCTURE[[#This Row],[Bottom '[m']]]),"")</f>
        <v>3.7000000000000028</v>
      </c>
      <c r="L120" s="54">
        <f>IFERROR(-(WHOLE_STRUCTURE[[#This Row],[D, bottom '[m']]]-WHOLE_STRUCTURE[[#This Row],[D, top '[m']]])/(WHOLE_STRUCTURE[[#This Row],[Bottom '[m']]]-WHOLE_STRUCTURE[[#This Row],[Top '[m']]]),"")</f>
        <v>0</v>
      </c>
      <c r="M120" s="54">
        <f>IFERROR((WHOLE_STRUCTURE[[#This Row],[D, bottom '[m']]]+WHOLE_STRUCTURE[[#This Row],[D, top '[m']]])/(2*WHOLE_STRUCTURE[[#This Row],[t '[mm']]]/1000),"")</f>
        <v>84.482758620689651</v>
      </c>
      <c r="S120" s="51"/>
      <c r="T120" s="51"/>
      <c r="U120" s="51"/>
      <c r="V120" s="51"/>
      <c r="W120" s="51"/>
      <c r="X120" s="51"/>
    </row>
    <row r="121" spans="2:24" x14ac:dyDescent="0.3">
      <c r="B121" s="51">
        <v>107</v>
      </c>
      <c r="C121" s="51" t="s">
        <v>69</v>
      </c>
      <c r="D121" s="51">
        <v>13</v>
      </c>
      <c r="E121" s="51">
        <v>-38.200000000000003</v>
      </c>
      <c r="F121" s="51">
        <v>-40.29</v>
      </c>
      <c r="G121" s="51">
        <v>9.8000000000000007</v>
      </c>
      <c r="H121" s="51">
        <v>9.8000000000000007</v>
      </c>
      <c r="I121" s="51">
        <v>108</v>
      </c>
      <c r="J121" s="54">
        <f t="shared" si="4"/>
        <v>53.951432014537446</v>
      </c>
      <c r="K121" s="53">
        <f>IFERROR(IF(OR(ISBLANK(WHOLE_STRUCTURE[[#This Row],[Top '[m']]]), ISBLANK(WHOLE_STRUCTURE[[#This Row],[Bottom '[m']]])), "", WHOLE_STRUCTURE[[#This Row],[Top '[m']]] - WHOLE_STRUCTURE[[#This Row],[Bottom '[m']]]),"")</f>
        <v>2.0899999999999963</v>
      </c>
      <c r="L121" s="54">
        <f>IFERROR(-(WHOLE_STRUCTURE[[#This Row],[D, bottom '[m']]]-WHOLE_STRUCTURE[[#This Row],[D, top '[m']]])/(WHOLE_STRUCTURE[[#This Row],[Bottom '[m']]]-WHOLE_STRUCTURE[[#This Row],[Top '[m']]]),"")</f>
        <v>0</v>
      </c>
      <c r="M121" s="54">
        <f>IFERROR((WHOLE_STRUCTURE[[#This Row],[D, bottom '[m']]]+WHOLE_STRUCTURE[[#This Row],[D, top '[m']]])/(2*WHOLE_STRUCTURE[[#This Row],[t '[mm']]]/1000),"")</f>
        <v>90.740740740740748</v>
      </c>
      <c r="S121" s="51"/>
      <c r="T121" s="51"/>
      <c r="U121" s="51"/>
      <c r="V121" s="51"/>
      <c r="W121" s="51"/>
      <c r="X121" s="51"/>
    </row>
    <row r="122" spans="2:24" x14ac:dyDescent="0.3">
      <c r="B122" s="51">
        <v>108</v>
      </c>
      <c r="C122" s="51" t="s">
        <v>69</v>
      </c>
      <c r="D122" s="51">
        <v>14</v>
      </c>
      <c r="E122" s="51">
        <v>-40.29</v>
      </c>
      <c r="F122" s="51">
        <v>-42.2</v>
      </c>
      <c r="G122" s="51">
        <v>9.8000000000000007</v>
      </c>
      <c r="H122" s="51">
        <v>9.8000000000000007</v>
      </c>
      <c r="I122" s="51">
        <v>108</v>
      </c>
      <c r="J122" s="54">
        <f t="shared" ref="J122:J131" si="5">IF(7850/1000*(1/3)*PI()*ABS(E122-F122)*((G122/2)^2+(G122/2)*(H122/2)+(H122/2)^2-(G122/2-I122/1000)^2-(G122/2-I122/1000)*(H122/2-I122/1000)-(H122/2-I122/1000)^2)=0,"",7850/1000*(1/3)*PI()*ABS(E122-F122)*((G122/2)^2+(G122/2)*(H122/2)+(H122/2)^2-(G122/2-I122/1000)^2-(G122/2-I122/1000)*(H122/2-I122/1000)-(H122/2-I122/1000)^2))</f>
        <v>49.304897199888472</v>
      </c>
      <c r="K122" s="53">
        <f>IFERROR(IF(OR(ISBLANK(WHOLE_STRUCTURE[[#This Row],[Top '[m']]]), ISBLANK(WHOLE_STRUCTURE[[#This Row],[Bottom '[m']]])), "", WHOLE_STRUCTURE[[#This Row],[Top '[m']]] - WHOLE_STRUCTURE[[#This Row],[Bottom '[m']]]),"")</f>
        <v>1.9100000000000037</v>
      </c>
      <c r="L122" s="54">
        <f>IFERROR(-(WHOLE_STRUCTURE[[#This Row],[D, bottom '[m']]]-WHOLE_STRUCTURE[[#This Row],[D, top '[m']]])/(WHOLE_STRUCTURE[[#This Row],[Bottom '[m']]]-WHOLE_STRUCTURE[[#This Row],[Top '[m']]]),"")</f>
        <v>0</v>
      </c>
      <c r="M122" s="54">
        <f>IFERROR((WHOLE_STRUCTURE[[#This Row],[D, bottom '[m']]]+WHOLE_STRUCTURE[[#This Row],[D, top '[m']]])/(2*WHOLE_STRUCTURE[[#This Row],[t '[mm']]]/1000),"")</f>
        <v>90.740740740740748</v>
      </c>
      <c r="S122" s="51"/>
      <c r="T122" s="51"/>
      <c r="U122" s="51"/>
      <c r="V122" s="51"/>
      <c r="W122" s="51"/>
      <c r="X122" s="51"/>
    </row>
    <row r="123" spans="2:24" x14ac:dyDescent="0.3">
      <c r="B123" s="51">
        <v>109</v>
      </c>
      <c r="C123" s="51" t="s">
        <v>69</v>
      </c>
      <c r="D123" s="51">
        <v>15</v>
      </c>
      <c r="E123" s="51">
        <v>-42.2</v>
      </c>
      <c r="F123" s="51">
        <v>-46.2</v>
      </c>
      <c r="G123" s="51">
        <v>9.8000000000000007</v>
      </c>
      <c r="H123" s="51">
        <v>9.8000000000000007</v>
      </c>
      <c r="I123" s="51">
        <v>98</v>
      </c>
      <c r="J123" s="54">
        <f t="shared" si="5"/>
        <v>93.792231080004328</v>
      </c>
      <c r="K123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23" s="54">
        <f>IFERROR(-(WHOLE_STRUCTURE[[#This Row],[D, bottom '[m']]]-WHOLE_STRUCTURE[[#This Row],[D, top '[m']]])/(WHOLE_STRUCTURE[[#This Row],[Bottom '[m']]]-WHOLE_STRUCTURE[[#This Row],[Top '[m']]]),"")</f>
        <v>0</v>
      </c>
      <c r="M123" s="54">
        <f>IFERROR((WHOLE_STRUCTURE[[#This Row],[D, bottom '[m']]]+WHOLE_STRUCTURE[[#This Row],[D, top '[m']]])/(2*WHOLE_STRUCTURE[[#This Row],[t '[mm']]]/1000),"")</f>
        <v>100</v>
      </c>
      <c r="S123" s="51"/>
      <c r="T123" s="51"/>
      <c r="U123" s="51"/>
      <c r="V123" s="51"/>
      <c r="W123" s="51"/>
      <c r="X123" s="51"/>
    </row>
    <row r="124" spans="2:24" x14ac:dyDescent="0.3">
      <c r="B124" s="51">
        <v>110</v>
      </c>
      <c r="C124" s="51" t="s">
        <v>69</v>
      </c>
      <c r="D124" s="51">
        <v>16</v>
      </c>
      <c r="E124" s="51">
        <v>-46.2</v>
      </c>
      <c r="F124" s="51">
        <v>-50.2</v>
      </c>
      <c r="G124" s="51">
        <v>9.8000000000000007</v>
      </c>
      <c r="H124" s="51">
        <v>9.8000000000000007</v>
      </c>
      <c r="I124" s="51">
        <v>98</v>
      </c>
      <c r="J124" s="54">
        <f t="shared" si="5"/>
        <v>93.792231080004328</v>
      </c>
      <c r="K124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24" s="54">
        <f>IFERROR(-(WHOLE_STRUCTURE[[#This Row],[D, bottom '[m']]]-WHOLE_STRUCTURE[[#This Row],[D, top '[m']]])/(WHOLE_STRUCTURE[[#This Row],[Bottom '[m']]]-WHOLE_STRUCTURE[[#This Row],[Top '[m']]]),"")</f>
        <v>0</v>
      </c>
      <c r="M124" s="54">
        <f>IFERROR((WHOLE_STRUCTURE[[#This Row],[D, bottom '[m']]]+WHOLE_STRUCTURE[[#This Row],[D, top '[m']]])/(2*WHOLE_STRUCTURE[[#This Row],[t '[mm']]]/1000),"")</f>
        <v>100</v>
      </c>
      <c r="S124" s="51"/>
      <c r="T124" s="51"/>
      <c r="U124" s="51"/>
      <c r="V124" s="51"/>
      <c r="W124" s="51"/>
      <c r="X124" s="51"/>
    </row>
    <row r="125" spans="2:24" x14ac:dyDescent="0.3">
      <c r="B125" s="51">
        <v>111</v>
      </c>
      <c r="C125" s="51" t="s">
        <v>69</v>
      </c>
      <c r="D125" s="51">
        <v>17</v>
      </c>
      <c r="E125" s="51">
        <v>-50.2</v>
      </c>
      <c r="F125" s="51">
        <v>-54.2</v>
      </c>
      <c r="G125" s="51">
        <v>9.8000000000000007</v>
      </c>
      <c r="H125" s="51">
        <v>9.8000000000000007</v>
      </c>
      <c r="I125" s="51">
        <v>98</v>
      </c>
      <c r="J125" s="54">
        <f t="shared" si="5"/>
        <v>93.792231080004328</v>
      </c>
      <c r="K12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25" s="54">
        <f>IFERROR(-(WHOLE_STRUCTURE[[#This Row],[D, bottom '[m']]]-WHOLE_STRUCTURE[[#This Row],[D, top '[m']]])/(WHOLE_STRUCTURE[[#This Row],[Bottom '[m']]]-WHOLE_STRUCTURE[[#This Row],[Top '[m']]]),"")</f>
        <v>0</v>
      </c>
      <c r="M125" s="54">
        <f>IFERROR((WHOLE_STRUCTURE[[#This Row],[D, bottom '[m']]]+WHOLE_STRUCTURE[[#This Row],[D, top '[m']]])/(2*WHOLE_STRUCTURE[[#This Row],[t '[mm']]]/1000),"")</f>
        <v>100</v>
      </c>
      <c r="S125" s="51"/>
      <c r="T125" s="51"/>
      <c r="U125" s="51"/>
      <c r="V125" s="51"/>
      <c r="W125" s="51"/>
      <c r="X125" s="51"/>
    </row>
    <row r="126" spans="2:24" x14ac:dyDescent="0.3">
      <c r="B126" s="51">
        <v>112</v>
      </c>
      <c r="C126" s="51" t="s">
        <v>69</v>
      </c>
      <c r="D126" s="51">
        <v>18</v>
      </c>
      <c r="E126" s="51">
        <v>-54.2</v>
      </c>
      <c r="F126" s="51">
        <v>-58.2</v>
      </c>
      <c r="G126" s="51">
        <v>9.8000000000000007</v>
      </c>
      <c r="H126" s="51">
        <v>9.8000000000000007</v>
      </c>
      <c r="I126" s="51">
        <v>98</v>
      </c>
      <c r="J126" s="54">
        <f t="shared" si="5"/>
        <v>93.792231080004328</v>
      </c>
      <c r="K12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26" s="54">
        <f>IFERROR(-(WHOLE_STRUCTURE[[#This Row],[D, bottom '[m']]]-WHOLE_STRUCTURE[[#This Row],[D, top '[m']]])/(WHOLE_STRUCTURE[[#This Row],[Bottom '[m']]]-WHOLE_STRUCTURE[[#This Row],[Top '[m']]]),"")</f>
        <v>0</v>
      </c>
      <c r="M126" s="54">
        <f>IFERROR((WHOLE_STRUCTURE[[#This Row],[D, bottom '[m']]]+WHOLE_STRUCTURE[[#This Row],[D, top '[m']]])/(2*WHOLE_STRUCTURE[[#This Row],[t '[mm']]]/1000),"")</f>
        <v>100</v>
      </c>
      <c r="S126" s="51"/>
      <c r="T126" s="51"/>
      <c r="U126" s="51"/>
      <c r="V126" s="51"/>
      <c r="W126" s="51"/>
      <c r="X126" s="51"/>
    </row>
    <row r="127" spans="2:24" x14ac:dyDescent="0.3">
      <c r="B127" s="51">
        <v>113</v>
      </c>
      <c r="C127" s="51" t="s">
        <v>69</v>
      </c>
      <c r="D127" s="51">
        <v>19</v>
      </c>
      <c r="E127" s="51">
        <v>-58.2</v>
      </c>
      <c r="F127" s="51">
        <v>-62.2</v>
      </c>
      <c r="G127" s="51">
        <v>9.8000000000000007</v>
      </c>
      <c r="H127" s="51">
        <v>9.8000000000000007</v>
      </c>
      <c r="I127" s="51">
        <v>91</v>
      </c>
      <c r="J127" s="54">
        <f t="shared" si="5"/>
        <v>87.15562351080024</v>
      </c>
      <c r="K12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L127" s="54">
        <f>IFERROR(-(WHOLE_STRUCTURE[[#This Row],[D, bottom '[m']]]-WHOLE_STRUCTURE[[#This Row],[D, top '[m']]])/(WHOLE_STRUCTURE[[#This Row],[Bottom '[m']]]-WHOLE_STRUCTURE[[#This Row],[Top '[m']]]),"")</f>
        <v>0</v>
      </c>
      <c r="M127" s="54">
        <f>IFERROR((WHOLE_STRUCTURE[[#This Row],[D, bottom '[m']]]+WHOLE_STRUCTURE[[#This Row],[D, top '[m']]])/(2*WHOLE_STRUCTURE[[#This Row],[t '[mm']]]/1000),"")</f>
        <v>107.69230769230771</v>
      </c>
      <c r="S127" s="51"/>
      <c r="T127" s="51"/>
      <c r="U127" s="51"/>
      <c r="V127" s="51"/>
      <c r="W127" s="51"/>
      <c r="X127" s="51"/>
    </row>
    <row r="128" spans="2:24" x14ac:dyDescent="0.3">
      <c r="B128" s="51">
        <v>114</v>
      </c>
      <c r="C128" s="51" t="s">
        <v>69</v>
      </c>
      <c r="D128" s="51">
        <v>20</v>
      </c>
      <c r="E128" s="51">
        <v>-62.2</v>
      </c>
      <c r="F128" s="51">
        <v>-65.650000000000006</v>
      </c>
      <c r="G128" s="51">
        <v>9.8000000000000007</v>
      </c>
      <c r="H128" s="51">
        <v>9.8000000000000007</v>
      </c>
      <c r="I128" s="51">
        <v>88</v>
      </c>
      <c r="J128" s="54">
        <f t="shared" si="5"/>
        <v>72.715998228957233</v>
      </c>
      <c r="K128" s="53">
        <f>IFERROR(IF(OR(ISBLANK(WHOLE_STRUCTURE[[#This Row],[Top '[m']]]), ISBLANK(WHOLE_STRUCTURE[[#This Row],[Bottom '[m']]])), "", WHOLE_STRUCTURE[[#This Row],[Top '[m']]] - WHOLE_STRUCTURE[[#This Row],[Bottom '[m']]]),"")</f>
        <v>3.4500000000000028</v>
      </c>
      <c r="L128" s="54">
        <f>IFERROR(-(WHOLE_STRUCTURE[[#This Row],[D, bottom '[m']]]-WHOLE_STRUCTURE[[#This Row],[D, top '[m']]])/(WHOLE_STRUCTURE[[#This Row],[Bottom '[m']]]-WHOLE_STRUCTURE[[#This Row],[Top '[m']]]),"")</f>
        <v>0</v>
      </c>
      <c r="M128" s="54">
        <f>IFERROR((WHOLE_STRUCTURE[[#This Row],[D, bottom '[m']]]+WHOLE_STRUCTURE[[#This Row],[D, top '[m']]])/(2*WHOLE_STRUCTURE[[#This Row],[t '[mm']]]/1000),"")</f>
        <v>111.36363636363637</v>
      </c>
      <c r="S128" s="51"/>
      <c r="T128" s="51"/>
      <c r="U128" s="51"/>
      <c r="V128" s="51"/>
      <c r="W128" s="51"/>
      <c r="X128" s="51"/>
    </row>
    <row r="129" spans="2:24" x14ac:dyDescent="0.3">
      <c r="B129" s="51">
        <v>115</v>
      </c>
      <c r="C129" s="51" t="s">
        <v>69</v>
      </c>
      <c r="D129" s="51">
        <v>21</v>
      </c>
      <c r="E129" s="51">
        <v>-65.650000000000006</v>
      </c>
      <c r="F129" s="51">
        <v>-69.349999999999994</v>
      </c>
      <c r="G129" s="51">
        <v>9.8000000000000007</v>
      </c>
      <c r="H129" s="51">
        <v>9.8000000000000007</v>
      </c>
      <c r="I129" s="51">
        <v>86</v>
      </c>
      <c r="J129" s="54">
        <f t="shared" si="5"/>
        <v>76.228575464319491</v>
      </c>
      <c r="K129" s="53">
        <f>IFERROR(IF(OR(ISBLANK(WHOLE_STRUCTURE[[#This Row],[Top '[m']]]), ISBLANK(WHOLE_STRUCTURE[[#This Row],[Bottom '[m']]])), "", WHOLE_STRUCTURE[[#This Row],[Top '[m']]] - WHOLE_STRUCTURE[[#This Row],[Bottom '[m']]]),"")</f>
        <v>3.6999999999999886</v>
      </c>
      <c r="L129" s="54">
        <f>IFERROR(-(WHOLE_STRUCTURE[[#This Row],[D, bottom '[m']]]-WHOLE_STRUCTURE[[#This Row],[D, top '[m']]])/(WHOLE_STRUCTURE[[#This Row],[Bottom '[m']]]-WHOLE_STRUCTURE[[#This Row],[Top '[m']]]),"")</f>
        <v>0</v>
      </c>
      <c r="M129" s="54">
        <f>IFERROR((WHOLE_STRUCTURE[[#This Row],[D, bottom '[m']]]+WHOLE_STRUCTURE[[#This Row],[D, top '[m']]])/(2*WHOLE_STRUCTURE[[#This Row],[t '[mm']]]/1000),"")</f>
        <v>113.95348837209303</v>
      </c>
      <c r="S129" s="51"/>
      <c r="T129" s="51"/>
      <c r="U129" s="51"/>
      <c r="V129" s="51"/>
      <c r="W129" s="51"/>
      <c r="X129" s="51"/>
    </row>
    <row r="130" spans="2:24" x14ac:dyDescent="0.3">
      <c r="B130" s="51">
        <v>116</v>
      </c>
      <c r="C130" s="51" t="s">
        <v>69</v>
      </c>
      <c r="D130" s="51">
        <v>22</v>
      </c>
      <c r="E130" s="51">
        <v>-69.349999999999994</v>
      </c>
      <c r="F130" s="51">
        <v>-73.05</v>
      </c>
      <c r="G130" s="51">
        <v>9.8000000000000007</v>
      </c>
      <c r="H130" s="51">
        <v>9.8000000000000007</v>
      </c>
      <c r="I130" s="51">
        <v>95</v>
      </c>
      <c r="J130" s="54">
        <f t="shared" si="5"/>
        <v>84.127967861915877</v>
      </c>
      <c r="K130" s="53">
        <f>IFERROR(IF(OR(ISBLANK(WHOLE_STRUCTURE[[#This Row],[Top '[m']]]), ISBLANK(WHOLE_STRUCTURE[[#This Row],[Bottom '[m']]])), "", WHOLE_STRUCTURE[[#This Row],[Top '[m']]] - WHOLE_STRUCTURE[[#This Row],[Bottom '[m']]]),"")</f>
        <v>3.7000000000000028</v>
      </c>
      <c r="L130" s="54">
        <f>IFERROR(-(WHOLE_STRUCTURE[[#This Row],[D, bottom '[m']]]-WHOLE_STRUCTURE[[#This Row],[D, top '[m']]])/(WHOLE_STRUCTURE[[#This Row],[Bottom '[m']]]-WHOLE_STRUCTURE[[#This Row],[Top '[m']]]),"")</f>
        <v>0</v>
      </c>
      <c r="M130" s="54">
        <f>IFERROR((WHOLE_STRUCTURE[[#This Row],[D, bottom '[m']]]+WHOLE_STRUCTURE[[#This Row],[D, top '[m']]])/(2*WHOLE_STRUCTURE[[#This Row],[t '[mm']]]/1000),"")</f>
        <v>103.15789473684211</v>
      </c>
      <c r="S130" s="51"/>
      <c r="T130" s="51"/>
      <c r="U130" s="51"/>
      <c r="V130" s="51"/>
      <c r="W130" s="51"/>
      <c r="X130" s="51"/>
    </row>
    <row r="131" spans="2:24" x14ac:dyDescent="0.3">
      <c r="B131" s="51">
        <v>117</v>
      </c>
      <c r="C131" s="51" t="s">
        <v>69</v>
      </c>
      <c r="D131" s="51">
        <v>23</v>
      </c>
      <c r="E131" s="51">
        <v>-73.05</v>
      </c>
      <c r="F131" s="51">
        <v>-76.05</v>
      </c>
      <c r="G131" s="51">
        <v>9.8000000000000007</v>
      </c>
      <c r="H131" s="51">
        <v>9.8000000000000007</v>
      </c>
      <c r="I131" s="51">
        <v>105</v>
      </c>
      <c r="J131" s="54">
        <f t="shared" si="5"/>
        <v>75.314378505222052</v>
      </c>
      <c r="K131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L131" s="54">
        <f>IFERROR(-(WHOLE_STRUCTURE[[#This Row],[D, bottom '[m']]]-WHOLE_STRUCTURE[[#This Row],[D, top '[m']]])/(WHOLE_STRUCTURE[[#This Row],[Bottom '[m']]]-WHOLE_STRUCTURE[[#This Row],[Top '[m']]]),"")</f>
        <v>0</v>
      </c>
      <c r="M131" s="54">
        <f>IFERROR((WHOLE_STRUCTURE[[#This Row],[D, bottom '[m']]]+WHOLE_STRUCTURE[[#This Row],[D, top '[m']]])/(2*WHOLE_STRUCTURE[[#This Row],[t '[mm']]]/1000),"")</f>
        <v>93.333333333333343</v>
      </c>
      <c r="S131" s="51"/>
      <c r="T131" s="51"/>
      <c r="U131" s="51"/>
      <c r="V131" s="51"/>
      <c r="W131" s="51"/>
      <c r="X131" s="51"/>
    </row>
    <row r="132" spans="2:24" x14ac:dyDescent="0.3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  <c r="S132" s="51"/>
      <c r="T132" s="51"/>
      <c r="U132" s="51"/>
      <c r="V132" s="51"/>
      <c r="W132" s="51"/>
      <c r="X132" s="51"/>
    </row>
    <row r="133" spans="2:24" x14ac:dyDescent="0.3">
      <c r="J133" s="54" t="str">
        <f t="shared" ref="J133:J196" si="6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  <c r="S133" s="51"/>
      <c r="T133" s="51"/>
      <c r="U133" s="51"/>
      <c r="V133" s="51"/>
      <c r="W133" s="51"/>
      <c r="X133" s="51"/>
    </row>
    <row r="134" spans="2:24" x14ac:dyDescent="0.3">
      <c r="J134" s="54" t="str">
        <f t="shared" si="6"/>
        <v/>
      </c>
      <c r="K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  <c r="S134" s="51"/>
      <c r="T134" s="51"/>
      <c r="U134" s="51"/>
      <c r="V134" s="51"/>
      <c r="W134" s="51"/>
      <c r="X134" s="51"/>
    </row>
    <row r="135" spans="2:24" x14ac:dyDescent="0.3">
      <c r="J135" s="54" t="str">
        <f t="shared" si="6"/>
        <v/>
      </c>
      <c r="K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  <c r="S135" s="51"/>
      <c r="T135" s="51"/>
      <c r="U135" s="51"/>
      <c r="V135" s="51"/>
      <c r="W135" s="51"/>
      <c r="X135" s="51"/>
    </row>
    <row r="136" spans="2:24" x14ac:dyDescent="0.3">
      <c r="J136" s="54" t="str">
        <f t="shared" si="6"/>
        <v/>
      </c>
      <c r="K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2:24" x14ac:dyDescent="0.3">
      <c r="J137" s="54" t="str">
        <f t="shared" si="6"/>
        <v/>
      </c>
      <c r="K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2:24" x14ac:dyDescent="0.3">
      <c r="J138" s="54" t="str">
        <f t="shared" si="6"/>
        <v/>
      </c>
      <c r="K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2:24" x14ac:dyDescent="0.3">
      <c r="J139" s="54" t="str">
        <f t="shared" si="6"/>
        <v/>
      </c>
      <c r="K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2:24" x14ac:dyDescent="0.3">
      <c r="J140" s="54" t="str">
        <f t="shared" si="6"/>
        <v/>
      </c>
      <c r="K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2:24" x14ac:dyDescent="0.3">
      <c r="J141" s="54" t="str">
        <f t="shared" si="6"/>
        <v/>
      </c>
      <c r="K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2:24" x14ac:dyDescent="0.3">
      <c r="J142" s="54" t="str">
        <f t="shared" si="6"/>
        <v/>
      </c>
      <c r="K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2:24" x14ac:dyDescent="0.3">
      <c r="J143" s="54" t="str">
        <f t="shared" si="6"/>
        <v/>
      </c>
      <c r="K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2:24" x14ac:dyDescent="0.3">
      <c r="J144" s="54" t="str">
        <f t="shared" si="6"/>
        <v/>
      </c>
      <c r="K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6"/>
        <v/>
      </c>
      <c r="K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6"/>
        <v/>
      </c>
      <c r="K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6"/>
        <v/>
      </c>
      <c r="K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6"/>
        <v/>
      </c>
      <c r="K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6"/>
        <v/>
      </c>
      <c r="K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6"/>
        <v/>
      </c>
      <c r="K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6"/>
        <v/>
      </c>
      <c r="K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6"/>
        <v/>
      </c>
      <c r="K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6"/>
        <v/>
      </c>
      <c r="K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6"/>
        <v/>
      </c>
      <c r="K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6"/>
        <v/>
      </c>
      <c r="K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6"/>
        <v/>
      </c>
      <c r="K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6"/>
        <v/>
      </c>
      <c r="K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6"/>
        <v/>
      </c>
      <c r="K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6"/>
        <v/>
      </c>
      <c r="K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6"/>
        <v/>
      </c>
      <c r="K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6"/>
        <v/>
      </c>
      <c r="K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6"/>
        <v/>
      </c>
      <c r="K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6"/>
        <v/>
      </c>
      <c r="K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6"/>
        <v/>
      </c>
      <c r="K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6"/>
        <v/>
      </c>
      <c r="K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6"/>
        <v/>
      </c>
      <c r="K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6"/>
        <v/>
      </c>
      <c r="K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6"/>
        <v/>
      </c>
      <c r="K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6"/>
        <v/>
      </c>
      <c r="K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6"/>
        <v/>
      </c>
      <c r="K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6"/>
        <v/>
      </c>
      <c r="K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6"/>
        <v/>
      </c>
      <c r="K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6"/>
        <v/>
      </c>
      <c r="K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6"/>
        <v/>
      </c>
      <c r="K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6"/>
        <v/>
      </c>
      <c r="K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6"/>
        <v/>
      </c>
      <c r="K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6"/>
        <v/>
      </c>
      <c r="K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6"/>
        <v/>
      </c>
      <c r="K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6"/>
        <v/>
      </c>
      <c r="K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6"/>
        <v/>
      </c>
      <c r="K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6"/>
        <v/>
      </c>
      <c r="K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6"/>
        <v/>
      </c>
      <c r="K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6"/>
        <v/>
      </c>
      <c r="K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6"/>
        <v/>
      </c>
      <c r="K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6"/>
        <v/>
      </c>
      <c r="K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6"/>
        <v/>
      </c>
      <c r="K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6"/>
        <v/>
      </c>
      <c r="K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6"/>
        <v/>
      </c>
      <c r="K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6"/>
        <v/>
      </c>
      <c r="K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6"/>
        <v/>
      </c>
      <c r="K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6"/>
        <v/>
      </c>
      <c r="K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6"/>
        <v/>
      </c>
      <c r="K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6"/>
        <v/>
      </c>
      <c r="K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6"/>
        <v/>
      </c>
      <c r="K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si="6"/>
        <v/>
      </c>
      <c r="K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ref="J197:J260" si="7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7"/>
        <v/>
      </c>
      <c r="K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7"/>
        <v/>
      </c>
      <c r="K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7"/>
        <v/>
      </c>
      <c r="K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7"/>
        <v/>
      </c>
      <c r="K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7"/>
        <v/>
      </c>
      <c r="K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7"/>
        <v/>
      </c>
      <c r="K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7"/>
        <v/>
      </c>
      <c r="K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7"/>
        <v/>
      </c>
      <c r="K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7"/>
        <v/>
      </c>
      <c r="K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7"/>
        <v/>
      </c>
      <c r="K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7"/>
        <v/>
      </c>
      <c r="K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7"/>
        <v/>
      </c>
      <c r="K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7"/>
        <v/>
      </c>
      <c r="K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7"/>
        <v/>
      </c>
      <c r="K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7"/>
        <v/>
      </c>
      <c r="K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7"/>
        <v/>
      </c>
      <c r="K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7"/>
        <v/>
      </c>
      <c r="K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7"/>
        <v/>
      </c>
      <c r="K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7"/>
        <v/>
      </c>
      <c r="K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7"/>
        <v/>
      </c>
      <c r="K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7"/>
        <v/>
      </c>
      <c r="K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7"/>
        <v/>
      </c>
      <c r="K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7"/>
        <v/>
      </c>
      <c r="K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7"/>
        <v/>
      </c>
      <c r="K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7"/>
        <v/>
      </c>
      <c r="K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7"/>
        <v/>
      </c>
      <c r="K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7"/>
        <v/>
      </c>
      <c r="K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7"/>
        <v/>
      </c>
      <c r="K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7"/>
        <v/>
      </c>
      <c r="K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7"/>
        <v/>
      </c>
      <c r="K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7"/>
        <v/>
      </c>
      <c r="K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7"/>
        <v/>
      </c>
      <c r="K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7"/>
        <v/>
      </c>
      <c r="K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7"/>
        <v/>
      </c>
      <c r="K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7"/>
        <v/>
      </c>
      <c r="K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7"/>
        <v/>
      </c>
      <c r="K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7"/>
        <v/>
      </c>
      <c r="K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7"/>
        <v/>
      </c>
      <c r="K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7"/>
        <v/>
      </c>
      <c r="K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7"/>
        <v/>
      </c>
      <c r="K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7"/>
        <v/>
      </c>
      <c r="K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7"/>
        <v/>
      </c>
      <c r="K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7"/>
        <v/>
      </c>
      <c r="K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7"/>
        <v/>
      </c>
      <c r="K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7"/>
        <v/>
      </c>
      <c r="K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7"/>
        <v/>
      </c>
      <c r="K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7"/>
        <v/>
      </c>
      <c r="K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7"/>
        <v/>
      </c>
      <c r="K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7"/>
        <v/>
      </c>
      <c r="K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7"/>
        <v/>
      </c>
      <c r="K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7"/>
        <v/>
      </c>
      <c r="K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7"/>
        <v/>
      </c>
      <c r="K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7"/>
        <v/>
      </c>
      <c r="K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7"/>
        <v/>
      </c>
      <c r="K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7"/>
        <v/>
      </c>
      <c r="K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7"/>
        <v/>
      </c>
      <c r="K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7"/>
        <v/>
      </c>
      <c r="K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7"/>
        <v/>
      </c>
      <c r="K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7"/>
        <v/>
      </c>
      <c r="K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7"/>
        <v/>
      </c>
      <c r="K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7"/>
        <v/>
      </c>
      <c r="K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si="7"/>
        <v/>
      </c>
      <c r="K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ref="J261:J324" si="8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8"/>
        <v/>
      </c>
      <c r="K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8"/>
        <v/>
      </c>
      <c r="K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8"/>
        <v/>
      </c>
      <c r="K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8"/>
        <v/>
      </c>
      <c r="K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8"/>
        <v/>
      </c>
      <c r="K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8"/>
        <v/>
      </c>
      <c r="K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8"/>
        <v/>
      </c>
      <c r="K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8"/>
        <v/>
      </c>
      <c r="K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8"/>
        <v/>
      </c>
      <c r="K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8"/>
        <v/>
      </c>
      <c r="K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8"/>
        <v/>
      </c>
      <c r="K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8"/>
        <v/>
      </c>
      <c r="K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8"/>
        <v/>
      </c>
      <c r="K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8"/>
        <v/>
      </c>
      <c r="K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8"/>
        <v/>
      </c>
      <c r="K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8"/>
        <v/>
      </c>
      <c r="K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8"/>
        <v/>
      </c>
      <c r="K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8"/>
        <v/>
      </c>
      <c r="K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8"/>
        <v/>
      </c>
      <c r="K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8"/>
        <v/>
      </c>
      <c r="K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8"/>
        <v/>
      </c>
      <c r="K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8"/>
        <v/>
      </c>
      <c r="K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8"/>
        <v/>
      </c>
      <c r="K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8"/>
        <v/>
      </c>
      <c r="K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8"/>
        <v/>
      </c>
      <c r="K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8"/>
        <v/>
      </c>
      <c r="K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8"/>
        <v/>
      </c>
      <c r="K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8"/>
        <v/>
      </c>
      <c r="K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8"/>
        <v/>
      </c>
      <c r="K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8"/>
        <v/>
      </c>
      <c r="K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8"/>
        <v/>
      </c>
      <c r="K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8"/>
        <v/>
      </c>
      <c r="K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8"/>
        <v/>
      </c>
      <c r="K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8"/>
        <v/>
      </c>
      <c r="K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8"/>
        <v/>
      </c>
      <c r="K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8"/>
        <v/>
      </c>
      <c r="K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8"/>
        <v/>
      </c>
      <c r="K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8"/>
        <v/>
      </c>
      <c r="K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8"/>
        <v/>
      </c>
      <c r="K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8"/>
        <v/>
      </c>
      <c r="K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8"/>
        <v/>
      </c>
      <c r="K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8"/>
        <v/>
      </c>
      <c r="K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8"/>
        <v/>
      </c>
      <c r="K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8"/>
        <v/>
      </c>
      <c r="K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8"/>
        <v/>
      </c>
      <c r="K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8"/>
        <v/>
      </c>
      <c r="K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8"/>
        <v/>
      </c>
      <c r="K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8"/>
        <v/>
      </c>
      <c r="K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8"/>
        <v/>
      </c>
      <c r="K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8"/>
        <v/>
      </c>
      <c r="K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8"/>
        <v/>
      </c>
      <c r="K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8"/>
        <v/>
      </c>
      <c r="K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8"/>
        <v/>
      </c>
      <c r="K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8"/>
        <v/>
      </c>
      <c r="K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8"/>
        <v/>
      </c>
      <c r="K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8"/>
        <v/>
      </c>
      <c r="K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8"/>
        <v/>
      </c>
      <c r="K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8"/>
        <v/>
      </c>
      <c r="K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8"/>
        <v/>
      </c>
      <c r="K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8"/>
        <v/>
      </c>
      <c r="K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8"/>
        <v/>
      </c>
      <c r="K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si="8"/>
        <v/>
      </c>
      <c r="K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ref="J325:J388" si="9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9"/>
        <v/>
      </c>
      <c r="K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9"/>
        <v/>
      </c>
      <c r="K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9"/>
        <v/>
      </c>
      <c r="K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9"/>
        <v/>
      </c>
      <c r="K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9"/>
        <v/>
      </c>
      <c r="K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9"/>
        <v/>
      </c>
      <c r="K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9"/>
        <v/>
      </c>
      <c r="K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9"/>
        <v/>
      </c>
      <c r="K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9"/>
        <v/>
      </c>
      <c r="K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9"/>
        <v/>
      </c>
      <c r="K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9"/>
        <v/>
      </c>
      <c r="K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9"/>
        <v/>
      </c>
      <c r="K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9"/>
        <v/>
      </c>
      <c r="K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9"/>
        <v/>
      </c>
      <c r="K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9"/>
        <v/>
      </c>
      <c r="K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9"/>
        <v/>
      </c>
      <c r="K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9"/>
        <v/>
      </c>
      <c r="K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9"/>
        <v/>
      </c>
      <c r="K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9"/>
        <v/>
      </c>
      <c r="K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9"/>
        <v/>
      </c>
      <c r="K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9"/>
        <v/>
      </c>
      <c r="K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9"/>
        <v/>
      </c>
      <c r="K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9"/>
        <v/>
      </c>
      <c r="K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9"/>
        <v/>
      </c>
      <c r="K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9"/>
        <v/>
      </c>
      <c r="K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9"/>
        <v/>
      </c>
      <c r="K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9"/>
        <v/>
      </c>
      <c r="K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9"/>
        <v/>
      </c>
      <c r="K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9"/>
        <v/>
      </c>
      <c r="K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9"/>
        <v/>
      </c>
      <c r="K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9"/>
        <v/>
      </c>
      <c r="K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9"/>
        <v/>
      </c>
      <c r="K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9"/>
        <v/>
      </c>
      <c r="K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9"/>
        <v/>
      </c>
      <c r="K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9"/>
        <v/>
      </c>
      <c r="K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9"/>
        <v/>
      </c>
      <c r="K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9"/>
        <v/>
      </c>
      <c r="K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9"/>
        <v/>
      </c>
      <c r="K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9"/>
        <v/>
      </c>
      <c r="K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9"/>
        <v/>
      </c>
      <c r="K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9"/>
        <v/>
      </c>
      <c r="K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9"/>
        <v/>
      </c>
      <c r="K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9"/>
        <v/>
      </c>
      <c r="K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9"/>
        <v/>
      </c>
      <c r="K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9"/>
        <v/>
      </c>
      <c r="K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9"/>
        <v/>
      </c>
      <c r="K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9"/>
        <v/>
      </c>
      <c r="K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9"/>
        <v/>
      </c>
      <c r="K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9"/>
        <v/>
      </c>
      <c r="K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9"/>
        <v/>
      </c>
      <c r="K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9"/>
        <v/>
      </c>
      <c r="K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9"/>
        <v/>
      </c>
      <c r="K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9"/>
        <v/>
      </c>
      <c r="K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9"/>
        <v/>
      </c>
      <c r="K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9"/>
        <v/>
      </c>
      <c r="K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9"/>
        <v/>
      </c>
      <c r="K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9"/>
        <v/>
      </c>
      <c r="K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9"/>
        <v/>
      </c>
      <c r="K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9"/>
        <v/>
      </c>
      <c r="K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9"/>
        <v/>
      </c>
      <c r="K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9"/>
        <v/>
      </c>
      <c r="K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si="9"/>
        <v/>
      </c>
      <c r="K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ref="J389:J452" si="10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10"/>
        <v/>
      </c>
      <c r="K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10"/>
        <v/>
      </c>
      <c r="K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10"/>
        <v/>
      </c>
      <c r="K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10"/>
        <v/>
      </c>
      <c r="K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10"/>
        <v/>
      </c>
      <c r="K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10"/>
        <v/>
      </c>
      <c r="K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10"/>
        <v/>
      </c>
      <c r="K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10"/>
        <v/>
      </c>
      <c r="K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10"/>
        <v/>
      </c>
      <c r="K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10"/>
        <v/>
      </c>
      <c r="K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10"/>
        <v/>
      </c>
      <c r="K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10"/>
        <v/>
      </c>
      <c r="K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10"/>
        <v/>
      </c>
      <c r="K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10"/>
        <v/>
      </c>
      <c r="K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10"/>
        <v/>
      </c>
      <c r="K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10"/>
        <v/>
      </c>
      <c r="K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10"/>
        <v/>
      </c>
      <c r="K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10"/>
        <v/>
      </c>
      <c r="K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10"/>
        <v/>
      </c>
      <c r="K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10"/>
        <v/>
      </c>
      <c r="K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10"/>
        <v/>
      </c>
      <c r="K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10"/>
        <v/>
      </c>
      <c r="K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10"/>
        <v/>
      </c>
      <c r="K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10"/>
        <v/>
      </c>
      <c r="K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10"/>
        <v/>
      </c>
      <c r="K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10"/>
        <v/>
      </c>
      <c r="K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10"/>
        <v/>
      </c>
      <c r="K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10"/>
        <v/>
      </c>
      <c r="K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10"/>
        <v/>
      </c>
      <c r="K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10"/>
        <v/>
      </c>
      <c r="K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10"/>
        <v/>
      </c>
      <c r="K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10"/>
        <v/>
      </c>
      <c r="K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10"/>
        <v/>
      </c>
      <c r="K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10"/>
        <v/>
      </c>
      <c r="K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10"/>
        <v/>
      </c>
      <c r="K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10"/>
        <v/>
      </c>
      <c r="K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10"/>
        <v/>
      </c>
      <c r="K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10"/>
        <v/>
      </c>
      <c r="K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10"/>
        <v/>
      </c>
      <c r="K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10"/>
        <v/>
      </c>
      <c r="K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10"/>
        <v/>
      </c>
      <c r="K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10"/>
        <v/>
      </c>
      <c r="K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10"/>
        <v/>
      </c>
      <c r="K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10"/>
        <v/>
      </c>
      <c r="K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10"/>
        <v/>
      </c>
      <c r="K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10"/>
        <v/>
      </c>
      <c r="K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10"/>
        <v/>
      </c>
      <c r="K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10"/>
        <v/>
      </c>
      <c r="K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10"/>
        <v/>
      </c>
      <c r="K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10"/>
        <v/>
      </c>
      <c r="K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10"/>
        <v/>
      </c>
      <c r="K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10"/>
        <v/>
      </c>
      <c r="K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10"/>
        <v/>
      </c>
      <c r="K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10"/>
        <v/>
      </c>
      <c r="K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10"/>
        <v/>
      </c>
      <c r="K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10"/>
        <v/>
      </c>
      <c r="K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10"/>
        <v/>
      </c>
      <c r="K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10"/>
        <v/>
      </c>
      <c r="K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10"/>
        <v/>
      </c>
      <c r="K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10"/>
        <v/>
      </c>
      <c r="K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10"/>
        <v/>
      </c>
      <c r="K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si="10"/>
        <v/>
      </c>
      <c r="K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3">
      <c r="J453" s="54" t="str">
        <f t="shared" ref="J453:J454" si="11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3">
      <c r="J454" s="54" t="str">
        <f t="shared" si="11"/>
        <v/>
      </c>
      <c r="K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  <row r="455" spans="10:13" x14ac:dyDescent="0.3">
      <c r="K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W27:AY30" name="Bereich1_1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$Q$26:$Q$35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zoomScale="85" zoomScaleNormal="85" workbookViewId="0">
      <selection activeCell="N19" sqref="N19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3" t="s">
        <v>56</v>
      </c>
      <c r="C2" s="63"/>
    </row>
    <row r="5" spans="2:5" ht="18" customHeight="1" x14ac:dyDescent="0.3"/>
    <row r="6" spans="2:5" x14ac:dyDescent="0.3">
      <c r="B6" t="s">
        <v>296</v>
      </c>
    </row>
    <row r="8" spans="2:5" x14ac:dyDescent="0.3">
      <c r="B8" s="67" t="s">
        <v>145</v>
      </c>
      <c r="C8" s="67"/>
    </row>
    <row r="9" spans="2:5" x14ac:dyDescent="0.3">
      <c r="B9" t="s">
        <v>27</v>
      </c>
      <c r="C9" t="s">
        <v>19</v>
      </c>
      <c r="D9" t="s">
        <v>106</v>
      </c>
      <c r="E9" s="76" t="s">
        <v>105</v>
      </c>
    </row>
    <row r="10" spans="2:5" x14ac:dyDescent="0.3">
      <c r="B10" t="s">
        <v>102</v>
      </c>
      <c r="C10" t="s">
        <v>114</v>
      </c>
      <c r="D10" t="s">
        <v>77</v>
      </c>
      <c r="E10" s="70" t="s">
        <v>103</v>
      </c>
    </row>
    <row r="11" spans="2:5" x14ac:dyDescent="0.3">
      <c r="B11" t="s">
        <v>104</v>
      </c>
      <c r="D11" t="s">
        <v>107</v>
      </c>
      <c r="E11" s="77">
        <v>210000000</v>
      </c>
    </row>
    <row r="12" spans="2:5" x14ac:dyDescent="0.3">
      <c r="B12" t="s">
        <v>209</v>
      </c>
      <c r="D12" t="s">
        <v>108</v>
      </c>
      <c r="E12" s="70">
        <v>7850</v>
      </c>
    </row>
    <row r="13" spans="2:5" x14ac:dyDescent="0.3">
      <c r="B13" t="s">
        <v>109</v>
      </c>
      <c r="C13" t="s">
        <v>131</v>
      </c>
      <c r="D13" t="s">
        <v>110</v>
      </c>
      <c r="E13" s="71">
        <v>1</v>
      </c>
    </row>
    <row r="14" spans="2:5" x14ac:dyDescent="0.3">
      <c r="B14" t="s">
        <v>111</v>
      </c>
      <c r="C14" t="s">
        <v>130</v>
      </c>
      <c r="D14" t="s">
        <v>112</v>
      </c>
      <c r="E14" s="70">
        <v>5</v>
      </c>
    </row>
    <row r="15" spans="2:5" x14ac:dyDescent="0.3">
      <c r="B15" t="s">
        <v>113</v>
      </c>
      <c r="C15" t="s">
        <v>131</v>
      </c>
      <c r="D15" t="s">
        <v>110</v>
      </c>
      <c r="E15" s="71">
        <v>1</v>
      </c>
    </row>
    <row r="16" spans="2:5" x14ac:dyDescent="0.3">
      <c r="B16" t="s">
        <v>125</v>
      </c>
      <c r="D16" s="55" t="s">
        <v>121</v>
      </c>
      <c r="E16" s="70">
        <v>0.1</v>
      </c>
    </row>
    <row r="18" spans="2:6" x14ac:dyDescent="0.3">
      <c r="B18" t="s">
        <v>182</v>
      </c>
      <c r="F18" t="s">
        <v>183</v>
      </c>
    </row>
    <row r="20" spans="2:6" x14ac:dyDescent="0.3">
      <c r="B20" s="67" t="s">
        <v>146</v>
      </c>
      <c r="C20" s="67" t="s">
        <v>19</v>
      </c>
      <c r="D20" s="67" t="s">
        <v>213</v>
      </c>
      <c r="E20" s="67" t="s">
        <v>181</v>
      </c>
      <c r="F20" s="67" t="s">
        <v>212</v>
      </c>
    </row>
    <row r="21" spans="2:6" x14ac:dyDescent="0.3">
      <c r="B21" t="s">
        <v>184</v>
      </c>
      <c r="C21" t="s">
        <v>200</v>
      </c>
      <c r="D21" s="75" t="s">
        <v>77</v>
      </c>
      <c r="E21" s="75" t="s">
        <v>186</v>
      </c>
      <c r="F21" s="75"/>
    </row>
    <row r="22" spans="2:6" x14ac:dyDescent="0.3">
      <c r="B22" t="s">
        <v>185</v>
      </c>
      <c r="C22" t="s">
        <v>199</v>
      </c>
      <c r="D22" s="75" t="s">
        <v>77</v>
      </c>
      <c r="E22" s="75" t="s">
        <v>187</v>
      </c>
      <c r="F22" s="75"/>
    </row>
    <row r="23" spans="2:6" x14ac:dyDescent="0.3">
      <c r="B23" t="s">
        <v>147</v>
      </c>
      <c r="D23" s="75" t="s">
        <v>77</v>
      </c>
      <c r="E23" s="75" t="s">
        <v>188</v>
      </c>
      <c r="F23" s="75"/>
    </row>
    <row r="24" spans="2:6" x14ac:dyDescent="0.3">
      <c r="B24" t="s">
        <v>148</v>
      </c>
      <c r="D24" s="75" t="s">
        <v>77</v>
      </c>
      <c r="E24" s="75" t="s">
        <v>189</v>
      </c>
      <c r="F24" s="75"/>
    </row>
    <row r="25" spans="2:6" x14ac:dyDescent="0.3">
      <c r="B25" t="s">
        <v>149</v>
      </c>
      <c r="D25" s="75" t="s">
        <v>77</v>
      </c>
      <c r="E25" s="75" t="s">
        <v>190</v>
      </c>
      <c r="F25" s="75"/>
    </row>
    <row r="26" spans="2:6" x14ac:dyDescent="0.3">
      <c r="B26" t="s">
        <v>150</v>
      </c>
      <c r="D26" s="75" t="s">
        <v>77</v>
      </c>
      <c r="E26" s="75" t="s">
        <v>191</v>
      </c>
      <c r="F26" s="75"/>
    </row>
    <row r="27" spans="2:6" x14ac:dyDescent="0.3">
      <c r="B27" t="s">
        <v>151</v>
      </c>
      <c r="D27" s="75" t="s">
        <v>77</v>
      </c>
      <c r="E27" s="75" t="s">
        <v>192</v>
      </c>
      <c r="F27" s="75"/>
    </row>
    <row r="28" spans="2:6" x14ac:dyDescent="0.3">
      <c r="B28" t="s">
        <v>152</v>
      </c>
      <c r="D28" s="75" t="s">
        <v>77</v>
      </c>
      <c r="E28" s="75" t="s">
        <v>193</v>
      </c>
      <c r="F28" s="75"/>
    </row>
    <row r="29" spans="2:6" x14ac:dyDescent="0.3">
      <c r="B29" t="s">
        <v>153</v>
      </c>
      <c r="D29" s="75" t="s">
        <v>77</v>
      </c>
      <c r="E29" s="75">
        <v>501</v>
      </c>
      <c r="F29" s="75"/>
    </row>
    <row r="30" spans="2:6" x14ac:dyDescent="0.3">
      <c r="B30" t="s">
        <v>154</v>
      </c>
      <c r="D30" t="s">
        <v>217</v>
      </c>
      <c r="E30" s="75">
        <v>4630000000</v>
      </c>
      <c r="F30" s="75"/>
    </row>
    <row r="31" spans="2:6" x14ac:dyDescent="0.3">
      <c r="B31" t="s">
        <v>155</v>
      </c>
      <c r="D31" t="s">
        <v>217</v>
      </c>
      <c r="E31" s="75">
        <v>900000000000</v>
      </c>
      <c r="F31" s="75"/>
    </row>
    <row r="32" spans="2:6" x14ac:dyDescent="0.3">
      <c r="B32" t="s">
        <v>156</v>
      </c>
      <c r="D32" t="s">
        <v>217</v>
      </c>
      <c r="E32" s="75">
        <v>-46200000000</v>
      </c>
      <c r="F32" s="75"/>
    </row>
    <row r="33" spans="2:6" x14ac:dyDescent="0.3">
      <c r="B33" t="s">
        <v>157</v>
      </c>
      <c r="D33" t="s">
        <v>218</v>
      </c>
      <c r="E33" s="75">
        <v>170000</v>
      </c>
      <c r="F33" s="75"/>
    </row>
    <row r="34" spans="2:6" x14ac:dyDescent="0.3">
      <c r="B34" t="s">
        <v>158</v>
      </c>
      <c r="D34" t="s">
        <v>218</v>
      </c>
      <c r="E34" s="75">
        <v>360000000</v>
      </c>
      <c r="F34" s="75"/>
    </row>
    <row r="35" spans="2:6" x14ac:dyDescent="0.3">
      <c r="B35" t="s">
        <v>159</v>
      </c>
      <c r="D35" t="s">
        <v>218</v>
      </c>
      <c r="E35" s="75">
        <v>0</v>
      </c>
      <c r="F35" s="75"/>
    </row>
    <row r="36" spans="2:6" x14ac:dyDescent="0.3">
      <c r="B36" t="s">
        <v>160</v>
      </c>
      <c r="D36" s="75"/>
      <c r="E36" s="75">
        <v>2</v>
      </c>
      <c r="F36" s="75"/>
    </row>
    <row r="37" spans="2:6" x14ac:dyDescent="0.3">
      <c r="B37" t="s">
        <v>222</v>
      </c>
      <c r="D37" s="75"/>
      <c r="E37" s="75">
        <v>10</v>
      </c>
      <c r="F37" s="75"/>
    </row>
    <row r="38" spans="2:6" x14ac:dyDescent="0.3">
      <c r="B38" t="s">
        <v>161</v>
      </c>
      <c r="D38" s="75" t="s">
        <v>218</v>
      </c>
      <c r="E38" s="75">
        <v>1</v>
      </c>
      <c r="F38" s="75"/>
    </row>
    <row r="39" spans="2:6" x14ac:dyDescent="0.3">
      <c r="B39" t="s">
        <v>162</v>
      </c>
      <c r="D39" s="75" t="s">
        <v>219</v>
      </c>
      <c r="E39" s="75">
        <v>1027</v>
      </c>
      <c r="F39" s="75"/>
    </row>
    <row r="40" spans="2:6" x14ac:dyDescent="0.3">
      <c r="B40" t="s">
        <v>202</v>
      </c>
      <c r="C40" t="s">
        <v>198</v>
      </c>
      <c r="D40" s="75" t="s">
        <v>121</v>
      </c>
      <c r="E40" s="75" t="s">
        <v>194</v>
      </c>
      <c r="F40" s="75" t="s">
        <v>210</v>
      </c>
    </row>
    <row r="41" spans="2:6" x14ac:dyDescent="0.3">
      <c r="B41" t="s">
        <v>203</v>
      </c>
      <c r="C41" t="s">
        <v>198</v>
      </c>
      <c r="D41" s="75" t="s">
        <v>121</v>
      </c>
      <c r="E41" s="75" t="s">
        <v>194</v>
      </c>
      <c r="F41" s="75"/>
    </row>
    <row r="42" spans="2:6" x14ac:dyDescent="0.3">
      <c r="B42" t="s">
        <v>163</v>
      </c>
      <c r="D42" s="75" t="s">
        <v>219</v>
      </c>
      <c r="E42" s="75">
        <v>1325</v>
      </c>
      <c r="F42" s="75"/>
    </row>
    <row r="43" spans="2:6" x14ac:dyDescent="0.3">
      <c r="B43" t="s">
        <v>164</v>
      </c>
      <c r="D43" s="75"/>
      <c r="E43" s="75">
        <v>2</v>
      </c>
      <c r="F43" s="75"/>
    </row>
    <row r="44" spans="2:6" x14ac:dyDescent="0.3">
      <c r="B44" t="s">
        <v>165</v>
      </c>
      <c r="D44" s="75"/>
      <c r="E44" s="75">
        <v>300</v>
      </c>
      <c r="F44" s="75"/>
    </row>
    <row r="45" spans="2:6" x14ac:dyDescent="0.3">
      <c r="B45" t="s">
        <v>166</v>
      </c>
      <c r="D45" s="75"/>
      <c r="E45" s="75">
        <v>10</v>
      </c>
      <c r="F45" s="75"/>
    </row>
    <row r="46" spans="2:6" x14ac:dyDescent="0.3">
      <c r="B46" t="s">
        <v>167</v>
      </c>
      <c r="D46" s="75" t="s">
        <v>210</v>
      </c>
      <c r="E46" s="75">
        <v>7.4999999999999997E-3</v>
      </c>
      <c r="F46" s="75"/>
    </row>
    <row r="47" spans="2:6" x14ac:dyDescent="0.3">
      <c r="B47" t="s">
        <v>168</v>
      </c>
      <c r="D47" s="75" t="s">
        <v>210</v>
      </c>
      <c r="E47" s="75">
        <v>6.4000000000000003E-3</v>
      </c>
      <c r="F47" s="75"/>
    </row>
    <row r="48" spans="2:6" x14ac:dyDescent="0.3">
      <c r="B48" t="s">
        <v>169</v>
      </c>
      <c r="D48" s="75" t="s">
        <v>220</v>
      </c>
      <c r="E48" s="75">
        <v>36</v>
      </c>
      <c r="F48" s="75"/>
    </row>
    <row r="49" spans="2:6" x14ac:dyDescent="0.3">
      <c r="B49" t="s">
        <v>172</v>
      </c>
      <c r="D49" s="75" t="s">
        <v>210</v>
      </c>
      <c r="E49" s="75">
        <v>5</v>
      </c>
      <c r="F49" s="75" t="s">
        <v>211</v>
      </c>
    </row>
    <row r="50" spans="2:6" x14ac:dyDescent="0.3">
      <c r="B50" t="s">
        <v>170</v>
      </c>
      <c r="D50" s="75" t="s">
        <v>210</v>
      </c>
      <c r="E50" s="75">
        <v>10000000</v>
      </c>
      <c r="F50" s="75"/>
    </row>
    <row r="51" spans="2:6" x14ac:dyDescent="0.3">
      <c r="B51" t="s">
        <v>171</v>
      </c>
      <c r="D51" s="75" t="s">
        <v>210</v>
      </c>
      <c r="E51" s="75">
        <v>0.89500000000000002</v>
      </c>
      <c r="F51" s="75"/>
    </row>
    <row r="52" spans="2:6" x14ac:dyDescent="0.3">
      <c r="B52" t="s">
        <v>173</v>
      </c>
      <c r="C52" t="s">
        <v>201</v>
      </c>
      <c r="D52" s="75" t="s">
        <v>121</v>
      </c>
      <c r="E52" s="75" t="s">
        <v>194</v>
      </c>
      <c r="F52" s="75"/>
    </row>
    <row r="53" spans="2:6" x14ac:dyDescent="0.3">
      <c r="B53" t="s">
        <v>174</v>
      </c>
      <c r="C53" t="s">
        <v>198</v>
      </c>
      <c r="D53" s="75" t="s">
        <v>121</v>
      </c>
      <c r="E53" s="75" t="s">
        <v>196</v>
      </c>
      <c r="F53" s="75">
        <v>140</v>
      </c>
    </row>
    <row r="54" spans="2:6" x14ac:dyDescent="0.3">
      <c r="B54" t="s">
        <v>175</v>
      </c>
      <c r="D54" s="75" t="s">
        <v>210</v>
      </c>
      <c r="E54" s="75">
        <v>0.11</v>
      </c>
      <c r="F54" s="75"/>
    </row>
    <row r="55" spans="2:6" x14ac:dyDescent="0.3">
      <c r="B55" t="s">
        <v>176</v>
      </c>
      <c r="D55" s="75" t="s">
        <v>221</v>
      </c>
      <c r="E55" s="75">
        <v>0</v>
      </c>
      <c r="F55" s="75"/>
    </row>
    <row r="56" spans="2:6" x14ac:dyDescent="0.3">
      <c r="B56" t="s">
        <v>177</v>
      </c>
      <c r="D56" s="75" t="s">
        <v>77</v>
      </c>
      <c r="E56" s="75">
        <v>0</v>
      </c>
      <c r="F56" s="75"/>
    </row>
    <row r="57" spans="2:6" x14ac:dyDescent="0.3">
      <c r="B57" t="s">
        <v>178</v>
      </c>
      <c r="D57" s="75" t="s">
        <v>77</v>
      </c>
      <c r="E57" s="75">
        <v>1</v>
      </c>
      <c r="F57" s="75"/>
    </row>
    <row r="58" spans="2:6" x14ac:dyDescent="0.3">
      <c r="B58" t="s">
        <v>179</v>
      </c>
      <c r="D58" s="75" t="s">
        <v>77</v>
      </c>
      <c r="E58" s="75" t="s">
        <v>197</v>
      </c>
      <c r="F58" s="75"/>
    </row>
    <row r="59" spans="2:6" x14ac:dyDescent="0.3">
      <c r="B59" t="s">
        <v>180</v>
      </c>
      <c r="C59" t="s">
        <v>214</v>
      </c>
      <c r="D59" s="75"/>
      <c r="E59" s="75" t="s">
        <v>205</v>
      </c>
      <c r="F59" s="7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N59"/>
  <sheetViews>
    <sheetView zoomScale="85" zoomScaleNormal="85" workbookViewId="0">
      <selection activeCell="H17" sqref="H17:L17"/>
    </sheetView>
  </sheetViews>
  <sheetFormatPr baseColWidth="10" defaultRowHeight="14.4" x14ac:dyDescent="0.3"/>
  <cols>
    <col min="2" max="2" width="53.6640625" customWidth="1"/>
    <col min="3" max="3" width="25.441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9" max="9" width="16.5546875" customWidth="1"/>
    <col min="10" max="10" width="26.109375" customWidth="1"/>
    <col min="11" max="11" width="25.6640625" customWidth="1"/>
    <col min="12" max="12" width="21.44140625" customWidth="1"/>
    <col min="13" max="13" width="61.5546875" customWidth="1"/>
  </cols>
  <sheetData>
    <row r="2" spans="2:14" ht="31.2" x14ac:dyDescent="0.6">
      <c r="B2" s="63" t="s">
        <v>226</v>
      </c>
      <c r="C2" s="63"/>
    </row>
    <row r="5" spans="2:14" ht="18" customHeight="1" x14ac:dyDescent="0.3"/>
    <row r="6" spans="2:14" x14ac:dyDescent="0.3">
      <c r="B6" t="s">
        <v>246</v>
      </c>
    </row>
    <row r="8" spans="2:14" x14ac:dyDescent="0.3">
      <c r="B8" s="76" t="s">
        <v>233</v>
      </c>
      <c r="C8" s="82" t="s">
        <v>85</v>
      </c>
      <c r="D8" s="84" t="s">
        <v>249</v>
      </c>
      <c r="E8" t="s">
        <v>95</v>
      </c>
      <c r="F8" t="s">
        <v>94</v>
      </c>
      <c r="G8" t="s">
        <v>87</v>
      </c>
      <c r="H8" t="s">
        <v>227</v>
      </c>
      <c r="I8" t="s">
        <v>228</v>
      </c>
      <c r="J8" t="s">
        <v>229</v>
      </c>
      <c r="K8" t="s">
        <v>231</v>
      </c>
      <c r="L8" t="s">
        <v>230</v>
      </c>
    </row>
    <row r="9" spans="2:14" x14ac:dyDescent="0.3">
      <c r="B9" s="72" t="s">
        <v>234</v>
      </c>
      <c r="C9" s="55" t="s">
        <v>83</v>
      </c>
      <c r="D9" s="55" t="s">
        <v>91</v>
      </c>
      <c r="E9" s="55">
        <v>20.100000000000001</v>
      </c>
      <c r="F9" s="55">
        <v>20.100000000000001</v>
      </c>
      <c r="G9" s="55">
        <v>20000</v>
      </c>
      <c r="H9" s="55"/>
      <c r="I9" s="55"/>
      <c r="J9" s="55"/>
      <c r="K9" s="55"/>
      <c r="L9" s="55"/>
    </row>
    <row r="10" spans="2:14" x14ac:dyDescent="0.3">
      <c r="B10" s="72" t="s">
        <v>234</v>
      </c>
      <c r="C10" s="55" t="s">
        <v>83</v>
      </c>
      <c r="D10" s="55" t="s">
        <v>92</v>
      </c>
      <c r="E10" s="55">
        <v>14</v>
      </c>
      <c r="F10" s="55">
        <v>14</v>
      </c>
      <c r="G10" s="55">
        <v>5000</v>
      </c>
      <c r="H10" s="55"/>
      <c r="I10" s="55"/>
      <c r="J10" s="55"/>
      <c r="K10" s="55"/>
      <c r="L10" s="55"/>
    </row>
    <row r="11" spans="2:14" x14ac:dyDescent="0.3">
      <c r="B11" s="72" t="s">
        <v>234</v>
      </c>
      <c r="C11" s="55" t="s">
        <v>83</v>
      </c>
      <c r="D11" s="55" t="s">
        <v>243</v>
      </c>
      <c r="E11" s="55">
        <v>11</v>
      </c>
      <c r="F11" s="55">
        <v>11</v>
      </c>
      <c r="G11" s="55">
        <v>1</v>
      </c>
      <c r="H11" s="55"/>
      <c r="I11" s="55"/>
      <c r="J11" s="55"/>
      <c r="K11" s="55"/>
      <c r="L11" s="55"/>
    </row>
    <row r="12" spans="2:14" x14ac:dyDescent="0.3">
      <c r="B12" s="72" t="s">
        <v>234</v>
      </c>
      <c r="C12" s="55" t="s">
        <v>83</v>
      </c>
      <c r="D12" s="55" t="s">
        <v>93</v>
      </c>
      <c r="E12" s="55">
        <v>6.1</v>
      </c>
      <c r="F12" s="55">
        <v>6.1</v>
      </c>
      <c r="G12" s="55">
        <v>200</v>
      </c>
      <c r="H12" s="55"/>
      <c r="I12" s="55"/>
      <c r="J12" s="55"/>
      <c r="K12" s="55"/>
      <c r="L12" s="55"/>
    </row>
    <row r="13" spans="2:14" x14ac:dyDescent="0.3">
      <c r="B13" s="72" t="s">
        <v>234</v>
      </c>
      <c r="C13" s="55" t="s">
        <v>83</v>
      </c>
      <c r="D13" s="55" t="s">
        <v>88</v>
      </c>
      <c r="E13" s="55">
        <v>5.6</v>
      </c>
      <c r="F13" s="55">
        <v>5.6</v>
      </c>
      <c r="G13" s="55">
        <v>60000</v>
      </c>
      <c r="H13" s="55"/>
      <c r="I13" s="55"/>
      <c r="J13" s="55"/>
      <c r="K13" s="55"/>
      <c r="L13" s="55"/>
    </row>
    <row r="14" spans="2:14" x14ac:dyDescent="0.3">
      <c r="B14" s="72" t="s">
        <v>234</v>
      </c>
      <c r="C14" s="55" t="s">
        <v>69</v>
      </c>
      <c r="D14" s="55" t="s">
        <v>88</v>
      </c>
      <c r="E14" s="55">
        <v>5.6</v>
      </c>
      <c r="F14" s="55">
        <v>5.6</v>
      </c>
      <c r="G14" s="55">
        <v>60000</v>
      </c>
      <c r="H14" s="55"/>
      <c r="I14" s="55"/>
      <c r="J14" s="55"/>
      <c r="K14" s="55"/>
      <c r="L14" s="55"/>
    </row>
    <row r="15" spans="2:14" x14ac:dyDescent="0.3">
      <c r="B15" s="72" t="s">
        <v>234</v>
      </c>
      <c r="C15" s="55" t="s">
        <v>69</v>
      </c>
      <c r="D15" s="55" t="s">
        <v>89</v>
      </c>
      <c r="E15" s="55">
        <v>4.2</v>
      </c>
      <c r="F15" s="55">
        <v>4.2</v>
      </c>
      <c r="G15" s="55">
        <v>9000</v>
      </c>
      <c r="H15" s="55"/>
      <c r="I15" s="55"/>
      <c r="J15" s="55"/>
      <c r="K15" s="55"/>
      <c r="L15" s="55"/>
      <c r="M15" s="75"/>
      <c r="N15" s="75"/>
    </row>
    <row r="16" spans="2:14" x14ac:dyDescent="0.3">
      <c r="B16" s="72" t="s">
        <v>234</v>
      </c>
      <c r="C16" s="55" t="s">
        <v>69</v>
      </c>
      <c r="D16" s="55" t="s">
        <v>90</v>
      </c>
      <c r="E16" s="79">
        <v>2</v>
      </c>
      <c r="F16" s="79">
        <v>2</v>
      </c>
      <c r="G16" s="79">
        <v>80000</v>
      </c>
      <c r="H16" s="55"/>
      <c r="I16" s="55"/>
      <c r="J16" s="55"/>
      <c r="K16" s="55"/>
      <c r="L16" s="55"/>
      <c r="M16" s="75"/>
    </row>
    <row r="17" spans="2:13" x14ac:dyDescent="0.3">
      <c r="B17" s="72" t="s">
        <v>250</v>
      </c>
      <c r="C17" s="55" t="s">
        <v>83</v>
      </c>
      <c r="D17" s="55" t="s">
        <v>86</v>
      </c>
      <c r="E17" s="80"/>
      <c r="F17" s="80">
        <v>19.5</v>
      </c>
      <c r="G17" s="80">
        <v>5000</v>
      </c>
      <c r="H17" s="55">
        <v>1</v>
      </c>
      <c r="I17" s="55">
        <v>2</v>
      </c>
      <c r="J17" s="55">
        <v>3</v>
      </c>
      <c r="K17" s="55">
        <v>5</v>
      </c>
      <c r="L17" s="55">
        <v>5</v>
      </c>
      <c r="M17" s="75"/>
    </row>
    <row r="18" spans="2:13" x14ac:dyDescent="0.3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2:13" x14ac:dyDescent="0.3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2:13" x14ac:dyDescent="0.3">
      <c r="B20" s="67"/>
      <c r="C20" s="67"/>
      <c r="D20" s="67"/>
      <c r="F20" s="75"/>
      <c r="G20" s="75"/>
      <c r="H20" s="75"/>
      <c r="I20" s="75"/>
      <c r="J20" s="75"/>
      <c r="K20" s="75"/>
      <c r="L20" s="75"/>
      <c r="M20" s="75"/>
    </row>
    <row r="21" spans="2:13" x14ac:dyDescent="0.3"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3">
      <c r="D22" s="75"/>
      <c r="E22" s="75"/>
      <c r="F22" s="75"/>
      <c r="G22" s="75"/>
      <c r="H22" s="75"/>
      <c r="I22" s="75"/>
      <c r="J22" s="75"/>
      <c r="K22" s="75"/>
      <c r="L22" s="75"/>
      <c r="M22" s="75"/>
    </row>
    <row r="23" spans="2:13" x14ac:dyDescent="0.3">
      <c r="D23" s="75"/>
      <c r="E23" s="75"/>
      <c r="F23" s="75"/>
      <c r="G23" s="75"/>
      <c r="H23" s="75"/>
      <c r="I23" s="75"/>
      <c r="J23" s="75"/>
      <c r="K23" s="75"/>
      <c r="L23" s="75"/>
      <c r="M23" s="75"/>
    </row>
    <row r="24" spans="2:13" x14ac:dyDescent="0.3">
      <c r="D24" s="75"/>
      <c r="E24" s="75"/>
      <c r="F24" s="75"/>
      <c r="G24" s="75"/>
      <c r="H24" s="75"/>
      <c r="I24" s="75"/>
      <c r="J24" s="75"/>
      <c r="K24" s="75"/>
      <c r="L24" s="75"/>
      <c r="M24" s="75"/>
    </row>
    <row r="25" spans="2:13" x14ac:dyDescent="0.3">
      <c r="D25" s="75"/>
      <c r="E25" s="75"/>
      <c r="F25" s="75"/>
      <c r="G25" s="75"/>
      <c r="H25" s="75"/>
      <c r="I25" s="75"/>
      <c r="J25" s="75"/>
      <c r="K25" s="75" t="s">
        <v>232</v>
      </c>
      <c r="L25" s="75"/>
      <c r="M25" s="75"/>
    </row>
    <row r="26" spans="2:13" x14ac:dyDescent="0.3"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G27" s="75"/>
      <c r="H27" s="75"/>
      <c r="I27" s="75"/>
      <c r="J27" s="75"/>
      <c r="K27" s="75"/>
      <c r="L27" s="75"/>
      <c r="M27" s="75"/>
    </row>
    <row r="28" spans="2:13" x14ac:dyDescent="0.3"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C29" s="75"/>
      <c r="E29" s="75"/>
      <c r="G29" s="75"/>
      <c r="H29" s="75"/>
      <c r="I29" s="75"/>
      <c r="J29" s="75"/>
      <c r="K29" s="75"/>
      <c r="L29" s="75"/>
      <c r="M29" s="75"/>
    </row>
    <row r="30" spans="2:13" x14ac:dyDescent="0.3">
      <c r="C30" s="75"/>
      <c r="E30" s="75"/>
      <c r="G30" s="75"/>
      <c r="H30" s="75"/>
      <c r="I30" s="75"/>
      <c r="J30" s="75"/>
      <c r="K30" s="75"/>
      <c r="L30" s="75"/>
      <c r="M30" s="75"/>
    </row>
    <row r="31" spans="2:13" x14ac:dyDescent="0.3">
      <c r="C31" s="75"/>
      <c r="E31" s="75"/>
      <c r="G31" s="75"/>
      <c r="H31" s="75"/>
      <c r="I31" s="75"/>
      <c r="J31" s="75"/>
      <c r="K31" s="75"/>
      <c r="L31" s="75"/>
      <c r="M31" s="75"/>
    </row>
    <row r="32" spans="2:13" x14ac:dyDescent="0.3">
      <c r="C32" s="75"/>
      <c r="E32" s="75"/>
      <c r="G32" s="75"/>
      <c r="H32" s="75"/>
      <c r="I32" s="75"/>
      <c r="J32" s="75"/>
      <c r="K32" s="75"/>
      <c r="L32" s="75"/>
      <c r="M32" s="75"/>
    </row>
    <row r="33" spans="3:13" x14ac:dyDescent="0.3">
      <c r="C33" s="75"/>
      <c r="E33" s="75"/>
      <c r="G33" s="75"/>
      <c r="H33" s="75"/>
      <c r="I33" s="75"/>
      <c r="J33" s="75"/>
      <c r="K33" s="75"/>
      <c r="L33" s="75"/>
      <c r="M33" s="75"/>
    </row>
    <row r="34" spans="3:13" x14ac:dyDescent="0.3">
      <c r="C34" s="75"/>
      <c r="E34" s="75"/>
      <c r="G34" s="75"/>
      <c r="H34" s="75"/>
      <c r="I34" s="75"/>
      <c r="J34" s="75"/>
      <c r="K34" s="75"/>
      <c r="L34" s="75"/>
      <c r="M34" s="75"/>
    </row>
    <row r="35" spans="3:13" x14ac:dyDescent="0.3">
      <c r="C35" s="75"/>
      <c r="E35" s="75"/>
      <c r="G35" s="75"/>
      <c r="H35" s="75"/>
      <c r="I35" s="75"/>
      <c r="J35" s="75"/>
      <c r="K35" s="75"/>
      <c r="L35" s="75"/>
      <c r="M35" s="75"/>
    </row>
    <row r="36" spans="3:13" x14ac:dyDescent="0.3">
      <c r="C36" s="75"/>
      <c r="E36" s="75"/>
      <c r="G36" s="75"/>
      <c r="H36" s="75"/>
      <c r="I36" s="75"/>
      <c r="J36" s="75"/>
      <c r="K36" s="75"/>
      <c r="L36" s="75"/>
      <c r="M36" s="75"/>
    </row>
    <row r="37" spans="3:13" x14ac:dyDescent="0.3">
      <c r="C37" s="75"/>
      <c r="E37" s="75"/>
      <c r="G37" s="75"/>
      <c r="H37" s="75"/>
      <c r="I37" s="75"/>
      <c r="J37" s="75"/>
      <c r="K37" s="75"/>
      <c r="L37" s="75"/>
      <c r="M37" s="75"/>
    </row>
    <row r="38" spans="3:13" x14ac:dyDescent="0.3">
      <c r="C38" s="75"/>
      <c r="E38" s="75"/>
      <c r="G38" s="75"/>
      <c r="H38" s="75"/>
      <c r="I38" s="75"/>
      <c r="J38" s="75"/>
      <c r="K38" s="75"/>
      <c r="L38" s="75"/>
      <c r="M38" s="75"/>
    </row>
    <row r="39" spans="3:13" x14ac:dyDescent="0.3">
      <c r="C39" s="75"/>
      <c r="E39" s="75"/>
      <c r="G39" s="75"/>
      <c r="H39" s="75"/>
      <c r="I39" s="75"/>
      <c r="J39" s="75"/>
      <c r="K39" s="75"/>
      <c r="L39" s="75"/>
      <c r="M39" s="75"/>
    </row>
    <row r="40" spans="3:13" x14ac:dyDescent="0.3">
      <c r="C40" s="75"/>
      <c r="E40" s="75"/>
      <c r="G40" s="75"/>
      <c r="H40" s="75"/>
      <c r="I40" s="75"/>
      <c r="J40" s="75"/>
      <c r="K40" s="75"/>
      <c r="L40" s="75"/>
      <c r="M40" s="75"/>
    </row>
    <row r="41" spans="3:13" x14ac:dyDescent="0.3">
      <c r="C41" s="75"/>
      <c r="E41" s="75"/>
      <c r="G41" s="75"/>
      <c r="H41" s="75"/>
      <c r="I41" s="75"/>
      <c r="J41" s="75"/>
      <c r="K41" s="75"/>
      <c r="L41" s="75"/>
      <c r="M41" s="75"/>
    </row>
    <row r="42" spans="3:13" x14ac:dyDescent="0.3"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3:13" x14ac:dyDescent="0.3"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3:13" x14ac:dyDescent="0.3">
      <c r="D44" s="75"/>
      <c r="E44" s="75"/>
      <c r="F44" s="75"/>
      <c r="G44" s="75"/>
      <c r="H44" s="75"/>
      <c r="I44" s="75"/>
      <c r="J44" s="75"/>
      <c r="K44" s="75"/>
      <c r="L44" s="75"/>
      <c r="M44" s="75"/>
    </row>
    <row r="45" spans="3:13" x14ac:dyDescent="0.3"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3:13" x14ac:dyDescent="0.3">
      <c r="D46" s="75"/>
      <c r="E46" s="75"/>
      <c r="F46" s="75"/>
      <c r="G46" s="75"/>
      <c r="H46" s="75"/>
      <c r="I46" s="75"/>
      <c r="J46" s="75"/>
      <c r="K46" s="75"/>
      <c r="L46" s="75"/>
      <c r="M46" s="75"/>
    </row>
    <row r="47" spans="3:13" x14ac:dyDescent="0.3">
      <c r="D47" s="75"/>
      <c r="E47" s="75"/>
      <c r="F47" s="75"/>
      <c r="G47" s="75"/>
      <c r="H47" s="75"/>
      <c r="I47" s="75"/>
      <c r="J47" s="75"/>
      <c r="K47" s="75"/>
      <c r="L47" s="75"/>
      <c r="M47" s="75"/>
    </row>
    <row r="48" spans="3:13" x14ac:dyDescent="0.3"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4:13" x14ac:dyDescent="0.3"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4:13" x14ac:dyDescent="0.3">
      <c r="D50" s="75"/>
      <c r="E50" s="75"/>
      <c r="F50" s="75"/>
      <c r="G50" s="75"/>
      <c r="H50" s="75"/>
      <c r="I50" s="75"/>
      <c r="J50" s="75"/>
      <c r="K50" s="75"/>
      <c r="L50" s="75"/>
      <c r="M50" s="75"/>
    </row>
    <row r="51" spans="4:13" x14ac:dyDescent="0.3">
      <c r="D51" s="75"/>
      <c r="E51" s="75"/>
      <c r="F51" s="75"/>
      <c r="G51" s="75"/>
      <c r="H51" s="75"/>
      <c r="I51" s="75"/>
      <c r="J51" s="75"/>
      <c r="K51" s="75"/>
      <c r="L51" s="75"/>
      <c r="M51" s="75"/>
    </row>
    <row r="52" spans="4:13" x14ac:dyDescent="0.3">
      <c r="D52" s="75"/>
      <c r="E52" s="75"/>
    </row>
    <row r="53" spans="4:13" x14ac:dyDescent="0.3">
      <c r="D53" s="75"/>
      <c r="E53" s="75"/>
    </row>
    <row r="54" spans="4:13" x14ac:dyDescent="0.3">
      <c r="D54" s="75"/>
      <c r="E54" s="75"/>
    </row>
    <row r="55" spans="4:13" x14ac:dyDescent="0.3">
      <c r="D55" s="75"/>
      <c r="E55" s="75"/>
    </row>
    <row r="56" spans="4:13" x14ac:dyDescent="0.3">
      <c r="D56" s="75"/>
      <c r="E56" s="75"/>
    </row>
    <row r="57" spans="4:13" x14ac:dyDescent="0.3">
      <c r="D57" s="75"/>
      <c r="E57" s="75"/>
    </row>
    <row r="58" spans="4:13" x14ac:dyDescent="0.3">
      <c r="D58" s="75"/>
      <c r="E58" s="75"/>
    </row>
    <row r="59" spans="4:13" x14ac:dyDescent="0.3">
      <c r="D59" s="75"/>
      <c r="E59" s="7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ill_WLGenMasses">
                <anchor moveWithCells="1" sizeWithCells="1">
                  <from>
                    <xdr:col>1</xdr:col>
                    <xdr:colOff>2156460</xdr:colOff>
                    <xdr:row>3</xdr:row>
                    <xdr:rowOff>175260</xdr:rowOff>
                  </from>
                  <to>
                    <xdr:col>2</xdr:col>
                    <xdr:colOff>1173480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68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245</v>
      </c>
    </row>
    <row r="13" spans="2:4" ht="17.25" customHeight="1" x14ac:dyDescent="0.3">
      <c r="B13" s="49" t="s">
        <v>59</v>
      </c>
    </row>
    <row r="14" spans="2:4" ht="17.25" customHeight="1" x14ac:dyDescent="0.3">
      <c r="B14" s="49" t="s">
        <v>60</v>
      </c>
    </row>
    <row r="15" spans="2:4" ht="17.25" customHeight="1" x14ac:dyDescent="0.3">
      <c r="B15" s="49" t="s">
        <v>61</v>
      </c>
    </row>
    <row r="16" spans="2:4" ht="17.25" customHeight="1" x14ac:dyDescent="0.3">
      <c r="B16" s="49" t="s">
        <v>62</v>
      </c>
    </row>
    <row r="17" spans="2:2" ht="17.25" customHeight="1" x14ac:dyDescent="0.3">
      <c r="B17" s="49" t="s">
        <v>63</v>
      </c>
    </row>
    <row r="18" spans="2:2" ht="17.25" customHeight="1" x14ac:dyDescent="0.3">
      <c r="B18" s="49" t="s">
        <v>64</v>
      </c>
    </row>
    <row r="19" spans="2:2" ht="17.25" customHeight="1" x14ac:dyDescent="0.3">
      <c r="B19" s="49" t="s">
        <v>65</v>
      </c>
    </row>
    <row r="20" spans="2:2" ht="17.25" customHeight="1" x14ac:dyDescent="0.3">
      <c r="B20" s="49" t="s">
        <v>66</v>
      </c>
    </row>
    <row r="21" spans="2:2" ht="17.25" customHeight="1" x14ac:dyDescent="0.3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30</vt:i4>
      </vt:variant>
    </vt:vector>
  </HeadingPairs>
  <TitlesOfParts>
    <vt:vector size="37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Assambly_plot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2025-07-18T09:40:49Z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