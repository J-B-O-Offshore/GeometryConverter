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409B6F60-1688-454F-BDCE-A635A940A254}" xr6:coauthVersionLast="47" xr6:coauthVersionMax="47" xr10:uidLastSave="{00000000-0000-0000-0000-000000000000}"/>
  <bookViews>
    <workbookView xWindow="28680" yWindow="-120" windowWidth="29040" windowHeight="15720" activeTab="1" xr2:uid="{52C6B389-4C94-430F-9043-C68D8C94A3E4}"/>
  </bookViews>
  <sheets>
    <sheet name="GlobalConfig" sheetId="9" r:id="rId1"/>
    <sheet name="CreateStucture" sheetId="1" r:id="rId2"/>
    <sheet name="BuildYourStructure" sheetId="5" r:id="rId3"/>
    <sheet name="StructureOverview" sheetId="6" r:id="rId4"/>
    <sheet name="ExportStructure" sheetId="7" r:id="rId5"/>
    <sheet name="WLGen" sheetId="8" r:id="rId6"/>
    <sheet name="Loop" sheetId="3" r:id="rId7"/>
  </sheets>
  <functionGroups builtInGroupCount="19"/>
  <externalReferences>
    <externalReference r:id="rId8"/>
  </externalReferences>
  <definedNames>
    <definedName name="_xleta.N" hidden="1" xlm="1">#NAME?</definedName>
    <definedName name="_xleta.T" hidden="1" xlm="1">#NAME?</definedName>
    <definedName name="DISPL_MP">BuildYourStructure!$F$21</definedName>
    <definedName name="DISPL_TP">BuildYourStructure!$BB$21</definedName>
    <definedName name="Import_GeomConv_path">BuildYourStructure!$B$14</definedName>
    <definedName name="Import_MP_path">BuildYourStructure!$B$9</definedName>
    <definedName name="JBOOST_Path">ExportStructure!$B$6</definedName>
    <definedName name="MOVE_STRUCT">BuildYourStructure!$E$21</definedName>
    <definedName name="PROJECT_PARAMETERS">JBOOST_PROJECT[[#Headers],[Project Settings]]</definedName>
    <definedName name="python_script_path">GlobalConfig!$C$3</definedName>
    <definedName name="python_scripts_path">GlobalConfig!$C$3</definedName>
    <definedName name="RNA_CURR_TRUE">RNA_DATA_TRUE[[#Headers],[Identifier]]</definedName>
    <definedName name="RNA_META_FULL36">#REF!</definedName>
    <definedName name="SKIRT_MASS">StructureOverview!$AB$15</definedName>
    <definedName name="Table_MP_DATA">BuildYourStructure!$W$30</definedName>
    <definedName name="Table_MP_META">BuildYourStructure!$B$24</definedName>
    <definedName name="Table_TP_DATA">BuildYourStructure!#REF!</definedName>
    <definedName name="Table_TP_META">BuildYourStructure!$AV$24</definedName>
    <definedName name="Text">BuildYourStructure!$CQ$19</definedName>
    <definedName name="TextBox_Import_MP_path">BuildYourStructure!$B$9</definedName>
    <definedName name="TextBox_MP_db_path">BuildYourStructure!$C$19</definedName>
    <definedName name="TextBox_RNA_db_path">BuildYourStructure!$EK$19</definedName>
    <definedName name="TextBox_TOWER_db_path">BuildYourStructure!$CQ$19</definedName>
    <definedName name="TextBox_TP_db_path">BuildYourStructure!$AW$19</definedName>
    <definedName name="TextBox_TWR_db_path">#REF!</definedName>
    <definedName name="Use_MP">BuildYourStructure!$E$6</definedName>
    <definedName name="USE_TP">BuildYourStructure!$E$8</definedName>
    <definedName name="UseMPGeomConv">BuildYourStructure!$F$11</definedName>
    <definedName name="UseTOWERGeomConv">BuildYourStructure!$F$13</definedName>
    <definedName name="UseTPGeomConv">BuildYourStructure!$F$12</definedName>
    <definedName name="WLGen_path">WLGen!$B$6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9" i="5" l="1"/>
  <c r="C8" i="6"/>
  <c r="CV32" i="5"/>
  <c r="CV33" i="5"/>
  <c r="CV34" i="5"/>
  <c r="CV35" i="5"/>
  <c r="CV36" i="5"/>
  <c r="CV37" i="5"/>
  <c r="CV38" i="5"/>
  <c r="CV39" i="5"/>
  <c r="CV40" i="5"/>
  <c r="CV41" i="5"/>
  <c r="CV42" i="5"/>
  <c r="CV43" i="5"/>
  <c r="CV44" i="5"/>
  <c r="CV45" i="5"/>
  <c r="CV46" i="5"/>
  <c r="CV47" i="5"/>
  <c r="CV48" i="5"/>
  <c r="CV49" i="5"/>
  <c r="CV50" i="5"/>
  <c r="CV51" i="5"/>
  <c r="CV52" i="5"/>
  <c r="CV53" i="5"/>
  <c r="CV54" i="5"/>
  <c r="CV55" i="5"/>
  <c r="CV56" i="5"/>
  <c r="CV57" i="5"/>
  <c r="CV58" i="5"/>
  <c r="CV59" i="5"/>
  <c r="CV60" i="5"/>
  <c r="CV61" i="5"/>
  <c r="CV62" i="5"/>
  <c r="CV63" i="5"/>
  <c r="CV64" i="5"/>
  <c r="CV65" i="5"/>
  <c r="CV66" i="5"/>
  <c r="CV67" i="5"/>
  <c r="CV68" i="5"/>
  <c r="CV69" i="5"/>
  <c r="CV70" i="5"/>
  <c r="CV71" i="5"/>
  <c r="CV72" i="5"/>
  <c r="CV73" i="5"/>
  <c r="CV74" i="5"/>
  <c r="CV75" i="5"/>
  <c r="CV76" i="5"/>
  <c r="CV77" i="5"/>
  <c r="CV78" i="5"/>
  <c r="CV79" i="5"/>
  <c r="CV80" i="5"/>
  <c r="CV81" i="5"/>
  <c r="CV82" i="5"/>
  <c r="CV83" i="5"/>
  <c r="CV84" i="5"/>
  <c r="CV85" i="5"/>
  <c r="CV86" i="5"/>
  <c r="CV87" i="5"/>
  <c r="CV88" i="5"/>
  <c r="CV89" i="5"/>
  <c r="CV90" i="5"/>
  <c r="CV91" i="5"/>
  <c r="CV92" i="5"/>
  <c r="CV93" i="5"/>
  <c r="CV94" i="5"/>
  <c r="CV95" i="5"/>
  <c r="CV96" i="5"/>
  <c r="CV97" i="5"/>
  <c r="CV98" i="5"/>
  <c r="CV99" i="5"/>
  <c r="CV100" i="5"/>
  <c r="CV101" i="5"/>
  <c r="CV102" i="5"/>
  <c r="CV103" i="5"/>
  <c r="CV104" i="5"/>
  <c r="CV105" i="5"/>
  <c r="CV106" i="5"/>
  <c r="CV107" i="5"/>
  <c r="CV108" i="5"/>
  <c r="CV109" i="5"/>
  <c r="CV110" i="5"/>
  <c r="CV111" i="5"/>
  <c r="CV112" i="5"/>
  <c r="CV113" i="5"/>
  <c r="CV114" i="5"/>
  <c r="CV115" i="5"/>
  <c r="CV116" i="5"/>
  <c r="CV117" i="5"/>
  <c r="CV118" i="5"/>
  <c r="CV119" i="5"/>
  <c r="CV120" i="5"/>
  <c r="CV121" i="5"/>
  <c r="CV122" i="5"/>
  <c r="CV123" i="5"/>
  <c r="CV124" i="5"/>
  <c r="CV125" i="5"/>
  <c r="CV126" i="5"/>
  <c r="CV127" i="5"/>
  <c r="CV128" i="5"/>
  <c r="CV129" i="5"/>
  <c r="CV130" i="5"/>
  <c r="CV131" i="5"/>
  <c r="CV132" i="5"/>
  <c r="CV133" i="5"/>
  <c r="CV134" i="5"/>
  <c r="CV135" i="5"/>
  <c r="CV136" i="5"/>
  <c r="CV137" i="5"/>
  <c r="CV138" i="5"/>
  <c r="CV139" i="5"/>
  <c r="CV140" i="5"/>
  <c r="CV141" i="5"/>
  <c r="CV142" i="5"/>
  <c r="CV143" i="5"/>
  <c r="CV144" i="5"/>
  <c r="CV145" i="5"/>
  <c r="CV146" i="5"/>
  <c r="CV147" i="5"/>
  <c r="CV148" i="5"/>
  <c r="CV149" i="5"/>
  <c r="CV31" i="5"/>
  <c r="CX32" i="5"/>
  <c r="CX33" i="5"/>
  <c r="CX34" i="5"/>
  <c r="CX35" i="5"/>
  <c r="CX36" i="5"/>
  <c r="CX37" i="5"/>
  <c r="CX38" i="5"/>
  <c r="CX39" i="5"/>
  <c r="CX40" i="5"/>
  <c r="CX41" i="5"/>
  <c r="CX42" i="5"/>
  <c r="CX43" i="5"/>
  <c r="CX44" i="5"/>
  <c r="CX45" i="5"/>
  <c r="CX46" i="5"/>
  <c r="CX47" i="5"/>
  <c r="CX48" i="5"/>
  <c r="CX49" i="5"/>
  <c r="CX50" i="5"/>
  <c r="CX51" i="5"/>
  <c r="CX52" i="5"/>
  <c r="CX53" i="5"/>
  <c r="CX54" i="5"/>
  <c r="CX55" i="5"/>
  <c r="CX56" i="5"/>
  <c r="CX57" i="5"/>
  <c r="CX58" i="5"/>
  <c r="CX59" i="5"/>
  <c r="CX60" i="5"/>
  <c r="CX61" i="5"/>
  <c r="CX62" i="5"/>
  <c r="CX63" i="5"/>
  <c r="CX64" i="5"/>
  <c r="CX65" i="5"/>
  <c r="CX66" i="5"/>
  <c r="CX67" i="5"/>
  <c r="CX68" i="5"/>
  <c r="CX69" i="5"/>
  <c r="CX70" i="5"/>
  <c r="CX71" i="5"/>
  <c r="CX72" i="5"/>
  <c r="CX73" i="5"/>
  <c r="CX74" i="5"/>
  <c r="CX75" i="5"/>
  <c r="CX76" i="5"/>
  <c r="CX77" i="5"/>
  <c r="CX78" i="5"/>
  <c r="CX79" i="5"/>
  <c r="CX80" i="5"/>
  <c r="CX81" i="5"/>
  <c r="CX82" i="5"/>
  <c r="CX83" i="5"/>
  <c r="CX84" i="5"/>
  <c r="CX85" i="5"/>
  <c r="CX86" i="5"/>
  <c r="CX87" i="5"/>
  <c r="CX88" i="5"/>
  <c r="CX89" i="5"/>
  <c r="CX90" i="5"/>
  <c r="CX91" i="5"/>
  <c r="CX92" i="5"/>
  <c r="CX93" i="5"/>
  <c r="CX94" i="5"/>
  <c r="CX95" i="5"/>
  <c r="CX96" i="5"/>
  <c r="CX97" i="5"/>
  <c r="CX98" i="5"/>
  <c r="CX99" i="5"/>
  <c r="CX100" i="5"/>
  <c r="CX101" i="5"/>
  <c r="CX102" i="5"/>
  <c r="CX103" i="5"/>
  <c r="CX104" i="5"/>
  <c r="CX105" i="5"/>
  <c r="CX106" i="5"/>
  <c r="CX107" i="5"/>
  <c r="CX108" i="5"/>
  <c r="CX109" i="5"/>
  <c r="CX110" i="5"/>
  <c r="CX111" i="5"/>
  <c r="CX112" i="5"/>
  <c r="CX113" i="5"/>
  <c r="CX114" i="5"/>
  <c r="CX115" i="5"/>
  <c r="CX116" i="5"/>
  <c r="CX117" i="5"/>
  <c r="CX118" i="5"/>
  <c r="CX119" i="5"/>
  <c r="CX120" i="5"/>
  <c r="CX121" i="5"/>
  <c r="CX122" i="5"/>
  <c r="CX123" i="5"/>
  <c r="CX124" i="5"/>
  <c r="CX125" i="5"/>
  <c r="CX126" i="5"/>
  <c r="CX127" i="5"/>
  <c r="CX128" i="5"/>
  <c r="CX129" i="5"/>
  <c r="CX130" i="5"/>
  <c r="CX131" i="5"/>
  <c r="CX132" i="5"/>
  <c r="CX133" i="5"/>
  <c r="CX134" i="5"/>
  <c r="CX135" i="5"/>
  <c r="CX136" i="5"/>
  <c r="CX137" i="5"/>
  <c r="CX138" i="5"/>
  <c r="CX139" i="5"/>
  <c r="CX140" i="5"/>
  <c r="CX141" i="5"/>
  <c r="CX142" i="5"/>
  <c r="CX143" i="5"/>
  <c r="CX144" i="5"/>
  <c r="CX145" i="5"/>
  <c r="CX3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6" i="6" l="1" a="1"/>
  <c r="J6" i="6" s="1"/>
  <c r="J7" i="6"/>
  <c r="EQ146" i="5"/>
  <c r="EQ145" i="5"/>
  <c r="EQ144" i="5"/>
  <c r="EQ143" i="5"/>
  <c r="EQ142" i="5"/>
  <c r="EQ141" i="5"/>
  <c r="EQ140" i="5"/>
  <c r="EQ139" i="5"/>
  <c r="EQ138" i="5"/>
  <c r="EQ137" i="5"/>
  <c r="EQ136" i="5"/>
  <c r="EQ135" i="5"/>
  <c r="EQ134" i="5"/>
  <c r="EQ133" i="5"/>
  <c r="EQ132" i="5"/>
  <c r="EQ131" i="5"/>
  <c r="EQ130" i="5"/>
  <c r="EQ129" i="5"/>
  <c r="EQ128" i="5"/>
  <c r="EQ127" i="5"/>
  <c r="EQ126" i="5"/>
  <c r="EQ125" i="5"/>
  <c r="EQ124" i="5"/>
  <c r="EQ123" i="5"/>
  <c r="EQ122" i="5"/>
  <c r="EQ121" i="5"/>
  <c r="EQ120" i="5"/>
  <c r="EQ119" i="5"/>
  <c r="EQ118" i="5"/>
  <c r="EQ117" i="5"/>
  <c r="EQ116" i="5"/>
  <c r="EQ115" i="5"/>
  <c r="EQ114" i="5"/>
  <c r="EQ113" i="5"/>
  <c r="EQ112" i="5"/>
  <c r="EQ111" i="5"/>
  <c r="EQ110" i="5"/>
  <c r="EQ109" i="5"/>
  <c r="EQ108" i="5"/>
  <c r="EQ107" i="5"/>
  <c r="EQ106" i="5"/>
  <c r="EQ105" i="5"/>
  <c r="EQ104" i="5"/>
  <c r="EQ103" i="5"/>
  <c r="EQ102" i="5"/>
  <c r="EQ101" i="5"/>
  <c r="EQ100" i="5"/>
  <c r="AX17" i="6" l="1"/>
  <c r="AX16" i="6"/>
  <c r="AR17" i="6"/>
  <c r="AR16" i="6"/>
  <c r="J15" i="6" l="1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H31" i="5" l="1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K453" i="6"/>
  <c r="L453" i="6"/>
  <c r="J453" i="6"/>
  <c r="M453" i="6"/>
  <c r="K454" i="6"/>
  <c r="L454" i="6"/>
  <c r="J454" i="6"/>
  <c r="M454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L63" i="6"/>
  <c r="M63" i="6"/>
  <c r="L64" i="6"/>
  <c r="M64" i="6"/>
  <c r="K65" i="6"/>
  <c r="L65" i="6"/>
  <c r="M65" i="6"/>
  <c r="K66" i="6"/>
  <c r="L66" i="6"/>
  <c r="M66" i="6"/>
  <c r="K67" i="6"/>
  <c r="L67" i="6"/>
  <c r="M67" i="6"/>
  <c r="K68" i="6"/>
  <c r="L68" i="6"/>
  <c r="M68" i="6"/>
  <c r="M15" i="6"/>
  <c r="L15" i="6"/>
  <c r="J3" i="6" l="1"/>
  <c r="J4" i="6"/>
  <c r="J5" i="6"/>
  <c r="CY149" i="5"/>
  <c r="CW149" i="5"/>
  <c r="CY148" i="5"/>
  <c r="CW148" i="5"/>
  <c r="CY147" i="5"/>
  <c r="CW147" i="5"/>
  <c r="CY146" i="5"/>
  <c r="CW146" i="5"/>
  <c r="CY145" i="5"/>
  <c r="CW145" i="5"/>
  <c r="CY144" i="5"/>
  <c r="CW144" i="5"/>
  <c r="CY143" i="5"/>
  <c r="CW143" i="5"/>
  <c r="CY142" i="5"/>
  <c r="CW142" i="5"/>
  <c r="CY141" i="5"/>
  <c r="CW141" i="5"/>
  <c r="CY140" i="5"/>
  <c r="CW140" i="5"/>
  <c r="CY139" i="5"/>
  <c r="CW139" i="5"/>
  <c r="CY138" i="5"/>
  <c r="CW138" i="5"/>
  <c r="CY137" i="5"/>
  <c r="CW137" i="5"/>
  <c r="CY136" i="5"/>
  <c r="CW136" i="5"/>
  <c r="CY135" i="5"/>
  <c r="CW135" i="5"/>
  <c r="CY134" i="5"/>
  <c r="CW134" i="5"/>
  <c r="CY133" i="5"/>
  <c r="CW133" i="5"/>
  <c r="CY132" i="5"/>
  <c r="CW132" i="5"/>
  <c r="CY131" i="5"/>
  <c r="CW131" i="5"/>
  <c r="CY130" i="5"/>
  <c r="CW130" i="5"/>
  <c r="CY129" i="5"/>
  <c r="CW129" i="5"/>
  <c r="CY128" i="5"/>
  <c r="CW128" i="5"/>
  <c r="CY127" i="5"/>
  <c r="CW127" i="5"/>
  <c r="CY126" i="5"/>
  <c r="CW126" i="5"/>
  <c r="CY125" i="5"/>
  <c r="CW125" i="5"/>
  <c r="CZ124" i="5"/>
  <c r="CY124" i="5"/>
  <c r="CW124" i="5"/>
  <c r="CZ123" i="5"/>
  <c r="CY123" i="5"/>
  <c r="CW123" i="5"/>
  <c r="CZ122" i="5"/>
  <c r="CY122" i="5"/>
  <c r="CW122" i="5"/>
  <c r="CZ121" i="5"/>
  <c r="CY121" i="5"/>
  <c r="CW121" i="5"/>
  <c r="CZ120" i="5"/>
  <c r="CY120" i="5"/>
  <c r="CW120" i="5"/>
  <c r="CZ119" i="5"/>
  <c r="CY119" i="5"/>
  <c r="CW119" i="5"/>
  <c r="CZ118" i="5"/>
  <c r="CY118" i="5"/>
  <c r="CW118" i="5"/>
  <c r="CZ117" i="5"/>
  <c r="CY117" i="5"/>
  <c r="CW117" i="5"/>
  <c r="CZ116" i="5"/>
  <c r="CY116" i="5"/>
  <c r="CW116" i="5"/>
  <c r="CZ115" i="5"/>
  <c r="CY115" i="5"/>
  <c r="CW115" i="5"/>
  <c r="CZ114" i="5"/>
  <c r="CY114" i="5"/>
  <c r="CW114" i="5"/>
  <c r="CZ113" i="5"/>
  <c r="CY113" i="5"/>
  <c r="CW113" i="5"/>
  <c r="CZ112" i="5"/>
  <c r="CY112" i="5"/>
  <c r="CW112" i="5"/>
  <c r="CZ111" i="5"/>
  <c r="CY111" i="5"/>
  <c r="CW111" i="5"/>
  <c r="CZ110" i="5"/>
  <c r="CY110" i="5"/>
  <c r="CW110" i="5"/>
  <c r="CZ109" i="5"/>
  <c r="CY109" i="5"/>
  <c r="CW109" i="5"/>
  <c r="CZ108" i="5"/>
  <c r="CY108" i="5"/>
  <c r="CW108" i="5"/>
  <c r="CZ107" i="5"/>
  <c r="CY107" i="5"/>
  <c r="CW107" i="5"/>
  <c r="CZ106" i="5"/>
  <c r="CY106" i="5"/>
  <c r="CW106" i="5"/>
  <c r="CZ105" i="5"/>
  <c r="CY105" i="5"/>
  <c r="CW105" i="5"/>
  <c r="CZ104" i="5"/>
  <c r="CY104" i="5"/>
  <c r="CW104" i="5"/>
  <c r="CZ103" i="5"/>
  <c r="CY103" i="5"/>
  <c r="CW103" i="5"/>
  <c r="CZ102" i="5"/>
  <c r="CY102" i="5"/>
  <c r="CW102" i="5"/>
  <c r="CZ101" i="5"/>
  <c r="CY101" i="5"/>
  <c r="CW101" i="5"/>
  <c r="CZ100" i="5"/>
  <c r="CY100" i="5"/>
  <c r="CW100" i="5"/>
  <c r="CZ99" i="5"/>
  <c r="CY99" i="5"/>
  <c r="CW99" i="5"/>
  <c r="CZ98" i="5"/>
  <c r="CY98" i="5"/>
  <c r="CW98" i="5"/>
  <c r="CZ97" i="5"/>
  <c r="CY97" i="5"/>
  <c r="CW97" i="5"/>
  <c r="CZ96" i="5"/>
  <c r="CY96" i="5"/>
  <c r="CW96" i="5"/>
  <c r="CZ95" i="5"/>
  <c r="CY95" i="5"/>
  <c r="CW95" i="5"/>
  <c r="CZ94" i="5"/>
  <c r="CY94" i="5"/>
  <c r="CW94" i="5"/>
  <c r="CZ93" i="5"/>
  <c r="CY93" i="5"/>
  <c r="CW93" i="5"/>
  <c r="CZ92" i="5"/>
  <c r="CY92" i="5"/>
  <c r="CW92" i="5"/>
  <c r="CZ91" i="5"/>
  <c r="CY91" i="5"/>
  <c r="CW91" i="5"/>
  <c r="CZ90" i="5"/>
  <c r="CY90" i="5"/>
  <c r="CW90" i="5"/>
  <c r="CZ89" i="5"/>
  <c r="CY89" i="5"/>
  <c r="CW89" i="5"/>
  <c r="CZ88" i="5"/>
  <c r="CY88" i="5"/>
  <c r="CW88" i="5"/>
  <c r="CZ87" i="5"/>
  <c r="CY87" i="5"/>
  <c r="CW87" i="5"/>
  <c r="CZ86" i="5"/>
  <c r="CY86" i="5"/>
  <c r="CW86" i="5"/>
  <c r="CZ85" i="5"/>
  <c r="CY85" i="5"/>
  <c r="CW85" i="5"/>
  <c r="CZ84" i="5"/>
  <c r="CY84" i="5"/>
  <c r="CW84" i="5"/>
  <c r="CZ83" i="5"/>
  <c r="CY83" i="5"/>
  <c r="CW83" i="5"/>
  <c r="CZ82" i="5"/>
  <c r="CY82" i="5"/>
  <c r="CW82" i="5"/>
  <c r="CZ81" i="5"/>
  <c r="CY81" i="5"/>
  <c r="CW81" i="5"/>
  <c r="CZ80" i="5"/>
  <c r="CY80" i="5"/>
  <c r="CW80" i="5"/>
  <c r="CZ79" i="5"/>
  <c r="CY79" i="5"/>
  <c r="CW79" i="5"/>
  <c r="CZ78" i="5"/>
  <c r="CY78" i="5"/>
  <c r="CW78" i="5"/>
  <c r="CZ77" i="5"/>
  <c r="CY77" i="5"/>
  <c r="CW77" i="5"/>
  <c r="CZ76" i="5"/>
  <c r="CY76" i="5"/>
  <c r="CW76" i="5"/>
  <c r="CZ75" i="5"/>
  <c r="CY75" i="5"/>
  <c r="CW75" i="5"/>
  <c r="CZ74" i="5"/>
  <c r="CY74" i="5"/>
  <c r="CW74" i="5"/>
  <c r="CZ73" i="5"/>
  <c r="CY73" i="5"/>
  <c r="CW73" i="5"/>
  <c r="CZ72" i="5"/>
  <c r="CY72" i="5"/>
  <c r="CW72" i="5"/>
  <c r="CY71" i="5"/>
  <c r="CW71" i="5"/>
  <c r="CY70" i="5"/>
  <c r="CW70" i="5"/>
  <c r="CY69" i="5"/>
  <c r="CW69" i="5"/>
  <c r="CY68" i="5"/>
  <c r="CW68" i="5"/>
  <c r="CY67" i="5"/>
  <c r="CW67" i="5"/>
  <c r="CY66" i="5"/>
  <c r="CW66" i="5"/>
  <c r="CY65" i="5"/>
  <c r="CW65" i="5"/>
  <c r="CY64" i="5"/>
  <c r="CW64" i="5"/>
  <c r="CY63" i="5"/>
  <c r="CW63" i="5"/>
  <c r="CY62" i="5"/>
  <c r="CW62" i="5"/>
  <c r="CY61" i="5"/>
  <c r="CW61" i="5"/>
  <c r="CY60" i="5"/>
  <c r="CW60" i="5"/>
  <c r="CZ59" i="5"/>
  <c r="CY59" i="5"/>
  <c r="CW59" i="5"/>
  <c r="CZ58" i="5"/>
  <c r="CY58" i="5"/>
  <c r="CW58" i="5"/>
  <c r="CZ57" i="5"/>
  <c r="CY57" i="5"/>
  <c r="CW57" i="5"/>
  <c r="CZ56" i="5"/>
  <c r="CY56" i="5"/>
  <c r="CW56" i="5"/>
  <c r="CZ55" i="5"/>
  <c r="CY55" i="5"/>
  <c r="CW55" i="5"/>
  <c r="CZ54" i="5"/>
  <c r="CY54" i="5"/>
  <c r="CW54" i="5"/>
  <c r="CZ53" i="5"/>
  <c r="CY53" i="5"/>
  <c r="CW53" i="5"/>
  <c r="CZ52" i="5"/>
  <c r="CY52" i="5"/>
  <c r="CW52" i="5"/>
  <c r="CZ51" i="5"/>
  <c r="CY51" i="5"/>
  <c r="CW51" i="5"/>
  <c r="CZ50" i="5"/>
  <c r="CY50" i="5"/>
  <c r="CW50" i="5"/>
  <c r="CZ49" i="5"/>
  <c r="CY49" i="5"/>
  <c r="CW49" i="5"/>
  <c r="CZ48" i="5"/>
  <c r="CY48" i="5"/>
  <c r="CW48" i="5"/>
  <c r="CZ47" i="5"/>
  <c r="CY47" i="5"/>
  <c r="CW47" i="5"/>
  <c r="CZ46" i="5"/>
  <c r="CY46" i="5"/>
  <c r="CW46" i="5"/>
  <c r="CZ45" i="5"/>
  <c r="CY45" i="5"/>
  <c r="CW45" i="5"/>
  <c r="CZ44" i="5"/>
  <c r="CY44" i="5"/>
  <c r="CW44" i="5"/>
  <c r="CZ43" i="5"/>
  <c r="CY43" i="5"/>
  <c r="CW43" i="5"/>
  <c r="CZ42" i="5"/>
  <c r="CY42" i="5"/>
  <c r="CW42" i="5"/>
  <c r="CZ41" i="5"/>
  <c r="CY41" i="5"/>
  <c r="CW41" i="5"/>
  <c r="CZ40" i="5"/>
  <c r="CY40" i="5"/>
  <c r="CW40" i="5"/>
  <c r="CZ39" i="5"/>
  <c r="CY39" i="5"/>
  <c r="CW39" i="5"/>
  <c r="CZ38" i="5"/>
  <c r="CY38" i="5"/>
  <c r="CW38" i="5"/>
  <c r="CZ37" i="5"/>
  <c r="CY37" i="5"/>
  <c r="CW37" i="5"/>
  <c r="CZ36" i="5"/>
  <c r="CY36" i="5"/>
  <c r="CW36" i="5"/>
  <c r="CZ35" i="5"/>
  <c r="CY35" i="5"/>
  <c r="CW35" i="5"/>
  <c r="CY34" i="5"/>
  <c r="CW34" i="5"/>
  <c r="CY33" i="5"/>
  <c r="CW33" i="5"/>
  <c r="CY32" i="5"/>
  <c r="CW32" i="5"/>
  <c r="CY31" i="5"/>
  <c r="CW31" i="5"/>
  <c r="BE149" i="5"/>
  <c r="BC149" i="5"/>
  <c r="BB149" i="5"/>
  <c r="BE148" i="5"/>
  <c r="BC148" i="5"/>
  <c r="BB148" i="5"/>
  <c r="BE147" i="5"/>
  <c r="BC147" i="5"/>
  <c r="BB147" i="5"/>
  <c r="BE146" i="5"/>
  <c r="BC146" i="5"/>
  <c r="BB146" i="5"/>
  <c r="BE145" i="5"/>
  <c r="BC145" i="5"/>
  <c r="BB145" i="5"/>
  <c r="BE144" i="5"/>
  <c r="BC144" i="5"/>
  <c r="BB144" i="5"/>
  <c r="BE143" i="5"/>
  <c r="BD143" i="5"/>
  <c r="BC143" i="5"/>
  <c r="BB143" i="5"/>
  <c r="BE142" i="5"/>
  <c r="BD142" i="5"/>
  <c r="BC142" i="5"/>
  <c r="BB142" i="5"/>
  <c r="BE141" i="5"/>
  <c r="BD141" i="5"/>
  <c r="BC141" i="5"/>
  <c r="BB141" i="5"/>
  <c r="BE140" i="5"/>
  <c r="BD140" i="5"/>
  <c r="BC140" i="5"/>
  <c r="BB140" i="5"/>
  <c r="BE139" i="5"/>
  <c r="BD139" i="5"/>
  <c r="BC139" i="5"/>
  <c r="BB139" i="5"/>
  <c r="BE138" i="5"/>
  <c r="BD138" i="5"/>
  <c r="BC138" i="5"/>
  <c r="BB138" i="5"/>
  <c r="BE137" i="5"/>
  <c r="BD137" i="5"/>
  <c r="BC137" i="5"/>
  <c r="BB137" i="5"/>
  <c r="BE136" i="5"/>
  <c r="BD136" i="5"/>
  <c r="BC136" i="5"/>
  <c r="BB136" i="5"/>
  <c r="BE135" i="5"/>
  <c r="BD135" i="5"/>
  <c r="BC135" i="5"/>
  <c r="BB135" i="5"/>
  <c r="BE134" i="5"/>
  <c r="BD134" i="5"/>
  <c r="BC134" i="5"/>
  <c r="BB134" i="5"/>
  <c r="BE133" i="5"/>
  <c r="BD133" i="5"/>
  <c r="BC133" i="5"/>
  <c r="BB133" i="5"/>
  <c r="BE132" i="5"/>
  <c r="BD132" i="5"/>
  <c r="BC132" i="5"/>
  <c r="BB132" i="5"/>
  <c r="BE131" i="5"/>
  <c r="BD131" i="5"/>
  <c r="BC131" i="5"/>
  <c r="BB131" i="5"/>
  <c r="BE130" i="5"/>
  <c r="BD130" i="5"/>
  <c r="BC130" i="5"/>
  <c r="BB130" i="5"/>
  <c r="BE129" i="5"/>
  <c r="BD129" i="5"/>
  <c r="BC129" i="5"/>
  <c r="BB129" i="5"/>
  <c r="BE128" i="5"/>
  <c r="BD128" i="5"/>
  <c r="BC128" i="5"/>
  <c r="BB128" i="5"/>
  <c r="BE127" i="5"/>
  <c r="BD127" i="5"/>
  <c r="BC127" i="5"/>
  <c r="BB127" i="5"/>
  <c r="BE126" i="5"/>
  <c r="BD126" i="5"/>
  <c r="BC126" i="5"/>
  <c r="BB126" i="5"/>
  <c r="BE125" i="5"/>
  <c r="BD125" i="5"/>
  <c r="BC125" i="5"/>
  <c r="BB125" i="5"/>
  <c r="BF124" i="5"/>
  <c r="BE124" i="5"/>
  <c r="BD124" i="5"/>
  <c r="BC124" i="5"/>
  <c r="BB124" i="5"/>
  <c r="BF123" i="5"/>
  <c r="BE123" i="5"/>
  <c r="BD123" i="5"/>
  <c r="BC123" i="5"/>
  <c r="BB123" i="5"/>
  <c r="BF122" i="5"/>
  <c r="BE122" i="5"/>
  <c r="BD122" i="5"/>
  <c r="BC122" i="5"/>
  <c r="BB122" i="5"/>
  <c r="BF121" i="5"/>
  <c r="BE121" i="5"/>
  <c r="BD121" i="5"/>
  <c r="BC121" i="5"/>
  <c r="BB121" i="5"/>
  <c r="BF120" i="5"/>
  <c r="BE120" i="5"/>
  <c r="BD120" i="5"/>
  <c r="BC120" i="5"/>
  <c r="BB120" i="5"/>
  <c r="BF119" i="5"/>
  <c r="BE119" i="5"/>
  <c r="BD119" i="5"/>
  <c r="BC119" i="5"/>
  <c r="BB119" i="5"/>
  <c r="BF118" i="5"/>
  <c r="BE118" i="5"/>
  <c r="BD118" i="5"/>
  <c r="BC118" i="5"/>
  <c r="BB118" i="5"/>
  <c r="BF117" i="5"/>
  <c r="BE117" i="5"/>
  <c r="BD117" i="5"/>
  <c r="BC117" i="5"/>
  <c r="BB117" i="5"/>
  <c r="BF116" i="5"/>
  <c r="BE116" i="5"/>
  <c r="BD116" i="5"/>
  <c r="BC116" i="5"/>
  <c r="BB116" i="5"/>
  <c r="BF115" i="5"/>
  <c r="BE115" i="5"/>
  <c r="BD115" i="5"/>
  <c r="BC115" i="5"/>
  <c r="BB115" i="5"/>
  <c r="BF114" i="5"/>
  <c r="BE114" i="5"/>
  <c r="BD114" i="5"/>
  <c r="BC114" i="5"/>
  <c r="BB114" i="5"/>
  <c r="BF113" i="5"/>
  <c r="BE113" i="5"/>
  <c r="BD113" i="5"/>
  <c r="BC113" i="5"/>
  <c r="BB113" i="5"/>
  <c r="BF112" i="5"/>
  <c r="BE112" i="5"/>
  <c r="BD112" i="5"/>
  <c r="BC112" i="5"/>
  <c r="BB112" i="5"/>
  <c r="BF111" i="5"/>
  <c r="BE111" i="5"/>
  <c r="BD111" i="5"/>
  <c r="BC111" i="5"/>
  <c r="BB111" i="5"/>
  <c r="BF110" i="5"/>
  <c r="BE110" i="5"/>
  <c r="BD110" i="5"/>
  <c r="BC110" i="5"/>
  <c r="BB110" i="5"/>
  <c r="BF109" i="5"/>
  <c r="BE109" i="5"/>
  <c r="BD109" i="5"/>
  <c r="BC109" i="5"/>
  <c r="BB109" i="5"/>
  <c r="BF108" i="5"/>
  <c r="BE108" i="5"/>
  <c r="BD108" i="5"/>
  <c r="BC108" i="5"/>
  <c r="BB108" i="5"/>
  <c r="BF107" i="5"/>
  <c r="BE107" i="5"/>
  <c r="BD107" i="5"/>
  <c r="BC107" i="5"/>
  <c r="BB107" i="5"/>
  <c r="BF106" i="5"/>
  <c r="BE106" i="5"/>
  <c r="BD106" i="5"/>
  <c r="BC106" i="5"/>
  <c r="BB106" i="5"/>
  <c r="BF105" i="5"/>
  <c r="BE105" i="5"/>
  <c r="BD105" i="5"/>
  <c r="BC105" i="5"/>
  <c r="BB105" i="5"/>
  <c r="BF104" i="5"/>
  <c r="BE104" i="5"/>
  <c r="BD104" i="5"/>
  <c r="BC104" i="5"/>
  <c r="BB104" i="5"/>
  <c r="BF103" i="5"/>
  <c r="BE103" i="5"/>
  <c r="BD103" i="5"/>
  <c r="BC103" i="5"/>
  <c r="BB103" i="5"/>
  <c r="BF102" i="5"/>
  <c r="BE102" i="5"/>
  <c r="BD102" i="5"/>
  <c r="BC102" i="5"/>
  <c r="BB102" i="5"/>
  <c r="BF101" i="5"/>
  <c r="BE101" i="5"/>
  <c r="BD101" i="5"/>
  <c r="BC101" i="5"/>
  <c r="BB101" i="5"/>
  <c r="BF100" i="5"/>
  <c r="BE100" i="5"/>
  <c r="BD100" i="5"/>
  <c r="BC100" i="5"/>
  <c r="BB100" i="5"/>
  <c r="BF99" i="5"/>
  <c r="BE99" i="5"/>
  <c r="BD99" i="5"/>
  <c r="BC99" i="5"/>
  <c r="BB99" i="5"/>
  <c r="BF98" i="5"/>
  <c r="BE98" i="5"/>
  <c r="BD98" i="5"/>
  <c r="BC98" i="5"/>
  <c r="BB98" i="5"/>
  <c r="BF97" i="5"/>
  <c r="BE97" i="5"/>
  <c r="BD97" i="5"/>
  <c r="BC97" i="5"/>
  <c r="BB97" i="5"/>
  <c r="BF96" i="5"/>
  <c r="BE96" i="5"/>
  <c r="BD96" i="5"/>
  <c r="BC96" i="5"/>
  <c r="BB96" i="5"/>
  <c r="BF95" i="5"/>
  <c r="BE95" i="5"/>
  <c r="BD95" i="5"/>
  <c r="BC95" i="5"/>
  <c r="BB95" i="5"/>
  <c r="BF94" i="5"/>
  <c r="BE94" i="5"/>
  <c r="BD94" i="5"/>
  <c r="BC94" i="5"/>
  <c r="BB94" i="5"/>
  <c r="BF93" i="5"/>
  <c r="BE93" i="5"/>
  <c r="BD93" i="5"/>
  <c r="BC93" i="5"/>
  <c r="BB93" i="5"/>
  <c r="BF92" i="5"/>
  <c r="BE92" i="5"/>
  <c r="BD92" i="5"/>
  <c r="BC92" i="5"/>
  <c r="BB92" i="5"/>
  <c r="BF91" i="5"/>
  <c r="BE91" i="5"/>
  <c r="BD91" i="5"/>
  <c r="BC91" i="5"/>
  <c r="BB91" i="5"/>
  <c r="BF90" i="5"/>
  <c r="BE90" i="5"/>
  <c r="BD90" i="5"/>
  <c r="BC90" i="5"/>
  <c r="BB90" i="5"/>
  <c r="BF89" i="5"/>
  <c r="BE89" i="5"/>
  <c r="BD89" i="5"/>
  <c r="BC89" i="5"/>
  <c r="BB89" i="5"/>
  <c r="BF88" i="5"/>
  <c r="BE88" i="5"/>
  <c r="BD88" i="5"/>
  <c r="BC88" i="5"/>
  <c r="BB88" i="5"/>
  <c r="BF87" i="5"/>
  <c r="BE87" i="5"/>
  <c r="BD87" i="5"/>
  <c r="BC87" i="5"/>
  <c r="BB87" i="5"/>
  <c r="BF86" i="5"/>
  <c r="BE86" i="5"/>
  <c r="BD86" i="5"/>
  <c r="BC86" i="5"/>
  <c r="BB86" i="5"/>
  <c r="BF85" i="5"/>
  <c r="BE85" i="5"/>
  <c r="BD85" i="5"/>
  <c r="BC85" i="5"/>
  <c r="BB85" i="5"/>
  <c r="BF84" i="5"/>
  <c r="BE84" i="5"/>
  <c r="BD84" i="5"/>
  <c r="BC84" i="5"/>
  <c r="BB84" i="5"/>
  <c r="BF83" i="5"/>
  <c r="BE83" i="5"/>
  <c r="BD83" i="5"/>
  <c r="BC83" i="5"/>
  <c r="BB83" i="5"/>
  <c r="BF82" i="5"/>
  <c r="BE82" i="5"/>
  <c r="BD82" i="5"/>
  <c r="BC82" i="5"/>
  <c r="BB82" i="5"/>
  <c r="BF81" i="5"/>
  <c r="BE81" i="5"/>
  <c r="BD81" i="5"/>
  <c r="BC81" i="5"/>
  <c r="BB81" i="5"/>
  <c r="BF80" i="5"/>
  <c r="BE80" i="5"/>
  <c r="BD80" i="5"/>
  <c r="BC80" i="5"/>
  <c r="BB80" i="5"/>
  <c r="BF79" i="5"/>
  <c r="BE79" i="5"/>
  <c r="BD79" i="5"/>
  <c r="BC79" i="5"/>
  <c r="BB79" i="5"/>
  <c r="BF78" i="5"/>
  <c r="BE78" i="5"/>
  <c r="BD78" i="5"/>
  <c r="BC78" i="5"/>
  <c r="BB78" i="5"/>
  <c r="BF77" i="5"/>
  <c r="BE77" i="5"/>
  <c r="BD77" i="5"/>
  <c r="BC77" i="5"/>
  <c r="BB77" i="5"/>
  <c r="BF76" i="5"/>
  <c r="BE76" i="5"/>
  <c r="BD76" i="5"/>
  <c r="BC76" i="5"/>
  <c r="BB76" i="5"/>
  <c r="BF75" i="5"/>
  <c r="BE75" i="5"/>
  <c r="BD75" i="5"/>
  <c r="BC75" i="5"/>
  <c r="BB75" i="5"/>
  <c r="BF74" i="5"/>
  <c r="BE74" i="5"/>
  <c r="BD74" i="5"/>
  <c r="BC74" i="5"/>
  <c r="BB74" i="5"/>
  <c r="BF73" i="5"/>
  <c r="BE73" i="5"/>
  <c r="BD73" i="5"/>
  <c r="BC73" i="5"/>
  <c r="BB73" i="5"/>
  <c r="BF72" i="5"/>
  <c r="BE72" i="5"/>
  <c r="BD72" i="5"/>
  <c r="BC72" i="5"/>
  <c r="BB72" i="5"/>
  <c r="BE71" i="5"/>
  <c r="BD71" i="5"/>
  <c r="BC71" i="5"/>
  <c r="BB71" i="5"/>
  <c r="BE70" i="5"/>
  <c r="BD70" i="5"/>
  <c r="BC70" i="5"/>
  <c r="BB70" i="5"/>
  <c r="BE69" i="5"/>
  <c r="BD69" i="5"/>
  <c r="BC69" i="5"/>
  <c r="BB69" i="5"/>
  <c r="BE68" i="5"/>
  <c r="BD68" i="5"/>
  <c r="BC68" i="5"/>
  <c r="BB68" i="5"/>
  <c r="BE67" i="5"/>
  <c r="BD67" i="5"/>
  <c r="BC67" i="5"/>
  <c r="BB67" i="5"/>
  <c r="BE66" i="5"/>
  <c r="BD66" i="5"/>
  <c r="BC66" i="5"/>
  <c r="BB66" i="5"/>
  <c r="BE65" i="5"/>
  <c r="BD65" i="5"/>
  <c r="BC65" i="5"/>
  <c r="BB65" i="5"/>
  <c r="BE64" i="5"/>
  <c r="BD64" i="5"/>
  <c r="BC64" i="5"/>
  <c r="BB64" i="5"/>
  <c r="BE63" i="5"/>
  <c r="BD63" i="5"/>
  <c r="BC63" i="5"/>
  <c r="BB63" i="5"/>
  <c r="BE62" i="5"/>
  <c r="BD62" i="5"/>
  <c r="BC62" i="5"/>
  <c r="BB62" i="5"/>
  <c r="BE61" i="5"/>
  <c r="BD61" i="5"/>
  <c r="BC61" i="5"/>
  <c r="BB61" i="5"/>
  <c r="BE60" i="5"/>
  <c r="BD60" i="5"/>
  <c r="BC60" i="5"/>
  <c r="BB60" i="5"/>
  <c r="BF59" i="5"/>
  <c r="BE59" i="5"/>
  <c r="BD59" i="5"/>
  <c r="BC59" i="5"/>
  <c r="BB59" i="5"/>
  <c r="BF58" i="5"/>
  <c r="BE58" i="5"/>
  <c r="BD58" i="5"/>
  <c r="BC58" i="5"/>
  <c r="BB58" i="5"/>
  <c r="BF57" i="5"/>
  <c r="BE57" i="5"/>
  <c r="BD57" i="5"/>
  <c r="BC57" i="5"/>
  <c r="BB57" i="5"/>
  <c r="BF56" i="5"/>
  <c r="BE56" i="5"/>
  <c r="BD56" i="5"/>
  <c r="BC56" i="5"/>
  <c r="BB56" i="5"/>
  <c r="BF55" i="5"/>
  <c r="BE55" i="5"/>
  <c r="BD55" i="5"/>
  <c r="BC55" i="5"/>
  <c r="BB55" i="5"/>
  <c r="BF54" i="5"/>
  <c r="BE54" i="5"/>
  <c r="BD54" i="5"/>
  <c r="BC54" i="5"/>
  <c r="BB54" i="5"/>
  <c r="BF53" i="5"/>
  <c r="BE53" i="5"/>
  <c r="BD53" i="5"/>
  <c r="BC53" i="5"/>
  <c r="BB53" i="5"/>
  <c r="BF52" i="5"/>
  <c r="BE52" i="5"/>
  <c r="BD52" i="5"/>
  <c r="BC52" i="5"/>
  <c r="BB52" i="5"/>
  <c r="BF51" i="5"/>
  <c r="BE51" i="5"/>
  <c r="BD51" i="5"/>
  <c r="BC51" i="5"/>
  <c r="BB51" i="5"/>
  <c r="BF50" i="5"/>
  <c r="BE50" i="5"/>
  <c r="BD50" i="5"/>
  <c r="BC50" i="5"/>
  <c r="BB50" i="5"/>
  <c r="BF49" i="5"/>
  <c r="BE49" i="5"/>
  <c r="BD49" i="5"/>
  <c r="BC49" i="5"/>
  <c r="BB49" i="5"/>
  <c r="BF48" i="5"/>
  <c r="BE48" i="5"/>
  <c r="BD48" i="5"/>
  <c r="BC48" i="5"/>
  <c r="BB48" i="5"/>
  <c r="BF47" i="5"/>
  <c r="BE47" i="5"/>
  <c r="BD47" i="5"/>
  <c r="BC47" i="5"/>
  <c r="BB47" i="5"/>
  <c r="BF46" i="5"/>
  <c r="BE46" i="5"/>
  <c r="BD46" i="5"/>
  <c r="BC46" i="5"/>
  <c r="BB46" i="5"/>
  <c r="BF45" i="5"/>
  <c r="BE45" i="5"/>
  <c r="BD45" i="5"/>
  <c r="BC45" i="5"/>
  <c r="BB45" i="5"/>
  <c r="BF44" i="5"/>
  <c r="BE44" i="5"/>
  <c r="BD44" i="5"/>
  <c r="BC44" i="5"/>
  <c r="BB44" i="5"/>
  <c r="BF43" i="5"/>
  <c r="BE43" i="5"/>
  <c r="BD43" i="5"/>
  <c r="BC43" i="5"/>
  <c r="BB43" i="5"/>
  <c r="BF42" i="5"/>
  <c r="BE42" i="5"/>
  <c r="BD42" i="5"/>
  <c r="BC42" i="5"/>
  <c r="BB42" i="5"/>
  <c r="BF41" i="5"/>
  <c r="BE41" i="5"/>
  <c r="BD41" i="5"/>
  <c r="BC41" i="5"/>
  <c r="BB41" i="5"/>
  <c r="BF40" i="5"/>
  <c r="BE40" i="5"/>
  <c r="BD40" i="5"/>
  <c r="BC40" i="5"/>
  <c r="BB40" i="5"/>
  <c r="BF39" i="5"/>
  <c r="BE39" i="5"/>
  <c r="BD39" i="5"/>
  <c r="BC39" i="5"/>
  <c r="BB39" i="5"/>
  <c r="BF38" i="5"/>
  <c r="BE38" i="5"/>
  <c r="BD38" i="5"/>
  <c r="BC38" i="5"/>
  <c r="BB38" i="5"/>
  <c r="BF37" i="5"/>
  <c r="BE37" i="5"/>
  <c r="BD37" i="5"/>
  <c r="BC37" i="5"/>
  <c r="BB37" i="5"/>
  <c r="BF36" i="5"/>
  <c r="BE36" i="5"/>
  <c r="BD36" i="5"/>
  <c r="BC36" i="5"/>
  <c r="BB36" i="5"/>
  <c r="BF35" i="5"/>
  <c r="BE35" i="5"/>
  <c r="BD35" i="5"/>
  <c r="BC35" i="5"/>
  <c r="BB35" i="5"/>
  <c r="BE34" i="5"/>
  <c r="BD34" i="5"/>
  <c r="BC34" i="5"/>
  <c r="BB34" i="5"/>
  <c r="BE33" i="5"/>
  <c r="BD33" i="5"/>
  <c r="BC33" i="5"/>
  <c r="BB33" i="5"/>
  <c r="BE32" i="5"/>
  <c r="BD32" i="5"/>
  <c r="BC32" i="5"/>
  <c r="BB32" i="5"/>
  <c r="BE31" i="5"/>
  <c r="BD31" i="5"/>
  <c r="BC31" i="5"/>
  <c r="BB31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31" i="5"/>
  <c r="J56" i="5"/>
  <c r="J57" i="5"/>
  <c r="J58" i="5"/>
  <c r="J59" i="5"/>
  <c r="J60" i="5"/>
  <c r="J61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31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32" i="5"/>
  <c r="H33" i="5"/>
  <c r="H34" i="5"/>
  <c r="L35" i="5"/>
  <c r="L36" i="5"/>
  <c r="L37" i="5"/>
  <c r="L38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J8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<sst xmlns="http://schemas.openxmlformats.org/spreadsheetml/2006/main" count="1084" uniqueCount="275">
  <si>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</si>
  <si>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</si>
  <si>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</si>
  <si>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</si>
  <si>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</si>
  <si>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</si>
  <si>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</si>
  <si>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</si>
  <si>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</si>
  <si>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</si>
  <si>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</si>
  <si>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</si>
  <si>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</si>
  <si>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</si>
  <si>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</si>
  <si>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</si>
  <si>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</si>
  <si>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</si>
  <si>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</si>
  <si>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</si>
  <si>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</si>
  <si>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</si>
  <si>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</si>
  <si>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</si>
  <si>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</si>
  <si>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</si>
  <si>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</si>
  <si>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</si>
  <si>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</si>
  <si>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</si>
  <si>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</si>
  <si>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</si>
  <si>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</si>
  <si>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</si>
  <si>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</si>
  <si>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</si>
  <si>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</si>
  <si>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</si>
  <si>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</si>
  <si>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</si>
  <si>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</si>
  <si>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</si>
  <si>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</si>
  <si>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</si>
  <si>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</si>
  <si>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</si>
  <si>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</si>
  <si>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</si>
  <si>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</si>
  <si>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</si>
  <si>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</si>
  <si>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</si>
  <si>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</si>
  <si>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</si>
  <si>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</si>
  <si>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</si>
  <si>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</si>
  <si>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</si>
  <si>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</si>
  <si>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</si>
  <si>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</si>
  <si>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</si>
  <si>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</si>
  <si>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</si>
  <si>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</si>
  <si>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</si>
  <si>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</si>
  <si>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</si>
  <si>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</si>
  <si>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</si>
  <si>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</si>
  <si>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</si>
  <si>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</si>
  <si>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</si>
  <si>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</si>
  <si>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</si>
  <si>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</si>
  <si>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</si>
  <si>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</si>
  <si>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</si>
  <si>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</si>
  <si>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</si>
  <si>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</si>
  <si>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</si>
  <si>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</si>
  <si>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</si>
  <si>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</si>
  <si>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</si>
  <si>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</si>
  <si>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</si>
  <si>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</si>
  <si>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</si>
  <si>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</si>
  <si>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</si>
  <si>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</si>
  <si>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</si>
  <si>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Mass [kg]</t>
  </si>
  <si>
    <t>TP/MP flange</t>
  </si>
  <si>
    <t>Airtight platform</t>
  </si>
  <si>
    <t>Skirt</t>
  </si>
  <si>
    <t>TP-sided flange to tower</t>
  </si>
  <si>
    <t>Service Platform</t>
  </si>
  <si>
    <t>Junction Box Platform</t>
  </si>
  <si>
    <t>Internal Access System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</si>
  <si>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</si>
  <si>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</si>
  <si>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</si>
  <si>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</si>
  <si>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</si>
  <si>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</si>
  <si>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</si>
  <si>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</si>
  <si>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</si>
  <si>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</si>
  <si>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</si>
  <si>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</si>
  <si>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</si>
  <si>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</si>
  <si>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</si>
  <si>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</si>
  <si>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</si>
  <si>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</si>
  <si>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</si>
  <si>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</si>
  <si>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</si>
  <si>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</si>
  <si>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</si>
  <si>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</si>
  <si>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</si>
  <si>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</si>
  <si>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</si>
  <si>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</si>
  <si>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</si>
  <si>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</si>
  <si>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</si>
  <si>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</si>
  <si>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</si>
  <si>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</si>
  <si>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</si>
  <si>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</si>
  <si>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</si>
  <si>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CLICK TO SHOW META TABLE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</si>
  <si>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</si>
  <si>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</si>
  <si>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</si>
  <si>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</si>
  <si>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</si>
  <si>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</si>
  <si>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</si>
  <si>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</si>
  <si>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</si>
  <si>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</si>
  <si>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</si>
  <si>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</si>
  <si>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</si>
  <si>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</si>
  <si>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</si>
  <si>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Structure Settings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</si>
  <si>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</si>
  <si>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</si>
  <si>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</si>
  <si>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</si>
  <si>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</si>
  <si>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</si>
  <si>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</si>
  <si>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</si>
  <si>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</si>
  <si>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</si>
  <si>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</si>
  <si>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</si>
  <si>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</si>
  <si>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</si>
  <si>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</si>
  <si>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</si>
  <si>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</si>
  <si>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</si>
  <si>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</si>
  <si>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</si>
  <si>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</si>
  <si>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</si>
  <si>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</si>
  <si>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</si>
  <si>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</si>
  <si>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</si>
  <si>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</si>
  <si>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</si>
  <si>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</si>
  <si>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</si>
  <si>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</si>
  <si>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</si>
  <si>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</si>
  <si>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</si>
  <si>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</si>
  <si>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</si>
  <si>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Geo_out_path</t>
  </si>
  <si>
    <t>c/slwmf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</si>
  <si>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</si>
  <si>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</si>
  <si>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</si>
  <si>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</si>
  <si>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</si>
  <si>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</si>
  <si>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</si>
  <si>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</si>
  <si>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</si>
  <si>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</si>
  <si>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</si>
  <si>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</si>
  <si>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</si>
  <si>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</si>
  <si>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</si>
  <si>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</si>
  <si>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</si>
  <si>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</si>
  <si>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</si>
  <si>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</si>
  <si>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</si>
  <si>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</si>
  <si>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</si>
  <si>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</si>
  <si>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</si>
  <si>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</si>
  <si>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</si>
  <si>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</si>
  <si>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</si>
  <si>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</si>
  <si>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</si>
  <si>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</si>
  <si>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</si>
  <si>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</si>
  <si>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</si>
  <si>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</si>
  <si>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</si>
  <si>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</si>
  <si>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</si>
  <si>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</si>
  <si>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</si>
  <si>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</si>
  <si>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</si>
  <si>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</si>
  <si>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</si>
  <si>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</si>
  <si>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</si>
  <si>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</si>
  <si>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^^</t>
  </si>
  <si>
    <t xml:space="preserve">Use For (WL: Waveload generator, AM: Additional Masses) </t>
  </si>
  <si>
    <t>AM</t>
  </si>
  <si>
    <t>Surface Roughness [m]</t>
  </si>
  <si>
    <t>Density  [kg/m^3]</t>
  </si>
  <si>
    <t>DIN 18088-1</t>
  </si>
  <si>
    <t>Siemens SG-DD-XXX</t>
  </si>
  <si>
    <t>added from Ala</t>
  </si>
  <si>
    <t>MP Path</t>
  </si>
  <si>
    <t>MP Tool Path</t>
  </si>
  <si>
    <t>MP import only works, if MP Data is loaded and correct</t>
  </si>
  <si>
    <t>TP import only works, if TP Data is loaded and correct</t>
  </si>
  <si>
    <t>Tower import only works, if TP Data is loaded and correct</t>
  </si>
  <si>
    <t>C:\Users\aaron.lange\Desktop\Projekte\Geometrie_Converter\GeometrieConverter\databases\ENBW_FEED\15MW\MPTP_DP-A2_L0_G2_S1.xlsm</t>
  </si>
  <si>
    <t>24A525</t>
  </si>
  <si>
    <t>MPTP_DP-A2_L0_G2_S1</t>
  </si>
  <si>
    <t>24A525_FEED_MPTP_DP-A2_L0_G2_S1</t>
  </si>
  <si>
    <t>I:\2024\A\24A525_EnBW_Dreekant_FEED\03_Lasten\01_LILA\01_Model\DP-A2_15MW_L0G2S1\GeomConv_V1.18_Dreekant-15MW236-N12.1_DP-A2_L0G2S1.xlsm</t>
  </si>
  <si>
    <t>Vestas mass</t>
  </si>
  <si>
    <t>dummy to have same number of nodes as 22 MW MP</t>
  </si>
  <si>
    <t>DP-A2</t>
  </si>
  <si>
    <t>24A525_FEED_DP-A2</t>
  </si>
  <si>
    <t>for Dreekant</t>
  </si>
  <si>
    <t>whole MP geometry from top to end of pile (way below mudline - right now, geometry must be cut at mudline level for Bladed model, JBOOST model)</t>
  </si>
  <si>
    <t>C:\Users\aaron.lange\Desktop\Projekte\Geometrie_Converter\Validation_Dreekant</t>
  </si>
  <si>
    <t>python_scripts_path</t>
  </si>
  <si>
    <t>C:/Users/aaron.lange/Desktop/Projekte/Geometrie_Converter/GeometrieConverter/python_scripts</t>
  </si>
  <si>
    <t>C:\Users\aaron.lange\Desktop\JBOOSTTest</t>
  </si>
  <si>
    <t>Name</t>
  </si>
  <si>
    <t>Name+R37</t>
  </si>
  <si>
    <t>INVALID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</si>
</sst>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31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6" xfId="0" applyBorder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11" xfId="0" applyBorder="1"/>
    <xf numFmtId="0" fontId="4" fillId="0" borderId="0" xfId="0" applyFont="1"/>
    <xf numFmtId="0" fontId="0" fillId="0" borderId="12" xfId="0" applyBorder="1"/>
    <xf numFmtId="0" fontId="9" fillId="0" borderId="0" xfId="0" applyFont="1"/>
    <xf numFmtId="0" fontId="0" fillId="0" borderId="0" xfId="0" applyAlignment="1">
      <alignment vertical="center"/>
    </xf>
    <xf numFmtId="0" fontId="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13" borderId="0" xfId="0" applyFill="1"/>
    <xf numFmtId="0" fontId="3" fillId="0" borderId="0" xfId="0" applyFont="1"/>
    <xf numFmtId="168" fontId="0" fillId="0" borderId="0" xfId="0" applyNumberFormat="1"/>
    <xf numFmtId="2" fontId="0" fillId="13" borderId="0" xfId="0" applyNumberFormat="1" applyFill="1"/>
    <xf numFmtId="0" fontId="9" fillId="0" borderId="11" xfId="0" applyFont="1" applyBorder="1"/>
    <xf numFmtId="0" fontId="0" fillId="15" borderId="25" xfId="0" applyFill="1" applyBorder="1"/>
    <xf numFmtId="0" fontId="0" fillId="0" borderId="25" xfId="0" applyBorder="1"/>
    <xf numFmtId="0" fontId="0" fillId="15" borderId="26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15" borderId="27" xfId="0" applyFill="1" applyBorder="1" applyAlignment="1">
      <alignment horizontal="center"/>
    </xf>
    <xf numFmtId="0" fontId="3" fillId="0" borderId="12" xfId="0" applyFont="1" applyBorder="1"/>
    <xf numFmtId="0" fontId="3" fillId="16" borderId="12" xfId="0" applyFont="1" applyFill="1" applyBorder="1"/>
    <xf numFmtId="0" fontId="0" fillId="16" borderId="12" xfId="0" applyFill="1" applyBorder="1"/>
    <xf numFmtId="0" fontId="0" fillId="0" borderId="23" xfId="0" applyBorder="1" applyAlignment="1">
      <alignment horizontal="center"/>
    </xf>
    <xf numFmtId="0" fontId="0" fillId="13" borderId="0" xfId="0" applyFill="1" applyAlignment="1">
      <alignment horizontal="center"/>
    </xf>
    <xf numFmtId="0" fontId="2" fillId="0" borderId="26" xfId="0" applyFont="1" applyBorder="1"/>
    <xf numFmtId="49" fontId="0" fillId="0" borderId="0" xfId="0" applyNumberFormat="1" applyAlignment="1">
      <alignment horizontal="left"/>
    </xf>
    <xf numFmtId="0" fontId="2" fillId="14" borderId="26" xfId="0" applyFont="1" applyFill="1" applyBorder="1"/>
    <xf numFmtId="11" fontId="0" fillId="0" borderId="26" xfId="0" applyNumberFormat="1" applyBorder="1" applyAlignment="1">
      <alignment horizontal="center"/>
    </xf>
    <xf numFmtId="0" fontId="0" fillId="0" borderId="22" xfId="0" applyBorder="1"/>
    <xf numFmtId="0" fontId="0" fillId="0" borderId="26" xfId="0" applyBorder="1" applyAlignment="1">
      <alignment horizontal="left"/>
    </xf>
    <xf numFmtId="0" fontId="0" fillId="15" borderId="26" xfId="0" applyFill="1" applyBorder="1" applyAlignment="1">
      <alignment horizontal="left"/>
    </xf>
    <xf numFmtId="2" fontId="12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/>
    <xf numFmtId="2" fontId="0" fillId="0" borderId="23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2" fontId="0" fillId="0" borderId="11" xfId="0" applyNumberFormat="1" applyBorder="1" applyAlignment="1">
      <alignment horizontal="left"/>
    </xf>
    <xf numFmtId="2" fontId="0" fillId="0" borderId="22" xfId="0" applyNumberFormat="1" applyBorder="1" applyAlignment="1">
      <alignment horizontal="left"/>
    </xf>
    <xf numFmtId="0" fontId="0" fillId="15" borderId="25" xfId="0" applyFill="1" applyBorder="1" applyAlignment="1">
      <alignment horizontal="left"/>
    </xf>
    <xf numFmtId="0" fontId="2" fillId="14" borderId="26" xfId="0" applyFont="1" applyFill="1" applyBorder="1" applyAlignment="1">
      <alignment horizontal="left"/>
    </xf>
    <xf numFmtId="0" fontId="2" fillId="14" borderId="27" xfId="0" applyFont="1" applyFill="1" applyBorder="1" applyAlignment="1">
      <alignment horizontal="left"/>
    </xf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0" fontId="2" fillId="14" borderId="27" xfId="0" applyFont="1" applyFill="1" applyBorder="1"/>
    <xf numFmtId="0" fontId="0" fillId="0" borderId="0" xfId="0" applyFont="1" applyFill="1"/>
    <xf numFmtId="0" fontId="0" fillId="0" borderId="0" xfId="0" applyFill="1"/>
    <xf numFmtId="0" fontId="0" fillId="13" borderId="27" xfId="0" applyFont="1" applyFill="1" applyBorder="1"/>
    <xf numFmtId="0" fontId="2" fillId="0" borderId="0" xfId="0" applyFont="1"/>
    <xf numFmtId="0" fontId="0" fillId="0" borderId="27" xfId="0" applyFont="1" applyFill="1" applyBorder="1"/>
    <xf numFmtId="168" fontId="0" fillId="0" borderId="0" xfId="0" applyNumberFormat="1" applyFill="1"/>
    <xf numFmtId="0" fontId="2" fillId="14" borderId="28" xfId="0" applyFont="1" applyFill="1" applyBorder="1" applyAlignment="1">
      <alignment horizontal="left"/>
    </xf>
    <xf numFmtId="0" fontId="0" fillId="0" borderId="11" xfId="0" applyFill="1" applyBorder="1"/>
    <xf numFmtId="2" fontId="12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>
      <alignment horizontal="center"/>
    </xf>
    <xf numFmtId="0" fontId="0" fillId="0" borderId="27" xfId="0" applyFont="1" applyFill="1" applyBorder="1" applyAlignment="1">
      <alignment horizontal="center"/>
    </xf>
    <xf numFmtId="0" fontId="2" fillId="14" borderId="28" xfId="0" applyFont="1" applyFill="1" applyBorder="1" applyAlignment="1">
      <alignment horizontal="center"/>
    </xf>
  </cellXfs>
  <cellStyles count="2">
    <cellStyle name="Standard" xfId="0" builtinId="0"/>
    <cellStyle name="Standard 4" xfId="1" xr:uid="{7C2E7282-4006-4D40-8AAC-8E6944058B8E}"/>
  </cellStyles>
  <dxfs count="352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25_FEED_MPTP_DP-A2_L0_G2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1" val="0">
  <itemLst>
    <item val="24A525_FEED_MPTP_DP-A2_L0_G2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26" noThreeD="1" sel="1" val="0">
  <itemLst>
    <item val="24A525_FEED_DP-A2"/>
  </itemLst>
</formControlPr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USE_TP" lockText="1" noThreeD="1"/>
</file>

<file path=xl/ctrlProps/ctrlProp23.xml><?xml version="1.0" encoding="utf-8"?>
<formControlPr xmlns="http://schemas.microsoft.com/office/spreadsheetml/2009/9/main" objectType="CheckBox" checked="Checked" fmlaLink="Use_MP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26" noThreeD="1" sel="13" val="5">
  <itemLst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checked="Checked" fmlaLink="UseMPGeomConv" lockText="1" noThreeD="1"/>
</file>

<file path=xl/ctrlProps/ctrlProp32.xml><?xml version="1.0" encoding="utf-8"?>
<formControlPr xmlns="http://schemas.microsoft.com/office/spreadsheetml/2009/9/main" objectType="CheckBox" fmlaLink="UseTPGeomConv" lockText="1" noThreeD="1"/>
</file>

<file path=xl/ctrlProps/ctrlProp33.xml><?xml version="1.0" encoding="utf-8"?>
<formControlPr xmlns="http://schemas.microsoft.com/office/spreadsheetml/2009/9/main" objectType="CheckBox" fmlaLink="UseTOWERGeomConv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228600</xdr:rowOff>
        </xdr:from>
        <xdr:to>
          <xdr:col>2</xdr:col>
          <xdr:colOff>190500</xdr:colOff>
          <xdr:row>20</xdr:row>
          <xdr:rowOff>238125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18</xdr:row>
          <xdr:rowOff>30480</xdr:rowOff>
        </xdr:from>
        <xdr:to>
          <xdr:col>1</xdr:col>
          <xdr:colOff>1074420</xdr:colOff>
          <xdr:row>18</xdr:row>
          <xdr:rowOff>274320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23</xdr:row>
          <xdr:rowOff>22860</xdr:rowOff>
        </xdr:from>
        <xdr:to>
          <xdr:col>14</xdr:col>
          <xdr:colOff>1341120</xdr:colOff>
          <xdr:row>27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365760</xdr:colOff>
          <xdr:row>22</xdr:row>
          <xdr:rowOff>175260</xdr:rowOff>
        </xdr:from>
        <xdr:to>
          <xdr:col>11</xdr:col>
          <xdr:colOff>822960</xdr:colOff>
          <xdr:row>27</xdr:row>
          <xdr:rowOff>137160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99060</xdr:rowOff>
        </xdr:from>
        <xdr:to>
          <xdr:col>2</xdr:col>
          <xdr:colOff>289560</xdr:colOff>
          <xdr:row>7</xdr:row>
          <xdr:rowOff>175260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19</xdr:row>
          <xdr:rowOff>160020</xdr:rowOff>
        </xdr:from>
        <xdr:to>
          <xdr:col>49</xdr:col>
          <xdr:colOff>0</xdr:colOff>
          <xdr:row>20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30480</xdr:colOff>
          <xdr:row>18</xdr:row>
          <xdr:rowOff>30480</xdr:rowOff>
        </xdr:from>
        <xdr:to>
          <xdr:col>47</xdr:col>
          <xdr:colOff>800100</xdr:colOff>
          <xdr:row>18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792480</xdr:colOff>
          <xdr:row>23</xdr:row>
          <xdr:rowOff>30480</xdr:rowOff>
        </xdr:from>
        <xdr:to>
          <xdr:col>59</xdr:col>
          <xdr:colOff>662940</xdr:colOff>
          <xdr:row>27</xdr:row>
          <xdr:rowOff>152400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274320</xdr:colOff>
          <xdr:row>23</xdr:row>
          <xdr:rowOff>45720</xdr:rowOff>
        </xdr:from>
        <xdr:to>
          <xdr:col>58</xdr:col>
          <xdr:colOff>762000</xdr:colOff>
          <xdr:row>27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93</xdr:col>
          <xdr:colOff>38100</xdr:colOff>
          <xdr:row>19</xdr:row>
          <xdr:rowOff>160020</xdr:rowOff>
        </xdr:from>
        <xdr:to>
          <xdr:col>95</xdr:col>
          <xdr:colOff>390524</xdr:colOff>
          <xdr:row>20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38100</xdr:colOff>
          <xdr:row>18</xdr:row>
          <xdr:rowOff>38100</xdr:rowOff>
        </xdr:from>
        <xdr:to>
          <xdr:col>93</xdr:col>
          <xdr:colOff>792480</xdr:colOff>
          <xdr:row>18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</xdr:col>
          <xdr:colOff>868680</xdr:colOff>
          <xdr:row>23</xdr:row>
          <xdr:rowOff>22860</xdr:rowOff>
        </xdr:from>
        <xdr:to>
          <xdr:col>106</xdr:col>
          <xdr:colOff>2171700</xdr:colOff>
          <xdr:row>27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</xdr:col>
          <xdr:colOff>335280</xdr:colOff>
          <xdr:row>22</xdr:row>
          <xdr:rowOff>175260</xdr:rowOff>
        </xdr:from>
        <xdr:to>
          <xdr:col>105</xdr:col>
          <xdr:colOff>807720</xdr:colOff>
          <xdr:row>27</xdr:row>
          <xdr:rowOff>137160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1097280</xdr:colOff>
          <xdr:row>18</xdr:row>
          <xdr:rowOff>30480</xdr:rowOff>
        </xdr:from>
        <xdr:to>
          <xdr:col>1</xdr:col>
          <xdr:colOff>2552700</xdr:colOff>
          <xdr:row>18</xdr:row>
          <xdr:rowOff>266700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838200</xdr:colOff>
          <xdr:row>18</xdr:row>
          <xdr:rowOff>22860</xdr:rowOff>
        </xdr:from>
        <xdr:to>
          <xdr:col>48</xdr:col>
          <xdr:colOff>0</xdr:colOff>
          <xdr:row>18</xdr:row>
          <xdr:rowOff>251460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822960</xdr:colOff>
          <xdr:row>18</xdr:row>
          <xdr:rowOff>22860</xdr:rowOff>
        </xdr:from>
        <xdr:to>
          <xdr:col>94</xdr:col>
          <xdr:colOff>7620</xdr:colOff>
          <xdr:row>18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6</xdr:row>
          <xdr:rowOff>22860</xdr:rowOff>
        </xdr:from>
        <xdr:to>
          <xdr:col>3</xdr:col>
          <xdr:colOff>876300</xdr:colOff>
          <xdr:row>8</xdr:row>
          <xdr:rowOff>133350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38100</xdr:rowOff>
        </xdr:from>
        <xdr:to>
          <xdr:col>3</xdr:col>
          <xdr:colOff>942975</xdr:colOff>
          <xdr:row>6</xdr:row>
          <xdr:rowOff>133350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20</xdr:row>
          <xdr:rowOff>0</xdr:rowOff>
        </xdr:from>
        <xdr:to>
          <xdr:col>7</xdr:col>
          <xdr:colOff>708660</xdr:colOff>
          <xdr:row>20</xdr:row>
          <xdr:rowOff>251460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60960</xdr:colOff>
          <xdr:row>20</xdr:row>
          <xdr:rowOff>0</xdr:rowOff>
        </xdr:from>
        <xdr:to>
          <xdr:col>55</xdr:col>
          <xdr:colOff>731520</xdr:colOff>
          <xdr:row>20</xdr:row>
          <xdr:rowOff>251460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139</xdr:col>
          <xdr:colOff>38100</xdr:colOff>
          <xdr:row>19</xdr:row>
          <xdr:rowOff>160020</xdr:rowOff>
        </xdr:from>
        <xdr:to>
          <xdr:col>141</xdr:col>
          <xdr:colOff>152400</xdr:colOff>
          <xdr:row>20</xdr:row>
          <xdr:rowOff>152400</xdr:rowOff>
        </xdr:to>
        <xdr:sp macro="" textlink="">
          <xdr:nvSpPr>
            <xdr:cNvPr id="4135" name="Dropdown_RNA_Structures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139</xdr:col>
          <xdr:colOff>38100</xdr:colOff>
          <xdr:row>18</xdr:row>
          <xdr:rowOff>38100</xdr:rowOff>
        </xdr:from>
        <xdr:to>
          <xdr:col>139</xdr:col>
          <xdr:colOff>792480</xdr:colOff>
          <xdr:row>18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</xdr:col>
          <xdr:colOff>861060</xdr:colOff>
          <xdr:row>19</xdr:row>
          <xdr:rowOff>30480</xdr:rowOff>
        </xdr:from>
        <xdr:to>
          <xdr:col>145</xdr:col>
          <xdr:colOff>1592580</xdr:colOff>
          <xdr:row>21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139</xdr:col>
          <xdr:colOff>822960</xdr:colOff>
          <xdr:row>18</xdr:row>
          <xdr:rowOff>22860</xdr:rowOff>
        </xdr:from>
        <xdr:to>
          <xdr:col>140</xdr:col>
          <xdr:colOff>7620</xdr:colOff>
          <xdr:row>18</xdr:row>
          <xdr:rowOff>259080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9</xdr:row>
          <xdr:rowOff>114300</xdr:rowOff>
        </xdr:from>
        <xdr:to>
          <xdr:col>2</xdr:col>
          <xdr:colOff>274320</xdr:colOff>
          <xdr:row>12</xdr:row>
          <xdr:rowOff>182880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38100</xdr:rowOff>
        </xdr:from>
        <xdr:to>
          <xdr:col>3</xdr:col>
          <xdr:colOff>942975</xdr:colOff>
          <xdr:row>11</xdr:row>
          <xdr:rowOff>123825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45720</xdr:rowOff>
        </xdr:from>
        <xdr:to>
          <xdr:col>3</xdr:col>
          <xdr:colOff>866775</xdr:colOff>
          <xdr:row>12</xdr:row>
          <xdr:rowOff>142875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76200</xdr:rowOff>
        </xdr:from>
        <xdr:to>
          <xdr:col>3</xdr:col>
          <xdr:colOff>866775</xdr:colOff>
          <xdr:row>13</xdr:row>
          <xdr:rowOff>171450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2154218</xdr:colOff>
          <xdr:row>3</xdr:row>
          <xdr:rowOff>170330</xdr:rowOff>
        </xdr:from>
        <xdr:to>
          <xdr:col>2</xdr:col>
          <xdr:colOff>1176618</xdr:colOff>
          <xdr:row>5</xdr:row>
          <xdr:rowOff>3361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FDBE2702-93A5-00DE-E4A5-48493F64B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24:H25" totalsRowShown="0" headerRowDxfId="351" dataDxfId="118">
  <autoFilter ref="B24:H25" xr:uid="{51AF5F9E-A6E5-4BA1-83BE-2546351DAE06}"/>
  <tableColumns count="7">
    <tableColumn id="1" xr3:uid="{8004DE55-01A0-4AB5-A007-D379F8ED184F}" name="Identifier" dataDxfId="125"/>
    <tableColumn id="2" xr3:uid="{73AEE22B-B9CF-4401-B31E-64902257C6A9}" name="Project ID" dataDxfId="124"/>
    <tableColumn id="3" xr3:uid="{6CD7BEF9-707B-4F7D-A334-46DB51B6F454}" name="Phase" dataDxfId="123"/>
    <tableColumn id="4" xr3:uid="{5572AB9F-884A-4001-85E7-5E708A2DFC71}" name="Structure ID" dataDxfId="122"/>
    <tableColumn id="5" xr3:uid="{AFCB5F1D-C5C1-4D21-A7C0-310C0D52F9E4}" name="Water Depth [m]" dataDxfId="121"/>
    <tableColumn id="6" xr3:uid="{149EEBB8-62A5-42C4-97FD-484848DB0825}" name="Height Reference" dataDxfId="120"/>
    <tableColumn id="7" xr3:uid="{82ECC3EB-0382-490B-8CE7-963B13E4D1A1}" name="Comments" dataDxfId="1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7:H28" insertRow="1" totalsRowShown="0" headerRowDxfId="350" dataDxfId="349">
  <autoFilter ref="B27:H28" xr:uid="{58117B73-5FCA-4002-A528-31B3F83BDE75}"/>
  <tableColumns count="7">
    <tableColumn id="1" xr3:uid="{5C484AAB-AA0F-4FBD-9543-28D80EB7F84D}" name="Identifier" dataDxfId="348"/>
    <tableColumn id="2" xr3:uid="{87603448-795E-499B-8754-D6455D5FF52F}" name="Project ID" dataDxfId="347"/>
    <tableColumn id="3" xr3:uid="{51EA6487-4EF3-43A9-B440-34893EEEEAB2}" name="Phase" dataDxfId="346"/>
    <tableColumn id="4" xr3:uid="{4AC48BB5-6D2E-492F-89B1-5662010991A8}" name="Structure ID" dataDxfId="345"/>
    <tableColumn id="5" xr3:uid="{2AE3ED2D-7CAB-45B8-AA43-6197A5DBB9C2}" name="Water Depth [m]" dataDxfId="344"/>
    <tableColumn id="6" xr3:uid="{BC0E3E2E-DE67-4FD9-94E9-5C112B52D3FD}" name="Height Reference" dataDxfId="343"/>
    <tableColumn id="7" xr3:uid="{16928D7F-3DB7-43BD-BCF5-5C279A3E16F5}" name="Comments" dataDxfId="3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30:G53" totalsRowShown="0" headerRowDxfId="341" dataDxfId="111">
  <autoFilter ref="B30:G53" xr:uid="{C9C31EE9-6B44-4D67-9597-BD108F88B355}"/>
  <sortState xmlns:xlrd2="http://schemas.microsoft.com/office/spreadsheetml/2017/richdata2" ref="B31:L55">
    <sortCondition ref="B30:B55"/>
  </sortState>
  <tableColumns count="6">
    <tableColumn id="1" xr3:uid="{15F53C56-04A7-4EA4-A64D-A2A5A78E2AA2}" name="Section" dataDxfId="117"/>
    <tableColumn id="2" xr3:uid="{01B5124C-F6E1-40D2-9236-F2D6BE941DD3}" name="Top [m]" dataDxfId="116"/>
    <tableColumn id="3" xr3:uid="{0537C90E-D320-4AC4-8392-2A7C45CE31A1}" name="Bottom [m]" dataDxfId="115"/>
    <tableColumn id="4" xr3:uid="{3F0DC3DB-26F8-4D70-A358-70EF5E1596F5}" name="D, top [m]" dataDxfId="114"/>
    <tableColumn id="5" xr3:uid="{25F6B1D8-AC49-468F-BDCD-72AC07BB3CD0}" name="D, bottom [m]" dataDxfId="113"/>
    <tableColumn id="6" xr3:uid="{3ED99EE5-BCA8-4244-A3E5-81C6F22A9AB2}" name="t [mm]" dataDxfId="1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W24:AC25" totalsRowShown="0" headerRowDxfId="340" dataDxfId="339">
  <autoFilter ref="W24:AC25" xr:uid="{F46B677D-4D25-4464-BE0D-6A1E644518C5}"/>
  <tableColumns count="7">
    <tableColumn id="1" xr3:uid="{ECD0389F-015D-412B-9FF1-D5BEAAD27FC1}" name="Identifier" dataDxfId="338"/>
    <tableColumn id="2" xr3:uid="{90794316-AE1E-4D40-A728-B5B995A9CF65}" name="Project ID" dataDxfId="337"/>
    <tableColumn id="3" xr3:uid="{B8C9242D-AC32-4E57-A861-DB7E615D6A1C}" name="Phase" dataDxfId="336"/>
    <tableColumn id="4" xr3:uid="{1EEB510B-3010-431D-B8C6-870D9180A629}" name="Structure ID" dataDxfId="335"/>
    <tableColumn id="5" xr3:uid="{B6F5C20C-83C1-4B16-B4D3-933D066BB6A0}" name="Water Depth [m]" dataDxfId="334"/>
    <tableColumn id="6" xr3:uid="{26EA3A2D-14E0-4809-9795-74592B4984AD}" name="Height Reference" dataDxfId="333"/>
    <tableColumn id="7" xr3:uid="{9AC62F3C-D12C-40A1-8AF4-F7C9B043F1FB}" name="Comments" dataDxfId="3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N24:AT25" totalsRowShown="0" headerRowDxfId="331" dataDxfId="330">
  <autoFilter ref="AN24:AT25" xr:uid="{46FD7C67-BF9C-41F4-B134-682EDE7A007C}"/>
  <sortState xmlns:xlrd2="http://schemas.microsoft.com/office/spreadsheetml/2017/richdata2" ref="AN25:AR26">
    <sortCondition descending="1" ref="AP24:AP26"/>
  </sortState>
  <tableColumns count="7">
    <tableColumn id="1" xr3:uid="{43AB1C43-FBC5-42AE-8DFA-4651B77C56A0}" name="Identifier" dataDxfId="329"/>
    <tableColumn id="2" xr3:uid="{75FB6F15-9784-4F9D-9947-41C8E7DD1CC9}" name="Project ID" dataDxfId="328"/>
    <tableColumn id="3" xr3:uid="{DF3379D9-9371-4EDE-B715-A6A40C072275}" name="Phase" dataDxfId="327"/>
    <tableColumn id="4" xr3:uid="{B2F66CA1-64D8-49D4-A1DA-28FD14EC75C2}" name="Structure ID" dataDxfId="326"/>
    <tableColumn id="5" xr3:uid="{E0EC4989-22E7-49A3-8DAC-034A87568E19}" name="Water Depth [m]" dataDxfId="325"/>
    <tableColumn id="6" xr3:uid="{9873A46F-D488-4AA7-BC64-C1E65C65D808}" name="Height Reference" dataDxfId="324"/>
    <tableColumn id="7" xr3:uid="{CD60E691-17C5-40B2-9E26-571B6CB0C11D}" name="Comments" dataDxfId="3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W30:AB53" totalsRowShown="0" headerRowDxfId="322" dataDxfId="321">
  <autoFilter ref="W30:AB53" xr:uid="{186CFF05-2CD9-405C-829A-5AD7B62A8ACE}"/>
  <sortState xmlns:xlrd2="http://schemas.microsoft.com/office/spreadsheetml/2017/richdata2" ref="W31:AG55">
    <sortCondition ref="W30:W55"/>
  </sortState>
  <tableColumns count="6">
    <tableColumn id="1" xr3:uid="{66D6C4E1-74CA-4A30-A085-277EA5E62B3C}" name="Section" dataDxfId="320"/>
    <tableColumn id="2" xr3:uid="{D0F6ECD2-6414-48B2-9B47-1C3B8BAC860B}" name="Top [m]" dataDxfId="319"/>
    <tableColumn id="3" xr3:uid="{575FC20A-0259-4081-83F8-71040557AEA8}" name="Bottom [m]" dataDxfId="318"/>
    <tableColumn id="4" xr3:uid="{529E5CD0-69F2-4E59-86A7-A3E6F1B39E96}" name="D, top [m]" dataDxfId="317"/>
    <tableColumn id="5" xr3:uid="{7F90AAFA-52D7-47DB-A99D-3E3E0AEE6541}" name="D, bottom [m]" dataDxfId="316"/>
    <tableColumn id="6" xr3:uid="{1B01547B-4485-4B79-8DB3-FCEA1C806B60}" name="t [mm]" dataDxfId="31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30:U33" totalsRowShown="0" dataDxfId="101">
  <autoFilter ref="M30:U33" xr:uid="{C2F2D263-B298-4967-B7BA-2043D2636A28}"/>
  <tableColumns count="9">
    <tableColumn id="9" xr3:uid="{983AA3EE-D554-4611-9143-CB18ADA5BC06}" name="Name" dataDxfId="110"/>
    <tableColumn id="2" xr3:uid="{365B74CD-D14D-4F75-ABA6-B5CBD126E6F2}" name="Top [m]" dataDxfId="109"/>
    <tableColumn id="12" xr3:uid="{3CC0B321-8A95-4AEE-8DFB-77DAE8FAB528}" name="Bottom [m]" dataDxfId="108"/>
    <tableColumn id="3" xr3:uid="{29EF80FE-079C-4A10-9ADB-03D595E35311}" name="Mass [kg]" dataDxfId="107"/>
    <tableColumn id="1" xr3:uid="{EB762DF5-D84F-4ED6-9E32-E1B37FE9C38D}" name="Diameter [m]" dataDxfId="106"/>
    <tableColumn id="4" xr3:uid="{7D3C052F-35A7-4A8C-B722-8A6311D56BDC}" name="Orientation [°]" dataDxfId="105"/>
    <tableColumn id="5" xr3:uid="{A094AF7B-AEFB-4B58-9377-0B3B7C131ADC}" name="Distance Axis to Axis" dataDxfId="104"/>
    <tableColumn id="6" xr3:uid="{E15A8DE3-D9C1-4684-A605-26B6F2B8779C}" name="Gap between surfaces" dataDxfId="103"/>
    <tableColumn id="7" xr3:uid="{026563CA-A00A-4D48-9BC2-1AF2FA6C6586}" name="Surface roughness [m]" dataDxfId="10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V24:BB25" totalsRowShown="0" headerRowDxfId="314" dataDxfId="81">
  <autoFilter ref="AV24:BB25" xr:uid="{0B04AF76-1113-4DD9-A88C-A478EB316C6E}"/>
  <tableColumns count="7">
    <tableColumn id="1" xr3:uid="{58455F34-16BF-4A81-8A57-F2B2E3E28892}" name="Identifier" dataDxfId="88"/>
    <tableColumn id="2" xr3:uid="{BDC511B7-0336-49CC-A0D7-40D96154D38D}" name="Project ID" dataDxfId="87"/>
    <tableColumn id="3" xr3:uid="{2D75BE55-2BF9-456C-AE5A-2A1218318BAA}" name="Phase" dataDxfId="86"/>
    <tableColumn id="4" xr3:uid="{2B0B47A1-6AA2-4D55-8DF5-A88A949DEAB3}" name="Structure ID" dataDxfId="85"/>
    <tableColumn id="5" xr3:uid="{24994B91-D518-4335-8AFB-5B728F5B9A9A}" name="Water Depth [m]" dataDxfId="84"/>
    <tableColumn id="6" xr3:uid="{BC674145-8AD9-4667-B204-310C7780D8BD}" name="Height Reference" dataDxfId="83"/>
    <tableColumn id="7" xr3:uid="{8574AD8B-5882-49EF-B1C0-6AEBD6820423}" name="Comments" dataDxfId="8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V27:BB28" totalsRowShown="0" headerRowDxfId="313" dataDxfId="312">
  <autoFilter ref="AV27:BB28" xr:uid="{05DB58A4-E4A6-44E9-9800-F1D5AD7D9AA7}"/>
  <tableColumns count="7">
    <tableColumn id="1" xr3:uid="{2E834674-089F-43C8-8D07-2A374229A7BC}" name="Identifier" dataDxfId="311"/>
    <tableColumn id="2" xr3:uid="{6BEA972F-3506-4C48-AEB4-7F07A56A7185}" name="Project ID" dataDxfId="310"/>
    <tableColumn id="3" xr3:uid="{4E216AD3-8A97-4909-B2FD-78BAAFF0AD26}" name="Phase" dataDxfId="309"/>
    <tableColumn id="4" xr3:uid="{787011D0-F0FA-4EDD-881B-22121DF4902E}" name="Structure ID" dataDxfId="308"/>
    <tableColumn id="5" xr3:uid="{2067DA19-30E8-4DC2-9605-F5989A843C96}" name="Water Depth [m]" dataDxfId="307"/>
    <tableColumn id="6" xr3:uid="{E1008977-49E5-479B-9DB3-40A483860F73}" name="Height Reference" dataDxfId="306"/>
    <tableColumn id="7" xr3:uid="{F3EB13E3-9193-4095-B8C2-92AB811162B8}" name="Comments" dataDxfId="30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V30:BA34" totalsRowShown="0" headerRowDxfId="304" dataDxfId="74">
  <autoFilter ref="AV30:BA34" xr:uid="{463505FA-4645-4E01-B220-9A826ACB16FB}"/>
  <sortState xmlns:xlrd2="http://schemas.microsoft.com/office/spreadsheetml/2017/richdata2" ref="AV31:BF55">
    <sortCondition ref="AV30:AV55"/>
  </sortState>
  <tableColumns count="6">
    <tableColumn id="1" xr3:uid="{B63189BD-DBD1-4507-A787-F69DD84B759C}" name="Section" dataDxfId="80"/>
    <tableColumn id="2" xr3:uid="{20DD1485-D982-4D84-8836-A1F004AD90A8}" name="Top [m]" dataDxfId="79"/>
    <tableColumn id="3" xr3:uid="{A05F4E1F-5C83-413A-B9BE-2BBE3AB13A3B}" name="Bottom [m]" dataDxfId="78"/>
    <tableColumn id="4" xr3:uid="{EBAC8D31-17F8-4535-9E03-9B656FFD2B81}" name="D, top [m]" dataDxfId="77"/>
    <tableColumn id="5" xr3:uid="{A4A3D92C-C993-453F-AF5C-E4B75CB27682}" name="D, bottom [m]" dataDxfId="76"/>
    <tableColumn id="6" xr3:uid="{32AD350F-83E6-4938-BC67-33A5C8B767FF}" name="t [mm]" dataDxfId="7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BQ24:BW25" totalsRowShown="0" headerRowDxfId="303" dataDxfId="302">
  <autoFilter ref="BQ24:BW25" xr:uid="{6ED14D31-21E8-495C-899A-C1BE36AC7D57}"/>
  <tableColumns count="7">
    <tableColumn id="1" xr3:uid="{DA9D700C-EEF5-42F6-A311-BAEEF88B1BB7}" name="Identifier" dataDxfId="301"/>
    <tableColumn id="2" xr3:uid="{F3154507-C41A-47B8-8944-C5C95FFA02DB}" name="Project ID" dataDxfId="300"/>
    <tableColumn id="3" xr3:uid="{80771C1F-325D-4BE1-93EC-AEBADAEF8C45}" name="Phase" dataDxfId="299"/>
    <tableColumn id="4" xr3:uid="{58EF9147-D484-4AD2-85BC-FC61A3DF1B06}" name="Structure ID" dataDxfId="298"/>
    <tableColumn id="5" xr3:uid="{08D6C2E1-6DB9-491C-8175-4D57250F03F8}" name="Water Depth [m]" dataDxfId="297"/>
    <tableColumn id="6" xr3:uid="{6D129076-7D09-47E2-9F0F-2301ACE416A2}" name="Height Reference" dataDxfId="296"/>
    <tableColumn id="7" xr3:uid="{F96CE66F-661C-4D0F-869C-6075FFBE1D63}" name="Comments" dataDxfId="29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CG24:CM25" totalsRowShown="0" headerRowDxfId="294" dataDxfId="293">
  <autoFilter ref="CG24:CM25" xr:uid="{C3895FE4-33B0-49A8-99F6-25EAD4C42C05}"/>
  <sortState xmlns:xlrd2="http://schemas.microsoft.com/office/spreadsheetml/2017/richdata2" ref="CG25:CK26">
    <sortCondition descending="1" ref="CI24:CI26"/>
  </sortState>
  <tableColumns count="7">
    <tableColumn id="1" xr3:uid="{39574F94-1416-4BF2-B8F9-333B3F24B77C}" name="Identifier" dataDxfId="292"/>
    <tableColumn id="2" xr3:uid="{10221FF0-6669-415E-A4C9-1A925A636E0E}" name="Project ID" dataDxfId="291"/>
    <tableColumn id="3" xr3:uid="{51ED7DEE-637C-4EB3-BD51-712CBF1C3A3F}" name="Phase" dataDxfId="290"/>
    <tableColumn id="4" xr3:uid="{1FA8653A-38E1-49B7-812A-65D83A87164E}" name="Structure ID" dataDxfId="289"/>
    <tableColumn id="5" xr3:uid="{6C9EA130-8028-4AEB-8FB2-AF4D80F48270}" name="Water Depth [m]" dataDxfId="288"/>
    <tableColumn id="6" xr3:uid="{83CD3E29-C555-4D73-9F88-767BB7CFEAA2}" name="Height Reference" dataDxfId="287"/>
    <tableColumn id="7" xr3:uid="{E5776344-EC8E-455B-8C7D-2D48B57F6EF9}" name="Comments" dataDxfId="28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BQ30:BV34" totalsRowShown="0" headerRowDxfId="285" dataDxfId="284">
  <autoFilter ref="BQ30:BV34" xr:uid="{62A1D9C7-47A9-4F63-8343-1C661E8816F7}"/>
  <sortState xmlns:xlrd2="http://schemas.microsoft.com/office/spreadsheetml/2017/richdata2" ref="BQ31:CA55">
    <sortCondition ref="BQ30:BQ55"/>
  </sortState>
  <tableColumns count="6">
    <tableColumn id="1" xr3:uid="{E243C011-FF5E-4AF1-A1B3-9F3C7CF7C9AA}" name="Section" dataDxfId="283"/>
    <tableColumn id="2" xr3:uid="{00F60C63-2770-42C2-B48C-5D66D3C52BC7}" name="Top [m]" dataDxfId="282"/>
    <tableColumn id="3" xr3:uid="{B0C70BDD-2B8F-4EF1-9287-C431F103B9ED}" name="Bottom [m]" dataDxfId="281"/>
    <tableColumn id="4" xr3:uid="{5762D413-3034-4D8C-93B6-FD4630B02B90}" name="D, top [m]" dataDxfId="280"/>
    <tableColumn id="5" xr3:uid="{14D973BE-EA8A-4E59-909A-5E1466E24A50}" name="D, bottom [m]" dataDxfId="279"/>
    <tableColumn id="6" xr3:uid="{7BFD2029-1F5C-43ED-A6F8-296E86962F79}" name="t [mm]" dataDxfId="27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BG30:BO36" totalsRowShown="0" dataDxfId="64" headerRowBorderDxfId="100">
  <autoFilter ref="BG30:BO36" xr:uid="{EF6AB3BF-A5B9-4898-A2AA-B1E2D904FCE0}"/>
  <tableColumns count="9">
    <tableColumn id="1" xr3:uid="{1A53106D-E4B7-4076-A33D-6CE63AD9AC29}" name="Name" dataDxfId="73"/>
    <tableColumn id="2" xr3:uid="{9D7DAE9F-A86B-4D74-801F-55226E9F4D94}" name="Top [m]" dataDxfId="72"/>
    <tableColumn id="3" xr3:uid="{3FD5DC94-754D-4B55-A30B-0CF2D12CDE7F}" name="Bottom [m]" dataDxfId="71"/>
    <tableColumn id="4" xr3:uid="{0713EE80-EC82-4732-84F0-77B89AFD588A}" name="Mass [kg]" dataDxfId="70"/>
    <tableColumn id="5" xr3:uid="{7363E391-5B32-459F-A8AA-B0EFCBDFAC99}" name="Diameter [m]" dataDxfId="69"/>
    <tableColumn id="6" xr3:uid="{B87ECBD8-9D63-4A9D-AE79-3303956D6096}" name="Orientation [°]" dataDxfId="68"/>
    <tableColumn id="7" xr3:uid="{BFDA83B4-3631-484C-B263-2BD31EE8BC59}" name="Distance Axis to Axis" dataDxfId="67"/>
    <tableColumn id="8" xr3:uid="{09EAAC52-3BAA-4466-8EB5-2AB8B9AFA850}" name="Gap between surfaces" dataDxfId="66"/>
    <tableColumn id="9" xr3:uid="{BD2A12D0-B997-4262-8BA0-FF84D018AA93}" name="Surface roughness [m]" dataDxfId="6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CP24:CV25" totalsRowShown="0" headerRowDxfId="277" dataDxfId="44">
  <autoFilter ref="CP24:CV25" xr:uid="{570D3808-2D33-45AA-AE67-BB82CAED07EC}"/>
  <tableColumns count="7">
    <tableColumn id="1" xr3:uid="{CCDDEDAF-7D35-44BE-9711-5BB94A7933B5}" name="Identifier" dataDxfId="51"/>
    <tableColumn id="2" xr3:uid="{A6622A20-5B2E-4695-A263-CDE9418E44CF}" name="Project ID" dataDxfId="50"/>
    <tableColumn id="3" xr3:uid="{352D7C0A-3620-4627-BAFA-7328A9D0D37D}" name="Phase" dataDxfId="49"/>
    <tableColumn id="4" xr3:uid="{B321ED1F-34C0-412F-A702-8500F62ECCC6}" name="Structure ID" dataDxfId="48"/>
    <tableColumn id="5" xr3:uid="{80D47030-3591-4982-92EF-BACC66E1FE86}" name="Water Depth [m]" dataDxfId="47"/>
    <tableColumn id="6" xr3:uid="{EF78C918-5D9E-4AE9-872B-673153622FEA}" name="Height Reference" dataDxfId="46"/>
    <tableColumn id="7" xr3:uid="{170AACDE-B844-4EEC-A0B3-69E2508B4EDA}" name="Comments" dataDxfId="4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CP27:CV28" totalsRowShown="0" headerRowDxfId="276" dataDxfId="275">
  <autoFilter ref="CP27:CV28" xr:uid="{35A6DD8B-1B03-4405-8692-950A70C42223}"/>
  <tableColumns count="7">
    <tableColumn id="1" xr3:uid="{1E986C31-3F41-4D2E-A5B3-1F241849BF8F}" name="Identifier" dataDxfId="274"/>
    <tableColumn id="2" xr3:uid="{BFA6A302-1312-44A9-9D24-00404B96F93D}" name="Project ID" dataDxfId="273"/>
    <tableColumn id="3" xr3:uid="{6FC4FB3D-D4AD-4191-B505-D0037CFE0AE6}" name="Phase" dataDxfId="272"/>
    <tableColumn id="4" xr3:uid="{869514EC-8FC7-48A8-9C17-94321EE95FF7}" name="Structure ID" dataDxfId="271"/>
    <tableColumn id="5" xr3:uid="{863DC3E8-E570-4145-B742-09AB28340D03}" name="Water Depth [m]" dataDxfId="270"/>
    <tableColumn id="6" xr3:uid="{9DF4DE17-029C-4704-967A-33C81C46070E}" name="Height Reference" dataDxfId="269"/>
    <tableColumn id="7" xr3:uid="{769D8177-1D18-4F53-87D2-AB6EDE9D675F}" name="Comments" dataDxfId="26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CP30:CU120" totalsRowShown="0" headerRowDxfId="267" dataDxfId="37">
  <autoFilter ref="CP30:CU120" xr:uid="{6CCFBE8E-EBFA-4AA0-A18D-3AB7BDB6B464}"/>
  <sortState xmlns:xlrd2="http://schemas.microsoft.com/office/spreadsheetml/2017/richdata2" ref="CP31:CZ55">
    <sortCondition ref="CP30:CP55"/>
  </sortState>
  <tableColumns count="6">
    <tableColumn id="1" xr3:uid="{85C28FF3-9287-4D46-8CEF-6A66D92B23F6}" name="Section" dataDxfId="43"/>
    <tableColumn id="2" xr3:uid="{BC63B096-D7B8-47B5-B5E9-FC896BC9868B}" name="Top [m]" dataDxfId="42"/>
    <tableColumn id="3" xr3:uid="{B9C7376D-FAD6-493B-8287-40DCA419DD50}" name="Bottom [m]" dataDxfId="41"/>
    <tableColumn id="4" xr3:uid="{6DC756E0-08B6-443E-9B2C-8D790BB94B8D}" name="D, top [m]" dataDxfId="40"/>
    <tableColumn id="5" xr3:uid="{BBD13E2B-0AEF-41AA-A565-50855C7E6296}" name="D, bottom [m]" dataDxfId="39"/>
    <tableColumn id="6" xr3:uid="{123F9676-EB92-4044-A35A-E032C3EBF8E7}" name="t [mm]" dataDxfId="3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DK24:DQ25" totalsRowShown="0" headerRowDxfId="266" dataDxfId="265">
  <autoFilter ref="DK24:DQ25" xr:uid="{BC714A6A-8D53-444B-883B-7E7991C4738D}"/>
  <tableColumns count="7">
    <tableColumn id="1" xr3:uid="{2851D88E-C4FF-4F89-9EC3-EAFBEA54B71F}" name="Identifier" dataDxfId="264"/>
    <tableColumn id="2" xr3:uid="{02792EA3-7910-49BB-A8F1-6C715F3370FC}" name="Project ID" dataDxfId="263"/>
    <tableColumn id="3" xr3:uid="{E61B3620-9AD6-47D6-B636-C8C2AD063634}" name="Phase" dataDxfId="262"/>
    <tableColumn id="4" xr3:uid="{605E5017-0F2F-4443-A933-4E5CD08A4C23}" name="Structure ID" dataDxfId="261"/>
    <tableColumn id="5" xr3:uid="{BDF5F12B-CA8B-48E8-87A7-7D0364DE2FB2}" name="Water Depth [m]" dataDxfId="260"/>
    <tableColumn id="6" xr3:uid="{EE01736A-C2DC-472E-BB17-6D42BEB50FD3}" name="Height Reference" dataDxfId="259"/>
    <tableColumn id="7" xr3:uid="{89F52D24-3700-4E96-A3EE-54C0BD6E6850}" name="Comments" dataDxfId="25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EB24:EH25" totalsRowShown="0" headerRowDxfId="257" dataDxfId="256">
  <autoFilter ref="EB24:EH25" xr:uid="{B4707D43-E248-4B9D-AB58-3D0829DFBB4F}"/>
  <sortState xmlns:xlrd2="http://schemas.microsoft.com/office/spreadsheetml/2017/richdata2" ref="EB25:EF26">
    <sortCondition descending="1" ref="ED24:ED26"/>
  </sortState>
  <tableColumns count="7">
    <tableColumn id="1" xr3:uid="{7672BA03-0DF7-4E41-B249-02049D4F4A5C}" name="Identifier" dataDxfId="255"/>
    <tableColumn id="2" xr3:uid="{BCD09FD8-ED15-428C-A59B-CFD0BF079641}" name="Project ID" dataDxfId="254"/>
    <tableColumn id="3" xr3:uid="{76AFB3BE-3FC3-4189-A098-6A9EA54A5EC9}" name="Phase" dataDxfId="253"/>
    <tableColumn id="4" xr3:uid="{33378BDF-E99D-44A7-8811-811CD7F1395F}" name="Structure ID" dataDxfId="252"/>
    <tableColumn id="5" xr3:uid="{DE6D6C26-BA61-4AFF-8E06-02AD273B29E8}" name="Water Depth [m]" dataDxfId="251"/>
    <tableColumn id="6" xr3:uid="{B865CAD0-836B-45FC-8185-9945C6562913}" name="Height Reference" dataDxfId="250"/>
    <tableColumn id="7" xr3:uid="{1F656F81-71F7-4B46-A4A6-8B1FC6147EC5}" name="Comments" dataDxfId="24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DK30:DP120" totalsRowShown="0" headerRowDxfId="248" dataDxfId="247">
  <autoFilter ref="DK30:DP120" xr:uid="{DE222362-04CC-46F7-A72F-CA8E23DD0237}"/>
  <sortState xmlns:xlrd2="http://schemas.microsoft.com/office/spreadsheetml/2017/richdata2" ref="DK31:DU55">
    <sortCondition ref="DK30:DK55"/>
  </sortState>
  <tableColumns count="6">
    <tableColumn id="1" xr3:uid="{A9C701CB-47B4-48F4-AFAB-2A8641408C96}" name="Section" dataDxfId="246"/>
    <tableColumn id="2" xr3:uid="{B6685CB3-8DE6-43F6-B6B6-9EE349AFDB7E}" name="Top [m]" dataDxfId="245"/>
    <tableColumn id="3" xr3:uid="{DF0BDC05-BDC5-4912-B19E-FE92634C630E}" name="Bottom [m]" dataDxfId="244"/>
    <tableColumn id="4" xr3:uid="{FE62A509-C225-4EE7-9E1A-92FB7B34D915}" name="D, top [m]" dataDxfId="243"/>
    <tableColumn id="5" xr3:uid="{40198B9A-CE5F-48D3-B6CF-9F426B6E0187}" name="D, bottom [m]" dataDxfId="242"/>
    <tableColumn id="6" xr3:uid="{9098A7F1-A089-4645-9946-FA698633501A}" name="t [mm]" dataDxfId="24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DA30:DI95" totalsRowShown="0" dataDxfId="27" headerRowBorderDxfId="63">
  <autoFilter ref="DA30:DI95" xr:uid="{E785A247-6678-47FD-8A48-16CD1A0703D0}"/>
  <sortState xmlns:xlrd2="http://schemas.microsoft.com/office/spreadsheetml/2017/richdata2" ref="DA31:DC84">
    <sortCondition descending="1" ref="DA30:DA84"/>
  </sortState>
  <tableColumns count="9">
    <tableColumn id="1" xr3:uid="{D015FF14-679F-4C4B-AD11-FD169A799F7D}" name="Name" dataDxfId="36"/>
    <tableColumn id="2" xr3:uid="{F6B0D10D-7C44-41C3-9301-C37A6304C787}" name="Top [m]" dataDxfId="35"/>
    <tableColumn id="3" xr3:uid="{F049C52E-CCD6-4E67-9C8C-52FA82F691D9}" name="Bottom [m]" dataDxfId="34"/>
    <tableColumn id="4" xr3:uid="{881A55B9-B2B1-4A72-A3DC-40E448C3A7E7}" name="Mass [kg]" dataDxfId="33"/>
    <tableColumn id="5" xr3:uid="{6B786E85-78FE-4288-9D59-240BB965DBAB}" name="Diameter [m]" dataDxfId="32"/>
    <tableColumn id="6" xr3:uid="{CCA7F990-23FC-417B-8516-94978103A8A2}" name="Orientation [°]" dataDxfId="31"/>
    <tableColumn id="7" xr3:uid="{C25A5D5B-7EB5-4357-955D-011445552E50}" name="Distance Axis to Axis" dataDxfId="30"/>
    <tableColumn id="8" xr3:uid="{2D190558-C237-4495-A29A-41A1FEE8CDAE}" name="Gap between surfaces" dataDxfId="29"/>
    <tableColumn id="9" xr3:uid="{48B01679-0519-4586-98B3-F0A27C26F8E4}" name="Surface roughness [m]" dataDxfId="28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EJ24:ER37" totalsRowShown="0" dataDxfId="240">
  <autoFilter ref="EJ24:ER37" xr:uid="{FEE1C0E0-398B-48E1-9521-CCB187180413}"/>
  <sortState xmlns:xlrd2="http://schemas.microsoft.com/office/spreadsheetml/2017/richdata2" ref="EJ25:EU49">
    <sortCondition ref="EJ24:EJ49"/>
  </sortState>
  <tableColumns count="9">
    <tableColumn id="1" xr3:uid="{03A8E757-56E6-48B0-929F-24FBFFC0EAA8}" name="Identifier" dataDxfId="239"/>
    <tableColumn id="2" xr3:uid="{BF4DEE24-7E2F-4B20-9B44-27C601C754F1}" name="Power [MW]" dataDxfId="238"/>
    <tableColumn id="3" xr3:uid="{4CBE937C-DD0F-4596-BD90-BE03828E4CA7}" name="Rotor Diameter [m]" dataDxfId="237"/>
    <tableColumn id="4" xr3:uid="{DE89D440-DA99-4425-B50C-30544DB961F5}" name="Mass of RNA [kg]" dataDxfId="236"/>
    <tableColumn id="5" xr3:uid="{E2FB4084-506E-4EC7-9BC8-8255DFE52EE0}" name="Inertia of RNA fore-aft @COG [kg m^2]" dataDxfId="235"/>
    <tableColumn id="9" xr3:uid="{44DAFC7A-C2DD-41BB-881C-14AD34F8BE60}" name="Inertia of RNA side-side @COG [kg m^2]" dataDxfId="234"/>
    <tableColumn id="6" xr3:uid="{18C2BBB8-192B-4BEC-B9C5-5B12B65B00E4}" name="Vertical Offset TT to HH [m] " dataDxfId="233"/>
    <tableColumn id="7" xr3:uid="{224A58F0-EA11-4A11-9268-3AE211EDB8B3}" name="Vertical Offset TT_COG [m]" dataDxfId="232"/>
    <tableColumn id="8" xr3:uid="{6189FE8D-4B10-4B10-BBA8-06FA82BF9F0C}" name="comment" dataDxfId="23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ET24:FB37" totalsRowShown="0" dataDxfId="230">
  <autoFilter ref="ET24:FB37" xr:uid="{6273375F-28C8-4A14-A545-8B988B5C9E65}"/>
  <tableColumns count="9">
    <tableColumn id="1" xr3:uid="{C3AE8FB7-66D2-47E1-8AA6-F0260BDFFCB8}" name="Identifier" dataDxfId="229"/>
    <tableColumn id="2" xr3:uid="{5F848737-A14E-44D6-9231-85AB48A55526}" name="Power [MW]" dataDxfId="228"/>
    <tableColumn id="3" xr3:uid="{2C93533D-1E27-4EB2-B7E6-3A19FEC55632}" name="Rotor Diameter [m]" dataDxfId="227"/>
    <tableColumn id="4" xr3:uid="{9D1780E5-E668-4D12-AF46-0A1DF433FA8A}" name="Mass of RNA [kg]" dataDxfId="226"/>
    <tableColumn id="5" xr3:uid="{1CA8A517-990E-4959-826C-118C5EC0C261}" name="Inertia of RNA fore-aft @COG [kg m^2]" dataDxfId="225"/>
    <tableColumn id="6" xr3:uid="{9FFE4A1F-E32A-49E7-8031-A24CF653CD8C}" name="Inertia of RNA side-side @COG [kg m^2]" dataDxfId="224"/>
    <tableColumn id="8" xr3:uid="{C481EB76-DD37-4979-8B5D-F3C81E38423E}" name="vertical offset TT to HH [m] " dataDxfId="223"/>
    <tableColumn id="7" xr3:uid="{3BD257A8-5786-4E03-8F1F-6116921828A3}" name="vertical offset TT_COG [m]" dataDxfId="222"/>
    <tableColumn id="9" xr3:uid="{A74BD603-BB70-4B62-BE72-E692B1275ED2}" name="comment" dataDxfId="22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D30:AL33" totalsRowShown="0" dataDxfId="135">
  <autoFilter ref="AD30:AL33" xr:uid="{BDE973CA-C8D2-4A67-ACE1-6BE97A1FF0C7}"/>
  <tableColumns count="9">
    <tableColumn id="9" xr3:uid="{55BF990C-941A-438C-86DE-D99A5424D8A4}" name="Name" dataDxfId="134"/>
    <tableColumn id="2" xr3:uid="{D2CC7DEA-1AC5-4558-B6A8-7A00324F8731}" name="Top [m]" dataDxfId="133"/>
    <tableColumn id="12" xr3:uid="{63B7643C-B71B-4F75-B941-E84BE173CC9A}" name="Bottom [m]" dataDxfId="132"/>
    <tableColumn id="3" xr3:uid="{74DA4B22-9428-450B-B8ED-D23057E6EF7A}" name="Mass [kg]" dataDxfId="131"/>
    <tableColumn id="1" xr3:uid="{45265052-CB7D-44E4-B950-26F73BB47B9B}" name="Diameter [m]" dataDxfId="130"/>
    <tableColumn id="4" xr3:uid="{E80A5184-2DFE-4036-BD65-B61B96122334}" name="Orientation [°]" dataDxfId="129"/>
    <tableColumn id="5" xr3:uid="{F8C744AA-AA7B-4562-BFA1-0E7C53B53FF4}" name="Distance Axis to Axis" dataDxfId="128"/>
    <tableColumn id="6" xr3:uid="{A8D74212-5B24-4FC1-A938-5DFC386726CB}" name="Gap between surfaces" dataDxfId="127"/>
    <tableColumn id="7" xr3:uid="{9576E46D-F632-4BD0-8B5D-9B663892335B}" name="Surface roughness [m]" dataDxfId="12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1F045B63-B416-42BF-99C1-20F837A31BCE}" name="TP_MASSES_TRUE" displayName="TP_MASSES_TRUE" ref="BX30:CF36" totalsRowShown="0" dataDxfId="99" headerRowBorderDxfId="98">
  <autoFilter ref="BX30:CF36" xr:uid="{1F045B63-B416-42BF-99C1-20F837A31BCE}"/>
  <tableColumns count="9">
    <tableColumn id="1" xr3:uid="{1E006357-E9FA-474C-AA76-A377BD7BAEB9}" name="Name" dataDxfId="97"/>
    <tableColumn id="2" xr3:uid="{97496112-EE61-4A03-A70C-0E42A063A80B}" name="Top [m]" dataDxfId="96"/>
    <tableColumn id="3" xr3:uid="{6A1D249D-F969-4812-AFB7-E9AA5CF3C03F}" name="Bottom [m]" dataDxfId="95"/>
    <tableColumn id="4" xr3:uid="{6B7E0750-D91F-4F54-93A2-BF12CC001309}" name="Mass [kg]" dataDxfId="94"/>
    <tableColumn id="5" xr3:uid="{A6B712F5-2E62-4CB6-902D-034694900194}" name="Diameter [m]" dataDxfId="93"/>
    <tableColumn id="6" xr3:uid="{0855FC7D-54E1-4651-8EFE-5B9D8A4C314A}" name="Orientation [°]" dataDxfId="92"/>
    <tableColumn id="7" xr3:uid="{442EED36-58FF-468D-B238-38C09A88FDE2}" name="Distance Axis to Axis" dataDxfId="91"/>
    <tableColumn id="8" xr3:uid="{D05BE4AC-7418-4F23-AD96-E6E442E84F79}" name="Gap between surfaces" dataDxfId="90"/>
    <tableColumn id="9" xr3:uid="{885A70ED-19E3-40E8-A421-228F57041621}" name="Surface roughness [m]" dataDxfId="89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5DFF3A1-1064-4D95-8605-C0FBFA841E85}" name="TOWER_MASSES_TRUE" displayName="TOWER_MASSES_TRUE" ref="DR30:DZ95" totalsRowShown="0" dataDxfId="62" headerRowBorderDxfId="61">
  <autoFilter ref="DR30:DZ95" xr:uid="{65DFF3A1-1064-4D95-8605-C0FBFA841E85}"/>
  <sortState xmlns:xlrd2="http://schemas.microsoft.com/office/spreadsheetml/2017/richdata2" ref="DR31:DT84">
    <sortCondition descending="1" ref="DR30:DR84"/>
  </sortState>
  <tableColumns count="9">
    <tableColumn id="1" xr3:uid="{0D1EC3D9-D308-46EC-A44B-5657ACE1F68A}" name="Name" dataDxfId="60"/>
    <tableColumn id="2" xr3:uid="{213D84CC-5418-4980-BFB5-BDA8E1400263}" name="Top [m]" dataDxfId="59"/>
    <tableColumn id="3" xr3:uid="{94036DE0-9D06-4C65-A1D5-F25CC6BA0C03}" name="Bottom [m]" dataDxfId="58"/>
    <tableColumn id="4" xr3:uid="{B86D83EF-63F3-47D1-AFA4-F24F15CD807D}" name="Mass [kg]" dataDxfId="57"/>
    <tableColumn id="5" xr3:uid="{C34DA26C-828A-4AD7-B54B-0E1338188A03}" name="Diameter [m]" dataDxfId="56"/>
    <tableColumn id="6" xr3:uid="{E429ADA0-EE8B-4585-B926-E0E030EFBDF4}" name="Orientation [°]" dataDxfId="55"/>
    <tableColumn id="7" xr3:uid="{EBFC5A41-0636-4479-9EB5-15E275B365A1}" name="Distance Axis to Axis" dataDxfId="54"/>
    <tableColumn id="8" xr3:uid="{4EA54248-9551-4BC1-A756-8D35E64D9158}" name="Gap between surfaces" dataDxfId="53"/>
    <tableColumn id="9" xr3:uid="{AC984C1A-8BDB-4925-8E7A-D22CBDD72808}" name="Surface roughness [m]" dataDxfId="5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4:I131" headerRowDxfId="220" dataDxfId="219">
  <autoFilter ref="B14:I131" xr:uid="{6964430C-2D65-45C4-817F-08653037EDFC}"/>
  <tableColumns count="8">
    <tableColumn id="1" xr3:uid="{1C924510-54DB-4186-8521-598E5FD7BF93}" name="Section" totalsRowLabel="Ergebnis" dataDxfId="218" totalsRowDxfId="217"/>
    <tableColumn id="2" xr3:uid="{29F8F207-72DF-4027-A39E-C3D956F79382}" name="Affiliation" dataDxfId="216" totalsRowDxfId="215"/>
    <tableColumn id="3" xr3:uid="{F1A86E12-282B-4FE8-A989-9056549BE251}" name="local Section" dataDxfId="214" totalsRowDxfId="213"/>
    <tableColumn id="4" xr3:uid="{1F0B5480-90D3-4DBF-AAEC-010EB8A46507}" name="Top [m]" dataDxfId="212" totalsRowDxfId="211"/>
    <tableColumn id="5" xr3:uid="{2F9EEEB1-AE18-4058-A215-9A6EAD23E6F0}" name="Bottom [m]" dataDxfId="210" totalsRowDxfId="209"/>
    <tableColumn id="6" xr3:uid="{CAF3E9FD-22BF-4C53-97D3-15DEA70C9DE2}" name="D, top [m]" dataDxfId="208" totalsRowDxfId="207"/>
    <tableColumn id="7" xr3:uid="{EE4449DD-273C-4967-8180-25E33E65F937}" name="D, bottom [m]" dataDxfId="206" totalsRowDxfId="205"/>
    <tableColumn id="8" xr3:uid="{0EE8182A-58FD-432D-A87C-9A474A081C7F}" name="t [mm]" totalsRowFunction="sum" dataDxfId="204" totalsRowDxfId="203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4:X88" totalsRowShown="0" headerRowDxfId="26" dataDxfId="25">
  <autoFilter ref="O14:X88" xr:uid="{99775F4D-8879-4247-BCBB-9E55004F5FE5}"/>
  <tableColumns count="10">
    <tableColumn id="8" xr3:uid="{4222E379-EA2F-436F-A27E-F66347A2B7A2}" name="Affiliation" dataDxfId="24"/>
    <tableColumn id="1" xr3:uid="{00244646-90F3-4DDD-AB6B-0373781AFF60}" name="Name" dataDxfId="23"/>
    <tableColumn id="2" xr3:uid="{6305BA78-EC7F-4D5E-A143-DF4E3CB9A56C}" name="Top [m]" dataDxfId="22"/>
    <tableColumn id="3" xr3:uid="{156C5A02-52CD-48BE-87D5-E9BF8F935E99}" name="Bottom [m]" dataDxfId="21"/>
    <tableColumn id="4" xr3:uid="{BA986155-703C-4151-964B-7F7638569588}" name="Mass [kg]" dataDxfId="20"/>
    <tableColumn id="5" xr3:uid="{5FB39ED9-35A0-4964-ADC5-B9008F43FCB7}" name="Diameter [m]" dataDxfId="19"/>
    <tableColumn id="6" xr3:uid="{094B0EAF-8736-4B85-A464-028FE0E10FAC}" name="Orientation [°]" dataDxfId="18"/>
    <tableColumn id="7" xr3:uid="{F864D980-FF18-446E-8D28-70D3CBCA43E9}" name="Distance Axis to Axis" dataDxfId="17"/>
    <tableColumn id="9" xr3:uid="{FD2E8D1C-F275-49BC-BD8B-D63D6205E6DF}" name="Gap between surfaces" dataDxfId="16"/>
    <tableColumn id="10" xr3:uid="{DFEB932C-31A8-42AF-A99C-78CC47E5676D}" name="Surface roughness [m]" dataDxfId="15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A18:AF19" totalsRowShown="0" headerRowDxfId="202" dataDxfId="200" headerRowBorderDxfId="201" tableBorderDxfId="199" totalsRowBorderDxfId="198">
  <autoFilter ref="AA18:AF19" xr:uid="{A1E86920-59C8-4A34-A4FA-D52D35DC047E}"/>
  <tableColumns count="6">
    <tableColumn id="1" xr3:uid="{D7BA5792-F27A-42AB-84A6-1A5C5073E624}" name="Affiliation" dataDxfId="197"/>
    <tableColumn id="3" xr3:uid="{F299E913-54CD-48A0-BB41-0880A93754FE}" name="Top [m]" dataDxfId="196"/>
    <tableColumn id="4" xr3:uid="{3FE7280C-AE16-43A5-98C5-AC81567063F8}" name="Bottom [m]" dataDxfId="195"/>
    <tableColumn id="5" xr3:uid="{494E1F17-E9F7-4B30-BF2F-0D837AD6C9EB}" name="D, top [m]" dataDxfId="194"/>
    <tableColumn id="6" xr3:uid="{9D18588B-23C1-495C-A81D-3BA5AF2F1DDD}" name="D, bottom [m]" dataDxfId="193"/>
    <tableColumn id="7" xr3:uid="{C3BA2567-9ACF-4834-A3FA-9599A0D98796}" name="t [mm]" dataDxfId="19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A14:AD15" totalsRowShown="0" dataDxfId="190" headerRowBorderDxfId="191" tableBorderDxfId="189">
  <autoFilter ref="AA14:AD15" xr:uid="{CD52EECF-AB78-4C57-8765-66AA1058C0CF}"/>
  <tableColumns count="4">
    <tableColumn id="1" xr3:uid="{035BC3C9-B7CD-47B5-94D2-F8D64A04FD6C}" name="Affiliation" dataDxfId="188"/>
    <tableColumn id="2" xr3:uid="{9093341A-644E-4005-A4B0-0B05612EE421}" name="Elevation [m]" dataDxfId="187"/>
    <tableColumn id="3" xr3:uid="{71FE16E7-7251-4F14-B28B-4C6055F6AED1}" name="Mass [t]" dataDxfId="186"/>
    <tableColumn id="4" xr3:uid="{87F4221A-61DF-4C79-A116-8098A7C6FAAE}" name="comment" dataDxfId="185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R14:AV17" totalsRowShown="0" headerRowDxfId="184" dataDxfId="183">
  <autoFilter ref="AR14:AV17" xr:uid="{8D334D84-754D-4685-9A4A-6A66B2E4FFB9}"/>
  <tableColumns count="5">
    <tableColumn id="1" xr3:uid="{DB673771-BB6D-4B68-81A2-B0DFC2758DC6}" name="Bottom [m]" dataDxfId="182">
      <calculatedColumnFormula>IF(ISBLANK(AS15),"",AS14)</calculatedColumnFormula>
    </tableColumn>
    <tableColumn id="2" xr3:uid="{88DBAEFE-0CE9-43B7-BBD5-30E29A54DD0E}" name="Top [m]" dataDxfId="181"/>
    <tableColumn id="3" xr3:uid="{88F4E89D-F5DC-463C-AE91-5C5F8B82A591}" name="Marine Growth [mm]" dataDxfId="180"/>
    <tableColumn id="4" xr3:uid="{ABEE5949-3D04-400D-9A95-F3EBF7837C0E}" name="Density  [kg/m^3]" dataDxfId="179"/>
    <tableColumn id="5" xr3:uid="{F538BE21-E07F-43DA-9EA7-D7658B55572F}" name="Surface Roughness [m]" dataDxfId="17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X14:BA16" totalsRowShown="0" headerRowDxfId="177">
  <autoFilter ref="AX14:BA16" xr:uid="{87B4A03F-1005-4720-8887-A14737394284}"/>
  <tableColumns count="4">
    <tableColumn id="1" xr3:uid="{79B3039B-DCB3-4DB5-9657-9170C1A7D7A1}" name="Bottom [m]" dataDxfId="176"/>
    <tableColumn id="2" xr3:uid="{798BD679-C372-4555-9ABA-DF12AF1BEB7B}" name="Top [m]" dataDxfId="175"/>
    <tableColumn id="3" xr3:uid="{C28B4B73-F57A-4DF1-B531-CD436CEA398C}" name="cd" dataDxfId="174"/>
    <tableColumn id="4" xr3:uid="{B75141CC-AB54-4904-90B7-845CA3D69A1B}" name="cm" dataDxfId="173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H14:AP15" totalsRowShown="0" dataDxfId="171" headerRowBorderDxfId="172" tableBorderDxfId="170" totalsRowBorderDxfId="169">
  <autoFilter ref="AH14:AP15" xr:uid="{72CE8A2A-6760-4548-BB1E-BCA204D8C1BA}"/>
  <tableColumns count="9">
    <tableColumn id="1" xr3:uid="{46A5A21B-3002-456C-8AD9-5ECB42AC421F}" name="Identifier" dataDxfId="168"/>
    <tableColumn id="2" xr3:uid="{F5B4AC32-29FD-42F7-91EC-62CC42FCE0D7}" name="Power [MW]" dataDxfId="167"/>
    <tableColumn id="3" xr3:uid="{F6A77E93-EA0B-4A7B-91D9-D14361BC8B1A}" name="Rotor Diameter [m]" dataDxfId="166"/>
    <tableColumn id="4" xr3:uid="{324F57B3-0BB2-4A0A-864F-C4E295BA1417}" name="Mass of RNA [kg]" dataDxfId="165"/>
    <tableColumn id="5" xr3:uid="{498958C1-FF10-460A-950F-D28B6D477E67}" name="Inertia of RNA fore-aft @COG [kg m^2]" dataDxfId="164"/>
    <tableColumn id="8" xr3:uid="{234964DC-3BFC-4170-9D6A-7B3DBC67A11F}" name="Inertia of RNA side-side @COG [kg m^2]" dataDxfId="163"/>
    <tableColumn id="6" xr3:uid="{9A250389-A125-48C0-9709-4FC870698E51}" name="Vertical Offset TT to HH [m]" dataDxfId="162"/>
    <tableColumn id="7" xr3:uid="{7481D65D-D15B-4189-850C-213AFF247093}" name="Vertical Offset TT_COG [m]" dataDxfId="161"/>
    <tableColumn id="9" xr3:uid="{DC025F26-D4D4-42D6-A0AC-A10FD5B08484}" name="comment" dataDxfId="160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6" dataDxfId="159">
  <autoFilter ref="B2:D6" xr:uid="{C35E7AB2-603F-4F8E-A683-CC2DB9E03260}"/>
  <tableColumns count="3">
    <tableColumn id="1" xr3:uid="{249E4AC0-B025-41CE-B64B-B1C47A8B108A}" name="Parameter" dataDxfId="158" totalsRowDxfId="157"/>
    <tableColumn id="2" xr3:uid="{96957327-E448-409A-A132-2F66C10F1B05}" name="Value" dataDxfId="156" totalsRowDxfId="155"/>
    <tableColumn id="3" xr3:uid="{9BA3C973-0D4E-4458-9364-B9F23256E516}" name="Unit" dataDxfId="154" totalsRowDxfId="153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9:E16" totalsRowShown="0">
  <autoFilter ref="B9:E16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/>
    <tableColumn id="2" xr3:uid="{6C705FCB-5D10-4250-9912-E9DAC119643B}" name="Value" dataDxfId="15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B20:F59" totalsRowShown="0" headerRowDxfId="151">
  <autoFilter ref="B20:F59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150"/>
    <tableColumn id="4" xr3:uid="{E0487E44-0EED-4BFD-B57A-C884FB22266C}" name="default" dataDxfId="149"/>
    <tableColumn id="5" xr3:uid="{92045E4D-F12F-4D16-876C-05D25606D491}" name="SN1" dataDxfId="148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B8:L17" totalsRowShown="0" headerRowDxfId="147" dataDxfId="146">
  <autoFilter ref="B8:L17" xr:uid="{71E9ED97-D6B3-4021-B4A0-767262A463AF}"/>
  <tableColumns count="11">
    <tableColumn id="3" xr3:uid="{FEC1B86F-C35E-46DA-A7B6-958218640B32}" name="Use For (WL: Waveload generator, AM: Additional Masses) " dataDxfId="14"/>
    <tableColumn id="12" xr3:uid="{C2A89023-9057-4005-B5BC-7177CA0916E4}" name="Affiliation" dataDxfId="145"/>
    <tableColumn id="8" xr3:uid="{DA5288F4-A6D2-4654-91EF-5216E3A5D06D}" name="Name" dataDxfId="144"/>
    <tableColumn id="1" xr3:uid="{BCF04A15-F7A1-4B02-B968-2B77E93E65C8}" name="Top [m]" dataDxfId="143"/>
    <tableColumn id="2" xr3:uid="{7285DDF2-50C0-437F-A508-26E337365FD6}" name="Bottom [m]" dataDxfId="142"/>
    <tableColumn id="6" xr3:uid="{FF72EB0E-B8A4-4A02-BB1C-1EDDA8FDE8B6}" name="Mass [kg]" dataDxfId="141"/>
    <tableColumn id="4" xr3:uid="{C529D6EA-DB28-489B-9417-E4E43DA45BC2}" name="Diameter [m]" dataDxfId="140"/>
    <tableColumn id="7" xr3:uid="{187EAF26-0053-462C-A746-F4CFDD4FEA26}" name="Orientation [°]" dataDxfId="139"/>
    <tableColumn id="9" xr3:uid="{083E9AAE-21E0-4DD4-92EE-C339CE2D1002}" name="Distance Axis to Axis" dataDxfId="138"/>
    <tableColumn id="13" xr3:uid="{21BE8926-C21A-4E38-9100-554AFA0FA93B}" name="Gap between surfaces" dataDxfId="137"/>
    <tableColumn id="10" xr3:uid="{5E743F44-ADBC-4FED-9125-954BB70B4AA2}" name="Surface roughness [m]" dataDxfId="13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7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2.xml"/><Relationship Id="rId42" Type="http://schemas.openxmlformats.org/officeDocument/2006/relationships/table" Target="../tables/table10.xml"/><Relationship Id="rId47" Type="http://schemas.openxmlformats.org/officeDocument/2006/relationships/table" Target="../tables/table15.xml"/><Relationship Id="rId50" Type="http://schemas.openxmlformats.org/officeDocument/2006/relationships/table" Target="../tables/table18.xml"/><Relationship Id="rId55" Type="http://schemas.openxmlformats.org/officeDocument/2006/relationships/table" Target="../tables/table23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table" Target="../tables/table5.xml"/><Relationship Id="rId40" Type="http://schemas.openxmlformats.org/officeDocument/2006/relationships/table" Target="../tables/table8.xml"/><Relationship Id="rId45" Type="http://schemas.openxmlformats.org/officeDocument/2006/relationships/table" Target="../tables/table13.xml"/><Relationship Id="rId53" Type="http://schemas.openxmlformats.org/officeDocument/2006/relationships/table" Target="../tables/table21.xml"/><Relationship Id="rId58" Type="http://schemas.openxmlformats.org/officeDocument/2006/relationships/table" Target="../tables/table26.xml"/><Relationship Id="rId5" Type="http://schemas.openxmlformats.org/officeDocument/2006/relationships/ctrlProp" Target="../ctrlProps/ctrlProp6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table" Target="../tables/table3.xml"/><Relationship Id="rId43" Type="http://schemas.openxmlformats.org/officeDocument/2006/relationships/table" Target="../tables/table11.xml"/><Relationship Id="rId48" Type="http://schemas.openxmlformats.org/officeDocument/2006/relationships/table" Target="../tables/table16.xml"/><Relationship Id="rId56" Type="http://schemas.openxmlformats.org/officeDocument/2006/relationships/table" Target="../tables/table24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1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1.xml"/><Relationship Id="rId38" Type="http://schemas.openxmlformats.org/officeDocument/2006/relationships/table" Target="../tables/table6.xml"/><Relationship Id="rId46" Type="http://schemas.openxmlformats.org/officeDocument/2006/relationships/table" Target="../tables/table14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9.xml"/><Relationship Id="rId54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table" Target="../tables/table4.xml"/><Relationship Id="rId49" Type="http://schemas.openxmlformats.org/officeDocument/2006/relationships/table" Target="../tables/table17.xml"/><Relationship Id="rId57" Type="http://schemas.openxmlformats.org/officeDocument/2006/relationships/table" Target="../tables/table25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table" Target="../tables/table12.xml"/><Relationship Id="rId52" Type="http://schemas.openxmlformats.org/officeDocument/2006/relationships/table" Target="../tables/table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5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3:C3"/>
  <sheetViews>
    <sheetView workbookViewId="0">
      <selection activeCell="F33" sqref="F33"/>
    </sheetView>
  </sheetViews>
  <sheetFormatPr baseColWidth="10" defaultRowHeight="14.4" x14ac:dyDescent="0.3"/>
  <cols>
    <col min="2" max="2" width="24.33203125" customWidth="1"/>
  </cols>
  <sheetData>
    <row r="3" spans="2:3" x14ac:dyDescent="0.3">
      <c r="B3" t="s">
        <v>269</v>
      </c>
      <c r="C3" t="s">
        <v>270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tabSelected="1" topLeftCell="A6" zoomScaleNormal="100" workbookViewId="0">
      <selection activeCell="J28" sqref="J28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109" t="s">
        <v>42</v>
      </c>
      <c r="C4" s="110"/>
      <c r="D4" s="111"/>
      <c r="E4" s="40"/>
      <c r="F4" s="112" t="s">
        <v>26</v>
      </c>
      <c r="G4" s="113"/>
      <c r="H4" s="113"/>
      <c r="I4" s="114"/>
      <c r="J4" s="40"/>
      <c r="K4" s="115" t="s">
        <v>43</v>
      </c>
      <c r="L4" s="116"/>
      <c r="M4" s="117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FC329"/>
  <sheetViews>
    <sheetView topLeftCell="BI12" zoomScale="70" zoomScaleNormal="70" workbookViewId="0">
      <selection activeCell="C63" sqref="C63"/>
    </sheetView>
  </sheetViews>
  <sheetFormatPr baseColWidth="10" defaultColWidth="11.33203125" defaultRowHeight="14.4" outlineLevelCol="2" x14ac:dyDescent="0.3"/>
  <cols>
    <col min="1" max="1" width="53" style="70" customWidth="1"/>
    <col min="2" max="2" width="37.44140625" customWidth="1"/>
    <col min="3" max="4" width="17.33203125" customWidth="1"/>
    <col min="5" max="5" width="29.5546875" customWidth="1"/>
    <col min="6" max="6" width="19.33203125" customWidth="1"/>
    <col min="7" max="10" width="11.33203125" customWidth="1"/>
    <col min="11" max="11" width="11.88671875" customWidth="1"/>
    <col min="12" max="12" width="12.33203125" customWidth="1"/>
    <col min="13" max="13" width="21.6640625" customWidth="1"/>
    <col min="14" max="14" width="16.33203125" customWidth="1"/>
    <col min="15" max="15" width="17.44140625" customWidth="1"/>
    <col min="16" max="16" width="16.109375" customWidth="1"/>
    <col min="17" max="17" width="15.88671875" customWidth="1"/>
    <col min="18" max="21" width="18.109375" customWidth="1"/>
    <col min="22" max="22" width="17" customWidth="1"/>
    <col min="23" max="23" width="11.33203125" hidden="1" customWidth="1" outlineLevel="1"/>
    <col min="24" max="24" width="12.6640625" hidden="1" customWidth="1" outlineLevel="1"/>
    <col min="25" max="25" width="11.33203125" hidden="1" customWidth="1" outlineLevel="1"/>
    <col min="26" max="26" width="14.5546875" hidden="1" customWidth="1" outlineLevel="1"/>
    <col min="27" max="38" width="11.33203125" hidden="1" customWidth="1" outlineLevel="1"/>
    <col min="39" max="39" width="11.33203125" collapsed="1"/>
    <col min="40" max="40" width="28.33203125" hidden="1" customWidth="1" outlineLevel="1"/>
    <col min="41" max="42" width="11.33203125" hidden="1" customWidth="1" outlineLevel="1"/>
    <col min="43" max="43" width="22" hidden="1" customWidth="1" outlineLevel="1"/>
    <col min="44" max="44" width="16.21875" hidden="1" customWidth="1" outlineLevel="1"/>
    <col min="45" max="45" width="18.44140625" hidden="1" customWidth="1" outlineLevel="1"/>
    <col min="46" max="46" width="15.44140625" hidden="1" customWidth="1" outlineLevel="1"/>
    <col min="47" max="47" width="24.44140625" style="72" customWidth="1" collapsed="1"/>
    <col min="48" max="48" width="23.109375" style="70" customWidth="1"/>
    <col min="49" max="49" width="17.33203125" customWidth="1"/>
    <col min="50" max="50" width="19.109375" customWidth="1"/>
    <col min="51" max="51" width="20.6640625" customWidth="1"/>
    <col min="52" max="52" width="22.6640625" customWidth="1"/>
    <col min="53" max="53" width="21.33203125" customWidth="1"/>
    <col min="54" max="54" width="20.6640625" customWidth="1"/>
    <col min="59" max="59" width="32.21875" customWidth="1"/>
    <col min="61" max="61" width="14" customWidth="1"/>
    <col min="62" max="65" width="15.109375" customWidth="1"/>
    <col min="66" max="66" width="13.109375" customWidth="1"/>
    <col min="67" max="67" width="13" customWidth="1"/>
    <col min="69" max="83" width="11.33203125" hidden="1" customWidth="1" outlineLevel="1"/>
    <col min="84" max="84" width="0" hidden="1" customWidth="1" outlineLevel="1"/>
    <col min="85" max="91" width="11.33203125" hidden="1" customWidth="1" outlineLevel="2"/>
    <col min="92" max="92" width="11.33203125" customWidth="1" collapsed="1"/>
    <col min="93" max="93" width="24.5546875" style="90" customWidth="1"/>
    <col min="94" max="94" width="23.109375" style="70" customWidth="1"/>
    <col min="105" max="105" width="23.6640625" customWidth="1"/>
    <col min="106" max="106" width="17.33203125" customWidth="1"/>
    <col min="107" max="107" width="20.33203125" customWidth="1"/>
    <col min="108" max="112" width="15.33203125" customWidth="1"/>
    <col min="113" max="113" width="17.33203125" customWidth="1"/>
    <col min="115" max="130" width="11.33203125" hidden="1" customWidth="1" outlineLevel="1"/>
    <col min="131" max="131" width="11.33203125" collapsed="1"/>
    <col min="132" max="138" width="11.33203125" hidden="1" customWidth="1" outlineLevel="1"/>
    <col min="139" max="139" width="24.109375" style="72" customWidth="1" collapsed="1"/>
    <col min="140" max="140" width="23.109375" style="70" customWidth="1"/>
    <col min="141" max="141" width="14.6640625" customWidth="1"/>
    <col min="142" max="142" width="21.33203125" customWidth="1"/>
    <col min="143" max="143" width="22.44140625" customWidth="1"/>
    <col min="144" max="145" width="16.6640625" customWidth="1"/>
    <col min="146" max="146" width="24.33203125" customWidth="1"/>
    <col min="147" max="147" width="21" customWidth="1"/>
    <col min="150" max="151" width="11.33203125" hidden="1" customWidth="1" outlineLevel="1"/>
    <col min="152" max="152" width="13.33203125" hidden="1" customWidth="1" outlineLevel="1"/>
    <col min="153" max="153" width="19.33203125" hidden="1" customWidth="1" outlineLevel="1"/>
    <col min="154" max="154" width="15.109375" hidden="1" customWidth="1" outlineLevel="1"/>
    <col min="155" max="155" width="18.88671875" hidden="1" customWidth="1" outlineLevel="1"/>
    <col min="156" max="157" width="11.33203125" hidden="1" customWidth="1" outlineLevel="1"/>
    <col min="158" max="158" width="0" hidden="1" customWidth="1" outlineLevel="1"/>
    <col min="159" max="159" width="11.33203125" collapsed="1"/>
  </cols>
  <sheetData>
    <row r="1" spans="1:139" x14ac:dyDescent="0.3">
      <c r="AU1" s="88" t="s">
        <v>141</v>
      </c>
      <c r="CO1" s="89" t="s">
        <v>141</v>
      </c>
      <c r="EI1" s="88" t="s">
        <v>141</v>
      </c>
    </row>
    <row r="5" spans="1:139" x14ac:dyDescent="0.3">
      <c r="E5" s="71"/>
    </row>
    <row r="6" spans="1:139" x14ac:dyDescent="0.3">
      <c r="E6" s="71" t="b">
        <v>1</v>
      </c>
    </row>
    <row r="7" spans="1:139" x14ac:dyDescent="0.3">
      <c r="E7" s="71"/>
    </row>
    <row r="8" spans="1:139" x14ac:dyDescent="0.3">
      <c r="E8" s="71" t="b">
        <v>1</v>
      </c>
    </row>
    <row r="9" spans="1:139" ht="24" customHeight="1" x14ac:dyDescent="0.3">
      <c r="A9" s="75" t="s">
        <v>253</v>
      </c>
      <c r="B9" t="s">
        <v>257</v>
      </c>
    </row>
    <row r="10" spans="1:139" ht="15" customHeight="1" x14ac:dyDescent="0.3"/>
    <row r="11" spans="1:139" ht="15.75" customHeight="1" x14ac:dyDescent="0.3">
      <c r="E11" s="70" t="s">
        <v>254</v>
      </c>
      <c r="F11" s="71" t="b">
        <v>1</v>
      </c>
    </row>
    <row r="12" spans="1:139" ht="15.75" customHeight="1" x14ac:dyDescent="0.3">
      <c r="E12" s="70" t="s">
        <v>255</v>
      </c>
      <c r="F12" s="71" t="b">
        <v>0</v>
      </c>
    </row>
    <row r="13" spans="1:139" ht="15.75" customHeight="1" x14ac:dyDescent="0.3">
      <c r="E13" s="70" t="s">
        <v>256</v>
      </c>
      <c r="F13" s="71" t="b">
        <v>0</v>
      </c>
    </row>
    <row r="14" spans="1:139" ht="15.75" customHeight="1" x14ac:dyDescent="0.3">
      <c r="A14" s="75" t="s">
        <v>252</v>
      </c>
      <c r="B14" t="s">
        <v>261</v>
      </c>
    </row>
    <row r="15" spans="1:139" ht="15.75" customHeight="1" x14ac:dyDescent="0.3"/>
    <row r="17" spans="1:158" ht="18" x14ac:dyDescent="0.35">
      <c r="B17" s="73" t="s">
        <v>69</v>
      </c>
      <c r="AV17" s="81" t="s">
        <v>88</v>
      </c>
      <c r="BP17" t="s">
        <v>75</v>
      </c>
      <c r="CP17" s="81" t="s">
        <v>78</v>
      </c>
      <c r="DJ17" t="s">
        <v>75</v>
      </c>
      <c r="EJ17" s="81" t="s">
        <v>126</v>
      </c>
    </row>
    <row r="19" spans="1:158" ht="23.4" customHeight="1" x14ac:dyDescent="0.3">
      <c r="C19" s="74" t="s">
        <v>90</v>
      </c>
      <c r="AW19" s="74" t="s">
        <v>70</v>
      </c>
      <c r="CQ19" s="74" t="s">
        <v>89</v>
      </c>
      <c r="EK19" s="74" t="s">
        <v>144</v>
      </c>
    </row>
    <row r="20" spans="1:158" ht="21.6" customHeight="1" thickBot="1" x14ac:dyDescent="0.35"/>
    <row r="21" spans="1:158" ht="21.6" customHeight="1" thickBot="1" x14ac:dyDescent="0.35">
      <c r="D21" s="61" t="s">
        <v>106</v>
      </c>
      <c r="E21" s="62"/>
      <c r="F21" s="64"/>
      <c r="G21" s="62"/>
      <c r="H21" s="63"/>
      <c r="AZ21" s="61" t="s">
        <v>106</v>
      </c>
      <c r="BA21" s="62"/>
      <c r="BB21" s="65"/>
      <c r="BC21" s="62"/>
      <c r="BD21" s="63"/>
    </row>
    <row r="24" spans="1:158" x14ac:dyDescent="0.3">
      <c r="A24" s="75" t="s">
        <v>71</v>
      </c>
      <c r="B24" t="s">
        <v>80</v>
      </c>
      <c r="C24" t="s">
        <v>81</v>
      </c>
      <c r="D24" t="s">
        <v>79</v>
      </c>
      <c r="E24" t="s">
        <v>82</v>
      </c>
      <c r="F24" t="s">
        <v>134</v>
      </c>
      <c r="G24" t="s">
        <v>130</v>
      </c>
      <c r="H24" t="s">
        <v>135</v>
      </c>
      <c r="W24" t="s">
        <v>80</v>
      </c>
      <c r="X24" t="s">
        <v>81</v>
      </c>
      <c r="Y24" t="s">
        <v>79</v>
      </c>
      <c r="Z24" t="s">
        <v>82</v>
      </c>
      <c r="AA24" t="s">
        <v>134</v>
      </c>
      <c r="AB24" t="s">
        <v>130</v>
      </c>
      <c r="AC24" t="s">
        <v>135</v>
      </c>
      <c r="AN24" t="s">
        <v>80</v>
      </c>
      <c r="AO24" t="s">
        <v>81</v>
      </c>
      <c r="AP24" t="s">
        <v>79</v>
      </c>
      <c r="AQ24" t="s">
        <v>82</v>
      </c>
      <c r="AR24" t="s">
        <v>134</v>
      </c>
      <c r="AS24" t="s">
        <v>130</v>
      </c>
      <c r="AT24" t="s">
        <v>135</v>
      </c>
      <c r="AV24" s="70" t="s">
        <v>80</v>
      </c>
      <c r="AW24" t="s">
        <v>81</v>
      </c>
      <c r="AX24" t="s">
        <v>79</v>
      </c>
      <c r="AY24" t="s">
        <v>82</v>
      </c>
      <c r="AZ24" t="s">
        <v>134</v>
      </c>
      <c r="BA24" t="s">
        <v>130</v>
      </c>
      <c r="BB24" t="s">
        <v>135</v>
      </c>
      <c r="BQ24" t="s">
        <v>80</v>
      </c>
      <c r="BR24" t="s">
        <v>81</v>
      </c>
      <c r="BS24" t="s">
        <v>79</v>
      </c>
      <c r="BT24" t="s">
        <v>82</v>
      </c>
      <c r="BU24" t="s">
        <v>134</v>
      </c>
      <c r="BV24" t="s">
        <v>130</v>
      </c>
      <c r="BW24" t="s">
        <v>135</v>
      </c>
      <c r="CG24" t="s">
        <v>80</v>
      </c>
      <c r="CH24" t="s">
        <v>81</v>
      </c>
      <c r="CI24" t="s">
        <v>79</v>
      </c>
      <c r="CJ24" t="s">
        <v>82</v>
      </c>
      <c r="CK24" t="s">
        <v>134</v>
      </c>
      <c r="CL24" t="s">
        <v>130</v>
      </c>
      <c r="CM24" t="s">
        <v>135</v>
      </c>
      <c r="CP24" s="70" t="s">
        <v>80</v>
      </c>
      <c r="CQ24" t="s">
        <v>81</v>
      </c>
      <c r="CR24" t="s">
        <v>79</v>
      </c>
      <c r="CS24" t="s">
        <v>82</v>
      </c>
      <c r="CT24" t="s">
        <v>134</v>
      </c>
      <c r="CU24" t="s">
        <v>130</v>
      </c>
      <c r="CV24" t="s">
        <v>135</v>
      </c>
      <c r="DK24" t="s">
        <v>80</v>
      </c>
      <c r="DL24" t="s">
        <v>81</v>
      </c>
      <c r="DM24" t="s">
        <v>79</v>
      </c>
      <c r="DN24" t="s">
        <v>82</v>
      </c>
      <c r="DO24" t="s">
        <v>134</v>
      </c>
      <c r="DP24" t="s">
        <v>130</v>
      </c>
      <c r="DQ24" t="s">
        <v>135</v>
      </c>
      <c r="EB24" t="s">
        <v>80</v>
      </c>
      <c r="EC24" t="s">
        <v>81</v>
      </c>
      <c r="ED24" t="s">
        <v>79</v>
      </c>
      <c r="EE24" t="s">
        <v>82</v>
      </c>
      <c r="EF24" t="s">
        <v>134</v>
      </c>
      <c r="EG24" t="s">
        <v>130</v>
      </c>
      <c r="EH24" t="s">
        <v>135</v>
      </c>
      <c r="EJ24" t="s">
        <v>80</v>
      </c>
      <c r="EK24" t="s">
        <v>139</v>
      </c>
      <c r="EL24" t="s">
        <v>140</v>
      </c>
      <c r="EM24" t="s">
        <v>218</v>
      </c>
      <c r="EN24" t="s">
        <v>227</v>
      </c>
      <c r="EO24" t="s">
        <v>228</v>
      </c>
      <c r="EP24" t="s">
        <v>235</v>
      </c>
      <c r="EQ24" t="s">
        <v>236</v>
      </c>
      <c r="ER24" t="s">
        <v>19</v>
      </c>
      <c r="ET24" t="s">
        <v>80</v>
      </c>
      <c r="EU24" t="s">
        <v>139</v>
      </c>
      <c r="EV24" t="s">
        <v>140</v>
      </c>
      <c r="EW24" t="s">
        <v>218</v>
      </c>
      <c r="EX24" t="s">
        <v>227</v>
      </c>
      <c r="EY24" t="s">
        <v>228</v>
      </c>
      <c r="EZ24" t="s">
        <v>219</v>
      </c>
      <c r="FA24" t="s">
        <v>220</v>
      </c>
      <c r="FB24" t="s">
        <v>19</v>
      </c>
    </row>
    <row r="25" spans="1:158" x14ac:dyDescent="0.3">
      <c r="A25" s="76" t="s">
        <v>77</v>
      </c>
      <c r="B25" s="120" t="s">
        <v>260</v>
      </c>
      <c r="C25" s="120" t="s">
        <v>258</v>
      </c>
      <c r="D25" s="120" t="s">
        <v>83</v>
      </c>
      <c r="E25" s="120" t="s">
        <v>259</v>
      </c>
      <c r="F25" s="120">
        <v>43.5</v>
      </c>
      <c r="G25" s="120" t="s">
        <v>49</v>
      </c>
      <c r="H25" s="120" t="s">
        <v>251</v>
      </c>
      <c r="W25" t="s">
        <v>260</v>
      </c>
      <c r="X25" t="s">
        <v>258</v>
      </c>
      <c r="Y25" t="s">
        <v>83</v>
      </c>
      <c r="Z25" t="s">
        <v>259</v>
      </c>
      <c r="AA25">
        <v>43.5</v>
      </c>
      <c r="AB25" t="s">
        <v>49</v>
      </c>
      <c r="AC25" t="s">
        <v>251</v>
      </c>
      <c r="AN25" t="s">
        <v>260</v>
      </c>
      <c r="AO25" t="s">
        <v>258</v>
      </c>
      <c r="AP25" t="s">
        <v>83</v>
      </c>
      <c r="AQ25" t="s">
        <v>259</v>
      </c>
      <c r="AR25">
        <v>43.5</v>
      </c>
      <c r="AS25" t="s">
        <v>49</v>
      </c>
      <c r="AT25" t="s">
        <v>251</v>
      </c>
      <c r="AV25" s="126" t="s">
        <v>260</v>
      </c>
      <c r="AW25" s="120" t="s">
        <v>258</v>
      </c>
      <c r="AX25" s="120" t="s">
        <v>83</v>
      </c>
      <c r="AY25" s="120" t="s">
        <v>259</v>
      </c>
      <c r="AZ25" s="120">
        <v>43.5</v>
      </c>
      <c r="BA25" s="120" t="s">
        <v>49</v>
      </c>
      <c r="BB25" s="120"/>
      <c r="BQ25" t="s">
        <v>260</v>
      </c>
      <c r="BR25" t="s">
        <v>258</v>
      </c>
      <c r="BS25" t="s">
        <v>83</v>
      </c>
      <c r="BT25" t="s">
        <v>259</v>
      </c>
      <c r="BU25">
        <v>43.5</v>
      </c>
      <c r="BV25" t="s">
        <v>49</v>
      </c>
      <c r="CG25" t="s">
        <v>260</v>
      </c>
      <c r="CH25" t="s">
        <v>258</v>
      </c>
      <c r="CI25" t="s">
        <v>83</v>
      </c>
      <c r="CJ25" t="s">
        <v>259</v>
      </c>
      <c r="CK25">
        <v>43.5</v>
      </c>
      <c r="CL25" t="s">
        <v>49</v>
      </c>
      <c r="CP25" s="126" t="s">
        <v>265</v>
      </c>
      <c r="CQ25" s="120" t="s">
        <v>258</v>
      </c>
      <c r="CR25" s="120" t="s">
        <v>83</v>
      </c>
      <c r="CS25" s="120" t="s">
        <v>264</v>
      </c>
      <c r="CT25" s="120">
        <v>43.5</v>
      </c>
      <c r="CU25" s="120" t="s">
        <v>49</v>
      </c>
      <c r="CV25" s="120"/>
      <c r="DK25" t="s">
        <v>265</v>
      </c>
      <c r="DL25" t="s">
        <v>258</v>
      </c>
      <c r="DM25" t="s">
        <v>83</v>
      </c>
      <c r="DN25" t="s">
        <v>264</v>
      </c>
      <c r="DO25">
        <v>43.5</v>
      </c>
      <c r="DP25" t="s">
        <v>49</v>
      </c>
      <c r="EB25" t="s">
        <v>265</v>
      </c>
      <c r="EC25" t="s">
        <v>258</v>
      </c>
      <c r="ED25" t="s">
        <v>83</v>
      </c>
      <c r="EE25" t="s">
        <v>264</v>
      </c>
      <c r="EF25">
        <v>43.5</v>
      </c>
      <c r="EG25" t="s">
        <v>49</v>
      </c>
      <c r="EJ25" s="102" t="s">
        <v>145</v>
      </c>
      <c r="EK25" s="102">
        <v>3.6</v>
      </c>
      <c r="EL25" s="103">
        <v>120</v>
      </c>
      <c r="EM25" s="103">
        <v>237804</v>
      </c>
      <c r="EN25" s="103">
        <v>20595330</v>
      </c>
      <c r="EO25" s="103">
        <v>20595330</v>
      </c>
      <c r="EP25" s="103">
        <v>2.2000000000000002</v>
      </c>
      <c r="EQ25" s="103">
        <v>2.2000000000000002</v>
      </c>
      <c r="ER25" s="103" t="s">
        <v>156</v>
      </c>
      <c r="ET25" s="91" t="s">
        <v>145</v>
      </c>
      <c r="EU25" s="91">
        <v>3.6</v>
      </c>
      <c r="EV25">
        <v>120</v>
      </c>
      <c r="EW25">
        <v>237804</v>
      </c>
      <c r="EX25" s="51">
        <v>20595330</v>
      </c>
      <c r="EY25" s="51">
        <v>20595330</v>
      </c>
      <c r="EZ25" s="51">
        <v>2.2000000000000002</v>
      </c>
      <c r="FA25">
        <v>2.2000000000000002</v>
      </c>
      <c r="FB25" t="s">
        <v>156</v>
      </c>
    </row>
    <row r="26" spans="1:158" x14ac:dyDescent="0.3">
      <c r="A26" s="76"/>
      <c r="W26" s="77"/>
      <c r="X26" s="77"/>
      <c r="Y26" s="77"/>
      <c r="Z26" s="77"/>
      <c r="AA26" s="77"/>
      <c r="AB26" s="77"/>
      <c r="BQ26" s="77"/>
      <c r="BR26" s="77"/>
      <c r="BS26" s="77"/>
      <c r="BT26" s="77"/>
      <c r="BU26" s="77"/>
      <c r="DK26" s="77"/>
      <c r="DL26" s="77"/>
      <c r="DM26" s="77"/>
      <c r="DN26" s="77"/>
      <c r="DO26" s="77"/>
      <c r="EJ26" s="104" t="s">
        <v>146</v>
      </c>
      <c r="EK26" s="103">
        <v>5</v>
      </c>
      <c r="EL26" s="103">
        <v>122</v>
      </c>
      <c r="EM26" s="103">
        <v>427397</v>
      </c>
      <c r="EN26" s="103">
        <v>37230240</v>
      </c>
      <c r="EO26" s="103">
        <v>37230240</v>
      </c>
      <c r="EP26" s="103">
        <v>3.2</v>
      </c>
      <c r="EQ26" s="103">
        <v>3.2</v>
      </c>
      <c r="ER26" s="103" t="s">
        <v>156</v>
      </c>
      <c r="ET26" s="91" t="s">
        <v>146</v>
      </c>
      <c r="EU26" s="91">
        <v>5</v>
      </c>
      <c r="EV26">
        <v>122</v>
      </c>
      <c r="EW26">
        <v>427397</v>
      </c>
      <c r="EX26" s="51">
        <v>37230240</v>
      </c>
      <c r="EY26" s="51">
        <v>37230240</v>
      </c>
      <c r="EZ26" s="51">
        <v>3.2</v>
      </c>
      <c r="FA26">
        <v>3.2</v>
      </c>
      <c r="FB26" t="s">
        <v>156</v>
      </c>
    </row>
    <row r="27" spans="1:158" x14ac:dyDescent="0.3">
      <c r="A27" s="75" t="s">
        <v>72</v>
      </c>
      <c r="B27" t="s">
        <v>80</v>
      </c>
      <c r="C27" t="s">
        <v>81</v>
      </c>
      <c r="D27" t="s">
        <v>79</v>
      </c>
      <c r="E27" t="s">
        <v>82</v>
      </c>
      <c r="F27" t="s">
        <v>134</v>
      </c>
      <c r="G27" t="s">
        <v>130</v>
      </c>
      <c r="H27" t="s">
        <v>135</v>
      </c>
      <c r="AV27" s="70" t="s">
        <v>80</v>
      </c>
      <c r="AW27" t="s">
        <v>81</v>
      </c>
      <c r="AX27" t="s">
        <v>79</v>
      </c>
      <c r="AY27" t="s">
        <v>82</v>
      </c>
      <c r="AZ27" t="s">
        <v>134</v>
      </c>
      <c r="BA27" t="s">
        <v>130</v>
      </c>
      <c r="BB27" t="s">
        <v>135</v>
      </c>
      <c r="CP27" s="70" t="s">
        <v>80</v>
      </c>
      <c r="CQ27" t="s">
        <v>81</v>
      </c>
      <c r="CR27" t="s">
        <v>79</v>
      </c>
      <c r="CS27" t="s">
        <v>82</v>
      </c>
      <c r="CT27" t="s">
        <v>134</v>
      </c>
      <c r="CU27" t="s">
        <v>130</v>
      </c>
      <c r="CV27" t="s">
        <v>135</v>
      </c>
      <c r="EJ27" s="105" t="s">
        <v>147</v>
      </c>
      <c r="EK27" s="105">
        <v>4</v>
      </c>
      <c r="EL27" s="103">
        <v>130</v>
      </c>
      <c r="EM27" s="103">
        <v>239664</v>
      </c>
      <c r="EN27" s="105">
        <v>23265890</v>
      </c>
      <c r="EO27" s="105">
        <v>23265890</v>
      </c>
      <c r="EP27" s="105">
        <v>2.2000000000000002</v>
      </c>
      <c r="EQ27" s="103">
        <v>2.2000000000000002</v>
      </c>
      <c r="ER27" s="103" t="s">
        <v>156</v>
      </c>
      <c r="ET27" s="51" t="s">
        <v>147</v>
      </c>
      <c r="EU27" s="51">
        <v>4</v>
      </c>
      <c r="EV27">
        <v>130</v>
      </c>
      <c r="EW27">
        <v>239664</v>
      </c>
      <c r="EX27" s="51">
        <v>23265890</v>
      </c>
      <c r="EY27" s="51">
        <v>23265890</v>
      </c>
      <c r="EZ27" s="51">
        <v>2.2000000000000002</v>
      </c>
      <c r="FA27">
        <v>2.2000000000000002</v>
      </c>
      <c r="FB27" t="s">
        <v>156</v>
      </c>
    </row>
    <row r="28" spans="1:158" x14ac:dyDescent="0.3">
      <c r="A28" s="76" t="s">
        <v>73</v>
      </c>
      <c r="B28" s="77"/>
      <c r="C28" s="77"/>
      <c r="D28" s="77"/>
      <c r="E28" s="77"/>
      <c r="F28" s="77"/>
      <c r="G28" s="77"/>
      <c r="H28" s="77"/>
      <c r="W28" s="78" t="s">
        <v>76</v>
      </c>
      <c r="AV28" s="77"/>
      <c r="AW28" s="77"/>
      <c r="AX28" s="77"/>
      <c r="AY28" s="77"/>
      <c r="AZ28" s="77"/>
      <c r="BA28" s="77"/>
      <c r="BB28" s="77"/>
      <c r="BQ28" s="78" t="s">
        <v>76</v>
      </c>
      <c r="CQ28" s="77"/>
      <c r="CR28" s="77"/>
      <c r="CS28" s="77"/>
      <c r="CT28" s="77"/>
      <c r="CU28" s="77"/>
      <c r="DK28" s="78" t="s">
        <v>76</v>
      </c>
      <c r="EJ28" s="104" t="s">
        <v>148</v>
      </c>
      <c r="EK28" s="103">
        <v>6</v>
      </c>
      <c r="EL28" s="103">
        <v>142</v>
      </c>
      <c r="EM28" s="103">
        <v>312142</v>
      </c>
      <c r="EN28" s="103">
        <v>59416040</v>
      </c>
      <c r="EO28" s="103">
        <v>59416040</v>
      </c>
      <c r="EP28" s="103">
        <v>2.85</v>
      </c>
      <c r="EQ28" s="103">
        <v>2.85</v>
      </c>
      <c r="ER28" s="103" t="s">
        <v>156</v>
      </c>
      <c r="ET28" s="51" t="s">
        <v>148</v>
      </c>
      <c r="EU28" s="51">
        <v>6</v>
      </c>
      <c r="EV28">
        <v>142</v>
      </c>
      <c r="EW28">
        <v>312142</v>
      </c>
      <c r="EX28" s="51">
        <v>59416040</v>
      </c>
      <c r="EY28" s="51">
        <v>59416040</v>
      </c>
      <c r="EZ28" s="51">
        <v>2.85</v>
      </c>
      <c r="FA28">
        <v>2.85</v>
      </c>
      <c r="FB28" t="s">
        <v>156</v>
      </c>
    </row>
    <row r="29" spans="1:158" x14ac:dyDescent="0.3">
      <c r="A29" s="76"/>
      <c r="EJ29" s="104" t="s">
        <v>149</v>
      </c>
      <c r="EK29" s="103">
        <v>8</v>
      </c>
      <c r="EL29" s="103">
        <v>164</v>
      </c>
      <c r="EM29" s="103">
        <v>450972</v>
      </c>
      <c r="EN29" s="103">
        <v>72350120</v>
      </c>
      <c r="EO29" s="103">
        <v>72350120</v>
      </c>
      <c r="EP29" s="103">
        <v>2.29</v>
      </c>
      <c r="EQ29" s="103">
        <v>2.29</v>
      </c>
      <c r="ER29" s="103" t="s">
        <v>156</v>
      </c>
      <c r="ET29" s="51" t="s">
        <v>149</v>
      </c>
      <c r="EU29" s="51">
        <v>8</v>
      </c>
      <c r="EV29">
        <v>164</v>
      </c>
      <c r="EW29">
        <v>450972</v>
      </c>
      <c r="EX29" s="51">
        <v>72350120</v>
      </c>
      <c r="EY29" s="51">
        <v>72350120</v>
      </c>
      <c r="EZ29" s="51">
        <v>2.29</v>
      </c>
      <c r="FA29">
        <v>2.29</v>
      </c>
      <c r="FB29" t="s">
        <v>156</v>
      </c>
    </row>
    <row r="30" spans="1:158" x14ac:dyDescent="0.3">
      <c r="A30" s="76" t="s">
        <v>74</v>
      </c>
      <c r="B30" t="s">
        <v>1</v>
      </c>
      <c r="C30" t="s">
        <v>105</v>
      </c>
      <c r="D30" t="s">
        <v>104</v>
      </c>
      <c r="E30" t="s">
        <v>85</v>
      </c>
      <c r="F30" t="s">
        <v>86</v>
      </c>
      <c r="G30" t="s">
        <v>87</v>
      </c>
      <c r="H30" t="s">
        <v>9</v>
      </c>
      <c r="I30" t="s">
        <v>10</v>
      </c>
      <c r="J30" t="s">
        <v>11</v>
      </c>
      <c r="K30" t="s">
        <v>12</v>
      </c>
      <c r="M30" s="108" t="s">
        <v>272</v>
      </c>
      <c r="N30" t="s">
        <v>105</v>
      </c>
      <c r="O30" t="s">
        <v>104</v>
      </c>
      <c r="P30" t="s">
        <v>96</v>
      </c>
      <c r="Q30" t="s">
        <v>239</v>
      </c>
      <c r="R30" t="s">
        <v>240</v>
      </c>
      <c r="S30" t="s">
        <v>241</v>
      </c>
      <c r="T30" t="s">
        <v>243</v>
      </c>
      <c r="U30" t="s">
        <v>242</v>
      </c>
      <c r="W30" t="s">
        <v>1</v>
      </c>
      <c r="X30" t="s">
        <v>105</v>
      </c>
      <c r="Y30" t="s">
        <v>104</v>
      </c>
      <c r="Z30" t="s">
        <v>85</v>
      </c>
      <c r="AA30" t="s">
        <v>86</v>
      </c>
      <c r="AB30" t="s">
        <v>87</v>
      </c>
      <c r="AD30" s="108" t="s">
        <v>272</v>
      </c>
      <c r="AE30" t="s">
        <v>105</v>
      </c>
      <c r="AF30" t="s">
        <v>104</v>
      </c>
      <c r="AG30" t="s">
        <v>96</v>
      </c>
      <c r="AH30" t="s">
        <v>239</v>
      </c>
      <c r="AI30" t="s">
        <v>240</v>
      </c>
      <c r="AJ30" t="s">
        <v>241</v>
      </c>
      <c r="AK30" t="s">
        <v>243</v>
      </c>
      <c r="AL30" t="s">
        <v>242</v>
      </c>
      <c r="AV30" s="70" t="s">
        <v>1</v>
      </c>
      <c r="AW30" t="s">
        <v>105</v>
      </c>
      <c r="AX30" t="s">
        <v>104</v>
      </c>
      <c r="AY30" t="s">
        <v>85</v>
      </c>
      <c r="AZ30" t="s">
        <v>86</v>
      </c>
      <c r="BA30" t="s">
        <v>87</v>
      </c>
      <c r="BB30" t="s">
        <v>9</v>
      </c>
      <c r="BC30" t="s">
        <v>10</v>
      </c>
      <c r="BD30" t="s">
        <v>11</v>
      </c>
      <c r="BE30" t="s">
        <v>12</v>
      </c>
      <c r="BG30" s="125" t="s">
        <v>272</v>
      </c>
      <c r="BH30" s="95" t="s">
        <v>105</v>
      </c>
      <c r="BI30" s="95" t="s">
        <v>104</v>
      </c>
      <c r="BJ30" s="95" t="s">
        <v>96</v>
      </c>
      <c r="BK30" s="95" t="s">
        <v>239</v>
      </c>
      <c r="BL30" s="95" t="s">
        <v>240</v>
      </c>
      <c r="BM30" s="95" t="s">
        <v>241</v>
      </c>
      <c r="BN30" s="95" t="s">
        <v>243</v>
      </c>
      <c r="BO30" s="118" t="s">
        <v>242</v>
      </c>
      <c r="BQ30" t="s">
        <v>1</v>
      </c>
      <c r="BR30" t="s">
        <v>105</v>
      </c>
      <c r="BS30" t="s">
        <v>104</v>
      </c>
      <c r="BT30" t="s">
        <v>85</v>
      </c>
      <c r="BU30" t="s">
        <v>86</v>
      </c>
      <c r="BV30" t="s">
        <v>87</v>
      </c>
      <c r="BX30" s="125" t="s">
        <v>272</v>
      </c>
      <c r="BY30" s="95" t="s">
        <v>105</v>
      </c>
      <c r="BZ30" s="95" t="s">
        <v>104</v>
      </c>
      <c r="CA30" s="95" t="s">
        <v>96</v>
      </c>
      <c r="CB30" s="95" t="s">
        <v>239</v>
      </c>
      <c r="CC30" s="95" t="s">
        <v>240</v>
      </c>
      <c r="CD30" s="95" t="s">
        <v>241</v>
      </c>
      <c r="CE30" s="95" t="s">
        <v>243</v>
      </c>
      <c r="CF30" s="118" t="s">
        <v>242</v>
      </c>
      <c r="CP30" s="70" t="s">
        <v>1</v>
      </c>
      <c r="CQ30" t="s">
        <v>105</v>
      </c>
      <c r="CR30" t="s">
        <v>104</v>
      </c>
      <c r="CS30" t="s">
        <v>85</v>
      </c>
      <c r="CT30" t="s">
        <v>86</v>
      </c>
      <c r="CU30" t="s">
        <v>87</v>
      </c>
      <c r="CV30" t="s">
        <v>9</v>
      </c>
      <c r="CW30" t="s">
        <v>10</v>
      </c>
      <c r="CX30" t="s">
        <v>11</v>
      </c>
      <c r="CY30" t="s">
        <v>12</v>
      </c>
      <c r="DA30" s="125" t="s">
        <v>272</v>
      </c>
      <c r="DB30" s="95" t="s">
        <v>105</v>
      </c>
      <c r="DC30" s="95" t="s">
        <v>104</v>
      </c>
      <c r="DD30" s="95" t="s">
        <v>96</v>
      </c>
      <c r="DE30" s="95" t="s">
        <v>239</v>
      </c>
      <c r="DF30" s="95" t="s">
        <v>240</v>
      </c>
      <c r="DG30" s="95" t="s">
        <v>241</v>
      </c>
      <c r="DH30" s="95" t="s">
        <v>243</v>
      </c>
      <c r="DI30" s="118" t="s">
        <v>242</v>
      </c>
      <c r="DK30" t="s">
        <v>1</v>
      </c>
      <c r="DL30" t="s">
        <v>105</v>
      </c>
      <c r="DM30" t="s">
        <v>104</v>
      </c>
      <c r="DN30" t="s">
        <v>85</v>
      </c>
      <c r="DO30" t="s">
        <v>86</v>
      </c>
      <c r="DP30" t="s">
        <v>87</v>
      </c>
      <c r="DR30" s="125" t="s">
        <v>272</v>
      </c>
      <c r="DS30" s="95" t="s">
        <v>105</v>
      </c>
      <c r="DT30" s="95" t="s">
        <v>104</v>
      </c>
      <c r="DU30" s="95" t="s">
        <v>96</v>
      </c>
      <c r="DV30" s="95" t="s">
        <v>239</v>
      </c>
      <c r="DW30" s="95" t="s">
        <v>240</v>
      </c>
      <c r="DX30" s="95" t="s">
        <v>241</v>
      </c>
      <c r="DY30" s="95" t="s">
        <v>243</v>
      </c>
      <c r="DZ30" s="118" t="s">
        <v>242</v>
      </c>
      <c r="EJ30" s="105" t="s">
        <v>150</v>
      </c>
      <c r="EK30" s="105">
        <v>9.5</v>
      </c>
      <c r="EL30" s="103">
        <v>174</v>
      </c>
      <c r="EM30" s="103">
        <v>484588</v>
      </c>
      <c r="EN30" s="105">
        <v>83636270</v>
      </c>
      <c r="EO30" s="105">
        <v>83636270</v>
      </c>
      <c r="EP30" s="105">
        <v>3.5</v>
      </c>
      <c r="EQ30" s="103">
        <v>3.5</v>
      </c>
      <c r="ER30" s="103" t="s">
        <v>156</v>
      </c>
      <c r="ET30" s="51" t="s">
        <v>150</v>
      </c>
      <c r="EU30" s="51">
        <v>9.5</v>
      </c>
      <c r="EV30">
        <v>174</v>
      </c>
      <c r="EW30">
        <v>484588</v>
      </c>
      <c r="EX30" s="51">
        <v>83636270</v>
      </c>
      <c r="EY30" s="51">
        <v>83636270</v>
      </c>
      <c r="EZ30" s="51">
        <v>3.5</v>
      </c>
      <c r="FA30">
        <v>3.5</v>
      </c>
      <c r="FB30" t="s">
        <v>156</v>
      </c>
    </row>
    <row r="31" spans="1:158" x14ac:dyDescent="0.3">
      <c r="B31" s="124">
        <v>1</v>
      </c>
      <c r="C31" s="124">
        <v>5.6</v>
      </c>
      <c r="D31" s="124">
        <v>1.6</v>
      </c>
      <c r="E31" s="124">
        <v>7.5</v>
      </c>
      <c r="F31" s="124">
        <v>7.5</v>
      </c>
      <c r="G31" s="124">
        <v>108</v>
      </c>
      <c r="H31" s="79">
        <f>IFERROR(MP_DATA[[#This Row],[Bottom '[m']]]-MP_DATA[[#This Row],[D, top '[m']]], "")</f>
        <v>-5.9</v>
      </c>
      <c r="I31" s="79">
        <f>IFERROR(-(MP_DATA[[#This Row],[D, bottom '[m']]]-MP_DATA[[#This Row],[D, top '[m']]])/(MP_DATA[[#This Row],[Bottom '[m']]]-MP_DATA[[#This Row],[Top '[m']]]),"")</f>
        <v>0</v>
      </c>
      <c r="J31" s="79">
        <f t="shared" ref="J31:J61" si="0">IF(7850/1000*(1/3)*PI()*ABS(C31-D31)*((E31/2)^2+(E31/2)*(F31/2)+(F31/2)^2-(E31/2-G31/1000)^2-(E31/2-G31/1000)*(F31/2-G31/1000)-(F31/2-G31/1000)^2)=0,"",7850/1000*(1/3)*PI()*ABS(C31-D31)*((E31/2)^2+(E31/2)*(F31/2)+(F31/2)^2-(E31/2-G31/1000)^2-(E31/2-G31/1000)*(F31/2-G31/1000)-(F31/2-G31/1000)^2))</f>
        <v>78.752660498662593</v>
      </c>
      <c r="K31" s="79">
        <f>IFERROR((MP_DATA[[#This Row],[D, bottom '[m']]]+MP_DATA[[#This Row],[D, top '[m']]])/(2*MP_DATA[[#This Row],[t '[mm']]]/1000),"")</f>
        <v>69.444444444444443</v>
      </c>
      <c r="M31" s="123" t="s">
        <v>97</v>
      </c>
      <c r="N31" s="120">
        <v>5.6</v>
      </c>
      <c r="O31" s="120">
        <v>5.6</v>
      </c>
      <c r="P31" s="120">
        <v>60000</v>
      </c>
      <c r="Q31" s="119"/>
      <c r="R31" s="119"/>
      <c r="S31" s="119"/>
      <c r="T31" s="119"/>
      <c r="U31" s="119"/>
      <c r="W31" s="77">
        <v>1</v>
      </c>
      <c r="X31" s="80">
        <v>5.6</v>
      </c>
      <c r="Y31" s="80">
        <v>1.6</v>
      </c>
      <c r="Z31">
        <v>7.5</v>
      </c>
      <c r="AA31" s="77">
        <v>7.5</v>
      </c>
      <c r="AB31">
        <v>108</v>
      </c>
      <c r="AD31" s="121" t="s">
        <v>97</v>
      </c>
      <c r="AE31" s="77">
        <v>5.6</v>
      </c>
      <c r="AF31" s="77">
        <v>5.6</v>
      </c>
      <c r="AG31" s="77">
        <v>60000</v>
      </c>
      <c r="AH31" s="119"/>
      <c r="AI31" s="119"/>
      <c r="AJ31" s="119"/>
      <c r="AK31" s="119"/>
      <c r="AL31" s="119"/>
      <c r="AV31" s="126">
        <v>1</v>
      </c>
      <c r="AW31" s="120">
        <v>20.9</v>
      </c>
      <c r="AX31" s="120">
        <v>17.5</v>
      </c>
      <c r="AY31" s="120">
        <v>7.5</v>
      </c>
      <c r="AZ31" s="120">
        <v>7.5</v>
      </c>
      <c r="BA31" s="120">
        <v>86</v>
      </c>
      <c r="BB31" s="79">
        <f>IFERROR(TP_DATA[[#This Row],[Bottom '[m']]]-TP_DATA[[#This Row],[D, top '[m']]], "")</f>
        <v>10</v>
      </c>
      <c r="BC31" s="79">
        <f>IFERROR(-(TP_DATA[[#This Row],[D, bottom '[m']]]-TP_DATA[[#This Row],[D, top '[m']]])/(TP_DATA[[#This Row],[Bottom '[m']]]-TP_DATA[[#This Row],[Top '[m']]]),"")</f>
        <v>0</v>
      </c>
      <c r="BD31" s="79">
        <f t="shared" ref="BD31:BD94" si="1">IF(7850/1000*(1/3)*PI()*ABS(AW31-AX31)*((AY31/2)^2+(AY31/2)*(AZ31/2)+(AZ31/2)^2-(AY31/2-BA31/1000)^2-(AY31/2-BA31/1000)*(AZ31/2-BA31/1000)-(AZ31/2-BA31/1000)^2)=0,"",7850/1000*(1/3)*PI()*ABS(AW31-AX31)*((AY31/2)^2+(AY31/2)*(AZ31/2)+(AZ31/2)^2-(AY31/2-BA31/1000)^2-(AY31/2-BA31/1000)*(AZ31/2-BA31/1000)-(AZ31/2-BA31/1000)^2))</f>
        <v>53.462526608972695</v>
      </c>
      <c r="BE31" s="79">
        <f>IFERROR((TP_DATA[[#This Row],[D, bottom '[m']]]+TP_DATA[[#This Row],[D, top '[m']]])/(2*TP_DATA[[#This Row],[t '[mm']]]/1000),"")</f>
        <v>87.209302325581405</v>
      </c>
      <c r="BG31" s="120" t="s">
        <v>101</v>
      </c>
      <c r="BH31" s="120">
        <v>20.100000000000001</v>
      </c>
      <c r="BI31" s="120">
        <v>20.100000000000001</v>
      </c>
      <c r="BJ31" s="120">
        <v>20000</v>
      </c>
      <c r="BK31" s="119"/>
      <c r="BL31" s="119"/>
      <c r="BM31" s="119"/>
      <c r="BN31" s="119"/>
      <c r="BO31" s="119"/>
      <c r="BQ31" s="77">
        <v>1</v>
      </c>
      <c r="BR31" s="77">
        <v>20.9</v>
      </c>
      <c r="BS31" s="77">
        <v>17.5</v>
      </c>
      <c r="BT31">
        <v>7.5</v>
      </c>
      <c r="BU31" s="77">
        <v>7.5</v>
      </c>
      <c r="BV31">
        <v>86</v>
      </c>
      <c r="BX31" t="s">
        <v>101</v>
      </c>
      <c r="BY31">
        <v>20.100000000000001</v>
      </c>
      <c r="BZ31">
        <v>20.100000000000001</v>
      </c>
      <c r="CA31">
        <v>20000</v>
      </c>
      <c r="CB31" s="119"/>
      <c r="CC31" s="119"/>
      <c r="CD31" s="119"/>
      <c r="CE31" s="119"/>
      <c r="CF31" s="119"/>
      <c r="CP31" s="126">
        <v>1</v>
      </c>
      <c r="CQ31" s="120">
        <v>140.49999999999997</v>
      </c>
      <c r="CR31" s="120">
        <v>140.32499999999996</v>
      </c>
      <c r="CS31" s="120">
        <v>5.6159999999999997</v>
      </c>
      <c r="CT31" s="120">
        <v>5.6159999999999997</v>
      </c>
      <c r="CU31" s="120">
        <v>42</v>
      </c>
      <c r="CV31" s="79">
        <f>IFERROR(TOWER_DATA[[#This Row],[Top '[m']]]-TOWER_DATA[[#This Row],[Bottom '[m']]], "")</f>
        <v>0.17500000000001137</v>
      </c>
      <c r="CW31" s="79">
        <f>IFERROR(-(TOWER_DATA[[#This Row],[D, bottom '[m']]]-TOWER_DATA[[#This Row],[D, top '[m']]])/(TOWER_DATA[[#This Row],[Bottom '[m']]]-TOWER_DATA[[#This Row],[Top '[m']]]),"")</f>
        <v>0</v>
      </c>
      <c r="CX31" s="79">
        <f t="shared" ref="CX31:CX94" si="2">IF(7850/1000*(1/3)*PI()*ABS(CQ31-CR31)*((CS31/2)^2+(CS31/2)*(CT31/2)+(CT31/2)^2-(CS31/2-CU31/1000)^2-(CS31/2-CU31/1000)*(CT31/2-CU31/1000)-(CT31/2-CU31/1000)^2)=0,"",7850/1000*(1/3)*PI()*ABS(CQ31-CR31)*((CS31/2)^2+(CS31/2)*(CT31/2)+(CT31/2)^2-(CS31/2-CU31/1000)^2-(CS31/2-CU31/1000)*(CT31/2-CU31/1000)-(CT31/2-CU31/1000)^2))</f>
        <v>1.0103546228354485</v>
      </c>
      <c r="CY31" s="79">
        <f>IFERROR((TOWER_DATA[[#This Row],[D, bottom '[m']]]+TOWER_DATA[[#This Row],[D, top '[m']]])/(2*TOWER_DATA[[#This Row],[t '[mm']]]/1000),"")</f>
        <v>133.71428571428569</v>
      </c>
      <c r="DA31" s="127" t="s">
        <v>262</v>
      </c>
      <c r="DB31" s="127">
        <v>140.49999999999997</v>
      </c>
      <c r="DC31" s="127">
        <v>140.49999999999997</v>
      </c>
      <c r="DD31" s="127">
        <v>6154</v>
      </c>
      <c r="DE31" s="127"/>
      <c r="DF31" s="127"/>
      <c r="DG31" s="127"/>
      <c r="DH31" s="127"/>
      <c r="DI31" s="127"/>
      <c r="DK31" s="77">
        <v>1</v>
      </c>
      <c r="DL31" s="77">
        <v>140.49999999999997</v>
      </c>
      <c r="DM31" s="77">
        <v>140.32499999999996</v>
      </c>
      <c r="DN31">
        <v>5.6159999999999997</v>
      </c>
      <c r="DO31" s="77">
        <v>5.6159999999999997</v>
      </c>
      <c r="DP31">
        <v>42</v>
      </c>
      <c r="DR31" s="100" t="s">
        <v>262</v>
      </c>
      <c r="DS31" s="100">
        <v>140.49999999999997</v>
      </c>
      <c r="DT31" s="100">
        <v>140.49999999999997</v>
      </c>
      <c r="DU31" s="100">
        <v>6154</v>
      </c>
      <c r="DV31" s="127"/>
      <c r="DW31" s="127"/>
      <c r="DX31" s="127"/>
      <c r="DY31" s="127"/>
      <c r="DZ31" s="127"/>
      <c r="EJ31" s="104" t="s">
        <v>151</v>
      </c>
      <c r="EK31" s="103">
        <v>10</v>
      </c>
      <c r="EL31" s="103">
        <v>180</v>
      </c>
      <c r="EM31" s="103">
        <v>673916</v>
      </c>
      <c r="EN31" s="103">
        <v>102240300</v>
      </c>
      <c r="EO31" s="103">
        <v>102240300</v>
      </c>
      <c r="EP31" s="103">
        <v>3.5</v>
      </c>
      <c r="EQ31" s="103">
        <v>3.5</v>
      </c>
      <c r="ER31" s="103" t="s">
        <v>156</v>
      </c>
      <c r="ET31" s="51" t="s">
        <v>151</v>
      </c>
      <c r="EU31" s="51">
        <v>10</v>
      </c>
      <c r="EV31">
        <v>180</v>
      </c>
      <c r="EW31">
        <v>673916</v>
      </c>
      <c r="EX31" s="51">
        <v>102240300</v>
      </c>
      <c r="EY31" s="51">
        <v>102240300</v>
      </c>
      <c r="EZ31" s="51">
        <v>3.5</v>
      </c>
      <c r="FA31">
        <v>3.5</v>
      </c>
      <c r="FB31" t="s">
        <v>156</v>
      </c>
    </row>
    <row r="32" spans="1:158" x14ac:dyDescent="0.3">
      <c r="B32" s="124">
        <v>2</v>
      </c>
      <c r="C32" s="124">
        <v>1.6</v>
      </c>
      <c r="D32" s="124">
        <v>-2.2999999999999998</v>
      </c>
      <c r="E32" s="124">
        <v>7.5</v>
      </c>
      <c r="F32" s="124">
        <v>7.5</v>
      </c>
      <c r="G32" s="124">
        <v>100</v>
      </c>
      <c r="H32" s="79">
        <f>IFERROR(MP_DATA[[#This Row],[Bottom '[m']]]-MP_DATA[[#This Row],[D, top '[m']]], "")</f>
        <v>-9.8000000000000007</v>
      </c>
      <c r="I32" s="79">
        <f>IFERROR(-(MP_DATA[[#This Row],[D, bottom '[m']]]-MP_DATA[[#This Row],[D, top '[m']]])/(MP_DATA[[#This Row],[Bottom '[m']]]-MP_DATA[[#This Row],[Top '[m']]]),"")</f>
        <v>0</v>
      </c>
      <c r="J32" s="79">
        <f t="shared" si="0"/>
        <v>71.173095726342183</v>
      </c>
      <c r="K32" s="79">
        <f>IFERROR((MP_DATA[[#This Row],[D, bottom '[m']]]+MP_DATA[[#This Row],[D, top '[m']]])/(2*MP_DATA[[#This Row],[t '[mm']]]/1000),"")</f>
        <v>75</v>
      </c>
      <c r="M32" s="123" t="s">
        <v>98</v>
      </c>
      <c r="N32" s="120">
        <v>4.2</v>
      </c>
      <c r="O32" s="120">
        <v>4.2</v>
      </c>
      <c r="P32" s="120">
        <v>9000</v>
      </c>
      <c r="Q32" s="119"/>
      <c r="R32" s="119"/>
      <c r="S32" s="119"/>
      <c r="T32" s="119"/>
      <c r="U32" s="119"/>
      <c r="W32" s="77">
        <v>2</v>
      </c>
      <c r="X32" s="80">
        <v>1.6</v>
      </c>
      <c r="Y32" s="80">
        <v>-2.2999999999999998</v>
      </c>
      <c r="Z32">
        <v>7.5</v>
      </c>
      <c r="AA32" s="77">
        <v>7.5</v>
      </c>
      <c r="AB32">
        <v>100</v>
      </c>
      <c r="AD32" s="121" t="s">
        <v>98</v>
      </c>
      <c r="AE32" s="77">
        <v>4.2</v>
      </c>
      <c r="AF32" s="77">
        <v>4.2</v>
      </c>
      <c r="AG32" s="77">
        <v>9000</v>
      </c>
      <c r="AH32" s="119"/>
      <c r="AI32" s="119"/>
      <c r="AJ32" s="119"/>
      <c r="AK32" s="119"/>
      <c r="AL32" s="119"/>
      <c r="AV32" s="126">
        <v>2</v>
      </c>
      <c r="AW32" s="120">
        <v>17.5</v>
      </c>
      <c r="AX32" s="120">
        <v>13.5</v>
      </c>
      <c r="AY32" s="120">
        <v>7.5</v>
      </c>
      <c r="AZ32" s="120">
        <v>7.5</v>
      </c>
      <c r="BA32" s="120">
        <v>86</v>
      </c>
      <c r="BB32" s="79">
        <f>IFERROR(TP_DATA[[#This Row],[Bottom '[m']]]-TP_DATA[[#This Row],[D, top '[m']]], "")</f>
        <v>6</v>
      </c>
      <c r="BC32" s="79">
        <f>IFERROR(-(TP_DATA[[#This Row],[D, bottom '[m']]]-TP_DATA[[#This Row],[D, top '[m']]])/(TP_DATA[[#This Row],[Bottom '[m']]]-TP_DATA[[#This Row],[Top '[m']]]),"")</f>
        <v>0</v>
      </c>
      <c r="BD32" s="79">
        <f t="shared" si="1"/>
        <v>62.897090128203196</v>
      </c>
      <c r="BE32" s="79">
        <f>IFERROR((TP_DATA[[#This Row],[D, bottom '[m']]]+TP_DATA[[#This Row],[D, top '[m']]])/(2*TP_DATA[[#This Row],[t '[mm']]]/1000),"")</f>
        <v>87.209302325581405</v>
      </c>
      <c r="BG32" s="120" t="s">
        <v>95</v>
      </c>
      <c r="BH32" s="120">
        <v>19.5</v>
      </c>
      <c r="BI32" s="120">
        <v>19.5</v>
      </c>
      <c r="BJ32" s="120">
        <v>5000</v>
      </c>
      <c r="BK32" s="119"/>
      <c r="BL32" s="119"/>
      <c r="BM32" s="119"/>
      <c r="BN32" s="119"/>
      <c r="BO32" s="119"/>
      <c r="BQ32" s="77">
        <v>2</v>
      </c>
      <c r="BR32" s="77">
        <v>17.5</v>
      </c>
      <c r="BS32" s="77">
        <v>13.5</v>
      </c>
      <c r="BT32">
        <v>7.5</v>
      </c>
      <c r="BU32" s="77">
        <v>7.5</v>
      </c>
      <c r="BV32">
        <v>86</v>
      </c>
      <c r="BX32" t="s">
        <v>95</v>
      </c>
      <c r="BY32">
        <v>19.5</v>
      </c>
      <c r="BZ32">
        <v>19.5</v>
      </c>
      <c r="CA32">
        <v>5000</v>
      </c>
      <c r="CB32" s="119"/>
      <c r="CC32" s="119"/>
      <c r="CD32" s="119"/>
      <c r="CE32" s="119"/>
      <c r="CF32" s="119"/>
      <c r="CP32" s="126">
        <v>2</v>
      </c>
      <c r="CQ32" s="120">
        <v>140.32499999999996</v>
      </c>
      <c r="CR32" s="120">
        <v>140.27499999999998</v>
      </c>
      <c r="CS32" s="120">
        <v>5.6159999999999997</v>
      </c>
      <c r="CT32" s="120">
        <v>5.609</v>
      </c>
      <c r="CU32" s="120">
        <v>42</v>
      </c>
      <c r="CV32" s="79">
        <f>IFERROR(TOWER_DATA[[#This Row],[Top '[m']]]-TOWER_DATA[[#This Row],[Bottom '[m']]], "")</f>
        <v>4.9999999999982947E-2</v>
      </c>
      <c r="CW32" s="79">
        <f>IFERROR(-(TOWER_DATA[[#This Row],[D, bottom '[m']]]-TOWER_DATA[[#This Row],[D, top '[m']]])/(TOWER_DATA[[#This Row],[Bottom '[m']]]-TOWER_DATA[[#This Row],[Top '[m']]]),"")</f>
        <v>-0.1400000000000412</v>
      </c>
      <c r="CX32" s="79">
        <f t="shared" si="2"/>
        <v>0.28849148733930929</v>
      </c>
      <c r="CY32" s="79">
        <f>IFERROR((TOWER_DATA[[#This Row],[D, bottom '[m']]]+TOWER_DATA[[#This Row],[D, top '[m']]])/(2*TOWER_DATA[[#This Row],[t '[mm']]]/1000),"")</f>
        <v>133.63095238095238</v>
      </c>
      <c r="DA32" s="127" t="s">
        <v>262</v>
      </c>
      <c r="DB32" s="127">
        <v>140.32499999999996</v>
      </c>
      <c r="DC32" s="127">
        <v>140.32499999999996</v>
      </c>
      <c r="DD32" s="127">
        <v>5</v>
      </c>
      <c r="DE32" s="127"/>
      <c r="DF32" s="127"/>
      <c r="DG32" s="127"/>
      <c r="DH32" s="127"/>
      <c r="DI32" s="127"/>
      <c r="DK32" s="77">
        <v>2</v>
      </c>
      <c r="DL32" s="77">
        <v>140.32499999999996</v>
      </c>
      <c r="DM32" s="77">
        <v>140.27499999999998</v>
      </c>
      <c r="DN32">
        <v>5.6159999999999997</v>
      </c>
      <c r="DO32" s="77">
        <v>5.609</v>
      </c>
      <c r="DP32">
        <v>42</v>
      </c>
      <c r="DR32" s="100" t="s">
        <v>262</v>
      </c>
      <c r="DS32" s="100">
        <v>140.32499999999996</v>
      </c>
      <c r="DT32" s="100">
        <v>140.32499999999996</v>
      </c>
      <c r="DU32" s="100">
        <v>5</v>
      </c>
      <c r="DV32" s="127"/>
      <c r="DW32" s="127"/>
      <c r="DX32" s="127"/>
      <c r="DY32" s="127"/>
      <c r="DZ32" s="127"/>
      <c r="EJ32" s="104" t="s">
        <v>127</v>
      </c>
      <c r="EK32" s="103">
        <v>13</v>
      </c>
      <c r="EL32" s="103">
        <v>210</v>
      </c>
      <c r="EM32" s="103">
        <v>777534</v>
      </c>
      <c r="EN32" s="103">
        <v>197394400</v>
      </c>
      <c r="EO32" s="103">
        <v>197394400</v>
      </c>
      <c r="EP32" s="103">
        <v>3.4</v>
      </c>
      <c r="EQ32" s="103">
        <v>3.4</v>
      </c>
      <c r="ER32" s="103" t="s">
        <v>156</v>
      </c>
      <c r="ET32" s="51" t="s">
        <v>127</v>
      </c>
      <c r="EU32" s="92">
        <v>13</v>
      </c>
      <c r="EV32">
        <v>210</v>
      </c>
      <c r="EW32">
        <v>777534</v>
      </c>
      <c r="EX32" s="51">
        <v>197394400</v>
      </c>
      <c r="EY32" s="51">
        <v>197394400</v>
      </c>
      <c r="EZ32" s="51">
        <v>3.4</v>
      </c>
      <c r="FA32">
        <v>3.4</v>
      </c>
      <c r="FB32" t="s">
        <v>156</v>
      </c>
    </row>
    <row r="33" spans="2:158" x14ac:dyDescent="0.3">
      <c r="B33" s="124">
        <v>3</v>
      </c>
      <c r="C33" s="124">
        <v>-2.2999999999999998</v>
      </c>
      <c r="D33" s="124">
        <v>-6.2</v>
      </c>
      <c r="E33" s="124">
        <v>7.5</v>
      </c>
      <c r="F33" s="124">
        <v>7.5</v>
      </c>
      <c r="G33" s="124">
        <v>98</v>
      </c>
      <c r="H33" s="79">
        <f>IFERROR(MP_DATA[[#This Row],[Bottom '[m']]]-MP_DATA[[#This Row],[D, top '[m']]], "")</f>
        <v>-13.7</v>
      </c>
      <c r="I33" s="79">
        <f>IFERROR(-(MP_DATA[[#This Row],[D, bottom '[m']]]-MP_DATA[[#This Row],[D, top '[m']]])/(MP_DATA[[#This Row],[Bottom '[m']]]-MP_DATA[[#This Row],[Top '[m']]]),"")</f>
        <v>0</v>
      </c>
      <c r="J33" s="79">
        <f t="shared" si="0"/>
        <v>69.768485064196611</v>
      </c>
      <c r="K33" s="79">
        <f>IFERROR((MP_DATA[[#This Row],[D, bottom '[m']]]+MP_DATA[[#This Row],[D, top '[m']]])/(2*MP_DATA[[#This Row],[t '[mm']]]/1000),"")</f>
        <v>76.530612244897952</v>
      </c>
      <c r="M33" s="123" t="s">
        <v>99</v>
      </c>
      <c r="N33" s="120">
        <v>2</v>
      </c>
      <c r="O33" s="120">
        <v>2</v>
      </c>
      <c r="P33" s="120">
        <v>80000</v>
      </c>
      <c r="Q33" s="119"/>
      <c r="R33" s="119"/>
      <c r="S33" s="119"/>
      <c r="T33" s="119"/>
      <c r="U33" s="119"/>
      <c r="W33" s="77">
        <v>3</v>
      </c>
      <c r="X33" s="80">
        <v>-2.2999999999999998</v>
      </c>
      <c r="Y33" s="80">
        <v>-6.2</v>
      </c>
      <c r="Z33">
        <v>7.5</v>
      </c>
      <c r="AA33" s="77">
        <v>7.5</v>
      </c>
      <c r="AB33">
        <v>98</v>
      </c>
      <c r="AD33" s="121" t="s">
        <v>99</v>
      </c>
      <c r="AE33" s="77">
        <v>2</v>
      </c>
      <c r="AF33" s="77">
        <v>2</v>
      </c>
      <c r="AG33" s="77">
        <v>80000</v>
      </c>
      <c r="AH33" s="119"/>
      <c r="AI33" s="119"/>
      <c r="AJ33" s="119"/>
      <c r="AK33" s="119"/>
      <c r="AL33" s="119"/>
      <c r="AV33" s="126">
        <v>3</v>
      </c>
      <c r="AW33" s="120">
        <v>13.5</v>
      </c>
      <c r="AX33" s="120">
        <v>9.5</v>
      </c>
      <c r="AY33" s="120">
        <v>7.5</v>
      </c>
      <c r="AZ33" s="120">
        <v>7.5</v>
      </c>
      <c r="BA33" s="120">
        <v>93</v>
      </c>
      <c r="BB33" s="79">
        <f>IFERROR(TP_DATA[[#This Row],[Bottom '[m']]]-TP_DATA[[#This Row],[D, top '[m']]], "")</f>
        <v>2</v>
      </c>
      <c r="BC33" s="79">
        <f>IFERROR(-(TP_DATA[[#This Row],[D, bottom '[m']]]-TP_DATA[[#This Row],[D, top '[m']]])/(TP_DATA[[#This Row],[Bottom '[m']]]-TP_DATA[[#This Row],[Top '[m']]]),"")</f>
        <v>0</v>
      </c>
      <c r="BD33" s="79">
        <f t="shared" si="1"/>
        <v>67.952402167964607</v>
      </c>
      <c r="BE33" s="79">
        <f>IFERROR((TP_DATA[[#This Row],[D, bottom '[m']]]+TP_DATA[[#This Row],[D, top '[m']]])/(2*TP_DATA[[#This Row],[t '[mm']]]/1000),"")</f>
        <v>80.645161290322577</v>
      </c>
      <c r="BG33" s="120" t="s">
        <v>102</v>
      </c>
      <c r="BH33" s="120">
        <v>14</v>
      </c>
      <c r="BI33" s="120">
        <v>14</v>
      </c>
      <c r="BJ33" s="120">
        <v>5000</v>
      </c>
      <c r="BK33" s="119"/>
      <c r="BL33" s="119"/>
      <c r="BM33" s="119"/>
      <c r="BN33" s="119"/>
      <c r="BO33" s="119"/>
      <c r="BQ33" s="77">
        <v>3</v>
      </c>
      <c r="BR33" s="77">
        <v>13.5</v>
      </c>
      <c r="BS33" s="77">
        <v>9.5</v>
      </c>
      <c r="BT33">
        <v>7.5</v>
      </c>
      <c r="BU33" s="77">
        <v>7.5</v>
      </c>
      <c r="BV33">
        <v>93</v>
      </c>
      <c r="BX33" t="s">
        <v>102</v>
      </c>
      <c r="BY33">
        <v>14</v>
      </c>
      <c r="BZ33">
        <v>14</v>
      </c>
      <c r="CA33">
        <v>5000</v>
      </c>
      <c r="CB33" s="119"/>
      <c r="CC33" s="119"/>
      <c r="CD33" s="119"/>
      <c r="CE33" s="119"/>
      <c r="CF33" s="119"/>
      <c r="CP33" s="126">
        <v>3</v>
      </c>
      <c r="CQ33" s="120">
        <v>140.27499999999998</v>
      </c>
      <c r="CR33" s="120">
        <v>138.62499999999997</v>
      </c>
      <c r="CS33" s="120">
        <v>5.609</v>
      </c>
      <c r="CT33" s="120">
        <v>5.9039999999999999</v>
      </c>
      <c r="CU33" s="120">
        <v>35</v>
      </c>
      <c r="CV33" s="79">
        <f>IFERROR(TOWER_DATA[[#This Row],[Top '[m']]]-TOWER_DATA[[#This Row],[Bottom '[m']]], "")</f>
        <v>1.6500000000000057</v>
      </c>
      <c r="CW33" s="79">
        <f>IFERROR(-(TOWER_DATA[[#This Row],[D, bottom '[m']]]-TOWER_DATA[[#This Row],[D, top '[m']]])/(TOWER_DATA[[#This Row],[Bottom '[m']]]-TOWER_DATA[[#This Row],[Top '[m']]]),"")</f>
        <v>0.17878787878787814</v>
      </c>
      <c r="CX33" s="79">
        <f t="shared" si="2"/>
        <v>8.1485703675329084</v>
      </c>
      <c r="CY33" s="79">
        <f>IFERROR((TOWER_DATA[[#This Row],[D, bottom '[m']]]+TOWER_DATA[[#This Row],[D, top '[m']]])/(2*TOWER_DATA[[#This Row],[t '[mm']]]/1000),"")</f>
        <v>164.47142857142856</v>
      </c>
      <c r="DA33" s="127" t="s">
        <v>262</v>
      </c>
      <c r="DB33" s="127">
        <v>140.27499999999998</v>
      </c>
      <c r="DC33" s="127">
        <v>140.27499999999998</v>
      </c>
      <c r="DD33" s="127">
        <v>2</v>
      </c>
      <c r="DE33" s="127"/>
      <c r="DF33" s="127"/>
      <c r="DG33" s="127"/>
      <c r="DH33" s="127"/>
      <c r="DI33" s="127"/>
      <c r="DK33" s="77">
        <v>3</v>
      </c>
      <c r="DL33" s="77">
        <v>140.27499999999998</v>
      </c>
      <c r="DM33" s="77">
        <v>138.62499999999997</v>
      </c>
      <c r="DN33">
        <v>5.609</v>
      </c>
      <c r="DO33" s="77">
        <v>5.9039999999999999</v>
      </c>
      <c r="DP33">
        <v>35</v>
      </c>
      <c r="DR33" s="100" t="s">
        <v>262</v>
      </c>
      <c r="DS33" s="100">
        <v>140.27499999999998</v>
      </c>
      <c r="DT33" s="100">
        <v>140.27499999999998</v>
      </c>
      <c r="DU33" s="100">
        <v>2</v>
      </c>
      <c r="DV33" s="127"/>
      <c r="DW33" s="127"/>
      <c r="DX33" s="127"/>
      <c r="DY33" s="127"/>
      <c r="DZ33" s="127"/>
      <c r="EJ33" s="104" t="s">
        <v>152</v>
      </c>
      <c r="EK33" s="103">
        <v>12</v>
      </c>
      <c r="EL33" s="103">
        <v>220</v>
      </c>
      <c r="EM33" s="103">
        <v>775567</v>
      </c>
      <c r="EN33" s="103">
        <v>198819700</v>
      </c>
      <c r="EO33" s="103">
        <v>198819700</v>
      </c>
      <c r="EP33" s="103">
        <v>3.4</v>
      </c>
      <c r="EQ33" s="103">
        <v>3.4</v>
      </c>
      <c r="ER33" s="103" t="s">
        <v>156</v>
      </c>
      <c r="ET33" s="51" t="s">
        <v>152</v>
      </c>
      <c r="EU33" s="51">
        <v>12</v>
      </c>
      <c r="EV33">
        <v>220</v>
      </c>
      <c r="EW33">
        <v>775567</v>
      </c>
      <c r="EX33" s="51">
        <v>198819700</v>
      </c>
      <c r="EY33" s="51">
        <v>198819700</v>
      </c>
      <c r="EZ33" s="51">
        <v>3.4</v>
      </c>
      <c r="FA33">
        <v>3.4</v>
      </c>
      <c r="FB33" t="s">
        <v>156</v>
      </c>
    </row>
    <row r="34" spans="2:158" x14ac:dyDescent="0.3">
      <c r="B34" s="124">
        <v>4</v>
      </c>
      <c r="C34" s="124">
        <v>-6.2</v>
      </c>
      <c r="D34" s="124">
        <v>-10.1</v>
      </c>
      <c r="E34" s="124">
        <v>7.5</v>
      </c>
      <c r="F34" s="124">
        <v>7.8282999999999996</v>
      </c>
      <c r="G34" s="124">
        <v>98</v>
      </c>
      <c r="H34" s="79">
        <f>IFERROR(MP_DATA[[#This Row],[Bottom '[m']]]-MP_DATA[[#This Row],[D, top '[m']]], "")</f>
        <v>-17.600000000000001</v>
      </c>
      <c r="I34" s="79">
        <f>IFERROR(-(MP_DATA[[#This Row],[D, bottom '[m']]]-MP_DATA[[#This Row],[D, top '[m']]])/(MP_DATA[[#This Row],[Bottom '[m']]]-MP_DATA[[#This Row],[Top '[m']]]),"")</f>
        <v>8.4179487179487089E-2</v>
      </c>
      <c r="J34" s="79">
        <f t="shared" si="0"/>
        <v>71.315701603414155</v>
      </c>
      <c r="K34" s="79">
        <f>IFERROR((MP_DATA[[#This Row],[D, bottom '[m']]]+MP_DATA[[#This Row],[D, top '[m']]])/(2*MP_DATA[[#This Row],[t '[mm']]]/1000),"")</f>
        <v>78.205612244897949</v>
      </c>
      <c r="W34" s="77">
        <v>4</v>
      </c>
      <c r="X34" s="80">
        <v>-6.2</v>
      </c>
      <c r="Y34" s="80">
        <v>-10.1</v>
      </c>
      <c r="Z34">
        <v>7.5</v>
      </c>
      <c r="AA34" s="77">
        <v>7.8282999999999996</v>
      </c>
      <c r="AB34">
        <v>98</v>
      </c>
      <c r="AV34" s="126">
        <v>4</v>
      </c>
      <c r="AW34" s="120">
        <v>9.5</v>
      </c>
      <c r="AX34" s="120">
        <v>5.6</v>
      </c>
      <c r="AY34" s="120">
        <v>7.5</v>
      </c>
      <c r="AZ34" s="120">
        <v>7.5</v>
      </c>
      <c r="BA34" s="120">
        <v>100</v>
      </c>
      <c r="BB34" s="79">
        <f>IFERROR(TP_DATA[[#This Row],[Bottom '[m']]]-TP_DATA[[#This Row],[D, top '[m']]], "")</f>
        <v>-1.9000000000000004</v>
      </c>
      <c r="BC34" s="79">
        <f>IFERROR(-(TP_DATA[[#This Row],[D, bottom '[m']]]-TP_DATA[[#This Row],[D, top '[m']]])/(TP_DATA[[#This Row],[Bottom '[m']]]-TP_DATA[[#This Row],[Top '[m']]]),"")</f>
        <v>0</v>
      </c>
      <c r="BD34" s="79">
        <f t="shared" si="1"/>
        <v>71.173095726342197</v>
      </c>
      <c r="BE34" s="79">
        <f>IFERROR((TP_DATA[[#This Row],[D, bottom '[m']]]+TP_DATA[[#This Row],[D, top '[m']]])/(2*TP_DATA[[#This Row],[t '[mm']]]/1000),"")</f>
        <v>75</v>
      </c>
      <c r="BG34" s="120" t="s">
        <v>263</v>
      </c>
      <c r="BH34" s="120">
        <v>11</v>
      </c>
      <c r="BI34" s="120">
        <v>11</v>
      </c>
      <c r="BJ34" s="120">
        <v>1</v>
      </c>
      <c r="BK34" s="119"/>
      <c r="BL34" s="119"/>
      <c r="BM34" s="119"/>
      <c r="BN34" s="119"/>
      <c r="BO34" s="119"/>
      <c r="BQ34" s="77">
        <v>4</v>
      </c>
      <c r="BR34" s="77">
        <v>9.5</v>
      </c>
      <c r="BS34" s="77">
        <v>5.6</v>
      </c>
      <c r="BT34">
        <v>7.5</v>
      </c>
      <c r="BU34" s="77">
        <v>7.5</v>
      </c>
      <c r="BV34">
        <v>100</v>
      </c>
      <c r="BX34" t="s">
        <v>263</v>
      </c>
      <c r="BY34">
        <v>11</v>
      </c>
      <c r="BZ34">
        <v>11</v>
      </c>
      <c r="CA34">
        <v>1</v>
      </c>
      <c r="CB34" s="119"/>
      <c r="CC34" s="119"/>
      <c r="CD34" s="119"/>
      <c r="CE34" s="119"/>
      <c r="CF34" s="119"/>
      <c r="CP34" s="126">
        <v>4</v>
      </c>
      <c r="CQ34" s="120">
        <v>138.62499999999997</v>
      </c>
      <c r="CR34" s="120">
        <v>136.97499999999997</v>
      </c>
      <c r="CS34" s="120">
        <v>5.9039999999999999</v>
      </c>
      <c r="CT34" s="120">
        <v>6.258</v>
      </c>
      <c r="CU34" s="120">
        <v>40</v>
      </c>
      <c r="CV34" s="79">
        <f>IFERROR(TOWER_DATA[[#This Row],[Top '[m']]]-TOWER_DATA[[#This Row],[Bottom '[m']]], "")</f>
        <v>1.6500000000000057</v>
      </c>
      <c r="CW34" s="79">
        <f>IFERROR(-(TOWER_DATA[[#This Row],[D, bottom '[m']]]-TOWER_DATA[[#This Row],[D, top '[m']]])/(TOWER_DATA[[#This Row],[Bottom '[m']]]-TOWER_DATA[[#This Row],[Top '[m']]]),"")</f>
        <v>0.21454545454545387</v>
      </c>
      <c r="CX34" s="79">
        <f t="shared" si="2"/>
        <v>9.8326889482561182</v>
      </c>
      <c r="CY34" s="79">
        <f>IFERROR((TOWER_DATA[[#This Row],[D, bottom '[m']]]+TOWER_DATA[[#This Row],[D, top '[m']]])/(2*TOWER_DATA[[#This Row],[t '[mm']]]/1000),"")</f>
        <v>152.02499999999998</v>
      </c>
      <c r="DA34" s="127" t="s">
        <v>262</v>
      </c>
      <c r="DB34" s="127">
        <v>138.23499999999999</v>
      </c>
      <c r="DC34" s="127">
        <v>138.23499999999999</v>
      </c>
      <c r="DD34" s="127">
        <v>1981</v>
      </c>
      <c r="DE34" s="127"/>
      <c r="DF34" s="127"/>
      <c r="DG34" s="127"/>
      <c r="DH34" s="127"/>
      <c r="DI34" s="127"/>
      <c r="DK34" s="77">
        <v>4</v>
      </c>
      <c r="DL34" s="77">
        <v>138.62499999999997</v>
      </c>
      <c r="DM34" s="77">
        <v>136.97499999999997</v>
      </c>
      <c r="DN34">
        <v>5.9039999999999999</v>
      </c>
      <c r="DO34" s="77">
        <v>6.258</v>
      </c>
      <c r="DP34">
        <v>40</v>
      </c>
      <c r="DR34" s="100" t="s">
        <v>262</v>
      </c>
      <c r="DS34" s="100">
        <v>138.23499999999999</v>
      </c>
      <c r="DT34" s="100">
        <v>138.23499999999999</v>
      </c>
      <c r="DU34" s="100">
        <v>1981</v>
      </c>
      <c r="DV34" s="127"/>
      <c r="DW34" s="127"/>
      <c r="DX34" s="127"/>
      <c r="DY34" s="127"/>
      <c r="DZ34" s="127"/>
      <c r="EJ34" s="104" t="s">
        <v>153</v>
      </c>
      <c r="EK34" s="103">
        <v>15</v>
      </c>
      <c r="EL34" s="103">
        <v>220</v>
      </c>
      <c r="EM34" s="103">
        <v>1166238</v>
      </c>
      <c r="EN34" s="103">
        <v>205031400</v>
      </c>
      <c r="EO34" s="103">
        <v>205031400</v>
      </c>
      <c r="EP34" s="103">
        <v>3.4</v>
      </c>
      <c r="EQ34" s="103">
        <v>3.4</v>
      </c>
      <c r="ER34" s="103" t="s">
        <v>156</v>
      </c>
      <c r="ET34" s="51" t="s">
        <v>153</v>
      </c>
      <c r="EU34" s="51">
        <v>15</v>
      </c>
      <c r="EV34">
        <v>220</v>
      </c>
      <c r="EW34">
        <v>1166238</v>
      </c>
      <c r="EX34" s="51">
        <v>205031400</v>
      </c>
      <c r="EY34" s="51">
        <v>205031400</v>
      </c>
      <c r="EZ34" s="51">
        <v>3.4</v>
      </c>
      <c r="FA34">
        <v>3.4</v>
      </c>
      <c r="FB34" t="s">
        <v>156</v>
      </c>
    </row>
    <row r="35" spans="2:158" x14ac:dyDescent="0.3">
      <c r="B35" s="124">
        <v>5</v>
      </c>
      <c r="C35" s="124">
        <v>-10.1</v>
      </c>
      <c r="D35" s="124">
        <v>-14</v>
      </c>
      <c r="E35" s="124">
        <v>7.8282999999999996</v>
      </c>
      <c r="F35" s="124">
        <v>8.1565999999999992</v>
      </c>
      <c r="G35" s="124">
        <v>104</v>
      </c>
      <c r="H35" s="79">
        <f>IFERROR(MP_DATA[[#This Row],[Bottom '[m']]]-MP_DATA[[#This Row],[D, top '[m']]], "")</f>
        <v>-21.828299999999999</v>
      </c>
      <c r="I35" s="79">
        <f>IFERROR(-(MP_DATA[[#This Row],[D, bottom '[m']]]-MP_DATA[[#This Row],[D, top '[m']]])/(MP_DATA[[#This Row],[Bottom '[m']]]-MP_DATA[[#This Row],[Top '[m']]]),"")</f>
        <v>8.4179487179487061E-2</v>
      </c>
      <c r="J35" s="79">
        <f t="shared" si="0"/>
        <v>78.905840981319429</v>
      </c>
      <c r="K35" s="79">
        <f>IFERROR((MP_DATA[[#This Row],[D, bottom '[m']]]+MP_DATA[[#This Row],[D, top '[m']]])/(2*MP_DATA[[#This Row],[t '[mm']]]/1000),"")</f>
        <v>76.850480769230771</v>
      </c>
      <c r="L35" s="79" t="str">
        <f>IFERROR((MP_DATA[[#This Row],[D, bottom '[m']]]+#REF!)/(2*#REF!/1000),"")</f>
        <v/>
      </c>
      <c r="W35" s="77">
        <v>5</v>
      </c>
      <c r="X35" s="80">
        <v>-10.1</v>
      </c>
      <c r="Y35" s="80">
        <v>-14</v>
      </c>
      <c r="Z35" s="77">
        <v>7.8282999999999996</v>
      </c>
      <c r="AA35" s="77">
        <v>8.1565999999999992</v>
      </c>
      <c r="AB35" s="77">
        <v>104</v>
      </c>
      <c r="BB35" s="79" t="str">
        <f>IFERROR(TP_DATA[[#This Row],[Bottom '[m']]]-TP_DATA[[#This Row],[D, top '[m']]], "")</f>
        <v/>
      </c>
      <c r="BC35" s="79" t="str">
        <f>IFERROR(-(TP_DATA[[#This Row],[D, bottom '[m']]]-TP_DATA[[#This Row],[D, top '[m']]])/(TP_DATA[[#This Row],[Bottom '[m']]]-TP_DATA[[#This Row],[Top '[m']]]),"")</f>
        <v/>
      </c>
      <c r="BD35" s="79" t="str">
        <f t="shared" si="1"/>
        <v/>
      </c>
      <c r="BE35" s="79" t="str">
        <f>IFERROR((TP_DATA[[#This Row],[D, bottom '[m']]]+TP_DATA[[#This Row],[D, top '[m']]])/(2*TP_DATA[[#This Row],[t '[mm']]]/1000),"")</f>
        <v/>
      </c>
      <c r="BF35" s="79" t="str">
        <f>IFERROR((TP_DATA[[#This Row],[D, bottom '[m']]]+#REF!)/(2*#REF!/1000),"")</f>
        <v/>
      </c>
      <c r="BG35" s="120" t="s">
        <v>103</v>
      </c>
      <c r="BH35" s="120">
        <v>6.1</v>
      </c>
      <c r="BI35" s="120">
        <v>6.1</v>
      </c>
      <c r="BJ35" s="120">
        <v>200</v>
      </c>
      <c r="BK35" s="119"/>
      <c r="BL35" s="119"/>
      <c r="BM35" s="119"/>
      <c r="BN35" s="119"/>
      <c r="BO35" s="119"/>
      <c r="BQ35" s="77"/>
      <c r="BR35" s="77"/>
      <c r="BS35" s="77"/>
      <c r="BT35" s="77"/>
      <c r="BU35" s="77"/>
      <c r="BV35" s="77"/>
      <c r="BX35" t="s">
        <v>103</v>
      </c>
      <c r="BY35">
        <v>6.1</v>
      </c>
      <c r="BZ35">
        <v>6.1</v>
      </c>
      <c r="CA35">
        <v>200</v>
      </c>
      <c r="CB35" s="119"/>
      <c r="CC35" s="119"/>
      <c r="CD35" s="119"/>
      <c r="CE35" s="119"/>
      <c r="CF35" s="119"/>
      <c r="CP35" s="126">
        <v>5</v>
      </c>
      <c r="CQ35" s="120">
        <v>136.97499999999997</v>
      </c>
      <c r="CR35" s="120">
        <v>136.38899999999998</v>
      </c>
      <c r="CS35" s="120">
        <v>6.258</v>
      </c>
      <c r="CT35" s="120">
        <v>6.258</v>
      </c>
      <c r="CU35" s="120">
        <v>58</v>
      </c>
      <c r="CV35" s="79">
        <f>IFERROR(TOWER_DATA[[#This Row],[Top '[m']]]-TOWER_DATA[[#This Row],[Bottom '[m']]], "")</f>
        <v>0.58599999999998431</v>
      </c>
      <c r="CW35" s="79">
        <f>IFERROR(-(TOWER_DATA[[#This Row],[D, bottom '[m']]]-TOWER_DATA[[#This Row],[D, top '[m']]])/(TOWER_DATA[[#This Row],[Bottom '[m']]]-TOWER_DATA[[#This Row],[Top '[m']]]),"")</f>
        <v>0</v>
      </c>
      <c r="CX35" s="79">
        <f t="shared" si="2"/>
        <v>5.1968098755337806</v>
      </c>
      <c r="CY35" s="79">
        <f>IFERROR((TOWER_DATA[[#This Row],[D, bottom '[m']]]+TOWER_DATA[[#This Row],[D, top '[m']]])/(2*TOWER_DATA[[#This Row],[t '[mm']]]/1000),"")</f>
        <v>107.89655172413792</v>
      </c>
      <c r="CZ35" s="79" t="str">
        <f>IFERROR((TOWER_DATA[[#This Row],[D, bottom '[m']]]+#REF!)/(2*#REF!/1000),"")</f>
        <v/>
      </c>
      <c r="DA35" s="127" t="s">
        <v>262</v>
      </c>
      <c r="DB35" s="127">
        <v>136.58499999999998</v>
      </c>
      <c r="DC35" s="127">
        <v>136.58499999999998</v>
      </c>
      <c r="DD35" s="127">
        <v>82</v>
      </c>
      <c r="DE35" s="127"/>
      <c r="DF35" s="127"/>
      <c r="DG35" s="127"/>
      <c r="DH35" s="127"/>
      <c r="DI35" s="127"/>
      <c r="DK35" s="77">
        <v>5</v>
      </c>
      <c r="DL35" s="77">
        <v>136.97499999999997</v>
      </c>
      <c r="DM35" s="77">
        <v>136.38899999999998</v>
      </c>
      <c r="DN35" s="77">
        <v>6.258</v>
      </c>
      <c r="DO35" s="77">
        <v>6.258</v>
      </c>
      <c r="DP35" s="77">
        <v>58</v>
      </c>
      <c r="DR35" s="100" t="s">
        <v>262</v>
      </c>
      <c r="DS35" s="100">
        <v>136.58499999999998</v>
      </c>
      <c r="DT35" s="100">
        <v>136.58499999999998</v>
      </c>
      <c r="DU35" s="100">
        <v>82</v>
      </c>
      <c r="DV35" s="127"/>
      <c r="DW35" s="127"/>
      <c r="DX35" s="127"/>
      <c r="DY35" s="127"/>
      <c r="DZ35" s="127"/>
      <c r="EJ35" s="104" t="s">
        <v>154</v>
      </c>
      <c r="EK35" s="103"/>
      <c r="EL35" s="103">
        <v>236</v>
      </c>
      <c r="EM35" s="103">
        <v>565481</v>
      </c>
      <c r="EN35" s="103">
        <v>241746700</v>
      </c>
      <c r="EO35" s="103">
        <v>241746700</v>
      </c>
      <c r="EP35" s="103">
        <v>3.5</v>
      </c>
      <c r="EQ35" s="103">
        <v>3.5</v>
      </c>
      <c r="ER35" s="103" t="s">
        <v>156</v>
      </c>
      <c r="ET35" s="51" t="s">
        <v>154</v>
      </c>
      <c r="EU35" s="51"/>
      <c r="EV35">
        <v>236</v>
      </c>
      <c r="EW35">
        <v>565481</v>
      </c>
      <c r="EX35" s="51">
        <v>241746700</v>
      </c>
      <c r="EY35" s="51">
        <v>241746700</v>
      </c>
      <c r="EZ35" s="51">
        <v>3.5</v>
      </c>
      <c r="FA35">
        <v>3.5</v>
      </c>
      <c r="FB35" t="s">
        <v>156</v>
      </c>
    </row>
    <row r="36" spans="2:158" x14ac:dyDescent="0.3">
      <c r="B36" s="124">
        <v>6</v>
      </c>
      <c r="C36" s="124">
        <v>-14</v>
      </c>
      <c r="D36" s="124">
        <v>-17.899999999999999</v>
      </c>
      <c r="E36" s="124">
        <v>8.1565999999999992</v>
      </c>
      <c r="F36" s="124">
        <v>8.4847999999999999</v>
      </c>
      <c r="G36" s="124">
        <v>98</v>
      </c>
      <c r="H36" s="79">
        <f>IFERROR(MP_DATA[[#This Row],[Bottom '[m']]]-MP_DATA[[#This Row],[D, top '[m']]], "")</f>
        <v>-26.056599999999996</v>
      </c>
      <c r="I36" s="79">
        <f>IFERROR(-(MP_DATA[[#This Row],[D, bottom '[m']]]-MP_DATA[[#This Row],[D, top '[m']]])/(MP_DATA[[#This Row],[Bottom '[m']]]-MP_DATA[[#This Row],[Top '[m']]]),"")</f>
        <v>8.4153846153846371E-2</v>
      </c>
      <c r="J36" s="79">
        <f t="shared" si="0"/>
        <v>77.504096478974631</v>
      </c>
      <c r="K36" s="79">
        <f>IFERROR((MP_DATA[[#This Row],[D, bottom '[m']]]+MP_DATA[[#This Row],[D, top '[m']]])/(2*MP_DATA[[#This Row],[t '[mm']]]/1000),"")</f>
        <v>84.905102040816303</v>
      </c>
      <c r="L36" s="79" t="str">
        <f>IFERROR((MP_DATA[[#This Row],[D, bottom '[m']]]+#REF!)/(2*#REF!/1000),"")</f>
        <v/>
      </c>
      <c r="W36" s="77">
        <v>6</v>
      </c>
      <c r="X36" s="80">
        <v>-14</v>
      </c>
      <c r="Y36" s="80">
        <v>-17.899999999999999</v>
      </c>
      <c r="Z36" s="77">
        <v>8.1565999999999992</v>
      </c>
      <c r="AA36" s="77">
        <v>8.4847999999999999</v>
      </c>
      <c r="AB36" s="77">
        <v>98</v>
      </c>
      <c r="BB36" s="79" t="str">
        <f>IFERROR(TP_DATA[[#This Row],[Bottom '[m']]]-TP_DATA[[#This Row],[D, top '[m']]], "")</f>
        <v/>
      </c>
      <c r="BC36" s="79" t="str">
        <f>IFERROR(-(TP_DATA[[#This Row],[D, bottom '[m']]]-TP_DATA[[#This Row],[D, top '[m']]])/(TP_DATA[[#This Row],[Bottom '[m']]]-TP_DATA[[#This Row],[Top '[m']]]),"")</f>
        <v/>
      </c>
      <c r="BD36" s="79" t="str">
        <f t="shared" si="1"/>
        <v/>
      </c>
      <c r="BE36" s="79" t="str">
        <f>IFERROR((TP_DATA[[#This Row],[D, bottom '[m']]]+TP_DATA[[#This Row],[D, top '[m']]])/(2*TP_DATA[[#This Row],[t '[mm']]]/1000),"")</f>
        <v/>
      </c>
      <c r="BF36" s="79" t="str">
        <f>IFERROR((TP_DATA[[#This Row],[D, bottom '[m']]]+#REF!)/(2*#REF!/1000),"")</f>
        <v/>
      </c>
      <c r="BG36" s="120" t="s">
        <v>97</v>
      </c>
      <c r="BH36" s="120">
        <v>5.6</v>
      </c>
      <c r="BI36" s="120">
        <v>5.6</v>
      </c>
      <c r="BJ36" s="120">
        <v>60000</v>
      </c>
      <c r="BK36" s="119"/>
      <c r="BL36" s="119"/>
      <c r="BM36" s="119"/>
      <c r="BN36" s="119"/>
      <c r="BO36" s="119"/>
      <c r="BQ36" s="77"/>
      <c r="BR36" s="77"/>
      <c r="BS36" s="77"/>
      <c r="BT36" s="77"/>
      <c r="BU36" s="77"/>
      <c r="BV36" s="77"/>
      <c r="BX36" t="s">
        <v>97</v>
      </c>
      <c r="BY36">
        <v>5.6</v>
      </c>
      <c r="BZ36">
        <v>5.6</v>
      </c>
      <c r="CA36">
        <v>60000</v>
      </c>
      <c r="CB36" s="119"/>
      <c r="CC36" s="119"/>
      <c r="CD36" s="119"/>
      <c r="CE36" s="119"/>
      <c r="CF36" s="119"/>
      <c r="CP36" s="126">
        <v>6</v>
      </c>
      <c r="CQ36" s="120">
        <v>136.38899999999998</v>
      </c>
      <c r="CR36" s="120">
        <v>135.29999999999998</v>
      </c>
      <c r="CS36" s="120">
        <v>6.258</v>
      </c>
      <c r="CT36" s="120">
        <v>6.258</v>
      </c>
      <c r="CU36" s="120">
        <v>58</v>
      </c>
      <c r="CV36" s="79">
        <f>IFERROR(TOWER_DATA[[#This Row],[Top '[m']]]-TOWER_DATA[[#This Row],[Bottom '[m']]], "")</f>
        <v>1.0889999999999986</v>
      </c>
      <c r="CW36" s="79">
        <f>IFERROR(-(TOWER_DATA[[#This Row],[D, bottom '[m']]]-TOWER_DATA[[#This Row],[D, top '[m']]])/(TOWER_DATA[[#This Row],[Bottom '[m']]]-TOWER_DATA[[#This Row],[Top '[m']]]),"")</f>
        <v>0</v>
      </c>
      <c r="CX36" s="79">
        <f t="shared" si="2"/>
        <v>9.6575528233044903</v>
      </c>
      <c r="CY36" s="79">
        <f>IFERROR((TOWER_DATA[[#This Row],[D, bottom '[m']]]+TOWER_DATA[[#This Row],[D, top '[m']]])/(2*TOWER_DATA[[#This Row],[t '[mm']]]/1000),"")</f>
        <v>107.89655172413792</v>
      </c>
      <c r="CZ36" s="79" t="str">
        <f>IFERROR((TOWER_DATA[[#This Row],[D, bottom '[m']]]+#REF!)/(2*#REF!/1000),"")</f>
        <v/>
      </c>
      <c r="DA36" s="127" t="s">
        <v>262</v>
      </c>
      <c r="DB36" s="127">
        <v>135.999</v>
      </c>
      <c r="DC36" s="127">
        <v>135.999</v>
      </c>
      <c r="DD36" s="127">
        <v>88</v>
      </c>
      <c r="DE36" s="127"/>
      <c r="DF36" s="127"/>
      <c r="DG36" s="127"/>
      <c r="DH36" s="127"/>
      <c r="DI36" s="127"/>
      <c r="DK36" s="77">
        <v>6</v>
      </c>
      <c r="DL36" s="77">
        <v>136.38899999999998</v>
      </c>
      <c r="DM36" s="77">
        <v>135.29999999999998</v>
      </c>
      <c r="DN36" s="77">
        <v>6.258</v>
      </c>
      <c r="DO36" s="77">
        <v>6.258</v>
      </c>
      <c r="DP36" s="77">
        <v>58</v>
      </c>
      <c r="DR36" s="100" t="s">
        <v>262</v>
      </c>
      <c r="DS36" s="100">
        <v>135.999</v>
      </c>
      <c r="DT36" s="100">
        <v>135.999</v>
      </c>
      <c r="DU36" s="100">
        <v>88</v>
      </c>
      <c r="DV36" s="127"/>
      <c r="DW36" s="127"/>
      <c r="DX36" s="127"/>
      <c r="DY36" s="127"/>
      <c r="DZ36" s="127"/>
      <c r="EJ36" s="104" t="s">
        <v>155</v>
      </c>
      <c r="EK36" s="103">
        <v>15</v>
      </c>
      <c r="EL36" s="103">
        <v>240</v>
      </c>
      <c r="EM36" s="103">
        <v>1102065</v>
      </c>
      <c r="EN36" s="103">
        <v>276287200</v>
      </c>
      <c r="EO36" s="103">
        <v>276287200</v>
      </c>
      <c r="EP36" s="103">
        <v>3.4</v>
      </c>
      <c r="EQ36" s="101">
        <v>3.4</v>
      </c>
      <c r="ER36" s="103" t="s">
        <v>156</v>
      </c>
      <c r="ET36" s="51" t="s">
        <v>155</v>
      </c>
      <c r="EU36" s="51">
        <v>15</v>
      </c>
      <c r="EV36">
        <v>240</v>
      </c>
      <c r="EW36">
        <v>1102065</v>
      </c>
      <c r="EX36" s="51">
        <v>276287200</v>
      </c>
      <c r="EY36" s="51">
        <v>276287200</v>
      </c>
      <c r="EZ36" s="51">
        <v>3.4</v>
      </c>
      <c r="FA36">
        <v>3.4</v>
      </c>
      <c r="FB36" t="s">
        <v>156</v>
      </c>
    </row>
    <row r="37" spans="2:158" x14ac:dyDescent="0.3">
      <c r="B37" s="124">
        <v>7</v>
      </c>
      <c r="C37" s="124">
        <v>-17.899999999999999</v>
      </c>
      <c r="D37" s="124">
        <v>-21.8</v>
      </c>
      <c r="E37" s="124">
        <v>8.4847999999999999</v>
      </c>
      <c r="F37" s="124">
        <v>8.8131000000000004</v>
      </c>
      <c r="G37" s="124">
        <v>94</v>
      </c>
      <c r="H37" s="79">
        <f>IFERROR(MP_DATA[[#This Row],[Bottom '[m']]]-MP_DATA[[#This Row],[D, top '[m']]], "")</f>
        <v>-30.284800000000001</v>
      </c>
      <c r="I37" s="79">
        <f>IFERROR(-(MP_DATA[[#This Row],[D, bottom '[m']]]-MP_DATA[[#This Row],[D, top '[m']]])/(MP_DATA[[#This Row],[Bottom '[m']]]-MP_DATA[[#This Row],[Top '[m']]]),"")</f>
        <v>8.4179487179487256E-2</v>
      </c>
      <c r="J37" s="79">
        <f t="shared" si="0"/>
        <v>77.34450523878759</v>
      </c>
      <c r="K37" s="79">
        <f>IFERROR((MP_DATA[[#This Row],[D, bottom '[m']]]+MP_DATA[[#This Row],[D, top '[m']]])/(2*MP_DATA[[#This Row],[t '[mm']]]/1000),"")</f>
        <v>92.010106382978719</v>
      </c>
      <c r="L37" s="79" t="str">
        <f>IFERROR((MP_DATA[[#This Row],[D, bottom '[m']]]+#REF!)/(2*#REF!/1000),"")</f>
        <v/>
      </c>
      <c r="R37" s="122" t="s">
        <v>273</v>
      </c>
      <c r="W37" s="77">
        <v>7</v>
      </c>
      <c r="X37" s="80">
        <v>-17.899999999999999</v>
      </c>
      <c r="Y37" s="80">
        <v>-21.8</v>
      </c>
      <c r="Z37" s="77">
        <v>8.4847999999999999</v>
      </c>
      <c r="AA37" s="77">
        <v>8.8131000000000004</v>
      </c>
      <c r="AB37" s="77">
        <v>94</v>
      </c>
      <c r="BB37" s="79" t="str">
        <f>IFERROR(TP_DATA[[#This Row],[Bottom '[m']]]-TP_DATA[[#This Row],[D, top '[m']]], "")</f>
        <v/>
      </c>
      <c r="BC37" s="79" t="str">
        <f>IFERROR(-(TP_DATA[[#This Row],[D, bottom '[m']]]-TP_DATA[[#This Row],[D, top '[m']]])/(TP_DATA[[#This Row],[Bottom '[m']]]-TP_DATA[[#This Row],[Top '[m']]]),"")</f>
        <v/>
      </c>
      <c r="BD37" s="79" t="str">
        <f t="shared" si="1"/>
        <v/>
      </c>
      <c r="BE37" s="79" t="str">
        <f>IFERROR((TP_DATA[[#This Row],[D, bottom '[m']]]+TP_DATA[[#This Row],[D, top '[m']]])/(2*TP_DATA[[#This Row],[t '[mm']]]/1000),"")</f>
        <v/>
      </c>
      <c r="BF37" s="79" t="str">
        <f>IFERROR((TP_DATA[[#This Row],[D, bottom '[m']]]+#REF!)/(2*#REF!/1000),"")</f>
        <v/>
      </c>
      <c r="BQ37" s="77"/>
      <c r="BR37" s="77"/>
      <c r="BS37" s="77"/>
      <c r="BT37" s="77"/>
      <c r="BU37" s="77"/>
      <c r="BV37" s="77"/>
      <c r="CP37" s="126">
        <v>7</v>
      </c>
      <c r="CQ37" s="120">
        <v>135.29999999999998</v>
      </c>
      <c r="CR37" s="120">
        <v>133.47499999999997</v>
      </c>
      <c r="CS37" s="120">
        <v>6.258</v>
      </c>
      <c r="CT37" s="120">
        <v>6.2229999999999999</v>
      </c>
      <c r="CU37" s="120">
        <v>58</v>
      </c>
      <c r="CV37" s="79">
        <f>IFERROR(TOWER_DATA[[#This Row],[Top '[m']]]-TOWER_DATA[[#This Row],[Bottom '[m']]], "")</f>
        <v>1.8250000000000171</v>
      </c>
      <c r="CW37" s="79">
        <f>IFERROR(-(TOWER_DATA[[#This Row],[D, bottom '[m']]]-TOWER_DATA[[#This Row],[D, top '[m']]])/(TOWER_DATA[[#This Row],[Bottom '[m']]]-TOWER_DATA[[#This Row],[Top '[m']]]),"")</f>
        <v>-1.9178082191780719E-2</v>
      </c>
      <c r="CX37" s="79">
        <f t="shared" si="2"/>
        <v>16.138921784175626</v>
      </c>
      <c r="CY37" s="79">
        <f>IFERROR((TOWER_DATA[[#This Row],[D, bottom '[m']]]+TOWER_DATA[[#This Row],[D, top '[m']]])/(2*TOWER_DATA[[#This Row],[t '[mm']]]/1000),"")</f>
        <v>107.59482758620689</v>
      </c>
      <c r="CZ37" s="79" t="str">
        <f>IFERROR((TOWER_DATA[[#This Row],[D, bottom '[m']]]+#REF!)/(2*#REF!/1000),"")</f>
        <v/>
      </c>
      <c r="DA37" s="127" t="s">
        <v>262</v>
      </c>
      <c r="DB37" s="127">
        <v>134.91</v>
      </c>
      <c r="DC37" s="127">
        <v>134.91</v>
      </c>
      <c r="DD37" s="127">
        <v>41600</v>
      </c>
      <c r="DE37" s="127"/>
      <c r="DF37" s="127"/>
      <c r="DG37" s="127"/>
      <c r="DH37" s="127"/>
      <c r="DI37" s="127"/>
      <c r="DK37" s="77">
        <v>7</v>
      </c>
      <c r="DL37" s="77">
        <v>135.29999999999998</v>
      </c>
      <c r="DM37" s="77">
        <v>133.47499999999997</v>
      </c>
      <c r="DN37" s="77">
        <v>6.258</v>
      </c>
      <c r="DO37" s="77">
        <v>6.2229999999999999</v>
      </c>
      <c r="DP37" s="77">
        <v>58</v>
      </c>
      <c r="DR37" s="100" t="s">
        <v>262</v>
      </c>
      <c r="DS37" s="100">
        <v>134.91</v>
      </c>
      <c r="DT37" s="100">
        <v>134.91</v>
      </c>
      <c r="DU37" s="100">
        <v>41600</v>
      </c>
      <c r="DV37" s="127"/>
      <c r="DW37" s="127"/>
      <c r="DX37" s="127"/>
      <c r="DY37" s="127"/>
      <c r="DZ37" s="127"/>
      <c r="EJ37" s="104" t="s">
        <v>250</v>
      </c>
      <c r="EK37" s="103" t="s">
        <v>156</v>
      </c>
      <c r="EL37" s="103" t="s">
        <v>156</v>
      </c>
      <c r="EM37" s="103">
        <v>1394251</v>
      </c>
      <c r="EN37" s="103">
        <v>382420000</v>
      </c>
      <c r="EO37" s="103">
        <v>639730000</v>
      </c>
      <c r="EP37" s="103">
        <v>6.59</v>
      </c>
      <c r="EQ37" s="103">
        <v>5.74</v>
      </c>
      <c r="ER37" s="103" t="s">
        <v>266</v>
      </c>
      <c r="ET37" s="91" t="s">
        <v>250</v>
      </c>
      <c r="EU37" s="91" t="s">
        <v>156</v>
      </c>
      <c r="EV37" t="s">
        <v>156</v>
      </c>
      <c r="EW37">
        <v>1394251</v>
      </c>
      <c r="EX37" s="51">
        <v>382420000</v>
      </c>
      <c r="EY37" s="51">
        <v>639730000</v>
      </c>
      <c r="EZ37">
        <v>6.59</v>
      </c>
      <c r="FA37">
        <v>5.74</v>
      </c>
      <c r="FB37" t="s">
        <v>266</v>
      </c>
    </row>
    <row r="38" spans="2:158" x14ac:dyDescent="0.3">
      <c r="B38" s="124">
        <v>8</v>
      </c>
      <c r="C38" s="124">
        <v>-21.8</v>
      </c>
      <c r="D38" s="124">
        <v>-25.7</v>
      </c>
      <c r="E38" s="124">
        <v>8.8131000000000004</v>
      </c>
      <c r="F38" s="124">
        <v>9.1414000000000009</v>
      </c>
      <c r="G38" s="124">
        <v>92</v>
      </c>
      <c r="H38" s="79">
        <f>IFERROR(MP_DATA[[#This Row],[Bottom '[m']]]-MP_DATA[[#This Row],[D, top '[m']]], "")</f>
        <v>-34.513100000000001</v>
      </c>
      <c r="I38" s="79">
        <f>IFERROR(-(MP_DATA[[#This Row],[D, bottom '[m']]]-MP_DATA[[#This Row],[D, top '[m']]])/(MP_DATA[[#This Row],[Bottom '[m']]]-MP_DATA[[#This Row],[Top '[m']]]),"")</f>
        <v>8.4179487179487339E-2</v>
      </c>
      <c r="J38" s="79">
        <f t="shared" si="0"/>
        <v>78.621552553821701</v>
      </c>
      <c r="K38" s="79">
        <f>IFERROR((MP_DATA[[#This Row],[D, bottom '[m']]]+MP_DATA[[#This Row],[D, top '[m']]])/(2*MP_DATA[[#This Row],[t '[mm']]]/1000),"")</f>
        <v>97.578804347826107</v>
      </c>
      <c r="L38" s="79" t="str">
        <f>IFERROR((MP_DATA[[#This Row],[D, bottom '[m']]]+#REF!)/(2*#REF!/1000),"")</f>
        <v/>
      </c>
      <c r="W38" s="77">
        <v>8</v>
      </c>
      <c r="X38" s="80">
        <v>-21.8</v>
      </c>
      <c r="Y38" s="80">
        <v>-25.7</v>
      </c>
      <c r="Z38" s="77">
        <v>8.8131000000000004</v>
      </c>
      <c r="AA38" s="77">
        <v>9.1414000000000009</v>
      </c>
      <c r="AB38" s="77">
        <v>92</v>
      </c>
      <c r="BB38" s="79" t="str">
        <f>IFERROR(TP_DATA[[#This Row],[Bottom '[m']]]-TP_DATA[[#This Row],[D, top '[m']]], "")</f>
        <v/>
      </c>
      <c r="BC38" s="79" t="str">
        <f>IFERROR(-(TP_DATA[[#This Row],[D, bottom '[m']]]-TP_DATA[[#This Row],[D, top '[m']]])/(TP_DATA[[#This Row],[Bottom '[m']]]-TP_DATA[[#This Row],[Top '[m']]]),"")</f>
        <v/>
      </c>
      <c r="BD38" s="79" t="str">
        <f t="shared" si="1"/>
        <v/>
      </c>
      <c r="BE38" s="79" t="str">
        <f>IFERROR((TP_DATA[[#This Row],[D, bottom '[m']]]+TP_DATA[[#This Row],[D, top '[m']]])/(2*TP_DATA[[#This Row],[t '[mm']]]/1000),"")</f>
        <v/>
      </c>
      <c r="BF38" s="79" t="str">
        <f>IFERROR((TP_DATA[[#This Row],[D, bottom '[m']]]+#REF!)/(2*#REF!/1000),"")</f>
        <v/>
      </c>
      <c r="BQ38" s="77"/>
      <c r="BR38" s="77"/>
      <c r="BS38" s="77"/>
      <c r="BT38" s="77"/>
      <c r="BU38" s="77"/>
      <c r="BV38" s="77"/>
      <c r="CP38" s="126">
        <v>8</v>
      </c>
      <c r="CQ38" s="120">
        <v>133.47499999999997</v>
      </c>
      <c r="CR38" s="120">
        <v>131.23999999999998</v>
      </c>
      <c r="CS38" s="120">
        <v>6.2229999999999999</v>
      </c>
      <c r="CT38" s="120">
        <v>6.2229999999999999</v>
      </c>
      <c r="CU38" s="120">
        <v>23</v>
      </c>
      <c r="CV38" s="79">
        <f>IFERROR(TOWER_DATA[[#This Row],[Top '[m']]]-TOWER_DATA[[#This Row],[Bottom '[m']]], "")</f>
        <v>2.2349999999999852</v>
      </c>
      <c r="CW38" s="79">
        <f>IFERROR(-(TOWER_DATA[[#This Row],[D, bottom '[m']]]-TOWER_DATA[[#This Row],[D, top '[m']]])/(TOWER_DATA[[#This Row],[Bottom '[m']]]-TOWER_DATA[[#This Row],[Top '[m']]]),"")</f>
        <v>0</v>
      </c>
      <c r="CX38" s="79">
        <f t="shared" si="2"/>
        <v>7.8598920693133492</v>
      </c>
      <c r="CY38" s="79">
        <f>IFERROR((TOWER_DATA[[#This Row],[D, bottom '[m']]]+TOWER_DATA[[#This Row],[D, top '[m']]])/(2*TOWER_DATA[[#This Row],[t '[mm']]]/1000),"")</f>
        <v>270.56521739130437</v>
      </c>
      <c r="CZ38" s="79" t="str">
        <f>IFERROR((TOWER_DATA[[#This Row],[D, bottom '[m']]]+#REF!)/(2*#REF!/1000),"")</f>
        <v/>
      </c>
      <c r="DA38" s="127" t="s">
        <v>262</v>
      </c>
      <c r="DB38" s="127">
        <v>133.08499999999998</v>
      </c>
      <c r="DC38" s="127">
        <v>133.08499999999998</v>
      </c>
      <c r="DD38" s="127">
        <v>88</v>
      </c>
      <c r="DE38" s="127"/>
      <c r="DF38" s="127"/>
      <c r="DG38" s="127"/>
      <c r="DH38" s="127"/>
      <c r="DI38" s="127"/>
      <c r="DK38" s="77">
        <v>8</v>
      </c>
      <c r="DL38" s="77">
        <v>133.47499999999997</v>
      </c>
      <c r="DM38" s="77">
        <v>131.23999999999998</v>
      </c>
      <c r="DN38" s="77">
        <v>6.2229999999999999</v>
      </c>
      <c r="DO38" s="77">
        <v>6.2229999999999999</v>
      </c>
      <c r="DP38" s="77">
        <v>23</v>
      </c>
      <c r="DR38" s="100" t="s">
        <v>262</v>
      </c>
      <c r="DS38" s="100">
        <v>133.08499999999998</v>
      </c>
      <c r="DT38" s="100">
        <v>133.08499999999998</v>
      </c>
      <c r="DU38" s="100">
        <v>88</v>
      </c>
      <c r="DV38" s="127"/>
      <c r="DW38" s="127"/>
      <c r="DX38" s="127"/>
      <c r="DY38" s="127"/>
      <c r="DZ38" s="127"/>
      <c r="EQ38" s="79"/>
      <c r="ER38" s="79"/>
    </row>
    <row r="39" spans="2:158" x14ac:dyDescent="0.3">
      <c r="B39" s="124">
        <v>9</v>
      </c>
      <c r="C39" s="124">
        <v>-25.7</v>
      </c>
      <c r="D39" s="124">
        <v>-29.6</v>
      </c>
      <c r="E39" s="124">
        <v>9.1414000000000009</v>
      </c>
      <c r="F39" s="124">
        <v>9.4696999999999996</v>
      </c>
      <c r="G39" s="124">
        <v>90</v>
      </c>
      <c r="H39" s="79">
        <f>IFERROR(MP_DATA[[#This Row],[Bottom '[m']]]-MP_DATA[[#This Row],[D, top '[m']]], "")</f>
        <v>-38.741399999999999</v>
      </c>
      <c r="I39" s="79">
        <f>IFERROR(-(MP_DATA[[#This Row],[D, bottom '[m']]]-MP_DATA[[#This Row],[D, top '[m']]])/(MP_DATA[[#This Row],[Bottom '[m']]]-MP_DATA[[#This Row],[Top '[m']]]),"")</f>
        <v>8.4179487179486798E-2</v>
      </c>
      <c r="J39" s="79">
        <f t="shared" si="0"/>
        <v>79.771527039027319</v>
      </c>
      <c r="K39" s="79">
        <f>IFERROR((MP_DATA[[#This Row],[D, bottom '[m']]]+MP_DATA[[#This Row],[D, top '[m']]])/(2*MP_DATA[[#This Row],[t '[mm']]]/1000),"")</f>
        <v>103.39500000000001</v>
      </c>
      <c r="L39" s="79" t="str">
        <f>IFERROR((MP_DATA[[#This Row],[D, bottom '[m']]]+#REF!)/(2*#REF!/1000),"")</f>
        <v/>
      </c>
      <c r="W39" s="77">
        <v>9</v>
      </c>
      <c r="X39" s="80">
        <v>-25.7</v>
      </c>
      <c r="Y39" s="80">
        <v>-29.6</v>
      </c>
      <c r="Z39" s="77">
        <v>9.1414000000000009</v>
      </c>
      <c r="AA39" s="77">
        <v>9.4696999999999996</v>
      </c>
      <c r="AB39" s="77">
        <v>90</v>
      </c>
      <c r="BB39" s="79" t="str">
        <f>IFERROR(TP_DATA[[#This Row],[Bottom '[m']]]-TP_DATA[[#This Row],[D, top '[m']]], "")</f>
        <v/>
      </c>
      <c r="BC39" s="79" t="str">
        <f>IFERROR(-(TP_DATA[[#This Row],[D, bottom '[m']]]-TP_DATA[[#This Row],[D, top '[m']]])/(TP_DATA[[#This Row],[Bottom '[m']]]-TP_DATA[[#This Row],[Top '[m']]]),"")</f>
        <v/>
      </c>
      <c r="BD39" s="79" t="str">
        <f t="shared" si="1"/>
        <v/>
      </c>
      <c r="BE39" s="79" t="str">
        <f>IFERROR((TP_DATA[[#This Row],[D, bottom '[m']]]+TP_DATA[[#This Row],[D, top '[m']]])/(2*TP_DATA[[#This Row],[t '[mm']]]/1000),"")</f>
        <v/>
      </c>
      <c r="BF39" s="79" t="str">
        <f>IFERROR((TP_DATA[[#This Row],[D, bottom '[m']]]+#REF!)/(2*#REF!/1000),"")</f>
        <v/>
      </c>
      <c r="BQ39" s="77"/>
      <c r="BR39" s="77"/>
      <c r="BS39" s="77"/>
      <c r="BT39" s="77"/>
      <c r="BU39" s="77"/>
      <c r="BV39" s="77"/>
      <c r="CP39" s="126">
        <v>9</v>
      </c>
      <c r="CQ39" s="120">
        <v>131.23999999999998</v>
      </c>
      <c r="CR39" s="120">
        <v>130.89999999999998</v>
      </c>
      <c r="CS39" s="120">
        <v>6.2229999999999999</v>
      </c>
      <c r="CT39" s="120">
        <v>6.2229999999999999</v>
      </c>
      <c r="CU39" s="120">
        <v>23</v>
      </c>
      <c r="CV39" s="79">
        <f>IFERROR(TOWER_DATA[[#This Row],[Top '[m']]]-TOWER_DATA[[#This Row],[Bottom '[m']]], "")</f>
        <v>0.34000000000000341</v>
      </c>
      <c r="CW39" s="79">
        <f>IFERROR(-(TOWER_DATA[[#This Row],[D, bottom '[m']]]-TOWER_DATA[[#This Row],[D, top '[m']]])/(TOWER_DATA[[#This Row],[Bottom '[m']]]-TOWER_DATA[[#This Row],[Top '[m']]]),"")</f>
        <v>0</v>
      </c>
      <c r="CX39" s="79">
        <f t="shared" si="2"/>
        <v>1.1956882790007084</v>
      </c>
      <c r="CY39" s="79">
        <f>IFERROR((TOWER_DATA[[#This Row],[D, bottom '[m']]]+TOWER_DATA[[#This Row],[D, top '[m']]])/(2*TOWER_DATA[[#This Row],[t '[mm']]]/1000),"")</f>
        <v>270.56521739130437</v>
      </c>
      <c r="CZ39" s="79" t="str">
        <f>IFERROR((TOWER_DATA[[#This Row],[D, bottom '[m']]]+#REF!)/(2*#REF!/1000),"")</f>
        <v/>
      </c>
      <c r="DA39" s="127" t="s">
        <v>262</v>
      </c>
      <c r="DB39" s="127">
        <v>131.23999999999998</v>
      </c>
      <c r="DC39" s="127">
        <v>131.23999999999998</v>
      </c>
      <c r="DD39" s="127">
        <v>92</v>
      </c>
      <c r="DE39" s="127"/>
      <c r="DF39" s="127"/>
      <c r="DG39" s="127"/>
      <c r="DH39" s="127"/>
      <c r="DI39" s="127"/>
      <c r="DK39" s="77">
        <v>9</v>
      </c>
      <c r="DL39" s="77">
        <v>131.23999999999998</v>
      </c>
      <c r="DM39" s="77">
        <v>130.89999999999998</v>
      </c>
      <c r="DN39" s="77">
        <v>6.2229999999999999</v>
      </c>
      <c r="DO39" s="77">
        <v>6.2229999999999999</v>
      </c>
      <c r="DP39" s="77">
        <v>23</v>
      </c>
      <c r="DR39" s="100" t="s">
        <v>262</v>
      </c>
      <c r="DS39" s="100">
        <v>131.23999999999998</v>
      </c>
      <c r="DT39" s="100">
        <v>131.23999999999998</v>
      </c>
      <c r="DU39" s="100">
        <v>92</v>
      </c>
      <c r="DV39" s="127"/>
      <c r="DW39" s="127"/>
      <c r="DX39" s="127"/>
      <c r="DY39" s="127"/>
      <c r="DZ39" s="127"/>
      <c r="EQ39" s="79"/>
      <c r="ER39" s="79"/>
    </row>
    <row r="40" spans="2:158" x14ac:dyDescent="0.3">
      <c r="B40" s="124">
        <v>10</v>
      </c>
      <c r="C40" s="120">
        <v>-29.6</v>
      </c>
      <c r="D40" s="124">
        <v>-33.5</v>
      </c>
      <c r="E40" s="120">
        <v>9.4696999999999996</v>
      </c>
      <c r="F40" s="124">
        <v>9.8000000000000007</v>
      </c>
      <c r="G40" s="120">
        <v>90</v>
      </c>
      <c r="H40" s="79">
        <f>IFERROR(MP_DATA[[#This Row],[Bottom '[m']]]-MP_DATA[[#This Row],[D, top '[m']]], "")</f>
        <v>-42.969700000000003</v>
      </c>
      <c r="I40">
        <f>IFERROR(-(MP_DATA[[#This Row],[D, bottom '[m']]]-MP_DATA[[#This Row],[D, top '[m']]])/(MP_DATA[[#This Row],[Bottom '[m']]]-MP_DATA[[#This Row],[Top '[m']]]),"")</f>
        <v>8.4692307692308011E-2</v>
      </c>
      <c r="J40" s="79">
        <f t="shared" si="0"/>
        <v>82.622009522867344</v>
      </c>
      <c r="K40" s="79">
        <f>IFERROR((MP_DATA[[#This Row],[D, bottom '[m']]]+MP_DATA[[#This Row],[D, top '[m']]])/(2*MP_DATA[[#This Row],[t '[mm']]]/1000),"")</f>
        <v>107.05388888888889</v>
      </c>
      <c r="L40" s="79" t="str">
        <f>IFERROR((MP_DATA[[#This Row],[D, bottom '[m']]]+#REF!)/(2*#REF!/1000),"")</f>
        <v/>
      </c>
      <c r="W40" s="77">
        <v>10</v>
      </c>
      <c r="X40" s="80">
        <v>-29.6</v>
      </c>
      <c r="Y40" s="80">
        <v>-33.5</v>
      </c>
      <c r="Z40" s="77">
        <v>9.4696999999999996</v>
      </c>
      <c r="AA40" s="77">
        <v>9.8000000000000007</v>
      </c>
      <c r="AB40" s="77">
        <v>90</v>
      </c>
      <c r="BB40" s="79" t="str">
        <f>IFERROR(TP_DATA[[#This Row],[Bottom '[m']]]-TP_DATA[[#This Row],[D, top '[m']]], "")</f>
        <v/>
      </c>
      <c r="BC40" s="79" t="str">
        <f>IFERROR(-(TP_DATA[[#This Row],[D, bottom '[m']]]-TP_DATA[[#This Row],[D, top '[m']]])/(TP_DATA[[#This Row],[Bottom '[m']]]-TP_DATA[[#This Row],[Top '[m']]]),"")</f>
        <v/>
      </c>
      <c r="BD40" s="79" t="str">
        <f t="shared" si="1"/>
        <v/>
      </c>
      <c r="BE40" s="79" t="str">
        <f>IFERROR((TP_DATA[[#This Row],[D, bottom '[m']]]+TP_DATA[[#This Row],[D, top '[m']]])/(2*TP_DATA[[#This Row],[t '[mm']]]/1000),"")</f>
        <v/>
      </c>
      <c r="BF40" s="79" t="str">
        <f>IFERROR((TP_DATA[[#This Row],[D, bottom '[m']]]+#REF!)/(2*#REF!/1000),"")</f>
        <v/>
      </c>
      <c r="BQ40" s="77"/>
      <c r="BR40" s="77"/>
      <c r="BS40" s="77"/>
      <c r="BT40" s="77"/>
      <c r="BU40" s="77"/>
      <c r="BV40" s="77"/>
      <c r="CP40" s="126">
        <v>10</v>
      </c>
      <c r="CQ40" s="120">
        <v>130.89999999999998</v>
      </c>
      <c r="CR40" s="120">
        <v>128.48999999999998</v>
      </c>
      <c r="CS40" s="120">
        <v>6.2229999999999999</v>
      </c>
      <c r="CT40" s="120">
        <v>6.2229999999999999</v>
      </c>
      <c r="CU40" s="120">
        <v>23</v>
      </c>
      <c r="CV40" s="79">
        <f>IFERROR(TOWER_DATA[[#This Row],[Top '[m']]]-TOWER_DATA[[#This Row],[Bottom '[m']]], "")</f>
        <v>2.4099999999999966</v>
      </c>
      <c r="CW40" s="79">
        <f>IFERROR(-(TOWER_DATA[[#This Row],[D, bottom '[m']]]-TOWER_DATA[[#This Row],[D, top '[m']]])/(TOWER_DATA[[#This Row],[Bottom '[m']]]-TOWER_DATA[[#This Row],[Top '[m']]]),"")</f>
        <v>0</v>
      </c>
      <c r="CX40" s="79">
        <f t="shared" si="2"/>
        <v>8.475319859975512</v>
      </c>
      <c r="CY40" s="79">
        <f>IFERROR((TOWER_DATA[[#This Row],[D, bottom '[m']]]+TOWER_DATA[[#This Row],[D, top '[m']]])/(2*TOWER_DATA[[#This Row],[t '[mm']]]/1000),"")</f>
        <v>270.56521739130437</v>
      </c>
      <c r="CZ40" s="79" t="str">
        <f>IFERROR((TOWER_DATA[[#This Row],[D, bottom '[m']]]+#REF!)/(2*#REF!/1000),"")</f>
        <v/>
      </c>
      <c r="DA40" s="127" t="s">
        <v>262</v>
      </c>
      <c r="DB40" s="127">
        <v>130.89999999999998</v>
      </c>
      <c r="DC40" s="127">
        <v>130.89999999999998</v>
      </c>
      <c r="DD40" s="127">
        <v>138</v>
      </c>
      <c r="DE40" s="127"/>
      <c r="DF40" s="127"/>
      <c r="DG40" s="127"/>
      <c r="DH40" s="127"/>
      <c r="DI40" s="127"/>
      <c r="DK40" s="77">
        <v>10</v>
      </c>
      <c r="DL40" s="77">
        <v>130.89999999999998</v>
      </c>
      <c r="DM40" s="77">
        <v>128.48999999999998</v>
      </c>
      <c r="DN40" s="77">
        <v>6.2229999999999999</v>
      </c>
      <c r="DO40" s="77">
        <v>6.2229999999999999</v>
      </c>
      <c r="DP40" s="77">
        <v>23</v>
      </c>
      <c r="DR40" s="100" t="s">
        <v>262</v>
      </c>
      <c r="DS40" s="100">
        <v>130.89999999999998</v>
      </c>
      <c r="DT40" s="100">
        <v>130.89999999999998</v>
      </c>
      <c r="DU40" s="100">
        <v>138</v>
      </c>
      <c r="DV40" s="127"/>
      <c r="DW40" s="127"/>
      <c r="DX40" s="127"/>
      <c r="DY40" s="127"/>
      <c r="DZ40" s="127"/>
      <c r="EQ40" s="79"/>
      <c r="ER40" s="79"/>
    </row>
    <row r="41" spans="2:158" x14ac:dyDescent="0.3">
      <c r="B41" s="124">
        <v>11</v>
      </c>
      <c r="C41" s="120">
        <v>-33.5</v>
      </c>
      <c r="D41" s="124">
        <v>-36.799999999999997</v>
      </c>
      <c r="E41" s="120">
        <v>9.8000000000000007</v>
      </c>
      <c r="F41" s="124">
        <v>9.8000000000000007</v>
      </c>
      <c r="G41" s="120">
        <v>90</v>
      </c>
      <c r="H41" s="79">
        <f>IFERROR(MP_DATA[[#This Row],[Bottom '[m']]]-MP_DATA[[#This Row],[D, top '[m']]], "")</f>
        <v>-46.599999999999994</v>
      </c>
      <c r="I41">
        <f>IFERROR(-(MP_DATA[[#This Row],[D, bottom '[m']]]-MP_DATA[[#This Row],[D, top '[m']]])/(MP_DATA[[#This Row],[Bottom '[m']]]-MP_DATA[[#This Row],[Top '[m']]]),"")</f>
        <v>0</v>
      </c>
      <c r="J41" s="79">
        <f t="shared" si="0"/>
        <v>71.120566726377618</v>
      </c>
      <c r="K41" s="79">
        <f>IFERROR((MP_DATA[[#This Row],[D, bottom '[m']]]+MP_DATA[[#This Row],[D, top '[m']]])/(2*MP_DATA[[#This Row],[t '[mm']]]/1000),"")</f>
        <v>108.8888888888889</v>
      </c>
      <c r="L41" s="79" t="str">
        <f>IFERROR((MP_DATA[[#This Row],[D, bottom '[m']]]+#REF!)/(2*#REF!/1000),"")</f>
        <v/>
      </c>
      <c r="W41" s="77">
        <v>11</v>
      </c>
      <c r="X41" s="80">
        <v>-33.5</v>
      </c>
      <c r="Y41" s="80">
        <v>-36.799999999999997</v>
      </c>
      <c r="Z41" s="77">
        <v>9.8000000000000007</v>
      </c>
      <c r="AA41" s="77">
        <v>9.8000000000000007</v>
      </c>
      <c r="AB41" s="77">
        <v>90</v>
      </c>
      <c r="BB41" s="79" t="str">
        <f>IFERROR(TP_DATA[[#This Row],[Bottom '[m']]]-TP_DATA[[#This Row],[D, top '[m']]], "")</f>
        <v/>
      </c>
      <c r="BC41" s="79" t="str">
        <f>IFERROR(-(TP_DATA[[#This Row],[D, bottom '[m']]]-TP_DATA[[#This Row],[D, top '[m']]])/(TP_DATA[[#This Row],[Bottom '[m']]]-TP_DATA[[#This Row],[Top '[m']]]),"")</f>
        <v/>
      </c>
      <c r="BD41" s="79" t="str">
        <f t="shared" si="1"/>
        <v/>
      </c>
      <c r="BE41" s="79" t="str">
        <f>IFERROR((TP_DATA[[#This Row],[D, bottom '[m']]]+TP_DATA[[#This Row],[D, top '[m']]])/(2*TP_DATA[[#This Row],[t '[mm']]]/1000),"")</f>
        <v/>
      </c>
      <c r="BF41" s="79" t="str">
        <f>IFERROR((TP_DATA[[#This Row],[D, bottom '[m']]]+#REF!)/(2*#REF!/1000),"")</f>
        <v/>
      </c>
      <c r="BQ41" s="77"/>
      <c r="BR41" s="77"/>
      <c r="BS41" s="77"/>
      <c r="BT41" s="77"/>
      <c r="BU41" s="77"/>
      <c r="BV41" s="77"/>
      <c r="CP41" s="126">
        <v>11</v>
      </c>
      <c r="CQ41" s="120">
        <v>128.48999999999998</v>
      </c>
      <c r="CR41" s="120">
        <v>125.74000000000001</v>
      </c>
      <c r="CS41" s="120">
        <v>6.2229999999999999</v>
      </c>
      <c r="CT41" s="120">
        <v>6.2229999999999999</v>
      </c>
      <c r="CU41" s="120">
        <v>23</v>
      </c>
      <c r="CV41" s="79">
        <f>IFERROR(TOWER_DATA[[#This Row],[Top '[m']]]-TOWER_DATA[[#This Row],[Bottom '[m']]], "")</f>
        <v>2.7499999999999716</v>
      </c>
      <c r="CW41" s="79">
        <f>IFERROR(-(TOWER_DATA[[#This Row],[D, bottom '[m']]]-TOWER_DATA[[#This Row],[D, top '[m']]])/(TOWER_DATA[[#This Row],[Bottom '[m']]]-TOWER_DATA[[#This Row],[Top '[m']]]),"")</f>
        <v>0</v>
      </c>
      <c r="CX41" s="79">
        <f t="shared" si="2"/>
        <v>9.6710081389761218</v>
      </c>
      <c r="CY41" s="79">
        <f>IFERROR((TOWER_DATA[[#This Row],[D, bottom '[m']]]+TOWER_DATA[[#This Row],[D, top '[m']]])/(2*TOWER_DATA[[#This Row],[t '[mm']]]/1000),"")</f>
        <v>270.56521739130437</v>
      </c>
      <c r="CZ41" s="79" t="str">
        <f>IFERROR((TOWER_DATA[[#This Row],[D, bottom '[m']]]+#REF!)/(2*#REF!/1000),"")</f>
        <v/>
      </c>
      <c r="DA41" s="127" t="s">
        <v>262</v>
      </c>
      <c r="DB41" s="127">
        <v>125.74</v>
      </c>
      <c r="DC41" s="127">
        <v>125.74</v>
      </c>
      <c r="DD41" s="127">
        <v>138</v>
      </c>
      <c r="DE41" s="127"/>
      <c r="DF41" s="127"/>
      <c r="DG41" s="127"/>
      <c r="DH41" s="127"/>
      <c r="DI41" s="127"/>
      <c r="DK41" s="77">
        <v>11</v>
      </c>
      <c r="DL41" s="77">
        <v>128.48999999999998</v>
      </c>
      <c r="DM41" s="77">
        <v>125.74000000000001</v>
      </c>
      <c r="DN41" s="77">
        <v>6.2229999999999999</v>
      </c>
      <c r="DO41" s="77">
        <v>6.2229999999999999</v>
      </c>
      <c r="DP41" s="77">
        <v>23</v>
      </c>
      <c r="DR41" s="100" t="s">
        <v>262</v>
      </c>
      <c r="DS41" s="100">
        <v>125.74</v>
      </c>
      <c r="DT41" s="100">
        <v>125.74</v>
      </c>
      <c r="DU41" s="100">
        <v>138</v>
      </c>
      <c r="DV41" s="127"/>
      <c r="DW41" s="127"/>
      <c r="DX41" s="127"/>
      <c r="DY41" s="127"/>
      <c r="DZ41" s="127"/>
      <c r="EQ41" s="79"/>
      <c r="ER41" s="79"/>
    </row>
    <row r="42" spans="2:158" x14ac:dyDescent="0.3">
      <c r="B42" s="124">
        <v>12</v>
      </c>
      <c r="C42" s="120">
        <v>-36.799999999999997</v>
      </c>
      <c r="D42" s="124">
        <v>-40.200000000000003</v>
      </c>
      <c r="E42" s="120">
        <v>9.8000000000000007</v>
      </c>
      <c r="F42" s="124">
        <v>9.8000000000000007</v>
      </c>
      <c r="G42" s="120">
        <v>98</v>
      </c>
      <c r="H42" s="79">
        <f>IFERROR(MP_DATA[[#This Row],[Bottom '[m']]]-MP_DATA[[#This Row],[D, top '[m']]], "")</f>
        <v>-50</v>
      </c>
      <c r="I42">
        <f>IFERROR(-(MP_DATA[[#This Row],[D, bottom '[m']]]-MP_DATA[[#This Row],[D, top '[m']]])/(MP_DATA[[#This Row],[Bottom '[m']]]-MP_DATA[[#This Row],[Top '[m']]]),"")</f>
        <v>0</v>
      </c>
      <c r="J42" s="79">
        <f t="shared" si="0"/>
        <v>79.723396418003802</v>
      </c>
      <c r="K42" s="79">
        <f>IFERROR((MP_DATA[[#This Row],[D, bottom '[m']]]+MP_DATA[[#This Row],[D, top '[m']]])/(2*MP_DATA[[#This Row],[t '[mm']]]/1000),"")</f>
        <v>100</v>
      </c>
      <c r="L42" s="79" t="str">
        <f>IFERROR((MP_DATA[[#This Row],[D, bottom '[m']]]+#REF!)/(2*#REF!/1000),"")</f>
        <v/>
      </c>
      <c r="W42" s="77">
        <v>12</v>
      </c>
      <c r="X42" s="80">
        <v>-36.799999999999997</v>
      </c>
      <c r="Y42" s="80">
        <v>-40.200000000000003</v>
      </c>
      <c r="Z42" s="77">
        <v>9.8000000000000007</v>
      </c>
      <c r="AA42" s="77">
        <v>9.8000000000000007</v>
      </c>
      <c r="AB42" s="77">
        <v>98</v>
      </c>
      <c r="BB42" s="79" t="str">
        <f>IFERROR(TP_DATA[[#This Row],[Bottom '[m']]]-TP_DATA[[#This Row],[D, top '[m']]], "")</f>
        <v/>
      </c>
      <c r="BC42" s="79" t="str">
        <f>IFERROR(-(TP_DATA[[#This Row],[D, bottom '[m']]]-TP_DATA[[#This Row],[D, top '[m']]])/(TP_DATA[[#This Row],[Bottom '[m']]]-TP_DATA[[#This Row],[Top '[m']]]),"")</f>
        <v/>
      </c>
      <c r="BD42" s="79" t="str">
        <f t="shared" si="1"/>
        <v/>
      </c>
      <c r="BE42" s="79" t="str">
        <f>IFERROR((TP_DATA[[#This Row],[D, bottom '[m']]]+TP_DATA[[#This Row],[D, top '[m']]])/(2*TP_DATA[[#This Row],[t '[mm']]]/1000),"")</f>
        <v/>
      </c>
      <c r="BF42" s="79" t="str">
        <f>IFERROR((TP_DATA[[#This Row],[D, bottom '[m']]]+#REF!)/(2*#REF!/1000),"")</f>
        <v/>
      </c>
      <c r="BQ42" s="77"/>
      <c r="BR42" s="77"/>
      <c r="BS42" s="77"/>
      <c r="BT42" s="77"/>
      <c r="BU42" s="77"/>
      <c r="BV42" s="77"/>
      <c r="CP42" s="126">
        <v>12</v>
      </c>
      <c r="CQ42" s="120">
        <v>125.74000000000001</v>
      </c>
      <c r="CR42" s="120">
        <v>123.667</v>
      </c>
      <c r="CS42" s="120">
        <v>6.2229999999999999</v>
      </c>
      <c r="CT42" s="120">
        <v>6.2229999999999999</v>
      </c>
      <c r="CU42" s="120">
        <v>23</v>
      </c>
      <c r="CV42" s="79">
        <f>IFERROR(TOWER_DATA[[#This Row],[Top '[m']]]-TOWER_DATA[[#This Row],[Bottom '[m']]], "")</f>
        <v>2.0730000000000075</v>
      </c>
      <c r="CW42" s="79">
        <f>IFERROR(-(TOWER_DATA[[#This Row],[D, bottom '[m']]]-TOWER_DATA[[#This Row],[D, top '[m']]])/(TOWER_DATA[[#This Row],[Bottom '[m']]]-TOWER_DATA[[#This Row],[Top '[m']]]),"")</f>
        <v>0</v>
      </c>
      <c r="CX42" s="79">
        <f t="shared" si="2"/>
        <v>7.2901817716719197</v>
      </c>
      <c r="CY42" s="79">
        <f>IFERROR((TOWER_DATA[[#This Row],[D, bottom '[m']]]+TOWER_DATA[[#This Row],[D, top '[m']]])/(2*TOWER_DATA[[#This Row],[t '[mm']]]/1000),"")</f>
        <v>270.56521739130437</v>
      </c>
      <c r="CZ42" s="79" t="str">
        <f>IFERROR((TOWER_DATA[[#This Row],[D, bottom '[m']]]+#REF!)/(2*#REF!/1000),"")</f>
        <v/>
      </c>
      <c r="DA42" s="127" t="s">
        <v>262</v>
      </c>
      <c r="DB42" s="127">
        <v>123.66699999999999</v>
      </c>
      <c r="DC42" s="127">
        <v>123.66699999999999</v>
      </c>
      <c r="DD42" s="127">
        <v>147</v>
      </c>
      <c r="DE42" s="127"/>
      <c r="DF42" s="127"/>
      <c r="DG42" s="127"/>
      <c r="DH42" s="127"/>
      <c r="DI42" s="127"/>
      <c r="DK42" s="77">
        <v>12</v>
      </c>
      <c r="DL42" s="77">
        <v>125.74000000000001</v>
      </c>
      <c r="DM42" s="77">
        <v>123.667</v>
      </c>
      <c r="DN42" s="77">
        <v>6.2229999999999999</v>
      </c>
      <c r="DO42" s="77">
        <v>6.2229999999999999</v>
      </c>
      <c r="DP42" s="77">
        <v>23</v>
      </c>
      <c r="DR42" s="100" t="s">
        <v>262</v>
      </c>
      <c r="DS42" s="100">
        <v>123.66699999999999</v>
      </c>
      <c r="DT42" s="100">
        <v>123.66699999999999</v>
      </c>
      <c r="DU42" s="100">
        <v>147</v>
      </c>
      <c r="DV42" s="127"/>
      <c r="DW42" s="127"/>
      <c r="DX42" s="127"/>
      <c r="DY42" s="127"/>
      <c r="DZ42" s="127"/>
      <c r="EQ42" s="79"/>
      <c r="ER42" s="79"/>
    </row>
    <row r="43" spans="2:158" x14ac:dyDescent="0.3">
      <c r="B43" s="124">
        <v>13</v>
      </c>
      <c r="C43" s="120">
        <v>-40.200000000000003</v>
      </c>
      <c r="D43" s="124">
        <v>-43.8</v>
      </c>
      <c r="E43" s="120">
        <v>9.8000000000000007</v>
      </c>
      <c r="F43" s="124">
        <v>9.8000000000000007</v>
      </c>
      <c r="G43" s="120">
        <v>88</v>
      </c>
      <c r="H43" s="79">
        <f>IFERROR(MP_DATA[[#This Row],[Bottom '[m']]]-MP_DATA[[#This Row],[D, top '[m']]], "")</f>
        <v>-53.599999999999994</v>
      </c>
      <c r="I43">
        <f>IFERROR(-(MP_DATA[[#This Row],[D, bottom '[m']]]-MP_DATA[[#This Row],[D, top '[m']]])/(MP_DATA[[#This Row],[Bottom '[m']]]-MP_DATA[[#This Row],[Top '[m']]]),"")</f>
        <v>0</v>
      </c>
      <c r="J43" s="79">
        <f t="shared" si="0"/>
        <v>75.87756336934649</v>
      </c>
      <c r="K43" s="79">
        <f>IFERROR((MP_DATA[[#This Row],[D, bottom '[m']]]+MP_DATA[[#This Row],[D, top '[m']]])/(2*MP_DATA[[#This Row],[t '[mm']]]/1000),"")</f>
        <v>111.36363636363637</v>
      </c>
      <c r="L43" s="79" t="str">
        <f>IFERROR((MP_DATA[[#This Row],[D, bottom '[m']]]+#REF!)/(2*#REF!/1000),"")</f>
        <v/>
      </c>
      <c r="W43" s="77">
        <v>13</v>
      </c>
      <c r="X43" s="80">
        <v>-40.200000000000003</v>
      </c>
      <c r="Y43" s="80">
        <v>-43.8</v>
      </c>
      <c r="Z43" s="77">
        <v>9.8000000000000007</v>
      </c>
      <c r="AA43" s="77">
        <v>9.8000000000000007</v>
      </c>
      <c r="AB43" s="77">
        <v>88</v>
      </c>
      <c r="BB43" s="79" t="str">
        <f>IFERROR(TP_DATA[[#This Row],[Bottom '[m']]]-TP_DATA[[#This Row],[D, top '[m']]], "")</f>
        <v/>
      </c>
      <c r="BC43" s="79" t="str">
        <f>IFERROR(-(TP_DATA[[#This Row],[D, bottom '[m']]]-TP_DATA[[#This Row],[D, top '[m']]])/(TP_DATA[[#This Row],[Bottom '[m']]]-TP_DATA[[#This Row],[Top '[m']]]),"")</f>
        <v/>
      </c>
      <c r="BD43" s="79" t="str">
        <f t="shared" si="1"/>
        <v/>
      </c>
      <c r="BE43" s="79" t="str">
        <f>IFERROR((TP_DATA[[#This Row],[D, bottom '[m']]]+TP_DATA[[#This Row],[D, top '[m']]])/(2*TP_DATA[[#This Row],[t '[mm']]]/1000),"")</f>
        <v/>
      </c>
      <c r="BF43" s="79" t="str">
        <f>IFERROR((TP_DATA[[#This Row],[D, bottom '[m']]]+#REF!)/(2*#REF!/1000),"")</f>
        <v/>
      </c>
      <c r="BQ43" s="77"/>
      <c r="BR43" s="77"/>
      <c r="BS43" s="77"/>
      <c r="BT43" s="77"/>
      <c r="BU43" s="77"/>
      <c r="BV43" s="77"/>
      <c r="CP43" s="126">
        <v>13</v>
      </c>
      <c r="CQ43" s="120">
        <v>123.667</v>
      </c>
      <c r="CR43" s="120">
        <v>122.81</v>
      </c>
      <c r="CS43" s="120">
        <v>6.2229999999999999</v>
      </c>
      <c r="CT43" s="120">
        <v>6.2229999999999999</v>
      </c>
      <c r="CU43" s="120">
        <v>23</v>
      </c>
      <c r="CV43" s="79">
        <f>IFERROR(TOWER_DATA[[#This Row],[Top '[m']]]-TOWER_DATA[[#This Row],[Bottom '[m']]], "")</f>
        <v>0.85699999999999932</v>
      </c>
      <c r="CW43" s="79">
        <f>IFERROR(-(TOWER_DATA[[#This Row],[D, bottom '[m']]]-TOWER_DATA[[#This Row],[D, top '[m']]])/(TOWER_DATA[[#This Row],[Bottom '[m']]]-TOWER_DATA[[#This Row],[Top '[m']]]),"")</f>
        <v>0</v>
      </c>
      <c r="CX43" s="79">
        <f t="shared" si="2"/>
        <v>3.0138378091282236</v>
      </c>
      <c r="CY43" s="79">
        <f>IFERROR((TOWER_DATA[[#This Row],[D, bottom '[m']]]+TOWER_DATA[[#This Row],[D, top '[m']]])/(2*TOWER_DATA[[#This Row],[t '[mm']]]/1000),"")</f>
        <v>270.56521739130437</v>
      </c>
      <c r="CZ43" s="79" t="str">
        <f>IFERROR((TOWER_DATA[[#This Row],[D, bottom '[m']]]+#REF!)/(2*#REF!/1000),"")</f>
        <v/>
      </c>
      <c r="DA43" s="127" t="s">
        <v>262</v>
      </c>
      <c r="DB43" s="127">
        <v>120.89999999999999</v>
      </c>
      <c r="DC43" s="127">
        <v>120.89999999999999</v>
      </c>
      <c r="DD43" s="127">
        <v>147</v>
      </c>
      <c r="DE43" s="127"/>
      <c r="DF43" s="127"/>
      <c r="DG43" s="127"/>
      <c r="DH43" s="127"/>
      <c r="DI43" s="127"/>
      <c r="DK43" s="77">
        <v>13</v>
      </c>
      <c r="DL43" s="77">
        <v>123.667</v>
      </c>
      <c r="DM43" s="77">
        <v>122.81</v>
      </c>
      <c r="DN43" s="77">
        <v>6.2229999999999999</v>
      </c>
      <c r="DO43" s="77">
        <v>6.2229999999999999</v>
      </c>
      <c r="DP43" s="77">
        <v>23</v>
      </c>
      <c r="DR43" s="100" t="s">
        <v>262</v>
      </c>
      <c r="DS43" s="100">
        <v>120.89999999999999</v>
      </c>
      <c r="DT43" s="100">
        <v>120.89999999999999</v>
      </c>
      <c r="DU43" s="100">
        <v>147</v>
      </c>
      <c r="DV43" s="127"/>
      <c r="DW43" s="127"/>
      <c r="DX43" s="127"/>
      <c r="DY43" s="127"/>
      <c r="DZ43" s="127"/>
      <c r="EQ43" s="79"/>
      <c r="ER43" s="79"/>
    </row>
    <row r="44" spans="2:158" x14ac:dyDescent="0.3">
      <c r="B44" s="124">
        <v>14</v>
      </c>
      <c r="C44" s="124">
        <v>-43.8</v>
      </c>
      <c r="D44" s="124">
        <v>-47.8</v>
      </c>
      <c r="E44" s="124">
        <v>9.8000000000000007</v>
      </c>
      <c r="F44" s="124">
        <v>9.8000000000000007</v>
      </c>
      <c r="G44" s="124">
        <v>88</v>
      </c>
      <c r="H44" s="79">
        <f>IFERROR(MP_DATA[[#This Row],[Bottom '[m']]]-MP_DATA[[#This Row],[D, top '[m']]], "")</f>
        <v>-57.599999999999994</v>
      </c>
      <c r="I44" s="79">
        <f>IFERROR(-(MP_DATA[[#This Row],[D, bottom '[m']]]-MP_DATA[[#This Row],[D, top '[m']]])/(MP_DATA[[#This Row],[Bottom '[m']]]-MP_DATA[[#This Row],[Top '[m']]]),"")</f>
        <v>0</v>
      </c>
      <c r="J44" s="79">
        <f t="shared" si="0"/>
        <v>84.308403743718472</v>
      </c>
      <c r="K44" s="79">
        <f>IFERROR((MP_DATA[[#This Row],[D, bottom '[m']]]+MP_DATA[[#This Row],[D, top '[m']]])/(2*MP_DATA[[#This Row],[t '[mm']]]/1000),"")</f>
        <v>111.36363636363637</v>
      </c>
      <c r="L44" s="79" t="str">
        <f>IFERROR((MP_DATA[[#This Row],[D, bottom '[m']]]+#REF!)/(2*#REF!/1000),"")</f>
        <v/>
      </c>
      <c r="W44" s="77">
        <v>14</v>
      </c>
      <c r="X44" s="80">
        <v>-43.8</v>
      </c>
      <c r="Y44" s="80">
        <v>-47.8</v>
      </c>
      <c r="Z44" s="77">
        <v>9.8000000000000007</v>
      </c>
      <c r="AA44" s="77">
        <v>9.8000000000000007</v>
      </c>
      <c r="AB44" s="77">
        <v>88</v>
      </c>
      <c r="BB44" s="79" t="str">
        <f>IFERROR(TP_DATA[[#This Row],[Bottom '[m']]]-TP_DATA[[#This Row],[D, top '[m']]], "")</f>
        <v/>
      </c>
      <c r="BC44" s="79" t="str">
        <f>IFERROR(-(TP_DATA[[#This Row],[D, bottom '[m']]]-TP_DATA[[#This Row],[D, top '[m']]])/(TP_DATA[[#This Row],[Bottom '[m']]]-TP_DATA[[#This Row],[Top '[m']]]),"")</f>
        <v/>
      </c>
      <c r="BD44" s="79" t="str">
        <f t="shared" si="1"/>
        <v/>
      </c>
      <c r="BE44" s="79" t="str">
        <f>IFERROR((TP_DATA[[#This Row],[D, bottom '[m']]]+TP_DATA[[#This Row],[D, top '[m']]])/(2*TP_DATA[[#This Row],[t '[mm']]]/1000),"")</f>
        <v/>
      </c>
      <c r="BF44" s="79" t="str">
        <f>IFERROR((TP_DATA[[#This Row],[D, bottom '[m']]]+#REF!)/(2*#REF!/1000),"")</f>
        <v/>
      </c>
      <c r="BQ44" s="77"/>
      <c r="BR44" s="77"/>
      <c r="BS44" s="77"/>
      <c r="BT44" s="77"/>
      <c r="BU44" s="77"/>
      <c r="BV44" s="77"/>
      <c r="CP44" s="126">
        <v>14</v>
      </c>
      <c r="CQ44" s="120">
        <v>122.81</v>
      </c>
      <c r="CR44" s="120">
        <v>120.9</v>
      </c>
      <c r="CS44" s="120">
        <v>6.2229999999999999</v>
      </c>
      <c r="CT44" s="120">
        <v>6.2229999999999999</v>
      </c>
      <c r="CU44" s="120">
        <v>23</v>
      </c>
      <c r="CV44" s="79">
        <f>IFERROR(TOWER_DATA[[#This Row],[Top '[m']]]-TOWER_DATA[[#This Row],[Bottom '[m']]], "")</f>
        <v>1.9099999999999966</v>
      </c>
      <c r="CW44" s="79">
        <f>IFERROR(-(TOWER_DATA[[#This Row],[D, bottom '[m']]]-TOWER_DATA[[#This Row],[D, top '[m']]])/(TOWER_DATA[[#This Row],[Bottom '[m']]]-TOWER_DATA[[#This Row],[Top '[m']]]),"")</f>
        <v>0</v>
      </c>
      <c r="CX44" s="79">
        <f t="shared" si="2"/>
        <v>6.7169547437980182</v>
      </c>
      <c r="CY44" s="79">
        <f>IFERROR((TOWER_DATA[[#This Row],[D, bottom '[m']]]+TOWER_DATA[[#This Row],[D, top '[m']]])/(2*TOWER_DATA[[#This Row],[t '[mm']]]/1000),"")</f>
        <v>270.56521739130437</v>
      </c>
      <c r="CZ44" s="79" t="str">
        <f>IFERROR((TOWER_DATA[[#This Row],[D, bottom '[m']]]+#REF!)/(2*#REF!/1000),"")</f>
        <v/>
      </c>
      <c r="DA44" s="127" t="s">
        <v>262</v>
      </c>
      <c r="DB44" s="127">
        <v>119.88</v>
      </c>
      <c r="DC44" s="127">
        <v>119.88</v>
      </c>
      <c r="DD44" s="127">
        <v>1060</v>
      </c>
      <c r="DE44" s="127"/>
      <c r="DF44" s="127"/>
      <c r="DG44" s="127"/>
      <c r="DH44" s="127"/>
      <c r="DI44" s="127"/>
      <c r="DK44" s="77">
        <v>14</v>
      </c>
      <c r="DL44" s="77">
        <v>122.81</v>
      </c>
      <c r="DM44" s="77">
        <v>120.9</v>
      </c>
      <c r="DN44" s="77">
        <v>6.2229999999999999</v>
      </c>
      <c r="DO44" s="77">
        <v>6.2229999999999999</v>
      </c>
      <c r="DP44" s="77">
        <v>23</v>
      </c>
      <c r="DR44" s="100" t="s">
        <v>262</v>
      </c>
      <c r="DS44" s="100">
        <v>119.88</v>
      </c>
      <c r="DT44" s="100">
        <v>119.88</v>
      </c>
      <c r="DU44" s="100">
        <v>1060</v>
      </c>
      <c r="DV44" s="127"/>
      <c r="DW44" s="127"/>
      <c r="DX44" s="127"/>
      <c r="DY44" s="127"/>
      <c r="DZ44" s="127"/>
      <c r="EQ44" s="79"/>
      <c r="ER44" s="79"/>
    </row>
    <row r="45" spans="2:158" x14ac:dyDescent="0.3">
      <c r="B45" s="124">
        <v>15</v>
      </c>
      <c r="C45" s="124">
        <v>-47.8</v>
      </c>
      <c r="D45" s="124">
        <v>-51.8</v>
      </c>
      <c r="E45" s="124">
        <v>9.8000000000000007</v>
      </c>
      <c r="F45" s="124">
        <v>9.8000000000000007</v>
      </c>
      <c r="G45" s="124">
        <v>88</v>
      </c>
      <c r="H45" s="79">
        <f>IFERROR(MP_DATA[[#This Row],[Bottom '[m']]]-MP_DATA[[#This Row],[D, top '[m']]], "")</f>
        <v>-61.599999999999994</v>
      </c>
      <c r="I45" s="79">
        <f>IFERROR(-(MP_DATA[[#This Row],[D, bottom '[m']]]-MP_DATA[[#This Row],[D, top '[m']]])/(MP_DATA[[#This Row],[Bottom '[m']]]-MP_DATA[[#This Row],[Top '[m']]]),"")</f>
        <v>0</v>
      </c>
      <c r="J45" s="79">
        <f t="shared" si="0"/>
        <v>84.308403743718472</v>
      </c>
      <c r="K45" s="79">
        <f>IFERROR((MP_DATA[[#This Row],[D, bottom '[m']]]+MP_DATA[[#This Row],[D, top '[m']]])/(2*MP_DATA[[#This Row],[t '[mm']]]/1000),"")</f>
        <v>111.36363636363637</v>
      </c>
      <c r="L45" s="79" t="str">
        <f>IFERROR((MP_DATA[[#This Row],[D, bottom '[m']]]+#REF!)/(2*#REF!/1000),"")</f>
        <v/>
      </c>
      <c r="W45" s="77">
        <v>15</v>
      </c>
      <c r="X45" s="80">
        <v>-47.8</v>
      </c>
      <c r="Y45" s="80">
        <v>-51.8</v>
      </c>
      <c r="Z45" s="77">
        <v>9.8000000000000007</v>
      </c>
      <c r="AA45" s="77">
        <v>9.8000000000000007</v>
      </c>
      <c r="AB45" s="77">
        <v>88</v>
      </c>
      <c r="BB45" s="79" t="str">
        <f>IFERROR(TP_DATA[[#This Row],[Bottom '[m']]]-TP_DATA[[#This Row],[D, top '[m']]], "")</f>
        <v/>
      </c>
      <c r="BC45" s="79" t="str">
        <f>IFERROR(-(TP_DATA[[#This Row],[D, bottom '[m']]]-TP_DATA[[#This Row],[D, top '[m']]])/(TP_DATA[[#This Row],[Bottom '[m']]]-TP_DATA[[#This Row],[Top '[m']]]),"")</f>
        <v/>
      </c>
      <c r="BD45" s="79" t="str">
        <f t="shared" si="1"/>
        <v/>
      </c>
      <c r="BE45" s="79" t="str">
        <f>IFERROR((TP_DATA[[#This Row],[D, bottom '[m']]]+TP_DATA[[#This Row],[D, top '[m']]])/(2*TP_DATA[[#This Row],[t '[mm']]]/1000),"")</f>
        <v/>
      </c>
      <c r="BF45" s="79" t="str">
        <f>IFERROR((TP_DATA[[#This Row],[D, bottom '[m']]]+#REF!)/(2*#REF!/1000),"")</f>
        <v/>
      </c>
      <c r="BQ45" s="77"/>
      <c r="BR45" s="77"/>
      <c r="BS45" s="77"/>
      <c r="BT45" s="77"/>
      <c r="BU45" s="77"/>
      <c r="BV45" s="77"/>
      <c r="CP45" s="126">
        <v>15</v>
      </c>
      <c r="CQ45" s="120">
        <v>120.9</v>
      </c>
      <c r="CR45" s="120">
        <v>119.88000000000001</v>
      </c>
      <c r="CS45" s="120">
        <v>6.2229999999999999</v>
      </c>
      <c r="CT45" s="120">
        <v>6.2229999999999999</v>
      </c>
      <c r="CU45" s="120">
        <v>23</v>
      </c>
      <c r="CV45" s="79">
        <f>IFERROR(TOWER_DATA[[#This Row],[Top '[m']]]-TOWER_DATA[[#This Row],[Bottom '[m']]], "")</f>
        <v>1.019999999999996</v>
      </c>
      <c r="CW45" s="79">
        <f>IFERROR(-(TOWER_DATA[[#This Row],[D, bottom '[m']]]-TOWER_DATA[[#This Row],[D, top '[m']]])/(TOWER_DATA[[#This Row],[Bottom '[m']]]-TOWER_DATA[[#This Row],[Top '[m']]]),"")</f>
        <v>0</v>
      </c>
      <c r="CX45" s="79">
        <f t="shared" si="2"/>
        <v>3.587064837002075</v>
      </c>
      <c r="CY45" s="79">
        <f>IFERROR((TOWER_DATA[[#This Row],[D, bottom '[m']]]+TOWER_DATA[[#This Row],[D, top '[m']]])/(2*TOWER_DATA[[#This Row],[t '[mm']]]/1000),"")</f>
        <v>270.56521739130437</v>
      </c>
      <c r="CZ45" s="79" t="str">
        <f>IFERROR((TOWER_DATA[[#This Row],[D, bottom '[m']]]+#REF!)/(2*#REF!/1000),"")</f>
        <v/>
      </c>
      <c r="DA45" s="127" t="s">
        <v>262</v>
      </c>
      <c r="DB45" s="127">
        <v>116.94999999999999</v>
      </c>
      <c r="DC45" s="127">
        <v>116.94999999999999</v>
      </c>
      <c r="DD45" s="127">
        <v>147</v>
      </c>
      <c r="DE45" s="127"/>
      <c r="DF45" s="127"/>
      <c r="DG45" s="127"/>
      <c r="DH45" s="127"/>
      <c r="DI45" s="127"/>
      <c r="DK45" s="77">
        <v>15</v>
      </c>
      <c r="DL45" s="77">
        <v>120.9</v>
      </c>
      <c r="DM45" s="77">
        <v>119.88000000000001</v>
      </c>
      <c r="DN45" s="77">
        <v>6.2229999999999999</v>
      </c>
      <c r="DO45" s="77">
        <v>6.2229999999999999</v>
      </c>
      <c r="DP45" s="77">
        <v>23</v>
      </c>
      <c r="DR45" s="100" t="s">
        <v>262</v>
      </c>
      <c r="DS45" s="100">
        <v>116.94999999999999</v>
      </c>
      <c r="DT45" s="100">
        <v>116.94999999999999</v>
      </c>
      <c r="DU45" s="100">
        <v>147</v>
      </c>
      <c r="DV45" s="127"/>
      <c r="DW45" s="127"/>
      <c r="DX45" s="127"/>
      <c r="DY45" s="127"/>
      <c r="DZ45" s="127"/>
      <c r="EQ45" s="79"/>
      <c r="ER45" s="79"/>
    </row>
    <row r="46" spans="2:158" x14ac:dyDescent="0.3">
      <c r="B46" s="124">
        <v>16</v>
      </c>
      <c r="C46" s="124">
        <v>-51.8</v>
      </c>
      <c r="D46" s="124">
        <v>-55.8</v>
      </c>
      <c r="E46" s="124">
        <v>9.8000000000000007</v>
      </c>
      <c r="F46" s="124">
        <v>9.8000000000000007</v>
      </c>
      <c r="G46" s="124">
        <v>81</v>
      </c>
      <c r="H46" s="79">
        <f>IFERROR(MP_DATA[[#This Row],[Bottom '[m']]]-MP_DATA[[#This Row],[D, top '[m']]], "")</f>
        <v>-65.599999999999994</v>
      </c>
      <c r="I46" s="79">
        <f>IFERROR(-(MP_DATA[[#This Row],[D, bottom '[m']]]-MP_DATA[[#This Row],[D, top '[m']]])/(MP_DATA[[#This Row],[Bottom '[m']]]-MP_DATA[[#This Row],[Top '[m']]]),"")</f>
        <v>0</v>
      </c>
      <c r="J46" s="79">
        <f t="shared" si="0"/>
        <v>77.657985733209031</v>
      </c>
      <c r="K46" s="79">
        <f>IFERROR((MP_DATA[[#This Row],[D, bottom '[m']]]+MP_DATA[[#This Row],[D, top '[m']]])/(2*MP_DATA[[#This Row],[t '[mm']]]/1000),"")</f>
        <v>120.98765432098766</v>
      </c>
      <c r="L46" s="79" t="str">
        <f>IFERROR((MP_DATA[[#This Row],[D, bottom '[m']]]+#REF!)/(2*#REF!/1000),"")</f>
        <v/>
      </c>
      <c r="W46" s="77">
        <v>16</v>
      </c>
      <c r="X46" s="80">
        <v>-51.8</v>
      </c>
      <c r="Y46" s="80">
        <v>-55.8</v>
      </c>
      <c r="Z46" s="77">
        <v>9.8000000000000007</v>
      </c>
      <c r="AA46" s="77">
        <v>9.8000000000000007</v>
      </c>
      <c r="AB46" s="77">
        <v>81</v>
      </c>
      <c r="BB46" s="79" t="str">
        <f>IFERROR(TP_DATA[[#This Row],[Bottom '[m']]]-TP_DATA[[#This Row],[D, top '[m']]], "")</f>
        <v/>
      </c>
      <c r="BC46" s="79" t="str">
        <f>IFERROR(-(TP_DATA[[#This Row],[D, bottom '[m']]]-TP_DATA[[#This Row],[D, top '[m']]])/(TP_DATA[[#This Row],[Bottom '[m']]]-TP_DATA[[#This Row],[Top '[m']]]),"")</f>
        <v/>
      </c>
      <c r="BD46" s="79" t="str">
        <f t="shared" si="1"/>
        <v/>
      </c>
      <c r="BE46" s="79" t="str">
        <f>IFERROR((TP_DATA[[#This Row],[D, bottom '[m']]]+TP_DATA[[#This Row],[D, top '[m']]])/(2*TP_DATA[[#This Row],[t '[mm']]]/1000),"")</f>
        <v/>
      </c>
      <c r="BF46" s="79" t="str">
        <f>IFERROR((TP_DATA[[#This Row],[D, bottom '[m']]]+#REF!)/(2*#REF!/1000),"")</f>
        <v/>
      </c>
      <c r="BQ46" s="77"/>
      <c r="BR46" s="77"/>
      <c r="BS46" s="77"/>
      <c r="BT46" s="77"/>
      <c r="BU46" s="77"/>
      <c r="BV46" s="77"/>
      <c r="CP46" s="126">
        <v>16</v>
      </c>
      <c r="CQ46" s="120">
        <v>119.88000000000001</v>
      </c>
      <c r="CR46" s="120">
        <v>116.95</v>
      </c>
      <c r="CS46" s="120">
        <v>6.2229999999999999</v>
      </c>
      <c r="CT46" s="120">
        <v>6.2229999999999999</v>
      </c>
      <c r="CU46" s="120">
        <v>23</v>
      </c>
      <c r="CV46" s="79">
        <f>IFERROR(TOWER_DATA[[#This Row],[Top '[m']]]-TOWER_DATA[[#This Row],[Bottom '[m']]], "")</f>
        <v>2.9300000000000068</v>
      </c>
      <c r="CW46" s="79">
        <f>IFERROR(-(TOWER_DATA[[#This Row],[D, bottom '[m']]]-TOWER_DATA[[#This Row],[D, top '[m']]])/(TOWER_DATA[[#This Row],[Bottom '[m']]]-TOWER_DATA[[#This Row],[Top '[m']]]),"")</f>
        <v>0</v>
      </c>
      <c r="CX46" s="79">
        <f t="shared" si="2"/>
        <v>10.304019580800142</v>
      </c>
      <c r="CY46" s="79">
        <f>IFERROR((TOWER_DATA[[#This Row],[D, bottom '[m']]]+TOWER_DATA[[#This Row],[D, top '[m']]])/(2*TOWER_DATA[[#This Row],[t '[mm']]]/1000),"")</f>
        <v>270.56521739130437</v>
      </c>
      <c r="CZ46" s="79" t="str">
        <f>IFERROR((TOWER_DATA[[#This Row],[D, bottom '[m']]]+#REF!)/(2*#REF!/1000),"")</f>
        <v/>
      </c>
      <c r="DA46" s="127" t="s">
        <v>262</v>
      </c>
      <c r="DB46" s="127">
        <v>115.446</v>
      </c>
      <c r="DC46" s="127">
        <v>115.446</v>
      </c>
      <c r="DD46" s="127">
        <v>147</v>
      </c>
      <c r="DE46" s="127"/>
      <c r="DF46" s="127"/>
      <c r="DG46" s="127"/>
      <c r="DH46" s="127"/>
      <c r="DI46" s="127"/>
      <c r="DK46" s="77">
        <v>16</v>
      </c>
      <c r="DL46" s="77">
        <v>119.88000000000001</v>
      </c>
      <c r="DM46" s="77">
        <v>116.95</v>
      </c>
      <c r="DN46" s="77">
        <v>6.2229999999999999</v>
      </c>
      <c r="DO46" s="77">
        <v>6.2229999999999999</v>
      </c>
      <c r="DP46" s="77">
        <v>23</v>
      </c>
      <c r="DR46" s="100" t="s">
        <v>262</v>
      </c>
      <c r="DS46" s="100">
        <v>115.446</v>
      </c>
      <c r="DT46" s="100">
        <v>115.446</v>
      </c>
      <c r="DU46" s="100">
        <v>147</v>
      </c>
      <c r="DV46" s="127"/>
      <c r="DW46" s="127"/>
      <c r="DX46" s="127"/>
      <c r="DY46" s="127"/>
      <c r="DZ46" s="127"/>
      <c r="EQ46" s="79"/>
      <c r="ER46" s="79"/>
    </row>
    <row r="47" spans="2:158" x14ac:dyDescent="0.3">
      <c r="B47" s="124">
        <v>17</v>
      </c>
      <c r="C47" s="124">
        <v>-55.8</v>
      </c>
      <c r="D47" s="124">
        <v>-59.8</v>
      </c>
      <c r="E47" s="124">
        <v>9.8000000000000007</v>
      </c>
      <c r="F47" s="124">
        <v>9.8000000000000007</v>
      </c>
      <c r="G47" s="124">
        <v>81</v>
      </c>
      <c r="H47" s="79">
        <f>IFERROR(MP_DATA[[#This Row],[Bottom '[m']]]-MP_DATA[[#This Row],[D, top '[m']]], "")</f>
        <v>-69.599999999999994</v>
      </c>
      <c r="I47" s="79">
        <f>IFERROR(-(MP_DATA[[#This Row],[D, bottom '[m']]]-MP_DATA[[#This Row],[D, top '[m']]])/(MP_DATA[[#This Row],[Bottom '[m']]]-MP_DATA[[#This Row],[Top '[m']]]),"")</f>
        <v>0</v>
      </c>
      <c r="J47" s="79">
        <f t="shared" si="0"/>
        <v>77.657985733209031</v>
      </c>
      <c r="K47" s="79">
        <f>IFERROR((MP_DATA[[#This Row],[D, bottom '[m']]]+MP_DATA[[#This Row],[D, top '[m']]])/(2*MP_DATA[[#This Row],[t '[mm']]]/1000),"")</f>
        <v>120.98765432098766</v>
      </c>
      <c r="L47" s="79" t="str">
        <f>IFERROR((MP_DATA[[#This Row],[D, bottom '[m']]]+#REF!)/(2*#REF!/1000),"")</f>
        <v/>
      </c>
      <c r="W47" s="77">
        <v>17</v>
      </c>
      <c r="X47" s="80">
        <v>-55.8</v>
      </c>
      <c r="Y47" s="80">
        <v>-59.8</v>
      </c>
      <c r="Z47" s="77">
        <v>9.8000000000000007</v>
      </c>
      <c r="AA47" s="77">
        <v>9.8000000000000007</v>
      </c>
      <c r="AB47" s="77">
        <v>81</v>
      </c>
      <c r="BB47" s="79" t="str">
        <f>IFERROR(TP_DATA[[#This Row],[Bottom '[m']]]-TP_DATA[[#This Row],[D, top '[m']]], "")</f>
        <v/>
      </c>
      <c r="BC47" s="79" t="str">
        <f>IFERROR(-(TP_DATA[[#This Row],[D, bottom '[m']]]-TP_DATA[[#This Row],[D, top '[m']]])/(TP_DATA[[#This Row],[Bottom '[m']]]-TP_DATA[[#This Row],[Top '[m']]]),"")</f>
        <v/>
      </c>
      <c r="BD47" s="79" t="str">
        <f t="shared" si="1"/>
        <v/>
      </c>
      <c r="BE47" s="79" t="str">
        <f>IFERROR((TP_DATA[[#This Row],[D, bottom '[m']]]+TP_DATA[[#This Row],[D, top '[m']]])/(2*TP_DATA[[#This Row],[t '[mm']]]/1000),"")</f>
        <v/>
      </c>
      <c r="BF47" s="79" t="str">
        <f>IFERROR((TP_DATA[[#This Row],[D, bottom '[m']]]+#REF!)/(2*#REF!/1000),"")</f>
        <v/>
      </c>
      <c r="BQ47" s="77"/>
      <c r="BR47" s="77"/>
      <c r="BS47" s="77"/>
      <c r="BT47" s="77"/>
      <c r="BU47" s="77"/>
      <c r="BV47" s="77"/>
      <c r="CP47" s="126">
        <v>17</v>
      </c>
      <c r="CQ47" s="120">
        <v>116.95</v>
      </c>
      <c r="CR47" s="120">
        <v>115.44600000000001</v>
      </c>
      <c r="CS47" s="120">
        <v>6.2229999999999999</v>
      </c>
      <c r="CT47" s="120">
        <v>6.2229999999999999</v>
      </c>
      <c r="CU47" s="120">
        <v>23</v>
      </c>
      <c r="CV47" s="79">
        <f>IFERROR(TOWER_DATA[[#This Row],[Top '[m']]]-TOWER_DATA[[#This Row],[Bottom '[m']]], "")</f>
        <v>1.5039999999999907</v>
      </c>
      <c r="CW47" s="79">
        <f>IFERROR(-(TOWER_DATA[[#This Row],[D, bottom '[m']]]-TOWER_DATA[[#This Row],[D, top '[m']]])/(TOWER_DATA[[#This Row],[Bottom '[m']]]-TOWER_DATA[[#This Row],[Top '[m']]]),"")</f>
        <v>0</v>
      </c>
      <c r="CX47" s="79">
        <f t="shared" si="2"/>
        <v>5.2891622694618716</v>
      </c>
      <c r="CY47" s="79">
        <f>IFERROR((TOWER_DATA[[#This Row],[D, bottom '[m']]]+TOWER_DATA[[#This Row],[D, top '[m']]])/(2*TOWER_DATA[[#This Row],[t '[mm']]]/1000),"")</f>
        <v>270.56521739130437</v>
      </c>
      <c r="CZ47" s="79" t="str">
        <f>IFERROR((TOWER_DATA[[#This Row],[D, bottom '[m']]]+#REF!)/(2*#REF!/1000),"")</f>
        <v/>
      </c>
      <c r="DA47" s="127" t="s">
        <v>262</v>
      </c>
      <c r="DB47" s="127">
        <v>111.08999999999999</v>
      </c>
      <c r="DC47" s="127">
        <v>111.08999999999999</v>
      </c>
      <c r="DD47" s="127">
        <v>147</v>
      </c>
      <c r="DE47" s="127"/>
      <c r="DF47" s="127"/>
      <c r="DG47" s="127"/>
      <c r="DH47" s="127"/>
      <c r="DI47" s="127"/>
      <c r="DK47" s="77">
        <v>17</v>
      </c>
      <c r="DL47" s="77">
        <v>116.95</v>
      </c>
      <c r="DM47" s="77">
        <v>115.44600000000001</v>
      </c>
      <c r="DN47" s="77">
        <v>6.2229999999999999</v>
      </c>
      <c r="DO47" s="77">
        <v>6.2229999999999999</v>
      </c>
      <c r="DP47" s="77">
        <v>23</v>
      </c>
      <c r="DR47" s="100" t="s">
        <v>262</v>
      </c>
      <c r="DS47" s="100">
        <v>111.08999999999999</v>
      </c>
      <c r="DT47" s="100">
        <v>111.08999999999999</v>
      </c>
      <c r="DU47" s="100">
        <v>147</v>
      </c>
      <c r="DV47" s="127"/>
      <c r="DW47" s="127"/>
      <c r="DX47" s="127"/>
      <c r="DY47" s="127"/>
      <c r="DZ47" s="127"/>
      <c r="EQ47" s="79"/>
      <c r="ER47" s="79"/>
    </row>
    <row r="48" spans="2:158" x14ac:dyDescent="0.3">
      <c r="B48" s="124">
        <v>18</v>
      </c>
      <c r="C48" s="124">
        <v>-59.8</v>
      </c>
      <c r="D48" s="124">
        <v>-63.8</v>
      </c>
      <c r="E48" s="124">
        <v>9.8000000000000007</v>
      </c>
      <c r="F48" s="124">
        <v>9.8000000000000007</v>
      </c>
      <c r="G48" s="124">
        <v>81</v>
      </c>
      <c r="H48" s="79">
        <f>IFERROR(MP_DATA[[#This Row],[Bottom '[m']]]-MP_DATA[[#This Row],[D, top '[m']]], "")</f>
        <v>-73.599999999999994</v>
      </c>
      <c r="I48" s="79">
        <f>IFERROR(-(MP_DATA[[#This Row],[D, bottom '[m']]]-MP_DATA[[#This Row],[D, top '[m']]])/(MP_DATA[[#This Row],[Bottom '[m']]]-MP_DATA[[#This Row],[Top '[m']]]),"")</f>
        <v>0</v>
      </c>
      <c r="J48" s="79">
        <f t="shared" si="0"/>
        <v>77.657985733209031</v>
      </c>
      <c r="K48" s="79">
        <f>IFERROR((MP_DATA[[#This Row],[D, bottom '[m']]]+MP_DATA[[#This Row],[D, top '[m']]])/(2*MP_DATA[[#This Row],[t '[mm']]]/1000),"")</f>
        <v>120.98765432098766</v>
      </c>
      <c r="L48" s="79" t="str">
        <f>IFERROR((MP_DATA[[#This Row],[D, bottom '[m']]]+#REF!)/(2*#REF!/1000),"")</f>
        <v/>
      </c>
      <c r="W48" s="77">
        <v>18</v>
      </c>
      <c r="X48" s="80">
        <v>-59.8</v>
      </c>
      <c r="Y48" s="80">
        <v>-63.8</v>
      </c>
      <c r="Z48" s="77">
        <v>9.8000000000000007</v>
      </c>
      <c r="AA48" s="77">
        <v>9.8000000000000007</v>
      </c>
      <c r="AB48" s="77">
        <v>81</v>
      </c>
      <c r="BB48" s="79" t="str">
        <f>IFERROR(TP_DATA[[#This Row],[Bottom '[m']]]-TP_DATA[[#This Row],[D, top '[m']]], "")</f>
        <v/>
      </c>
      <c r="BC48" s="79" t="str">
        <f>IFERROR(-(TP_DATA[[#This Row],[D, bottom '[m']]]-TP_DATA[[#This Row],[D, top '[m']]])/(TP_DATA[[#This Row],[Bottom '[m']]]-TP_DATA[[#This Row],[Top '[m']]]),"")</f>
        <v/>
      </c>
      <c r="BD48" s="79" t="str">
        <f t="shared" si="1"/>
        <v/>
      </c>
      <c r="BE48" s="79" t="str">
        <f>IFERROR((TP_DATA[[#This Row],[D, bottom '[m']]]+TP_DATA[[#This Row],[D, top '[m']]])/(2*TP_DATA[[#This Row],[t '[mm']]]/1000),"")</f>
        <v/>
      </c>
      <c r="BF48" s="79" t="str">
        <f>IFERROR((TP_DATA[[#This Row],[D, bottom '[m']]]+#REF!)/(2*#REF!/1000),"")</f>
        <v/>
      </c>
      <c r="BQ48" s="77"/>
      <c r="BR48" s="77"/>
      <c r="BS48" s="77"/>
      <c r="BT48" s="77"/>
      <c r="BU48" s="77"/>
      <c r="BV48" s="77"/>
      <c r="CP48" s="126">
        <v>18</v>
      </c>
      <c r="CQ48" s="120">
        <v>115.44600000000001</v>
      </c>
      <c r="CR48" s="120">
        <v>114.02000000000001</v>
      </c>
      <c r="CS48" s="120">
        <v>6.2229999999999999</v>
      </c>
      <c r="CT48" s="120">
        <v>6.2240000000000002</v>
      </c>
      <c r="CU48" s="120">
        <v>23</v>
      </c>
      <c r="CV48" s="79">
        <f>IFERROR(TOWER_DATA[[#This Row],[Top '[m']]]-TOWER_DATA[[#This Row],[Bottom '[m']]], "")</f>
        <v>1.4260000000000019</v>
      </c>
      <c r="CW48" s="79">
        <f>IFERROR(-(TOWER_DATA[[#This Row],[D, bottom '[m']]]-TOWER_DATA[[#This Row],[D, top '[m']]])/(TOWER_DATA[[#This Row],[Bottom '[m']]]-TOWER_DATA[[#This Row],[Top '[m']]]),"")</f>
        <v>7.0126227208999476E-4</v>
      </c>
      <c r="CX48" s="79">
        <f t="shared" si="2"/>
        <v>5.0152617353149624</v>
      </c>
      <c r="CY48" s="79">
        <f>IFERROR((TOWER_DATA[[#This Row],[D, bottom '[m']]]+TOWER_DATA[[#This Row],[D, top '[m']]])/(2*TOWER_DATA[[#This Row],[t '[mm']]]/1000),"")</f>
        <v>270.58695652173913</v>
      </c>
      <c r="CZ48" s="79" t="str">
        <f>IFERROR((TOWER_DATA[[#This Row],[D, bottom '[m']]]+#REF!)/(2*#REF!/1000),"")</f>
        <v/>
      </c>
      <c r="DA48" s="127" t="s">
        <v>262</v>
      </c>
      <c r="DB48" s="127">
        <v>110.89999999999999</v>
      </c>
      <c r="DC48" s="127">
        <v>110.89999999999999</v>
      </c>
      <c r="DD48" s="127">
        <v>147</v>
      </c>
      <c r="DE48" s="127"/>
      <c r="DF48" s="127"/>
      <c r="DG48" s="127"/>
      <c r="DH48" s="127"/>
      <c r="DI48" s="127"/>
      <c r="DK48" s="77">
        <v>18</v>
      </c>
      <c r="DL48" s="77">
        <v>115.44600000000001</v>
      </c>
      <c r="DM48" s="77">
        <v>114.02000000000001</v>
      </c>
      <c r="DN48" s="77">
        <v>6.2229999999999999</v>
      </c>
      <c r="DO48" s="77">
        <v>6.2240000000000002</v>
      </c>
      <c r="DP48" s="77">
        <v>23</v>
      </c>
      <c r="DR48" s="100" t="s">
        <v>262</v>
      </c>
      <c r="DS48" s="100">
        <v>110.89999999999999</v>
      </c>
      <c r="DT48" s="100">
        <v>110.89999999999999</v>
      </c>
      <c r="DU48" s="100">
        <v>147</v>
      </c>
      <c r="DV48" s="127"/>
      <c r="DW48" s="127"/>
      <c r="DX48" s="127"/>
      <c r="DY48" s="127"/>
      <c r="DZ48" s="127"/>
      <c r="EQ48" s="79"/>
      <c r="ER48" s="79"/>
    </row>
    <row r="49" spans="2:148" x14ac:dyDescent="0.3">
      <c r="B49" s="124">
        <v>19</v>
      </c>
      <c r="C49" s="124">
        <v>-63.8</v>
      </c>
      <c r="D49" s="124">
        <v>-67.599999999999994</v>
      </c>
      <c r="E49" s="124">
        <v>9.8000000000000007</v>
      </c>
      <c r="F49" s="124">
        <v>9.8000000000000007</v>
      </c>
      <c r="G49" s="124">
        <v>81</v>
      </c>
      <c r="H49" s="79">
        <f>IFERROR(MP_DATA[[#This Row],[Bottom '[m']]]-MP_DATA[[#This Row],[D, top '[m']]], "")</f>
        <v>-77.399999999999991</v>
      </c>
      <c r="I49" s="79">
        <f>IFERROR(-(MP_DATA[[#This Row],[D, bottom '[m']]]-MP_DATA[[#This Row],[D, top '[m']]])/(MP_DATA[[#This Row],[Bottom '[m']]]-MP_DATA[[#This Row],[Top '[m']]]),"")</f>
        <v>0</v>
      </c>
      <c r="J49" s="79">
        <f t="shared" si="0"/>
        <v>73.775086446548514</v>
      </c>
      <c r="K49" s="79">
        <f>IFERROR((MP_DATA[[#This Row],[D, bottom '[m']]]+MP_DATA[[#This Row],[D, top '[m']]])/(2*MP_DATA[[#This Row],[t '[mm']]]/1000),"")</f>
        <v>120.98765432098766</v>
      </c>
      <c r="L49" s="79" t="str">
        <f>IFERROR((MP_DATA[[#This Row],[D, bottom '[m']]]+#REF!)/(2*#REF!/1000),"")</f>
        <v/>
      </c>
      <c r="W49" s="77">
        <v>19</v>
      </c>
      <c r="X49" s="80">
        <v>-63.8</v>
      </c>
      <c r="Y49" s="80">
        <v>-67.599999999999994</v>
      </c>
      <c r="Z49" s="77">
        <v>9.8000000000000007</v>
      </c>
      <c r="AA49" s="77">
        <v>9.8000000000000007</v>
      </c>
      <c r="AB49" s="77">
        <v>81</v>
      </c>
      <c r="BB49" s="79" t="str">
        <f>IFERROR(TP_DATA[[#This Row],[Bottom '[m']]]-TP_DATA[[#This Row],[D, top '[m']]], "")</f>
        <v/>
      </c>
      <c r="BC49" s="79" t="str">
        <f>IFERROR(-(TP_DATA[[#This Row],[D, bottom '[m']]]-TP_DATA[[#This Row],[D, top '[m']]])/(TP_DATA[[#This Row],[Bottom '[m']]]-TP_DATA[[#This Row],[Top '[m']]]),"")</f>
        <v/>
      </c>
      <c r="BD49" s="79" t="str">
        <f t="shared" si="1"/>
        <v/>
      </c>
      <c r="BE49" s="79" t="str">
        <f>IFERROR((TP_DATA[[#This Row],[D, bottom '[m']]]+TP_DATA[[#This Row],[D, top '[m']]])/(2*TP_DATA[[#This Row],[t '[mm']]]/1000),"")</f>
        <v/>
      </c>
      <c r="BF49" s="79" t="str">
        <f>IFERROR((TP_DATA[[#This Row],[D, bottom '[m']]]+#REF!)/(2*#REF!/1000),"")</f>
        <v/>
      </c>
      <c r="BQ49" s="77"/>
      <c r="BR49" s="77"/>
      <c r="BS49" s="77"/>
      <c r="BT49" s="77"/>
      <c r="BU49" s="77"/>
      <c r="BV49" s="77"/>
      <c r="CP49" s="126">
        <v>19</v>
      </c>
      <c r="CQ49" s="120">
        <v>114.02000000000001</v>
      </c>
      <c r="CR49" s="120">
        <v>111.09</v>
      </c>
      <c r="CS49" s="120">
        <v>6.2240000000000002</v>
      </c>
      <c r="CT49" s="120">
        <v>6.2249999999999996</v>
      </c>
      <c r="CU49" s="120">
        <v>24</v>
      </c>
      <c r="CV49" s="79">
        <f>IFERROR(TOWER_DATA[[#This Row],[Top '[m']]]-TOWER_DATA[[#This Row],[Bottom '[m']]], "")</f>
        <v>2.9300000000000068</v>
      </c>
      <c r="CW49" s="79">
        <f>IFERROR(-(TOWER_DATA[[#This Row],[D, bottom '[m']]]-TOWER_DATA[[#This Row],[D, top '[m']]])/(TOWER_DATA[[#This Row],[Bottom '[m']]]-TOWER_DATA[[#This Row],[Top '[m']]]),"")</f>
        <v>3.412969283274551E-4</v>
      </c>
      <c r="CX49" s="79">
        <f t="shared" si="2"/>
        <v>10.752887530560983</v>
      </c>
      <c r="CY49" s="79">
        <f>IFERROR((TOWER_DATA[[#This Row],[D, bottom '[m']]]+TOWER_DATA[[#This Row],[D, top '[m']]])/(2*TOWER_DATA[[#This Row],[t '[mm']]]/1000),"")</f>
        <v>259.35416666666669</v>
      </c>
      <c r="CZ49" s="79" t="str">
        <f>IFERROR((TOWER_DATA[[#This Row],[D, bottom '[m']]]+#REF!)/(2*#REF!/1000),"")</f>
        <v/>
      </c>
      <c r="DA49" s="127" t="s">
        <v>262</v>
      </c>
      <c r="DB49" s="127">
        <v>107.22399999999999</v>
      </c>
      <c r="DC49" s="127">
        <v>107.22399999999999</v>
      </c>
      <c r="DD49" s="127">
        <v>147</v>
      </c>
      <c r="DE49" s="127"/>
      <c r="DF49" s="127"/>
      <c r="DG49" s="127"/>
      <c r="DH49" s="127"/>
      <c r="DI49" s="127"/>
      <c r="DK49" s="77">
        <v>19</v>
      </c>
      <c r="DL49" s="77">
        <v>114.02000000000001</v>
      </c>
      <c r="DM49" s="77">
        <v>111.09</v>
      </c>
      <c r="DN49" s="77">
        <v>6.2240000000000002</v>
      </c>
      <c r="DO49" s="77">
        <v>6.2249999999999996</v>
      </c>
      <c r="DP49" s="77">
        <v>24</v>
      </c>
      <c r="DR49" s="100" t="s">
        <v>262</v>
      </c>
      <c r="DS49" s="100">
        <v>107.22399999999999</v>
      </c>
      <c r="DT49" s="100">
        <v>107.22399999999999</v>
      </c>
      <c r="DU49" s="100">
        <v>147</v>
      </c>
      <c r="DV49" s="127"/>
      <c r="DW49" s="127"/>
      <c r="DX49" s="127"/>
      <c r="DY49" s="127"/>
      <c r="DZ49" s="127"/>
      <c r="EQ49" s="79"/>
      <c r="ER49" s="79"/>
    </row>
    <row r="50" spans="2:148" x14ac:dyDescent="0.3">
      <c r="B50" s="124">
        <v>20</v>
      </c>
      <c r="C50" s="124">
        <v>-67.599999999999994</v>
      </c>
      <c r="D50" s="124">
        <v>-70.7</v>
      </c>
      <c r="E50" s="124">
        <v>9.8000000000000007</v>
      </c>
      <c r="F50" s="124">
        <v>9.8000000000000007</v>
      </c>
      <c r="G50" s="124">
        <v>81</v>
      </c>
      <c r="H50" s="79">
        <f>IFERROR(MP_DATA[[#This Row],[Bottom '[m']]]-MP_DATA[[#This Row],[D, top '[m']]], "")</f>
        <v>-80.5</v>
      </c>
      <c r="I50" s="79">
        <f>IFERROR(-(MP_DATA[[#This Row],[D, bottom '[m']]]-MP_DATA[[#This Row],[D, top '[m']]])/(MP_DATA[[#This Row],[Bottom '[m']]]-MP_DATA[[#This Row],[Top '[m']]]),"")</f>
        <v>0</v>
      </c>
      <c r="J50" s="79">
        <f t="shared" si="0"/>
        <v>60.184938943237157</v>
      </c>
      <c r="K50" s="79">
        <f>IFERROR((MP_DATA[[#This Row],[D, bottom '[m']]]+MP_DATA[[#This Row],[D, top '[m']]])/(2*MP_DATA[[#This Row],[t '[mm']]]/1000),"")</f>
        <v>120.98765432098766</v>
      </c>
      <c r="L50" s="79" t="str">
        <f>IFERROR((MP_DATA[[#This Row],[D, bottom '[m']]]+#REF!)/(2*#REF!/1000),"")</f>
        <v/>
      </c>
      <c r="W50" s="77">
        <v>20</v>
      </c>
      <c r="X50" s="80">
        <v>-67.599999999999994</v>
      </c>
      <c r="Y50" s="80">
        <v>-70.7</v>
      </c>
      <c r="Z50" s="77">
        <v>9.8000000000000007</v>
      </c>
      <c r="AA50" s="77">
        <v>9.8000000000000007</v>
      </c>
      <c r="AB50" s="77">
        <v>81</v>
      </c>
      <c r="BB50" s="79" t="str">
        <f>IFERROR(TP_DATA[[#This Row],[Bottom '[m']]]-TP_DATA[[#This Row],[D, top '[m']]], "")</f>
        <v/>
      </c>
      <c r="BC50" s="79" t="str">
        <f>IFERROR(-(TP_DATA[[#This Row],[D, bottom '[m']]]-TP_DATA[[#This Row],[D, top '[m']]])/(TP_DATA[[#This Row],[Bottom '[m']]]-TP_DATA[[#This Row],[Top '[m']]]),"")</f>
        <v/>
      </c>
      <c r="BD50" s="79" t="str">
        <f t="shared" si="1"/>
        <v/>
      </c>
      <c r="BE50" s="79" t="str">
        <f>IFERROR((TP_DATA[[#This Row],[D, bottom '[m']]]+TP_DATA[[#This Row],[D, top '[m']]])/(2*TP_DATA[[#This Row],[t '[mm']]]/1000),"")</f>
        <v/>
      </c>
      <c r="BF50" s="79" t="str">
        <f>IFERROR((TP_DATA[[#This Row],[D, bottom '[m']]]+#REF!)/(2*#REF!/1000),"")</f>
        <v/>
      </c>
      <c r="BQ50" s="77"/>
      <c r="BR50" s="77"/>
      <c r="BS50" s="77"/>
      <c r="BT50" s="77"/>
      <c r="BU50" s="77"/>
      <c r="BV50" s="77"/>
      <c r="CP50" s="126">
        <v>20</v>
      </c>
      <c r="CQ50" s="120">
        <v>111.09</v>
      </c>
      <c r="CR50" s="120">
        <v>110.9</v>
      </c>
      <c r="CS50" s="120">
        <v>6.2249999999999996</v>
      </c>
      <c r="CT50" s="120">
        <v>6.2249999999999996</v>
      </c>
      <c r="CU50" s="120">
        <v>25</v>
      </c>
      <c r="CV50" s="79">
        <f>IFERROR(TOWER_DATA[[#This Row],[Top '[m']]]-TOWER_DATA[[#This Row],[Bottom '[m']]], "")</f>
        <v>0.18999999999999773</v>
      </c>
      <c r="CW50" s="79">
        <f>IFERROR(-(TOWER_DATA[[#This Row],[D, bottom '[m']]]-TOWER_DATA[[#This Row],[D, top '[m']]])/(TOWER_DATA[[#This Row],[Bottom '[m']]]-TOWER_DATA[[#This Row],[Top '[m']]]),"")</f>
        <v>0</v>
      </c>
      <c r="CX50" s="79">
        <f t="shared" si="2"/>
        <v>0.72628124363851332</v>
      </c>
      <c r="CY50" s="79">
        <f>IFERROR((TOWER_DATA[[#This Row],[D, bottom '[m']]]+TOWER_DATA[[#This Row],[D, top '[m']]])/(2*TOWER_DATA[[#This Row],[t '[mm']]]/1000),"")</f>
        <v>248.99999999999997</v>
      </c>
      <c r="CZ50" s="79" t="str">
        <f>IFERROR((TOWER_DATA[[#This Row],[D, bottom '[m']]]+#REF!)/(2*#REF!/1000),"")</f>
        <v/>
      </c>
      <c r="DA50" s="127" t="s">
        <v>262</v>
      </c>
      <c r="DB50" s="127">
        <v>102.3</v>
      </c>
      <c r="DC50" s="127">
        <v>102.3</v>
      </c>
      <c r="DD50" s="127">
        <v>147</v>
      </c>
      <c r="DE50" s="127"/>
      <c r="DF50" s="127"/>
      <c r="DG50" s="127"/>
      <c r="DH50" s="127"/>
      <c r="DI50" s="127"/>
      <c r="DK50" s="77">
        <v>20</v>
      </c>
      <c r="DL50" s="77">
        <v>111.09</v>
      </c>
      <c r="DM50" s="77">
        <v>110.9</v>
      </c>
      <c r="DN50" s="77">
        <v>6.2249999999999996</v>
      </c>
      <c r="DO50" s="77">
        <v>6.2249999999999996</v>
      </c>
      <c r="DP50" s="77">
        <v>25</v>
      </c>
      <c r="DR50" s="100" t="s">
        <v>262</v>
      </c>
      <c r="DS50" s="100">
        <v>102.3</v>
      </c>
      <c r="DT50" s="100">
        <v>102.3</v>
      </c>
      <c r="DU50" s="100">
        <v>147</v>
      </c>
      <c r="DV50" s="127"/>
      <c r="DW50" s="127"/>
      <c r="DX50" s="127"/>
      <c r="DY50" s="127"/>
      <c r="DZ50" s="127"/>
      <c r="EQ50" s="79"/>
      <c r="ER50" s="79"/>
    </row>
    <row r="51" spans="2:148" x14ac:dyDescent="0.3">
      <c r="B51" s="124">
        <v>21</v>
      </c>
      <c r="C51" s="124">
        <v>-70.7</v>
      </c>
      <c r="D51" s="124">
        <v>-73.7</v>
      </c>
      <c r="E51" s="124">
        <v>9.8000000000000007</v>
      </c>
      <c r="F51" s="124">
        <v>9.8000000000000007</v>
      </c>
      <c r="G51" s="124">
        <v>87</v>
      </c>
      <c r="H51" s="79">
        <f>IFERROR(MP_DATA[[#This Row],[Bottom '[m']]]-MP_DATA[[#This Row],[D, top '[m']]], "")</f>
        <v>-83.5</v>
      </c>
      <c r="I51" s="79">
        <f>IFERROR(-(MP_DATA[[#This Row],[D, bottom '[m']]]-MP_DATA[[#This Row],[D, top '[m']]])/(MP_DATA[[#This Row],[Bottom '[m']]]-MP_DATA[[#This Row],[Top '[m']]]),"")</f>
        <v>0</v>
      </c>
      <c r="J51" s="79">
        <f t="shared" si="0"/>
        <v>62.519201927990139</v>
      </c>
      <c r="K51" s="79">
        <f>IFERROR((MP_DATA[[#This Row],[D, bottom '[m']]]+MP_DATA[[#This Row],[D, top '[m']]])/(2*MP_DATA[[#This Row],[t '[mm']]]/1000),"")</f>
        <v>112.64367816091955</v>
      </c>
      <c r="L51" s="79" t="str">
        <f>IFERROR((MP_DATA[[#This Row],[D, bottom '[m']]]+#REF!)/(2*#REF!/1000),"")</f>
        <v/>
      </c>
      <c r="W51" s="77">
        <v>21</v>
      </c>
      <c r="X51" s="80">
        <v>-70.7</v>
      </c>
      <c r="Y51" s="80">
        <v>-73.7</v>
      </c>
      <c r="Z51" s="77">
        <v>9.8000000000000007</v>
      </c>
      <c r="AA51" s="77">
        <v>9.8000000000000007</v>
      </c>
      <c r="AB51" s="77">
        <v>87</v>
      </c>
      <c r="BB51" s="79" t="str">
        <f>IFERROR(TP_DATA[[#This Row],[Bottom '[m']]]-TP_DATA[[#This Row],[D, top '[m']]], "")</f>
        <v/>
      </c>
      <c r="BC51" s="79" t="str">
        <f>IFERROR(-(TP_DATA[[#This Row],[D, bottom '[m']]]-TP_DATA[[#This Row],[D, top '[m']]])/(TP_DATA[[#This Row],[Bottom '[m']]]-TP_DATA[[#This Row],[Top '[m']]]),"")</f>
        <v/>
      </c>
      <c r="BD51" s="79" t="str">
        <f t="shared" si="1"/>
        <v/>
      </c>
      <c r="BE51" s="79" t="str">
        <f>IFERROR((TP_DATA[[#This Row],[D, bottom '[m']]]+TP_DATA[[#This Row],[D, top '[m']]])/(2*TP_DATA[[#This Row],[t '[mm']]]/1000),"")</f>
        <v/>
      </c>
      <c r="BF51" s="79" t="str">
        <f>IFERROR((TP_DATA[[#This Row],[D, bottom '[m']]]+#REF!)/(2*#REF!/1000),"")</f>
        <v/>
      </c>
      <c r="BQ51" s="77"/>
      <c r="BR51" s="77"/>
      <c r="BS51" s="77"/>
      <c r="BT51" s="77"/>
      <c r="BU51" s="77"/>
      <c r="BV51" s="77"/>
      <c r="CP51" s="126">
        <v>21</v>
      </c>
      <c r="CQ51" s="120">
        <v>110.9</v>
      </c>
      <c r="CR51" s="120">
        <v>108.16000000000001</v>
      </c>
      <c r="CS51" s="120">
        <v>6.2249999999999996</v>
      </c>
      <c r="CT51" s="120">
        <v>6.226</v>
      </c>
      <c r="CU51" s="120">
        <v>25</v>
      </c>
      <c r="CV51" s="79">
        <f>IFERROR(TOWER_DATA[[#This Row],[Top '[m']]]-TOWER_DATA[[#This Row],[Bottom '[m']]], "")</f>
        <v>2.7399999999999949</v>
      </c>
      <c r="CW51" s="79">
        <f>IFERROR(-(TOWER_DATA[[#This Row],[D, bottom '[m']]]-TOWER_DATA[[#This Row],[D, top '[m']]])/(TOWER_DATA[[#This Row],[Bottom '[m']]]-TOWER_DATA[[#This Row],[Top '[m']]]),"")</f>
        <v>3.6496350364975758E-4</v>
      </c>
      <c r="CX51" s="79">
        <f t="shared" si="2"/>
        <v>10.474584696294533</v>
      </c>
      <c r="CY51" s="79">
        <f>IFERROR((TOWER_DATA[[#This Row],[D, bottom '[m']]]+TOWER_DATA[[#This Row],[D, top '[m']]])/(2*TOWER_DATA[[#This Row],[t '[mm']]]/1000),"")</f>
        <v>249.02</v>
      </c>
      <c r="CZ51" s="79" t="str">
        <f>IFERROR((TOWER_DATA[[#This Row],[D, bottom '[m']]]+#REF!)/(2*#REF!/1000),"")</f>
        <v/>
      </c>
      <c r="DA51" s="127" t="s">
        <v>262</v>
      </c>
      <c r="DB51" s="127">
        <v>102.25999999999999</v>
      </c>
      <c r="DC51" s="127">
        <v>102.25999999999999</v>
      </c>
      <c r="DD51" s="127">
        <v>5610</v>
      </c>
      <c r="DE51" s="127"/>
      <c r="DF51" s="127"/>
      <c r="DG51" s="127"/>
      <c r="DH51" s="127"/>
      <c r="DI51" s="127"/>
      <c r="DK51" s="77">
        <v>21</v>
      </c>
      <c r="DL51" s="77">
        <v>110.9</v>
      </c>
      <c r="DM51" s="77">
        <v>108.16000000000001</v>
      </c>
      <c r="DN51" s="77">
        <v>6.2249999999999996</v>
      </c>
      <c r="DO51" s="77">
        <v>6.226</v>
      </c>
      <c r="DP51" s="77">
        <v>25</v>
      </c>
      <c r="DR51" s="100" t="s">
        <v>262</v>
      </c>
      <c r="DS51" s="100">
        <v>102.25999999999999</v>
      </c>
      <c r="DT51" s="100">
        <v>102.25999999999999</v>
      </c>
      <c r="DU51" s="100">
        <v>5610</v>
      </c>
      <c r="DV51" s="127"/>
      <c r="DW51" s="127"/>
      <c r="DX51" s="127"/>
      <c r="DY51" s="127"/>
      <c r="DZ51" s="127"/>
      <c r="EQ51" s="79"/>
      <c r="ER51" s="79"/>
    </row>
    <row r="52" spans="2:148" x14ac:dyDescent="0.3">
      <c r="B52" s="124">
        <v>22</v>
      </c>
      <c r="C52" s="124">
        <v>-73.7</v>
      </c>
      <c r="D52" s="124">
        <v>-76.8</v>
      </c>
      <c r="E52" s="124">
        <v>9.8000000000000007</v>
      </c>
      <c r="F52" s="124">
        <v>9.8000000000000007</v>
      </c>
      <c r="G52" s="124">
        <v>95</v>
      </c>
      <c r="H52" s="79">
        <f>IFERROR(MP_DATA[[#This Row],[Bottom '[m']]]-MP_DATA[[#This Row],[D, top '[m']]], "")</f>
        <v>-86.6</v>
      </c>
      <c r="I52" s="79">
        <f>IFERROR(-(MP_DATA[[#This Row],[D, bottom '[m']]]-MP_DATA[[#This Row],[D, top '[m']]])/(MP_DATA[[#This Row],[Bottom '[m']]]-MP_DATA[[#This Row],[Top '[m']]]),"")</f>
        <v>0</v>
      </c>
      <c r="J52" s="79">
        <f t="shared" si="0"/>
        <v>70.485594695118522</v>
      </c>
      <c r="K52" s="79">
        <f>IFERROR((MP_DATA[[#This Row],[D, bottom '[m']]]+MP_DATA[[#This Row],[D, top '[m']]])/(2*MP_DATA[[#This Row],[t '[mm']]]/1000),"")</f>
        <v>103.15789473684211</v>
      </c>
      <c r="L52" s="79" t="str">
        <f>IFERROR((MP_DATA[[#This Row],[D, bottom '[m']]]+#REF!)/(2*#REF!/1000),"")</f>
        <v/>
      </c>
      <c r="W52" s="77">
        <v>22</v>
      </c>
      <c r="X52" s="80">
        <v>-73.7</v>
      </c>
      <c r="Y52" s="80">
        <v>-76.8</v>
      </c>
      <c r="Z52" s="77">
        <v>9.8000000000000007</v>
      </c>
      <c r="AA52" s="77">
        <v>9.8000000000000007</v>
      </c>
      <c r="AB52" s="77">
        <v>95</v>
      </c>
      <c r="BB52" s="79" t="str">
        <f>IFERROR(TP_DATA[[#This Row],[Bottom '[m']]]-TP_DATA[[#This Row],[D, top '[m']]], "")</f>
        <v/>
      </c>
      <c r="BC52" s="79" t="str">
        <f>IFERROR(-(TP_DATA[[#This Row],[D, bottom '[m']]]-TP_DATA[[#This Row],[D, top '[m']]])/(TP_DATA[[#This Row],[Bottom '[m']]]-TP_DATA[[#This Row],[Top '[m']]]),"")</f>
        <v/>
      </c>
      <c r="BD52" s="79" t="str">
        <f t="shared" si="1"/>
        <v/>
      </c>
      <c r="BE52" s="79" t="str">
        <f>IFERROR((TP_DATA[[#This Row],[D, bottom '[m']]]+TP_DATA[[#This Row],[D, top '[m']]])/(2*TP_DATA[[#This Row],[t '[mm']]]/1000),"")</f>
        <v/>
      </c>
      <c r="BF52" s="79" t="str">
        <f>IFERROR((TP_DATA[[#This Row],[D, bottom '[m']]]+#REF!)/(2*#REF!/1000),"")</f>
        <v/>
      </c>
      <c r="BQ52" s="77"/>
      <c r="BR52" s="77"/>
      <c r="BS52" s="77"/>
      <c r="BT52" s="77"/>
      <c r="BU52" s="77"/>
      <c r="BV52" s="77"/>
      <c r="CP52" s="126">
        <v>22</v>
      </c>
      <c r="CQ52" s="120">
        <v>108.16000000000001</v>
      </c>
      <c r="CR52" s="120">
        <v>107.224</v>
      </c>
      <c r="CS52" s="120">
        <v>6.226</v>
      </c>
      <c r="CT52" s="120">
        <v>6.226</v>
      </c>
      <c r="CU52" s="120">
        <v>26</v>
      </c>
      <c r="CV52" s="79">
        <f>IFERROR(TOWER_DATA[[#This Row],[Top '[m']]]-TOWER_DATA[[#This Row],[Bottom '[m']]], "")</f>
        <v>0.93600000000000705</v>
      </c>
      <c r="CW52" s="79">
        <f>IFERROR(-(TOWER_DATA[[#This Row],[D, bottom '[m']]]-TOWER_DATA[[#This Row],[D, top '[m']]])/(TOWER_DATA[[#This Row],[Bottom '[m']]]-TOWER_DATA[[#This Row],[Top '[m']]]),"")</f>
        <v>0</v>
      </c>
      <c r="CX52" s="79">
        <f t="shared" si="2"/>
        <v>3.7210063884604585</v>
      </c>
      <c r="CY52" s="79">
        <f>IFERROR((TOWER_DATA[[#This Row],[D, bottom '[m']]]+TOWER_DATA[[#This Row],[D, top '[m']]])/(2*TOWER_DATA[[#This Row],[t '[mm']]]/1000),"")</f>
        <v>239.46153846153848</v>
      </c>
      <c r="CZ52" s="79" t="str">
        <f>IFERROR((TOWER_DATA[[#This Row],[D, bottom '[m']]]+#REF!)/(2*#REF!/1000),"")</f>
        <v/>
      </c>
      <c r="DA52" s="127" t="s">
        <v>262</v>
      </c>
      <c r="DB52" s="127">
        <v>102.1</v>
      </c>
      <c r="DC52" s="127">
        <v>102.1</v>
      </c>
      <c r="DD52" s="127">
        <v>8160</v>
      </c>
      <c r="DE52" s="127"/>
      <c r="DF52" s="127"/>
      <c r="DG52" s="127"/>
      <c r="DH52" s="127"/>
      <c r="DI52" s="127"/>
      <c r="DK52" s="77">
        <v>22</v>
      </c>
      <c r="DL52" s="77">
        <v>108.16000000000001</v>
      </c>
      <c r="DM52" s="77">
        <v>107.224</v>
      </c>
      <c r="DN52" s="77">
        <v>6.226</v>
      </c>
      <c r="DO52" s="77">
        <v>6.226</v>
      </c>
      <c r="DP52" s="77">
        <v>26</v>
      </c>
      <c r="DR52" s="100" t="s">
        <v>262</v>
      </c>
      <c r="DS52" s="100">
        <v>102.1</v>
      </c>
      <c r="DT52" s="100">
        <v>102.1</v>
      </c>
      <c r="DU52" s="100">
        <v>8160</v>
      </c>
      <c r="DV52" s="127"/>
      <c r="DW52" s="127"/>
      <c r="DX52" s="127"/>
      <c r="DY52" s="127"/>
      <c r="DZ52" s="127"/>
      <c r="EQ52" s="79"/>
      <c r="ER52" s="79"/>
    </row>
    <row r="53" spans="2:148" x14ac:dyDescent="0.3">
      <c r="B53" s="124">
        <v>23</v>
      </c>
      <c r="C53" s="120">
        <v>-76.8</v>
      </c>
      <c r="D53" s="124">
        <v>-79.8</v>
      </c>
      <c r="E53" s="120">
        <v>9.8000000000000007</v>
      </c>
      <c r="F53" s="124">
        <v>9.8000000000000007</v>
      </c>
      <c r="G53" s="120">
        <v>105</v>
      </c>
      <c r="H53" s="79">
        <f>IFERROR(MP_DATA[[#This Row],[Bottom '[m']]]-MP_DATA[[#This Row],[D, top '[m']]], "")</f>
        <v>-89.6</v>
      </c>
      <c r="I53">
        <f>IFERROR(-(MP_DATA[[#This Row],[D, bottom '[m']]]-MP_DATA[[#This Row],[D, top '[m']]])/(MP_DATA[[#This Row],[Bottom '[m']]]-MP_DATA[[#This Row],[Top '[m']]]),"")</f>
        <v>0</v>
      </c>
      <c r="J53" s="79">
        <f t="shared" si="0"/>
        <v>75.314378505222052</v>
      </c>
      <c r="K53" s="79">
        <f>IFERROR((MP_DATA[[#This Row],[D, bottom '[m']]]+MP_DATA[[#This Row],[D, top '[m']]])/(2*MP_DATA[[#This Row],[t '[mm']]]/1000),"")</f>
        <v>93.333333333333343</v>
      </c>
      <c r="L53" s="79" t="str">
        <f>IFERROR((MP_DATA[[#This Row],[D, bottom '[m']]]+#REF!)/(2*#REF!/1000),"")</f>
        <v/>
      </c>
      <c r="W53" s="77">
        <v>23</v>
      </c>
      <c r="X53" s="80">
        <v>-76.8</v>
      </c>
      <c r="Y53" s="80">
        <v>-79.8</v>
      </c>
      <c r="Z53" s="77">
        <v>9.8000000000000007</v>
      </c>
      <c r="AA53" s="77">
        <v>9.8000000000000007</v>
      </c>
      <c r="AB53" s="77">
        <v>105</v>
      </c>
      <c r="BB53" s="79" t="str">
        <f>IFERROR(TP_DATA[[#This Row],[Bottom '[m']]]-TP_DATA[[#This Row],[D, top '[m']]], "")</f>
        <v/>
      </c>
      <c r="BC53" s="79" t="str">
        <f>IFERROR(-(TP_DATA[[#This Row],[D, bottom '[m']]]-TP_DATA[[#This Row],[D, top '[m']]])/(TP_DATA[[#This Row],[Bottom '[m']]]-TP_DATA[[#This Row],[Top '[m']]]),"")</f>
        <v/>
      </c>
      <c r="BD53" s="79" t="str">
        <f t="shared" si="1"/>
        <v/>
      </c>
      <c r="BE53" s="79" t="str">
        <f>IFERROR((TP_DATA[[#This Row],[D, bottom '[m']]]+TP_DATA[[#This Row],[D, top '[m']]])/(2*TP_DATA[[#This Row],[t '[mm']]]/1000),"")</f>
        <v/>
      </c>
      <c r="BF53" s="79" t="str">
        <f>IFERROR((TP_DATA[[#This Row],[D, bottom '[m']]]+#REF!)/(2*#REF!/1000),"")</f>
        <v/>
      </c>
      <c r="BQ53" s="77"/>
      <c r="BR53" s="77"/>
      <c r="BS53" s="77"/>
      <c r="BT53" s="77"/>
      <c r="BU53" s="77"/>
      <c r="BV53" s="77"/>
      <c r="CP53" s="126">
        <v>23</v>
      </c>
      <c r="CQ53" s="120">
        <v>107.224</v>
      </c>
      <c r="CR53" s="120">
        <v>105.23</v>
      </c>
      <c r="CS53" s="120">
        <v>6.226</v>
      </c>
      <c r="CT53" s="120">
        <v>6.226</v>
      </c>
      <c r="CU53" s="120">
        <v>26</v>
      </c>
      <c r="CV53" s="79">
        <f>IFERROR(TOWER_DATA[[#This Row],[Top '[m']]]-TOWER_DATA[[#This Row],[Bottom '[m']]], "")</f>
        <v>1.9939999999999998</v>
      </c>
      <c r="CW53" s="79">
        <f>IFERROR(-(TOWER_DATA[[#This Row],[D, bottom '[m']]]-TOWER_DATA[[#This Row],[D, top '[m']]])/(TOWER_DATA[[#This Row],[Bottom '[m']]]-TOWER_DATA[[#This Row],[Top '[m']]]),"")</f>
        <v>0</v>
      </c>
      <c r="CX53" s="79">
        <f t="shared" si="2"/>
        <v>7.9270157463569424</v>
      </c>
      <c r="CY53" s="79">
        <f>IFERROR((TOWER_DATA[[#This Row],[D, bottom '[m']]]+TOWER_DATA[[#This Row],[D, top '[m']]])/(2*TOWER_DATA[[#This Row],[t '[mm']]]/1000),"")</f>
        <v>239.46153846153848</v>
      </c>
      <c r="CZ53" s="79" t="str">
        <f>IFERROR((TOWER_DATA[[#This Row],[D, bottom '[m']]]+#REF!)/(2*#REF!/1000),"")</f>
        <v/>
      </c>
      <c r="DA53" s="127" t="s">
        <v>262</v>
      </c>
      <c r="DB53" s="127">
        <v>101.94</v>
      </c>
      <c r="DC53" s="127">
        <v>101.94</v>
      </c>
      <c r="DD53" s="127">
        <v>5</v>
      </c>
      <c r="DE53" s="127"/>
      <c r="DF53" s="127"/>
      <c r="DG53" s="127"/>
      <c r="DH53" s="127"/>
      <c r="DI53" s="127"/>
      <c r="DK53" s="77">
        <v>23</v>
      </c>
      <c r="DL53" s="77">
        <v>107.224</v>
      </c>
      <c r="DM53" s="77">
        <v>105.23</v>
      </c>
      <c r="DN53" s="77">
        <v>6.226</v>
      </c>
      <c r="DO53" s="77">
        <v>6.226</v>
      </c>
      <c r="DP53" s="77">
        <v>26</v>
      </c>
      <c r="DR53" s="100" t="s">
        <v>262</v>
      </c>
      <c r="DS53" s="100">
        <v>101.94</v>
      </c>
      <c r="DT53" s="100">
        <v>101.94</v>
      </c>
      <c r="DU53" s="100">
        <v>5</v>
      </c>
      <c r="DV53" s="127"/>
      <c r="DW53" s="127"/>
      <c r="DX53" s="127"/>
      <c r="DY53" s="127"/>
      <c r="DZ53" s="127"/>
      <c r="EQ53" s="79"/>
      <c r="ER53" s="79"/>
    </row>
    <row r="54" spans="2:148" x14ac:dyDescent="0.3">
      <c r="B54" s="79"/>
      <c r="D54" s="79"/>
      <c r="F54" s="79"/>
      <c r="H54" s="79" t="str">
        <f>IFERROR(MP_DATA[[#This Row],[Bottom '[m']]]-MP_DATA[[#This Row],[D, top '[m']]], "")</f>
        <v/>
      </c>
      <c r="I54" t="str">
        <f>IFERROR(-(MP_DATA[[#This Row],[D, bottom '[m']]]-MP_DATA[[#This Row],[D, top '[m']]])/(MP_DATA[[#This Row],[Bottom '[m']]]-MP_DATA[[#This Row],[Top '[m']]]),"")</f>
        <v/>
      </c>
      <c r="J54" s="79" t="str">
        <f t="shared" si="0"/>
        <v/>
      </c>
      <c r="K54" s="79" t="str">
        <f>IFERROR((MP_DATA[[#This Row],[D, bottom '[m']]]+MP_DATA[[#This Row],[D, top '[m']]])/(2*MP_DATA[[#This Row],[t '[mm']]]/1000),"")</f>
        <v/>
      </c>
      <c r="L54" s="79" t="str">
        <f>IFERROR((MP_DATA[[#This Row],[D, bottom '[m']]]+#REF!)/(2*#REF!/1000),"")</f>
        <v/>
      </c>
      <c r="W54" s="77"/>
      <c r="X54" s="80"/>
      <c r="Y54" s="80"/>
      <c r="Z54" s="77"/>
      <c r="AA54" s="77"/>
      <c r="AB54" s="77"/>
      <c r="BB54" s="79" t="str">
        <f>IFERROR(TP_DATA[[#This Row],[Bottom '[m']]]-TP_DATA[[#This Row],[D, top '[m']]], "")</f>
        <v/>
      </c>
      <c r="BC54" s="79" t="str">
        <f>IFERROR(-(TP_DATA[[#This Row],[D, bottom '[m']]]-TP_DATA[[#This Row],[D, top '[m']]])/(TP_DATA[[#This Row],[Bottom '[m']]]-TP_DATA[[#This Row],[Top '[m']]]),"")</f>
        <v/>
      </c>
      <c r="BD54" s="79" t="str">
        <f t="shared" si="1"/>
        <v/>
      </c>
      <c r="BE54" s="79" t="str">
        <f>IFERROR((TP_DATA[[#This Row],[D, bottom '[m']]]+TP_DATA[[#This Row],[D, top '[m']]])/(2*TP_DATA[[#This Row],[t '[mm']]]/1000),"")</f>
        <v/>
      </c>
      <c r="BF54" s="79" t="str">
        <f>IFERROR((TP_DATA[[#This Row],[D, bottom '[m']]]+#REF!)/(2*#REF!/1000),"")</f>
        <v/>
      </c>
      <c r="BQ54" s="77"/>
      <c r="BR54" s="77"/>
      <c r="BS54" s="77"/>
      <c r="BT54" s="77"/>
      <c r="BU54" s="77"/>
      <c r="BV54" s="77"/>
      <c r="CP54" s="126">
        <v>24</v>
      </c>
      <c r="CQ54" s="120">
        <v>105.23</v>
      </c>
      <c r="CR54" s="120">
        <v>102.30000000000001</v>
      </c>
      <c r="CS54" s="120">
        <v>6.226</v>
      </c>
      <c r="CT54" s="120">
        <v>6.2279999999999998</v>
      </c>
      <c r="CU54" s="120">
        <v>26</v>
      </c>
      <c r="CV54" s="79">
        <f>IFERROR(TOWER_DATA[[#This Row],[Top '[m']]]-TOWER_DATA[[#This Row],[Bottom '[m']]], "")</f>
        <v>2.9299999999999926</v>
      </c>
      <c r="CW54" s="79">
        <f>IFERROR(-(TOWER_DATA[[#This Row],[D, bottom '[m']]]-TOWER_DATA[[#This Row],[D, top '[m']]])/(TOWER_DATA[[#This Row],[Bottom '[m']]]-TOWER_DATA[[#This Row],[Top '[m']]]),"")</f>
        <v>6.825938566552166E-4</v>
      </c>
      <c r="CX54" s="79">
        <f t="shared" si="2"/>
        <v>11.64990084806473</v>
      </c>
      <c r="CY54" s="79">
        <f>IFERROR((TOWER_DATA[[#This Row],[D, bottom '[m']]]+TOWER_DATA[[#This Row],[D, top '[m']]])/(2*TOWER_DATA[[#This Row],[t '[mm']]]/1000),"")</f>
        <v>239.50000000000003</v>
      </c>
      <c r="CZ54" s="79" t="str">
        <f>IFERROR((TOWER_DATA[[#This Row],[D, bottom '[m']]]+#REF!)/(2*#REF!/1000),"")</f>
        <v/>
      </c>
      <c r="DA54" s="127" t="s">
        <v>262</v>
      </c>
      <c r="DB54" s="127">
        <v>101.89999999999999</v>
      </c>
      <c r="DC54" s="127">
        <v>101.89999999999999</v>
      </c>
      <c r="DD54" s="127">
        <v>1</v>
      </c>
      <c r="DE54" s="127"/>
      <c r="DF54" s="127"/>
      <c r="DG54" s="127"/>
      <c r="DH54" s="127"/>
      <c r="DI54" s="127"/>
      <c r="DK54" s="77">
        <v>24</v>
      </c>
      <c r="DL54" s="77">
        <v>105.23</v>
      </c>
      <c r="DM54" s="77">
        <v>102.30000000000001</v>
      </c>
      <c r="DN54" s="77">
        <v>6.226</v>
      </c>
      <c r="DO54" s="77">
        <v>6.2279999999999998</v>
      </c>
      <c r="DP54" s="77">
        <v>26</v>
      </c>
      <c r="DR54" s="100" t="s">
        <v>262</v>
      </c>
      <c r="DS54" s="100">
        <v>101.89999999999999</v>
      </c>
      <c r="DT54" s="100">
        <v>101.89999999999999</v>
      </c>
      <c r="DU54" s="100">
        <v>1</v>
      </c>
      <c r="DV54" s="127"/>
      <c r="DW54" s="127"/>
      <c r="DX54" s="127"/>
      <c r="DY54" s="127"/>
      <c r="DZ54" s="127"/>
      <c r="EQ54" s="79"/>
      <c r="ER54" s="79"/>
    </row>
    <row r="55" spans="2:148" x14ac:dyDescent="0.3">
      <c r="B55" s="79"/>
      <c r="D55" s="79"/>
      <c r="F55" s="79"/>
      <c r="H55" s="79" t="str">
        <f>IFERROR(MP_DATA[[#This Row],[Bottom '[m']]]-MP_DATA[[#This Row],[D, top '[m']]], "")</f>
        <v/>
      </c>
      <c r="I55" t="str">
        <f>IFERROR(-(MP_DATA[[#This Row],[D, bottom '[m']]]-MP_DATA[[#This Row],[D, top '[m']]])/(MP_DATA[[#This Row],[Bottom '[m']]]-MP_DATA[[#This Row],[Top '[m']]]),"")</f>
        <v/>
      </c>
      <c r="J55" s="79" t="str">
        <f t="shared" si="0"/>
        <v/>
      </c>
      <c r="K55" s="79" t="str">
        <f>IFERROR((MP_DATA[[#This Row],[D, bottom '[m']]]+MP_DATA[[#This Row],[D, top '[m']]])/(2*MP_DATA[[#This Row],[t '[mm']]]/1000),"")</f>
        <v/>
      </c>
      <c r="L55" s="79" t="str">
        <f>IFERROR((MP_DATA[[#This Row],[D, bottom '[m']]]+#REF!)/(2*#REF!/1000),"")</f>
        <v/>
      </c>
      <c r="W55" s="77"/>
      <c r="X55" s="80"/>
      <c r="Y55" s="80"/>
      <c r="Z55" s="77"/>
      <c r="AA55" s="77"/>
      <c r="AB55" s="77"/>
      <c r="BB55" s="79" t="str">
        <f>IFERROR(TP_DATA[[#This Row],[Bottom '[m']]]-TP_DATA[[#This Row],[D, top '[m']]], "")</f>
        <v/>
      </c>
      <c r="BC55" s="79" t="str">
        <f>IFERROR(-(TP_DATA[[#This Row],[D, bottom '[m']]]-TP_DATA[[#This Row],[D, top '[m']]])/(TP_DATA[[#This Row],[Bottom '[m']]]-TP_DATA[[#This Row],[Top '[m']]]),"")</f>
        <v/>
      </c>
      <c r="BD55" s="79" t="str">
        <f t="shared" si="1"/>
        <v/>
      </c>
      <c r="BE55" s="79" t="str">
        <f>IFERROR((TP_DATA[[#This Row],[D, bottom '[m']]]+TP_DATA[[#This Row],[D, top '[m']]])/(2*TP_DATA[[#This Row],[t '[mm']]]/1000),"")</f>
        <v/>
      </c>
      <c r="BF55" s="79" t="str">
        <f>IFERROR((TP_DATA[[#This Row],[D, bottom '[m']]]+#REF!)/(2*#REF!/1000),"")</f>
        <v/>
      </c>
      <c r="BQ55" s="77"/>
      <c r="BR55" s="77"/>
      <c r="BS55" s="77"/>
      <c r="BT55" s="77"/>
      <c r="BU55" s="77"/>
      <c r="BV55" s="77"/>
      <c r="CP55" s="126">
        <v>25</v>
      </c>
      <c r="CQ55" s="120">
        <v>102.30000000000001</v>
      </c>
      <c r="CR55" s="120">
        <v>102.26</v>
      </c>
      <c r="CS55" s="120">
        <v>6.2279999999999998</v>
      </c>
      <c r="CT55" s="120">
        <v>6.2279999999999998</v>
      </c>
      <c r="CU55" s="120">
        <v>28</v>
      </c>
      <c r="CV55" s="79">
        <f>IFERROR(TOWER_DATA[[#This Row],[Top '[m']]]-TOWER_DATA[[#This Row],[Bottom '[m']]], "")</f>
        <v>4.0000000000006253E-2</v>
      </c>
      <c r="CW55" s="79">
        <f>IFERROR(-(TOWER_DATA[[#This Row],[D, bottom '[m']]]-TOWER_DATA[[#This Row],[D, top '[m']]])/(TOWER_DATA[[#This Row],[Bottom '[m']]]-TOWER_DATA[[#This Row],[Top '[m']]]),"")</f>
        <v>0</v>
      </c>
      <c r="CX55" s="79">
        <f t="shared" si="2"/>
        <v>0.17124947218426703</v>
      </c>
      <c r="CY55" s="79">
        <f>IFERROR((TOWER_DATA[[#This Row],[D, bottom '[m']]]+TOWER_DATA[[#This Row],[D, top '[m']]])/(2*TOWER_DATA[[#This Row],[t '[mm']]]/1000),"")</f>
        <v>222.42857142857142</v>
      </c>
      <c r="CZ55" s="79" t="str">
        <f>IFERROR((TOWER_DATA[[#This Row],[D, bottom '[m']]]+#REF!)/(2*#REF!/1000),"")</f>
        <v/>
      </c>
      <c r="DA55" s="127" t="s">
        <v>262</v>
      </c>
      <c r="DB55" s="127">
        <v>100.89999999999999</v>
      </c>
      <c r="DC55" s="127">
        <v>100.89999999999999</v>
      </c>
      <c r="DD55" s="127">
        <v>1003</v>
      </c>
      <c r="DE55" s="127"/>
      <c r="DF55" s="127"/>
      <c r="DG55" s="127"/>
      <c r="DH55" s="127"/>
      <c r="DI55" s="127"/>
      <c r="DK55" s="77">
        <v>25</v>
      </c>
      <c r="DL55" s="77">
        <v>102.30000000000001</v>
      </c>
      <c r="DM55" s="77">
        <v>102.26</v>
      </c>
      <c r="DN55" s="77">
        <v>6.2279999999999998</v>
      </c>
      <c r="DO55" s="77">
        <v>6.2279999999999998</v>
      </c>
      <c r="DP55" s="77">
        <v>28</v>
      </c>
      <c r="DR55" s="100" t="s">
        <v>262</v>
      </c>
      <c r="DS55" s="100">
        <v>100.89999999999999</v>
      </c>
      <c r="DT55" s="100">
        <v>100.89999999999999</v>
      </c>
      <c r="DU55" s="100">
        <v>1003</v>
      </c>
      <c r="DV55" s="127"/>
      <c r="DW55" s="127"/>
      <c r="DX55" s="127"/>
      <c r="DY55" s="127"/>
      <c r="DZ55" s="127"/>
      <c r="EQ55" s="79"/>
      <c r="ER55" s="79"/>
    </row>
    <row r="56" spans="2:148" x14ac:dyDescent="0.3">
      <c r="B56" s="79"/>
      <c r="D56" s="79"/>
      <c r="F56" s="79"/>
      <c r="H56" s="79" t="str">
        <f>IFERROR(MP_DATA[[#This Row],[Bottom '[m']]]-MP_DATA[[#This Row],[D, top '[m']]], "")</f>
        <v/>
      </c>
      <c r="I56" t="str">
        <f>IFERROR(-(MP_DATA[[#This Row],[D, bottom '[m']]]-MP_DATA[[#This Row],[D, top '[m']]])/(MP_DATA[[#This Row],[Bottom '[m']]]-MP_DATA[[#This Row],[Top '[m']]]),"")</f>
        <v/>
      </c>
      <c r="J56" s="79" t="str">
        <f t="shared" si="0"/>
        <v/>
      </c>
      <c r="K56" s="79" t="str">
        <f>IFERROR((MP_DATA[[#This Row],[D, bottom '[m']]]+MP_DATA[[#This Row],[D, top '[m']]])/(2*MP_DATA[[#This Row],[t '[mm']]]/1000),"")</f>
        <v/>
      </c>
      <c r="L56" s="79" t="str">
        <f>IFERROR((MP_DATA[[#This Row],[D, bottom '[m']]]+#REF!)/(2*#REF!/1000),"")</f>
        <v/>
      </c>
      <c r="BB56" s="79" t="str">
        <f>IFERROR(TP_DATA[[#This Row],[Bottom '[m']]]-TP_DATA[[#This Row],[D, top '[m']]], "")</f>
        <v/>
      </c>
      <c r="BC56" s="79" t="str">
        <f>IFERROR(-(TP_DATA[[#This Row],[D, bottom '[m']]]-TP_DATA[[#This Row],[D, top '[m']]])/(TP_DATA[[#This Row],[Bottom '[m']]]-TP_DATA[[#This Row],[Top '[m']]]),"")</f>
        <v/>
      </c>
      <c r="BD56" s="79" t="str">
        <f t="shared" si="1"/>
        <v/>
      </c>
      <c r="BE56" s="79" t="str">
        <f>IFERROR((TP_DATA[[#This Row],[D, bottom '[m']]]+TP_DATA[[#This Row],[D, top '[m']]])/(2*TP_DATA[[#This Row],[t '[mm']]]/1000),"")</f>
        <v/>
      </c>
      <c r="BF56" s="79" t="str">
        <f>IFERROR((TP_DATA[[#This Row],[D, bottom '[m']]]+#REF!)/(2*#REF!/1000),"")</f>
        <v/>
      </c>
      <c r="CP56" s="126">
        <v>26</v>
      </c>
      <c r="CQ56" s="120">
        <v>102.26</v>
      </c>
      <c r="CR56" s="120">
        <v>102.10000000000001</v>
      </c>
      <c r="CS56" s="120">
        <v>6.2279999999999998</v>
      </c>
      <c r="CT56" s="120">
        <v>6.2279999999999998</v>
      </c>
      <c r="CU56" s="120">
        <v>28</v>
      </c>
      <c r="CV56" s="79">
        <f>IFERROR(TOWER_DATA[[#This Row],[Top '[m']]]-TOWER_DATA[[#This Row],[Bottom '[m']]], "")</f>
        <v>0.15999999999999659</v>
      </c>
      <c r="CW56" s="79">
        <f>IFERROR(-(TOWER_DATA[[#This Row],[D, bottom '[m']]]-TOWER_DATA[[#This Row],[D, top '[m']]])/(TOWER_DATA[[#This Row],[Bottom '[m']]]-TOWER_DATA[[#This Row],[Top '[m']]]),"")</f>
        <v>0</v>
      </c>
      <c r="CX56" s="79">
        <f t="shared" si="2"/>
        <v>0.68499788873694645</v>
      </c>
      <c r="CY56" s="79">
        <f>IFERROR((TOWER_DATA[[#This Row],[D, bottom '[m']]]+TOWER_DATA[[#This Row],[D, top '[m']]])/(2*TOWER_DATA[[#This Row],[t '[mm']]]/1000),"")</f>
        <v>222.42857142857142</v>
      </c>
      <c r="CZ56" s="79" t="str">
        <f>IFERROR((TOWER_DATA[[#This Row],[D, bottom '[m']]]+#REF!)/(2*#REF!/1000),"")</f>
        <v/>
      </c>
      <c r="DA56" s="127" t="s">
        <v>262</v>
      </c>
      <c r="DB56" s="127">
        <v>99.002999999999986</v>
      </c>
      <c r="DC56" s="127">
        <v>99.002999999999986</v>
      </c>
      <c r="DD56" s="127">
        <v>137</v>
      </c>
      <c r="DE56" s="127"/>
      <c r="DF56" s="127"/>
      <c r="DG56" s="127"/>
      <c r="DH56" s="127"/>
      <c r="DI56" s="127"/>
      <c r="DK56" s="77">
        <v>26</v>
      </c>
      <c r="DL56" s="77">
        <v>102.26</v>
      </c>
      <c r="DM56" s="77">
        <v>102.10000000000001</v>
      </c>
      <c r="DN56" s="77">
        <v>6.2279999999999998</v>
      </c>
      <c r="DO56" s="77">
        <v>6.2279999999999998</v>
      </c>
      <c r="DP56" s="77">
        <v>28</v>
      </c>
      <c r="DR56" s="100" t="s">
        <v>262</v>
      </c>
      <c r="DS56" s="100">
        <v>99.002999999999986</v>
      </c>
      <c r="DT56" s="100">
        <v>99.002999999999986</v>
      </c>
      <c r="DU56" s="100">
        <v>137</v>
      </c>
      <c r="DV56" s="127"/>
      <c r="DW56" s="127"/>
      <c r="DX56" s="127"/>
      <c r="DY56" s="127"/>
      <c r="DZ56" s="127"/>
      <c r="EQ56" s="79"/>
      <c r="ER56" s="79"/>
    </row>
    <row r="57" spans="2:148" x14ac:dyDescent="0.3">
      <c r="B57" s="79"/>
      <c r="C57" s="79"/>
      <c r="D57" s="79"/>
      <c r="E57" s="79"/>
      <c r="F57" s="79"/>
      <c r="G57" s="79"/>
      <c r="H57" s="79" t="str">
        <f>IFERROR(MP_DATA[[#This Row],[Bottom '[m']]]-MP_DATA[[#This Row],[D, top '[m']]], "")</f>
        <v/>
      </c>
      <c r="I57" s="79" t="str">
        <f>IFERROR(-(MP_DATA[[#This Row],[D, bottom '[m']]]-MP_DATA[[#This Row],[D, top '[m']]])/(MP_DATA[[#This Row],[Bottom '[m']]]-MP_DATA[[#This Row],[Top '[m']]]),"")</f>
        <v/>
      </c>
      <c r="J57" s="79" t="str">
        <f t="shared" si="0"/>
        <v/>
      </c>
      <c r="K57" s="79" t="str">
        <f>IFERROR((MP_DATA[[#This Row],[D, bottom '[m']]]+MP_DATA[[#This Row],[D, top '[m']]])/(2*MP_DATA[[#This Row],[t '[mm']]]/1000),"")</f>
        <v/>
      </c>
      <c r="L57" s="79" t="str">
        <f>IFERROR((MP_DATA[[#This Row],[D, bottom '[m']]]+#REF!)/(2*#REF!/1000),"")</f>
        <v/>
      </c>
      <c r="BB57" s="79" t="str">
        <f>IFERROR(TP_DATA[[#This Row],[Bottom '[m']]]-TP_DATA[[#This Row],[D, top '[m']]], "")</f>
        <v/>
      </c>
      <c r="BC57" s="79" t="str">
        <f>IFERROR(-(TP_DATA[[#This Row],[D, bottom '[m']]]-TP_DATA[[#This Row],[D, top '[m']]])/(TP_DATA[[#This Row],[Bottom '[m']]]-TP_DATA[[#This Row],[Top '[m']]]),"")</f>
        <v/>
      </c>
      <c r="BD57" s="79" t="str">
        <f t="shared" si="1"/>
        <v/>
      </c>
      <c r="BE57" s="79" t="str">
        <f>IFERROR((TP_DATA[[#This Row],[D, bottom '[m']]]+TP_DATA[[#This Row],[D, top '[m']]])/(2*TP_DATA[[#This Row],[t '[mm']]]/1000),"")</f>
        <v/>
      </c>
      <c r="BF57" s="79" t="str">
        <f>IFERROR((TP_DATA[[#This Row],[D, bottom '[m']]]+#REF!)/(2*#REF!/1000),"")</f>
        <v/>
      </c>
      <c r="CP57" s="126">
        <v>27</v>
      </c>
      <c r="CQ57" s="120">
        <v>102.10000000000001</v>
      </c>
      <c r="CR57" s="120">
        <v>101.94000000000001</v>
      </c>
      <c r="CS57" s="120">
        <v>6.2279999999999998</v>
      </c>
      <c r="CT57" s="120">
        <v>6.2279999999999998</v>
      </c>
      <c r="CU57" s="120">
        <v>28</v>
      </c>
      <c r="CV57" s="79">
        <f>IFERROR(TOWER_DATA[[#This Row],[Top '[m']]]-TOWER_DATA[[#This Row],[Bottom '[m']]], "")</f>
        <v>0.15999999999999659</v>
      </c>
      <c r="CW57" s="79">
        <f>IFERROR(-(TOWER_DATA[[#This Row],[D, bottom '[m']]]-TOWER_DATA[[#This Row],[D, top '[m']]])/(TOWER_DATA[[#This Row],[Bottom '[m']]]-TOWER_DATA[[#This Row],[Top '[m']]]),"")</f>
        <v>0</v>
      </c>
      <c r="CX57" s="79">
        <f t="shared" si="2"/>
        <v>0.68499788873694645</v>
      </c>
      <c r="CY57" s="79">
        <f>IFERROR((TOWER_DATA[[#This Row],[D, bottom '[m']]]+TOWER_DATA[[#This Row],[D, top '[m']]])/(2*TOWER_DATA[[#This Row],[t '[mm']]]/1000),"")</f>
        <v>222.42857142857142</v>
      </c>
      <c r="CZ57" s="79" t="str">
        <f>IFERROR((TOWER_DATA[[#This Row],[D, bottom '[m']]]+#REF!)/(2*#REF!/1000),"")</f>
        <v/>
      </c>
      <c r="DA57" s="127" t="s">
        <v>262</v>
      </c>
      <c r="DB57" s="127">
        <v>94.891999999999996</v>
      </c>
      <c r="DC57" s="127">
        <v>94.891999999999996</v>
      </c>
      <c r="DD57" s="127">
        <v>138</v>
      </c>
      <c r="DE57" s="127"/>
      <c r="DF57" s="127"/>
      <c r="DG57" s="127"/>
      <c r="DH57" s="127"/>
      <c r="DI57" s="127"/>
      <c r="DK57" s="77">
        <v>27</v>
      </c>
      <c r="DL57" s="77">
        <v>102.10000000000001</v>
      </c>
      <c r="DM57" s="77">
        <v>101.94000000000001</v>
      </c>
      <c r="DN57" s="77">
        <v>6.2279999999999998</v>
      </c>
      <c r="DO57" s="77">
        <v>6.2279999999999998</v>
      </c>
      <c r="DP57" s="77">
        <v>28</v>
      </c>
      <c r="DR57" s="100" t="s">
        <v>262</v>
      </c>
      <c r="DS57" s="100">
        <v>94.891999999999996</v>
      </c>
      <c r="DT57" s="100">
        <v>94.891999999999996</v>
      </c>
      <c r="DU57" s="100">
        <v>138</v>
      </c>
      <c r="DV57" s="127"/>
      <c r="DW57" s="127"/>
      <c r="DX57" s="127"/>
      <c r="DY57" s="127"/>
      <c r="DZ57" s="127"/>
      <c r="EQ57" s="79"/>
      <c r="ER57" s="79"/>
    </row>
    <row r="58" spans="2:148" x14ac:dyDescent="0.3">
      <c r="B58" s="79"/>
      <c r="C58" s="79"/>
      <c r="D58" s="79"/>
      <c r="E58" s="79"/>
      <c r="F58" s="79"/>
      <c r="G58" s="79"/>
      <c r="H58" s="79" t="str">
        <f>IFERROR(MP_DATA[[#This Row],[Bottom '[m']]]-MP_DATA[[#This Row],[D, top '[m']]], "")</f>
        <v/>
      </c>
      <c r="I58" s="79" t="str">
        <f>IFERROR(-(MP_DATA[[#This Row],[D, bottom '[m']]]-MP_DATA[[#This Row],[D, top '[m']]])/(MP_DATA[[#This Row],[Bottom '[m']]]-MP_DATA[[#This Row],[Top '[m']]]),"")</f>
        <v/>
      </c>
      <c r="J58" s="79" t="str">
        <f t="shared" si="0"/>
        <v/>
      </c>
      <c r="K58" s="79" t="str">
        <f>IFERROR((MP_DATA[[#This Row],[D, bottom '[m']]]+MP_DATA[[#This Row],[D, top '[m']]])/(2*MP_DATA[[#This Row],[t '[mm']]]/1000),"")</f>
        <v/>
      </c>
      <c r="L58" s="79" t="str">
        <f>IFERROR((MP_DATA[[#This Row],[D, bottom '[m']]]+#REF!)/(2*#REF!/1000),"")</f>
        <v/>
      </c>
      <c r="BB58" s="79" t="str">
        <f>IFERROR(TP_DATA[[#This Row],[Bottom '[m']]]-TP_DATA[[#This Row],[D, top '[m']]], "")</f>
        <v/>
      </c>
      <c r="BC58" s="79" t="str">
        <f>IFERROR(-(TP_DATA[[#This Row],[D, bottom '[m']]]-TP_DATA[[#This Row],[D, top '[m']]])/(TP_DATA[[#This Row],[Bottom '[m']]]-TP_DATA[[#This Row],[Top '[m']]]),"")</f>
        <v/>
      </c>
      <c r="BD58" s="79" t="str">
        <f t="shared" si="1"/>
        <v/>
      </c>
      <c r="BE58" s="79" t="str">
        <f>IFERROR((TP_DATA[[#This Row],[D, bottom '[m']]]+TP_DATA[[#This Row],[D, top '[m']]])/(2*TP_DATA[[#This Row],[t '[mm']]]/1000),"")</f>
        <v/>
      </c>
      <c r="BF58" s="79" t="str">
        <f>IFERROR((TP_DATA[[#This Row],[D, bottom '[m']]]+#REF!)/(2*#REF!/1000),"")</f>
        <v/>
      </c>
      <c r="CP58" s="126">
        <v>28</v>
      </c>
      <c r="CQ58" s="120">
        <v>101.94000000000001</v>
      </c>
      <c r="CR58" s="120">
        <v>101.9</v>
      </c>
      <c r="CS58" s="120">
        <v>6.2279999999999998</v>
      </c>
      <c r="CT58" s="120">
        <v>6.23</v>
      </c>
      <c r="CU58" s="120">
        <v>28</v>
      </c>
      <c r="CV58" s="79">
        <f>IFERROR(TOWER_DATA[[#This Row],[Top '[m']]]-TOWER_DATA[[#This Row],[Bottom '[m']]], "")</f>
        <v>4.0000000000006253E-2</v>
      </c>
      <c r="CW58" s="79">
        <f>IFERROR(-(TOWER_DATA[[#This Row],[D, bottom '[m']]]-TOWER_DATA[[#This Row],[D, top '[m']]])/(TOWER_DATA[[#This Row],[Bottom '[m']]]-TOWER_DATA[[#This Row],[Top '[m']]]),"")</f>
        <v>5.0000000000008885E-2</v>
      </c>
      <c r="CX58" s="79">
        <f t="shared" si="2"/>
        <v>0.1712770930668801</v>
      </c>
      <c r="CY58" s="79">
        <f>IFERROR((TOWER_DATA[[#This Row],[D, bottom '[m']]]+TOWER_DATA[[#This Row],[D, top '[m']]])/(2*TOWER_DATA[[#This Row],[t '[mm']]]/1000),"")</f>
        <v>222.46428571428572</v>
      </c>
      <c r="CZ58" s="79" t="str">
        <f>IFERROR((TOWER_DATA[[#This Row],[D, bottom '[m']]]+#REF!)/(2*#REF!/1000),"")</f>
        <v/>
      </c>
      <c r="DA58" s="127" t="s">
        <v>262</v>
      </c>
      <c r="DB58" s="127">
        <v>91.005999999999986</v>
      </c>
      <c r="DC58" s="127">
        <v>91.005999999999986</v>
      </c>
      <c r="DD58" s="127">
        <v>138</v>
      </c>
      <c r="DE58" s="127"/>
      <c r="DF58" s="127"/>
      <c r="DG58" s="127"/>
      <c r="DH58" s="127"/>
      <c r="DI58" s="127"/>
      <c r="DK58" s="77">
        <v>28</v>
      </c>
      <c r="DL58" s="77">
        <v>101.94000000000001</v>
      </c>
      <c r="DM58" s="77">
        <v>101.9</v>
      </c>
      <c r="DN58" s="77">
        <v>6.2279999999999998</v>
      </c>
      <c r="DO58" s="77">
        <v>6.23</v>
      </c>
      <c r="DP58" s="77">
        <v>28</v>
      </c>
      <c r="DR58" s="100" t="s">
        <v>262</v>
      </c>
      <c r="DS58" s="100">
        <v>91.005999999999986</v>
      </c>
      <c r="DT58" s="100">
        <v>91.005999999999986</v>
      </c>
      <c r="DU58" s="100">
        <v>138</v>
      </c>
      <c r="DV58" s="127"/>
      <c r="DW58" s="127"/>
      <c r="DX58" s="127"/>
      <c r="DY58" s="127"/>
      <c r="DZ58" s="127"/>
      <c r="EQ58" s="79"/>
      <c r="ER58" s="79"/>
    </row>
    <row r="59" spans="2:148" x14ac:dyDescent="0.3">
      <c r="B59" s="79"/>
      <c r="C59" s="79"/>
      <c r="D59" s="79"/>
      <c r="E59" s="79"/>
      <c r="F59" s="79"/>
      <c r="G59" s="79"/>
      <c r="H59" s="79" t="str">
        <f>IFERROR(MP_DATA[[#This Row],[Bottom '[m']]]-MP_DATA[[#This Row],[D, top '[m']]], "")</f>
        <v/>
      </c>
      <c r="I59" s="79" t="str">
        <f>IFERROR(-(MP_DATA[[#This Row],[D, bottom '[m']]]-MP_DATA[[#This Row],[D, top '[m']]])/(MP_DATA[[#This Row],[Bottom '[m']]]-MP_DATA[[#This Row],[Top '[m']]]),"")</f>
        <v/>
      </c>
      <c r="J59" s="79" t="str">
        <f t="shared" si="0"/>
        <v/>
      </c>
      <c r="K59" s="79" t="str">
        <f>IFERROR((MP_DATA[[#This Row],[D, bottom '[m']]]+MP_DATA[[#This Row],[D, top '[m']]])/(2*MP_DATA[[#This Row],[t '[mm']]]/1000),"")</f>
        <v/>
      </c>
      <c r="L59" s="79" t="str">
        <f>IFERROR((MP_DATA[[#This Row],[D, bottom '[m']]]+#REF!)/(2*#REF!/1000),"")</f>
        <v/>
      </c>
      <c r="BB59" s="79" t="str">
        <f>IFERROR(TP_DATA[[#This Row],[Bottom '[m']]]-TP_DATA[[#This Row],[D, top '[m']]], "")</f>
        <v/>
      </c>
      <c r="BC59" s="79" t="str">
        <f>IFERROR(-(TP_DATA[[#This Row],[D, bottom '[m']]]-TP_DATA[[#This Row],[D, top '[m']]])/(TP_DATA[[#This Row],[Bottom '[m']]]-TP_DATA[[#This Row],[Top '[m']]]),"")</f>
        <v/>
      </c>
      <c r="BD59" s="79" t="str">
        <f t="shared" si="1"/>
        <v/>
      </c>
      <c r="BE59" s="79" t="str">
        <f>IFERROR((TP_DATA[[#This Row],[D, bottom '[m']]]+TP_DATA[[#This Row],[D, top '[m']]])/(2*TP_DATA[[#This Row],[t '[mm']]]/1000),"")</f>
        <v/>
      </c>
      <c r="BF59" s="79" t="str">
        <f>IFERROR((TP_DATA[[#This Row],[D, bottom '[m']]]+#REF!)/(2*#REF!/1000),"")</f>
        <v/>
      </c>
      <c r="CP59" s="126">
        <v>29</v>
      </c>
      <c r="CQ59" s="120">
        <v>101.9</v>
      </c>
      <c r="CR59" s="120">
        <v>100.9</v>
      </c>
      <c r="CS59" s="120">
        <v>6.23</v>
      </c>
      <c r="CT59" s="120">
        <v>6.2530000000000001</v>
      </c>
      <c r="CU59" s="120">
        <v>30.099999999999998</v>
      </c>
      <c r="CV59" s="79">
        <f>IFERROR(TOWER_DATA[[#This Row],[Top '[m']]]-TOWER_DATA[[#This Row],[Bottom '[m']]], "")</f>
        <v>1</v>
      </c>
      <c r="CW59" s="79">
        <f>IFERROR(-(TOWER_DATA[[#This Row],[D, bottom '[m']]]-TOWER_DATA[[#This Row],[D, top '[m']]])/(TOWER_DATA[[#This Row],[Bottom '[m']]]-TOWER_DATA[[#This Row],[Top '[m']]]),"")</f>
        <v>2.2999999999999687E-2</v>
      </c>
      <c r="CX59" s="79">
        <f t="shared" si="2"/>
        <v>4.610791912861246</v>
      </c>
      <c r="CY59" s="79">
        <f>IFERROR((TOWER_DATA[[#This Row],[D, bottom '[m']]]+TOWER_DATA[[#This Row],[D, top '[m']]])/(2*TOWER_DATA[[#This Row],[t '[mm']]]/1000),"")</f>
        <v>207.358803986711</v>
      </c>
      <c r="CZ59" s="79" t="str">
        <f>IFERROR((TOWER_DATA[[#This Row],[D, bottom '[m']]]+#REF!)/(2*#REF!/1000),"")</f>
        <v/>
      </c>
      <c r="DA59" s="127" t="s">
        <v>262</v>
      </c>
      <c r="DB59" s="127">
        <v>90.899999999999991</v>
      </c>
      <c r="DC59" s="127">
        <v>90.899999999999991</v>
      </c>
      <c r="DD59" s="127">
        <v>139</v>
      </c>
      <c r="DE59" s="127"/>
      <c r="DF59" s="127"/>
      <c r="DG59" s="127"/>
      <c r="DH59" s="127"/>
      <c r="DI59" s="127"/>
      <c r="DK59" s="77">
        <v>29</v>
      </c>
      <c r="DL59" s="77">
        <v>101.9</v>
      </c>
      <c r="DM59" s="77">
        <v>100.9</v>
      </c>
      <c r="DN59" s="77">
        <v>6.23</v>
      </c>
      <c r="DO59" s="77">
        <v>6.2530000000000001</v>
      </c>
      <c r="DP59" s="77">
        <v>30.099999999999998</v>
      </c>
      <c r="DR59" s="100" t="s">
        <v>262</v>
      </c>
      <c r="DS59" s="100">
        <v>90.899999999999991</v>
      </c>
      <c r="DT59" s="100">
        <v>90.899999999999991</v>
      </c>
      <c r="DU59" s="100">
        <v>139</v>
      </c>
      <c r="DV59" s="127"/>
      <c r="DW59" s="127"/>
      <c r="DX59" s="127"/>
      <c r="DY59" s="127"/>
      <c r="DZ59" s="127"/>
      <c r="EQ59" s="79"/>
      <c r="ER59" s="79"/>
    </row>
    <row r="60" spans="2:148" x14ac:dyDescent="0.3">
      <c r="B60" s="79"/>
      <c r="C60" s="79"/>
      <c r="D60" s="79"/>
      <c r="E60" s="79"/>
      <c r="F60" s="79"/>
      <c r="G60" s="79"/>
      <c r="H60" s="79" t="str">
        <f>IFERROR(MP_DATA[[#This Row],[Bottom '[m']]]-MP_DATA[[#This Row],[D, top '[m']]], "")</f>
        <v/>
      </c>
      <c r="I60" s="79" t="str">
        <f>IFERROR(-(MP_DATA[[#This Row],[D, bottom '[m']]]-MP_DATA[[#This Row],[D, top '[m']]])/(MP_DATA[[#This Row],[Bottom '[m']]]-MP_DATA[[#This Row],[Top '[m']]]),"")</f>
        <v/>
      </c>
      <c r="J60" s="79" t="str">
        <f t="shared" si="0"/>
        <v/>
      </c>
      <c r="K60" s="79" t="str">
        <f>IFERROR((MP_DATA[[#This Row],[D, bottom '[m']]]+MP_DATA[[#This Row],[D, top '[m']]])/(2*MP_DATA[[#This Row],[t '[mm']]]/1000),"")</f>
        <v/>
      </c>
      <c r="L60" s="79"/>
      <c r="BB60" s="79" t="str">
        <f>IFERROR(TP_DATA[[#This Row],[Bottom '[m']]]-TP_DATA[[#This Row],[D, top '[m']]], "")</f>
        <v/>
      </c>
      <c r="BC60" s="79" t="str">
        <f>IFERROR(-(TP_DATA[[#This Row],[D, bottom '[m']]]-TP_DATA[[#This Row],[D, top '[m']]])/(TP_DATA[[#This Row],[Bottom '[m']]]-TP_DATA[[#This Row],[Top '[m']]]),"")</f>
        <v/>
      </c>
      <c r="BD60" s="79" t="str">
        <f t="shared" si="1"/>
        <v/>
      </c>
      <c r="BE60" s="79" t="str">
        <f>IFERROR((TP_DATA[[#This Row],[D, bottom '[m']]]+TP_DATA[[#This Row],[D, top '[m']]])/(2*TP_DATA[[#This Row],[t '[mm']]]/1000),"")</f>
        <v/>
      </c>
      <c r="BF60" s="79"/>
      <c r="CP60" s="126">
        <v>30</v>
      </c>
      <c r="CQ60" s="120">
        <v>100.9</v>
      </c>
      <c r="CR60" s="120">
        <v>99.172000000000011</v>
      </c>
      <c r="CS60" s="120">
        <v>6.2530000000000001</v>
      </c>
      <c r="CT60" s="120">
        <v>6.2889999999999997</v>
      </c>
      <c r="CU60" s="120">
        <v>30.099999999999998</v>
      </c>
      <c r="CV60" s="79">
        <f>IFERROR(TOWER_DATA[[#This Row],[Top '[m']]]-TOWER_DATA[[#This Row],[Bottom '[m']]], "")</f>
        <v>1.7279999999999944</v>
      </c>
      <c r="CW60" s="79">
        <f>IFERROR(-(TOWER_DATA[[#This Row],[D, bottom '[m']]]-TOWER_DATA[[#This Row],[D, top '[m']]])/(TOWER_DATA[[#This Row],[Bottom '[m']]]-TOWER_DATA[[#This Row],[Top '[m']]]),"")</f>
        <v>2.0833333333333162E-2</v>
      </c>
      <c r="CX60" s="79">
        <f t="shared" si="2"/>
        <v>8.0052884821827153</v>
      </c>
      <c r="CY60" s="79">
        <f>IFERROR((TOWER_DATA[[#This Row],[D, bottom '[m']]]+TOWER_DATA[[#This Row],[D, top '[m']]])/(2*TOWER_DATA[[#This Row],[t '[mm']]]/1000),"")</f>
        <v>208.3388704318937</v>
      </c>
      <c r="CZ60" s="79"/>
      <c r="DA60" s="127" t="s">
        <v>262</v>
      </c>
      <c r="DB60" s="127">
        <v>86.670999999999992</v>
      </c>
      <c r="DC60" s="127">
        <v>86.670999999999992</v>
      </c>
      <c r="DD60" s="127">
        <v>139</v>
      </c>
      <c r="DE60" s="127"/>
      <c r="DF60" s="127"/>
      <c r="DG60" s="127"/>
      <c r="DH60" s="127"/>
      <c r="DI60" s="127"/>
      <c r="DK60" s="77">
        <v>30</v>
      </c>
      <c r="DL60" s="77">
        <v>100.9</v>
      </c>
      <c r="DM60" s="77">
        <v>99.172000000000011</v>
      </c>
      <c r="DN60" s="77">
        <v>6.2530000000000001</v>
      </c>
      <c r="DO60" s="77">
        <v>6.2889999999999997</v>
      </c>
      <c r="DP60" s="77">
        <v>30.099999999999998</v>
      </c>
      <c r="DR60" s="100" t="s">
        <v>262</v>
      </c>
      <c r="DS60" s="100">
        <v>86.670999999999992</v>
      </c>
      <c r="DT60" s="100">
        <v>86.670999999999992</v>
      </c>
      <c r="DU60" s="100">
        <v>139</v>
      </c>
      <c r="DV60" s="127"/>
      <c r="DW60" s="127"/>
      <c r="DX60" s="127"/>
      <c r="DY60" s="127"/>
      <c r="DZ60" s="127"/>
      <c r="EQ60" s="79"/>
      <c r="ER60" s="79"/>
    </row>
    <row r="61" spans="2:148" x14ac:dyDescent="0.3">
      <c r="B61" s="79"/>
      <c r="C61" s="79"/>
      <c r="D61" s="79"/>
      <c r="E61" s="79"/>
      <c r="F61" s="79"/>
      <c r="G61" s="79"/>
      <c r="H61" s="79" t="str">
        <f>IFERROR(MP_DATA[[#This Row],[Bottom '[m']]]-MP_DATA[[#This Row],[D, top '[m']]], "")</f>
        <v/>
      </c>
      <c r="I61" s="79" t="str">
        <f>IFERROR(-(MP_DATA[[#This Row],[D, bottom '[m']]]-MP_DATA[[#This Row],[D, top '[m']]])/(MP_DATA[[#This Row],[Bottom '[m']]]-MP_DATA[[#This Row],[Top '[m']]]),"")</f>
        <v/>
      </c>
      <c r="J61" s="79" t="str">
        <f t="shared" si="0"/>
        <v/>
      </c>
      <c r="K61" s="79" t="str">
        <f>IFERROR((MP_DATA[[#This Row],[D, bottom '[m']]]+MP_DATA[[#This Row],[D, top '[m']]])/(2*MP_DATA[[#This Row],[t '[mm']]]/1000),"")</f>
        <v/>
      </c>
      <c r="L61" s="79"/>
      <c r="BB61" s="79" t="str">
        <f>IFERROR(TP_DATA[[#This Row],[Bottom '[m']]]-TP_DATA[[#This Row],[D, top '[m']]], "")</f>
        <v/>
      </c>
      <c r="BC61" s="79" t="str">
        <f>IFERROR(-(TP_DATA[[#This Row],[D, bottom '[m']]]-TP_DATA[[#This Row],[D, top '[m']]])/(TP_DATA[[#This Row],[Bottom '[m']]]-TP_DATA[[#This Row],[Top '[m']]]),"")</f>
        <v/>
      </c>
      <c r="BD61" s="79" t="str">
        <f t="shared" si="1"/>
        <v/>
      </c>
      <c r="BE61" s="79" t="str">
        <f>IFERROR((TP_DATA[[#This Row],[D, bottom '[m']]]+TP_DATA[[#This Row],[D, top '[m']]])/(2*TP_DATA[[#This Row],[t '[mm']]]/1000),"")</f>
        <v/>
      </c>
      <c r="BF61" s="79"/>
      <c r="CP61" s="126">
        <v>31</v>
      </c>
      <c r="CQ61" s="120">
        <v>99.172000000000011</v>
      </c>
      <c r="CR61" s="120">
        <v>99.003</v>
      </c>
      <c r="CS61" s="120">
        <v>6.2889999999999997</v>
      </c>
      <c r="CT61" s="120">
        <v>6.2919999999999998</v>
      </c>
      <c r="CU61" s="120">
        <v>26.5</v>
      </c>
      <c r="CV61" s="79">
        <f>IFERROR(TOWER_DATA[[#This Row],[Top '[m']]]-TOWER_DATA[[#This Row],[Bottom '[m']]], "")</f>
        <v>0.16900000000001114</v>
      </c>
      <c r="CW61" s="79">
        <f>IFERROR(-(TOWER_DATA[[#This Row],[D, bottom '[m']]]-TOWER_DATA[[#This Row],[D, top '[m']]])/(TOWER_DATA[[#This Row],[Bottom '[m']]]-TOWER_DATA[[#This Row],[Top '[m']]]),"")</f>
        <v>1.7751479289940329E-2</v>
      </c>
      <c r="CX61" s="79">
        <f t="shared" si="2"/>
        <v>0.69183711520936486</v>
      </c>
      <c r="CY61" s="79">
        <f>IFERROR((TOWER_DATA[[#This Row],[D, bottom '[m']]]+TOWER_DATA[[#This Row],[D, top '[m']]])/(2*TOWER_DATA[[#This Row],[t '[mm']]]/1000),"")</f>
        <v>237.37735849056602</v>
      </c>
      <c r="CZ61" s="79"/>
      <c r="DA61" s="127" t="s">
        <v>262</v>
      </c>
      <c r="DB61" s="127">
        <v>82.839999999999989</v>
      </c>
      <c r="DC61" s="127">
        <v>82.839999999999989</v>
      </c>
      <c r="DD61" s="127">
        <v>140</v>
      </c>
      <c r="DE61" s="127"/>
      <c r="DF61" s="127"/>
      <c r="DG61" s="127"/>
      <c r="DH61" s="127"/>
      <c r="DI61" s="127"/>
      <c r="DK61" s="77">
        <v>31</v>
      </c>
      <c r="DL61" s="77">
        <v>99.172000000000011</v>
      </c>
      <c r="DM61" s="77">
        <v>99.003</v>
      </c>
      <c r="DN61" s="77">
        <v>6.2889999999999997</v>
      </c>
      <c r="DO61" s="77">
        <v>6.2919999999999998</v>
      </c>
      <c r="DP61" s="77">
        <v>26.5</v>
      </c>
      <c r="DR61" s="100" t="s">
        <v>262</v>
      </c>
      <c r="DS61" s="100">
        <v>82.839999999999989</v>
      </c>
      <c r="DT61" s="100">
        <v>82.839999999999989</v>
      </c>
      <c r="DU61" s="100">
        <v>140</v>
      </c>
      <c r="DV61" s="127"/>
      <c r="DW61" s="127"/>
      <c r="DX61" s="127"/>
      <c r="DY61" s="127"/>
      <c r="DZ61" s="127"/>
      <c r="EQ61" s="79"/>
      <c r="ER61" s="79"/>
    </row>
    <row r="62" spans="2:148" x14ac:dyDescent="0.3">
      <c r="B62" s="79"/>
      <c r="C62" s="79"/>
      <c r="D62" s="79"/>
      <c r="E62" s="79"/>
      <c r="F62" s="79"/>
      <c r="G62" s="79"/>
      <c r="H62" s="79" t="str">
        <f>IFERROR(MP_DATA[[#This Row],[Bottom '[m']]]-MP_DATA[[#This Row],[D, top '[m']]], "")</f>
        <v/>
      </c>
      <c r="I62" s="79" t="str">
        <f>IFERROR(-(MP_DATA[[#This Row],[D, bottom '[m']]]-MP_DATA[[#This Row],[D, top '[m']]])/(MP_DATA[[#This Row],[Bottom '[m']]]-MP_DATA[[#This Row],[Top '[m']]]),"")</f>
        <v/>
      </c>
      <c r="J62" s="79" t="str">
        <f t="shared" ref="J62:J93" si="3">IF(7850/1000*(1/3)*PI()*ABS(C121-D121)*((E121/2)^2+(E121/2)*(F121/2)+(F121/2)^2-(E121/2-G121/1000)^2-(E121/2-G121/1000)*(F121/2-G121/1000)-(F121/2-G121/1000)^2)=0,"",7850/1000*(1/3)*PI()*ABS(C121-D121)*((E121/2)^2+(E121/2)*(F121/2)+(F121/2)^2-(E121/2-G121/1000)^2-(E121/2-G121/1000)*(F121/2-G121/1000)-(F121/2-G121/1000)^2))</f>
        <v/>
      </c>
      <c r="K62" s="79" t="str">
        <f>IFERROR((MP_DATA[[#This Row],[D, bottom '[m']]]+MP_DATA[[#This Row],[D, top '[m']]])/(2*MP_DATA[[#This Row],[t '[mm']]]/1000),"")</f>
        <v/>
      </c>
      <c r="L62" s="79"/>
      <c r="BB62" s="79" t="str">
        <f>IFERROR(TP_DATA[[#This Row],[Bottom '[m']]]-TP_DATA[[#This Row],[D, top '[m']]], "")</f>
        <v/>
      </c>
      <c r="BC62" s="79" t="str">
        <f>IFERROR(-(TP_DATA[[#This Row],[D, bottom '[m']]]-TP_DATA[[#This Row],[D, top '[m']]])/(TP_DATA[[#This Row],[Bottom '[m']]]-TP_DATA[[#This Row],[Top '[m']]]),"")</f>
        <v/>
      </c>
      <c r="BD62" s="79" t="str">
        <f t="shared" si="1"/>
        <v/>
      </c>
      <c r="BE62" s="79" t="str">
        <f>IFERROR((TP_DATA[[#This Row],[D, bottom '[m']]]+TP_DATA[[#This Row],[D, top '[m']]])/(2*TP_DATA[[#This Row],[t '[mm']]]/1000),"")</f>
        <v/>
      </c>
      <c r="BF62" s="79"/>
      <c r="CP62" s="126">
        <v>32</v>
      </c>
      <c r="CQ62" s="120">
        <v>99.003</v>
      </c>
      <c r="CR62" s="120">
        <v>96.45</v>
      </c>
      <c r="CS62" s="120">
        <v>6.2919999999999998</v>
      </c>
      <c r="CT62" s="120">
        <v>6.351</v>
      </c>
      <c r="CU62" s="120">
        <v>26.5</v>
      </c>
      <c r="CV62" s="79">
        <f>IFERROR(TOWER_DATA[[#This Row],[Top '[m']]]-TOWER_DATA[[#This Row],[Bottom '[m']]], "")</f>
        <v>2.5529999999999973</v>
      </c>
      <c r="CW62" s="79">
        <f>IFERROR(-(TOWER_DATA[[#This Row],[D, bottom '[m']]]-TOWER_DATA[[#This Row],[D, top '[m']]])/(TOWER_DATA[[#This Row],[Bottom '[m']]]-TOWER_DATA[[#This Row],[Top '[m']]]),"")</f>
        <v>2.3110066588327545E-2</v>
      </c>
      <c r="CX62" s="79">
        <f t="shared" si="2"/>
        <v>10.502965831367973</v>
      </c>
      <c r="CY62" s="79">
        <f>IFERROR((TOWER_DATA[[#This Row],[D, bottom '[m']]]+TOWER_DATA[[#This Row],[D, top '[m']]])/(2*TOWER_DATA[[#This Row],[t '[mm']]]/1000),"")</f>
        <v>238.54716981132077</v>
      </c>
      <c r="CZ62" s="79"/>
      <c r="DA62" s="127" t="s">
        <v>262</v>
      </c>
      <c r="DB62" s="127">
        <v>80.899999999999991</v>
      </c>
      <c r="DC62" s="127">
        <v>80.899999999999991</v>
      </c>
      <c r="DD62" s="127">
        <v>140</v>
      </c>
      <c r="DE62" s="127"/>
      <c r="DF62" s="127"/>
      <c r="DG62" s="127"/>
      <c r="DH62" s="127"/>
      <c r="DI62" s="127"/>
      <c r="DK62" s="77">
        <v>32</v>
      </c>
      <c r="DL62" s="77">
        <v>99.003</v>
      </c>
      <c r="DM62" s="77">
        <v>96.45</v>
      </c>
      <c r="DN62" s="77">
        <v>6.2919999999999998</v>
      </c>
      <c r="DO62" s="77">
        <v>6.351</v>
      </c>
      <c r="DP62" s="77">
        <v>26.5</v>
      </c>
      <c r="DR62" s="100" t="s">
        <v>262</v>
      </c>
      <c r="DS62" s="100">
        <v>80.899999999999991</v>
      </c>
      <c r="DT62" s="100">
        <v>80.899999999999991</v>
      </c>
      <c r="DU62" s="100">
        <v>140</v>
      </c>
      <c r="DV62" s="127"/>
      <c r="DW62" s="127"/>
      <c r="DX62" s="127"/>
      <c r="DY62" s="127"/>
      <c r="DZ62" s="127"/>
      <c r="EQ62" s="79"/>
      <c r="ER62" s="79"/>
    </row>
    <row r="63" spans="2:148" x14ac:dyDescent="0.3">
      <c r="B63" s="79"/>
      <c r="C63" s="79"/>
      <c r="D63" s="79"/>
      <c r="E63" s="79"/>
      <c r="F63" s="79"/>
      <c r="G63" s="79"/>
      <c r="H63" s="79" t="str">
        <f>IFERROR(MP_DATA[[#This Row],[Bottom '[m']]]-MP_DATA[[#This Row],[D, top '[m']]], "")</f>
        <v/>
      </c>
      <c r="I63" s="79" t="str">
        <f>IFERROR(-(MP_DATA[[#This Row],[D, bottom '[m']]]-MP_DATA[[#This Row],[D, top '[m']]])/(MP_DATA[[#This Row],[Bottom '[m']]]-MP_DATA[[#This Row],[Top '[m']]]),"")</f>
        <v/>
      </c>
      <c r="J63" s="79" t="str">
        <f t="shared" si="3"/>
        <v/>
      </c>
      <c r="K63" s="79" t="str">
        <f>IFERROR((MP_DATA[[#This Row],[D, bottom '[m']]]+MP_DATA[[#This Row],[D, top '[m']]])/(2*MP_DATA[[#This Row],[t '[mm']]]/1000),"")</f>
        <v/>
      </c>
      <c r="L63" s="79"/>
      <c r="BB63" s="79" t="str">
        <f>IFERROR(TP_DATA[[#This Row],[Bottom '[m']]]-TP_DATA[[#This Row],[D, top '[m']]], "")</f>
        <v/>
      </c>
      <c r="BC63" s="79" t="str">
        <f>IFERROR(-(TP_DATA[[#This Row],[D, bottom '[m']]]-TP_DATA[[#This Row],[D, top '[m']]])/(TP_DATA[[#This Row],[Bottom '[m']]]-TP_DATA[[#This Row],[Top '[m']]]),"")</f>
        <v/>
      </c>
      <c r="BD63" s="79" t="str">
        <f t="shared" si="1"/>
        <v/>
      </c>
      <c r="BE63" s="79" t="str">
        <f>IFERROR((TP_DATA[[#This Row],[D, bottom '[m']]]+TP_DATA[[#This Row],[D, top '[m']]])/(2*TP_DATA[[#This Row],[t '[mm']]]/1000),"")</f>
        <v/>
      </c>
      <c r="BF63" s="79"/>
      <c r="CP63" s="126">
        <v>33</v>
      </c>
      <c r="CQ63" s="120">
        <v>96.45</v>
      </c>
      <c r="CR63" s="120">
        <v>94.89200000000001</v>
      </c>
      <c r="CS63" s="120">
        <v>6.351</v>
      </c>
      <c r="CT63" s="120">
        <v>6.3869999999999996</v>
      </c>
      <c r="CU63" s="120">
        <v>28</v>
      </c>
      <c r="CV63" s="79">
        <f>IFERROR(TOWER_DATA[[#This Row],[Top '[m']]]-TOWER_DATA[[#This Row],[Bottom '[m']]], "")</f>
        <v>1.5579999999999927</v>
      </c>
      <c r="CW63" s="79">
        <f>IFERROR(-(TOWER_DATA[[#This Row],[D, bottom '[m']]]-TOWER_DATA[[#This Row],[D, top '[m']]])/(TOWER_DATA[[#This Row],[Bottom '[m']]]-TOWER_DATA[[#This Row],[Top '[m']]]),"")</f>
        <v>2.3106546854942078E-2</v>
      </c>
      <c r="CX63" s="79">
        <f t="shared" si="2"/>
        <v>6.8218594478281238</v>
      </c>
      <c r="CY63" s="79">
        <f>IFERROR((TOWER_DATA[[#This Row],[D, bottom '[m']]]+TOWER_DATA[[#This Row],[D, top '[m']]])/(2*TOWER_DATA[[#This Row],[t '[mm']]]/1000),"")</f>
        <v>227.46428571428569</v>
      </c>
      <c r="CZ63" s="79"/>
      <c r="DA63" s="127" t="s">
        <v>262</v>
      </c>
      <c r="DB63" s="127">
        <v>78.449999999999989</v>
      </c>
      <c r="DC63" s="127">
        <v>78.449999999999989</v>
      </c>
      <c r="DD63" s="127">
        <v>141</v>
      </c>
      <c r="DE63" s="127"/>
      <c r="DF63" s="127"/>
      <c r="DG63" s="127"/>
      <c r="DH63" s="127"/>
      <c r="DI63" s="127"/>
      <c r="DK63" s="77">
        <v>33</v>
      </c>
      <c r="DL63" s="77">
        <v>96.45</v>
      </c>
      <c r="DM63" s="77">
        <v>94.89200000000001</v>
      </c>
      <c r="DN63" s="77">
        <v>6.351</v>
      </c>
      <c r="DO63" s="77">
        <v>6.3869999999999996</v>
      </c>
      <c r="DP63" s="77">
        <v>28</v>
      </c>
      <c r="DR63" s="100" t="s">
        <v>262</v>
      </c>
      <c r="DS63" s="100">
        <v>78.449999999999989</v>
      </c>
      <c r="DT63" s="100">
        <v>78.449999999999989</v>
      </c>
      <c r="DU63" s="100">
        <v>141</v>
      </c>
      <c r="DV63" s="127"/>
      <c r="DW63" s="127"/>
      <c r="DX63" s="127"/>
      <c r="DY63" s="127"/>
      <c r="DZ63" s="127"/>
      <c r="EQ63" s="79"/>
      <c r="ER63" s="79"/>
    </row>
    <row r="64" spans="2:148" x14ac:dyDescent="0.3">
      <c r="B64" s="79"/>
      <c r="C64" s="79"/>
      <c r="D64" s="79"/>
      <c r="E64" s="79"/>
      <c r="F64" s="79"/>
      <c r="G64" s="79"/>
      <c r="H64" s="79" t="str">
        <f>IFERROR(MP_DATA[[#This Row],[Bottom '[m']]]-MP_DATA[[#This Row],[D, top '[m']]], "")</f>
        <v/>
      </c>
      <c r="I64" s="79" t="str">
        <f>IFERROR(-(MP_DATA[[#This Row],[D, bottom '[m']]]-MP_DATA[[#This Row],[D, top '[m']]])/(MP_DATA[[#This Row],[Bottom '[m']]]-MP_DATA[[#This Row],[Top '[m']]]),"")</f>
        <v/>
      </c>
      <c r="J64" s="79" t="str">
        <f t="shared" si="3"/>
        <v/>
      </c>
      <c r="K64" s="79" t="str">
        <f>IFERROR((MP_DATA[[#This Row],[D, bottom '[m']]]+MP_DATA[[#This Row],[D, top '[m']]])/(2*MP_DATA[[#This Row],[t '[mm']]]/1000),"")</f>
        <v/>
      </c>
      <c r="L64" s="79"/>
      <c r="BB64" s="79" t="str">
        <f>IFERROR(TP_DATA[[#This Row],[Bottom '[m']]]-TP_DATA[[#This Row],[D, top '[m']]], "")</f>
        <v/>
      </c>
      <c r="BC64" s="79" t="str">
        <f>IFERROR(-(TP_DATA[[#This Row],[D, bottom '[m']]]-TP_DATA[[#This Row],[D, top '[m']]])/(TP_DATA[[#This Row],[Bottom '[m']]]-TP_DATA[[#This Row],[Top '[m']]]),"")</f>
        <v/>
      </c>
      <c r="BD64" s="79" t="str">
        <f t="shared" si="1"/>
        <v/>
      </c>
      <c r="BE64" s="79" t="str">
        <f>IFERROR((TP_DATA[[#This Row],[D, bottom '[m']]]+TP_DATA[[#This Row],[D, top '[m']]])/(2*TP_DATA[[#This Row],[t '[mm']]]/1000),"")</f>
        <v/>
      </c>
      <c r="BF64" s="79"/>
      <c r="CP64" s="126">
        <v>34</v>
      </c>
      <c r="CQ64" s="120">
        <v>94.89200000000001</v>
      </c>
      <c r="CR64" s="120">
        <v>93.728000000000009</v>
      </c>
      <c r="CS64" s="120">
        <v>6.3869999999999996</v>
      </c>
      <c r="CT64" s="120">
        <v>6.4139999999999997</v>
      </c>
      <c r="CU64" s="120">
        <v>28</v>
      </c>
      <c r="CV64" s="79">
        <f>IFERROR(TOWER_DATA[[#This Row],[Top '[m']]]-TOWER_DATA[[#This Row],[Bottom '[m']]], "")</f>
        <v>1.1640000000000015</v>
      </c>
      <c r="CW64" s="79">
        <f>IFERROR(-(TOWER_DATA[[#This Row],[D, bottom '[m']]]-TOWER_DATA[[#This Row],[D, top '[m']]])/(TOWER_DATA[[#This Row],[Bottom '[m']]]-TOWER_DATA[[#This Row],[Top '[m']]]),"")</f>
        <v>2.3195876288659881E-2</v>
      </c>
      <c r="CX64" s="79">
        <f t="shared" si="2"/>
        <v>5.1220095660448148</v>
      </c>
      <c r="CY64" s="79">
        <f>IFERROR((TOWER_DATA[[#This Row],[D, bottom '[m']]]+TOWER_DATA[[#This Row],[D, top '[m']]])/(2*TOWER_DATA[[#This Row],[t '[mm']]]/1000),"")</f>
        <v>228.58928571428569</v>
      </c>
      <c r="CZ64" s="79"/>
      <c r="DA64" s="127" t="s">
        <v>262</v>
      </c>
      <c r="DB64" s="127">
        <v>74.673999999999992</v>
      </c>
      <c r="DC64" s="127">
        <v>74.673999999999992</v>
      </c>
      <c r="DD64" s="127">
        <v>141</v>
      </c>
      <c r="DE64" s="127"/>
      <c r="DF64" s="127"/>
      <c r="DG64" s="127"/>
      <c r="DH64" s="127"/>
      <c r="DI64" s="127"/>
      <c r="DK64" s="77">
        <v>34</v>
      </c>
      <c r="DL64" s="77">
        <v>94.89200000000001</v>
      </c>
      <c r="DM64" s="77">
        <v>93.728000000000009</v>
      </c>
      <c r="DN64" s="77">
        <v>6.3869999999999996</v>
      </c>
      <c r="DO64" s="77">
        <v>6.4139999999999997</v>
      </c>
      <c r="DP64" s="77">
        <v>28</v>
      </c>
      <c r="DR64" s="100" t="s">
        <v>262</v>
      </c>
      <c r="DS64" s="100">
        <v>74.673999999999992</v>
      </c>
      <c r="DT64" s="100">
        <v>74.673999999999992</v>
      </c>
      <c r="DU64" s="100">
        <v>141</v>
      </c>
      <c r="DV64" s="127"/>
      <c r="DW64" s="127"/>
      <c r="DX64" s="127"/>
      <c r="DY64" s="127"/>
      <c r="DZ64" s="127"/>
      <c r="EQ64" s="79"/>
      <c r="ER64" s="79"/>
    </row>
    <row r="65" spans="2:148" x14ac:dyDescent="0.3">
      <c r="B65" s="79"/>
      <c r="C65" s="79"/>
      <c r="D65" s="79"/>
      <c r="E65" s="79"/>
      <c r="F65" s="79"/>
      <c r="G65" s="79"/>
      <c r="H65" s="79" t="str">
        <f>IFERROR(MP_DATA[[#This Row],[Bottom '[m']]]-MP_DATA[[#This Row],[D, top '[m']]], "")</f>
        <v/>
      </c>
      <c r="I65" s="79" t="str">
        <f>IFERROR(-(MP_DATA[[#This Row],[D, bottom '[m']]]-MP_DATA[[#This Row],[D, top '[m']]])/(MP_DATA[[#This Row],[Bottom '[m']]]-MP_DATA[[#This Row],[Top '[m']]]),"")</f>
        <v/>
      </c>
      <c r="J65" s="79" t="str">
        <f t="shared" si="3"/>
        <v/>
      </c>
      <c r="K65" s="79" t="str">
        <f>IFERROR((MP_DATA[[#This Row],[D, bottom '[m']]]+MP_DATA[[#This Row],[D, top '[m']]])/(2*MP_DATA[[#This Row],[t '[mm']]]/1000),"")</f>
        <v/>
      </c>
      <c r="L65" s="79"/>
      <c r="BB65" s="79" t="str">
        <f>IFERROR(TP_DATA[[#This Row],[Bottom '[m']]]-TP_DATA[[#This Row],[D, top '[m']]], "")</f>
        <v/>
      </c>
      <c r="BC65" s="79" t="str">
        <f>IFERROR(-(TP_DATA[[#This Row],[D, bottom '[m']]]-TP_DATA[[#This Row],[D, top '[m']]])/(TP_DATA[[#This Row],[Bottom '[m']]]-TP_DATA[[#This Row],[Top '[m']]]),"")</f>
        <v/>
      </c>
      <c r="BD65" s="79" t="str">
        <f t="shared" si="1"/>
        <v/>
      </c>
      <c r="BE65" s="79" t="str">
        <f>IFERROR((TP_DATA[[#This Row],[D, bottom '[m']]]+TP_DATA[[#This Row],[D, top '[m']]])/(2*TP_DATA[[#This Row],[t '[mm']]]/1000),"")</f>
        <v/>
      </c>
      <c r="BF65" s="79"/>
      <c r="CP65" s="126">
        <v>35</v>
      </c>
      <c r="CQ65" s="120">
        <v>93.728000000000009</v>
      </c>
      <c r="CR65" s="120">
        <v>91.006</v>
      </c>
      <c r="CS65" s="120">
        <v>6.4139999999999997</v>
      </c>
      <c r="CT65" s="120">
        <v>6.4749999999999996</v>
      </c>
      <c r="CU65" s="120">
        <v>28.6</v>
      </c>
      <c r="CV65" s="79">
        <f>IFERROR(TOWER_DATA[[#This Row],[Top '[m']]]-TOWER_DATA[[#This Row],[Bottom '[m']]], "")</f>
        <v>2.7220000000000084</v>
      </c>
      <c r="CW65" s="79">
        <f>IFERROR(-(TOWER_DATA[[#This Row],[D, bottom '[m']]]-TOWER_DATA[[#This Row],[D, top '[m']]])/(TOWER_DATA[[#This Row],[Bottom '[m']]]-TOWER_DATA[[#This Row],[Top '[m']]]),"")</f>
        <v>2.2409992652461335E-2</v>
      </c>
      <c r="CX65" s="79">
        <f t="shared" si="2"/>
        <v>12.317746718159135</v>
      </c>
      <c r="CY65" s="79">
        <f>IFERROR((TOWER_DATA[[#This Row],[D, bottom '[m']]]+TOWER_DATA[[#This Row],[D, top '[m']]])/(2*TOWER_DATA[[#This Row],[t '[mm']]]/1000),"")</f>
        <v>225.33216783216781</v>
      </c>
      <c r="CZ65" s="79"/>
      <c r="DA65" s="127" t="s">
        <v>262</v>
      </c>
      <c r="DB65" s="127">
        <v>71.951999999999984</v>
      </c>
      <c r="DC65" s="127">
        <v>71.951999999999984</v>
      </c>
      <c r="DD65" s="127">
        <v>142</v>
      </c>
      <c r="DE65" s="127"/>
      <c r="DF65" s="127"/>
      <c r="DG65" s="127"/>
      <c r="DH65" s="127"/>
      <c r="DI65" s="127"/>
      <c r="DK65" s="77">
        <v>35</v>
      </c>
      <c r="DL65" s="77">
        <v>93.728000000000009</v>
      </c>
      <c r="DM65" s="77">
        <v>91.006</v>
      </c>
      <c r="DN65" s="77">
        <v>6.4139999999999997</v>
      </c>
      <c r="DO65" s="77">
        <v>6.4749999999999996</v>
      </c>
      <c r="DP65" s="77">
        <v>28.6</v>
      </c>
      <c r="DR65" s="100" t="s">
        <v>262</v>
      </c>
      <c r="DS65" s="100">
        <v>71.951999999999984</v>
      </c>
      <c r="DT65" s="100">
        <v>71.951999999999984</v>
      </c>
      <c r="DU65" s="100">
        <v>142</v>
      </c>
      <c r="DV65" s="127"/>
      <c r="DW65" s="127"/>
      <c r="DX65" s="127"/>
      <c r="DY65" s="127"/>
      <c r="DZ65" s="127"/>
      <c r="EQ65" s="79"/>
      <c r="ER65" s="79"/>
    </row>
    <row r="66" spans="2:148" x14ac:dyDescent="0.3">
      <c r="B66" s="79"/>
      <c r="D66" s="79"/>
      <c r="F66" s="79"/>
      <c r="H66" s="79" t="str">
        <f>IFERROR(MP_DATA[[#This Row],[Bottom '[m']]]-MP_DATA[[#This Row],[D, top '[m']]], "")</f>
        <v/>
      </c>
      <c r="I66" t="str">
        <f>IFERROR(-(MP_DATA[[#This Row],[D, bottom '[m']]]-MP_DATA[[#This Row],[D, top '[m']]])/(MP_DATA[[#This Row],[Bottom '[m']]]-MP_DATA[[#This Row],[Top '[m']]]),"")</f>
        <v/>
      </c>
      <c r="J66" s="79" t="str">
        <f t="shared" si="3"/>
        <v/>
      </c>
      <c r="K66" s="79" t="str">
        <f>IFERROR((MP_DATA[[#This Row],[D, bottom '[m']]]+MP_DATA[[#This Row],[D, top '[m']]])/(2*MP_DATA[[#This Row],[t '[mm']]]/1000),"")</f>
        <v/>
      </c>
      <c r="L66" s="79"/>
      <c r="BB66" s="79" t="str">
        <f>IFERROR(TP_DATA[[#This Row],[Bottom '[m']]]-TP_DATA[[#This Row],[D, top '[m']]], "")</f>
        <v/>
      </c>
      <c r="BC66" s="79" t="str">
        <f>IFERROR(-(TP_DATA[[#This Row],[D, bottom '[m']]]-TP_DATA[[#This Row],[D, top '[m']]])/(TP_DATA[[#This Row],[Bottom '[m']]]-TP_DATA[[#This Row],[Top '[m']]]),"")</f>
        <v/>
      </c>
      <c r="BD66" s="79" t="str">
        <f t="shared" si="1"/>
        <v/>
      </c>
      <c r="BE66" s="79" t="str">
        <f>IFERROR((TP_DATA[[#This Row],[D, bottom '[m']]]+TP_DATA[[#This Row],[D, top '[m']]])/(2*TP_DATA[[#This Row],[t '[mm']]]/1000),"")</f>
        <v/>
      </c>
      <c r="BF66" s="79"/>
      <c r="CP66" s="126">
        <v>36</v>
      </c>
      <c r="CQ66" s="120">
        <v>91.006</v>
      </c>
      <c r="CR66" s="120">
        <v>90.9</v>
      </c>
      <c r="CS66" s="120">
        <v>6.4749999999999996</v>
      </c>
      <c r="CT66" s="120">
        <v>6.4779999999999998</v>
      </c>
      <c r="CU66" s="120">
        <v>29.4</v>
      </c>
      <c r="CV66" s="79">
        <f>IFERROR(TOWER_DATA[[#This Row],[Top '[m']]]-TOWER_DATA[[#This Row],[Bottom '[m']]], "")</f>
        <v>0.10599999999999454</v>
      </c>
      <c r="CW66" s="79">
        <f>IFERROR(-(TOWER_DATA[[#This Row],[D, bottom '[m']]]-TOWER_DATA[[#This Row],[D, top '[m']]])/(TOWER_DATA[[#This Row],[Bottom '[m']]]-TOWER_DATA[[#This Row],[Top '[m']]]),"")</f>
        <v>2.830188679245536E-2</v>
      </c>
      <c r="CX66" s="79">
        <f t="shared" si="2"/>
        <v>0.49549255301145406</v>
      </c>
      <c r="CY66" s="79">
        <f>IFERROR((TOWER_DATA[[#This Row],[D, bottom '[m']]]+TOWER_DATA[[#This Row],[D, top '[m']]])/(2*TOWER_DATA[[#This Row],[t '[mm']]]/1000),"")</f>
        <v>220.28911564625849</v>
      </c>
      <c r="CZ66" s="79"/>
      <c r="DA66" s="127" t="s">
        <v>262</v>
      </c>
      <c r="DB66" s="127">
        <v>70.899999999999991</v>
      </c>
      <c r="DC66" s="127">
        <v>70.899999999999991</v>
      </c>
      <c r="DD66" s="127">
        <v>143</v>
      </c>
      <c r="DE66" s="127"/>
      <c r="DF66" s="127"/>
      <c r="DG66" s="127"/>
      <c r="DH66" s="127"/>
      <c r="DI66" s="127"/>
      <c r="DK66" s="77">
        <v>36</v>
      </c>
      <c r="DL66" s="77">
        <v>91.006</v>
      </c>
      <c r="DM66" s="77">
        <v>90.9</v>
      </c>
      <c r="DN66" s="77">
        <v>6.4749999999999996</v>
      </c>
      <c r="DO66" s="77">
        <v>6.4779999999999998</v>
      </c>
      <c r="DP66" s="77">
        <v>29.4</v>
      </c>
      <c r="DR66" s="100" t="s">
        <v>262</v>
      </c>
      <c r="DS66" s="100">
        <v>70.899999999999991</v>
      </c>
      <c r="DT66" s="100">
        <v>70.899999999999991</v>
      </c>
      <c r="DU66" s="100">
        <v>143</v>
      </c>
      <c r="DV66" s="127"/>
      <c r="DW66" s="127"/>
      <c r="DX66" s="127"/>
      <c r="DY66" s="127"/>
      <c r="DZ66" s="127"/>
      <c r="EQ66" s="79"/>
      <c r="ER66" s="79"/>
    </row>
    <row r="67" spans="2:148" x14ac:dyDescent="0.3">
      <c r="B67" s="79"/>
      <c r="D67" s="79"/>
      <c r="F67" s="79"/>
      <c r="H67" s="79" t="str">
        <f>IFERROR(MP_DATA[[#This Row],[Bottom '[m']]]-MP_DATA[[#This Row],[D, top '[m']]], "")</f>
        <v/>
      </c>
      <c r="I67" t="str">
        <f>IFERROR(-(MP_DATA[[#This Row],[D, bottom '[m']]]-MP_DATA[[#This Row],[D, top '[m']]])/(MP_DATA[[#This Row],[Bottom '[m']]]-MP_DATA[[#This Row],[Top '[m']]]),"")</f>
        <v/>
      </c>
      <c r="J67" s="79" t="str">
        <f t="shared" si="3"/>
        <v/>
      </c>
      <c r="K67" s="79" t="str">
        <f>IFERROR((MP_DATA[[#This Row],[D, bottom '[m']]]+MP_DATA[[#This Row],[D, top '[m']]])/(2*MP_DATA[[#This Row],[t '[mm']]]/1000),"")</f>
        <v/>
      </c>
      <c r="L67" s="79"/>
      <c r="BB67" s="79" t="str">
        <f>IFERROR(TP_DATA[[#This Row],[Bottom '[m']]]-TP_DATA[[#This Row],[D, top '[m']]], "")</f>
        <v/>
      </c>
      <c r="BC67" s="79" t="str">
        <f>IFERROR(-(TP_DATA[[#This Row],[D, bottom '[m']]]-TP_DATA[[#This Row],[D, top '[m']]])/(TP_DATA[[#This Row],[Bottom '[m']]]-TP_DATA[[#This Row],[Top '[m']]]),"")</f>
        <v/>
      </c>
      <c r="BD67" s="79" t="str">
        <f t="shared" si="1"/>
        <v/>
      </c>
      <c r="BE67" s="79" t="str">
        <f>IFERROR((TP_DATA[[#This Row],[D, bottom '[m']]]+TP_DATA[[#This Row],[D, top '[m']]])/(2*TP_DATA[[#This Row],[t '[mm']]]/1000),"")</f>
        <v/>
      </c>
      <c r="BF67" s="79"/>
      <c r="CP67" s="126">
        <v>37</v>
      </c>
      <c r="CQ67" s="120">
        <v>90.9</v>
      </c>
      <c r="CR67" s="120">
        <v>88.284000000000006</v>
      </c>
      <c r="CS67" s="120">
        <v>6.4779999999999998</v>
      </c>
      <c r="CT67" s="120">
        <v>6.5380000000000003</v>
      </c>
      <c r="CU67" s="120">
        <v>29.4</v>
      </c>
      <c r="CV67" s="79">
        <f>IFERROR(TOWER_DATA[[#This Row],[Top '[m']]]-TOWER_DATA[[#This Row],[Bottom '[m']]], "")</f>
        <v>2.6159999999999997</v>
      </c>
      <c r="CW67" s="79">
        <f>IFERROR(-(TOWER_DATA[[#This Row],[D, bottom '[m']]]-TOWER_DATA[[#This Row],[D, top '[m']]])/(TOWER_DATA[[#This Row],[Bottom '[m']]]-TOWER_DATA[[#This Row],[Top '[m']]]),"")</f>
        <v>2.2935779816513954E-2</v>
      </c>
      <c r="CX67" s="79">
        <f t="shared" si="2"/>
        <v>12.288129120958363</v>
      </c>
      <c r="CY67" s="79">
        <f>IFERROR((TOWER_DATA[[#This Row],[D, bottom '[m']]]+TOWER_DATA[[#This Row],[D, top '[m']]])/(2*TOWER_DATA[[#This Row],[t '[mm']]]/1000),"")</f>
        <v>221.36054421768708</v>
      </c>
      <c r="CZ67" s="79"/>
      <c r="DA67" s="127" t="s">
        <v>262</v>
      </c>
      <c r="DB67" s="127">
        <v>66.489999999999995</v>
      </c>
      <c r="DC67" s="127">
        <v>66.489999999999995</v>
      </c>
      <c r="DD67" s="127">
        <v>144</v>
      </c>
      <c r="DE67" s="127"/>
      <c r="DF67" s="127"/>
      <c r="DG67" s="127"/>
      <c r="DH67" s="127"/>
      <c r="DI67" s="127"/>
      <c r="DK67" s="77">
        <v>37</v>
      </c>
      <c r="DL67" s="77">
        <v>90.9</v>
      </c>
      <c r="DM67" s="77">
        <v>88.284000000000006</v>
      </c>
      <c r="DN67" s="77">
        <v>6.4779999999999998</v>
      </c>
      <c r="DO67" s="77">
        <v>6.5380000000000003</v>
      </c>
      <c r="DP67" s="77">
        <v>29.4</v>
      </c>
      <c r="DR67" s="100" t="s">
        <v>262</v>
      </c>
      <c r="DS67" s="100">
        <v>66.489999999999995</v>
      </c>
      <c r="DT67" s="100">
        <v>66.489999999999995</v>
      </c>
      <c r="DU67" s="100">
        <v>144</v>
      </c>
      <c r="DV67" s="127"/>
      <c r="DW67" s="127"/>
      <c r="DX67" s="127"/>
      <c r="DY67" s="127"/>
      <c r="DZ67" s="127"/>
      <c r="EQ67" s="79"/>
      <c r="ER67" s="79"/>
    </row>
    <row r="68" spans="2:148" x14ac:dyDescent="0.3">
      <c r="B68" s="79"/>
      <c r="D68" s="79"/>
      <c r="F68" s="79"/>
      <c r="H68" s="79" t="str">
        <f>IFERROR(MP_DATA[[#This Row],[Bottom '[m']]]-MP_DATA[[#This Row],[D, top '[m']]], "")</f>
        <v/>
      </c>
      <c r="I68" t="str">
        <f>IFERROR(-(MP_DATA[[#This Row],[D, bottom '[m']]]-MP_DATA[[#This Row],[D, top '[m']]])/(MP_DATA[[#This Row],[Bottom '[m']]]-MP_DATA[[#This Row],[Top '[m']]]),"")</f>
        <v/>
      </c>
      <c r="J68" s="79" t="str">
        <f t="shared" si="3"/>
        <v/>
      </c>
      <c r="K68" s="79" t="str">
        <f>IFERROR((MP_DATA[[#This Row],[D, bottom '[m']]]+MP_DATA[[#This Row],[D, top '[m']]])/(2*MP_DATA[[#This Row],[t '[mm']]]/1000),"")</f>
        <v/>
      </c>
      <c r="L68" s="79"/>
      <c r="BB68" s="79" t="str">
        <f>IFERROR(TP_DATA[[#This Row],[Bottom '[m']]]-TP_DATA[[#This Row],[D, top '[m']]], "")</f>
        <v/>
      </c>
      <c r="BC68" s="79" t="str">
        <f>IFERROR(-(TP_DATA[[#This Row],[D, bottom '[m']]]-TP_DATA[[#This Row],[D, top '[m']]])/(TP_DATA[[#This Row],[Bottom '[m']]]-TP_DATA[[#This Row],[Top '[m']]]),"")</f>
        <v/>
      </c>
      <c r="BD68" s="79" t="str">
        <f t="shared" si="1"/>
        <v/>
      </c>
      <c r="BE68" s="79" t="str">
        <f>IFERROR((TP_DATA[[#This Row],[D, bottom '[m']]]+TP_DATA[[#This Row],[D, top '[m']]])/(2*TP_DATA[[#This Row],[t '[mm']]]/1000),"")</f>
        <v/>
      </c>
      <c r="BF68" s="79"/>
      <c r="CP68" s="126">
        <v>38</v>
      </c>
      <c r="CQ68" s="120">
        <v>88.284000000000006</v>
      </c>
      <c r="CR68" s="120">
        <v>86.671000000000006</v>
      </c>
      <c r="CS68" s="120">
        <v>6.5380000000000003</v>
      </c>
      <c r="CT68" s="120">
        <v>6.5739999999999998</v>
      </c>
      <c r="CU68" s="120">
        <v>29.5</v>
      </c>
      <c r="CV68" s="79">
        <f>IFERROR(TOWER_DATA[[#This Row],[Top '[m']]]-TOWER_DATA[[#This Row],[Bottom '[m']]], "")</f>
        <v>1.6129999999999995</v>
      </c>
      <c r="CW68" s="79">
        <f>IFERROR(-(TOWER_DATA[[#This Row],[D, bottom '[m']]]-TOWER_DATA[[#This Row],[D, top '[m']]])/(TOWER_DATA[[#This Row],[Bottom '[m']]]-TOWER_DATA[[#This Row],[Top '[m']]]),"")</f>
        <v>2.2318660880346931E-2</v>
      </c>
      <c r="CX68" s="79">
        <f t="shared" si="2"/>
        <v>7.6587211107854793</v>
      </c>
      <c r="CY68" s="79">
        <f>IFERROR((TOWER_DATA[[#This Row],[D, bottom '[m']]]+TOWER_DATA[[#This Row],[D, top '[m']]])/(2*TOWER_DATA[[#This Row],[t '[mm']]]/1000),"")</f>
        <v>222.23728813559325</v>
      </c>
      <c r="CZ68" s="79"/>
      <c r="DA68" s="127" t="s">
        <v>262</v>
      </c>
      <c r="DB68" s="127">
        <v>66.444999999999993</v>
      </c>
      <c r="DC68" s="127">
        <v>66.444999999999993</v>
      </c>
      <c r="DD68" s="127">
        <v>7316</v>
      </c>
      <c r="DE68" s="127"/>
      <c r="DF68" s="127"/>
      <c r="DG68" s="127"/>
      <c r="DH68" s="127"/>
      <c r="DI68" s="127"/>
      <c r="DK68" s="77">
        <v>38</v>
      </c>
      <c r="DL68" s="77">
        <v>88.284000000000006</v>
      </c>
      <c r="DM68" s="77">
        <v>86.671000000000006</v>
      </c>
      <c r="DN68" s="77">
        <v>6.5380000000000003</v>
      </c>
      <c r="DO68" s="77">
        <v>6.5739999999999998</v>
      </c>
      <c r="DP68" s="77">
        <v>29.5</v>
      </c>
      <c r="DR68" s="100" t="s">
        <v>262</v>
      </c>
      <c r="DS68" s="100">
        <v>66.444999999999993</v>
      </c>
      <c r="DT68" s="100">
        <v>66.444999999999993</v>
      </c>
      <c r="DU68" s="100">
        <v>7316</v>
      </c>
      <c r="DV68" s="127"/>
      <c r="DW68" s="127"/>
      <c r="DX68" s="127"/>
      <c r="DY68" s="127"/>
      <c r="DZ68" s="127"/>
      <c r="EQ68" s="79"/>
      <c r="ER68" s="79"/>
    </row>
    <row r="69" spans="2:148" x14ac:dyDescent="0.3">
      <c r="B69" s="79"/>
      <c r="D69" s="79"/>
      <c r="F69" s="79"/>
      <c r="H69" s="79" t="str">
        <f>IFERROR(MP_DATA[[#This Row],[Bottom '[m']]]-MP_DATA[[#This Row],[D, top '[m']]], "")</f>
        <v/>
      </c>
      <c r="I69" t="str">
        <f>IFERROR(-(MP_DATA[[#This Row],[D, bottom '[m']]]-MP_DATA[[#This Row],[D, top '[m']]])/(MP_DATA[[#This Row],[Bottom '[m']]]-MP_DATA[[#This Row],[Top '[m']]]),"")</f>
        <v/>
      </c>
      <c r="J69" s="79" t="str">
        <f t="shared" si="3"/>
        <v/>
      </c>
      <c r="K69" s="79" t="str">
        <f>IFERROR((MP_DATA[[#This Row],[D, bottom '[m']]]+MP_DATA[[#This Row],[D, top '[m']]])/(2*MP_DATA[[#This Row],[t '[mm']]]/1000),"")</f>
        <v/>
      </c>
      <c r="L69" s="79"/>
      <c r="BB69" s="79" t="str">
        <f>IFERROR(TP_DATA[[#This Row],[Bottom '[m']]]-TP_DATA[[#This Row],[D, top '[m']]], "")</f>
        <v/>
      </c>
      <c r="BC69" s="79" t="str">
        <f>IFERROR(-(TP_DATA[[#This Row],[D, bottom '[m']]]-TP_DATA[[#This Row],[D, top '[m']]])/(TP_DATA[[#This Row],[Bottom '[m']]]-TP_DATA[[#This Row],[Top '[m']]]),"")</f>
        <v/>
      </c>
      <c r="BD69" s="79" t="str">
        <f t="shared" si="1"/>
        <v/>
      </c>
      <c r="BE69" s="79" t="str">
        <f>IFERROR((TP_DATA[[#This Row],[D, bottom '[m']]]+TP_DATA[[#This Row],[D, top '[m']]])/(2*TP_DATA[[#This Row],[t '[mm']]]/1000),"")</f>
        <v/>
      </c>
      <c r="BF69" s="79"/>
      <c r="CP69" s="126">
        <v>39</v>
      </c>
      <c r="CQ69" s="120">
        <v>86.671000000000006</v>
      </c>
      <c r="CR69" s="120">
        <v>85.562000000000012</v>
      </c>
      <c r="CS69" s="120">
        <v>6.5739999999999998</v>
      </c>
      <c r="CT69" s="120">
        <v>6.601</v>
      </c>
      <c r="CU69" s="120">
        <v>29.5</v>
      </c>
      <c r="CV69" s="79">
        <f>IFERROR(TOWER_DATA[[#This Row],[Top '[m']]]-TOWER_DATA[[#This Row],[Bottom '[m']]], "")</f>
        <v>1.1089999999999947</v>
      </c>
      <c r="CW69" s="79">
        <f>IFERROR(-(TOWER_DATA[[#This Row],[D, bottom '[m']]]-TOWER_DATA[[#This Row],[D, top '[m']]])/(TOWER_DATA[[#This Row],[Bottom '[m']]]-TOWER_DATA[[#This Row],[Top '[m']]]),"")</f>
        <v>2.4346257889991223E-2</v>
      </c>
      <c r="CX69" s="79">
        <f t="shared" si="2"/>
        <v>5.2910821427568031</v>
      </c>
      <c r="CY69" s="79">
        <f>IFERROR((TOWER_DATA[[#This Row],[D, bottom '[m']]]+TOWER_DATA[[#This Row],[D, top '[m']]])/(2*TOWER_DATA[[#This Row],[t '[mm']]]/1000),"")</f>
        <v>223.30508474576274</v>
      </c>
      <c r="CZ69" s="79"/>
      <c r="DA69" s="127" t="s">
        <v>262</v>
      </c>
      <c r="DB69" s="127">
        <v>66.259999999999991</v>
      </c>
      <c r="DC69" s="127">
        <v>66.259999999999991</v>
      </c>
      <c r="DD69" s="127">
        <v>10048</v>
      </c>
      <c r="DE69" s="127"/>
      <c r="DF69" s="127"/>
      <c r="DG69" s="127"/>
      <c r="DH69" s="127"/>
      <c r="DI69" s="127"/>
      <c r="DK69" s="77">
        <v>39</v>
      </c>
      <c r="DL69" s="77">
        <v>86.671000000000006</v>
      </c>
      <c r="DM69" s="77">
        <v>85.562000000000012</v>
      </c>
      <c r="DN69" s="77">
        <v>6.5739999999999998</v>
      </c>
      <c r="DO69" s="77">
        <v>6.601</v>
      </c>
      <c r="DP69" s="77">
        <v>29.5</v>
      </c>
      <c r="DR69" s="100" t="s">
        <v>262</v>
      </c>
      <c r="DS69" s="100">
        <v>66.259999999999991</v>
      </c>
      <c r="DT69" s="100">
        <v>66.259999999999991</v>
      </c>
      <c r="DU69" s="100">
        <v>10048</v>
      </c>
      <c r="DV69" s="127"/>
      <c r="DW69" s="127"/>
      <c r="DX69" s="127"/>
      <c r="DY69" s="127"/>
      <c r="DZ69" s="127"/>
      <c r="EQ69" s="79"/>
      <c r="ER69" s="79"/>
    </row>
    <row r="70" spans="2:148" x14ac:dyDescent="0.3">
      <c r="B70" s="79"/>
      <c r="C70" s="79"/>
      <c r="D70" s="79"/>
      <c r="E70" s="79"/>
      <c r="F70" s="79"/>
      <c r="G70" s="79"/>
      <c r="H70" s="79" t="str">
        <f>IFERROR(MP_DATA[[#This Row],[Bottom '[m']]]-MP_DATA[[#This Row],[D, top '[m']]], "")</f>
        <v/>
      </c>
      <c r="I70" s="79" t="str">
        <f>IFERROR(-(MP_DATA[[#This Row],[D, bottom '[m']]]-MP_DATA[[#This Row],[D, top '[m']]])/(MP_DATA[[#This Row],[Bottom '[m']]]-MP_DATA[[#This Row],[Top '[m']]]),"")</f>
        <v/>
      </c>
      <c r="J70" s="79" t="str">
        <f t="shared" si="3"/>
        <v/>
      </c>
      <c r="K70" s="79" t="str">
        <f>IFERROR((MP_DATA[[#This Row],[D, bottom '[m']]]+MP_DATA[[#This Row],[D, top '[m']]])/(2*MP_DATA[[#This Row],[t '[mm']]]/1000),"")</f>
        <v/>
      </c>
      <c r="L70" s="79"/>
      <c r="BB70" s="79" t="str">
        <f>IFERROR(TP_DATA[[#This Row],[Bottom '[m']]]-TP_DATA[[#This Row],[D, top '[m']]], "")</f>
        <v/>
      </c>
      <c r="BC70" s="79" t="str">
        <f>IFERROR(-(TP_DATA[[#This Row],[D, bottom '[m']]]-TP_DATA[[#This Row],[D, top '[m']]])/(TP_DATA[[#This Row],[Bottom '[m']]]-TP_DATA[[#This Row],[Top '[m']]]),"")</f>
        <v/>
      </c>
      <c r="BD70" s="79" t="str">
        <f t="shared" si="1"/>
        <v/>
      </c>
      <c r="BE70" s="79" t="str">
        <f>IFERROR((TP_DATA[[#This Row],[D, bottom '[m']]]+TP_DATA[[#This Row],[D, top '[m']]])/(2*TP_DATA[[#This Row],[t '[mm']]]/1000),"")</f>
        <v/>
      </c>
      <c r="BF70" s="79"/>
      <c r="CP70" s="126">
        <v>40</v>
      </c>
      <c r="CQ70" s="120">
        <v>85.562000000000012</v>
      </c>
      <c r="CR70" s="120">
        <v>82.84</v>
      </c>
      <c r="CS70" s="120">
        <v>6.601</v>
      </c>
      <c r="CT70" s="120">
        <v>6.6619999999999999</v>
      </c>
      <c r="CU70" s="120">
        <v>31.5</v>
      </c>
      <c r="CV70" s="79">
        <f>IFERROR(TOWER_DATA[[#This Row],[Top '[m']]]-TOWER_DATA[[#This Row],[Bottom '[m']]], "")</f>
        <v>2.7220000000000084</v>
      </c>
      <c r="CW70" s="79">
        <f>IFERROR(-(TOWER_DATA[[#This Row],[D, bottom '[m']]]-TOWER_DATA[[#This Row],[D, top '[m']]])/(TOWER_DATA[[#This Row],[Bottom '[m']]]-TOWER_DATA[[#This Row],[Top '[m']]]),"")</f>
        <v>2.2409992652461335E-2</v>
      </c>
      <c r="CX70" s="79">
        <f t="shared" si="2"/>
        <v>13.956037882640588</v>
      </c>
      <c r="CY70" s="79">
        <f>IFERROR((TOWER_DATA[[#This Row],[D, bottom '[m']]]+TOWER_DATA[[#This Row],[D, top '[m']]])/(2*TOWER_DATA[[#This Row],[t '[mm']]]/1000),"")</f>
        <v>210.52380952380952</v>
      </c>
      <c r="CZ70" s="79"/>
      <c r="DA70" s="127" t="s">
        <v>262</v>
      </c>
      <c r="DB70" s="127">
        <v>66.074999999999989</v>
      </c>
      <c r="DC70" s="127">
        <v>66.074999999999989</v>
      </c>
      <c r="DD70" s="127">
        <v>6</v>
      </c>
      <c r="DE70" s="127"/>
      <c r="DF70" s="127"/>
      <c r="DG70" s="127"/>
      <c r="DH70" s="127"/>
      <c r="DI70" s="127"/>
      <c r="DK70" s="77">
        <v>40</v>
      </c>
      <c r="DL70" s="77">
        <v>85.562000000000012</v>
      </c>
      <c r="DM70" s="77">
        <v>82.84</v>
      </c>
      <c r="DN70" s="77">
        <v>6.601</v>
      </c>
      <c r="DO70" s="77">
        <v>6.6619999999999999</v>
      </c>
      <c r="DP70" s="77">
        <v>31.5</v>
      </c>
      <c r="DR70" s="100" t="s">
        <v>262</v>
      </c>
      <c r="DS70" s="100">
        <v>66.074999999999989</v>
      </c>
      <c r="DT70" s="100">
        <v>66.074999999999989</v>
      </c>
      <c r="DU70" s="100">
        <v>6</v>
      </c>
      <c r="DV70" s="127"/>
      <c r="DW70" s="127"/>
      <c r="DX70" s="127"/>
      <c r="DY70" s="127"/>
      <c r="DZ70" s="127"/>
      <c r="EQ70" s="79"/>
      <c r="ER70" s="79"/>
    </row>
    <row r="71" spans="2:148" x14ac:dyDescent="0.3">
      <c r="B71" s="79"/>
      <c r="C71" s="79"/>
      <c r="D71" s="79"/>
      <c r="E71" s="79"/>
      <c r="F71" s="79"/>
      <c r="G71" s="79"/>
      <c r="H71" s="79" t="str">
        <f>IFERROR(MP_DATA[[#This Row],[Bottom '[m']]]-MP_DATA[[#This Row],[D, top '[m']]], "")</f>
        <v/>
      </c>
      <c r="I71" s="79" t="str">
        <f>IFERROR(-(MP_DATA[[#This Row],[D, bottom '[m']]]-MP_DATA[[#This Row],[D, top '[m']]])/(MP_DATA[[#This Row],[Bottom '[m']]]-MP_DATA[[#This Row],[Top '[m']]]),"")</f>
        <v/>
      </c>
      <c r="J71" s="79" t="str">
        <f t="shared" si="3"/>
        <v/>
      </c>
      <c r="K71" s="79" t="str">
        <f>IFERROR((MP_DATA[[#This Row],[D, bottom '[m']]]+MP_DATA[[#This Row],[D, top '[m']]])/(2*MP_DATA[[#This Row],[t '[mm']]]/1000),"")</f>
        <v/>
      </c>
      <c r="L71" s="79"/>
      <c r="BB71" s="79" t="str">
        <f>IFERROR(TP_DATA[[#This Row],[Bottom '[m']]]-TP_DATA[[#This Row],[D, top '[m']]], "")</f>
        <v/>
      </c>
      <c r="BC71" s="79" t="str">
        <f>IFERROR(-(TP_DATA[[#This Row],[D, bottom '[m']]]-TP_DATA[[#This Row],[D, top '[m']]])/(TP_DATA[[#This Row],[Bottom '[m']]]-TP_DATA[[#This Row],[Top '[m']]]),"")</f>
        <v/>
      </c>
      <c r="BD71" s="79" t="str">
        <f t="shared" si="1"/>
        <v/>
      </c>
      <c r="BE71" s="79" t="str">
        <f>IFERROR((TP_DATA[[#This Row],[D, bottom '[m']]]+TP_DATA[[#This Row],[D, top '[m']]])/(2*TP_DATA[[#This Row],[t '[mm']]]/1000),"")</f>
        <v/>
      </c>
      <c r="BF71" s="79"/>
      <c r="CP71" s="126">
        <v>41</v>
      </c>
      <c r="CQ71" s="120">
        <v>82.84</v>
      </c>
      <c r="CR71" s="120">
        <v>82.56</v>
      </c>
      <c r="CS71" s="120">
        <v>6.6619999999999999</v>
      </c>
      <c r="CT71" s="120">
        <v>6.6689999999999996</v>
      </c>
      <c r="CU71" s="120">
        <v>31.2</v>
      </c>
      <c r="CV71" s="79">
        <f>IFERROR(TOWER_DATA[[#This Row],[Top '[m']]]-TOWER_DATA[[#This Row],[Bottom '[m']]], "")</f>
        <v>0.28000000000000114</v>
      </c>
      <c r="CW71" s="79">
        <f>IFERROR(-(TOWER_DATA[[#This Row],[D, bottom '[m']]]-TOWER_DATA[[#This Row],[D, top '[m']]])/(TOWER_DATA[[#This Row],[Bottom '[m']]]-TOWER_DATA[[#This Row],[Top '[m']]]),"")</f>
        <v>2.4999999999998732E-2</v>
      </c>
      <c r="CX71" s="79">
        <f t="shared" si="2"/>
        <v>1.4293127277149946</v>
      </c>
      <c r="CY71" s="79">
        <f>IFERROR((TOWER_DATA[[#This Row],[D, bottom '[m']]]+TOWER_DATA[[#This Row],[D, top '[m']]])/(2*TOWER_DATA[[#This Row],[t '[mm']]]/1000),"")</f>
        <v>213.63782051282053</v>
      </c>
      <c r="CZ71" s="79"/>
      <c r="DA71" s="127" t="s">
        <v>262</v>
      </c>
      <c r="DB71" s="127">
        <v>66.029999999999987</v>
      </c>
      <c r="DC71" s="127">
        <v>66.029999999999987</v>
      </c>
      <c r="DD71" s="127">
        <v>1061</v>
      </c>
      <c r="DE71" s="127"/>
      <c r="DF71" s="127"/>
      <c r="DG71" s="127"/>
      <c r="DH71" s="127"/>
      <c r="DI71" s="127"/>
      <c r="DK71" s="77">
        <v>41</v>
      </c>
      <c r="DL71" s="77">
        <v>82.84</v>
      </c>
      <c r="DM71" s="77">
        <v>82.56</v>
      </c>
      <c r="DN71" s="77">
        <v>6.6619999999999999</v>
      </c>
      <c r="DO71" s="77">
        <v>6.6689999999999996</v>
      </c>
      <c r="DP71" s="77">
        <v>31.2</v>
      </c>
      <c r="DR71" s="100" t="s">
        <v>262</v>
      </c>
      <c r="DS71" s="100">
        <v>66.029999999999987</v>
      </c>
      <c r="DT71" s="100">
        <v>66.029999999999987</v>
      </c>
      <c r="DU71" s="100">
        <v>1061</v>
      </c>
      <c r="DV71" s="127"/>
      <c r="DW71" s="127"/>
      <c r="DX71" s="127"/>
      <c r="DY71" s="127"/>
      <c r="DZ71" s="127"/>
      <c r="EQ71" s="79"/>
      <c r="ER71" s="79"/>
    </row>
    <row r="72" spans="2:148" x14ac:dyDescent="0.3">
      <c r="B72" s="79"/>
      <c r="C72" s="79"/>
      <c r="D72" s="79"/>
      <c r="E72" s="79"/>
      <c r="F72" s="79"/>
      <c r="G72" s="79"/>
      <c r="H72" s="79" t="str">
        <f>IFERROR(MP_DATA[[#This Row],[Bottom '[m']]]-MP_DATA[[#This Row],[D, top '[m']]], "")</f>
        <v/>
      </c>
      <c r="I72" s="79" t="str">
        <f>IFERROR(-(MP_DATA[[#This Row],[D, bottom '[m']]]-MP_DATA[[#This Row],[D, top '[m']]])/(MP_DATA[[#This Row],[Bottom '[m']]]-MP_DATA[[#This Row],[Top '[m']]]),"")</f>
        <v/>
      </c>
      <c r="J72" s="79" t="str">
        <f t="shared" si="3"/>
        <v/>
      </c>
      <c r="K72" s="79" t="str">
        <f>IFERROR((MP_DATA[[#This Row],[D, bottom '[m']]]+MP_DATA[[#This Row],[D, top '[m']]])/(2*MP_DATA[[#This Row],[t '[mm']]]/1000),"")</f>
        <v/>
      </c>
      <c r="L72" s="79" t="str">
        <f>IFERROR((MP_DATA[[#This Row],[D, bottom '[m']]]+#REF!)/(2*#REF!/1000),"")</f>
        <v/>
      </c>
      <c r="BB72" s="79" t="str">
        <f>IFERROR(TP_DATA[[#This Row],[Bottom '[m']]]-TP_DATA[[#This Row],[D, top '[m']]], "")</f>
        <v/>
      </c>
      <c r="BC72" s="79" t="str">
        <f>IFERROR(-(TP_DATA[[#This Row],[D, bottom '[m']]]-TP_DATA[[#This Row],[D, top '[m']]])/(TP_DATA[[#This Row],[Bottom '[m']]]-TP_DATA[[#This Row],[Top '[m']]]),"")</f>
        <v/>
      </c>
      <c r="BD72" s="79" t="str">
        <f t="shared" si="1"/>
        <v/>
      </c>
      <c r="BE72" s="79" t="str">
        <f>IFERROR((TP_DATA[[#This Row],[D, bottom '[m']]]+TP_DATA[[#This Row],[D, top '[m']]])/(2*TP_DATA[[#This Row],[t '[mm']]]/1000),"")</f>
        <v/>
      </c>
      <c r="BF72" s="79" t="str">
        <f>IFERROR((TP_DATA[[#This Row],[D, bottom '[m']]]+#REF!)/(2*#REF!/1000),"")</f>
        <v/>
      </c>
      <c r="CP72" s="126">
        <v>42</v>
      </c>
      <c r="CQ72" s="120">
        <v>82.56</v>
      </c>
      <c r="CR72" s="120">
        <v>80.900000000000006</v>
      </c>
      <c r="CS72" s="120">
        <v>6.6689999999999996</v>
      </c>
      <c r="CT72" s="120">
        <v>6.7060000000000004</v>
      </c>
      <c r="CU72" s="120">
        <v>31.2</v>
      </c>
      <c r="CV72" s="79">
        <f>IFERROR(TOWER_DATA[[#This Row],[Top '[m']]]-TOWER_DATA[[#This Row],[Bottom '[m']]], "")</f>
        <v>1.6599999999999966</v>
      </c>
      <c r="CW72" s="79">
        <f>IFERROR(-(TOWER_DATA[[#This Row],[D, bottom '[m']]]-TOWER_DATA[[#This Row],[D, top '[m']]])/(TOWER_DATA[[#This Row],[Bottom '[m']]]-TOWER_DATA[[#This Row],[Top '[m']]]),"")</f>
        <v>2.2289156626506559E-2</v>
      </c>
      <c r="CX72" s="79">
        <f t="shared" si="2"/>
        <v>8.5018825076561395</v>
      </c>
      <c r="CY72" s="79">
        <f>IFERROR((TOWER_DATA[[#This Row],[D, bottom '[m']]]+TOWER_DATA[[#This Row],[D, top '[m']]])/(2*TOWER_DATA[[#This Row],[t '[mm']]]/1000),"")</f>
        <v>214.34294871794873</v>
      </c>
      <c r="CZ72" s="79" t="str">
        <f>IFERROR((TOWER_DATA[[#This Row],[D, bottom '[m']]]+#REF!)/(2*#REF!/1000),"")</f>
        <v/>
      </c>
      <c r="DA72" s="127" t="s">
        <v>262</v>
      </c>
      <c r="DB72" s="127">
        <v>63.308000000000007</v>
      </c>
      <c r="DC72" s="127">
        <v>63.308000000000007</v>
      </c>
      <c r="DD72" s="127">
        <v>143</v>
      </c>
      <c r="DE72" s="127"/>
      <c r="DF72" s="127"/>
      <c r="DG72" s="127"/>
      <c r="DH72" s="127"/>
      <c r="DI72" s="127"/>
      <c r="DK72" s="77">
        <v>42</v>
      </c>
      <c r="DL72" s="77">
        <v>82.56</v>
      </c>
      <c r="DM72" s="77">
        <v>80.900000000000006</v>
      </c>
      <c r="DN72" s="77">
        <v>6.6689999999999996</v>
      </c>
      <c r="DO72" s="77">
        <v>6.7060000000000004</v>
      </c>
      <c r="DP72" s="77">
        <v>31.2</v>
      </c>
      <c r="DR72" s="100" t="s">
        <v>262</v>
      </c>
      <c r="DS72" s="100">
        <v>63.308000000000007</v>
      </c>
      <c r="DT72" s="100">
        <v>63.308000000000007</v>
      </c>
      <c r="DU72" s="100">
        <v>143</v>
      </c>
      <c r="DV72" s="127"/>
      <c r="DW72" s="127"/>
      <c r="DX72" s="127"/>
      <c r="DY72" s="127"/>
      <c r="DZ72" s="127"/>
      <c r="EQ72" s="79"/>
      <c r="ER72" s="79"/>
    </row>
    <row r="73" spans="2:148" x14ac:dyDescent="0.3">
      <c r="B73" s="79"/>
      <c r="C73" s="79"/>
      <c r="D73" s="79"/>
      <c r="E73" s="79"/>
      <c r="F73" s="79"/>
      <c r="G73" s="79"/>
      <c r="H73" s="79" t="str">
        <f>IFERROR(MP_DATA[[#This Row],[Bottom '[m']]]-MP_DATA[[#This Row],[D, top '[m']]], "")</f>
        <v/>
      </c>
      <c r="I73" s="79" t="str">
        <f>IFERROR(-(MP_DATA[[#This Row],[D, bottom '[m']]]-MP_DATA[[#This Row],[D, top '[m']]])/(MP_DATA[[#This Row],[Bottom '[m']]]-MP_DATA[[#This Row],[Top '[m']]]),"")</f>
        <v/>
      </c>
      <c r="J73" s="79" t="str">
        <f t="shared" si="3"/>
        <v/>
      </c>
      <c r="K73" s="79" t="str">
        <f>IFERROR((MP_DATA[[#This Row],[D, bottom '[m']]]+MP_DATA[[#This Row],[D, top '[m']]])/(2*MP_DATA[[#This Row],[t '[mm']]]/1000),"")</f>
        <v/>
      </c>
      <c r="L73" s="79" t="str">
        <f>IFERROR((MP_DATA[[#This Row],[D, bottom '[m']]]+#REF!)/(2*#REF!/1000),"")</f>
        <v/>
      </c>
      <c r="BB73" s="79" t="str">
        <f>IFERROR(TP_DATA[[#This Row],[Bottom '[m']]]-TP_DATA[[#This Row],[D, top '[m']]], "")</f>
        <v/>
      </c>
      <c r="BC73" s="79" t="str">
        <f>IFERROR(-(TP_DATA[[#This Row],[D, bottom '[m']]]-TP_DATA[[#This Row],[D, top '[m']]])/(TP_DATA[[#This Row],[Bottom '[m']]]-TP_DATA[[#This Row],[Top '[m']]]),"")</f>
        <v/>
      </c>
      <c r="BD73" s="79" t="str">
        <f t="shared" si="1"/>
        <v/>
      </c>
      <c r="BE73" s="79" t="str">
        <f>IFERROR((TP_DATA[[#This Row],[D, bottom '[m']]]+TP_DATA[[#This Row],[D, top '[m']]])/(2*TP_DATA[[#This Row],[t '[mm']]]/1000),"")</f>
        <v/>
      </c>
      <c r="BF73" s="79" t="str">
        <f>IFERROR((TP_DATA[[#This Row],[D, bottom '[m']]]+#REF!)/(2*#REF!/1000),"")</f>
        <v/>
      </c>
      <c r="CP73" s="126">
        <v>43</v>
      </c>
      <c r="CQ73" s="120">
        <v>80.900000000000006</v>
      </c>
      <c r="CR73" s="120">
        <v>80.118000000000009</v>
      </c>
      <c r="CS73" s="120">
        <v>6.7060000000000004</v>
      </c>
      <c r="CT73" s="120">
        <v>6.7240000000000002</v>
      </c>
      <c r="CU73" s="120">
        <v>31.2</v>
      </c>
      <c r="CV73" s="79">
        <f>IFERROR(TOWER_DATA[[#This Row],[Top '[m']]]-TOWER_DATA[[#This Row],[Bottom '[m']]], "")</f>
        <v>0.78199999999999648</v>
      </c>
      <c r="CW73" s="79">
        <f>IFERROR(-(TOWER_DATA[[#This Row],[D, bottom '[m']]]-TOWER_DATA[[#This Row],[D, top '[m']]])/(TOWER_DATA[[#This Row],[Bottom '[m']]]-TOWER_DATA[[#This Row],[Top '[m']]]),"")</f>
        <v>2.3017902813299074E-2</v>
      </c>
      <c r="CX73" s="79">
        <f t="shared" si="2"/>
        <v>4.0216504702994413</v>
      </c>
      <c r="CY73" s="79">
        <f>IFERROR((TOWER_DATA[[#This Row],[D, bottom '[m']]]+TOWER_DATA[[#This Row],[D, top '[m']]])/(2*TOWER_DATA[[#This Row],[t '[mm']]]/1000),"")</f>
        <v>215.22435897435898</v>
      </c>
      <c r="CZ73" s="79" t="str">
        <f>IFERROR((TOWER_DATA[[#This Row],[D, bottom '[m']]]+#REF!)/(2*#REF!/1000),"")</f>
        <v/>
      </c>
      <c r="DA73" s="127" t="s">
        <v>262</v>
      </c>
      <c r="DB73" s="127">
        <v>62.007000000000005</v>
      </c>
      <c r="DC73" s="127">
        <v>62.007000000000005</v>
      </c>
      <c r="DD73" s="127">
        <v>144</v>
      </c>
      <c r="DE73" s="127"/>
      <c r="DF73" s="127"/>
      <c r="DG73" s="127"/>
      <c r="DH73" s="127"/>
      <c r="DI73" s="127"/>
      <c r="DK73" s="77">
        <v>43</v>
      </c>
      <c r="DL73" s="77">
        <v>80.900000000000006</v>
      </c>
      <c r="DM73" s="77">
        <v>80.118000000000009</v>
      </c>
      <c r="DN73" s="77">
        <v>6.7060000000000004</v>
      </c>
      <c r="DO73" s="77">
        <v>6.7240000000000002</v>
      </c>
      <c r="DP73" s="77">
        <v>31.2</v>
      </c>
      <c r="DR73" s="100" t="s">
        <v>262</v>
      </c>
      <c r="DS73" s="100">
        <v>62.007000000000005</v>
      </c>
      <c r="DT73" s="100">
        <v>62.007000000000005</v>
      </c>
      <c r="DU73" s="100">
        <v>144</v>
      </c>
      <c r="DV73" s="127"/>
      <c r="DW73" s="127"/>
      <c r="DX73" s="127"/>
      <c r="DY73" s="127"/>
      <c r="DZ73" s="127"/>
      <c r="EQ73" s="79"/>
      <c r="ER73" s="79"/>
    </row>
    <row r="74" spans="2:148" x14ac:dyDescent="0.3">
      <c r="B74" s="79"/>
      <c r="C74" s="79"/>
      <c r="D74" s="79"/>
      <c r="E74" s="79"/>
      <c r="F74" s="79"/>
      <c r="G74" s="79"/>
      <c r="H74" s="79" t="str">
        <f>IFERROR(MP_DATA[[#This Row],[Bottom '[m']]]-MP_DATA[[#This Row],[D, top '[m']]], "")</f>
        <v/>
      </c>
      <c r="I74" s="79" t="str">
        <f>IFERROR(-(MP_DATA[[#This Row],[D, bottom '[m']]]-MP_DATA[[#This Row],[D, top '[m']]])/(MP_DATA[[#This Row],[Bottom '[m']]]-MP_DATA[[#This Row],[Top '[m']]]),"")</f>
        <v/>
      </c>
      <c r="J74" s="79" t="str">
        <f t="shared" si="3"/>
        <v/>
      </c>
      <c r="K74" s="79" t="str">
        <f>IFERROR((MP_DATA[[#This Row],[D, bottom '[m']]]+MP_DATA[[#This Row],[D, top '[m']]])/(2*MP_DATA[[#This Row],[t '[mm']]]/1000),"")</f>
        <v/>
      </c>
      <c r="L74" s="79" t="str">
        <f>IFERROR((MP_DATA[[#This Row],[D, bottom '[m']]]+#REF!)/(2*#REF!/1000),"")</f>
        <v/>
      </c>
      <c r="BB74" s="79" t="str">
        <f>IFERROR(TP_DATA[[#This Row],[Bottom '[m']]]-TP_DATA[[#This Row],[D, top '[m']]], "")</f>
        <v/>
      </c>
      <c r="BC74" s="79" t="str">
        <f>IFERROR(-(TP_DATA[[#This Row],[D, bottom '[m']]]-TP_DATA[[#This Row],[D, top '[m']]])/(TP_DATA[[#This Row],[Bottom '[m']]]-TP_DATA[[#This Row],[Top '[m']]]),"")</f>
        <v/>
      </c>
      <c r="BD74" s="79" t="str">
        <f t="shared" si="1"/>
        <v/>
      </c>
      <c r="BE74" s="79" t="str">
        <f>IFERROR((TP_DATA[[#This Row],[D, bottom '[m']]]+TP_DATA[[#This Row],[D, top '[m']]])/(2*TP_DATA[[#This Row],[t '[mm']]]/1000),"")</f>
        <v/>
      </c>
      <c r="BF74" s="79" t="str">
        <f>IFERROR((TP_DATA[[#This Row],[D, bottom '[m']]]+#REF!)/(2*#REF!/1000),"")</f>
        <v/>
      </c>
      <c r="CP74" s="126">
        <v>44</v>
      </c>
      <c r="CQ74" s="120">
        <v>80.118000000000009</v>
      </c>
      <c r="CR74" s="120">
        <v>78.45</v>
      </c>
      <c r="CS74" s="120">
        <v>6.7240000000000002</v>
      </c>
      <c r="CT74" s="120">
        <v>6.7619999999999996</v>
      </c>
      <c r="CU74" s="120">
        <v>31.7</v>
      </c>
      <c r="CV74" s="79">
        <f>IFERROR(TOWER_DATA[[#This Row],[Top '[m']]]-TOWER_DATA[[#This Row],[Bottom '[m']]], "")</f>
        <v>1.6680000000000064</v>
      </c>
      <c r="CW74" s="79">
        <f>IFERROR(-(TOWER_DATA[[#This Row],[D, bottom '[m']]]-TOWER_DATA[[#This Row],[D, top '[m']]])/(TOWER_DATA[[#This Row],[Bottom '[m']]]-TOWER_DATA[[#This Row],[Top '[m']]]),"")</f>
        <v>2.2781774580335264E-2</v>
      </c>
      <c r="CX74" s="79">
        <f t="shared" si="2"/>
        <v>8.751479715240583</v>
      </c>
      <c r="CY74" s="79">
        <f>IFERROR((TOWER_DATA[[#This Row],[D, bottom '[m']]]+TOWER_DATA[[#This Row],[D, top '[m']]])/(2*TOWER_DATA[[#This Row],[t '[mm']]]/1000),"")</f>
        <v>212.71293375394325</v>
      </c>
      <c r="CZ74" s="79" t="str">
        <f>IFERROR((TOWER_DATA[[#This Row],[D, bottom '[m']]]+#REF!)/(2*#REF!/1000),"")</f>
        <v/>
      </c>
      <c r="DA74" s="127" t="s">
        <v>262</v>
      </c>
      <c r="DB74" s="127">
        <v>57.896000000000001</v>
      </c>
      <c r="DC74" s="127">
        <v>57.896000000000001</v>
      </c>
      <c r="DD74" s="127">
        <v>144</v>
      </c>
      <c r="DE74" s="127"/>
      <c r="DF74" s="127"/>
      <c r="DG74" s="127"/>
      <c r="DH74" s="127"/>
      <c r="DI74" s="127"/>
      <c r="DK74" s="77">
        <v>44</v>
      </c>
      <c r="DL74" s="77">
        <v>80.118000000000009</v>
      </c>
      <c r="DM74" s="77">
        <v>78.45</v>
      </c>
      <c r="DN74" s="77">
        <v>6.7240000000000002</v>
      </c>
      <c r="DO74" s="77">
        <v>6.7619999999999996</v>
      </c>
      <c r="DP74" s="77">
        <v>31.7</v>
      </c>
      <c r="DR74" s="100" t="s">
        <v>262</v>
      </c>
      <c r="DS74" s="100">
        <v>57.896000000000001</v>
      </c>
      <c r="DT74" s="100">
        <v>57.896000000000001</v>
      </c>
      <c r="DU74" s="100">
        <v>144</v>
      </c>
      <c r="DV74" s="127"/>
      <c r="DW74" s="127"/>
      <c r="DX74" s="127"/>
      <c r="DY74" s="127"/>
      <c r="DZ74" s="127"/>
      <c r="EQ74" s="79"/>
      <c r="ER74" s="79"/>
    </row>
    <row r="75" spans="2:148" x14ac:dyDescent="0.3">
      <c r="B75" s="79"/>
      <c r="C75" s="79"/>
      <c r="D75" s="79"/>
      <c r="E75" s="79"/>
      <c r="F75" s="79"/>
      <c r="G75" s="79"/>
      <c r="H75" s="79" t="str">
        <f>IFERROR(MP_DATA[[#This Row],[Bottom '[m']]]-MP_DATA[[#This Row],[D, top '[m']]], "")</f>
        <v/>
      </c>
      <c r="I75" s="79" t="str">
        <f>IFERROR(-(MP_DATA[[#This Row],[D, bottom '[m']]]-MP_DATA[[#This Row],[D, top '[m']]])/(MP_DATA[[#This Row],[Bottom '[m']]]-MP_DATA[[#This Row],[Top '[m']]]),"")</f>
        <v/>
      </c>
      <c r="J75" s="79" t="str">
        <f t="shared" si="3"/>
        <v/>
      </c>
      <c r="K75" s="79" t="str">
        <f>IFERROR((MP_DATA[[#This Row],[D, bottom '[m']]]+MP_DATA[[#This Row],[D, top '[m']]])/(2*MP_DATA[[#This Row],[t '[mm']]]/1000),"")</f>
        <v/>
      </c>
      <c r="L75" s="79" t="str">
        <f>IFERROR((MP_DATA[[#This Row],[D, bottom '[m']]]+#REF!)/(2*#REF!/1000),"")</f>
        <v/>
      </c>
      <c r="BB75" s="79" t="str">
        <f>IFERROR(TP_DATA[[#This Row],[Bottom '[m']]]-TP_DATA[[#This Row],[D, top '[m']]], "")</f>
        <v/>
      </c>
      <c r="BC75" s="79" t="str">
        <f>IFERROR(-(TP_DATA[[#This Row],[D, bottom '[m']]]-TP_DATA[[#This Row],[D, top '[m']]])/(TP_DATA[[#This Row],[Bottom '[m']]]-TP_DATA[[#This Row],[Top '[m']]]),"")</f>
        <v/>
      </c>
      <c r="BD75" s="79" t="str">
        <f t="shared" si="1"/>
        <v/>
      </c>
      <c r="BE75" s="79" t="str">
        <f>IFERROR((TP_DATA[[#This Row],[D, bottom '[m']]]+TP_DATA[[#This Row],[D, top '[m']]])/(2*TP_DATA[[#This Row],[t '[mm']]]/1000),"")</f>
        <v/>
      </c>
      <c r="BF75" s="79" t="str">
        <f>IFERROR((TP_DATA[[#This Row],[D, bottom '[m']]]+#REF!)/(2*#REF!/1000),"")</f>
        <v/>
      </c>
      <c r="CP75" s="126">
        <v>45</v>
      </c>
      <c r="CQ75" s="120">
        <v>78.45</v>
      </c>
      <c r="CR75" s="120">
        <v>77.396000000000001</v>
      </c>
      <c r="CS75" s="120">
        <v>6.7619999999999996</v>
      </c>
      <c r="CT75" s="120">
        <v>6.7859999999999996</v>
      </c>
      <c r="CU75" s="120">
        <v>31.7</v>
      </c>
      <c r="CV75" s="79">
        <f>IFERROR(TOWER_DATA[[#This Row],[Top '[m']]]-TOWER_DATA[[#This Row],[Bottom '[m']]], "")</f>
        <v>1.054000000000002</v>
      </c>
      <c r="CW75" s="79">
        <f>IFERROR(-(TOWER_DATA[[#This Row],[D, bottom '[m']]]-TOWER_DATA[[#This Row],[D, top '[m']]])/(TOWER_DATA[[#This Row],[Bottom '[m']]]-TOWER_DATA[[#This Row],[Top '[m']]]),"")</f>
        <v>2.277039848197341E-2</v>
      </c>
      <c r="CX75" s="79">
        <f t="shared" si="2"/>
        <v>5.5555553031988758</v>
      </c>
      <c r="CY75" s="79">
        <f>IFERROR((TOWER_DATA[[#This Row],[D, bottom '[m']]]+TOWER_DATA[[#This Row],[D, top '[m']]])/(2*TOWER_DATA[[#This Row],[t '[mm']]]/1000),"")</f>
        <v>213.69085173501574</v>
      </c>
      <c r="CZ75" s="79" t="str">
        <f>IFERROR((TOWER_DATA[[#This Row],[D, bottom '[m']]]+#REF!)/(2*#REF!/1000),"")</f>
        <v/>
      </c>
      <c r="DA75" s="127" t="s">
        <v>262</v>
      </c>
      <c r="DB75" s="127">
        <v>55.153999999999996</v>
      </c>
      <c r="DC75" s="127">
        <v>55.153999999999996</v>
      </c>
      <c r="DD75" s="127">
        <v>144</v>
      </c>
      <c r="DE75" s="127"/>
      <c r="DF75" s="127"/>
      <c r="DG75" s="127"/>
      <c r="DH75" s="127"/>
      <c r="DI75" s="127"/>
      <c r="DK75" s="77">
        <v>45</v>
      </c>
      <c r="DL75" s="77">
        <v>78.45</v>
      </c>
      <c r="DM75" s="77">
        <v>77.396000000000001</v>
      </c>
      <c r="DN75" s="77">
        <v>6.7619999999999996</v>
      </c>
      <c r="DO75" s="77">
        <v>6.7859999999999996</v>
      </c>
      <c r="DP75" s="77">
        <v>31.7</v>
      </c>
      <c r="DR75" s="100" t="s">
        <v>262</v>
      </c>
      <c r="DS75" s="100">
        <v>55.153999999999996</v>
      </c>
      <c r="DT75" s="100">
        <v>55.153999999999996</v>
      </c>
      <c r="DU75" s="100">
        <v>144</v>
      </c>
      <c r="DV75" s="127"/>
      <c r="DW75" s="127"/>
      <c r="DX75" s="127"/>
      <c r="DY75" s="127"/>
      <c r="DZ75" s="127"/>
      <c r="EQ75" s="79"/>
      <c r="ER75" s="79"/>
    </row>
    <row r="76" spans="2:148" x14ac:dyDescent="0.3">
      <c r="B76" s="79"/>
      <c r="C76" s="79"/>
      <c r="D76" s="79"/>
      <c r="E76" s="79"/>
      <c r="F76" s="79"/>
      <c r="G76" s="79"/>
      <c r="H76" s="79" t="str">
        <f>IFERROR(MP_DATA[[#This Row],[Bottom '[m']]]-MP_DATA[[#This Row],[D, top '[m']]], "")</f>
        <v/>
      </c>
      <c r="I76" s="79" t="str">
        <f>IFERROR(-(MP_DATA[[#This Row],[D, bottom '[m']]]-MP_DATA[[#This Row],[D, top '[m']]])/(MP_DATA[[#This Row],[Bottom '[m']]]-MP_DATA[[#This Row],[Top '[m']]]),"")</f>
        <v/>
      </c>
      <c r="J76" s="79" t="str">
        <f t="shared" si="3"/>
        <v/>
      </c>
      <c r="K76" s="79" t="str">
        <f>IFERROR((MP_DATA[[#This Row],[D, bottom '[m']]]+MP_DATA[[#This Row],[D, top '[m']]])/(2*MP_DATA[[#This Row],[t '[mm']]]/1000),"")</f>
        <v/>
      </c>
      <c r="L76" s="79" t="str">
        <f>IFERROR((MP_DATA[[#This Row],[D, bottom '[m']]]+#REF!)/(2*#REF!/1000),"")</f>
        <v/>
      </c>
      <c r="BB76" s="79" t="str">
        <f>IFERROR(TP_DATA[[#This Row],[Bottom '[m']]]-TP_DATA[[#This Row],[D, top '[m']]], "")</f>
        <v/>
      </c>
      <c r="BC76" s="79" t="str">
        <f>IFERROR(-(TP_DATA[[#This Row],[D, bottom '[m']]]-TP_DATA[[#This Row],[D, top '[m']]])/(TP_DATA[[#This Row],[Bottom '[m']]]-TP_DATA[[#This Row],[Top '[m']]]),"")</f>
        <v/>
      </c>
      <c r="BD76" s="79" t="str">
        <f t="shared" si="1"/>
        <v/>
      </c>
      <c r="BE76" s="79" t="str">
        <f>IFERROR((TP_DATA[[#This Row],[D, bottom '[m']]]+TP_DATA[[#This Row],[D, top '[m']]])/(2*TP_DATA[[#This Row],[t '[mm']]]/1000),"")</f>
        <v/>
      </c>
      <c r="BF76" s="79" t="str">
        <f>IFERROR((TP_DATA[[#This Row],[D, bottom '[m']]]+#REF!)/(2*#REF!/1000),"")</f>
        <v/>
      </c>
      <c r="CP76" s="126">
        <v>46</v>
      </c>
      <c r="CQ76" s="120">
        <v>77.396000000000001</v>
      </c>
      <c r="CR76" s="120">
        <v>74.674000000000007</v>
      </c>
      <c r="CS76" s="120">
        <v>6.7859999999999996</v>
      </c>
      <c r="CT76" s="120">
        <v>6.8479999999999999</v>
      </c>
      <c r="CU76" s="120">
        <v>32.200000000000003</v>
      </c>
      <c r="CV76" s="79">
        <f>IFERROR(TOWER_DATA[[#This Row],[Top '[m']]]-TOWER_DATA[[#This Row],[Bottom '[m']]], "")</f>
        <v>2.7219999999999942</v>
      </c>
      <c r="CW76" s="79">
        <f>IFERROR(-(TOWER_DATA[[#This Row],[D, bottom '[m']]]-TOWER_DATA[[#This Row],[D, top '[m']]])/(TOWER_DATA[[#This Row],[Bottom '[m']]]-TOWER_DATA[[#This Row],[Top '[m']]]),"")</f>
        <v>2.2777369581190452E-2</v>
      </c>
      <c r="CX76" s="79">
        <f t="shared" si="2"/>
        <v>14.665624875429092</v>
      </c>
      <c r="CY76" s="79">
        <f>IFERROR((TOWER_DATA[[#This Row],[D, bottom '[m']]]+TOWER_DATA[[#This Row],[D, top '[m']]])/(2*TOWER_DATA[[#This Row],[t '[mm']]]/1000),"")</f>
        <v>211.70807453416151</v>
      </c>
      <c r="CZ76" s="79" t="str">
        <f>IFERROR((TOWER_DATA[[#This Row],[D, bottom '[m']]]+#REF!)/(2*#REF!/1000),"")</f>
        <v/>
      </c>
      <c r="DA76" s="127" t="s">
        <v>262</v>
      </c>
      <c r="DB76" s="127">
        <v>53.786000000000001</v>
      </c>
      <c r="DC76" s="127">
        <v>53.786000000000001</v>
      </c>
      <c r="DD76" s="127">
        <v>145</v>
      </c>
      <c r="DE76" s="127"/>
      <c r="DF76" s="127"/>
      <c r="DG76" s="127"/>
      <c r="DH76" s="127"/>
      <c r="DI76" s="127"/>
      <c r="DK76" s="77">
        <v>46</v>
      </c>
      <c r="DL76" s="77">
        <v>77.396000000000001</v>
      </c>
      <c r="DM76" s="77">
        <v>74.674000000000007</v>
      </c>
      <c r="DN76" s="77">
        <v>6.7859999999999996</v>
      </c>
      <c r="DO76" s="77">
        <v>6.8479999999999999</v>
      </c>
      <c r="DP76" s="77">
        <v>32.200000000000003</v>
      </c>
      <c r="DR76" s="100" t="s">
        <v>262</v>
      </c>
      <c r="DS76" s="100">
        <v>53.786000000000001</v>
      </c>
      <c r="DT76" s="100">
        <v>53.786000000000001</v>
      </c>
      <c r="DU76" s="100">
        <v>145</v>
      </c>
      <c r="DV76" s="127"/>
      <c r="DW76" s="127"/>
      <c r="DX76" s="127"/>
      <c r="DY76" s="127"/>
      <c r="DZ76" s="127"/>
      <c r="EQ76" s="79"/>
      <c r="ER76" s="79"/>
    </row>
    <row r="77" spans="2:148" x14ac:dyDescent="0.3">
      <c r="B77" s="79"/>
      <c r="C77" s="79"/>
      <c r="D77" s="79"/>
      <c r="E77" s="79"/>
      <c r="F77" s="79"/>
      <c r="G77" s="79"/>
      <c r="H77" s="79" t="str">
        <f>IFERROR(MP_DATA[[#This Row],[Bottom '[m']]]-MP_DATA[[#This Row],[D, top '[m']]], "")</f>
        <v/>
      </c>
      <c r="I77" s="79" t="str">
        <f>IFERROR(-(MP_DATA[[#This Row],[D, bottom '[m']]]-MP_DATA[[#This Row],[D, top '[m']]])/(MP_DATA[[#This Row],[Bottom '[m']]]-MP_DATA[[#This Row],[Top '[m']]]),"")</f>
        <v/>
      </c>
      <c r="J77" s="79" t="str">
        <f t="shared" si="3"/>
        <v/>
      </c>
      <c r="K77" s="79" t="str">
        <f>IFERROR((MP_DATA[[#This Row],[D, bottom '[m']]]+MP_DATA[[#This Row],[D, top '[m']]])/(2*MP_DATA[[#This Row],[t '[mm']]]/1000),"")</f>
        <v/>
      </c>
      <c r="L77" s="79" t="str">
        <f>IFERROR((MP_DATA[[#This Row],[D, bottom '[m']]]+#REF!)/(2*#REF!/1000),"")</f>
        <v/>
      </c>
      <c r="BB77" s="79" t="str">
        <f>IFERROR(TP_DATA[[#This Row],[Bottom '[m']]]-TP_DATA[[#This Row],[D, top '[m']]], "")</f>
        <v/>
      </c>
      <c r="BC77" s="79" t="str">
        <f>IFERROR(-(TP_DATA[[#This Row],[D, bottom '[m']]]-TP_DATA[[#This Row],[D, top '[m']]])/(TP_DATA[[#This Row],[Bottom '[m']]]-TP_DATA[[#This Row],[Top '[m']]]),"")</f>
        <v/>
      </c>
      <c r="BD77" s="79" t="str">
        <f t="shared" si="1"/>
        <v/>
      </c>
      <c r="BE77" s="79" t="str">
        <f>IFERROR((TP_DATA[[#This Row],[D, bottom '[m']]]+TP_DATA[[#This Row],[D, top '[m']]])/(2*TP_DATA[[#This Row],[t '[mm']]]/1000),"")</f>
        <v/>
      </c>
      <c r="BF77" s="79" t="str">
        <f>IFERROR((TP_DATA[[#This Row],[D, bottom '[m']]]+#REF!)/(2*#REF!/1000),"")</f>
        <v/>
      </c>
      <c r="CP77" s="126">
        <v>47</v>
      </c>
      <c r="CQ77" s="120">
        <v>74.674000000000007</v>
      </c>
      <c r="CR77" s="120">
        <v>71.951999999999998</v>
      </c>
      <c r="CS77" s="120">
        <v>6.8479999999999999</v>
      </c>
      <c r="CT77" s="120">
        <v>6.9109999999999996</v>
      </c>
      <c r="CU77" s="120">
        <v>32.5</v>
      </c>
      <c r="CV77" s="79">
        <f>IFERROR(TOWER_DATA[[#This Row],[Top '[m']]]-TOWER_DATA[[#This Row],[Bottom '[m']]], "")</f>
        <v>2.7220000000000084</v>
      </c>
      <c r="CW77" s="79">
        <f>IFERROR(-(TOWER_DATA[[#This Row],[D, bottom '[m']]]-TOWER_DATA[[#This Row],[D, top '[m']]])/(TOWER_DATA[[#This Row],[Bottom '[m']]]-TOWER_DATA[[#This Row],[Top '[m']]]),"")</f>
        <v>2.3144746509919004E-2</v>
      </c>
      <c r="CX77" s="79">
        <f t="shared" si="2"/>
        <v>14.937961615821818</v>
      </c>
      <c r="CY77" s="79">
        <f>IFERROR((TOWER_DATA[[#This Row],[D, bottom '[m']]]+TOWER_DATA[[#This Row],[D, top '[m']]])/(2*TOWER_DATA[[#This Row],[t '[mm']]]/1000),"")</f>
        <v>211.67692307692309</v>
      </c>
      <c r="CZ77" s="79" t="str">
        <f>IFERROR((TOWER_DATA[[#This Row],[D, bottom '[m']]]+#REF!)/(2*#REF!/1000),"")</f>
        <v/>
      </c>
      <c r="DA77" s="127" t="s">
        <v>262</v>
      </c>
      <c r="DB77" s="127">
        <v>50.900000000000006</v>
      </c>
      <c r="DC77" s="127">
        <v>50.900000000000006</v>
      </c>
      <c r="DD77" s="127">
        <v>145</v>
      </c>
      <c r="DE77" s="127"/>
      <c r="DF77" s="127"/>
      <c r="DG77" s="127"/>
      <c r="DH77" s="127"/>
      <c r="DI77" s="127"/>
      <c r="DK77" s="77">
        <v>47</v>
      </c>
      <c r="DL77" s="77">
        <v>74.674000000000007</v>
      </c>
      <c r="DM77" s="77">
        <v>71.951999999999998</v>
      </c>
      <c r="DN77" s="77">
        <v>6.8479999999999999</v>
      </c>
      <c r="DO77" s="77">
        <v>6.9109999999999996</v>
      </c>
      <c r="DP77" s="77">
        <v>32.5</v>
      </c>
      <c r="DR77" s="100" t="s">
        <v>262</v>
      </c>
      <c r="DS77" s="100">
        <v>50.900000000000006</v>
      </c>
      <c r="DT77" s="100">
        <v>50.900000000000006</v>
      </c>
      <c r="DU77" s="100">
        <v>145</v>
      </c>
      <c r="DV77" s="127"/>
      <c r="DW77" s="127"/>
      <c r="DX77" s="127"/>
      <c r="DY77" s="127"/>
      <c r="DZ77" s="127"/>
      <c r="EQ77" s="79"/>
      <c r="ER77" s="79"/>
    </row>
    <row r="78" spans="2:148" x14ac:dyDescent="0.3">
      <c r="B78" s="79"/>
      <c r="C78" s="79"/>
      <c r="D78" s="79"/>
      <c r="E78" s="79"/>
      <c r="F78" s="79"/>
      <c r="G78" s="79"/>
      <c r="H78" s="79" t="str">
        <f>IFERROR(MP_DATA[[#This Row],[Bottom '[m']]]-MP_DATA[[#This Row],[D, top '[m']]], "")</f>
        <v/>
      </c>
      <c r="I78" s="79" t="str">
        <f>IFERROR(-(MP_DATA[[#This Row],[D, bottom '[m']]]-MP_DATA[[#This Row],[D, top '[m']]])/(MP_DATA[[#This Row],[Bottom '[m']]]-MP_DATA[[#This Row],[Top '[m']]]),"")</f>
        <v/>
      </c>
      <c r="J78" s="79" t="str">
        <f t="shared" si="3"/>
        <v/>
      </c>
      <c r="K78" s="79" t="str">
        <f>IFERROR((MP_DATA[[#This Row],[D, bottom '[m']]]+MP_DATA[[#This Row],[D, top '[m']]])/(2*MP_DATA[[#This Row],[t '[mm']]]/1000),"")</f>
        <v/>
      </c>
      <c r="L78" s="79" t="str">
        <f>IFERROR((MP_DATA[[#This Row],[D, bottom '[m']]]+#REF!)/(2*#REF!/1000),"")</f>
        <v/>
      </c>
      <c r="BB78" s="79" t="str">
        <f>IFERROR(TP_DATA[[#This Row],[Bottom '[m']]]-TP_DATA[[#This Row],[D, top '[m']]], "")</f>
        <v/>
      </c>
      <c r="BC78" s="79" t="str">
        <f>IFERROR(-(TP_DATA[[#This Row],[D, bottom '[m']]]-TP_DATA[[#This Row],[D, top '[m']]])/(TP_DATA[[#This Row],[Bottom '[m']]]-TP_DATA[[#This Row],[Top '[m']]]),"")</f>
        <v/>
      </c>
      <c r="BD78" s="79" t="str">
        <f t="shared" si="1"/>
        <v/>
      </c>
      <c r="BE78" s="79" t="str">
        <f>IFERROR((TP_DATA[[#This Row],[D, bottom '[m']]]+TP_DATA[[#This Row],[D, top '[m']]])/(2*TP_DATA[[#This Row],[t '[mm']]]/1000),"")</f>
        <v/>
      </c>
      <c r="BF78" s="79" t="str">
        <f>IFERROR((TP_DATA[[#This Row],[D, bottom '[m']]]+#REF!)/(2*#REF!/1000),"")</f>
        <v/>
      </c>
      <c r="CP78" s="126">
        <v>48</v>
      </c>
      <c r="CQ78" s="120">
        <v>71.951999999999998</v>
      </c>
      <c r="CR78" s="120">
        <v>70.900000000000006</v>
      </c>
      <c r="CS78" s="120">
        <v>6.9109999999999996</v>
      </c>
      <c r="CT78" s="120">
        <v>6.9340000000000002</v>
      </c>
      <c r="CU78" s="120">
        <v>33.5</v>
      </c>
      <c r="CV78" s="79">
        <f>IFERROR(TOWER_DATA[[#This Row],[Top '[m']]]-TOWER_DATA[[#This Row],[Bottom '[m']]], "")</f>
        <v>1.0519999999999925</v>
      </c>
      <c r="CW78" s="79">
        <f>IFERROR(-(TOWER_DATA[[#This Row],[D, bottom '[m']]]-TOWER_DATA[[#This Row],[D, top '[m']]])/(TOWER_DATA[[#This Row],[Bottom '[m']]]-TOWER_DATA[[#This Row],[Top '[m']]]),"")</f>
        <v>2.1863117870723137E-2</v>
      </c>
      <c r="CX78" s="79">
        <f t="shared" si="2"/>
        <v>5.9873722621344063</v>
      </c>
      <c r="CY78" s="79">
        <f>IFERROR((TOWER_DATA[[#This Row],[D, bottom '[m']]]+TOWER_DATA[[#This Row],[D, top '[m']]])/(2*TOWER_DATA[[#This Row],[t '[mm']]]/1000),"")</f>
        <v>206.64179104477608</v>
      </c>
      <c r="CZ78" s="79" t="str">
        <f>IFERROR((TOWER_DATA[[#This Row],[D, bottom '[m']]]+#REF!)/(2*#REF!/1000),"")</f>
        <v/>
      </c>
      <c r="DA78" s="127" t="s">
        <v>262</v>
      </c>
      <c r="DB78" s="127">
        <v>49.674999999999997</v>
      </c>
      <c r="DC78" s="127">
        <v>49.674999999999997</v>
      </c>
      <c r="DD78" s="127">
        <v>145</v>
      </c>
      <c r="DE78" s="127"/>
      <c r="DF78" s="127"/>
      <c r="DG78" s="127"/>
      <c r="DH78" s="127"/>
      <c r="DI78" s="127"/>
      <c r="DK78" s="77">
        <v>48</v>
      </c>
      <c r="DL78" s="77">
        <v>71.951999999999998</v>
      </c>
      <c r="DM78" s="77">
        <v>70.900000000000006</v>
      </c>
      <c r="DN78" s="77">
        <v>6.9109999999999996</v>
      </c>
      <c r="DO78" s="77">
        <v>6.9340000000000002</v>
      </c>
      <c r="DP78" s="77">
        <v>33.5</v>
      </c>
      <c r="DR78" s="100" t="s">
        <v>262</v>
      </c>
      <c r="DS78" s="100">
        <v>49.674999999999997</v>
      </c>
      <c r="DT78" s="100">
        <v>49.674999999999997</v>
      </c>
      <c r="DU78" s="100">
        <v>145</v>
      </c>
      <c r="DV78" s="127"/>
      <c r="DW78" s="127"/>
      <c r="DX78" s="127"/>
      <c r="DY78" s="127"/>
      <c r="DZ78" s="127"/>
      <c r="EQ78" s="79"/>
      <c r="ER78" s="79"/>
    </row>
    <row r="79" spans="2:148" x14ac:dyDescent="0.3">
      <c r="B79" s="79"/>
      <c r="D79" s="79"/>
      <c r="F79" s="79"/>
      <c r="H79" s="79" t="str">
        <f>IFERROR(MP_DATA[[#This Row],[Bottom '[m']]]-MP_DATA[[#This Row],[D, top '[m']]], "")</f>
        <v/>
      </c>
      <c r="I79" t="str">
        <f>IFERROR(-(MP_DATA[[#This Row],[D, bottom '[m']]]-MP_DATA[[#This Row],[D, top '[m']]])/(MP_DATA[[#This Row],[Bottom '[m']]]-MP_DATA[[#This Row],[Top '[m']]]),"")</f>
        <v/>
      </c>
      <c r="J79" s="79" t="str">
        <f t="shared" si="3"/>
        <v/>
      </c>
      <c r="K79" s="79" t="str">
        <f>IFERROR((MP_DATA[[#This Row],[D, bottom '[m']]]+MP_DATA[[#This Row],[D, top '[m']]])/(2*MP_DATA[[#This Row],[t '[mm']]]/1000),"")</f>
        <v/>
      </c>
      <c r="L79" s="79" t="str">
        <f>IFERROR((MP_DATA[[#This Row],[D, bottom '[m']]]+#REF!)/(2*#REF!/1000),"")</f>
        <v/>
      </c>
      <c r="BB79" s="79" t="str">
        <f>IFERROR(TP_DATA[[#This Row],[Bottom '[m']]]-TP_DATA[[#This Row],[D, top '[m']]], "")</f>
        <v/>
      </c>
      <c r="BC79" s="79" t="str">
        <f>IFERROR(-(TP_DATA[[#This Row],[D, bottom '[m']]]-TP_DATA[[#This Row],[D, top '[m']]])/(TP_DATA[[#This Row],[Bottom '[m']]]-TP_DATA[[#This Row],[Top '[m']]]),"")</f>
        <v/>
      </c>
      <c r="BD79" s="79" t="str">
        <f t="shared" si="1"/>
        <v/>
      </c>
      <c r="BE79" s="79" t="str">
        <f>IFERROR((TP_DATA[[#This Row],[D, bottom '[m']]]+TP_DATA[[#This Row],[D, top '[m']]])/(2*TP_DATA[[#This Row],[t '[mm']]]/1000),"")</f>
        <v/>
      </c>
      <c r="BF79" s="79" t="str">
        <f>IFERROR((TP_DATA[[#This Row],[D, bottom '[m']]]+#REF!)/(2*#REF!/1000),"")</f>
        <v/>
      </c>
      <c r="CP79" s="126">
        <v>49</v>
      </c>
      <c r="CQ79" s="120">
        <v>70.900000000000006</v>
      </c>
      <c r="CR79" s="120">
        <v>69.225000000000009</v>
      </c>
      <c r="CS79" s="120">
        <v>6.9340000000000002</v>
      </c>
      <c r="CT79" s="120">
        <v>6.9720000000000004</v>
      </c>
      <c r="CU79" s="120">
        <v>33.5</v>
      </c>
      <c r="CV79" s="79">
        <f>IFERROR(TOWER_DATA[[#This Row],[Top '[m']]]-TOWER_DATA[[#This Row],[Bottom '[m']]], "")</f>
        <v>1.6749999999999972</v>
      </c>
      <c r="CW79" s="79">
        <f>IFERROR(-(TOWER_DATA[[#This Row],[D, bottom '[m']]]-TOWER_DATA[[#This Row],[D, top '[m']]])/(TOWER_DATA[[#This Row],[Bottom '[m']]]-TOWER_DATA[[#This Row],[Top '[m']]]),"")</f>
        <v>2.2686567164179296E-2</v>
      </c>
      <c r="CX79" s="79">
        <f t="shared" si="2"/>
        <v>9.5753324534747843</v>
      </c>
      <c r="CY79" s="79">
        <f>IFERROR((TOWER_DATA[[#This Row],[D, bottom '[m']]]+TOWER_DATA[[#This Row],[D, top '[m']]])/(2*TOWER_DATA[[#This Row],[t '[mm']]]/1000),"")</f>
        <v>207.55223880597015</v>
      </c>
      <c r="CZ79" s="79" t="str">
        <f>IFERROR((TOWER_DATA[[#This Row],[D, bottom '[m']]]+#REF!)/(2*#REF!/1000),"")</f>
        <v/>
      </c>
      <c r="DA79" s="127" t="s">
        <v>262</v>
      </c>
      <c r="DB79" s="127">
        <v>45.564000000000007</v>
      </c>
      <c r="DC79" s="127">
        <v>45.564000000000007</v>
      </c>
      <c r="DD79" s="127">
        <v>146</v>
      </c>
      <c r="DE79" s="127"/>
      <c r="DF79" s="127"/>
      <c r="DG79" s="127"/>
      <c r="DH79" s="127"/>
      <c r="DI79" s="127"/>
      <c r="DK79" s="77">
        <v>49</v>
      </c>
      <c r="DL79" s="77">
        <v>70.900000000000006</v>
      </c>
      <c r="DM79" s="77">
        <v>69.225000000000009</v>
      </c>
      <c r="DN79" s="77">
        <v>6.9340000000000002</v>
      </c>
      <c r="DO79" s="77">
        <v>6.9720000000000004</v>
      </c>
      <c r="DP79" s="77">
        <v>33.5</v>
      </c>
      <c r="DR79" s="100" t="s">
        <v>262</v>
      </c>
      <c r="DS79" s="100">
        <v>45.564000000000007</v>
      </c>
      <c r="DT79" s="100">
        <v>45.564000000000007</v>
      </c>
      <c r="DU79" s="100">
        <v>146</v>
      </c>
      <c r="DV79" s="127"/>
      <c r="DW79" s="127"/>
      <c r="DX79" s="127"/>
      <c r="DY79" s="127"/>
      <c r="DZ79" s="127"/>
      <c r="EQ79" s="79"/>
      <c r="ER79" s="79"/>
    </row>
    <row r="80" spans="2:148" x14ac:dyDescent="0.3">
      <c r="B80" s="79"/>
      <c r="D80" s="79"/>
      <c r="F80" s="79"/>
      <c r="H80" s="79" t="str">
        <f>IFERROR(MP_DATA[[#This Row],[Bottom '[m']]]-MP_DATA[[#This Row],[D, top '[m']]], "")</f>
        <v/>
      </c>
      <c r="I80" t="str">
        <f>IFERROR(-(MP_DATA[[#This Row],[D, bottom '[m']]]-MP_DATA[[#This Row],[D, top '[m']]])/(MP_DATA[[#This Row],[Bottom '[m']]]-MP_DATA[[#This Row],[Top '[m']]]),"")</f>
        <v/>
      </c>
      <c r="J80" s="79" t="str">
        <f t="shared" si="3"/>
        <v/>
      </c>
      <c r="K80" s="79" t="str">
        <f>IFERROR((MP_DATA[[#This Row],[D, bottom '[m']]]+MP_DATA[[#This Row],[D, top '[m']]])/(2*MP_DATA[[#This Row],[t '[mm']]]/1000),"")</f>
        <v/>
      </c>
      <c r="L80" s="79" t="str">
        <f>IFERROR((MP_DATA[[#This Row],[D, bottom '[m']]]+#REF!)/(2*#REF!/1000),"")</f>
        <v/>
      </c>
      <c r="BB80" s="79" t="str">
        <f>IFERROR(TP_DATA[[#This Row],[Bottom '[m']]]-TP_DATA[[#This Row],[D, top '[m']]], "")</f>
        <v/>
      </c>
      <c r="BC80" s="79" t="str">
        <f>IFERROR(-(TP_DATA[[#This Row],[D, bottom '[m']]]-TP_DATA[[#This Row],[D, top '[m']]])/(TP_DATA[[#This Row],[Bottom '[m']]]-TP_DATA[[#This Row],[Top '[m']]]),"")</f>
        <v/>
      </c>
      <c r="BD80" s="79" t="str">
        <f t="shared" si="1"/>
        <v/>
      </c>
      <c r="BE80" s="79" t="str">
        <f>IFERROR((TP_DATA[[#This Row],[D, bottom '[m']]]+TP_DATA[[#This Row],[D, top '[m']]])/(2*TP_DATA[[#This Row],[t '[mm']]]/1000),"")</f>
        <v/>
      </c>
      <c r="BF80" s="79" t="str">
        <f>IFERROR((TP_DATA[[#This Row],[D, bottom '[m']]]+#REF!)/(2*#REF!/1000),"")</f>
        <v/>
      </c>
      <c r="CP80" s="126">
        <v>50</v>
      </c>
      <c r="CQ80" s="120">
        <v>69.225000000000009</v>
      </c>
      <c r="CR80" s="120">
        <v>66.490000000000009</v>
      </c>
      <c r="CS80" s="120">
        <v>6.9720000000000004</v>
      </c>
      <c r="CT80" s="120">
        <v>7.0380000000000003</v>
      </c>
      <c r="CU80" s="120">
        <v>34</v>
      </c>
      <c r="CV80" s="79">
        <f>IFERROR(TOWER_DATA[[#This Row],[Top '[m']]]-TOWER_DATA[[#This Row],[Bottom '[m']]], "")</f>
        <v>2.7349999999999994</v>
      </c>
      <c r="CW80" s="79">
        <f>IFERROR(-(TOWER_DATA[[#This Row],[D, bottom '[m']]]-TOWER_DATA[[#This Row],[D, top '[m']]])/(TOWER_DATA[[#This Row],[Bottom '[m']]]-TOWER_DATA[[#This Row],[Top '[m']]]),"")</f>
        <v>2.4131627056672707E-2</v>
      </c>
      <c r="CX80" s="79">
        <f t="shared" si="2"/>
        <v>15.986406792159258</v>
      </c>
      <c r="CY80" s="79">
        <f>IFERROR((TOWER_DATA[[#This Row],[D, bottom '[m']]]+TOWER_DATA[[#This Row],[D, top '[m']]])/(2*TOWER_DATA[[#This Row],[t '[mm']]]/1000),"")</f>
        <v>206.02941176470588</v>
      </c>
      <c r="CZ80" s="79" t="str">
        <f>IFERROR((TOWER_DATA[[#This Row],[D, bottom '[m']]]+#REF!)/(2*#REF!/1000),"")</f>
        <v/>
      </c>
      <c r="DA80" s="127" t="s">
        <v>262</v>
      </c>
      <c r="DB80" s="127">
        <v>41.561000000000007</v>
      </c>
      <c r="DC80" s="127">
        <v>41.561000000000007</v>
      </c>
      <c r="DD80" s="127">
        <v>146</v>
      </c>
      <c r="DE80" s="127"/>
      <c r="DF80" s="127"/>
      <c r="DG80" s="127"/>
      <c r="DH80" s="127"/>
      <c r="DI80" s="127"/>
      <c r="DK80" s="77">
        <v>50</v>
      </c>
      <c r="DL80" s="77">
        <v>69.225000000000009</v>
      </c>
      <c r="DM80" s="77">
        <v>66.490000000000009</v>
      </c>
      <c r="DN80" s="77">
        <v>6.9720000000000004</v>
      </c>
      <c r="DO80" s="77">
        <v>7.0380000000000003</v>
      </c>
      <c r="DP80" s="77">
        <v>34</v>
      </c>
      <c r="DR80" s="100" t="s">
        <v>262</v>
      </c>
      <c r="DS80" s="100">
        <v>41.561000000000007</v>
      </c>
      <c r="DT80" s="100">
        <v>41.561000000000007</v>
      </c>
      <c r="DU80" s="100">
        <v>146</v>
      </c>
      <c r="DV80" s="127"/>
      <c r="DW80" s="127"/>
      <c r="DX80" s="127"/>
      <c r="DY80" s="127"/>
      <c r="DZ80" s="127"/>
      <c r="EQ80" s="79"/>
      <c r="ER80" s="79"/>
    </row>
    <row r="81" spans="2:148" x14ac:dyDescent="0.3">
      <c r="B81" s="79"/>
      <c r="D81" s="79"/>
      <c r="F81" s="79"/>
      <c r="H81" s="79" t="str">
        <f>IFERROR(MP_DATA[[#This Row],[Bottom '[m']]]-MP_DATA[[#This Row],[D, top '[m']]], "")</f>
        <v/>
      </c>
      <c r="I81" t="str">
        <f>IFERROR(-(MP_DATA[[#This Row],[D, bottom '[m']]]-MP_DATA[[#This Row],[D, top '[m']]])/(MP_DATA[[#This Row],[Bottom '[m']]]-MP_DATA[[#This Row],[Top '[m']]]),"")</f>
        <v/>
      </c>
      <c r="J81" s="79" t="str">
        <f t="shared" si="3"/>
        <v/>
      </c>
      <c r="K81" s="79" t="str">
        <f>IFERROR((MP_DATA[[#This Row],[D, bottom '[m']]]+MP_DATA[[#This Row],[D, top '[m']]])/(2*MP_DATA[[#This Row],[t '[mm']]]/1000),"")</f>
        <v/>
      </c>
      <c r="L81" s="79" t="str">
        <f>IFERROR((MP_DATA[[#This Row],[D, bottom '[m']]]+#REF!)/(2*#REF!/1000),"")</f>
        <v/>
      </c>
      <c r="BB81" s="79" t="str">
        <f>IFERROR(TP_DATA[[#This Row],[Bottom '[m']]]-TP_DATA[[#This Row],[D, top '[m']]], "")</f>
        <v/>
      </c>
      <c r="BC81" s="79" t="str">
        <f>IFERROR(-(TP_DATA[[#This Row],[D, bottom '[m']]]-TP_DATA[[#This Row],[D, top '[m']]])/(TP_DATA[[#This Row],[Bottom '[m']]]-TP_DATA[[#This Row],[Top '[m']]]),"")</f>
        <v/>
      </c>
      <c r="BD81" s="79" t="str">
        <f t="shared" si="1"/>
        <v/>
      </c>
      <c r="BE81" s="79" t="str">
        <f>IFERROR((TP_DATA[[#This Row],[D, bottom '[m']]]+TP_DATA[[#This Row],[D, top '[m']]])/(2*TP_DATA[[#This Row],[t '[mm']]]/1000),"")</f>
        <v/>
      </c>
      <c r="BF81" s="79" t="str">
        <f>IFERROR((TP_DATA[[#This Row],[D, bottom '[m']]]+#REF!)/(2*#REF!/1000),"")</f>
        <v/>
      </c>
      <c r="CP81" s="126">
        <v>51</v>
      </c>
      <c r="CQ81" s="120">
        <v>66.490000000000009</v>
      </c>
      <c r="CR81" s="120">
        <v>66.445000000000007</v>
      </c>
      <c r="CS81" s="120">
        <v>7.0380000000000003</v>
      </c>
      <c r="CT81" s="120">
        <v>7.0380000000000003</v>
      </c>
      <c r="CU81" s="120">
        <v>38</v>
      </c>
      <c r="CV81" s="79">
        <f>IFERROR(TOWER_DATA[[#This Row],[Top '[m']]]-TOWER_DATA[[#This Row],[Bottom '[m']]], "")</f>
        <v>4.5000000000001705E-2</v>
      </c>
      <c r="CW81" s="79">
        <f>IFERROR(-(TOWER_DATA[[#This Row],[D, bottom '[m']]]-TOWER_DATA[[#This Row],[D, top '[m']]])/(TOWER_DATA[[#This Row],[Bottom '[m']]]-TOWER_DATA[[#This Row],[Top '[m']]]),"")</f>
        <v>0</v>
      </c>
      <c r="CX81" s="79">
        <f t="shared" si="2"/>
        <v>0.29519818289824729</v>
      </c>
      <c r="CY81" s="79">
        <f>IFERROR((TOWER_DATA[[#This Row],[D, bottom '[m']]]+TOWER_DATA[[#This Row],[D, top '[m']]])/(2*TOWER_DATA[[#This Row],[t '[mm']]]/1000),"")</f>
        <v>185.21052631578948</v>
      </c>
      <c r="CZ81" s="79" t="str">
        <f>IFERROR((TOWER_DATA[[#This Row],[D, bottom '[m']]]+#REF!)/(2*#REF!/1000),"")</f>
        <v/>
      </c>
      <c r="DA81" s="127" t="s">
        <v>262</v>
      </c>
      <c r="DB81" s="127">
        <v>40.900000000000006</v>
      </c>
      <c r="DC81" s="127">
        <v>40.900000000000006</v>
      </c>
      <c r="DD81" s="127">
        <v>150</v>
      </c>
      <c r="DE81" s="127"/>
      <c r="DF81" s="127"/>
      <c r="DG81" s="127"/>
      <c r="DH81" s="127"/>
      <c r="DI81" s="127"/>
      <c r="DK81" s="77">
        <v>51</v>
      </c>
      <c r="DL81" s="77">
        <v>66.490000000000009</v>
      </c>
      <c r="DM81" s="77">
        <v>66.445000000000007</v>
      </c>
      <c r="DN81" s="77">
        <v>7.0380000000000003</v>
      </c>
      <c r="DO81" s="77">
        <v>7.0380000000000003</v>
      </c>
      <c r="DP81" s="77">
        <v>38</v>
      </c>
      <c r="DR81" s="100" t="s">
        <v>262</v>
      </c>
      <c r="DS81" s="100">
        <v>40.900000000000006</v>
      </c>
      <c r="DT81" s="100">
        <v>40.900000000000006</v>
      </c>
      <c r="DU81" s="100">
        <v>150</v>
      </c>
      <c r="DV81" s="127"/>
      <c r="DW81" s="127"/>
      <c r="DX81" s="127"/>
      <c r="DY81" s="127"/>
      <c r="DZ81" s="127"/>
      <c r="EQ81" s="79"/>
      <c r="ER81" s="79"/>
    </row>
    <row r="82" spans="2:148" x14ac:dyDescent="0.3">
      <c r="B82" s="79"/>
      <c r="D82" s="79"/>
      <c r="F82" s="79"/>
      <c r="H82" s="79" t="str">
        <f>IFERROR(MP_DATA[[#This Row],[Bottom '[m']]]-MP_DATA[[#This Row],[D, top '[m']]], "")</f>
        <v/>
      </c>
      <c r="I82" t="str">
        <f>IFERROR(-(MP_DATA[[#This Row],[D, bottom '[m']]]-MP_DATA[[#This Row],[D, top '[m']]])/(MP_DATA[[#This Row],[Bottom '[m']]]-MP_DATA[[#This Row],[Top '[m']]]),"")</f>
        <v/>
      </c>
      <c r="J82" s="79" t="str">
        <f t="shared" si="3"/>
        <v/>
      </c>
      <c r="K82" s="79" t="str">
        <f>IFERROR((MP_DATA[[#This Row],[D, bottom '[m']]]+MP_DATA[[#This Row],[D, top '[m']]])/(2*MP_DATA[[#This Row],[t '[mm']]]/1000),"")</f>
        <v/>
      </c>
      <c r="L82" s="79" t="str">
        <f>IFERROR((MP_DATA[[#This Row],[D, bottom '[m']]]+#REF!)/(2*#REF!/1000),"")</f>
        <v/>
      </c>
      <c r="BB82" s="79" t="str">
        <f>IFERROR(TP_DATA[[#This Row],[Bottom '[m']]]-TP_DATA[[#This Row],[D, top '[m']]], "")</f>
        <v/>
      </c>
      <c r="BC82" s="79" t="str">
        <f>IFERROR(-(TP_DATA[[#This Row],[D, bottom '[m']]]-TP_DATA[[#This Row],[D, top '[m']]])/(TP_DATA[[#This Row],[Bottom '[m']]]-TP_DATA[[#This Row],[Top '[m']]]),"")</f>
        <v/>
      </c>
      <c r="BD82" s="79" t="str">
        <f t="shared" si="1"/>
        <v/>
      </c>
      <c r="BE82" s="79" t="str">
        <f>IFERROR((TP_DATA[[#This Row],[D, bottom '[m']]]+TP_DATA[[#This Row],[D, top '[m']]])/(2*TP_DATA[[#This Row],[t '[mm']]]/1000),"")</f>
        <v/>
      </c>
      <c r="BF82" s="79" t="str">
        <f>IFERROR((TP_DATA[[#This Row],[D, bottom '[m']]]+#REF!)/(2*#REF!/1000),"")</f>
        <v/>
      </c>
      <c r="CP82" s="126">
        <v>52</v>
      </c>
      <c r="CQ82" s="120">
        <v>66.445000000000007</v>
      </c>
      <c r="CR82" s="120">
        <v>66.260000000000005</v>
      </c>
      <c r="CS82" s="120">
        <v>7.0380000000000003</v>
      </c>
      <c r="CT82" s="120">
        <v>7.0380000000000003</v>
      </c>
      <c r="CU82" s="120">
        <v>38</v>
      </c>
      <c r="CV82" s="79">
        <f>IFERROR(TOWER_DATA[[#This Row],[Top '[m']]]-TOWER_DATA[[#This Row],[Bottom '[m']]], "")</f>
        <v>0.18500000000000227</v>
      </c>
      <c r="CW82" s="79">
        <f>IFERROR(-(TOWER_DATA[[#This Row],[D, bottom '[m']]]-TOWER_DATA[[#This Row],[D, top '[m']]])/(TOWER_DATA[[#This Row],[Bottom '[m']]]-TOWER_DATA[[#This Row],[Top '[m']]]),"")</f>
        <v>0</v>
      </c>
      <c r="CX82" s="79">
        <f t="shared" si="2"/>
        <v>1.2135925296927634</v>
      </c>
      <c r="CY82" s="79">
        <f>IFERROR((TOWER_DATA[[#This Row],[D, bottom '[m']]]+TOWER_DATA[[#This Row],[D, top '[m']]])/(2*TOWER_DATA[[#This Row],[t '[mm']]]/1000),"")</f>
        <v>185.21052631578948</v>
      </c>
      <c r="CZ82" s="79" t="str">
        <f>IFERROR((TOWER_DATA[[#This Row],[D, bottom '[m']]]+#REF!)/(2*#REF!/1000),"")</f>
        <v/>
      </c>
      <c r="DA82" s="127" t="s">
        <v>262</v>
      </c>
      <c r="DB82" s="127">
        <v>38.725000000000001</v>
      </c>
      <c r="DC82" s="127">
        <v>38.725000000000001</v>
      </c>
      <c r="DD82" s="127">
        <v>7072</v>
      </c>
      <c r="DE82" s="127"/>
      <c r="DF82" s="127"/>
      <c r="DG82" s="127"/>
      <c r="DH82" s="127"/>
      <c r="DI82" s="127"/>
      <c r="DK82" s="77">
        <v>52</v>
      </c>
      <c r="DL82" s="77">
        <v>66.445000000000007</v>
      </c>
      <c r="DM82" s="77">
        <v>66.260000000000005</v>
      </c>
      <c r="DN82" s="77">
        <v>7.0380000000000003</v>
      </c>
      <c r="DO82" s="77">
        <v>7.0380000000000003</v>
      </c>
      <c r="DP82" s="77">
        <v>38</v>
      </c>
      <c r="DR82" s="100" t="s">
        <v>262</v>
      </c>
      <c r="DS82" s="100">
        <v>38.725000000000001</v>
      </c>
      <c r="DT82" s="100">
        <v>38.725000000000001</v>
      </c>
      <c r="DU82" s="100">
        <v>7072</v>
      </c>
      <c r="DV82" s="127"/>
      <c r="DW82" s="127"/>
      <c r="DX82" s="127"/>
      <c r="DY82" s="127"/>
      <c r="DZ82" s="127"/>
      <c r="EQ82" s="79"/>
      <c r="ER82" s="79"/>
    </row>
    <row r="83" spans="2:148" x14ac:dyDescent="0.3">
      <c r="B83" s="79"/>
      <c r="C83" s="79"/>
      <c r="D83" s="79"/>
      <c r="E83" s="79"/>
      <c r="F83" s="79"/>
      <c r="G83" s="79"/>
      <c r="H83" s="79" t="str">
        <f>IFERROR(MP_DATA[[#This Row],[Bottom '[m']]]-MP_DATA[[#This Row],[D, top '[m']]], "")</f>
        <v/>
      </c>
      <c r="I83" s="79" t="str">
        <f>IFERROR(-(MP_DATA[[#This Row],[D, bottom '[m']]]-MP_DATA[[#This Row],[D, top '[m']]])/(MP_DATA[[#This Row],[Bottom '[m']]]-MP_DATA[[#This Row],[Top '[m']]]),"")</f>
        <v/>
      </c>
      <c r="J83" s="79" t="str">
        <f t="shared" si="3"/>
        <v/>
      </c>
      <c r="K83" s="79" t="str">
        <f>IFERROR((MP_DATA[[#This Row],[D, bottom '[m']]]+MP_DATA[[#This Row],[D, top '[m']]])/(2*MP_DATA[[#This Row],[t '[mm']]]/1000),"")</f>
        <v/>
      </c>
      <c r="L83" s="79" t="str">
        <f>IFERROR((MP_DATA[[#This Row],[D, bottom '[m']]]+#REF!)/(2*#REF!/1000),"")</f>
        <v/>
      </c>
      <c r="BB83" s="79" t="str">
        <f>IFERROR(TP_DATA[[#This Row],[Bottom '[m']]]-TP_DATA[[#This Row],[D, top '[m']]], "")</f>
        <v/>
      </c>
      <c r="BC83" s="79" t="str">
        <f>IFERROR(-(TP_DATA[[#This Row],[D, bottom '[m']]]-TP_DATA[[#This Row],[D, top '[m']]])/(TP_DATA[[#This Row],[Bottom '[m']]]-TP_DATA[[#This Row],[Top '[m']]]),"")</f>
        <v/>
      </c>
      <c r="BD83" s="79" t="str">
        <f t="shared" si="1"/>
        <v/>
      </c>
      <c r="BE83" s="79" t="str">
        <f>IFERROR((TP_DATA[[#This Row],[D, bottom '[m']]]+TP_DATA[[#This Row],[D, top '[m']]])/(2*TP_DATA[[#This Row],[t '[mm']]]/1000),"")</f>
        <v/>
      </c>
      <c r="BF83" s="79" t="str">
        <f>IFERROR((TP_DATA[[#This Row],[D, bottom '[m']]]+#REF!)/(2*#REF!/1000),"")</f>
        <v/>
      </c>
      <c r="CP83" s="126">
        <v>53</v>
      </c>
      <c r="CQ83" s="120">
        <v>66.260000000000005</v>
      </c>
      <c r="CR83" s="120">
        <v>66.075000000000003</v>
      </c>
      <c r="CS83" s="120">
        <v>7.0380000000000003</v>
      </c>
      <c r="CT83" s="120">
        <v>7.0380000000000003</v>
      </c>
      <c r="CU83" s="120">
        <v>38</v>
      </c>
      <c r="CV83" s="79">
        <f>IFERROR(TOWER_DATA[[#This Row],[Top '[m']]]-TOWER_DATA[[#This Row],[Bottom '[m']]], "")</f>
        <v>0.18500000000000227</v>
      </c>
      <c r="CW83" s="79">
        <f>IFERROR(-(TOWER_DATA[[#This Row],[D, bottom '[m']]]-TOWER_DATA[[#This Row],[D, top '[m']]])/(TOWER_DATA[[#This Row],[Bottom '[m']]]-TOWER_DATA[[#This Row],[Top '[m']]]),"")</f>
        <v>0</v>
      </c>
      <c r="CX83" s="79">
        <f t="shared" si="2"/>
        <v>1.2135925296927634</v>
      </c>
      <c r="CY83" s="79">
        <f>IFERROR((TOWER_DATA[[#This Row],[D, bottom '[m']]]+TOWER_DATA[[#This Row],[D, top '[m']]])/(2*TOWER_DATA[[#This Row],[t '[mm']]]/1000),"")</f>
        <v>185.21052631578948</v>
      </c>
      <c r="CZ83" s="79" t="str">
        <f>IFERROR((TOWER_DATA[[#This Row],[D, bottom '[m']]]+#REF!)/(2*#REF!/1000),"")</f>
        <v/>
      </c>
      <c r="DA83" s="127" t="s">
        <v>262</v>
      </c>
      <c r="DB83" s="127">
        <v>38.540000000000006</v>
      </c>
      <c r="DC83" s="127">
        <v>38.540000000000006</v>
      </c>
      <c r="DD83" s="127">
        <v>11176</v>
      </c>
      <c r="DE83" s="127"/>
      <c r="DF83" s="127"/>
      <c r="DG83" s="127"/>
      <c r="DH83" s="127"/>
      <c r="DI83" s="127"/>
      <c r="DK83" s="77">
        <v>53</v>
      </c>
      <c r="DL83" s="77">
        <v>66.260000000000005</v>
      </c>
      <c r="DM83" s="77">
        <v>66.075000000000003</v>
      </c>
      <c r="DN83" s="77">
        <v>7.0380000000000003</v>
      </c>
      <c r="DO83" s="77">
        <v>7.0380000000000003</v>
      </c>
      <c r="DP83" s="77">
        <v>38</v>
      </c>
      <c r="DR83" s="100" t="s">
        <v>262</v>
      </c>
      <c r="DS83" s="100">
        <v>38.540000000000006</v>
      </c>
      <c r="DT83" s="100">
        <v>38.540000000000006</v>
      </c>
      <c r="DU83" s="100">
        <v>11176</v>
      </c>
      <c r="DV83" s="127"/>
      <c r="DW83" s="127"/>
      <c r="DX83" s="127"/>
      <c r="DY83" s="127"/>
      <c r="DZ83" s="127"/>
      <c r="EQ83" s="79"/>
      <c r="ER83" s="79"/>
    </row>
    <row r="84" spans="2:148" x14ac:dyDescent="0.3">
      <c r="B84" s="79"/>
      <c r="C84" s="79"/>
      <c r="D84" s="79"/>
      <c r="E84" s="79"/>
      <c r="F84" s="79"/>
      <c r="G84" s="79"/>
      <c r="H84" s="79" t="str">
        <f>IFERROR(MP_DATA[[#This Row],[Bottom '[m']]]-MP_DATA[[#This Row],[D, top '[m']]], "")</f>
        <v/>
      </c>
      <c r="I84" s="79" t="str">
        <f>IFERROR(-(MP_DATA[[#This Row],[D, bottom '[m']]]-MP_DATA[[#This Row],[D, top '[m']]])/(MP_DATA[[#This Row],[Bottom '[m']]]-MP_DATA[[#This Row],[Top '[m']]]),"")</f>
        <v/>
      </c>
      <c r="J84" s="79" t="str">
        <f t="shared" si="3"/>
        <v/>
      </c>
      <c r="K84" s="79" t="str">
        <f>IFERROR((MP_DATA[[#This Row],[D, bottom '[m']]]+MP_DATA[[#This Row],[D, top '[m']]])/(2*MP_DATA[[#This Row],[t '[mm']]]/1000),"")</f>
        <v/>
      </c>
      <c r="L84" s="79" t="str">
        <f>IFERROR((MP_DATA[[#This Row],[D, bottom '[m']]]+#REF!)/(2*#REF!/1000),"")</f>
        <v/>
      </c>
      <c r="BB84" s="79" t="str">
        <f>IFERROR(TP_DATA[[#This Row],[Bottom '[m']]]-TP_DATA[[#This Row],[D, top '[m']]], "")</f>
        <v/>
      </c>
      <c r="BC84" s="79" t="str">
        <f>IFERROR(-(TP_DATA[[#This Row],[D, bottom '[m']]]-TP_DATA[[#This Row],[D, top '[m']]])/(TP_DATA[[#This Row],[Bottom '[m']]]-TP_DATA[[#This Row],[Top '[m']]]),"")</f>
        <v/>
      </c>
      <c r="BD84" s="79" t="str">
        <f t="shared" si="1"/>
        <v/>
      </c>
      <c r="BE84" s="79" t="str">
        <f>IFERROR((TP_DATA[[#This Row],[D, bottom '[m']]]+TP_DATA[[#This Row],[D, top '[m']]])/(2*TP_DATA[[#This Row],[t '[mm']]]/1000),"")</f>
        <v/>
      </c>
      <c r="BF84" s="79" t="str">
        <f>IFERROR((TP_DATA[[#This Row],[D, bottom '[m']]]+#REF!)/(2*#REF!/1000),"")</f>
        <v/>
      </c>
      <c r="CP84" s="126">
        <v>54</v>
      </c>
      <c r="CQ84" s="120">
        <v>66.075000000000003</v>
      </c>
      <c r="CR84" s="120">
        <v>66.03</v>
      </c>
      <c r="CS84" s="120">
        <v>7.0380000000000003</v>
      </c>
      <c r="CT84" s="120">
        <v>7.032</v>
      </c>
      <c r="CU84" s="120">
        <v>38</v>
      </c>
      <c r="CV84" s="79">
        <f>IFERROR(TOWER_DATA[[#This Row],[Top '[m']]]-TOWER_DATA[[#This Row],[Bottom '[m']]], "")</f>
        <v>4.5000000000001705E-2</v>
      </c>
      <c r="CW84" s="79">
        <f>IFERROR(-(TOWER_DATA[[#This Row],[D, bottom '[m']]]-TOWER_DATA[[#This Row],[D, top '[m']]])/(TOWER_DATA[[#This Row],[Bottom '[m']]]-TOWER_DATA[[#This Row],[Top '[m']]]),"")</f>
        <v>-0.13333333333333333</v>
      </c>
      <c r="CX84" s="79">
        <f t="shared" si="2"/>
        <v>0.29507166939129226</v>
      </c>
      <c r="CY84" s="79">
        <f>IFERROR((TOWER_DATA[[#This Row],[D, bottom '[m']]]+TOWER_DATA[[#This Row],[D, top '[m']]])/(2*TOWER_DATA[[#This Row],[t '[mm']]]/1000),"")</f>
        <v>185.13157894736844</v>
      </c>
      <c r="CZ84" s="79" t="str">
        <f>IFERROR((TOWER_DATA[[#This Row],[D, bottom '[m']]]+#REF!)/(2*#REF!/1000),"")</f>
        <v/>
      </c>
      <c r="DA84" s="127" t="s">
        <v>262</v>
      </c>
      <c r="DB84" s="127">
        <v>38.355000000000004</v>
      </c>
      <c r="DC84" s="127">
        <v>38.355000000000004</v>
      </c>
      <c r="DD84" s="127">
        <v>6</v>
      </c>
      <c r="DE84" s="127"/>
      <c r="DF84" s="127"/>
      <c r="DG84" s="127"/>
      <c r="DH84" s="127"/>
      <c r="DI84" s="127"/>
      <c r="DK84" s="77">
        <v>54</v>
      </c>
      <c r="DL84" s="77">
        <v>66.075000000000003</v>
      </c>
      <c r="DM84" s="77">
        <v>66.03</v>
      </c>
      <c r="DN84" s="77">
        <v>7.0380000000000003</v>
      </c>
      <c r="DO84" s="77">
        <v>7.032</v>
      </c>
      <c r="DP84" s="77">
        <v>38</v>
      </c>
      <c r="DR84" s="100" t="s">
        <v>262</v>
      </c>
      <c r="DS84" s="100">
        <v>38.355000000000004</v>
      </c>
      <c r="DT84" s="100">
        <v>38.355000000000004</v>
      </c>
      <c r="DU84" s="100">
        <v>6</v>
      </c>
      <c r="DV84" s="127"/>
      <c r="DW84" s="127"/>
      <c r="DX84" s="127"/>
      <c r="DY84" s="127"/>
      <c r="DZ84" s="127"/>
      <c r="EQ84" s="79"/>
      <c r="ER84" s="79"/>
    </row>
    <row r="85" spans="2:148" x14ac:dyDescent="0.3">
      <c r="B85" s="79"/>
      <c r="C85" s="79"/>
      <c r="D85" s="79"/>
      <c r="E85" s="79"/>
      <c r="F85" s="79"/>
      <c r="G85" s="79"/>
      <c r="H85" s="79" t="str">
        <f>IFERROR(MP_DATA[[#This Row],[Bottom '[m']]]-MP_DATA[[#This Row],[D, top '[m']]], "")</f>
        <v/>
      </c>
      <c r="I85" s="79" t="str">
        <f>IFERROR(-(MP_DATA[[#This Row],[D, bottom '[m']]]-MP_DATA[[#This Row],[D, top '[m']]])/(MP_DATA[[#This Row],[Bottom '[m']]]-MP_DATA[[#This Row],[Top '[m']]]),"")</f>
        <v/>
      </c>
      <c r="J85" s="79" t="str">
        <f t="shared" si="3"/>
        <v/>
      </c>
      <c r="K85" s="79" t="str">
        <f>IFERROR((MP_DATA[[#This Row],[D, bottom '[m']]]+MP_DATA[[#This Row],[D, top '[m']]])/(2*MP_DATA[[#This Row],[t '[mm']]]/1000),"")</f>
        <v/>
      </c>
      <c r="L85" s="79" t="str">
        <f>IFERROR((MP_DATA[[#This Row],[D, bottom '[m']]]+#REF!)/(2*#REF!/1000),"")</f>
        <v/>
      </c>
      <c r="BB85" s="79" t="str">
        <f>IFERROR(TP_DATA[[#This Row],[Bottom '[m']]]-TP_DATA[[#This Row],[D, top '[m']]], "")</f>
        <v/>
      </c>
      <c r="BC85" s="79" t="str">
        <f>IFERROR(-(TP_DATA[[#This Row],[D, bottom '[m']]]-TP_DATA[[#This Row],[D, top '[m']]])/(TP_DATA[[#This Row],[Bottom '[m']]]-TP_DATA[[#This Row],[Top '[m']]]),"")</f>
        <v/>
      </c>
      <c r="BD85" s="79" t="str">
        <f t="shared" si="1"/>
        <v/>
      </c>
      <c r="BE85" s="79" t="str">
        <f>IFERROR((TP_DATA[[#This Row],[D, bottom '[m']]]+TP_DATA[[#This Row],[D, top '[m']]])/(2*TP_DATA[[#This Row],[t '[mm']]]/1000),"")</f>
        <v/>
      </c>
      <c r="BF85" s="79" t="str">
        <f>IFERROR((TP_DATA[[#This Row],[D, bottom '[m']]]+#REF!)/(2*#REF!/1000),"")</f>
        <v/>
      </c>
      <c r="CP85" s="126">
        <v>55</v>
      </c>
      <c r="CQ85" s="120">
        <v>66.03</v>
      </c>
      <c r="CR85" s="120">
        <v>63.308000000000007</v>
      </c>
      <c r="CS85" s="120">
        <v>7.032</v>
      </c>
      <c r="CT85" s="120">
        <v>7.0759999999999996</v>
      </c>
      <c r="CU85" s="120">
        <v>32</v>
      </c>
      <c r="CV85" s="79">
        <f>IFERROR(TOWER_DATA[[#This Row],[Top '[m']]]-TOWER_DATA[[#This Row],[Bottom '[m']]], "")</f>
        <v>2.7219999999999942</v>
      </c>
      <c r="CW85" s="79">
        <f>IFERROR(-(TOWER_DATA[[#This Row],[D, bottom '[m']]]-TOWER_DATA[[#This Row],[D, top '[m']]])/(TOWER_DATA[[#This Row],[Bottom '[m']]]-TOWER_DATA[[#This Row],[Top '[m']]]),"")</f>
        <v>1.6164584864070422E-2</v>
      </c>
      <c r="CX85" s="79">
        <f t="shared" si="2"/>
        <v>15.0840670340591</v>
      </c>
      <c r="CY85" s="79">
        <f>IFERROR((TOWER_DATA[[#This Row],[D, bottom '[m']]]+TOWER_DATA[[#This Row],[D, top '[m']]])/(2*TOWER_DATA[[#This Row],[t '[mm']]]/1000),"")</f>
        <v>220.4375</v>
      </c>
      <c r="CZ85" s="79" t="str">
        <f>IFERROR((TOWER_DATA[[#This Row],[D, bottom '[m']]]+#REF!)/(2*#REF!/1000),"")</f>
        <v/>
      </c>
      <c r="DA85" s="127" t="s">
        <v>262</v>
      </c>
      <c r="DB85" s="127">
        <v>38.305000000000007</v>
      </c>
      <c r="DC85" s="127">
        <v>38.305000000000007</v>
      </c>
      <c r="DD85" s="127">
        <v>2</v>
      </c>
      <c r="DE85" s="127"/>
      <c r="DF85" s="127"/>
      <c r="DG85" s="127"/>
      <c r="DH85" s="127"/>
      <c r="DI85" s="127"/>
      <c r="DK85" s="77">
        <v>55</v>
      </c>
      <c r="DL85" s="77">
        <v>66.03</v>
      </c>
      <c r="DM85" s="77">
        <v>63.308000000000007</v>
      </c>
      <c r="DN85" s="77">
        <v>7.032</v>
      </c>
      <c r="DO85" s="77">
        <v>7.0759999999999996</v>
      </c>
      <c r="DP85" s="77">
        <v>32</v>
      </c>
      <c r="DR85" s="100" t="s">
        <v>262</v>
      </c>
      <c r="DS85" s="100">
        <v>38.305000000000007</v>
      </c>
      <c r="DT85" s="100">
        <v>38.305000000000007</v>
      </c>
      <c r="DU85" s="100">
        <v>2</v>
      </c>
      <c r="DV85" s="127"/>
      <c r="DW85" s="127"/>
      <c r="DX85" s="127"/>
      <c r="DY85" s="127"/>
      <c r="DZ85" s="127"/>
      <c r="EQ85" s="79"/>
      <c r="ER85" s="79"/>
    </row>
    <row r="86" spans="2:148" x14ac:dyDescent="0.3">
      <c r="B86" s="79"/>
      <c r="C86" s="79"/>
      <c r="D86" s="79"/>
      <c r="E86" s="79"/>
      <c r="F86" s="79"/>
      <c r="G86" s="79"/>
      <c r="H86" s="79" t="str">
        <f>IFERROR(MP_DATA[[#This Row],[Bottom '[m']]]-MP_DATA[[#This Row],[D, top '[m']]], "")</f>
        <v/>
      </c>
      <c r="I86" s="79" t="str">
        <f>IFERROR(-(MP_DATA[[#This Row],[D, bottom '[m']]]-MP_DATA[[#This Row],[D, top '[m']]])/(MP_DATA[[#This Row],[Bottom '[m']]]-MP_DATA[[#This Row],[Top '[m']]]),"")</f>
        <v/>
      </c>
      <c r="J86" s="79" t="str">
        <f t="shared" si="3"/>
        <v/>
      </c>
      <c r="K86" s="79" t="str">
        <f>IFERROR((MP_DATA[[#This Row],[D, bottom '[m']]]+MP_DATA[[#This Row],[D, top '[m']]])/(2*MP_DATA[[#This Row],[t '[mm']]]/1000),"")</f>
        <v/>
      </c>
      <c r="L86" s="79" t="str">
        <f>IFERROR((MP_DATA[[#This Row],[D, bottom '[m']]]+#REF!)/(2*#REF!/1000),"")</f>
        <v/>
      </c>
      <c r="BB86" s="79" t="str">
        <f>IFERROR(TP_DATA[[#This Row],[Bottom '[m']]]-TP_DATA[[#This Row],[D, top '[m']]], "")</f>
        <v/>
      </c>
      <c r="BC86" s="79" t="str">
        <f>IFERROR(-(TP_DATA[[#This Row],[D, bottom '[m']]]-TP_DATA[[#This Row],[D, top '[m']]])/(TP_DATA[[#This Row],[Bottom '[m']]]-TP_DATA[[#This Row],[Top '[m']]]),"")</f>
        <v/>
      </c>
      <c r="BD86" s="79" t="str">
        <f t="shared" si="1"/>
        <v/>
      </c>
      <c r="BE86" s="79" t="str">
        <f>IFERROR((TP_DATA[[#This Row],[D, bottom '[m']]]+TP_DATA[[#This Row],[D, top '[m']]])/(2*TP_DATA[[#This Row],[t '[mm']]]/1000),"")</f>
        <v/>
      </c>
      <c r="BF86" s="79" t="str">
        <f>IFERROR((TP_DATA[[#This Row],[D, bottom '[m']]]+#REF!)/(2*#REF!/1000),"")</f>
        <v/>
      </c>
      <c r="CP86" s="126">
        <v>56</v>
      </c>
      <c r="CQ86" s="120">
        <v>63.308000000000007</v>
      </c>
      <c r="CR86" s="120">
        <v>62.007000000000005</v>
      </c>
      <c r="CS86" s="120">
        <v>7.0759999999999996</v>
      </c>
      <c r="CT86" s="120">
        <v>7.0970000000000004</v>
      </c>
      <c r="CU86" s="120">
        <v>33</v>
      </c>
      <c r="CV86" s="79">
        <f>IFERROR(TOWER_DATA[[#This Row],[Top '[m']]]-TOWER_DATA[[#This Row],[Bottom '[m']]], "")</f>
        <v>1.3010000000000019</v>
      </c>
      <c r="CW86" s="79">
        <f>IFERROR(-(TOWER_DATA[[#This Row],[D, bottom '[m']]]-TOWER_DATA[[#This Row],[D, top '[m']]])/(TOWER_DATA[[#This Row],[Bottom '[m']]]-TOWER_DATA[[#This Row],[Top '[m']]]),"")</f>
        <v>1.6141429669485598E-2</v>
      </c>
      <c r="CX86" s="79">
        <f t="shared" si="2"/>
        <v>7.4681913438982228</v>
      </c>
      <c r="CY86" s="79">
        <f>IFERROR((TOWER_DATA[[#This Row],[D, bottom '[m']]]+TOWER_DATA[[#This Row],[D, top '[m']]])/(2*TOWER_DATA[[#This Row],[t '[mm']]]/1000),"")</f>
        <v>214.74242424242422</v>
      </c>
      <c r="CZ86" s="79" t="str">
        <f>IFERROR((TOWER_DATA[[#This Row],[D, bottom '[m']]]+#REF!)/(2*#REF!/1000),"")</f>
        <v/>
      </c>
      <c r="DA86" s="127" t="s">
        <v>262</v>
      </c>
      <c r="DB86" s="127">
        <v>37.343000000000004</v>
      </c>
      <c r="DC86" s="127">
        <v>37.343000000000004</v>
      </c>
      <c r="DD86" s="127">
        <v>1318</v>
      </c>
      <c r="DE86" s="127"/>
      <c r="DF86" s="127"/>
      <c r="DG86" s="127"/>
      <c r="DH86" s="127"/>
      <c r="DI86" s="127"/>
      <c r="DK86" s="77">
        <v>56</v>
      </c>
      <c r="DL86" s="77">
        <v>63.308000000000007</v>
      </c>
      <c r="DM86" s="77">
        <v>62.007000000000005</v>
      </c>
      <c r="DN86" s="77">
        <v>7.0759999999999996</v>
      </c>
      <c r="DO86" s="77">
        <v>7.0970000000000004</v>
      </c>
      <c r="DP86" s="77">
        <v>33</v>
      </c>
      <c r="DR86" s="100" t="s">
        <v>262</v>
      </c>
      <c r="DS86" s="100">
        <v>37.343000000000004</v>
      </c>
      <c r="DT86" s="100">
        <v>37.343000000000004</v>
      </c>
      <c r="DU86" s="100">
        <v>1318</v>
      </c>
      <c r="DV86" s="127"/>
      <c r="DW86" s="127"/>
      <c r="DX86" s="127"/>
      <c r="DY86" s="127"/>
      <c r="DZ86" s="127"/>
      <c r="EQ86" s="79"/>
      <c r="ER86" s="79"/>
    </row>
    <row r="87" spans="2:148" x14ac:dyDescent="0.3">
      <c r="B87" s="79"/>
      <c r="C87" s="79"/>
      <c r="D87" s="79"/>
      <c r="E87" s="79"/>
      <c r="F87" s="79"/>
      <c r="G87" s="79"/>
      <c r="H87" s="79" t="str">
        <f>IFERROR(MP_DATA[[#This Row],[Bottom '[m']]]-MP_DATA[[#This Row],[D, top '[m']]], "")</f>
        <v/>
      </c>
      <c r="I87" s="79" t="str">
        <f>IFERROR(-(MP_DATA[[#This Row],[D, bottom '[m']]]-MP_DATA[[#This Row],[D, top '[m']]])/(MP_DATA[[#This Row],[Bottom '[m']]]-MP_DATA[[#This Row],[Top '[m']]]),"")</f>
        <v/>
      </c>
      <c r="J87" s="79" t="str">
        <f t="shared" si="3"/>
        <v/>
      </c>
      <c r="K87" s="79" t="str">
        <f>IFERROR((MP_DATA[[#This Row],[D, bottom '[m']]]+MP_DATA[[#This Row],[D, top '[m']]])/(2*MP_DATA[[#This Row],[t '[mm']]]/1000),"")</f>
        <v/>
      </c>
      <c r="L87" s="79" t="str">
        <f>IFERROR((MP_DATA[[#This Row],[D, bottom '[m']]]+#REF!)/(2*#REF!/1000),"")</f>
        <v/>
      </c>
      <c r="BB87" s="79" t="str">
        <f>IFERROR(TP_DATA[[#This Row],[Bottom '[m']]]-TP_DATA[[#This Row],[D, top '[m']]], "")</f>
        <v/>
      </c>
      <c r="BC87" s="79" t="str">
        <f>IFERROR(-(TP_DATA[[#This Row],[D, bottom '[m']]]-TP_DATA[[#This Row],[D, top '[m']]])/(TP_DATA[[#This Row],[Bottom '[m']]]-TP_DATA[[#This Row],[Top '[m']]]),"")</f>
        <v/>
      </c>
      <c r="BD87" s="79" t="str">
        <f t="shared" si="1"/>
        <v/>
      </c>
      <c r="BE87" s="79" t="str">
        <f>IFERROR((TP_DATA[[#This Row],[D, bottom '[m']]]+TP_DATA[[#This Row],[D, top '[m']]])/(2*TP_DATA[[#This Row],[t '[mm']]]/1000),"")</f>
        <v/>
      </c>
      <c r="BF87" s="79" t="str">
        <f>IFERROR((TP_DATA[[#This Row],[D, bottom '[m']]]+#REF!)/(2*#REF!/1000),"")</f>
        <v/>
      </c>
      <c r="CP87" s="126">
        <v>57</v>
      </c>
      <c r="CQ87" s="120">
        <v>62.007000000000005</v>
      </c>
      <c r="CR87" s="120">
        <v>60.900000000000006</v>
      </c>
      <c r="CS87" s="120">
        <v>7.0970000000000004</v>
      </c>
      <c r="CT87" s="120">
        <v>7.1139999999999999</v>
      </c>
      <c r="CU87" s="120">
        <v>33</v>
      </c>
      <c r="CV87" s="79">
        <f>IFERROR(TOWER_DATA[[#This Row],[Top '[m']]]-TOWER_DATA[[#This Row],[Bottom '[m']]], "")</f>
        <v>1.1069999999999993</v>
      </c>
      <c r="CW87" s="79">
        <f>IFERROR(-(TOWER_DATA[[#This Row],[D, bottom '[m']]]-TOWER_DATA[[#This Row],[D, top '[m']]])/(TOWER_DATA[[#This Row],[Bottom '[m']]]-TOWER_DATA[[#This Row],[Top '[m']]]),"")</f>
        <v>1.5356820234868536E-2</v>
      </c>
      <c r="CX87" s="79">
        <f t="shared" si="2"/>
        <v>6.3716813187634509</v>
      </c>
      <c r="CY87" s="79">
        <f>IFERROR((TOWER_DATA[[#This Row],[D, bottom '[m']]]+TOWER_DATA[[#This Row],[D, top '[m']]])/(2*TOWER_DATA[[#This Row],[t '[mm']]]/1000),"")</f>
        <v>215.31818181818181</v>
      </c>
      <c r="CZ87" s="79" t="str">
        <f>IFERROR((TOWER_DATA[[#This Row],[D, bottom '[m']]]+#REF!)/(2*#REF!/1000),"")</f>
        <v/>
      </c>
      <c r="DA87" s="127" t="s">
        <v>262</v>
      </c>
      <c r="DB87" s="127">
        <v>33.231999999999999</v>
      </c>
      <c r="DC87" s="127">
        <v>33.231999999999999</v>
      </c>
      <c r="DD87" s="127">
        <v>158</v>
      </c>
      <c r="DE87" s="127"/>
      <c r="DF87" s="127"/>
      <c r="DG87" s="127"/>
      <c r="DH87" s="127"/>
      <c r="DI87" s="127"/>
      <c r="DK87" s="77">
        <v>57</v>
      </c>
      <c r="DL87" s="77">
        <v>62.007000000000005</v>
      </c>
      <c r="DM87" s="77">
        <v>60.900000000000006</v>
      </c>
      <c r="DN87" s="77">
        <v>7.0970000000000004</v>
      </c>
      <c r="DO87" s="77">
        <v>7.1139999999999999</v>
      </c>
      <c r="DP87" s="77">
        <v>33</v>
      </c>
      <c r="DR87" s="100" t="s">
        <v>262</v>
      </c>
      <c r="DS87" s="100">
        <v>33.231999999999999</v>
      </c>
      <c r="DT87" s="100">
        <v>33.231999999999999</v>
      </c>
      <c r="DU87" s="100">
        <v>158</v>
      </c>
      <c r="DV87" s="127"/>
      <c r="DW87" s="127"/>
      <c r="DX87" s="127"/>
      <c r="DY87" s="127"/>
      <c r="DZ87" s="127"/>
      <c r="EQ87" s="79"/>
      <c r="ER87" s="79"/>
    </row>
    <row r="88" spans="2:148" x14ac:dyDescent="0.3">
      <c r="B88" s="79"/>
      <c r="C88" s="79"/>
      <c r="D88" s="79"/>
      <c r="E88" s="79"/>
      <c r="F88" s="79"/>
      <c r="G88" s="79"/>
      <c r="H88" s="79" t="str">
        <f>IFERROR(MP_DATA[[#This Row],[Bottom '[m']]]-MP_DATA[[#This Row],[D, top '[m']]], "")</f>
        <v/>
      </c>
      <c r="I88" s="79" t="str">
        <f>IFERROR(-(MP_DATA[[#This Row],[D, bottom '[m']]]-MP_DATA[[#This Row],[D, top '[m']]])/(MP_DATA[[#This Row],[Bottom '[m']]]-MP_DATA[[#This Row],[Top '[m']]]),"")</f>
        <v/>
      </c>
      <c r="J88" s="79" t="str">
        <f t="shared" si="3"/>
        <v/>
      </c>
      <c r="K88" s="79" t="str">
        <f>IFERROR((MP_DATA[[#This Row],[D, bottom '[m']]]+MP_DATA[[#This Row],[D, top '[m']]])/(2*MP_DATA[[#This Row],[t '[mm']]]/1000),"")</f>
        <v/>
      </c>
      <c r="L88" s="79" t="str">
        <f>IFERROR((MP_DATA[[#This Row],[D, bottom '[m']]]+#REF!)/(2*#REF!/1000),"")</f>
        <v/>
      </c>
      <c r="BB88" s="79" t="str">
        <f>IFERROR(TP_DATA[[#This Row],[Bottom '[m']]]-TP_DATA[[#This Row],[D, top '[m']]], "")</f>
        <v/>
      </c>
      <c r="BC88" s="79" t="str">
        <f>IFERROR(-(TP_DATA[[#This Row],[D, bottom '[m']]]-TP_DATA[[#This Row],[D, top '[m']]])/(TP_DATA[[#This Row],[Bottom '[m']]]-TP_DATA[[#This Row],[Top '[m']]]),"")</f>
        <v/>
      </c>
      <c r="BD88" s="79" t="str">
        <f t="shared" si="1"/>
        <v/>
      </c>
      <c r="BE88" s="79" t="str">
        <f>IFERROR((TP_DATA[[#This Row],[D, bottom '[m']]]+TP_DATA[[#This Row],[D, top '[m']]])/(2*TP_DATA[[#This Row],[t '[mm']]]/1000),"")</f>
        <v/>
      </c>
      <c r="BF88" s="79" t="str">
        <f>IFERROR((TP_DATA[[#This Row],[D, bottom '[m']]]+#REF!)/(2*#REF!/1000),"")</f>
        <v/>
      </c>
      <c r="CP88" s="126">
        <v>58</v>
      </c>
      <c r="CQ88" s="120">
        <v>60.900000000000006</v>
      </c>
      <c r="CR88" s="120">
        <v>60.59</v>
      </c>
      <c r="CS88" s="120">
        <v>7.1139999999999999</v>
      </c>
      <c r="CT88" s="120">
        <v>7.1189999999999998</v>
      </c>
      <c r="CU88" s="120">
        <v>33</v>
      </c>
      <c r="CV88" s="79">
        <f>IFERROR(TOWER_DATA[[#This Row],[Top '[m']]]-TOWER_DATA[[#This Row],[Bottom '[m']]], "")</f>
        <v>0.31000000000000227</v>
      </c>
      <c r="CW88" s="79">
        <f>IFERROR(-(TOWER_DATA[[#This Row],[D, bottom '[m']]]-TOWER_DATA[[#This Row],[D, top '[m']]])/(TOWER_DATA[[#This Row],[Bottom '[m']]]-TOWER_DATA[[#This Row],[Top '[m']]]),"")</f>
        <v>1.6129032258064054E-2</v>
      </c>
      <c r="CX88" s="79">
        <f t="shared" si="2"/>
        <v>1.7870761604983658</v>
      </c>
      <c r="CY88" s="79">
        <f>IFERROR((TOWER_DATA[[#This Row],[D, bottom '[m']]]+TOWER_DATA[[#This Row],[D, top '[m']]])/(2*TOWER_DATA[[#This Row],[t '[mm']]]/1000),"")</f>
        <v>215.65151515151516</v>
      </c>
      <c r="CZ88" s="79" t="str">
        <f>IFERROR((TOWER_DATA[[#This Row],[D, bottom '[m']]]+#REF!)/(2*#REF!/1000),"")</f>
        <v/>
      </c>
      <c r="DA88" s="127" t="s">
        <v>262</v>
      </c>
      <c r="DB88" s="127">
        <v>30.900000000000002</v>
      </c>
      <c r="DC88" s="127">
        <v>30.900000000000002</v>
      </c>
      <c r="DD88" s="127">
        <v>158</v>
      </c>
      <c r="DE88" s="127"/>
      <c r="DF88" s="127"/>
      <c r="DG88" s="127"/>
      <c r="DH88" s="127"/>
      <c r="DI88" s="127"/>
      <c r="DK88" s="77">
        <v>58</v>
      </c>
      <c r="DL88" s="77">
        <v>60.900000000000006</v>
      </c>
      <c r="DM88" s="77">
        <v>60.59</v>
      </c>
      <c r="DN88" s="77">
        <v>7.1139999999999999</v>
      </c>
      <c r="DO88" s="77">
        <v>7.1189999999999998</v>
      </c>
      <c r="DP88" s="77">
        <v>33</v>
      </c>
      <c r="DR88" s="100" t="s">
        <v>262</v>
      </c>
      <c r="DS88" s="100">
        <v>30.900000000000002</v>
      </c>
      <c r="DT88" s="100">
        <v>30.900000000000002</v>
      </c>
      <c r="DU88" s="100">
        <v>158</v>
      </c>
      <c r="DV88" s="127"/>
      <c r="DW88" s="127"/>
      <c r="DX88" s="127"/>
      <c r="DY88" s="127"/>
      <c r="DZ88" s="127"/>
      <c r="EQ88" s="79"/>
      <c r="ER88" s="79"/>
    </row>
    <row r="89" spans="2:148" x14ac:dyDescent="0.3">
      <c r="B89" s="79"/>
      <c r="C89" s="79"/>
      <c r="D89" s="79"/>
      <c r="E89" s="79"/>
      <c r="F89" s="79"/>
      <c r="G89" s="79"/>
      <c r="H89" s="79" t="str">
        <f>IFERROR(MP_DATA[[#This Row],[Bottom '[m']]]-MP_DATA[[#This Row],[D, top '[m']]], "")</f>
        <v/>
      </c>
      <c r="I89" s="79" t="str">
        <f>IFERROR(-(MP_DATA[[#This Row],[D, bottom '[m']]]-MP_DATA[[#This Row],[D, top '[m']]])/(MP_DATA[[#This Row],[Bottom '[m']]]-MP_DATA[[#This Row],[Top '[m']]]),"")</f>
        <v/>
      </c>
      <c r="J89" s="79" t="str">
        <f t="shared" si="3"/>
        <v/>
      </c>
      <c r="K89" s="79" t="str">
        <f>IFERROR((MP_DATA[[#This Row],[D, bottom '[m']]]+MP_DATA[[#This Row],[D, top '[m']]])/(2*MP_DATA[[#This Row],[t '[mm']]]/1000),"")</f>
        <v/>
      </c>
      <c r="L89" s="79" t="str">
        <f>IFERROR((MP_DATA[[#This Row],[D, bottom '[m']]]+#REF!)/(2*#REF!/1000),"")</f>
        <v/>
      </c>
      <c r="BB89" s="79" t="str">
        <f>IFERROR(TP_DATA[[#This Row],[Bottom '[m']]]-TP_DATA[[#This Row],[D, top '[m']]], "")</f>
        <v/>
      </c>
      <c r="BC89" s="79" t="str">
        <f>IFERROR(-(TP_DATA[[#This Row],[D, bottom '[m']]]-TP_DATA[[#This Row],[D, top '[m']]])/(TP_DATA[[#This Row],[Bottom '[m']]]-TP_DATA[[#This Row],[Top '[m']]]),"")</f>
        <v/>
      </c>
      <c r="BD89" s="79" t="str">
        <f t="shared" si="1"/>
        <v/>
      </c>
      <c r="BE89" s="79" t="str">
        <f>IFERROR((TP_DATA[[#This Row],[D, bottom '[m']]]+TP_DATA[[#This Row],[D, top '[m']]])/(2*TP_DATA[[#This Row],[t '[mm']]]/1000),"")</f>
        <v/>
      </c>
      <c r="BF89" s="79" t="str">
        <f>IFERROR((TP_DATA[[#This Row],[D, bottom '[m']]]+#REF!)/(2*#REF!/1000),"")</f>
        <v/>
      </c>
      <c r="CP89" s="126">
        <v>59</v>
      </c>
      <c r="CQ89" s="120">
        <v>60.59</v>
      </c>
      <c r="CR89" s="120">
        <v>57.896000000000001</v>
      </c>
      <c r="CS89" s="120">
        <v>7.1189999999999998</v>
      </c>
      <c r="CT89" s="120">
        <v>7.1619999999999999</v>
      </c>
      <c r="CU89" s="120">
        <v>33</v>
      </c>
      <c r="CV89" s="79">
        <f>IFERROR(TOWER_DATA[[#This Row],[Top '[m']]]-TOWER_DATA[[#This Row],[Bottom '[m']]], "")</f>
        <v>2.6940000000000026</v>
      </c>
      <c r="CW89" s="79">
        <f>IFERROR(-(TOWER_DATA[[#This Row],[D, bottom '[m']]]-TOWER_DATA[[#This Row],[D, top '[m']]])/(TOWER_DATA[[#This Row],[Bottom '[m']]]-TOWER_DATA[[#This Row],[Top '[m']]]),"")</f>
        <v>1.5961395694135155E-2</v>
      </c>
      <c r="CX89" s="79">
        <f t="shared" si="2"/>
        <v>15.582887276036354</v>
      </c>
      <c r="CY89" s="79">
        <f>IFERROR((TOWER_DATA[[#This Row],[D, bottom '[m']]]+TOWER_DATA[[#This Row],[D, top '[m']]])/(2*TOWER_DATA[[#This Row],[t '[mm']]]/1000),"")</f>
        <v>216.37878787878785</v>
      </c>
      <c r="CZ89" s="79" t="str">
        <f>IFERROR((TOWER_DATA[[#This Row],[D, bottom '[m']]]+#REF!)/(2*#REF!/1000),"")</f>
        <v/>
      </c>
      <c r="DA89" s="127" t="s">
        <v>262</v>
      </c>
      <c r="DB89" s="127">
        <v>29.121000000000002</v>
      </c>
      <c r="DC89" s="127">
        <v>29.121000000000002</v>
      </c>
      <c r="DD89" s="127">
        <v>158</v>
      </c>
      <c r="DE89" s="127"/>
      <c r="DF89" s="127"/>
      <c r="DG89" s="127"/>
      <c r="DH89" s="127"/>
      <c r="DI89" s="127"/>
      <c r="DK89" s="77">
        <v>59</v>
      </c>
      <c r="DL89" s="77">
        <v>60.59</v>
      </c>
      <c r="DM89" s="77">
        <v>57.896000000000001</v>
      </c>
      <c r="DN89" s="77">
        <v>7.1189999999999998</v>
      </c>
      <c r="DO89" s="77">
        <v>7.1619999999999999</v>
      </c>
      <c r="DP89" s="77">
        <v>33</v>
      </c>
      <c r="DR89" s="100" t="s">
        <v>262</v>
      </c>
      <c r="DS89" s="100">
        <v>29.121000000000002</v>
      </c>
      <c r="DT89" s="100">
        <v>29.121000000000002</v>
      </c>
      <c r="DU89" s="100">
        <v>158</v>
      </c>
      <c r="DV89" s="127"/>
      <c r="DW89" s="127"/>
      <c r="DX89" s="127"/>
      <c r="DY89" s="127"/>
      <c r="DZ89" s="127"/>
      <c r="EQ89" s="79"/>
      <c r="ER89" s="79"/>
    </row>
    <row r="90" spans="2:148" x14ac:dyDescent="0.3">
      <c r="B90" s="79"/>
      <c r="C90" s="79"/>
      <c r="D90" s="79"/>
      <c r="E90" s="79"/>
      <c r="F90" s="79"/>
      <c r="G90" s="79"/>
      <c r="H90" s="79" t="str">
        <f>IFERROR(MP_DATA[[#This Row],[Bottom '[m']]]-MP_DATA[[#This Row],[D, top '[m']]], "")</f>
        <v/>
      </c>
      <c r="I90" s="79" t="str">
        <f>IFERROR(-(MP_DATA[[#This Row],[D, bottom '[m']]]-MP_DATA[[#This Row],[D, top '[m']]])/(MP_DATA[[#This Row],[Bottom '[m']]]-MP_DATA[[#This Row],[Top '[m']]]),"")</f>
        <v/>
      </c>
      <c r="J90" s="79" t="str">
        <f t="shared" si="3"/>
        <v/>
      </c>
      <c r="K90" s="79" t="str">
        <f>IFERROR((MP_DATA[[#This Row],[D, bottom '[m']]]+MP_DATA[[#This Row],[D, top '[m']]])/(2*MP_DATA[[#This Row],[t '[mm']]]/1000),"")</f>
        <v/>
      </c>
      <c r="L90" s="79" t="str">
        <f>IFERROR((MP_DATA[[#This Row],[D, bottom '[m']]]+#REF!)/(2*#REF!/1000),"")</f>
        <v/>
      </c>
      <c r="BB90" s="79" t="str">
        <f>IFERROR(TP_DATA[[#This Row],[Bottom '[m']]]-TP_DATA[[#This Row],[D, top '[m']]], "")</f>
        <v/>
      </c>
      <c r="BC90" s="79" t="str">
        <f>IFERROR(-(TP_DATA[[#This Row],[D, bottom '[m']]]-TP_DATA[[#This Row],[D, top '[m']]])/(TP_DATA[[#This Row],[Bottom '[m']]]-TP_DATA[[#This Row],[Top '[m']]]),"")</f>
        <v/>
      </c>
      <c r="BD90" s="79" t="str">
        <f t="shared" si="1"/>
        <v/>
      </c>
      <c r="BE90" s="79" t="str">
        <f>IFERROR((TP_DATA[[#This Row],[D, bottom '[m']]]+TP_DATA[[#This Row],[D, top '[m']]])/(2*TP_DATA[[#This Row],[t '[mm']]]/1000),"")</f>
        <v/>
      </c>
      <c r="BF90" s="79" t="str">
        <f>IFERROR((TP_DATA[[#This Row],[D, bottom '[m']]]+#REF!)/(2*#REF!/1000),"")</f>
        <v/>
      </c>
      <c r="CP90" s="126">
        <v>60</v>
      </c>
      <c r="CQ90" s="120">
        <v>57.896000000000001</v>
      </c>
      <c r="CR90" s="120">
        <v>57.872</v>
      </c>
      <c r="CS90" s="120">
        <v>7.1619999999999999</v>
      </c>
      <c r="CT90" s="120">
        <v>7.1630000000000003</v>
      </c>
      <c r="CU90" s="120">
        <v>33</v>
      </c>
      <c r="CV90" s="79">
        <f>IFERROR(TOWER_DATA[[#This Row],[Top '[m']]]-TOWER_DATA[[#This Row],[Bottom '[m']]], "")</f>
        <v>2.4000000000000909E-2</v>
      </c>
      <c r="CW90" s="79">
        <f>IFERROR(-(TOWER_DATA[[#This Row],[D, bottom '[m']]]-TOWER_DATA[[#This Row],[D, top '[m']]])/(TOWER_DATA[[#This Row],[Bottom '[m']]]-TOWER_DATA[[#This Row],[Top '[m']]]),"")</f>
        <v>4.1666666666679002E-2</v>
      </c>
      <c r="CX90" s="79">
        <f t="shared" si="2"/>
        <v>0.13925275124633829</v>
      </c>
      <c r="CY90" s="79">
        <f>IFERROR((TOWER_DATA[[#This Row],[D, bottom '[m']]]+TOWER_DATA[[#This Row],[D, top '[m']]])/(2*TOWER_DATA[[#This Row],[t '[mm']]]/1000),"")</f>
        <v>217.04545454545453</v>
      </c>
      <c r="CZ90" s="79" t="str">
        <f>IFERROR((TOWER_DATA[[#This Row],[D, bottom '[m']]]+#REF!)/(2*#REF!/1000),"")</f>
        <v/>
      </c>
      <c r="DA90" s="127" t="s">
        <v>262</v>
      </c>
      <c r="DB90" s="127">
        <v>25.050000000000004</v>
      </c>
      <c r="DC90" s="127">
        <v>25.050000000000004</v>
      </c>
      <c r="DD90" s="127">
        <v>86</v>
      </c>
      <c r="DE90" s="127"/>
      <c r="DF90" s="127"/>
      <c r="DG90" s="127"/>
      <c r="DH90" s="127"/>
      <c r="DI90" s="127"/>
      <c r="DK90" s="77">
        <v>60</v>
      </c>
      <c r="DL90" s="77">
        <v>57.896000000000001</v>
      </c>
      <c r="DM90" s="77">
        <v>57.872</v>
      </c>
      <c r="DN90" s="77">
        <v>7.1619999999999999</v>
      </c>
      <c r="DO90" s="77">
        <v>7.1630000000000003</v>
      </c>
      <c r="DP90" s="77">
        <v>33</v>
      </c>
      <c r="DR90" s="100" t="s">
        <v>262</v>
      </c>
      <c r="DS90" s="100">
        <v>25.050000000000004</v>
      </c>
      <c r="DT90" s="100">
        <v>25.050000000000004</v>
      </c>
      <c r="DU90" s="100">
        <v>86</v>
      </c>
      <c r="DV90" s="127"/>
      <c r="DW90" s="127"/>
      <c r="DX90" s="127"/>
      <c r="DY90" s="127"/>
      <c r="DZ90" s="127"/>
      <c r="EQ90" s="79"/>
      <c r="ER90" s="79"/>
    </row>
    <row r="91" spans="2:148" x14ac:dyDescent="0.3">
      <c r="B91" s="79"/>
      <c r="C91" s="79"/>
      <c r="D91" s="79"/>
      <c r="E91" s="79"/>
      <c r="F91" s="79"/>
      <c r="G91" s="79"/>
      <c r="H91" s="79" t="str">
        <f>IFERROR(MP_DATA[[#This Row],[Bottom '[m']]]-MP_DATA[[#This Row],[D, top '[m']]], "")</f>
        <v/>
      </c>
      <c r="I91" s="79" t="str">
        <f>IFERROR(-(MP_DATA[[#This Row],[D, bottom '[m']]]-MP_DATA[[#This Row],[D, top '[m']]])/(MP_DATA[[#This Row],[Bottom '[m']]]-MP_DATA[[#This Row],[Top '[m']]]),"")</f>
        <v/>
      </c>
      <c r="J91" s="79" t="str">
        <f t="shared" si="3"/>
        <v/>
      </c>
      <c r="K91" s="79" t="str">
        <f>IFERROR((MP_DATA[[#This Row],[D, bottom '[m']]]+MP_DATA[[#This Row],[D, top '[m']]])/(2*MP_DATA[[#This Row],[t '[mm']]]/1000),"")</f>
        <v/>
      </c>
      <c r="L91" s="79" t="str">
        <f>IFERROR((MP_DATA[[#This Row],[D, bottom '[m']]]+#REF!)/(2*#REF!/1000),"")</f>
        <v/>
      </c>
      <c r="BB91" s="79" t="str">
        <f>IFERROR(TP_DATA[[#This Row],[Bottom '[m']]]-TP_DATA[[#This Row],[D, top '[m']]], "")</f>
        <v/>
      </c>
      <c r="BC91" s="79" t="str">
        <f>IFERROR(-(TP_DATA[[#This Row],[D, bottom '[m']]]-TP_DATA[[#This Row],[D, top '[m']]])/(TP_DATA[[#This Row],[Bottom '[m']]]-TP_DATA[[#This Row],[Top '[m']]]),"")</f>
        <v/>
      </c>
      <c r="BD91" s="79" t="str">
        <f t="shared" si="1"/>
        <v/>
      </c>
      <c r="BE91" s="79" t="str">
        <f>IFERROR((TP_DATA[[#This Row],[D, bottom '[m']]]+TP_DATA[[#This Row],[D, top '[m']]])/(2*TP_DATA[[#This Row],[t '[mm']]]/1000),"")</f>
        <v/>
      </c>
      <c r="BF91" s="79" t="str">
        <f>IFERROR((TP_DATA[[#This Row],[D, bottom '[m']]]+#REF!)/(2*#REF!/1000),"")</f>
        <v/>
      </c>
      <c r="CP91" s="126">
        <v>61</v>
      </c>
      <c r="CQ91" s="120">
        <v>57.872</v>
      </c>
      <c r="CR91" s="120">
        <v>55.153999999999996</v>
      </c>
      <c r="CS91" s="120">
        <v>7.1630000000000003</v>
      </c>
      <c r="CT91" s="120">
        <v>7.21</v>
      </c>
      <c r="CU91" s="120">
        <v>34</v>
      </c>
      <c r="CV91" s="79">
        <f>IFERROR(TOWER_DATA[[#This Row],[Top '[m']]]-TOWER_DATA[[#This Row],[Bottom '[m']]], "")</f>
        <v>2.7180000000000035</v>
      </c>
      <c r="CW91" s="79">
        <f>IFERROR(-(TOWER_DATA[[#This Row],[D, bottom '[m']]]-TOWER_DATA[[#This Row],[D, top '[m']]])/(TOWER_DATA[[#This Row],[Bottom '[m']]]-TOWER_DATA[[#This Row],[Top '[m']]]),"")</f>
        <v>1.7292126563649615E-2</v>
      </c>
      <c r="CX91" s="79">
        <f t="shared" si="2"/>
        <v>16.300681633570363</v>
      </c>
      <c r="CY91" s="79">
        <f>IFERROR((TOWER_DATA[[#This Row],[D, bottom '[m']]]+TOWER_DATA[[#This Row],[D, top '[m']]])/(2*TOWER_DATA[[#This Row],[t '[mm']]]/1000),"")</f>
        <v>211.36764705882354</v>
      </c>
      <c r="CZ91" s="79" t="str">
        <f>IFERROR((TOWER_DATA[[#This Row],[D, bottom '[m']]]+#REF!)/(2*#REF!/1000),"")</f>
        <v/>
      </c>
      <c r="DA91" s="127" t="s">
        <v>262</v>
      </c>
      <c r="DB91" s="127">
        <v>25.011000000000003</v>
      </c>
      <c r="DC91" s="127">
        <v>25.011000000000003</v>
      </c>
      <c r="DD91" s="127">
        <v>688</v>
      </c>
      <c r="DE91" s="127"/>
      <c r="DF91" s="127"/>
      <c r="DG91" s="127"/>
      <c r="DH91" s="127"/>
      <c r="DI91" s="127"/>
      <c r="DK91" s="77">
        <v>61</v>
      </c>
      <c r="DL91" s="77">
        <v>57.872</v>
      </c>
      <c r="DM91" s="77">
        <v>55.153999999999996</v>
      </c>
      <c r="DN91" s="77">
        <v>7.1630000000000003</v>
      </c>
      <c r="DO91" s="77">
        <v>7.21</v>
      </c>
      <c r="DP91" s="77">
        <v>34</v>
      </c>
      <c r="DR91" s="100" t="s">
        <v>262</v>
      </c>
      <c r="DS91" s="100">
        <v>25.011000000000003</v>
      </c>
      <c r="DT91" s="100">
        <v>25.011000000000003</v>
      </c>
      <c r="DU91" s="100">
        <v>688</v>
      </c>
      <c r="DV91" s="127"/>
      <c r="DW91" s="127"/>
      <c r="DX91" s="127"/>
      <c r="DY91" s="127"/>
      <c r="DZ91" s="127"/>
      <c r="EQ91" s="79"/>
      <c r="ER91" s="79"/>
    </row>
    <row r="92" spans="2:148" x14ac:dyDescent="0.3">
      <c r="B92" s="79"/>
      <c r="D92" s="79"/>
      <c r="F92" s="79"/>
      <c r="H92" s="79" t="str">
        <f>IFERROR(MP_DATA[[#This Row],[Bottom '[m']]]-MP_DATA[[#This Row],[D, top '[m']]], "")</f>
        <v/>
      </c>
      <c r="I92" t="str">
        <f>IFERROR(-(MP_DATA[[#This Row],[D, bottom '[m']]]-MP_DATA[[#This Row],[D, top '[m']]])/(MP_DATA[[#This Row],[Bottom '[m']]]-MP_DATA[[#This Row],[Top '[m']]]),"")</f>
        <v/>
      </c>
      <c r="J92" s="79" t="str">
        <f t="shared" si="3"/>
        <v/>
      </c>
      <c r="K92" s="79" t="str">
        <f>IFERROR((MP_DATA[[#This Row],[D, bottom '[m']]]+MP_DATA[[#This Row],[D, top '[m']]])/(2*MP_DATA[[#This Row],[t '[mm']]]/1000),"")</f>
        <v/>
      </c>
      <c r="L92" s="79" t="str">
        <f>IFERROR((MP_DATA[[#This Row],[D, bottom '[m']]]+#REF!)/(2*#REF!/1000),"")</f>
        <v/>
      </c>
      <c r="BB92" s="79" t="str">
        <f>IFERROR(TP_DATA[[#This Row],[Bottom '[m']]]-TP_DATA[[#This Row],[D, top '[m']]], "")</f>
        <v/>
      </c>
      <c r="BC92" s="79" t="str">
        <f>IFERROR(-(TP_DATA[[#This Row],[D, bottom '[m']]]-TP_DATA[[#This Row],[D, top '[m']]])/(TP_DATA[[#This Row],[Bottom '[m']]]-TP_DATA[[#This Row],[Top '[m']]]),"")</f>
        <v/>
      </c>
      <c r="BD92" s="79" t="str">
        <f t="shared" si="1"/>
        <v/>
      </c>
      <c r="BE92" s="79" t="str">
        <f>IFERROR((TP_DATA[[#This Row],[D, bottom '[m']]]+TP_DATA[[#This Row],[D, top '[m']]])/(2*TP_DATA[[#This Row],[t '[mm']]]/1000),"")</f>
        <v/>
      </c>
      <c r="BF92" s="79" t="str">
        <f>IFERROR((TP_DATA[[#This Row],[D, bottom '[m']]]+#REF!)/(2*#REF!/1000),"")</f>
        <v/>
      </c>
      <c r="CP92" s="126">
        <v>62</v>
      </c>
      <c r="CQ92" s="120">
        <v>55.153999999999996</v>
      </c>
      <c r="CR92" s="120">
        <v>53.786000000000001</v>
      </c>
      <c r="CS92" s="120">
        <v>7.21</v>
      </c>
      <c r="CT92" s="120">
        <v>7.2309999999999999</v>
      </c>
      <c r="CU92" s="120">
        <v>38.199999999999996</v>
      </c>
      <c r="CV92" s="79">
        <f>IFERROR(TOWER_DATA[[#This Row],[Top '[m']]]-TOWER_DATA[[#This Row],[Bottom '[m']]], "")</f>
        <v>1.367999999999995</v>
      </c>
      <c r="CW92" s="79">
        <f>IFERROR(-(TOWER_DATA[[#This Row],[D, bottom '[m']]]-TOWER_DATA[[#This Row],[D, top '[m']]])/(TOWER_DATA[[#This Row],[Bottom '[m']]]-TOWER_DATA[[#This Row],[Top '[m']]]),"")</f>
        <v>1.5350877192982445E-2</v>
      </c>
      <c r="CX92" s="79">
        <f t="shared" si="2"/>
        <v>9.2561957628509823</v>
      </c>
      <c r="CY92" s="79">
        <f>IFERROR((TOWER_DATA[[#This Row],[D, bottom '[m']]]+TOWER_DATA[[#This Row],[D, top '[m']]])/(2*TOWER_DATA[[#This Row],[t '[mm']]]/1000),"")</f>
        <v>189.01832460732984</v>
      </c>
      <c r="CZ92" s="79" t="str">
        <f>IFERROR((TOWER_DATA[[#This Row],[D, bottom '[m']]]+#REF!)/(2*#REF!/1000),"")</f>
        <v/>
      </c>
      <c r="DA92" s="127" t="s">
        <v>262</v>
      </c>
      <c r="DB92" s="127">
        <v>22.12</v>
      </c>
      <c r="DC92" s="127">
        <v>22.12</v>
      </c>
      <c r="DD92" s="127">
        <v>13900</v>
      </c>
      <c r="DE92" s="127"/>
      <c r="DF92" s="127"/>
      <c r="DG92" s="127"/>
      <c r="DH92" s="127"/>
      <c r="DI92" s="127"/>
      <c r="DK92" s="77">
        <v>62</v>
      </c>
      <c r="DL92" s="77">
        <v>55.153999999999996</v>
      </c>
      <c r="DM92" s="77">
        <v>53.786000000000001</v>
      </c>
      <c r="DN92" s="77">
        <v>7.21</v>
      </c>
      <c r="DO92" s="77">
        <v>7.2309999999999999</v>
      </c>
      <c r="DP92" s="77">
        <v>38.199999999999996</v>
      </c>
      <c r="DR92" s="100" t="s">
        <v>262</v>
      </c>
      <c r="DS92" s="100">
        <v>22.12</v>
      </c>
      <c r="DT92" s="100">
        <v>22.12</v>
      </c>
      <c r="DU92" s="100">
        <v>13900</v>
      </c>
      <c r="DV92" s="127"/>
      <c r="DW92" s="127"/>
      <c r="DX92" s="127"/>
      <c r="DY92" s="127"/>
      <c r="DZ92" s="127"/>
      <c r="EQ92" s="79"/>
      <c r="ER92" s="79"/>
    </row>
    <row r="93" spans="2:148" x14ac:dyDescent="0.3">
      <c r="B93" s="79"/>
      <c r="D93" s="79"/>
      <c r="F93" s="79"/>
      <c r="H93" s="79" t="str">
        <f>IFERROR(MP_DATA[[#This Row],[Bottom '[m']]]-MP_DATA[[#This Row],[D, top '[m']]], "")</f>
        <v/>
      </c>
      <c r="I93" t="str">
        <f>IFERROR(-(MP_DATA[[#This Row],[D, bottom '[m']]]-MP_DATA[[#This Row],[D, top '[m']]])/(MP_DATA[[#This Row],[Bottom '[m']]]-MP_DATA[[#This Row],[Top '[m']]]),"")</f>
        <v/>
      </c>
      <c r="J93" s="79" t="str">
        <f t="shared" si="3"/>
        <v/>
      </c>
      <c r="K93" s="79" t="str">
        <f>IFERROR((MP_DATA[[#This Row],[D, bottom '[m']]]+MP_DATA[[#This Row],[D, top '[m']]])/(2*MP_DATA[[#This Row],[t '[mm']]]/1000),"")</f>
        <v/>
      </c>
      <c r="L93" s="79" t="str">
        <f>IFERROR((MP_DATA[[#This Row],[D, bottom '[m']]]+#REF!)/(2*#REF!/1000),"")</f>
        <v/>
      </c>
      <c r="BB93" s="79" t="str">
        <f>IFERROR(TP_DATA[[#This Row],[Bottom '[m']]]-TP_DATA[[#This Row],[D, top '[m']]], "")</f>
        <v/>
      </c>
      <c r="BC93" s="79" t="str">
        <f>IFERROR(-(TP_DATA[[#This Row],[D, bottom '[m']]]-TP_DATA[[#This Row],[D, top '[m']]])/(TP_DATA[[#This Row],[Bottom '[m']]]-TP_DATA[[#This Row],[Top '[m']]]),"")</f>
        <v/>
      </c>
      <c r="BD93" s="79" t="str">
        <f t="shared" si="1"/>
        <v/>
      </c>
      <c r="BE93" s="79" t="str">
        <f>IFERROR((TP_DATA[[#This Row],[D, bottom '[m']]]+TP_DATA[[#This Row],[D, top '[m']]])/(2*TP_DATA[[#This Row],[t '[mm']]]/1000),"")</f>
        <v/>
      </c>
      <c r="BF93" s="79" t="str">
        <f>IFERROR((TP_DATA[[#This Row],[D, bottom '[m']]]+#REF!)/(2*#REF!/1000),"")</f>
        <v/>
      </c>
      <c r="CP93" s="126">
        <v>63</v>
      </c>
      <c r="CQ93" s="120">
        <v>53.786000000000001</v>
      </c>
      <c r="CR93" s="120">
        <v>52.436000000000007</v>
      </c>
      <c r="CS93" s="120">
        <v>7.2309999999999999</v>
      </c>
      <c r="CT93" s="120">
        <v>7.2519999999999998</v>
      </c>
      <c r="CU93" s="120">
        <v>38.199999999999996</v>
      </c>
      <c r="CV93" s="79">
        <f>IFERROR(TOWER_DATA[[#This Row],[Top '[m']]]-TOWER_DATA[[#This Row],[Bottom '[m']]], "")</f>
        <v>1.3499999999999943</v>
      </c>
      <c r="CW93" s="79">
        <f>IFERROR(-(TOWER_DATA[[#This Row],[D, bottom '[m']]]-TOWER_DATA[[#This Row],[D, top '[m']]])/(TOWER_DATA[[#This Row],[Bottom '[m']]]-TOWER_DATA[[#This Row],[Top '[m']]]),"")</f>
        <v>1.5555555555555553E-2</v>
      </c>
      <c r="CX93" s="79">
        <f t="shared" si="2"/>
        <v>9.1611113805187827</v>
      </c>
      <c r="CY93" s="79">
        <f>IFERROR((TOWER_DATA[[#This Row],[D, bottom '[m']]]+TOWER_DATA[[#This Row],[D, top '[m']]])/(2*TOWER_DATA[[#This Row],[t '[mm']]]/1000),"")</f>
        <v>189.56806282722516</v>
      </c>
      <c r="CZ93" s="79" t="str">
        <f>IFERROR((TOWER_DATA[[#This Row],[D, bottom '[m']]]+#REF!)/(2*#REF!/1000),"")</f>
        <v/>
      </c>
      <c r="DA93" s="127" t="s">
        <v>262</v>
      </c>
      <c r="DB93" s="127">
        <v>21.14</v>
      </c>
      <c r="DC93" s="127">
        <v>21.14</v>
      </c>
      <c r="DD93" s="127">
        <v>53</v>
      </c>
      <c r="DE93" s="127"/>
      <c r="DF93" s="127"/>
      <c r="DG93" s="127"/>
      <c r="DH93" s="127"/>
      <c r="DI93" s="127"/>
      <c r="DK93" s="77">
        <v>63</v>
      </c>
      <c r="DL93" s="77">
        <v>53.786000000000001</v>
      </c>
      <c r="DM93" s="77">
        <v>52.436000000000007</v>
      </c>
      <c r="DN93" s="77">
        <v>7.2309999999999999</v>
      </c>
      <c r="DO93" s="77">
        <v>7.2519999999999998</v>
      </c>
      <c r="DP93" s="77">
        <v>38.199999999999996</v>
      </c>
      <c r="DR93" s="100" t="s">
        <v>262</v>
      </c>
      <c r="DS93" s="100">
        <v>21.14</v>
      </c>
      <c r="DT93" s="100">
        <v>21.14</v>
      </c>
      <c r="DU93" s="100">
        <v>53</v>
      </c>
      <c r="DV93" s="127"/>
      <c r="DW93" s="127"/>
      <c r="DX93" s="127"/>
      <c r="DY93" s="127"/>
      <c r="DZ93" s="127"/>
      <c r="EQ93" s="79"/>
      <c r="ER93" s="79"/>
    </row>
    <row r="94" spans="2:148" x14ac:dyDescent="0.3">
      <c r="B94" s="79"/>
      <c r="D94" s="79"/>
      <c r="F94" s="79"/>
      <c r="H94" s="79" t="str">
        <f>IFERROR(MP_DATA[[#This Row],[Bottom '[m']]]-MP_DATA[[#This Row],[D, top '[m']]], "")</f>
        <v/>
      </c>
      <c r="I94" t="str">
        <f>IFERROR(-(MP_DATA[[#This Row],[D, bottom '[m']]]-MP_DATA[[#This Row],[D, top '[m']]])/(MP_DATA[[#This Row],[Bottom '[m']]]-MP_DATA[[#This Row],[Top '[m']]]),"")</f>
        <v/>
      </c>
      <c r="J94" s="79" t="str">
        <f t="shared" ref="J94:J125" si="4">IF(7850/1000*(1/3)*PI()*ABS(C153-D153)*((E153/2)^2+(E153/2)*(F153/2)+(F153/2)^2-(E153/2-G153/1000)^2-(E153/2-G153/1000)*(F153/2-G153/1000)-(F153/2-G153/1000)^2)=0,"",7850/1000*(1/3)*PI()*ABS(C153-D153)*((E153/2)^2+(E153/2)*(F153/2)+(F153/2)^2-(E153/2-G153/1000)^2-(E153/2-G153/1000)*(F153/2-G153/1000)-(F153/2-G153/1000)^2))</f>
        <v/>
      </c>
      <c r="K94" s="79" t="str">
        <f>IFERROR((MP_DATA[[#This Row],[D, bottom '[m']]]+MP_DATA[[#This Row],[D, top '[m']]])/(2*MP_DATA[[#This Row],[t '[mm']]]/1000),"")</f>
        <v/>
      </c>
      <c r="L94" s="79" t="str">
        <f>IFERROR((MP_DATA[[#This Row],[D, bottom '[m']]]+#REF!)/(2*#REF!/1000),"")</f>
        <v/>
      </c>
      <c r="BB94" s="79" t="str">
        <f>IFERROR(TP_DATA[[#This Row],[Bottom '[m']]]-TP_DATA[[#This Row],[D, top '[m']]], "")</f>
        <v/>
      </c>
      <c r="BC94" s="79" t="str">
        <f>IFERROR(-(TP_DATA[[#This Row],[D, bottom '[m']]]-TP_DATA[[#This Row],[D, top '[m']]])/(TP_DATA[[#This Row],[Bottom '[m']]]-TP_DATA[[#This Row],[Top '[m']]]),"")</f>
        <v/>
      </c>
      <c r="BD94" s="79" t="str">
        <f t="shared" si="1"/>
        <v/>
      </c>
      <c r="BE94" s="79" t="str">
        <f>IFERROR((TP_DATA[[#This Row],[D, bottom '[m']]]+TP_DATA[[#This Row],[D, top '[m']]])/(2*TP_DATA[[#This Row],[t '[mm']]]/1000),"")</f>
        <v/>
      </c>
      <c r="BF94" s="79" t="str">
        <f>IFERROR((TP_DATA[[#This Row],[D, bottom '[m']]]+#REF!)/(2*#REF!/1000),"")</f>
        <v/>
      </c>
      <c r="CP94" s="126">
        <v>64</v>
      </c>
      <c r="CQ94" s="120">
        <v>52.436000000000007</v>
      </c>
      <c r="CR94" s="120">
        <v>50.900000000000006</v>
      </c>
      <c r="CS94" s="120">
        <v>7.2519999999999998</v>
      </c>
      <c r="CT94" s="120">
        <v>7.2770000000000001</v>
      </c>
      <c r="CU94" s="120">
        <v>38.199999999999996</v>
      </c>
      <c r="CV94" s="79">
        <f>IFERROR(TOWER_DATA[[#This Row],[Top '[m']]]-TOWER_DATA[[#This Row],[Bottom '[m']]], "")</f>
        <v>1.5360000000000014</v>
      </c>
      <c r="CW94" s="79">
        <f>IFERROR(-(TOWER_DATA[[#This Row],[D, bottom '[m']]]-TOWER_DATA[[#This Row],[D, top '[m']]])/(TOWER_DATA[[#This Row],[Bottom '[m']]]-TOWER_DATA[[#This Row],[Top '[m']]]),"")</f>
        <v>1.6276041666666883E-2</v>
      </c>
      <c r="CX94" s="79">
        <f t="shared" si="2"/>
        <v>10.456590375877102</v>
      </c>
      <c r="CY94" s="79">
        <f>IFERROR((TOWER_DATA[[#This Row],[D, bottom '[m']]]+TOWER_DATA[[#This Row],[D, top '[m']]])/(2*TOWER_DATA[[#This Row],[t '[mm']]]/1000),"")</f>
        <v>190.17015706806285</v>
      </c>
      <c r="CZ94" s="79" t="str">
        <f>IFERROR((TOWER_DATA[[#This Row],[D, bottom '[m']]]+#REF!)/(2*#REF!/1000),"")</f>
        <v/>
      </c>
      <c r="DA94" s="127" t="s">
        <v>262</v>
      </c>
      <c r="DB94" s="127">
        <v>21.080000000000002</v>
      </c>
      <c r="DC94" s="127">
        <v>21.080000000000002</v>
      </c>
      <c r="DD94" s="127">
        <v>14132</v>
      </c>
      <c r="DE94" s="127"/>
      <c r="DF94" s="127"/>
      <c r="DG94" s="127"/>
      <c r="DH94" s="127"/>
      <c r="DI94" s="127"/>
      <c r="DK94" s="77">
        <v>64</v>
      </c>
      <c r="DL94" s="77">
        <v>52.436000000000007</v>
      </c>
      <c r="DM94" s="77">
        <v>50.900000000000006</v>
      </c>
      <c r="DN94" s="77">
        <v>7.2519999999999998</v>
      </c>
      <c r="DO94" s="77">
        <v>7.2770000000000001</v>
      </c>
      <c r="DP94" s="77">
        <v>38.199999999999996</v>
      </c>
      <c r="DR94" s="100" t="s">
        <v>262</v>
      </c>
      <c r="DS94" s="100">
        <v>21.080000000000002</v>
      </c>
      <c r="DT94" s="100">
        <v>21.080000000000002</v>
      </c>
      <c r="DU94" s="100">
        <v>14132</v>
      </c>
      <c r="DV94" s="127"/>
      <c r="DW94" s="127"/>
      <c r="DX94" s="127"/>
      <c r="DY94" s="127"/>
      <c r="DZ94" s="127"/>
      <c r="EQ94" s="79"/>
      <c r="ER94" s="79"/>
    </row>
    <row r="95" spans="2:148" x14ac:dyDescent="0.3">
      <c r="B95" s="79"/>
      <c r="D95" s="79"/>
      <c r="F95" s="79"/>
      <c r="H95" s="79" t="str">
        <f>IFERROR(MP_DATA[[#This Row],[Bottom '[m']]]-MP_DATA[[#This Row],[D, top '[m']]], "")</f>
        <v/>
      </c>
      <c r="I95" t="str">
        <f>IFERROR(-(MP_DATA[[#This Row],[D, bottom '[m']]]-MP_DATA[[#This Row],[D, top '[m']]])/(MP_DATA[[#This Row],[Bottom '[m']]]-MP_DATA[[#This Row],[Top '[m']]]),"")</f>
        <v/>
      </c>
      <c r="J95" s="79" t="str">
        <f t="shared" si="4"/>
        <v/>
      </c>
      <c r="K95" s="79" t="str">
        <f>IFERROR((MP_DATA[[#This Row],[D, bottom '[m']]]+MP_DATA[[#This Row],[D, top '[m']]])/(2*MP_DATA[[#This Row],[t '[mm']]]/1000),"")</f>
        <v/>
      </c>
      <c r="L95" s="79" t="str">
        <f>IFERROR((MP_DATA[[#This Row],[D, bottom '[m']]]+#REF!)/(2*#REF!/1000),"")</f>
        <v/>
      </c>
      <c r="BB95" s="79" t="str">
        <f>IFERROR(TP_DATA[[#This Row],[Bottom '[m']]]-TP_DATA[[#This Row],[D, top '[m']]], "")</f>
        <v/>
      </c>
      <c r="BC95" s="79" t="str">
        <f>IFERROR(-(TP_DATA[[#This Row],[D, bottom '[m']]]-TP_DATA[[#This Row],[D, top '[m']]])/(TP_DATA[[#This Row],[Bottom '[m']]]-TP_DATA[[#This Row],[Top '[m']]]),"")</f>
        <v/>
      </c>
      <c r="BD95" s="79" t="str">
        <f t="shared" ref="BD95:BD101" si="5">IF(7850/1000*(1/3)*PI()*ABS(AW95-AX95)*((AY95/2)^2+(AY95/2)*(AZ95/2)+(AZ95/2)^2-(AY95/2-BA95/1000)^2-(AY95/2-BA95/1000)*(AZ95/2-BA95/1000)-(AZ95/2-BA95/1000)^2)=0,"",7850/1000*(1/3)*PI()*ABS(AW95-AX95)*((AY95/2)^2+(AY95/2)*(AZ95/2)+(AZ95/2)^2-(AY95/2-BA95/1000)^2-(AY95/2-BA95/1000)*(AZ95/2-BA95/1000)-(AZ95/2-BA95/1000)^2))</f>
        <v/>
      </c>
      <c r="BE95" s="79" t="str">
        <f>IFERROR((TP_DATA[[#This Row],[D, bottom '[m']]]+TP_DATA[[#This Row],[D, top '[m']]])/(2*TP_DATA[[#This Row],[t '[mm']]]/1000),"")</f>
        <v/>
      </c>
      <c r="BF95" s="79" t="str">
        <f>IFERROR((TP_DATA[[#This Row],[D, bottom '[m']]]+#REF!)/(2*#REF!/1000),"")</f>
        <v/>
      </c>
      <c r="CP95" s="126">
        <v>65</v>
      </c>
      <c r="CQ95" s="120">
        <v>50.900000000000006</v>
      </c>
      <c r="CR95" s="120">
        <v>49.718000000000004</v>
      </c>
      <c r="CS95" s="120">
        <v>7.2770000000000001</v>
      </c>
      <c r="CT95" s="120">
        <v>7.2919999999999998</v>
      </c>
      <c r="CU95" s="120">
        <v>38.199999999999996</v>
      </c>
      <c r="CV95" s="79">
        <f>IFERROR(TOWER_DATA[[#This Row],[Top '[m']]]-TOWER_DATA[[#This Row],[Bottom '[m']]], "")</f>
        <v>1.1820000000000022</v>
      </c>
      <c r="CW95" s="79">
        <f>IFERROR(-(TOWER_DATA[[#This Row],[D, bottom '[m']]]-TOWER_DATA[[#This Row],[D, top '[m']]])/(TOWER_DATA[[#This Row],[Bottom '[m']]]-TOWER_DATA[[#This Row],[Top '[m']]]),"")</f>
        <v>1.2690355329948945E-2</v>
      </c>
      <c r="CX95" s="79">
        <f t="shared" ref="CX95:CX120" si="6">IF(7850/1000*(1/3)*PI()*ABS(CQ95-CR95)*((CS95/2)^2+(CS95/2)*(CT95/2)+(CT95/2)^2-(CS95/2-CU95/1000)^2-(CS95/2-CU95/1000)*(CT95/2-CU95/1000)-(CT95/2-CU95/1000)^2)=0,"",7850/1000*(1/3)*PI()*ABS(CQ95-CR95)*((CS95/2)^2+(CS95/2)*(CT95/2)+(CT95/2)^2-(CS95/2-CU95/1000)^2-(CS95/2-CU95/1000)*(CT95/2-CU95/1000)-(CT95/2-CU95/1000)^2))</f>
        <v>8.0689435830434757</v>
      </c>
      <c r="CY95" s="79">
        <f>IFERROR((TOWER_DATA[[#This Row],[D, bottom '[m']]]+TOWER_DATA[[#This Row],[D, top '[m']]])/(2*TOWER_DATA[[#This Row],[t '[mm']]]/1000),"")</f>
        <v>190.69371727748691</v>
      </c>
      <c r="CZ95" s="79" t="str">
        <f>IFERROR((TOWER_DATA[[#This Row],[D, bottom '[m']]]+#REF!)/(2*#REF!/1000),"")</f>
        <v/>
      </c>
      <c r="DA95" s="127" t="s">
        <v>100</v>
      </c>
      <c r="DB95" s="127">
        <v>20.900000000000002</v>
      </c>
      <c r="DC95" s="127">
        <v>20.900000000000002</v>
      </c>
      <c r="DD95" s="127">
        <v>28000</v>
      </c>
      <c r="DE95" s="127"/>
      <c r="DF95" s="127"/>
      <c r="DG95" s="127"/>
      <c r="DH95" s="127"/>
      <c r="DI95" s="127"/>
      <c r="DK95" s="77">
        <v>65</v>
      </c>
      <c r="DL95" s="77">
        <v>50.900000000000006</v>
      </c>
      <c r="DM95" s="77">
        <v>49.718000000000004</v>
      </c>
      <c r="DN95" s="77">
        <v>7.2770000000000001</v>
      </c>
      <c r="DO95" s="77">
        <v>7.2919999999999998</v>
      </c>
      <c r="DP95" s="77">
        <v>38.199999999999996</v>
      </c>
      <c r="DR95" s="100" t="s">
        <v>100</v>
      </c>
      <c r="DS95" s="100">
        <v>20.900000000000002</v>
      </c>
      <c r="DT95" s="100">
        <v>20.900000000000002</v>
      </c>
      <c r="DU95" s="100">
        <v>28000</v>
      </c>
      <c r="DV95" s="127"/>
      <c r="DW95" s="127"/>
      <c r="DX95" s="127"/>
      <c r="DY95" s="127"/>
      <c r="DZ95" s="127"/>
      <c r="EQ95" s="79"/>
      <c r="ER95" s="79"/>
    </row>
    <row r="96" spans="2:148" x14ac:dyDescent="0.3">
      <c r="B96" s="79"/>
      <c r="C96" s="79"/>
      <c r="D96" s="79"/>
      <c r="E96" s="79"/>
      <c r="F96" s="79"/>
      <c r="G96" s="79"/>
      <c r="H96" s="79" t="str">
        <f>IFERROR(MP_DATA[[#This Row],[Bottom '[m']]]-MP_DATA[[#This Row],[D, top '[m']]], "")</f>
        <v/>
      </c>
      <c r="I96" s="79" t="str">
        <f>IFERROR(-(MP_DATA[[#This Row],[D, bottom '[m']]]-MP_DATA[[#This Row],[D, top '[m']]])/(MP_DATA[[#This Row],[Bottom '[m']]]-MP_DATA[[#This Row],[Top '[m']]]),"")</f>
        <v/>
      </c>
      <c r="J96" s="79" t="str">
        <f t="shared" si="4"/>
        <v/>
      </c>
      <c r="K96" s="79" t="str">
        <f>IFERROR((MP_DATA[[#This Row],[D, bottom '[m']]]+MP_DATA[[#This Row],[D, top '[m']]])/(2*MP_DATA[[#This Row],[t '[mm']]]/1000),"")</f>
        <v/>
      </c>
      <c r="L96" s="79" t="str">
        <f>IFERROR((MP_DATA[[#This Row],[D, bottom '[m']]]+#REF!)/(2*#REF!/1000),"")</f>
        <v/>
      </c>
      <c r="BB96" s="79" t="str">
        <f>IFERROR(TP_DATA[[#This Row],[Bottom '[m']]]-TP_DATA[[#This Row],[D, top '[m']]], "")</f>
        <v/>
      </c>
      <c r="BC96" s="79" t="str">
        <f>IFERROR(-(TP_DATA[[#This Row],[D, bottom '[m']]]-TP_DATA[[#This Row],[D, top '[m']]])/(TP_DATA[[#This Row],[Bottom '[m']]]-TP_DATA[[#This Row],[Top '[m']]]),"")</f>
        <v/>
      </c>
      <c r="BD96" s="79" t="str">
        <f t="shared" si="5"/>
        <v/>
      </c>
      <c r="BE96" s="79" t="str">
        <f>IFERROR((TP_DATA[[#This Row],[D, bottom '[m']]]+TP_DATA[[#This Row],[D, top '[m']]])/(2*TP_DATA[[#This Row],[t '[mm']]]/1000),"")</f>
        <v/>
      </c>
      <c r="BF96" s="79" t="str">
        <f>IFERROR((TP_DATA[[#This Row],[D, bottom '[m']]]+#REF!)/(2*#REF!/1000),"")</f>
        <v/>
      </c>
      <c r="CP96" s="126">
        <v>66</v>
      </c>
      <c r="CQ96" s="120">
        <v>49.718000000000004</v>
      </c>
      <c r="CR96" s="120">
        <v>49.674999999999997</v>
      </c>
      <c r="CS96" s="120">
        <v>7.2919999999999998</v>
      </c>
      <c r="CT96" s="120">
        <v>7.2919999999999998</v>
      </c>
      <c r="CU96" s="120">
        <v>34.5</v>
      </c>
      <c r="CV96" s="79">
        <f>IFERROR(TOWER_DATA[[#This Row],[Top '[m']]]-TOWER_DATA[[#This Row],[Bottom '[m']]], "")</f>
        <v>4.3000000000006366E-2</v>
      </c>
      <c r="CW96" s="79">
        <f>IFERROR(-(TOWER_DATA[[#This Row],[D, bottom '[m']]]-TOWER_DATA[[#This Row],[D, top '[m']]])/(TOWER_DATA[[#This Row],[Bottom '[m']]]-TOWER_DATA[[#This Row],[Top '[m']]]),"")</f>
        <v>0</v>
      </c>
      <c r="CX96" s="79">
        <f t="shared" si="6"/>
        <v>0.26551809567018186</v>
      </c>
      <c r="CY96" s="79">
        <f>IFERROR((TOWER_DATA[[#This Row],[D, bottom '[m']]]+TOWER_DATA[[#This Row],[D, top '[m']]])/(2*TOWER_DATA[[#This Row],[t '[mm']]]/1000),"")</f>
        <v>211.36231884057969</v>
      </c>
      <c r="CZ96" s="79" t="str">
        <f>IFERROR((TOWER_DATA[[#This Row],[D, bottom '[m']]]+#REF!)/(2*#REF!/1000),"")</f>
        <v/>
      </c>
      <c r="DA96" s="100"/>
      <c r="DB96" s="100"/>
      <c r="DC96" s="100"/>
      <c r="DD96" s="100"/>
      <c r="DE96" s="100"/>
      <c r="DF96" s="100"/>
      <c r="DG96" s="100"/>
      <c r="DH96" s="100"/>
      <c r="DI96" s="100"/>
      <c r="DK96" s="77">
        <v>66</v>
      </c>
      <c r="DL96" s="77">
        <v>49.718000000000004</v>
      </c>
      <c r="DM96" s="77">
        <v>49.674999999999997</v>
      </c>
      <c r="DN96" s="77">
        <v>7.2919999999999998</v>
      </c>
      <c r="DO96" s="77">
        <v>7.2919999999999998</v>
      </c>
      <c r="DP96" s="77">
        <v>34.5</v>
      </c>
      <c r="DR96" s="77"/>
      <c r="DS96" s="77"/>
      <c r="DT96" s="77"/>
      <c r="DU96" s="77"/>
      <c r="DV96" s="77"/>
      <c r="DW96" s="77"/>
      <c r="DX96" s="77"/>
      <c r="DY96" s="77"/>
      <c r="DZ96" s="77"/>
      <c r="EQ96" s="79"/>
      <c r="ER96" s="79"/>
    </row>
    <row r="97" spans="2:148" x14ac:dyDescent="0.3">
      <c r="B97" s="79"/>
      <c r="C97" s="79"/>
      <c r="D97" s="79"/>
      <c r="E97" s="79"/>
      <c r="F97" s="79"/>
      <c r="G97" s="79"/>
      <c r="H97" s="79" t="str">
        <f>IFERROR(MP_DATA[[#This Row],[Bottom '[m']]]-MP_DATA[[#This Row],[D, top '[m']]], "")</f>
        <v/>
      </c>
      <c r="I97" s="79" t="str">
        <f>IFERROR(-(MP_DATA[[#This Row],[D, bottom '[m']]]-MP_DATA[[#This Row],[D, top '[m']]])/(MP_DATA[[#This Row],[Bottom '[m']]]-MP_DATA[[#This Row],[Top '[m']]]),"")</f>
        <v/>
      </c>
      <c r="J97" s="79" t="str">
        <f t="shared" si="4"/>
        <v/>
      </c>
      <c r="K97" s="79" t="str">
        <f>IFERROR((MP_DATA[[#This Row],[D, bottom '[m']]]+MP_DATA[[#This Row],[D, top '[m']]])/(2*MP_DATA[[#This Row],[t '[mm']]]/1000),"")</f>
        <v/>
      </c>
      <c r="L97" s="79" t="str">
        <f>IFERROR((MP_DATA[[#This Row],[D, bottom '[m']]]+#REF!)/(2*#REF!/1000),"")</f>
        <v/>
      </c>
      <c r="BB97" s="79" t="str">
        <f>IFERROR(TP_DATA[[#This Row],[Bottom '[m']]]-TP_DATA[[#This Row],[D, top '[m']]], "")</f>
        <v/>
      </c>
      <c r="BC97" s="79" t="str">
        <f>IFERROR(-(TP_DATA[[#This Row],[D, bottom '[m']]]-TP_DATA[[#This Row],[D, top '[m']]])/(TP_DATA[[#This Row],[Bottom '[m']]]-TP_DATA[[#This Row],[Top '[m']]]),"")</f>
        <v/>
      </c>
      <c r="BD97" s="79" t="str">
        <f t="shared" si="5"/>
        <v/>
      </c>
      <c r="BE97" s="79" t="str">
        <f>IFERROR((TP_DATA[[#This Row],[D, bottom '[m']]]+TP_DATA[[#This Row],[D, top '[m']]])/(2*TP_DATA[[#This Row],[t '[mm']]]/1000),"")</f>
        <v/>
      </c>
      <c r="BF97" s="79" t="str">
        <f>IFERROR((TP_DATA[[#This Row],[D, bottom '[m']]]+#REF!)/(2*#REF!/1000),"")</f>
        <v/>
      </c>
      <c r="CP97" s="126">
        <v>67</v>
      </c>
      <c r="CQ97" s="120">
        <v>49.674999999999997</v>
      </c>
      <c r="CR97" s="120">
        <v>47</v>
      </c>
      <c r="CS97" s="120">
        <v>7.2919999999999998</v>
      </c>
      <c r="CT97" s="120">
        <v>7.335</v>
      </c>
      <c r="CU97" s="120">
        <v>34.5</v>
      </c>
      <c r="CV97" s="79">
        <f>IFERROR(TOWER_DATA[[#This Row],[Top '[m']]]-TOWER_DATA[[#This Row],[Bottom '[m']]], "")</f>
        <v>2.6749999999999972</v>
      </c>
      <c r="CW97" s="79">
        <f>IFERROR(-(TOWER_DATA[[#This Row],[D, bottom '[m']]]-TOWER_DATA[[#This Row],[D, top '[m']]])/(TOWER_DATA[[#This Row],[Bottom '[m']]]-TOWER_DATA[[#This Row],[Top '[m']]]),"")</f>
        <v>1.6074766355140258E-2</v>
      </c>
      <c r="CX97" s="79">
        <f t="shared" si="6"/>
        <v>16.566628376977938</v>
      </c>
      <c r="CY97" s="79">
        <f>IFERROR((TOWER_DATA[[#This Row],[D, bottom '[m']]]+TOWER_DATA[[#This Row],[D, top '[m']]])/(2*TOWER_DATA[[#This Row],[t '[mm']]]/1000),"")</f>
        <v>211.98550724637678</v>
      </c>
      <c r="CZ97" s="79" t="str">
        <f>IFERROR((TOWER_DATA[[#This Row],[D, bottom '[m']]]+#REF!)/(2*#REF!/1000),"")</f>
        <v/>
      </c>
      <c r="DA97" s="100"/>
      <c r="DB97" s="100"/>
      <c r="DC97" s="100"/>
      <c r="DD97" s="100"/>
      <c r="DE97" s="100"/>
      <c r="DF97" s="100"/>
      <c r="DG97" s="100"/>
      <c r="DH97" s="100"/>
      <c r="DI97" s="100"/>
      <c r="DK97" s="77">
        <v>67</v>
      </c>
      <c r="DL97" s="77">
        <v>49.674999999999997</v>
      </c>
      <c r="DM97" s="77">
        <v>47</v>
      </c>
      <c r="DN97" s="77">
        <v>7.2919999999999998</v>
      </c>
      <c r="DO97" s="77">
        <v>7.335</v>
      </c>
      <c r="DP97" s="77">
        <v>34.5</v>
      </c>
      <c r="DR97" s="77"/>
      <c r="DS97" s="77"/>
      <c r="DT97" s="77"/>
      <c r="DU97" s="77"/>
      <c r="DV97" s="77"/>
      <c r="DW97" s="77"/>
      <c r="DX97" s="77"/>
      <c r="DY97" s="77"/>
      <c r="DZ97" s="77"/>
      <c r="EQ97" s="79"/>
      <c r="ER97" s="79"/>
    </row>
    <row r="98" spans="2:148" x14ac:dyDescent="0.3">
      <c r="B98" s="79"/>
      <c r="C98" s="79"/>
      <c r="D98" s="79"/>
      <c r="E98" s="79"/>
      <c r="F98" s="79"/>
      <c r="G98" s="79"/>
      <c r="H98" s="79" t="str">
        <f>IFERROR(MP_DATA[[#This Row],[Bottom '[m']]]-MP_DATA[[#This Row],[D, top '[m']]], "")</f>
        <v/>
      </c>
      <c r="I98" s="79" t="str">
        <f>IFERROR(-(MP_DATA[[#This Row],[D, bottom '[m']]]-MP_DATA[[#This Row],[D, top '[m']]])/(MP_DATA[[#This Row],[Bottom '[m']]]-MP_DATA[[#This Row],[Top '[m']]]),"")</f>
        <v/>
      </c>
      <c r="J98" s="79" t="str">
        <f t="shared" si="4"/>
        <v/>
      </c>
      <c r="K98" s="79" t="str">
        <f>IFERROR((MP_DATA[[#This Row],[D, bottom '[m']]]+MP_DATA[[#This Row],[D, top '[m']]])/(2*MP_DATA[[#This Row],[t '[mm']]]/1000),"")</f>
        <v/>
      </c>
      <c r="L98" s="79" t="str">
        <f>IFERROR((MP_DATA[[#This Row],[D, bottom '[m']]]+#REF!)/(2*#REF!/1000),"")</f>
        <v/>
      </c>
      <c r="BB98" s="79" t="str">
        <f>IFERROR(TP_DATA[[#This Row],[Bottom '[m']]]-TP_DATA[[#This Row],[D, top '[m']]], "")</f>
        <v/>
      </c>
      <c r="BC98" s="79" t="str">
        <f>IFERROR(-(TP_DATA[[#This Row],[D, bottom '[m']]]-TP_DATA[[#This Row],[D, top '[m']]])/(TP_DATA[[#This Row],[Bottom '[m']]]-TP_DATA[[#This Row],[Top '[m']]]),"")</f>
        <v/>
      </c>
      <c r="BD98" s="79" t="str">
        <f t="shared" si="5"/>
        <v/>
      </c>
      <c r="BE98" s="79" t="str">
        <f>IFERROR((TP_DATA[[#This Row],[D, bottom '[m']]]+TP_DATA[[#This Row],[D, top '[m']]])/(2*TP_DATA[[#This Row],[t '[mm']]]/1000),"")</f>
        <v/>
      </c>
      <c r="BF98" s="79" t="str">
        <f>IFERROR((TP_DATA[[#This Row],[D, bottom '[m']]]+#REF!)/(2*#REF!/1000),"")</f>
        <v/>
      </c>
      <c r="CP98" s="126">
        <v>68</v>
      </c>
      <c r="CQ98" s="120">
        <v>47</v>
      </c>
      <c r="CR98" s="120">
        <v>45.564000000000007</v>
      </c>
      <c r="CS98" s="120">
        <v>7.335</v>
      </c>
      <c r="CT98" s="120">
        <v>7.3579999999999997</v>
      </c>
      <c r="CU98" s="120">
        <v>35</v>
      </c>
      <c r="CV98" s="79">
        <f>IFERROR(TOWER_DATA[[#This Row],[Top '[m']]]-TOWER_DATA[[#This Row],[Bottom '[m']]], "")</f>
        <v>1.4359999999999928</v>
      </c>
      <c r="CW98" s="79">
        <f>IFERROR(-(TOWER_DATA[[#This Row],[D, bottom '[m']]]-TOWER_DATA[[#This Row],[D, top '[m']]])/(TOWER_DATA[[#This Row],[Bottom '[m']]]-TOWER_DATA[[#This Row],[Top '[m']]]),"")</f>
        <v>1.6016713091921868E-2</v>
      </c>
      <c r="CX98" s="79">
        <f t="shared" si="6"/>
        <v>9.0625099838538912</v>
      </c>
      <c r="CY98" s="79">
        <f>IFERROR((TOWER_DATA[[#This Row],[D, bottom '[m']]]+TOWER_DATA[[#This Row],[D, top '[m']]])/(2*TOWER_DATA[[#This Row],[t '[mm']]]/1000),"")</f>
        <v>209.89999999999998</v>
      </c>
      <c r="CZ98" s="79" t="str">
        <f>IFERROR((TOWER_DATA[[#This Row],[D, bottom '[m']]]+#REF!)/(2*#REF!/1000),"")</f>
        <v/>
      </c>
      <c r="DA98" s="100"/>
      <c r="DB98" s="100"/>
      <c r="DC98" s="100"/>
      <c r="DD98" s="100"/>
      <c r="DE98" s="100"/>
      <c r="DF98" s="100"/>
      <c r="DG98" s="100"/>
      <c r="DH98" s="100"/>
      <c r="DI98" s="100"/>
      <c r="DK98" s="77">
        <v>68</v>
      </c>
      <c r="DL98" s="77">
        <v>47</v>
      </c>
      <c r="DM98" s="77">
        <v>45.564000000000007</v>
      </c>
      <c r="DN98" s="77">
        <v>7.335</v>
      </c>
      <c r="DO98" s="77">
        <v>7.3579999999999997</v>
      </c>
      <c r="DP98" s="77">
        <v>35</v>
      </c>
      <c r="DR98" s="77"/>
      <c r="DS98" s="77"/>
      <c r="DT98" s="77"/>
      <c r="DU98" s="77"/>
      <c r="DV98" s="77"/>
      <c r="DW98" s="77"/>
      <c r="DX98" s="77"/>
      <c r="DY98" s="77"/>
      <c r="DZ98" s="77"/>
      <c r="EQ98" s="79"/>
      <c r="ER98" s="79"/>
    </row>
    <row r="99" spans="2:148" x14ac:dyDescent="0.3">
      <c r="B99" s="79"/>
      <c r="C99" s="79"/>
      <c r="D99" s="79"/>
      <c r="E99" s="79"/>
      <c r="F99" s="79"/>
      <c r="G99" s="79"/>
      <c r="H99" s="79" t="str">
        <f>IFERROR(MP_DATA[[#This Row],[Bottom '[m']]]-MP_DATA[[#This Row],[D, top '[m']]], "")</f>
        <v/>
      </c>
      <c r="I99" s="79" t="str">
        <f>IFERROR(-(MP_DATA[[#This Row],[D, bottom '[m']]]-MP_DATA[[#This Row],[D, top '[m']]])/(MP_DATA[[#This Row],[Bottom '[m']]]-MP_DATA[[#This Row],[Top '[m']]]),"")</f>
        <v/>
      </c>
      <c r="J99" s="79" t="str">
        <f t="shared" si="4"/>
        <v/>
      </c>
      <c r="K99" s="79" t="str">
        <f>IFERROR((MP_DATA[[#This Row],[D, bottom '[m']]]+MP_DATA[[#This Row],[D, top '[m']]])/(2*MP_DATA[[#This Row],[t '[mm']]]/1000),"")</f>
        <v/>
      </c>
      <c r="L99" s="79" t="str">
        <f>IFERROR((MP_DATA[[#This Row],[D, bottom '[m']]]+#REF!)/(2*#REF!/1000),"")</f>
        <v/>
      </c>
      <c r="BB99" s="79" t="str">
        <f>IFERROR(TP_DATA[[#This Row],[Bottom '[m']]]-TP_DATA[[#This Row],[D, top '[m']]], "")</f>
        <v/>
      </c>
      <c r="BC99" s="79" t="str">
        <f>IFERROR(-(TP_DATA[[#This Row],[D, bottom '[m']]]-TP_DATA[[#This Row],[D, top '[m']]])/(TP_DATA[[#This Row],[Bottom '[m']]]-TP_DATA[[#This Row],[Top '[m']]]),"")</f>
        <v/>
      </c>
      <c r="BD99" s="79" t="str">
        <f t="shared" si="5"/>
        <v/>
      </c>
      <c r="BE99" s="79" t="str">
        <f>IFERROR((TP_DATA[[#This Row],[D, bottom '[m']]]+TP_DATA[[#This Row],[D, top '[m']]])/(2*TP_DATA[[#This Row],[t '[mm']]]/1000),"")</f>
        <v/>
      </c>
      <c r="BF99" s="79" t="str">
        <f>IFERROR((TP_DATA[[#This Row],[D, bottom '[m']]]+#REF!)/(2*#REF!/1000),"")</f>
        <v/>
      </c>
      <c r="CP99" s="126">
        <v>69</v>
      </c>
      <c r="CQ99" s="120">
        <v>45.564000000000007</v>
      </c>
      <c r="CR99" s="120">
        <v>44.282000000000004</v>
      </c>
      <c r="CS99" s="120">
        <v>7.3579999999999997</v>
      </c>
      <c r="CT99" s="120">
        <v>7.3789999999999996</v>
      </c>
      <c r="CU99" s="120">
        <v>35</v>
      </c>
      <c r="CV99" s="79">
        <f>IFERROR(TOWER_DATA[[#This Row],[Top '[m']]]-TOWER_DATA[[#This Row],[Bottom '[m']]], "")</f>
        <v>1.2820000000000036</v>
      </c>
      <c r="CW99" s="79">
        <f>IFERROR(-(TOWER_DATA[[#This Row],[D, bottom '[m']]]-TOWER_DATA[[#This Row],[D, top '[m']]])/(TOWER_DATA[[#This Row],[Bottom '[m']]]-TOWER_DATA[[#This Row],[Top '[m']]]),"")</f>
        <v>1.6380655226208931E-2</v>
      </c>
      <c r="CX99" s="79">
        <f t="shared" si="6"/>
        <v>8.1149695638373931</v>
      </c>
      <c r="CY99" s="79">
        <f>IFERROR((TOWER_DATA[[#This Row],[D, bottom '[m']]]+TOWER_DATA[[#This Row],[D, top '[m']]])/(2*TOWER_DATA[[#This Row],[t '[mm']]]/1000),"")</f>
        <v>210.52857142857138</v>
      </c>
      <c r="CZ99" s="79" t="str">
        <f>IFERROR((TOWER_DATA[[#This Row],[D, bottom '[m']]]+#REF!)/(2*#REF!/1000),"")</f>
        <v/>
      </c>
      <c r="DA99" s="100"/>
      <c r="DB99" s="100"/>
      <c r="DC99" s="100"/>
      <c r="DD99" s="100"/>
      <c r="DE99" s="100"/>
      <c r="DF99" s="100"/>
      <c r="DG99" s="100"/>
      <c r="DH99" s="100"/>
      <c r="DI99" s="100"/>
      <c r="DK99" s="77">
        <v>69</v>
      </c>
      <c r="DL99" s="77">
        <v>45.564000000000007</v>
      </c>
      <c r="DM99" s="77">
        <v>44.282000000000004</v>
      </c>
      <c r="DN99" s="77">
        <v>7.3579999999999997</v>
      </c>
      <c r="DO99" s="77">
        <v>7.3789999999999996</v>
      </c>
      <c r="DP99" s="77">
        <v>35</v>
      </c>
      <c r="DR99" s="77"/>
      <c r="DS99" s="77"/>
      <c r="DT99" s="77"/>
      <c r="DU99" s="77"/>
      <c r="DV99" s="77"/>
      <c r="DW99" s="77"/>
      <c r="DX99" s="77"/>
      <c r="DY99" s="77"/>
      <c r="DZ99" s="77"/>
      <c r="EQ99" s="79"/>
      <c r="ER99" s="79"/>
    </row>
    <row r="100" spans="2:148" x14ac:dyDescent="0.3">
      <c r="B100" s="79"/>
      <c r="C100" s="79"/>
      <c r="D100" s="79"/>
      <c r="E100" s="79"/>
      <c r="F100" s="79"/>
      <c r="G100" s="79"/>
      <c r="H100" s="79" t="str">
        <f>IFERROR(MP_DATA[[#This Row],[Bottom '[m']]]-MP_DATA[[#This Row],[D, top '[m']]], "")</f>
        <v/>
      </c>
      <c r="I100" s="79" t="str">
        <f>IFERROR(-(MP_DATA[[#This Row],[D, bottom '[m']]]-MP_DATA[[#This Row],[D, top '[m']]])/(MP_DATA[[#This Row],[Bottom '[m']]]-MP_DATA[[#This Row],[Top '[m']]]),"")</f>
        <v/>
      </c>
      <c r="J100" s="79" t="str">
        <f t="shared" si="4"/>
        <v/>
      </c>
      <c r="K100" s="79" t="str">
        <f>IFERROR((MP_DATA[[#This Row],[D, bottom '[m']]]+MP_DATA[[#This Row],[D, top '[m']]])/(2*MP_DATA[[#This Row],[t '[mm']]]/1000),"")</f>
        <v/>
      </c>
      <c r="L100" s="79" t="str">
        <f>IFERROR((MP_DATA[[#This Row],[D, bottom '[m']]]+#REF!)/(2*#REF!/1000),"")</f>
        <v/>
      </c>
      <c r="BB100" s="79" t="str">
        <f>IFERROR(TP_DATA[[#This Row],[Bottom '[m']]]-TP_DATA[[#This Row],[D, top '[m']]], "")</f>
        <v/>
      </c>
      <c r="BC100" s="79" t="str">
        <f>IFERROR(-(TP_DATA[[#This Row],[D, bottom '[m']]]-TP_DATA[[#This Row],[D, top '[m']]])/(TP_DATA[[#This Row],[Bottom '[m']]]-TP_DATA[[#This Row],[Top '[m']]]),"")</f>
        <v/>
      </c>
      <c r="BD100" s="79" t="str">
        <f t="shared" si="5"/>
        <v/>
      </c>
      <c r="BE100" s="79" t="str">
        <f>IFERROR((TP_DATA[[#This Row],[D, bottom '[m']]]+TP_DATA[[#This Row],[D, top '[m']]])/(2*TP_DATA[[#This Row],[t '[mm']]]/1000),"")</f>
        <v/>
      </c>
      <c r="BF100" s="79" t="str">
        <f>IFERROR((TP_DATA[[#This Row],[D, bottom '[m']]]+#REF!)/(2*#REF!/1000),"")</f>
        <v/>
      </c>
      <c r="CP100" s="126">
        <v>70</v>
      </c>
      <c r="CQ100" s="120">
        <v>44.282000000000004</v>
      </c>
      <c r="CR100" s="120">
        <v>41.561000000000007</v>
      </c>
      <c r="CS100" s="120">
        <v>7.3789999999999996</v>
      </c>
      <c r="CT100" s="120">
        <v>7.4249999999999998</v>
      </c>
      <c r="CU100" s="120">
        <v>35.799999999999997</v>
      </c>
      <c r="CV100" s="79">
        <f>IFERROR(TOWER_DATA[[#This Row],[Top '[m']]]-TOWER_DATA[[#This Row],[Bottom '[m']]], "")</f>
        <v>2.7209999999999965</v>
      </c>
      <c r="CW100" s="79">
        <f>IFERROR(-(TOWER_DATA[[#This Row],[D, bottom '[m']]]-TOWER_DATA[[#This Row],[D, top '[m']]])/(TOWER_DATA[[#This Row],[Bottom '[m']]]-TOWER_DATA[[#This Row],[Top '[m']]]),"")</f>
        <v>1.6905549430356603E-2</v>
      </c>
      <c r="CX100" s="79">
        <f t="shared" si="6"/>
        <v>17.695979401197722</v>
      </c>
      <c r="CY100" s="79">
        <f>IFERROR((TOWER_DATA[[#This Row],[D, bottom '[m']]]+TOWER_DATA[[#This Row],[D, top '[m']]])/(2*TOWER_DATA[[#This Row],[t '[mm']]]/1000),"")</f>
        <v>206.75977653631284</v>
      </c>
      <c r="CZ100" s="79" t="str">
        <f>IFERROR((TOWER_DATA[[#This Row],[D, bottom '[m']]]+#REF!)/(2*#REF!/1000),"")</f>
        <v/>
      </c>
      <c r="DA100" s="100"/>
      <c r="DB100" s="100"/>
      <c r="DC100" s="100"/>
      <c r="DD100" s="100"/>
      <c r="DE100" s="100"/>
      <c r="DF100" s="100"/>
      <c r="DG100" s="100"/>
      <c r="DH100" s="100"/>
      <c r="DI100" s="100"/>
      <c r="DK100" s="77">
        <v>70</v>
      </c>
      <c r="DL100" s="77">
        <v>44.282000000000004</v>
      </c>
      <c r="DM100" s="77">
        <v>41.561000000000007</v>
      </c>
      <c r="DN100" s="77">
        <v>7.3789999999999996</v>
      </c>
      <c r="DO100" s="77">
        <v>7.4249999999999998</v>
      </c>
      <c r="DP100" s="77">
        <v>35.799999999999997</v>
      </c>
      <c r="DR100" s="77"/>
      <c r="DS100" s="77"/>
      <c r="DT100" s="77"/>
      <c r="DU100" s="77"/>
      <c r="DV100" s="77"/>
      <c r="DW100" s="77"/>
      <c r="DX100" s="77"/>
      <c r="DY100" s="77"/>
      <c r="DZ100" s="77"/>
      <c r="EQ100" s="79" t="str">
        <f>IF(7850/1000*(1/3)*PI()*ABS(EK100-EL100)*((EM100/2)^2+(EM100/2)*(EN100/2)+(EN100/2)^2-(EM100/2-EP100/1000)^2-(EM100/2-EP100/1000)*(EN100/2-EP100/1000)-(EN100/2-EP100/1000)^2)=0,"",7850/1000*(1/3)*PI()*ABS(EK100-EL100)*((EM100/2)^2+(EM100/2)*(EN100/2)+(EN100/2)^2-(EM100/2-EP100/1000)^2-(EM100/2-EP100/1000)*(EN100/2-EP100/1000)-(EN100/2-EP100/1000)^2))</f>
        <v/>
      </c>
      <c r="ER100" s="79"/>
    </row>
    <row r="101" spans="2:148" x14ac:dyDescent="0.3">
      <c r="B101" s="79"/>
      <c r="C101" s="79"/>
      <c r="D101" s="79"/>
      <c r="E101" s="79"/>
      <c r="F101" s="79"/>
      <c r="G101" s="79"/>
      <c r="H101" s="79" t="str">
        <f>IFERROR(MP_DATA[[#This Row],[Bottom '[m']]]-MP_DATA[[#This Row],[D, top '[m']]], "")</f>
        <v/>
      </c>
      <c r="I101" s="79" t="str">
        <f>IFERROR(-(MP_DATA[[#This Row],[D, bottom '[m']]]-MP_DATA[[#This Row],[D, top '[m']]])/(MP_DATA[[#This Row],[Bottom '[m']]]-MP_DATA[[#This Row],[Top '[m']]]),"")</f>
        <v/>
      </c>
      <c r="J101" s="79" t="str">
        <f t="shared" si="4"/>
        <v/>
      </c>
      <c r="K101" s="79" t="str">
        <f>IFERROR((MP_DATA[[#This Row],[D, bottom '[m']]]+MP_DATA[[#This Row],[D, top '[m']]])/(2*MP_DATA[[#This Row],[t '[mm']]]/1000),"")</f>
        <v/>
      </c>
      <c r="L101" s="79" t="str">
        <f>IFERROR((MP_DATA[[#This Row],[D, bottom '[m']]]+#REF!)/(2*#REF!/1000),"")</f>
        <v/>
      </c>
      <c r="BB101" s="79" t="str">
        <f>IFERROR(TP_DATA[[#This Row],[Bottom '[m']]]-TP_DATA[[#This Row],[D, top '[m']]], "")</f>
        <v/>
      </c>
      <c r="BC101" s="79" t="str">
        <f>IFERROR(-(TP_DATA[[#This Row],[D, bottom '[m']]]-TP_DATA[[#This Row],[D, top '[m']]])/(TP_DATA[[#This Row],[Bottom '[m']]]-TP_DATA[[#This Row],[Top '[m']]]),"")</f>
        <v/>
      </c>
      <c r="BD101" s="79" t="str">
        <f t="shared" si="5"/>
        <v/>
      </c>
      <c r="BE101" s="79" t="str">
        <f>IFERROR((TP_DATA[[#This Row],[D, bottom '[m']]]+TP_DATA[[#This Row],[D, top '[m']]])/(2*TP_DATA[[#This Row],[t '[mm']]]/1000),"")</f>
        <v/>
      </c>
      <c r="BF101" s="79" t="str">
        <f>IFERROR((TP_DATA[[#This Row],[D, bottom '[m']]]+#REF!)/(2*#REF!/1000),"")</f>
        <v/>
      </c>
      <c r="CP101" s="126">
        <v>71</v>
      </c>
      <c r="CQ101" s="120">
        <v>41.561000000000007</v>
      </c>
      <c r="CR101" s="120">
        <v>40.900000000000006</v>
      </c>
      <c r="CS101" s="120">
        <v>7.4249999999999998</v>
      </c>
      <c r="CT101" s="120">
        <v>7.4349999999999996</v>
      </c>
      <c r="CU101" s="120">
        <v>39</v>
      </c>
      <c r="CV101" s="79">
        <f>IFERROR(TOWER_DATA[[#This Row],[Top '[m']]]-TOWER_DATA[[#This Row],[Bottom '[m']]], "")</f>
        <v>0.66100000000000136</v>
      </c>
      <c r="CW101" s="79">
        <f>IFERROR(-(TOWER_DATA[[#This Row],[D, bottom '[m']]]-TOWER_DATA[[#This Row],[D, top '[m']]])/(TOWER_DATA[[#This Row],[Bottom '[m']]]-TOWER_DATA[[#This Row],[Top '[m']]]),"")</f>
        <v>1.5128593040846848E-2</v>
      </c>
      <c r="CX101" s="79">
        <f t="shared" si="6"/>
        <v>4.6988198876939959</v>
      </c>
      <c r="CY101" s="79">
        <f>IFERROR((TOWER_DATA[[#This Row],[D, bottom '[m']]]+TOWER_DATA[[#This Row],[D, top '[m']]])/(2*TOWER_DATA[[#This Row],[t '[mm']]]/1000),"")</f>
        <v>190.5128205128205</v>
      </c>
      <c r="CZ101" s="79" t="str">
        <f>IFERROR((TOWER_DATA[[#This Row],[D, bottom '[m']]]+#REF!)/(2*#REF!/1000),"")</f>
        <v/>
      </c>
      <c r="DA101" s="100"/>
      <c r="DB101" s="100"/>
      <c r="DC101" s="100"/>
      <c r="DD101" s="100"/>
      <c r="DE101" s="100"/>
      <c r="DF101" s="100"/>
      <c r="DG101" s="100"/>
      <c r="DH101" s="100"/>
      <c r="DI101" s="100"/>
      <c r="DK101" s="77">
        <v>71</v>
      </c>
      <c r="DL101" s="77">
        <v>41.561000000000007</v>
      </c>
      <c r="DM101" s="77">
        <v>40.900000000000006</v>
      </c>
      <c r="DN101" s="77">
        <v>7.4249999999999998</v>
      </c>
      <c r="DO101" s="77">
        <v>7.4349999999999996</v>
      </c>
      <c r="DP101" s="77">
        <v>39</v>
      </c>
      <c r="DR101" s="77"/>
      <c r="DS101" s="77"/>
      <c r="DT101" s="77"/>
      <c r="DU101" s="77"/>
      <c r="DV101" s="77"/>
      <c r="DW101" s="77"/>
      <c r="DX101" s="77"/>
      <c r="DY101" s="77"/>
      <c r="DZ101" s="77"/>
      <c r="EQ101" s="79" t="str">
        <f>IF(7850/1000*(1/3)*PI()*ABS(EK101-EL101)*((EM101/2)^2+(EM101/2)*(EN101/2)+(EN101/2)^2-(EM101/2-EP101/1000)^2-(EM101/2-EP101/1000)*(EN101/2-EP101/1000)-(EN101/2-EP101/1000)^2)=0,"",7850/1000*(1/3)*PI()*ABS(EK101-EL101)*((EM101/2)^2+(EM101/2)*(EN101/2)+(EN101/2)^2-(EM101/2-EP101/1000)^2-(EM101/2-EP101/1000)*(EN101/2-EP101/1000)-(EN101/2-EP101/1000)^2))</f>
        <v/>
      </c>
      <c r="ER101" s="79"/>
    </row>
    <row r="102" spans="2:148" x14ac:dyDescent="0.3">
      <c r="B102" s="79"/>
      <c r="C102" s="79"/>
      <c r="D102" s="79"/>
      <c r="E102" s="79"/>
      <c r="F102" s="79"/>
      <c r="G102" s="79"/>
      <c r="H102" s="79" t="str">
        <f>IFERROR(MP_DATA[[#This Row],[Bottom '[m']]]-MP_DATA[[#This Row],[D, top '[m']]], "")</f>
        <v/>
      </c>
      <c r="I102" s="79" t="str">
        <f>IFERROR(-(MP_DATA[[#This Row],[D, bottom '[m']]]-MP_DATA[[#This Row],[D, top '[m']]])/(MP_DATA[[#This Row],[Bottom '[m']]]-MP_DATA[[#This Row],[Top '[m']]]),"")</f>
        <v/>
      </c>
      <c r="J102" s="79" t="str">
        <f t="shared" si="4"/>
        <v/>
      </c>
      <c r="K102" s="79" t="str">
        <f>IFERROR((MP_DATA[[#This Row],[D, bottom '[m']]]+MP_DATA[[#This Row],[D, top '[m']]])/(2*MP_DATA[[#This Row],[t '[mm']]]/1000),"")</f>
        <v/>
      </c>
      <c r="L102" s="79" t="str">
        <f>IFERROR((MP_DATA[[#This Row],[D, bottom '[m']]]+#REF!)/(2*#REF!/1000),"")</f>
        <v/>
      </c>
      <c r="BB102" s="79" t="str">
        <f>IFERROR(TP_DATA[[#This Row],[Bottom '[m']]]-TP_DATA[[#This Row],[D, top '[m']]], "")</f>
        <v/>
      </c>
      <c r="BC102" s="79" t="str">
        <f>IFERROR(-(TP_DATA[[#This Row],[D, bottom '[m']]]-TP_DATA[[#This Row],[D, top '[m']]])/(TP_DATA[[#This Row],[Bottom '[m']]]-TP_DATA[[#This Row],[Top '[m']]]),"")</f>
        <v/>
      </c>
      <c r="BD102" s="79" t="str">
        <f t="shared" ref="BD102:BD135" si="7">IF(7850/1000*(1/3)*PI()*ABS(AW102-AX102)*((AY102/2)^2+(AY102/2)*(AZ102/2)+(AZ102/2)^2-(AY102/2-BA102/1000)^2-(AY102/2-BA102/1000)*(AZ102/2-BA102/1000)-(AZ102/2-BA102/1000)^2)=0,"",7850/1000*(1/3)*PI()*ABS(AW102-AX102)*((AY102/2)^2+(AY102/2)*(AZ102/2)+(AZ102/2)^2-(AY102/2-BA102/1000)^2-(AY102/2-BA102/1000)*(AZ102/2-BA102/1000)-(AZ102/2-BA102/1000)^2))</f>
        <v/>
      </c>
      <c r="BE102" s="79" t="str">
        <f>IFERROR((TP_DATA[[#This Row],[D, bottom '[m']]]+TP_DATA[[#This Row],[D, top '[m']]])/(2*TP_DATA[[#This Row],[t '[mm']]]/1000),"")</f>
        <v/>
      </c>
      <c r="BF102" s="79" t="str">
        <f>IFERROR((TP_DATA[[#This Row],[D, bottom '[m']]]+#REF!)/(2*#REF!/1000),"")</f>
        <v/>
      </c>
      <c r="CP102" s="126">
        <v>72</v>
      </c>
      <c r="CQ102" s="120">
        <v>40.900000000000006</v>
      </c>
      <c r="CR102" s="120">
        <v>38.775000000000006</v>
      </c>
      <c r="CS102" s="120">
        <v>7.4349999999999996</v>
      </c>
      <c r="CT102" s="120">
        <v>7.476</v>
      </c>
      <c r="CU102" s="120">
        <v>39</v>
      </c>
      <c r="CV102" s="79">
        <f>IFERROR(TOWER_DATA[[#This Row],[Top '[m']]]-TOWER_DATA[[#This Row],[Bottom '[m']]], "")</f>
        <v>2.125</v>
      </c>
      <c r="CW102" s="79">
        <f>IFERROR(-(TOWER_DATA[[#This Row],[D, bottom '[m']]]-TOWER_DATA[[#This Row],[D, top '[m']]])/(TOWER_DATA[[#This Row],[Bottom '[m']]]-TOWER_DATA[[#This Row],[Top '[m']]]),"")</f>
        <v>1.9294117647058996E-2</v>
      </c>
      <c r="CX102" s="79">
        <f t="shared" si="6"/>
        <v>15.158005904941108</v>
      </c>
      <c r="CY102" s="79">
        <f>IFERROR((TOWER_DATA[[#This Row],[D, bottom '[m']]]+TOWER_DATA[[#This Row],[D, top '[m']]])/(2*TOWER_DATA[[#This Row],[t '[mm']]]/1000),"")</f>
        <v>191.16666666666666</v>
      </c>
      <c r="CZ102" s="79" t="str">
        <f>IFERROR((TOWER_DATA[[#This Row],[D, bottom '[m']]]+#REF!)/(2*#REF!/1000),"")</f>
        <v/>
      </c>
      <c r="DA102" s="100"/>
      <c r="DB102" s="100"/>
      <c r="DC102" s="100"/>
      <c r="DD102" s="100"/>
      <c r="DE102" s="100"/>
      <c r="DF102" s="100"/>
      <c r="DG102" s="100"/>
      <c r="DH102" s="100"/>
      <c r="DI102" s="100"/>
      <c r="DK102" s="77">
        <v>72</v>
      </c>
      <c r="DL102" s="77">
        <v>40.900000000000006</v>
      </c>
      <c r="DM102" s="77">
        <v>38.775000000000006</v>
      </c>
      <c r="DN102" s="77">
        <v>7.4349999999999996</v>
      </c>
      <c r="DO102" s="77">
        <v>7.476</v>
      </c>
      <c r="DP102" s="77">
        <v>39</v>
      </c>
      <c r="DR102" s="77"/>
      <c r="DS102" s="77"/>
      <c r="DT102" s="77"/>
      <c r="DU102" s="77"/>
      <c r="DV102" s="77"/>
      <c r="DW102" s="77"/>
      <c r="DX102" s="77"/>
      <c r="DY102" s="77"/>
      <c r="DZ102" s="77"/>
      <c r="EQ102" s="79" t="str">
        <f>IF(7850/1000*(1/3)*PI()*ABS(EK102-EL102)*((EM102/2)^2+(EM102/2)*(EN102/2)+(EN102/2)^2-(EM102/2-EP102/1000)^2-(EM102/2-EP102/1000)*(EN102/2-EP102/1000)-(EN102/2-EP102/1000)^2)=0,"",7850/1000*(1/3)*PI()*ABS(EK102-EL102)*((EM102/2)^2+(EM102/2)*(EN102/2)+(EN102/2)^2-(EM102/2-EP102/1000)^2-(EM102/2-EP102/1000)*(EN102/2-EP102/1000)-(EN102/2-EP102/1000)^2))</f>
        <v/>
      </c>
      <c r="ER102" s="79"/>
    </row>
    <row r="103" spans="2:148" x14ac:dyDescent="0.3">
      <c r="B103" s="79"/>
      <c r="C103" s="79"/>
      <c r="D103" s="79"/>
      <c r="E103" s="79"/>
      <c r="F103" s="79"/>
      <c r="G103" s="79"/>
      <c r="H103" s="79" t="str">
        <f>IFERROR(MP_DATA[[#This Row],[Bottom '[m']]]-MP_DATA[[#This Row],[D, top '[m']]], "")</f>
        <v/>
      </c>
      <c r="I103" s="79" t="str">
        <f>IFERROR(-(MP_DATA[[#This Row],[D, bottom '[m']]]-MP_DATA[[#This Row],[D, top '[m']]])/(MP_DATA[[#This Row],[Bottom '[m']]]-MP_DATA[[#This Row],[Top '[m']]]),"")</f>
        <v/>
      </c>
      <c r="J103" s="79" t="str">
        <f t="shared" si="4"/>
        <v/>
      </c>
      <c r="K103" s="79" t="str">
        <f>IFERROR((MP_DATA[[#This Row],[D, bottom '[m']]]+MP_DATA[[#This Row],[D, top '[m']]])/(2*MP_DATA[[#This Row],[t '[mm']]]/1000),"")</f>
        <v/>
      </c>
      <c r="L103" s="79" t="str">
        <f>IFERROR((MP_DATA[[#This Row],[D, bottom '[m']]]+#REF!)/(2*#REF!/1000),"")</f>
        <v/>
      </c>
      <c r="BB103" s="79" t="str">
        <f>IFERROR(TP_DATA[[#This Row],[Bottom '[m']]]-TP_DATA[[#This Row],[D, top '[m']]], "")</f>
        <v/>
      </c>
      <c r="BC103" s="79" t="str">
        <f>IFERROR(-(TP_DATA[[#This Row],[D, bottom '[m']]]-TP_DATA[[#This Row],[D, top '[m']]])/(TP_DATA[[#This Row],[Bottom '[m']]]-TP_DATA[[#This Row],[Top '[m']]]),"")</f>
        <v/>
      </c>
      <c r="BD103" s="79" t="str">
        <f t="shared" si="7"/>
        <v/>
      </c>
      <c r="BE103" s="79" t="str">
        <f>IFERROR((TP_DATA[[#This Row],[D, bottom '[m']]]+TP_DATA[[#This Row],[D, top '[m']]])/(2*TP_DATA[[#This Row],[t '[mm']]]/1000),"")</f>
        <v/>
      </c>
      <c r="BF103" s="79" t="str">
        <f>IFERROR((TP_DATA[[#This Row],[D, bottom '[m']]]+#REF!)/(2*#REF!/1000),"")</f>
        <v/>
      </c>
      <c r="CP103" s="126">
        <v>73</v>
      </c>
      <c r="CQ103" s="120">
        <v>38.775000000000006</v>
      </c>
      <c r="CR103" s="120">
        <v>38.725000000000001</v>
      </c>
      <c r="CS103" s="120">
        <v>7.476</v>
      </c>
      <c r="CT103" s="120">
        <v>7.476</v>
      </c>
      <c r="CU103" s="120">
        <v>46</v>
      </c>
      <c r="CV103" s="79">
        <f>IFERROR(TOWER_DATA[[#This Row],[Top '[m']]]-TOWER_DATA[[#This Row],[Bottom '[m']]], "")</f>
        <v>5.0000000000004263E-2</v>
      </c>
      <c r="CW103" s="79">
        <f>IFERROR(-(TOWER_DATA[[#This Row],[D, bottom '[m']]]-TOWER_DATA[[#This Row],[D, top '[m']]])/(TOWER_DATA[[#This Row],[Bottom '[m']]]-TOWER_DATA[[#This Row],[Top '[m']]]),"")</f>
        <v>0</v>
      </c>
      <c r="CX103" s="79">
        <f t="shared" si="6"/>
        <v>0.42144041332902277</v>
      </c>
      <c r="CY103" s="79">
        <f>IFERROR((TOWER_DATA[[#This Row],[D, bottom '[m']]]+TOWER_DATA[[#This Row],[D, top '[m']]])/(2*TOWER_DATA[[#This Row],[t '[mm']]]/1000),"")</f>
        <v>162.52173913043478</v>
      </c>
      <c r="CZ103" s="79" t="str">
        <f>IFERROR((TOWER_DATA[[#This Row],[D, bottom '[m']]]+#REF!)/(2*#REF!/1000),"")</f>
        <v/>
      </c>
      <c r="DA103" s="100"/>
      <c r="DB103" s="100"/>
      <c r="DC103" s="100"/>
      <c r="DD103" s="100"/>
      <c r="DE103" s="100"/>
      <c r="DF103" s="100"/>
      <c r="DG103" s="100"/>
      <c r="DH103" s="100"/>
      <c r="DI103" s="100"/>
      <c r="DK103" s="77">
        <v>73</v>
      </c>
      <c r="DL103" s="77">
        <v>38.775000000000006</v>
      </c>
      <c r="DM103" s="77">
        <v>38.725000000000001</v>
      </c>
      <c r="DN103" s="77">
        <v>7.476</v>
      </c>
      <c r="DO103" s="77">
        <v>7.476</v>
      </c>
      <c r="DP103" s="77">
        <v>46</v>
      </c>
      <c r="DR103" s="77"/>
      <c r="DS103" s="77"/>
      <c r="DT103" s="77"/>
      <c r="DU103" s="77"/>
      <c r="DV103" s="77"/>
      <c r="DW103" s="77"/>
      <c r="DX103" s="77"/>
      <c r="DY103" s="77"/>
      <c r="DZ103" s="77"/>
      <c r="EQ103" s="79" t="str">
        <f t="shared" ref="EQ103:EQ136" si="8">IF(7850/1000*(1/3)*PI()*ABS(EK103-EL103)*((EM103/2)^2+(EM103/2)*(EN103/2)+(EN103/2)^2-(EM103/2-EP103/1000)^2-(EM103/2-EP103/1000)*(EN103/2-EP103/1000)-(EN103/2-EP103/1000)^2)=0,"",7850/1000*(1/3)*PI()*ABS(EK103-EL103)*((EM103/2)^2+(EM103/2)*(EN103/2)+(EN103/2)^2-(EM103/2-EP103/1000)^2-(EM103/2-EP103/1000)*(EN103/2-EP103/1000)-(EN103/2-EP103/1000)^2))</f>
        <v/>
      </c>
      <c r="ER103" s="79"/>
    </row>
    <row r="104" spans="2:148" x14ac:dyDescent="0.3">
      <c r="B104" s="79"/>
      <c r="C104" s="79"/>
      <c r="D104" s="79"/>
      <c r="E104" s="79"/>
      <c r="F104" s="79"/>
      <c r="G104" s="79"/>
      <c r="H104" s="79" t="str">
        <f>IFERROR(MP_DATA[[#This Row],[Bottom '[m']]]-MP_DATA[[#This Row],[D, top '[m']]], "")</f>
        <v/>
      </c>
      <c r="I104" s="79" t="str">
        <f>IFERROR(-(MP_DATA[[#This Row],[D, bottom '[m']]]-MP_DATA[[#This Row],[D, top '[m']]])/(MP_DATA[[#This Row],[Bottom '[m']]]-MP_DATA[[#This Row],[Top '[m']]]),"")</f>
        <v/>
      </c>
      <c r="J104" s="79" t="str">
        <f t="shared" si="4"/>
        <v/>
      </c>
      <c r="K104" s="79" t="str">
        <f>IFERROR((MP_DATA[[#This Row],[D, bottom '[m']]]+MP_DATA[[#This Row],[D, top '[m']]])/(2*MP_DATA[[#This Row],[t '[mm']]]/1000),"")</f>
        <v/>
      </c>
      <c r="L104" s="79" t="str">
        <f>IFERROR((MP_DATA[[#This Row],[D, bottom '[m']]]+#REF!)/(2*#REF!/1000),"")</f>
        <v/>
      </c>
      <c r="BB104" s="79" t="str">
        <f>IFERROR(TP_DATA[[#This Row],[Bottom '[m']]]-TP_DATA[[#This Row],[D, top '[m']]], "")</f>
        <v/>
      </c>
      <c r="BC104" s="79" t="str">
        <f>IFERROR(-(TP_DATA[[#This Row],[D, bottom '[m']]]-TP_DATA[[#This Row],[D, top '[m']]])/(TP_DATA[[#This Row],[Bottom '[m']]]-TP_DATA[[#This Row],[Top '[m']]]),"")</f>
        <v/>
      </c>
      <c r="BD104" s="79" t="str">
        <f t="shared" si="7"/>
        <v/>
      </c>
      <c r="BE104" s="79" t="str">
        <f>IFERROR((TP_DATA[[#This Row],[D, bottom '[m']]]+TP_DATA[[#This Row],[D, top '[m']]])/(2*TP_DATA[[#This Row],[t '[mm']]]/1000),"")</f>
        <v/>
      </c>
      <c r="BF104" s="79" t="str">
        <f>IFERROR((TP_DATA[[#This Row],[D, bottom '[m']]]+#REF!)/(2*#REF!/1000),"")</f>
        <v/>
      </c>
      <c r="CP104" s="126">
        <v>74</v>
      </c>
      <c r="CQ104" s="120">
        <v>38.725000000000001</v>
      </c>
      <c r="CR104" s="120">
        <v>38.540000000000006</v>
      </c>
      <c r="CS104" s="120">
        <v>7.476</v>
      </c>
      <c r="CT104" s="120">
        <v>7.476</v>
      </c>
      <c r="CU104" s="120">
        <v>46</v>
      </c>
      <c r="CV104" s="79">
        <f>IFERROR(TOWER_DATA[[#This Row],[Top '[m']]]-TOWER_DATA[[#This Row],[Bottom '[m']]], "")</f>
        <v>0.18499999999999517</v>
      </c>
      <c r="CW104" s="79">
        <f>IFERROR(-(TOWER_DATA[[#This Row],[D, bottom '[m']]]-TOWER_DATA[[#This Row],[D, top '[m']]])/(TOWER_DATA[[#This Row],[Bottom '[m']]]-TOWER_DATA[[#This Row],[Top '[m']]]),"")</f>
        <v>0</v>
      </c>
      <c r="CX104" s="79">
        <f t="shared" si="6"/>
        <v>1.5593295293172105</v>
      </c>
      <c r="CY104" s="79">
        <f>IFERROR((TOWER_DATA[[#This Row],[D, bottom '[m']]]+TOWER_DATA[[#This Row],[D, top '[m']]])/(2*TOWER_DATA[[#This Row],[t '[mm']]]/1000),"")</f>
        <v>162.52173913043478</v>
      </c>
      <c r="CZ104" s="79" t="str">
        <f>IFERROR((TOWER_DATA[[#This Row],[D, bottom '[m']]]+#REF!)/(2*#REF!/1000),"")</f>
        <v/>
      </c>
      <c r="DA104" s="100"/>
      <c r="DB104" s="100"/>
      <c r="DC104" s="100"/>
      <c r="DD104" s="100"/>
      <c r="DE104" s="100"/>
      <c r="DF104" s="100"/>
      <c r="DG104" s="100"/>
      <c r="DH104" s="100"/>
      <c r="DI104" s="100"/>
      <c r="DK104" s="77">
        <v>74</v>
      </c>
      <c r="DL104" s="77">
        <v>38.725000000000001</v>
      </c>
      <c r="DM104" s="77">
        <v>38.540000000000006</v>
      </c>
      <c r="DN104" s="77">
        <v>7.476</v>
      </c>
      <c r="DO104" s="77">
        <v>7.476</v>
      </c>
      <c r="DP104" s="77">
        <v>46</v>
      </c>
      <c r="DR104" s="77"/>
      <c r="DS104" s="77"/>
      <c r="DT104" s="77"/>
      <c r="DU104" s="77"/>
      <c r="DV104" s="77"/>
      <c r="DW104" s="77"/>
      <c r="DX104" s="77"/>
      <c r="DY104" s="77"/>
      <c r="DZ104" s="77"/>
      <c r="EQ104" s="79" t="str">
        <f t="shared" si="8"/>
        <v/>
      </c>
      <c r="ER104" s="79"/>
    </row>
    <row r="105" spans="2:148" x14ac:dyDescent="0.3">
      <c r="B105" s="79"/>
      <c r="D105" s="79"/>
      <c r="F105" s="79"/>
      <c r="H105" s="79" t="str">
        <f>IFERROR(MP_DATA[[#This Row],[Bottom '[m']]]-MP_DATA[[#This Row],[D, top '[m']]], "")</f>
        <v/>
      </c>
      <c r="I105" t="str">
        <f>IFERROR(-(MP_DATA[[#This Row],[D, bottom '[m']]]-MP_DATA[[#This Row],[D, top '[m']]])/(MP_DATA[[#This Row],[Bottom '[m']]]-MP_DATA[[#This Row],[Top '[m']]]),"")</f>
        <v/>
      </c>
      <c r="J105" s="79" t="str">
        <f t="shared" si="4"/>
        <v/>
      </c>
      <c r="K105" s="79" t="str">
        <f>IFERROR((MP_DATA[[#This Row],[D, bottom '[m']]]+MP_DATA[[#This Row],[D, top '[m']]])/(2*MP_DATA[[#This Row],[t '[mm']]]/1000),"")</f>
        <v/>
      </c>
      <c r="L105" s="79" t="str">
        <f>IFERROR((MP_DATA[[#This Row],[D, bottom '[m']]]+#REF!)/(2*#REF!/1000),"")</f>
        <v/>
      </c>
      <c r="BB105" s="79" t="str">
        <f>IFERROR(TP_DATA[[#This Row],[Bottom '[m']]]-TP_DATA[[#This Row],[D, top '[m']]], "")</f>
        <v/>
      </c>
      <c r="BC105" s="79" t="str">
        <f>IFERROR(-(TP_DATA[[#This Row],[D, bottom '[m']]]-TP_DATA[[#This Row],[D, top '[m']]])/(TP_DATA[[#This Row],[Bottom '[m']]]-TP_DATA[[#This Row],[Top '[m']]]),"")</f>
        <v/>
      </c>
      <c r="BD105" s="79" t="str">
        <f t="shared" si="7"/>
        <v/>
      </c>
      <c r="BE105" s="79" t="str">
        <f>IFERROR((TP_DATA[[#This Row],[D, bottom '[m']]]+TP_DATA[[#This Row],[D, top '[m']]])/(2*TP_DATA[[#This Row],[t '[mm']]]/1000),"")</f>
        <v/>
      </c>
      <c r="BF105" s="79" t="str">
        <f>IFERROR((TP_DATA[[#This Row],[D, bottom '[m']]]+#REF!)/(2*#REF!/1000),"")</f>
        <v/>
      </c>
      <c r="CP105" s="126">
        <v>75</v>
      </c>
      <c r="CQ105" s="120">
        <v>38.540000000000006</v>
      </c>
      <c r="CR105" s="120">
        <v>38.355000000000004</v>
      </c>
      <c r="CS105" s="120">
        <v>7.476</v>
      </c>
      <c r="CT105" s="120">
        <v>7.476</v>
      </c>
      <c r="CU105" s="120">
        <v>46</v>
      </c>
      <c r="CV105" s="79">
        <f>IFERROR(TOWER_DATA[[#This Row],[Top '[m']]]-TOWER_DATA[[#This Row],[Bottom '[m']]], "")</f>
        <v>0.18500000000000227</v>
      </c>
      <c r="CW105" s="79">
        <f>IFERROR(-(TOWER_DATA[[#This Row],[D, bottom '[m']]]-TOWER_DATA[[#This Row],[D, top '[m']]])/(TOWER_DATA[[#This Row],[Bottom '[m']]]-TOWER_DATA[[#This Row],[Top '[m']]]),"")</f>
        <v>0</v>
      </c>
      <c r="CX105" s="79">
        <f t="shared" si="6"/>
        <v>1.5593295293172704</v>
      </c>
      <c r="CY105" s="79">
        <f>IFERROR((TOWER_DATA[[#This Row],[D, bottom '[m']]]+TOWER_DATA[[#This Row],[D, top '[m']]])/(2*TOWER_DATA[[#This Row],[t '[mm']]]/1000),"")</f>
        <v>162.52173913043478</v>
      </c>
      <c r="CZ105" s="79" t="str">
        <f>IFERROR((TOWER_DATA[[#This Row],[D, bottom '[m']]]+#REF!)/(2*#REF!/1000),"")</f>
        <v/>
      </c>
      <c r="DA105" s="100"/>
      <c r="DB105" s="100"/>
      <c r="DC105" s="100"/>
      <c r="DD105" s="100"/>
      <c r="DE105" s="100"/>
      <c r="DF105" s="100"/>
      <c r="DG105" s="100"/>
      <c r="DH105" s="100"/>
      <c r="DI105" s="100"/>
      <c r="DK105" s="77">
        <v>75</v>
      </c>
      <c r="DL105" s="77">
        <v>38.540000000000006</v>
      </c>
      <c r="DM105" s="77">
        <v>38.355000000000004</v>
      </c>
      <c r="DN105" s="77">
        <v>7.476</v>
      </c>
      <c r="DO105" s="77">
        <v>7.476</v>
      </c>
      <c r="DP105" s="77">
        <v>46</v>
      </c>
      <c r="DR105" s="77"/>
      <c r="DS105" s="77"/>
      <c r="DT105" s="77"/>
      <c r="DU105" s="77"/>
      <c r="DV105" s="77"/>
      <c r="DW105" s="77"/>
      <c r="DX105" s="77"/>
      <c r="DY105" s="77"/>
      <c r="DZ105" s="77"/>
      <c r="EQ105" s="79" t="str">
        <f t="shared" si="8"/>
        <v/>
      </c>
      <c r="ER105" s="79"/>
    </row>
    <row r="106" spans="2:148" x14ac:dyDescent="0.3">
      <c r="B106" s="79"/>
      <c r="D106" s="79"/>
      <c r="F106" s="79"/>
      <c r="H106" s="79" t="str">
        <f>IFERROR(MP_DATA[[#This Row],[Bottom '[m']]]-MP_DATA[[#This Row],[D, top '[m']]], "")</f>
        <v/>
      </c>
      <c r="I106" t="str">
        <f>IFERROR(-(MP_DATA[[#This Row],[D, bottom '[m']]]-MP_DATA[[#This Row],[D, top '[m']]])/(MP_DATA[[#This Row],[Bottom '[m']]]-MP_DATA[[#This Row],[Top '[m']]]),"")</f>
        <v/>
      </c>
      <c r="J106" s="79" t="str">
        <f t="shared" si="4"/>
        <v/>
      </c>
      <c r="K106" s="79" t="str">
        <f>IFERROR((MP_DATA[[#This Row],[D, bottom '[m']]]+MP_DATA[[#This Row],[D, top '[m']]])/(2*MP_DATA[[#This Row],[t '[mm']]]/1000),"")</f>
        <v/>
      </c>
      <c r="L106" s="79" t="str">
        <f>IFERROR((MP_DATA[[#This Row],[D, bottom '[m']]]+#REF!)/(2*#REF!/1000),"")</f>
        <v/>
      </c>
      <c r="BB106" s="79" t="str">
        <f>IFERROR(TP_DATA[[#This Row],[Bottom '[m']]]-TP_DATA[[#This Row],[D, top '[m']]], "")</f>
        <v/>
      </c>
      <c r="BC106" s="79" t="str">
        <f>IFERROR(-(TP_DATA[[#This Row],[D, bottom '[m']]]-TP_DATA[[#This Row],[D, top '[m']]])/(TP_DATA[[#This Row],[Bottom '[m']]]-TP_DATA[[#This Row],[Top '[m']]]),"")</f>
        <v/>
      </c>
      <c r="BD106" s="79" t="str">
        <f t="shared" si="7"/>
        <v/>
      </c>
      <c r="BE106" s="79" t="str">
        <f>IFERROR((TP_DATA[[#This Row],[D, bottom '[m']]]+TP_DATA[[#This Row],[D, top '[m']]])/(2*TP_DATA[[#This Row],[t '[mm']]]/1000),"")</f>
        <v/>
      </c>
      <c r="BF106" s="79" t="str">
        <f>IFERROR((TP_DATA[[#This Row],[D, bottom '[m']]]+#REF!)/(2*#REF!/1000),"")</f>
        <v/>
      </c>
      <c r="CP106" s="126">
        <v>76</v>
      </c>
      <c r="CQ106" s="120">
        <v>38.355000000000004</v>
      </c>
      <c r="CR106" s="120">
        <v>38.305000000000007</v>
      </c>
      <c r="CS106" s="120">
        <v>7.476</v>
      </c>
      <c r="CT106" s="120">
        <v>7.4740000000000002</v>
      </c>
      <c r="CU106" s="120">
        <v>46</v>
      </c>
      <c r="CV106" s="79">
        <f>IFERROR(TOWER_DATA[[#This Row],[Top '[m']]]-TOWER_DATA[[#This Row],[Bottom '[m']]], "")</f>
        <v>4.9999999999997158E-2</v>
      </c>
      <c r="CW106" s="79">
        <f>IFERROR(-(TOWER_DATA[[#This Row],[D, bottom '[m']]]-TOWER_DATA[[#This Row],[D, top '[m']]])/(TOWER_DATA[[#This Row],[Bottom '[m']]]-TOWER_DATA[[#This Row],[Top '[m']]]),"")</f>
        <v>-3.9999999999997871E-2</v>
      </c>
      <c r="CX106" s="79">
        <f t="shared" si="6"/>
        <v>0.42138369187360242</v>
      </c>
      <c r="CY106" s="79">
        <f>IFERROR((TOWER_DATA[[#This Row],[D, bottom '[m']]]+TOWER_DATA[[#This Row],[D, top '[m']]])/(2*TOWER_DATA[[#This Row],[t '[mm']]]/1000),"")</f>
        <v>162.5</v>
      </c>
      <c r="CZ106" s="79" t="str">
        <f>IFERROR((TOWER_DATA[[#This Row],[D, bottom '[m']]]+#REF!)/(2*#REF!/1000),"")</f>
        <v/>
      </c>
      <c r="DA106" s="100"/>
      <c r="DB106" s="100"/>
      <c r="DC106" s="100"/>
      <c r="DD106" s="100"/>
      <c r="DE106" s="100"/>
      <c r="DF106" s="100"/>
      <c r="DG106" s="100"/>
      <c r="DH106" s="100"/>
      <c r="DI106" s="100"/>
      <c r="DK106" s="77">
        <v>76</v>
      </c>
      <c r="DL106" s="77">
        <v>38.355000000000004</v>
      </c>
      <c r="DM106" s="77">
        <v>38.305000000000007</v>
      </c>
      <c r="DN106" s="77">
        <v>7.476</v>
      </c>
      <c r="DO106" s="77">
        <v>7.4740000000000002</v>
      </c>
      <c r="DP106" s="77">
        <v>46</v>
      </c>
      <c r="DR106" s="77"/>
      <c r="DS106" s="77"/>
      <c r="DT106" s="77"/>
      <c r="DU106" s="77"/>
      <c r="DV106" s="77"/>
      <c r="DW106" s="77"/>
      <c r="DX106" s="77"/>
      <c r="DY106" s="77"/>
      <c r="DZ106" s="77"/>
      <c r="EQ106" s="79" t="str">
        <f t="shared" si="8"/>
        <v/>
      </c>
      <c r="ER106" s="79"/>
    </row>
    <row r="107" spans="2:148" x14ac:dyDescent="0.3">
      <c r="B107" s="79"/>
      <c r="D107" s="79"/>
      <c r="F107" s="79"/>
      <c r="H107" s="79" t="str">
        <f>IFERROR(MP_DATA[[#This Row],[Bottom '[m']]]-MP_DATA[[#This Row],[D, top '[m']]], "")</f>
        <v/>
      </c>
      <c r="I107" t="str">
        <f>IFERROR(-(MP_DATA[[#This Row],[D, bottom '[m']]]-MP_DATA[[#This Row],[D, top '[m']]])/(MP_DATA[[#This Row],[Bottom '[m']]]-MP_DATA[[#This Row],[Top '[m']]]),"")</f>
        <v/>
      </c>
      <c r="J107" s="79" t="str">
        <f t="shared" si="4"/>
        <v/>
      </c>
      <c r="K107" s="79" t="str">
        <f>IFERROR((MP_DATA[[#This Row],[D, bottom '[m']]]+MP_DATA[[#This Row],[D, top '[m']]])/(2*MP_DATA[[#This Row],[t '[mm']]]/1000),"")</f>
        <v/>
      </c>
      <c r="L107" s="79" t="str">
        <f>IFERROR((MP_DATA[[#This Row],[D, bottom '[m']]]+#REF!)/(2*#REF!/1000),"")</f>
        <v/>
      </c>
      <c r="BB107" s="79" t="str">
        <f>IFERROR(TP_DATA[[#This Row],[Bottom '[m']]]-TP_DATA[[#This Row],[D, top '[m']]], "")</f>
        <v/>
      </c>
      <c r="BC107" s="79" t="str">
        <f>IFERROR(-(TP_DATA[[#This Row],[D, bottom '[m']]]-TP_DATA[[#This Row],[D, top '[m']]])/(TP_DATA[[#This Row],[Bottom '[m']]]-TP_DATA[[#This Row],[Top '[m']]]),"")</f>
        <v/>
      </c>
      <c r="BD107" s="79" t="str">
        <f t="shared" si="7"/>
        <v/>
      </c>
      <c r="BE107" s="79" t="str">
        <f>IFERROR((TP_DATA[[#This Row],[D, bottom '[m']]]+TP_DATA[[#This Row],[D, top '[m']]])/(2*TP_DATA[[#This Row],[t '[mm']]]/1000),"")</f>
        <v/>
      </c>
      <c r="BF107" s="79" t="str">
        <f>IFERROR((TP_DATA[[#This Row],[D, bottom '[m']]]+#REF!)/(2*#REF!/1000),"")</f>
        <v/>
      </c>
      <c r="CP107" s="126">
        <v>77</v>
      </c>
      <c r="CQ107" s="120">
        <v>38.305000000000007</v>
      </c>
      <c r="CR107" s="120">
        <v>37.343000000000004</v>
      </c>
      <c r="CS107" s="120">
        <v>7.4740000000000002</v>
      </c>
      <c r="CT107" s="120">
        <v>7.4740000000000002</v>
      </c>
      <c r="CU107" s="120">
        <v>44.1</v>
      </c>
      <c r="CV107" s="79">
        <f>IFERROR(TOWER_DATA[[#This Row],[Top '[m']]]-TOWER_DATA[[#This Row],[Bottom '[m']]], "")</f>
        <v>0.9620000000000033</v>
      </c>
      <c r="CW107" s="79">
        <f>IFERROR(-(TOWER_DATA[[#This Row],[D, bottom '[m']]]-TOWER_DATA[[#This Row],[D, top '[m']]])/(TOWER_DATA[[#This Row],[Bottom '[m']]]-TOWER_DATA[[#This Row],[Top '[m']]]),"")</f>
        <v>0</v>
      </c>
      <c r="CX107" s="79">
        <f t="shared" si="6"/>
        <v>7.7734920638760601</v>
      </c>
      <c r="CY107" s="79">
        <f>IFERROR((TOWER_DATA[[#This Row],[D, bottom '[m']]]+TOWER_DATA[[#This Row],[D, top '[m']]])/(2*TOWER_DATA[[#This Row],[t '[mm']]]/1000),"")</f>
        <v>169.47845804988663</v>
      </c>
      <c r="CZ107" s="79" t="str">
        <f>IFERROR((TOWER_DATA[[#This Row],[D, bottom '[m']]]+#REF!)/(2*#REF!/1000),"")</f>
        <v/>
      </c>
      <c r="DA107" s="100"/>
      <c r="DB107" s="100"/>
      <c r="DC107" s="100"/>
      <c r="DD107" s="100"/>
      <c r="DE107" s="100"/>
      <c r="DF107" s="100"/>
      <c r="DG107" s="100"/>
      <c r="DH107" s="100"/>
      <c r="DI107" s="100"/>
      <c r="DK107" s="77">
        <v>77</v>
      </c>
      <c r="DL107" s="77">
        <v>38.305000000000007</v>
      </c>
      <c r="DM107" s="77">
        <v>37.343000000000004</v>
      </c>
      <c r="DN107" s="77">
        <v>7.4740000000000002</v>
      </c>
      <c r="DO107" s="77">
        <v>7.4740000000000002</v>
      </c>
      <c r="DP107" s="77">
        <v>44.1</v>
      </c>
      <c r="DR107" s="77"/>
      <c r="DS107" s="77"/>
      <c r="DT107" s="77"/>
      <c r="DU107" s="77"/>
      <c r="DV107" s="77"/>
      <c r="DW107" s="77"/>
      <c r="DX107" s="77"/>
      <c r="DY107" s="77"/>
      <c r="DZ107" s="77"/>
      <c r="EQ107" s="79" t="str">
        <f t="shared" si="8"/>
        <v/>
      </c>
      <c r="ER107" s="79"/>
    </row>
    <row r="108" spans="2:148" x14ac:dyDescent="0.3">
      <c r="B108" s="79"/>
      <c r="D108" s="79"/>
      <c r="F108" s="79"/>
      <c r="H108" s="79" t="str">
        <f>IFERROR(MP_DATA[[#This Row],[Bottom '[m']]]-MP_DATA[[#This Row],[D, top '[m']]], "")</f>
        <v/>
      </c>
      <c r="I108" t="str">
        <f>IFERROR(-(MP_DATA[[#This Row],[D, bottom '[m']]]-MP_DATA[[#This Row],[D, top '[m']]])/(MP_DATA[[#This Row],[Bottom '[m']]]-MP_DATA[[#This Row],[Top '[m']]]),"")</f>
        <v/>
      </c>
      <c r="J108" s="79" t="str">
        <f t="shared" si="4"/>
        <v/>
      </c>
      <c r="K108" s="79" t="str">
        <f>IFERROR((MP_DATA[[#This Row],[D, bottom '[m']]]+MP_DATA[[#This Row],[D, top '[m']]])/(2*MP_DATA[[#This Row],[t '[mm']]]/1000),"")</f>
        <v/>
      </c>
      <c r="L108" s="79" t="str">
        <f>IFERROR((MP_DATA[[#This Row],[D, bottom '[m']]]+#REF!)/(2*#REF!/1000),"")</f>
        <v/>
      </c>
      <c r="BB108" s="79" t="str">
        <f>IFERROR(TP_DATA[[#This Row],[Bottom '[m']]]-TP_DATA[[#This Row],[D, top '[m']]], "")</f>
        <v/>
      </c>
      <c r="BC108" s="79" t="str">
        <f>IFERROR(-(TP_DATA[[#This Row],[D, bottom '[m']]]-TP_DATA[[#This Row],[D, top '[m']]])/(TP_DATA[[#This Row],[Bottom '[m']]]-TP_DATA[[#This Row],[Top '[m']]]),"")</f>
        <v/>
      </c>
      <c r="BD108" s="79" t="str">
        <f t="shared" si="7"/>
        <v/>
      </c>
      <c r="BE108" s="79" t="str">
        <f>IFERROR((TP_DATA[[#This Row],[D, bottom '[m']]]+TP_DATA[[#This Row],[D, top '[m']]])/(2*TP_DATA[[#This Row],[t '[mm']]]/1000),"")</f>
        <v/>
      </c>
      <c r="BF108" s="79" t="str">
        <f>IFERROR((TP_DATA[[#This Row],[D, bottom '[m']]]+#REF!)/(2*#REF!/1000),"")</f>
        <v/>
      </c>
      <c r="CP108" s="126">
        <v>78</v>
      </c>
      <c r="CQ108" s="120">
        <v>37.343000000000004</v>
      </c>
      <c r="CR108" s="120">
        <v>35.43</v>
      </c>
      <c r="CS108" s="120">
        <v>7.4740000000000002</v>
      </c>
      <c r="CT108" s="120">
        <v>7.476</v>
      </c>
      <c r="CU108" s="120">
        <v>44.1</v>
      </c>
      <c r="CV108" s="79">
        <f>IFERROR(TOWER_DATA[[#This Row],[Top '[m']]]-TOWER_DATA[[#This Row],[Bottom '[m']]], "")</f>
        <v>1.9130000000000038</v>
      </c>
      <c r="CW108" s="79">
        <f>IFERROR(-(TOWER_DATA[[#This Row],[D, bottom '[m']]]-TOWER_DATA[[#This Row],[D, top '[m']]])/(TOWER_DATA[[#This Row],[Bottom '[m']]]-TOWER_DATA[[#This Row],[Top '[m']]]),"")</f>
        <v>1.0454783063250266E-3</v>
      </c>
      <c r="CX108" s="79">
        <f t="shared" si="6"/>
        <v>15.460178569581235</v>
      </c>
      <c r="CY108" s="79">
        <f>IFERROR((TOWER_DATA[[#This Row],[D, bottom '[m']]]+TOWER_DATA[[#This Row],[D, top '[m']]])/(2*TOWER_DATA[[#This Row],[t '[mm']]]/1000),"")</f>
        <v>169.50113378684807</v>
      </c>
      <c r="CZ108" s="79" t="str">
        <f>IFERROR((TOWER_DATA[[#This Row],[D, bottom '[m']]]+#REF!)/(2*#REF!/1000),"")</f>
        <v/>
      </c>
      <c r="DA108" s="100"/>
      <c r="DB108" s="100"/>
      <c r="DC108" s="100"/>
      <c r="DD108" s="100"/>
      <c r="DE108" s="100"/>
      <c r="DF108" s="100"/>
      <c r="DG108" s="100"/>
      <c r="DH108" s="100"/>
      <c r="DI108" s="100"/>
      <c r="DK108" s="77">
        <v>78</v>
      </c>
      <c r="DL108" s="77">
        <v>37.343000000000004</v>
      </c>
      <c r="DM108" s="77">
        <v>35.43</v>
      </c>
      <c r="DN108" s="77">
        <v>7.4740000000000002</v>
      </c>
      <c r="DO108" s="77">
        <v>7.476</v>
      </c>
      <c r="DP108" s="77">
        <v>44.1</v>
      </c>
      <c r="DR108" s="77"/>
      <c r="DS108" s="77"/>
      <c r="DT108" s="77"/>
      <c r="DU108" s="77"/>
      <c r="DV108" s="77"/>
      <c r="DW108" s="77"/>
      <c r="DX108" s="77"/>
      <c r="DY108" s="77"/>
      <c r="DZ108" s="77"/>
      <c r="EQ108" s="79" t="str">
        <f t="shared" si="8"/>
        <v/>
      </c>
      <c r="ER108" s="79"/>
    </row>
    <row r="109" spans="2:148" x14ac:dyDescent="0.3">
      <c r="B109" s="79"/>
      <c r="C109" s="79"/>
      <c r="D109" s="79"/>
      <c r="E109" s="79"/>
      <c r="F109" s="79"/>
      <c r="G109" s="79"/>
      <c r="H109" s="79" t="str">
        <f>IFERROR(MP_DATA[[#This Row],[Bottom '[m']]]-MP_DATA[[#This Row],[D, top '[m']]], "")</f>
        <v/>
      </c>
      <c r="I109" s="79" t="str">
        <f>IFERROR(-(MP_DATA[[#This Row],[D, bottom '[m']]]-MP_DATA[[#This Row],[D, top '[m']]])/(MP_DATA[[#This Row],[Bottom '[m']]]-MP_DATA[[#This Row],[Top '[m']]]),"")</f>
        <v/>
      </c>
      <c r="J109" s="79" t="str">
        <f t="shared" si="4"/>
        <v/>
      </c>
      <c r="K109" s="79" t="str">
        <f>IFERROR((MP_DATA[[#This Row],[D, bottom '[m']]]+MP_DATA[[#This Row],[D, top '[m']]])/(2*MP_DATA[[#This Row],[t '[mm']]]/1000),"")</f>
        <v/>
      </c>
      <c r="L109" s="79" t="str">
        <f>IFERROR((MP_DATA[[#This Row],[D, bottom '[m']]]+#REF!)/(2*#REF!/1000),"")</f>
        <v/>
      </c>
      <c r="BB109" s="79" t="str">
        <f>IFERROR(TP_DATA[[#This Row],[Bottom '[m']]]-TP_DATA[[#This Row],[D, top '[m']]], "")</f>
        <v/>
      </c>
      <c r="BC109" s="79" t="str">
        <f>IFERROR(-(TP_DATA[[#This Row],[D, bottom '[m']]]-TP_DATA[[#This Row],[D, top '[m']]])/(TP_DATA[[#This Row],[Bottom '[m']]]-TP_DATA[[#This Row],[Top '[m']]]),"")</f>
        <v/>
      </c>
      <c r="BD109" s="79" t="str">
        <f t="shared" si="7"/>
        <v/>
      </c>
      <c r="BE109" s="79" t="str">
        <f>IFERROR((TP_DATA[[#This Row],[D, bottom '[m']]]+TP_DATA[[#This Row],[D, top '[m']]])/(2*TP_DATA[[#This Row],[t '[mm']]]/1000),"")</f>
        <v/>
      </c>
      <c r="BF109" s="79" t="str">
        <f>IFERROR((TP_DATA[[#This Row],[D, bottom '[m']]]+#REF!)/(2*#REF!/1000),"")</f>
        <v/>
      </c>
      <c r="CP109" s="126">
        <v>79</v>
      </c>
      <c r="CQ109" s="120">
        <v>35.43</v>
      </c>
      <c r="CR109" s="120">
        <v>33.231999999999999</v>
      </c>
      <c r="CS109" s="120">
        <v>7.476</v>
      </c>
      <c r="CT109" s="120">
        <v>7.476</v>
      </c>
      <c r="CU109" s="120">
        <v>45.6</v>
      </c>
      <c r="CV109" s="79">
        <f>IFERROR(TOWER_DATA[[#This Row],[Top '[m']]]-TOWER_DATA[[#This Row],[Bottom '[m']]], "")</f>
        <v>2.1980000000000004</v>
      </c>
      <c r="CW109" s="79">
        <f>IFERROR(-(TOWER_DATA[[#This Row],[D, bottom '[m']]]-TOWER_DATA[[#This Row],[D, top '[m']]])/(TOWER_DATA[[#This Row],[Bottom '[m']]]-TOWER_DATA[[#This Row],[Top '[m']]]),"")</f>
        <v>0</v>
      </c>
      <c r="CX109" s="79">
        <f t="shared" si="6"/>
        <v>18.36640910818716</v>
      </c>
      <c r="CY109" s="79">
        <f>IFERROR((TOWER_DATA[[#This Row],[D, bottom '[m']]]+TOWER_DATA[[#This Row],[D, top '[m']]])/(2*TOWER_DATA[[#This Row],[t '[mm']]]/1000),"")</f>
        <v>163.94736842105263</v>
      </c>
      <c r="CZ109" s="79" t="str">
        <f>IFERROR((TOWER_DATA[[#This Row],[D, bottom '[m']]]+#REF!)/(2*#REF!/1000),"")</f>
        <v/>
      </c>
      <c r="DA109" s="100"/>
      <c r="DB109" s="100"/>
      <c r="DC109" s="100"/>
      <c r="DD109" s="100"/>
      <c r="DE109" s="100"/>
      <c r="DF109" s="100"/>
      <c r="DG109" s="100"/>
      <c r="DH109" s="100"/>
      <c r="DI109" s="100"/>
      <c r="DK109" s="77">
        <v>79</v>
      </c>
      <c r="DL109" s="77">
        <v>35.43</v>
      </c>
      <c r="DM109" s="77">
        <v>33.231999999999999</v>
      </c>
      <c r="DN109" s="77">
        <v>7.476</v>
      </c>
      <c r="DO109" s="77">
        <v>7.476</v>
      </c>
      <c r="DP109" s="77">
        <v>45.6</v>
      </c>
      <c r="DR109" s="77"/>
      <c r="DS109" s="77"/>
      <c r="DT109" s="77"/>
      <c r="DU109" s="77"/>
      <c r="DV109" s="77"/>
      <c r="DW109" s="77"/>
      <c r="DX109" s="77"/>
      <c r="DY109" s="77"/>
      <c r="DZ109" s="77"/>
      <c r="EQ109" s="79" t="str">
        <f t="shared" si="8"/>
        <v/>
      </c>
      <c r="ER109" s="79"/>
    </row>
    <row r="110" spans="2:148" x14ac:dyDescent="0.3">
      <c r="B110" s="79"/>
      <c r="C110" s="79"/>
      <c r="D110" s="79"/>
      <c r="E110" s="79"/>
      <c r="F110" s="79"/>
      <c r="G110" s="79"/>
      <c r="H110" s="79" t="str">
        <f>IFERROR(MP_DATA[[#This Row],[Bottom '[m']]]-MP_DATA[[#This Row],[D, top '[m']]], "")</f>
        <v/>
      </c>
      <c r="I110" s="79" t="str">
        <f>IFERROR(-(MP_DATA[[#This Row],[D, bottom '[m']]]-MP_DATA[[#This Row],[D, top '[m']]])/(MP_DATA[[#This Row],[Bottom '[m']]]-MP_DATA[[#This Row],[Top '[m']]]),"")</f>
        <v/>
      </c>
      <c r="J110" s="79" t="str">
        <f t="shared" si="4"/>
        <v/>
      </c>
      <c r="K110" s="79" t="str">
        <f>IFERROR((MP_DATA[[#This Row],[D, bottom '[m']]]+MP_DATA[[#This Row],[D, top '[m']]])/(2*MP_DATA[[#This Row],[t '[mm']]]/1000),"")</f>
        <v/>
      </c>
      <c r="L110" s="79" t="str">
        <f>IFERROR((MP_DATA[[#This Row],[D, bottom '[m']]]+#REF!)/(2*#REF!/1000),"")</f>
        <v/>
      </c>
      <c r="BB110" s="79" t="str">
        <f>IFERROR(TP_DATA[[#This Row],[Bottom '[m']]]-TP_DATA[[#This Row],[D, top '[m']]], "")</f>
        <v/>
      </c>
      <c r="BC110" s="79" t="str">
        <f>IFERROR(-(TP_DATA[[#This Row],[D, bottom '[m']]]-TP_DATA[[#This Row],[D, top '[m']]])/(TP_DATA[[#This Row],[Bottom '[m']]]-TP_DATA[[#This Row],[Top '[m']]]),"")</f>
        <v/>
      </c>
      <c r="BD110" s="79" t="str">
        <f t="shared" si="7"/>
        <v/>
      </c>
      <c r="BE110" s="79" t="str">
        <f>IFERROR((TP_DATA[[#This Row],[D, bottom '[m']]]+TP_DATA[[#This Row],[D, top '[m']]])/(2*TP_DATA[[#This Row],[t '[mm']]]/1000),"")</f>
        <v/>
      </c>
      <c r="BF110" s="79" t="str">
        <f>IFERROR((TP_DATA[[#This Row],[D, bottom '[m']]]+#REF!)/(2*#REF!/1000),"")</f>
        <v/>
      </c>
      <c r="CP110" s="126">
        <v>80</v>
      </c>
      <c r="CQ110" s="120">
        <v>33.231999999999999</v>
      </c>
      <c r="CR110" s="120">
        <v>32.5</v>
      </c>
      <c r="CS110" s="120">
        <v>7.476</v>
      </c>
      <c r="CT110" s="120">
        <v>7.4770000000000003</v>
      </c>
      <c r="CU110" s="120">
        <v>45.6</v>
      </c>
      <c r="CV110" s="79">
        <f>IFERROR(TOWER_DATA[[#This Row],[Top '[m']]]-TOWER_DATA[[#This Row],[Bottom '[m']]], "")</f>
        <v>0.73199999999999932</v>
      </c>
      <c r="CW110" s="79">
        <f>IFERROR(-(TOWER_DATA[[#This Row],[D, bottom '[m']]]-TOWER_DATA[[#This Row],[D, top '[m']]])/(TOWER_DATA[[#This Row],[Bottom '[m']]]-TOWER_DATA[[#This Row],[Top '[m']]]),"")</f>
        <v>1.3661202185796925E-3</v>
      </c>
      <c r="CX110" s="79">
        <f t="shared" si="6"/>
        <v>6.1169773172667181</v>
      </c>
      <c r="CY110" s="79">
        <f>IFERROR((TOWER_DATA[[#This Row],[D, bottom '[m']]]+TOWER_DATA[[#This Row],[D, top '[m']]])/(2*TOWER_DATA[[#This Row],[t '[mm']]]/1000),"")</f>
        <v>163.95833333333331</v>
      </c>
      <c r="CZ110" s="79" t="str">
        <f>IFERROR((TOWER_DATA[[#This Row],[D, bottom '[m']]]+#REF!)/(2*#REF!/1000),"")</f>
        <v/>
      </c>
      <c r="DA110" s="100"/>
      <c r="DB110" s="100"/>
      <c r="DC110" s="100"/>
      <c r="DD110" s="100"/>
      <c r="DE110" s="100"/>
      <c r="DF110" s="100"/>
      <c r="DG110" s="100"/>
      <c r="DH110" s="100"/>
      <c r="DI110" s="100"/>
      <c r="DK110" s="77">
        <v>80</v>
      </c>
      <c r="DL110" s="77">
        <v>33.231999999999999</v>
      </c>
      <c r="DM110" s="77">
        <v>32.5</v>
      </c>
      <c r="DN110" s="77">
        <v>7.476</v>
      </c>
      <c r="DO110" s="77">
        <v>7.4770000000000003</v>
      </c>
      <c r="DP110" s="77">
        <v>45.6</v>
      </c>
      <c r="DR110" s="77"/>
      <c r="DS110" s="77"/>
      <c r="DT110" s="77"/>
      <c r="DU110" s="77"/>
      <c r="DV110" s="77"/>
      <c r="DW110" s="77"/>
      <c r="DX110" s="77"/>
      <c r="DY110" s="77"/>
      <c r="DZ110" s="77"/>
      <c r="EQ110" s="79" t="str">
        <f t="shared" si="8"/>
        <v/>
      </c>
      <c r="ER110" s="79"/>
    </row>
    <row r="111" spans="2:148" x14ac:dyDescent="0.3">
      <c r="B111" s="79"/>
      <c r="C111" s="79"/>
      <c r="D111" s="79"/>
      <c r="E111" s="79"/>
      <c r="F111" s="79"/>
      <c r="G111" s="79"/>
      <c r="H111" s="79" t="str">
        <f>IFERROR(MP_DATA[[#This Row],[Bottom '[m']]]-MP_DATA[[#This Row],[D, top '[m']]], "")</f>
        <v/>
      </c>
      <c r="I111" s="79" t="str">
        <f>IFERROR(-(MP_DATA[[#This Row],[D, bottom '[m']]]-MP_DATA[[#This Row],[D, top '[m']]])/(MP_DATA[[#This Row],[Bottom '[m']]]-MP_DATA[[#This Row],[Top '[m']]]),"")</f>
        <v/>
      </c>
      <c r="J111" s="79" t="str">
        <f t="shared" si="4"/>
        <v/>
      </c>
      <c r="K111" s="79" t="str">
        <f>IFERROR((MP_DATA[[#This Row],[D, bottom '[m']]]+MP_DATA[[#This Row],[D, top '[m']]])/(2*MP_DATA[[#This Row],[t '[mm']]]/1000),"")</f>
        <v/>
      </c>
      <c r="L111" s="79" t="str">
        <f>IFERROR((MP_DATA[[#This Row],[D, bottom '[m']]]+#REF!)/(2*#REF!/1000),"")</f>
        <v/>
      </c>
      <c r="BB111" s="79" t="str">
        <f>IFERROR(TP_DATA[[#This Row],[Bottom '[m']]]-TP_DATA[[#This Row],[D, top '[m']]], "")</f>
        <v/>
      </c>
      <c r="BC111" s="79" t="str">
        <f>IFERROR(-(TP_DATA[[#This Row],[D, bottom '[m']]]-TP_DATA[[#This Row],[D, top '[m']]])/(TP_DATA[[#This Row],[Bottom '[m']]]-TP_DATA[[#This Row],[Top '[m']]]),"")</f>
        <v/>
      </c>
      <c r="BD111" s="79" t="str">
        <f t="shared" si="7"/>
        <v/>
      </c>
      <c r="BE111" s="79" t="str">
        <f>IFERROR((TP_DATA[[#This Row],[D, bottom '[m']]]+TP_DATA[[#This Row],[D, top '[m']]])/(2*TP_DATA[[#This Row],[t '[mm']]]/1000),"")</f>
        <v/>
      </c>
      <c r="BF111" s="79" t="str">
        <f>IFERROR((TP_DATA[[#This Row],[D, bottom '[m']]]+#REF!)/(2*#REF!/1000),"")</f>
        <v/>
      </c>
      <c r="CP111" s="126">
        <v>81</v>
      </c>
      <c r="CQ111" s="120">
        <v>32.5</v>
      </c>
      <c r="CR111" s="120">
        <v>30.9</v>
      </c>
      <c r="CS111" s="120">
        <v>7.4770000000000003</v>
      </c>
      <c r="CT111" s="120">
        <v>7.4770000000000003</v>
      </c>
      <c r="CU111" s="120">
        <v>47.1</v>
      </c>
      <c r="CV111" s="79">
        <f>IFERROR(TOWER_DATA[[#This Row],[Top '[m']]]-TOWER_DATA[[#This Row],[Bottom '[m']]], "")</f>
        <v>1.6000000000000014</v>
      </c>
      <c r="CW111" s="79">
        <f>IFERROR(-(TOWER_DATA[[#This Row],[D, bottom '[m']]]-TOWER_DATA[[#This Row],[D, top '[m']]])/(TOWER_DATA[[#This Row],[Bottom '[m']]]-TOWER_DATA[[#This Row],[Top '[m']]]),"")</f>
        <v>0</v>
      </c>
      <c r="CX111" s="79">
        <f t="shared" si="6"/>
        <v>13.808400911123877</v>
      </c>
      <c r="CY111" s="79">
        <f>IFERROR((TOWER_DATA[[#This Row],[D, bottom '[m']]]+TOWER_DATA[[#This Row],[D, top '[m']]])/(2*TOWER_DATA[[#This Row],[t '[mm']]]/1000),"")</f>
        <v>158.74734607218684</v>
      </c>
      <c r="CZ111" s="79" t="str">
        <f>IFERROR((TOWER_DATA[[#This Row],[D, bottom '[m']]]+#REF!)/(2*#REF!/1000),"")</f>
        <v/>
      </c>
      <c r="DA111" s="100"/>
      <c r="DB111" s="100"/>
      <c r="DC111" s="100"/>
      <c r="DD111" s="100"/>
      <c r="DE111" s="100"/>
      <c r="DF111" s="100"/>
      <c r="DG111" s="100"/>
      <c r="DH111" s="100"/>
      <c r="DI111" s="100"/>
      <c r="DK111" s="77">
        <v>81</v>
      </c>
      <c r="DL111" s="77">
        <v>32.5</v>
      </c>
      <c r="DM111" s="77">
        <v>30.9</v>
      </c>
      <c r="DN111" s="77">
        <v>7.4770000000000003</v>
      </c>
      <c r="DO111" s="77">
        <v>7.4770000000000003</v>
      </c>
      <c r="DP111" s="77">
        <v>47.1</v>
      </c>
      <c r="DR111" s="77"/>
      <c r="DS111" s="77"/>
      <c r="DT111" s="77"/>
      <c r="DU111" s="77"/>
      <c r="DV111" s="77"/>
      <c r="DW111" s="77"/>
      <c r="DX111" s="77"/>
      <c r="DY111" s="77"/>
      <c r="DZ111" s="77"/>
      <c r="EQ111" s="79" t="str">
        <f t="shared" si="8"/>
        <v/>
      </c>
      <c r="ER111" s="79"/>
    </row>
    <row r="112" spans="2:148" x14ac:dyDescent="0.3">
      <c r="B112" s="79"/>
      <c r="C112" s="79"/>
      <c r="D112" s="79"/>
      <c r="E112" s="79"/>
      <c r="F112" s="79"/>
      <c r="G112" s="79"/>
      <c r="H112" s="79" t="str">
        <f>IFERROR(MP_DATA[[#This Row],[Bottom '[m']]]-MP_DATA[[#This Row],[D, top '[m']]], "")</f>
        <v/>
      </c>
      <c r="I112" s="79" t="str">
        <f>IFERROR(-(MP_DATA[[#This Row],[D, bottom '[m']]]-MP_DATA[[#This Row],[D, top '[m']]])/(MP_DATA[[#This Row],[Bottom '[m']]]-MP_DATA[[#This Row],[Top '[m']]]),"")</f>
        <v/>
      </c>
      <c r="J112" s="79" t="str">
        <f t="shared" si="4"/>
        <v/>
      </c>
      <c r="K112" s="79" t="str">
        <f>IFERROR((MP_DATA[[#This Row],[D, bottom '[m']]]+MP_DATA[[#This Row],[D, top '[m']]])/(2*MP_DATA[[#This Row],[t '[mm']]]/1000),"")</f>
        <v/>
      </c>
      <c r="L112" s="79" t="str">
        <f>IFERROR((MP_DATA[[#This Row],[D, bottom '[m']]]+#REF!)/(2*#REF!/1000),"")</f>
        <v/>
      </c>
      <c r="BB112" s="79" t="str">
        <f>IFERROR(TP_DATA[[#This Row],[Bottom '[m']]]-TP_DATA[[#This Row],[D, top '[m']]], "")</f>
        <v/>
      </c>
      <c r="BC112" s="79" t="str">
        <f>IFERROR(-(TP_DATA[[#This Row],[D, bottom '[m']]]-TP_DATA[[#This Row],[D, top '[m']]])/(TP_DATA[[#This Row],[Bottom '[m']]]-TP_DATA[[#This Row],[Top '[m']]]),"")</f>
        <v/>
      </c>
      <c r="BD112" s="79" t="str">
        <f t="shared" si="7"/>
        <v/>
      </c>
      <c r="BE112" s="79" t="str">
        <f>IFERROR((TP_DATA[[#This Row],[D, bottom '[m']]]+TP_DATA[[#This Row],[D, top '[m']]])/(2*TP_DATA[[#This Row],[t '[mm']]]/1000),"")</f>
        <v/>
      </c>
      <c r="BF112" s="79" t="str">
        <f>IFERROR((TP_DATA[[#This Row],[D, bottom '[m']]]+#REF!)/(2*#REF!/1000),"")</f>
        <v/>
      </c>
      <c r="CP112" s="126">
        <v>82</v>
      </c>
      <c r="CQ112" s="120">
        <v>30.9</v>
      </c>
      <c r="CR112" s="120">
        <v>29.569999999999997</v>
      </c>
      <c r="CS112" s="120">
        <v>7.4770000000000003</v>
      </c>
      <c r="CT112" s="120">
        <v>7.4790000000000001</v>
      </c>
      <c r="CU112" s="120">
        <v>47.1</v>
      </c>
      <c r="CV112" s="79">
        <f>IFERROR(TOWER_DATA[[#This Row],[Top '[m']]]-TOWER_DATA[[#This Row],[Bottom '[m']]], "")</f>
        <v>1.3300000000000018</v>
      </c>
      <c r="CW112" s="79">
        <f>IFERROR(-(TOWER_DATA[[#This Row],[D, bottom '[m']]]-TOWER_DATA[[#This Row],[D, top '[m']]])/(TOWER_DATA[[#This Row],[Bottom '[m']]]-TOWER_DATA[[#This Row],[Top '[m']]]),"")</f>
        <v>1.5037593984960729E-3</v>
      </c>
      <c r="CX112" s="79">
        <f t="shared" si="6"/>
        <v>11.47977812786228</v>
      </c>
      <c r="CY112" s="79">
        <f>IFERROR((TOWER_DATA[[#This Row],[D, bottom '[m']]]+TOWER_DATA[[#This Row],[D, top '[m']]])/(2*TOWER_DATA[[#This Row],[t '[mm']]]/1000),"")</f>
        <v>158.76857749469212</v>
      </c>
      <c r="CZ112" s="79" t="str">
        <f>IFERROR((TOWER_DATA[[#This Row],[D, bottom '[m']]]+#REF!)/(2*#REF!/1000),"")</f>
        <v/>
      </c>
      <c r="DA112" s="100"/>
      <c r="DB112" s="100"/>
      <c r="DC112" s="100"/>
      <c r="DD112" s="100"/>
      <c r="DE112" s="100"/>
      <c r="DF112" s="100"/>
      <c r="DG112" s="100"/>
      <c r="DH112" s="100"/>
      <c r="DI112" s="100"/>
      <c r="DK112" s="77">
        <v>82</v>
      </c>
      <c r="DL112" s="77">
        <v>30.9</v>
      </c>
      <c r="DM112" s="77">
        <v>29.569999999999997</v>
      </c>
      <c r="DN112" s="77">
        <v>7.4770000000000003</v>
      </c>
      <c r="DO112" s="77">
        <v>7.4790000000000001</v>
      </c>
      <c r="DP112" s="77">
        <v>47.1</v>
      </c>
      <c r="DR112" s="77"/>
      <c r="DS112" s="77"/>
      <c r="DT112" s="77"/>
      <c r="DU112" s="77"/>
      <c r="DV112" s="77"/>
      <c r="DW112" s="77"/>
      <c r="DX112" s="77"/>
      <c r="DY112" s="77"/>
      <c r="DZ112" s="77"/>
      <c r="EQ112" s="79" t="str">
        <f t="shared" si="8"/>
        <v/>
      </c>
      <c r="ER112" s="79"/>
    </row>
    <row r="113" spans="2:148" x14ac:dyDescent="0.3">
      <c r="B113" s="79"/>
      <c r="C113" s="79"/>
      <c r="D113" s="79"/>
      <c r="E113" s="79"/>
      <c r="F113" s="79"/>
      <c r="G113" s="79"/>
      <c r="H113" s="79" t="str">
        <f>IFERROR(MP_DATA[[#This Row],[Bottom '[m']]]-MP_DATA[[#This Row],[D, top '[m']]], "")</f>
        <v/>
      </c>
      <c r="I113" s="79" t="str">
        <f>IFERROR(-(MP_DATA[[#This Row],[D, bottom '[m']]]-MP_DATA[[#This Row],[D, top '[m']]])/(MP_DATA[[#This Row],[Bottom '[m']]]-MP_DATA[[#This Row],[Top '[m']]]),"")</f>
        <v/>
      </c>
      <c r="J113" s="79" t="str">
        <f t="shared" si="4"/>
        <v/>
      </c>
      <c r="K113" s="79" t="str">
        <f>IFERROR((MP_DATA[[#This Row],[D, bottom '[m']]]+MP_DATA[[#This Row],[D, top '[m']]])/(2*MP_DATA[[#This Row],[t '[mm']]]/1000),"")</f>
        <v/>
      </c>
      <c r="L113" s="79" t="str">
        <f>IFERROR((MP_DATA[[#This Row],[D, bottom '[m']]]+#REF!)/(2*#REF!/1000),"")</f>
        <v/>
      </c>
      <c r="BB113" s="79" t="str">
        <f>IFERROR(TP_DATA[[#This Row],[Bottom '[m']]]-TP_DATA[[#This Row],[D, top '[m']]], "")</f>
        <v/>
      </c>
      <c r="BC113" s="79" t="str">
        <f>IFERROR(-(TP_DATA[[#This Row],[D, bottom '[m']]]-TP_DATA[[#This Row],[D, top '[m']]])/(TP_DATA[[#This Row],[Bottom '[m']]]-TP_DATA[[#This Row],[Top '[m']]]),"")</f>
        <v/>
      </c>
      <c r="BD113" s="79" t="str">
        <f t="shared" si="7"/>
        <v/>
      </c>
      <c r="BE113" s="79" t="str">
        <f>IFERROR((TP_DATA[[#This Row],[D, bottom '[m']]]+TP_DATA[[#This Row],[D, top '[m']]])/(2*TP_DATA[[#This Row],[t '[mm']]]/1000),"")</f>
        <v/>
      </c>
      <c r="BF113" s="79" t="str">
        <f>IFERROR((TP_DATA[[#This Row],[D, bottom '[m']]]+#REF!)/(2*#REF!/1000),"")</f>
        <v/>
      </c>
      <c r="CP113" s="126">
        <v>83</v>
      </c>
      <c r="CQ113" s="120">
        <v>29.569999999999997</v>
      </c>
      <c r="CR113" s="120">
        <v>29.120999999999999</v>
      </c>
      <c r="CS113" s="120">
        <v>7.4790000000000001</v>
      </c>
      <c r="CT113" s="120">
        <v>7.4790000000000001</v>
      </c>
      <c r="CU113" s="120">
        <v>49</v>
      </c>
      <c r="CV113" s="79">
        <f>IFERROR(TOWER_DATA[[#This Row],[Top '[m']]]-TOWER_DATA[[#This Row],[Bottom '[m']]], "")</f>
        <v>0.44899999999999807</v>
      </c>
      <c r="CW113" s="79">
        <f>IFERROR(-(TOWER_DATA[[#This Row],[D, bottom '[m']]]-TOWER_DATA[[#This Row],[D, top '[m']]])/(TOWER_DATA[[#This Row],[Bottom '[m']]]-TOWER_DATA[[#This Row],[Top '[m']]]),"")</f>
        <v>0</v>
      </c>
      <c r="CX113" s="79">
        <f t="shared" si="6"/>
        <v>4.0313524059352366</v>
      </c>
      <c r="CY113" s="79">
        <f>IFERROR((TOWER_DATA[[#This Row],[D, bottom '[m']]]+TOWER_DATA[[#This Row],[D, top '[m']]])/(2*TOWER_DATA[[#This Row],[t '[mm']]]/1000),"")</f>
        <v>152.63265306122449</v>
      </c>
      <c r="CZ113" s="79" t="str">
        <f>IFERROR((TOWER_DATA[[#This Row],[D, bottom '[m']]]+#REF!)/(2*#REF!/1000),"")</f>
        <v/>
      </c>
      <c r="DA113" s="100"/>
      <c r="DB113" s="100"/>
      <c r="DC113" s="100"/>
      <c r="DD113" s="100"/>
      <c r="DE113" s="100"/>
      <c r="DF113" s="100"/>
      <c r="DG113" s="100"/>
      <c r="DH113" s="100"/>
      <c r="DI113" s="100"/>
      <c r="DK113" s="77">
        <v>83</v>
      </c>
      <c r="DL113" s="77">
        <v>29.569999999999997</v>
      </c>
      <c r="DM113" s="77">
        <v>29.120999999999999</v>
      </c>
      <c r="DN113" s="77">
        <v>7.4790000000000001</v>
      </c>
      <c r="DO113" s="77">
        <v>7.4790000000000001</v>
      </c>
      <c r="DP113" s="77">
        <v>49</v>
      </c>
      <c r="DR113" s="77"/>
      <c r="DS113" s="77"/>
      <c r="DT113" s="77"/>
      <c r="DU113" s="77"/>
      <c r="DV113" s="77"/>
      <c r="DW113" s="77"/>
      <c r="DX113" s="77"/>
      <c r="DY113" s="77"/>
      <c r="DZ113" s="77"/>
      <c r="EQ113" s="79" t="str">
        <f t="shared" si="8"/>
        <v/>
      </c>
      <c r="ER113" s="79"/>
    </row>
    <row r="114" spans="2:148" x14ac:dyDescent="0.3">
      <c r="B114" s="79"/>
      <c r="C114" s="79"/>
      <c r="D114" s="79"/>
      <c r="E114" s="79"/>
      <c r="F114" s="79"/>
      <c r="G114" s="79"/>
      <c r="H114" s="79" t="str">
        <f>IFERROR(MP_DATA[[#This Row],[Bottom '[m']]]-MP_DATA[[#This Row],[D, top '[m']]], "")</f>
        <v/>
      </c>
      <c r="I114" s="79" t="str">
        <f>IFERROR(-(MP_DATA[[#This Row],[D, bottom '[m']]]-MP_DATA[[#This Row],[D, top '[m']]])/(MP_DATA[[#This Row],[Bottom '[m']]]-MP_DATA[[#This Row],[Top '[m']]]),"")</f>
        <v/>
      </c>
      <c r="J114" s="79" t="str">
        <f t="shared" si="4"/>
        <v/>
      </c>
      <c r="K114" s="79" t="str">
        <f>IFERROR((MP_DATA[[#This Row],[D, bottom '[m']]]+MP_DATA[[#This Row],[D, top '[m']]])/(2*MP_DATA[[#This Row],[t '[mm']]]/1000),"")</f>
        <v/>
      </c>
      <c r="L114" s="79" t="str">
        <f>IFERROR((MP_DATA[[#This Row],[D, bottom '[m']]]+#REF!)/(2*#REF!/1000),"")</f>
        <v/>
      </c>
      <c r="BB114" s="79" t="str">
        <f>IFERROR(TP_DATA[[#This Row],[Bottom '[m']]]-TP_DATA[[#This Row],[D, top '[m']]], "")</f>
        <v/>
      </c>
      <c r="BC114" s="79" t="str">
        <f>IFERROR(-(TP_DATA[[#This Row],[D, bottom '[m']]]-TP_DATA[[#This Row],[D, top '[m']]])/(TP_DATA[[#This Row],[Bottom '[m']]]-TP_DATA[[#This Row],[Top '[m']]]),"")</f>
        <v/>
      </c>
      <c r="BD114" s="79" t="str">
        <f t="shared" si="7"/>
        <v/>
      </c>
      <c r="BE114" s="79" t="str">
        <f>IFERROR((TP_DATA[[#This Row],[D, bottom '[m']]]+TP_DATA[[#This Row],[D, top '[m']]])/(2*TP_DATA[[#This Row],[t '[mm']]]/1000),"")</f>
        <v/>
      </c>
      <c r="BF114" s="79" t="str">
        <f>IFERROR((TP_DATA[[#This Row],[D, bottom '[m']]]+#REF!)/(2*#REF!/1000),"")</f>
        <v/>
      </c>
      <c r="CP114" s="126">
        <v>84</v>
      </c>
      <c r="CQ114" s="120">
        <v>29.120999999999999</v>
      </c>
      <c r="CR114" s="120">
        <v>26.639999999999997</v>
      </c>
      <c r="CS114" s="120">
        <v>7.4790000000000001</v>
      </c>
      <c r="CT114" s="120">
        <v>7.5</v>
      </c>
      <c r="CU114" s="120">
        <v>49</v>
      </c>
      <c r="CV114" s="79">
        <f>IFERROR(TOWER_DATA[[#This Row],[Top '[m']]]-TOWER_DATA[[#This Row],[Bottom '[m']]], "")</f>
        <v>2.4810000000000016</v>
      </c>
      <c r="CW114" s="79">
        <f>IFERROR(-(TOWER_DATA[[#This Row],[D, bottom '[m']]]-TOWER_DATA[[#This Row],[D, top '[m']]])/(TOWER_DATA[[#This Row],[Bottom '[m']]]-TOWER_DATA[[#This Row],[Top '[m']]]),"")</f>
        <v>8.4643288996371999E-3</v>
      </c>
      <c r="CX114" s="79">
        <f t="shared" si="6"/>
        <v>22.307170912766217</v>
      </c>
      <c r="CY114" s="79">
        <f>IFERROR((TOWER_DATA[[#This Row],[D, bottom '[m']]]+TOWER_DATA[[#This Row],[D, top '[m']]])/(2*TOWER_DATA[[#This Row],[t '[mm']]]/1000),"")</f>
        <v>152.84693877551018</v>
      </c>
      <c r="CZ114" s="79" t="str">
        <f>IFERROR((TOWER_DATA[[#This Row],[D, bottom '[m']]]+#REF!)/(2*#REF!/1000),"")</f>
        <v/>
      </c>
      <c r="DA114" s="100"/>
      <c r="DB114" s="100"/>
      <c r="DC114" s="100"/>
      <c r="DD114" s="100"/>
      <c r="DE114" s="100"/>
      <c r="DF114" s="100"/>
      <c r="DG114" s="100"/>
      <c r="DH114" s="100"/>
      <c r="DI114" s="100"/>
      <c r="DK114" s="77">
        <v>84</v>
      </c>
      <c r="DL114" s="77">
        <v>29.120999999999999</v>
      </c>
      <c r="DM114" s="77">
        <v>26.639999999999997</v>
      </c>
      <c r="DN114" s="77">
        <v>7.4790000000000001</v>
      </c>
      <c r="DO114" s="77">
        <v>7.5</v>
      </c>
      <c r="DP114" s="77">
        <v>49</v>
      </c>
      <c r="DR114" s="77"/>
      <c r="DS114" s="77"/>
      <c r="DT114" s="77"/>
      <c r="DU114" s="77"/>
      <c r="DV114" s="77"/>
      <c r="DW114" s="77"/>
      <c r="DX114" s="77"/>
      <c r="DY114" s="77"/>
      <c r="DZ114" s="77"/>
      <c r="EQ114" s="79" t="str">
        <f t="shared" si="8"/>
        <v/>
      </c>
      <c r="ER114" s="79"/>
    </row>
    <row r="115" spans="2:148" x14ac:dyDescent="0.3">
      <c r="B115" s="79"/>
      <c r="C115" s="79"/>
      <c r="D115" s="79"/>
      <c r="E115" s="79"/>
      <c r="F115" s="79"/>
      <c r="G115" s="79"/>
      <c r="H115" s="79" t="str">
        <f>IFERROR(MP_DATA[[#This Row],[Bottom '[m']]]-MP_DATA[[#This Row],[D, top '[m']]], "")</f>
        <v/>
      </c>
      <c r="I115" s="79" t="str">
        <f>IFERROR(-(MP_DATA[[#This Row],[D, bottom '[m']]]-MP_DATA[[#This Row],[D, top '[m']]])/(MP_DATA[[#This Row],[Bottom '[m']]]-MP_DATA[[#This Row],[Top '[m']]]),"")</f>
        <v/>
      </c>
      <c r="J115" s="79" t="str">
        <f t="shared" si="4"/>
        <v/>
      </c>
      <c r="K115" s="79" t="str">
        <f>IFERROR((MP_DATA[[#This Row],[D, bottom '[m']]]+MP_DATA[[#This Row],[D, top '[m']]])/(2*MP_DATA[[#This Row],[t '[mm']]]/1000),"")</f>
        <v/>
      </c>
      <c r="L115" s="79" t="str">
        <f>IFERROR((MP_DATA[[#This Row],[D, bottom '[m']]]+#REF!)/(2*#REF!/1000),"")</f>
        <v/>
      </c>
      <c r="BB115" s="79" t="str">
        <f>IFERROR(TP_DATA[[#This Row],[Bottom '[m']]]-TP_DATA[[#This Row],[D, top '[m']]], "")</f>
        <v/>
      </c>
      <c r="BC115" s="79" t="str">
        <f>IFERROR(-(TP_DATA[[#This Row],[D, bottom '[m']]]-TP_DATA[[#This Row],[D, top '[m']]])/(TP_DATA[[#This Row],[Bottom '[m']]]-TP_DATA[[#This Row],[Top '[m']]]),"")</f>
        <v/>
      </c>
      <c r="BD115" s="79" t="str">
        <f t="shared" si="7"/>
        <v/>
      </c>
      <c r="BE115" s="79" t="str">
        <f>IFERROR((TP_DATA[[#This Row],[D, bottom '[m']]]+TP_DATA[[#This Row],[D, top '[m']]])/(2*TP_DATA[[#This Row],[t '[mm']]]/1000),"")</f>
        <v/>
      </c>
      <c r="BF115" s="79" t="str">
        <f>IFERROR((TP_DATA[[#This Row],[D, bottom '[m']]]+#REF!)/(2*#REF!/1000),"")</f>
        <v/>
      </c>
      <c r="CP115" s="126">
        <v>85</v>
      </c>
      <c r="CQ115" s="120">
        <v>26.639999999999997</v>
      </c>
      <c r="CR115" s="120">
        <v>25.05</v>
      </c>
      <c r="CS115" s="120">
        <v>7.5</v>
      </c>
      <c r="CT115" s="120">
        <v>7.5</v>
      </c>
      <c r="CU115" s="120">
        <v>70</v>
      </c>
      <c r="CV115" s="79">
        <f>IFERROR(TOWER_DATA[[#This Row],[Top '[m']]]-TOWER_DATA[[#This Row],[Bottom '[m']]], "")</f>
        <v>1.5899999999999963</v>
      </c>
      <c r="CW115" s="79">
        <f>IFERROR(-(TOWER_DATA[[#This Row],[D, bottom '[m']]]-TOWER_DATA[[#This Row],[D, top '[m']]])/(TOWER_DATA[[#This Row],[Bottom '[m']]]-TOWER_DATA[[#This Row],[Top '[m']]]),"")</f>
        <v>0</v>
      </c>
      <c r="CX115" s="79">
        <f t="shared" si="6"/>
        <v>20.394051305876623</v>
      </c>
      <c r="CY115" s="79">
        <f>IFERROR((TOWER_DATA[[#This Row],[D, bottom '[m']]]+TOWER_DATA[[#This Row],[D, top '[m']]])/(2*TOWER_DATA[[#This Row],[t '[mm']]]/1000),"")</f>
        <v>107.14285714285714</v>
      </c>
      <c r="CZ115" s="79" t="str">
        <f>IFERROR((TOWER_DATA[[#This Row],[D, bottom '[m']]]+#REF!)/(2*#REF!/1000),"")</f>
        <v/>
      </c>
      <c r="DA115" s="100"/>
      <c r="DB115" s="100"/>
      <c r="DC115" s="100"/>
      <c r="DD115" s="100"/>
      <c r="DE115" s="100"/>
      <c r="DF115" s="100"/>
      <c r="DG115" s="100"/>
      <c r="DH115" s="100"/>
      <c r="DI115" s="100"/>
      <c r="DK115" s="77">
        <v>85</v>
      </c>
      <c r="DL115" s="77">
        <v>26.639999999999997</v>
      </c>
      <c r="DM115" s="77">
        <v>25.05</v>
      </c>
      <c r="DN115" s="77">
        <v>7.5</v>
      </c>
      <c r="DO115" s="77">
        <v>7.5</v>
      </c>
      <c r="DP115" s="77">
        <v>70</v>
      </c>
      <c r="DR115" s="77"/>
      <c r="DS115" s="77"/>
      <c r="DT115" s="77"/>
      <c r="DU115" s="77"/>
      <c r="DV115" s="77"/>
      <c r="DW115" s="77"/>
      <c r="DX115" s="77"/>
      <c r="DY115" s="77"/>
      <c r="DZ115" s="77"/>
      <c r="EQ115" s="79" t="str">
        <f t="shared" si="8"/>
        <v/>
      </c>
      <c r="ER115" s="79"/>
    </row>
    <row r="116" spans="2:148" x14ac:dyDescent="0.3">
      <c r="B116" s="79"/>
      <c r="C116" s="79"/>
      <c r="D116" s="79"/>
      <c r="E116" s="79"/>
      <c r="F116" s="79"/>
      <c r="G116" s="79"/>
      <c r="H116" s="79" t="str">
        <f>IFERROR(MP_DATA[[#This Row],[Bottom '[m']]]-MP_DATA[[#This Row],[D, top '[m']]], "")</f>
        <v/>
      </c>
      <c r="I116" s="79" t="str">
        <f>IFERROR(-(MP_DATA[[#This Row],[D, bottom '[m']]]-MP_DATA[[#This Row],[D, top '[m']]])/(MP_DATA[[#This Row],[Bottom '[m']]]-MP_DATA[[#This Row],[Top '[m']]]),"")</f>
        <v/>
      </c>
      <c r="J116" s="79" t="str">
        <f t="shared" si="4"/>
        <v/>
      </c>
      <c r="K116" s="79" t="str">
        <f>IFERROR((MP_DATA[[#This Row],[D, bottom '[m']]]+MP_DATA[[#This Row],[D, top '[m']]])/(2*MP_DATA[[#This Row],[t '[mm']]]/1000),"")</f>
        <v/>
      </c>
      <c r="L116" s="79" t="str">
        <f>IFERROR((MP_DATA[[#This Row],[D, bottom '[m']]]+#REF!)/(2*#REF!/1000),"")</f>
        <v/>
      </c>
      <c r="BB116" s="79" t="str">
        <f>IFERROR(TP_DATA[[#This Row],[Bottom '[m']]]-TP_DATA[[#This Row],[D, top '[m']]], "")</f>
        <v/>
      </c>
      <c r="BC116" s="79" t="str">
        <f>IFERROR(-(TP_DATA[[#This Row],[D, bottom '[m']]]-TP_DATA[[#This Row],[D, top '[m']]])/(TP_DATA[[#This Row],[Bottom '[m']]]-TP_DATA[[#This Row],[Top '[m']]]),"")</f>
        <v/>
      </c>
      <c r="BD116" s="79" t="str">
        <f t="shared" si="7"/>
        <v/>
      </c>
      <c r="BE116" s="79" t="str">
        <f>IFERROR((TP_DATA[[#This Row],[D, bottom '[m']]]+TP_DATA[[#This Row],[D, top '[m']]])/(2*TP_DATA[[#This Row],[t '[mm']]]/1000),"")</f>
        <v/>
      </c>
      <c r="BF116" s="79" t="str">
        <f>IFERROR((TP_DATA[[#This Row],[D, bottom '[m']]]+#REF!)/(2*#REF!/1000),"")</f>
        <v/>
      </c>
      <c r="CP116" s="126">
        <v>86</v>
      </c>
      <c r="CQ116" s="120">
        <v>25.05</v>
      </c>
      <c r="CR116" s="120">
        <v>25.010999999999999</v>
      </c>
      <c r="CS116" s="120">
        <v>7.5</v>
      </c>
      <c r="CT116" s="120">
        <v>7.5</v>
      </c>
      <c r="CU116" s="120">
        <v>70</v>
      </c>
      <c r="CV116" s="79">
        <f>IFERROR(TOWER_DATA[[#This Row],[Top '[m']]]-TOWER_DATA[[#This Row],[Bottom '[m']]], "")</f>
        <v>3.9000000000001478E-2</v>
      </c>
      <c r="CW116" s="79">
        <f>IFERROR(-(TOWER_DATA[[#This Row],[D, bottom '[m']]]-TOWER_DATA[[#This Row],[D, top '[m']]])/(TOWER_DATA[[#This Row],[Bottom '[m']]]-TOWER_DATA[[#This Row],[Top '[m']]]),"")</f>
        <v>0</v>
      </c>
      <c r="CX116" s="79">
        <f t="shared" si="6"/>
        <v>0.50023144712529577</v>
      </c>
      <c r="CY116" s="79">
        <f>IFERROR((TOWER_DATA[[#This Row],[D, bottom '[m']]]+TOWER_DATA[[#This Row],[D, top '[m']]])/(2*TOWER_DATA[[#This Row],[t '[mm']]]/1000),"")</f>
        <v>107.14285714285714</v>
      </c>
      <c r="CZ116" s="79" t="str">
        <f>IFERROR((TOWER_DATA[[#This Row],[D, bottom '[m']]]+#REF!)/(2*#REF!/1000),"")</f>
        <v/>
      </c>
      <c r="DA116" s="100"/>
      <c r="DB116" s="100"/>
      <c r="DC116" s="100"/>
      <c r="DD116" s="100"/>
      <c r="DE116" s="100"/>
      <c r="DF116" s="100"/>
      <c r="DG116" s="100"/>
      <c r="DH116" s="100"/>
      <c r="DI116" s="100"/>
      <c r="DK116" s="77">
        <v>86</v>
      </c>
      <c r="DL116" s="77">
        <v>25.05</v>
      </c>
      <c r="DM116" s="77">
        <v>25.010999999999999</v>
      </c>
      <c r="DN116" s="77">
        <v>7.5</v>
      </c>
      <c r="DO116" s="77">
        <v>7.5</v>
      </c>
      <c r="DP116" s="77">
        <v>70</v>
      </c>
      <c r="DR116" s="77"/>
      <c r="DS116" s="77"/>
      <c r="DT116" s="77"/>
      <c r="DU116" s="77"/>
      <c r="DV116" s="77"/>
      <c r="DW116" s="77"/>
      <c r="DX116" s="77"/>
      <c r="DY116" s="77"/>
      <c r="DZ116" s="77"/>
      <c r="EQ116" s="79" t="str">
        <f t="shared" si="8"/>
        <v/>
      </c>
      <c r="ER116" s="79"/>
    </row>
    <row r="117" spans="2:148" x14ac:dyDescent="0.3">
      <c r="B117" s="79"/>
      <c r="C117" s="79"/>
      <c r="D117" s="79"/>
      <c r="E117" s="79"/>
      <c r="F117" s="79"/>
      <c r="G117" s="79"/>
      <c r="H117" s="79" t="str">
        <f>IFERROR(MP_DATA[[#This Row],[Bottom '[m']]]-MP_DATA[[#This Row],[D, top '[m']]], "")</f>
        <v/>
      </c>
      <c r="I117" s="79" t="str">
        <f>IFERROR(-(MP_DATA[[#This Row],[D, bottom '[m']]]-MP_DATA[[#This Row],[D, top '[m']]])/(MP_DATA[[#This Row],[Bottom '[m']]]-MP_DATA[[#This Row],[Top '[m']]]),"")</f>
        <v/>
      </c>
      <c r="J117" s="79" t="str">
        <f t="shared" si="4"/>
        <v/>
      </c>
      <c r="K117" s="79" t="str">
        <f>IFERROR((MP_DATA[[#This Row],[D, bottom '[m']]]+MP_DATA[[#This Row],[D, top '[m']]])/(2*MP_DATA[[#This Row],[t '[mm']]]/1000),"")</f>
        <v/>
      </c>
      <c r="L117" s="79" t="str">
        <f>IFERROR((MP_DATA[[#This Row],[D, bottom '[m']]]+#REF!)/(2*#REF!/1000),"")</f>
        <v/>
      </c>
      <c r="BB117" s="79" t="str">
        <f>IFERROR(TP_DATA[[#This Row],[Bottom '[m']]]-TP_DATA[[#This Row],[D, top '[m']]], "")</f>
        <v/>
      </c>
      <c r="BC117" s="79" t="str">
        <f>IFERROR(-(TP_DATA[[#This Row],[D, bottom '[m']]]-TP_DATA[[#This Row],[D, top '[m']]])/(TP_DATA[[#This Row],[Bottom '[m']]]-TP_DATA[[#This Row],[Top '[m']]]),"")</f>
        <v/>
      </c>
      <c r="BD117" s="79" t="str">
        <f t="shared" si="7"/>
        <v/>
      </c>
      <c r="BE117" s="79" t="str">
        <f>IFERROR((TP_DATA[[#This Row],[D, bottom '[m']]]+TP_DATA[[#This Row],[D, top '[m']]])/(2*TP_DATA[[#This Row],[t '[mm']]]/1000),"")</f>
        <v/>
      </c>
      <c r="BF117" s="79" t="str">
        <f>IFERROR((TP_DATA[[#This Row],[D, bottom '[m']]]+#REF!)/(2*#REF!/1000),"")</f>
        <v/>
      </c>
      <c r="CP117" s="126">
        <v>87</v>
      </c>
      <c r="CQ117" s="120">
        <v>25.010999999999999</v>
      </c>
      <c r="CR117" s="120">
        <v>22.119999999999997</v>
      </c>
      <c r="CS117" s="120">
        <v>7.5</v>
      </c>
      <c r="CT117" s="120">
        <v>7.5</v>
      </c>
      <c r="CU117" s="120">
        <v>70</v>
      </c>
      <c r="CV117" s="79">
        <f>IFERROR(TOWER_DATA[[#This Row],[Top '[m']]]-TOWER_DATA[[#This Row],[Bottom '[m']]], "")</f>
        <v>2.8910000000000018</v>
      </c>
      <c r="CW117" s="79">
        <f>IFERROR(-(TOWER_DATA[[#This Row],[D, bottom '[m']]]-TOWER_DATA[[#This Row],[D, top '[m']]])/(TOWER_DATA[[#This Row],[Bottom '[m']]]-TOWER_DATA[[#This Row],[Top '[m']]]),"")</f>
        <v>0</v>
      </c>
      <c r="CX117" s="79">
        <f t="shared" si="6"/>
        <v>37.081259324081437</v>
      </c>
      <c r="CY117" s="79">
        <f>IFERROR((TOWER_DATA[[#This Row],[D, bottom '[m']]]+TOWER_DATA[[#This Row],[D, top '[m']]])/(2*TOWER_DATA[[#This Row],[t '[mm']]]/1000),"")</f>
        <v>107.14285714285714</v>
      </c>
      <c r="CZ117" s="79" t="str">
        <f>IFERROR((TOWER_DATA[[#This Row],[D, bottom '[m']]]+#REF!)/(2*#REF!/1000),"")</f>
        <v/>
      </c>
      <c r="DA117" s="100"/>
      <c r="DB117" s="100"/>
      <c r="DC117" s="100"/>
      <c r="DD117" s="100"/>
      <c r="DE117" s="100"/>
      <c r="DF117" s="100"/>
      <c r="DG117" s="100"/>
      <c r="DH117" s="100"/>
      <c r="DI117" s="100"/>
      <c r="DK117" s="77">
        <v>87</v>
      </c>
      <c r="DL117" s="77">
        <v>25.010999999999999</v>
      </c>
      <c r="DM117" s="77">
        <v>22.119999999999997</v>
      </c>
      <c r="DN117" s="77">
        <v>7.5</v>
      </c>
      <c r="DO117" s="77">
        <v>7.5</v>
      </c>
      <c r="DP117" s="77">
        <v>70</v>
      </c>
      <c r="DR117" s="77"/>
      <c r="DS117" s="77"/>
      <c r="DT117" s="77"/>
      <c r="DU117" s="77"/>
      <c r="DV117" s="77"/>
      <c r="DW117" s="77"/>
      <c r="DX117" s="77"/>
      <c r="DY117" s="77"/>
      <c r="DZ117" s="77"/>
      <c r="EQ117" s="79" t="str">
        <f t="shared" si="8"/>
        <v/>
      </c>
      <c r="ER117" s="79"/>
    </row>
    <row r="118" spans="2:148" x14ac:dyDescent="0.3">
      <c r="B118" s="79"/>
      <c r="D118" s="79"/>
      <c r="F118" s="79"/>
      <c r="H118" s="79" t="str">
        <f>IFERROR(MP_DATA[[#This Row],[Bottom '[m']]]-MP_DATA[[#This Row],[D, top '[m']]], "")</f>
        <v/>
      </c>
      <c r="I118" t="str">
        <f>IFERROR(-(MP_DATA[[#This Row],[D, bottom '[m']]]-MP_DATA[[#This Row],[D, top '[m']]])/(MP_DATA[[#This Row],[Bottom '[m']]]-MP_DATA[[#This Row],[Top '[m']]]),"")</f>
        <v/>
      </c>
      <c r="J118" s="79" t="str">
        <f t="shared" si="4"/>
        <v/>
      </c>
      <c r="K118" s="79" t="str">
        <f>IFERROR((MP_DATA[[#This Row],[D, bottom '[m']]]+MP_DATA[[#This Row],[D, top '[m']]])/(2*MP_DATA[[#This Row],[t '[mm']]]/1000),"")</f>
        <v/>
      </c>
      <c r="L118" s="79" t="str">
        <f>IFERROR((MP_DATA[[#This Row],[D, bottom '[m']]]+#REF!)/(2*#REF!/1000),"")</f>
        <v/>
      </c>
      <c r="BB118" s="79" t="str">
        <f>IFERROR(TP_DATA[[#This Row],[Bottom '[m']]]-TP_DATA[[#This Row],[D, top '[m']]], "")</f>
        <v/>
      </c>
      <c r="BC118" s="79" t="str">
        <f>IFERROR(-(TP_DATA[[#This Row],[D, bottom '[m']]]-TP_DATA[[#This Row],[D, top '[m']]])/(TP_DATA[[#This Row],[Bottom '[m']]]-TP_DATA[[#This Row],[Top '[m']]]),"")</f>
        <v/>
      </c>
      <c r="BD118" s="79" t="str">
        <f t="shared" si="7"/>
        <v/>
      </c>
      <c r="BE118" s="79" t="str">
        <f>IFERROR((TP_DATA[[#This Row],[D, bottom '[m']]]+TP_DATA[[#This Row],[D, top '[m']]])/(2*TP_DATA[[#This Row],[t '[mm']]]/1000),"")</f>
        <v/>
      </c>
      <c r="BF118" s="79" t="str">
        <f>IFERROR((TP_DATA[[#This Row],[D, bottom '[m']]]+#REF!)/(2*#REF!/1000),"")</f>
        <v/>
      </c>
      <c r="CP118" s="126">
        <v>88</v>
      </c>
      <c r="CQ118" s="120">
        <v>22.119999999999997</v>
      </c>
      <c r="CR118" s="120">
        <v>21.139999999999997</v>
      </c>
      <c r="CS118" s="120">
        <v>7.5</v>
      </c>
      <c r="CT118" s="120">
        <v>7.5</v>
      </c>
      <c r="CU118" s="120">
        <v>70</v>
      </c>
      <c r="CV118" s="79">
        <f>IFERROR(TOWER_DATA[[#This Row],[Top '[m']]]-TOWER_DATA[[#This Row],[Bottom '[m']]], "")</f>
        <v>0.98000000000000043</v>
      </c>
      <c r="CW118" s="79">
        <f>IFERROR(-(TOWER_DATA[[#This Row],[D, bottom '[m']]]-TOWER_DATA[[#This Row],[D, top '[m']]])/(TOWER_DATA[[#This Row],[Bottom '[m']]]-TOWER_DATA[[#This Row],[Top '[m']]]),"")</f>
        <v>0</v>
      </c>
      <c r="CX118" s="79">
        <f t="shared" si="6"/>
        <v>12.569918414942858</v>
      </c>
      <c r="CY118" s="79">
        <f>IFERROR((TOWER_DATA[[#This Row],[D, bottom '[m']]]+TOWER_DATA[[#This Row],[D, top '[m']]])/(2*TOWER_DATA[[#This Row],[t '[mm']]]/1000),"")</f>
        <v>107.14285714285714</v>
      </c>
      <c r="CZ118" s="79" t="str">
        <f>IFERROR((TOWER_DATA[[#This Row],[D, bottom '[m']]]+#REF!)/(2*#REF!/1000),"")</f>
        <v/>
      </c>
      <c r="DA118" s="100"/>
      <c r="DB118" s="100"/>
      <c r="DC118" s="100"/>
      <c r="DD118" s="100"/>
      <c r="DE118" s="100"/>
      <c r="DF118" s="100"/>
      <c r="DG118" s="100"/>
      <c r="DH118" s="100"/>
      <c r="DI118" s="100"/>
      <c r="DK118" s="77">
        <v>88</v>
      </c>
      <c r="DL118" s="77">
        <v>22.119999999999997</v>
      </c>
      <c r="DM118" s="77">
        <v>21.139999999999997</v>
      </c>
      <c r="DN118" s="77">
        <v>7.5</v>
      </c>
      <c r="DO118" s="77">
        <v>7.5</v>
      </c>
      <c r="DP118" s="77">
        <v>70</v>
      </c>
      <c r="DR118" s="77"/>
      <c r="DS118" s="77"/>
      <c r="DT118" s="77"/>
      <c r="DU118" s="77"/>
      <c r="DV118" s="77"/>
      <c r="DW118" s="77"/>
      <c r="DX118" s="77"/>
      <c r="DY118" s="77"/>
      <c r="DZ118" s="77"/>
      <c r="EQ118" s="79" t="str">
        <f t="shared" si="8"/>
        <v/>
      </c>
      <c r="ER118" s="79"/>
    </row>
    <row r="119" spans="2:148" x14ac:dyDescent="0.3">
      <c r="B119" s="79"/>
      <c r="D119" s="79"/>
      <c r="F119" s="79"/>
      <c r="H119" s="79" t="str">
        <f>IFERROR(MP_DATA[[#This Row],[Bottom '[m']]]-MP_DATA[[#This Row],[D, top '[m']]], "")</f>
        <v/>
      </c>
      <c r="I119" t="str">
        <f>IFERROR(-(MP_DATA[[#This Row],[D, bottom '[m']]]-MP_DATA[[#This Row],[D, top '[m']]])/(MP_DATA[[#This Row],[Bottom '[m']]]-MP_DATA[[#This Row],[Top '[m']]]),"")</f>
        <v/>
      </c>
      <c r="J119" s="79" t="str">
        <f t="shared" si="4"/>
        <v/>
      </c>
      <c r="K119" s="79" t="str">
        <f>IFERROR((MP_DATA[[#This Row],[D, bottom '[m']]]+MP_DATA[[#This Row],[D, top '[m']]])/(2*MP_DATA[[#This Row],[t '[mm']]]/1000),"")</f>
        <v/>
      </c>
      <c r="L119" t="str">
        <f>IFERROR((MP_DATA[[#This Row],[D, bottom '[m']]]+#REF!)/(2*#REF!/1000),"")</f>
        <v/>
      </c>
      <c r="BB119" s="79" t="str">
        <f>IFERROR(TP_DATA[[#This Row],[Bottom '[m']]]-TP_DATA[[#This Row],[D, top '[m']]], "")</f>
        <v/>
      </c>
      <c r="BC119" s="79" t="str">
        <f>IFERROR(-(TP_DATA[[#This Row],[D, bottom '[m']]]-TP_DATA[[#This Row],[D, top '[m']]])/(TP_DATA[[#This Row],[Bottom '[m']]]-TP_DATA[[#This Row],[Top '[m']]]),"")</f>
        <v/>
      </c>
      <c r="BD119" s="79" t="str">
        <f t="shared" si="7"/>
        <v/>
      </c>
      <c r="BE119" s="79" t="str">
        <f>IFERROR((TP_DATA[[#This Row],[D, bottom '[m']]]+TP_DATA[[#This Row],[D, top '[m']]])/(2*TP_DATA[[#This Row],[t '[mm']]]/1000),"")</f>
        <v/>
      </c>
      <c r="BF119" t="str">
        <f>IFERROR((TP_DATA[[#This Row],[D, bottom '[m']]]+#REF!)/(2*#REF!/1000),"")</f>
        <v/>
      </c>
      <c r="CP119" s="126">
        <v>89</v>
      </c>
      <c r="CQ119" s="120">
        <v>21.139999999999997</v>
      </c>
      <c r="CR119" s="120">
        <v>21.08</v>
      </c>
      <c r="CS119" s="120">
        <v>7.5</v>
      </c>
      <c r="CT119" s="120">
        <v>7.5</v>
      </c>
      <c r="CU119" s="120">
        <v>70</v>
      </c>
      <c r="CV119" s="79">
        <f>IFERROR(TOWER_DATA[[#This Row],[Top '[m']]]-TOWER_DATA[[#This Row],[Bottom '[m']]], "")</f>
        <v>5.9999999999998721E-2</v>
      </c>
      <c r="CW119" s="79">
        <f>IFERROR(-(TOWER_DATA[[#This Row],[D, bottom '[m']]]-TOWER_DATA[[#This Row],[D, top '[m']]])/(TOWER_DATA[[#This Row],[Bottom '[m']]]-TOWER_DATA[[#This Row],[Top '[m']]]),"")</f>
        <v>0</v>
      </c>
      <c r="CX119" s="79">
        <f t="shared" si="6"/>
        <v>0.76958684173117875</v>
      </c>
      <c r="CY119" s="79">
        <f>IFERROR((TOWER_DATA[[#This Row],[D, bottom '[m']]]+TOWER_DATA[[#This Row],[D, top '[m']]])/(2*TOWER_DATA[[#This Row],[t '[mm']]]/1000),"")</f>
        <v>107.14285714285714</v>
      </c>
      <c r="CZ119" t="str">
        <f>IFERROR((TOWER_DATA[[#This Row],[D, bottom '[m']]]+#REF!)/(2*#REF!/1000),"")</f>
        <v/>
      </c>
      <c r="DA119" s="100"/>
      <c r="DB119" s="100"/>
      <c r="DC119" s="100"/>
      <c r="DD119" s="100"/>
      <c r="DE119" s="100"/>
      <c r="DF119" s="100"/>
      <c r="DG119" s="100"/>
      <c r="DH119" s="100"/>
      <c r="DI119" s="100"/>
      <c r="DK119" s="77">
        <v>89</v>
      </c>
      <c r="DL119" s="77">
        <v>21.139999999999997</v>
      </c>
      <c r="DM119" s="77">
        <v>21.08</v>
      </c>
      <c r="DN119" s="77">
        <v>7.5</v>
      </c>
      <c r="DO119" s="77">
        <v>7.5</v>
      </c>
      <c r="DP119" s="77">
        <v>70</v>
      </c>
      <c r="DR119" s="77"/>
      <c r="DS119" s="77"/>
      <c r="DT119" s="77"/>
      <c r="DU119" s="77"/>
      <c r="DV119" s="77"/>
      <c r="DW119" s="77"/>
      <c r="DX119" s="77"/>
      <c r="DY119" s="77"/>
      <c r="DZ119" s="77"/>
      <c r="EQ119" s="79" t="str">
        <f t="shared" si="8"/>
        <v/>
      </c>
      <c r="ER119" s="79"/>
    </row>
    <row r="120" spans="2:148" x14ac:dyDescent="0.3">
      <c r="B120" s="79"/>
      <c r="D120" s="79"/>
      <c r="F120" s="79"/>
      <c r="H120" s="79" t="str">
        <f>IFERROR(MP_DATA[[#This Row],[Bottom '[m']]]-MP_DATA[[#This Row],[D, top '[m']]], "")</f>
        <v/>
      </c>
      <c r="I120" t="str">
        <f>IFERROR(-(MP_DATA[[#This Row],[D, bottom '[m']]]-MP_DATA[[#This Row],[D, top '[m']]])/(MP_DATA[[#This Row],[Bottom '[m']]]-MP_DATA[[#This Row],[Top '[m']]]),"")</f>
        <v/>
      </c>
      <c r="J120" s="79" t="str">
        <f t="shared" si="4"/>
        <v/>
      </c>
      <c r="K120" s="79" t="str">
        <f>IFERROR((MP_DATA[[#This Row],[D, bottom '[m']]]+MP_DATA[[#This Row],[D, top '[m']]])/(2*MP_DATA[[#This Row],[t '[mm']]]/1000),"")</f>
        <v/>
      </c>
      <c r="L120" t="str">
        <f>IFERROR((MP_DATA[[#This Row],[D, bottom '[m']]]+#REF!)/(2*#REF!/1000),"")</f>
        <v/>
      </c>
      <c r="BB120" s="79" t="str">
        <f>IFERROR(TP_DATA[[#This Row],[Bottom '[m']]]-TP_DATA[[#This Row],[D, top '[m']]], "")</f>
        <v/>
      </c>
      <c r="BC120" s="79" t="str">
        <f>IFERROR(-(TP_DATA[[#This Row],[D, bottom '[m']]]-TP_DATA[[#This Row],[D, top '[m']]])/(TP_DATA[[#This Row],[Bottom '[m']]]-TP_DATA[[#This Row],[Top '[m']]]),"")</f>
        <v/>
      </c>
      <c r="BD120" s="79" t="str">
        <f t="shared" si="7"/>
        <v/>
      </c>
      <c r="BE120" s="79" t="str">
        <f>IFERROR((TP_DATA[[#This Row],[D, bottom '[m']]]+TP_DATA[[#This Row],[D, top '[m']]])/(2*TP_DATA[[#This Row],[t '[mm']]]/1000),"")</f>
        <v/>
      </c>
      <c r="BF120" t="str">
        <f>IFERROR((TP_DATA[[#This Row],[D, bottom '[m']]]+#REF!)/(2*#REF!/1000),"")</f>
        <v/>
      </c>
      <c r="CP120" s="126">
        <v>90</v>
      </c>
      <c r="CQ120" s="120">
        <v>21.08</v>
      </c>
      <c r="CR120" s="120">
        <v>20.9</v>
      </c>
      <c r="CS120" s="120">
        <v>7.5</v>
      </c>
      <c r="CT120" s="120">
        <v>7.5</v>
      </c>
      <c r="CU120" s="120">
        <v>70</v>
      </c>
      <c r="CV120" s="79">
        <f>IFERROR(TOWER_DATA[[#This Row],[Top '[m']]]-TOWER_DATA[[#This Row],[Bottom '[m']]], "")</f>
        <v>0.17999999999999972</v>
      </c>
      <c r="CW120" s="79">
        <f>IFERROR(-(TOWER_DATA[[#This Row],[D, bottom '[m']]]-TOWER_DATA[[#This Row],[D, top '[m']]])/(TOWER_DATA[[#This Row],[Bottom '[m']]]-TOWER_DATA[[#This Row],[Top '[m']]]),"")</f>
        <v>0</v>
      </c>
      <c r="CX120" s="79">
        <f t="shared" si="6"/>
        <v>2.3087605251935819</v>
      </c>
      <c r="CY120" s="79">
        <f>IFERROR((TOWER_DATA[[#This Row],[D, bottom '[m']]]+TOWER_DATA[[#This Row],[D, top '[m']]])/(2*TOWER_DATA[[#This Row],[t '[mm']]]/1000),"")</f>
        <v>107.14285714285714</v>
      </c>
      <c r="CZ120" t="str">
        <f>IFERROR((TOWER_DATA[[#This Row],[D, bottom '[m']]]+#REF!)/(2*#REF!/1000),"")</f>
        <v/>
      </c>
      <c r="DA120" s="100"/>
      <c r="DB120" s="100"/>
      <c r="DC120" s="100"/>
      <c r="DD120" s="100"/>
      <c r="DE120" s="100"/>
      <c r="DF120" s="100"/>
      <c r="DG120" s="100"/>
      <c r="DH120" s="100"/>
      <c r="DI120" s="100"/>
      <c r="DK120" s="77">
        <v>90</v>
      </c>
      <c r="DL120" s="77">
        <v>21.08</v>
      </c>
      <c r="DM120" s="77">
        <v>20.9</v>
      </c>
      <c r="DN120" s="77">
        <v>7.5</v>
      </c>
      <c r="DO120" s="77">
        <v>7.5</v>
      </c>
      <c r="DP120" s="77">
        <v>70</v>
      </c>
      <c r="DR120" s="77"/>
      <c r="DS120" s="77"/>
      <c r="DT120" s="77"/>
      <c r="DU120" s="77"/>
      <c r="DV120" s="77"/>
      <c r="DW120" s="77"/>
      <c r="DX120" s="77"/>
      <c r="DY120" s="77"/>
      <c r="DZ120" s="77"/>
      <c r="EQ120" s="79" t="str">
        <f t="shared" si="8"/>
        <v/>
      </c>
      <c r="ER120" s="79"/>
    </row>
    <row r="121" spans="2:148" x14ac:dyDescent="0.3">
      <c r="B121" s="79"/>
      <c r="D121" s="79"/>
      <c r="F121" s="79"/>
      <c r="H121" s="79" t="str">
        <f>IFERROR(MP_DATA[[#This Row],[Bottom '[m']]]-MP_DATA[[#This Row],[D, top '[m']]], "")</f>
        <v/>
      </c>
      <c r="I121" t="str">
        <f>IFERROR(-(MP_DATA[[#This Row],[D, bottom '[m']]]-MP_DATA[[#This Row],[D, top '[m']]])/(MP_DATA[[#This Row],[Bottom '[m']]]-MP_DATA[[#This Row],[Top '[m']]]),"")</f>
        <v/>
      </c>
      <c r="J121" s="79" t="str">
        <f t="shared" si="4"/>
        <v/>
      </c>
      <c r="K121" s="79" t="str">
        <f>IFERROR((MP_DATA[[#This Row],[D, bottom '[m']]]+MP_DATA[[#This Row],[D, top '[m']]])/(2*MP_DATA[[#This Row],[t '[mm']]]/1000),"")</f>
        <v/>
      </c>
      <c r="L121" t="str">
        <f>IFERROR((MP_DATA[[#This Row],[D, bottom '[m']]]+#REF!)/(2*#REF!/1000),"")</f>
        <v/>
      </c>
      <c r="BB121" s="79" t="str">
        <f>IFERROR(TP_DATA[[#This Row],[Bottom '[m']]]-TP_DATA[[#This Row],[D, top '[m']]], "")</f>
        <v/>
      </c>
      <c r="BC121" s="79" t="str">
        <f>IFERROR(-(TP_DATA[[#This Row],[D, bottom '[m']]]-TP_DATA[[#This Row],[D, top '[m']]])/(TP_DATA[[#This Row],[Bottom '[m']]]-TP_DATA[[#This Row],[Top '[m']]]),"")</f>
        <v/>
      </c>
      <c r="BD121" s="79" t="str">
        <f t="shared" si="7"/>
        <v/>
      </c>
      <c r="BE121" s="79" t="str">
        <f>IFERROR((TP_DATA[[#This Row],[D, bottom '[m']]]+TP_DATA[[#This Row],[D, top '[m']]])/(2*TP_DATA[[#This Row],[t '[mm']]]/1000),"")</f>
        <v/>
      </c>
      <c r="BF121" t="str">
        <f>IFERROR((TP_DATA[[#This Row],[D, bottom '[m']]]+#REF!)/(2*#REF!/1000),"")</f>
        <v/>
      </c>
      <c r="CV121" s="79" t="str">
        <f>IFERROR(TOWER_DATA[[#This Row],[Top '[m']]]-TOWER_DATA[[#This Row],[Bottom '[m']]], "")</f>
        <v/>
      </c>
      <c r="CW121" s="79" t="str">
        <f>IFERROR(-(TOWER_DATA[[#This Row],[D, bottom '[m']]]-TOWER_DATA[[#This Row],[D, top '[m']]])/(TOWER_DATA[[#This Row],[Bottom '[m']]]-TOWER_DATA[[#This Row],[Top '[m']]]),"")</f>
        <v/>
      </c>
      <c r="CX121" s="79" t="str">
        <f t="shared" ref="CX121:CX145" si="9">IF(7850/1000*(1/3)*PI()*ABS(CQ121-CR121)*((CS121/2)^2+(CS121/2)*(CT121/2)+(CT121/2)^2-(CS121/2-CU121/1000)^2-(CS121/2-CU121/1000)*(CT121/2-CU121/1000)-(CT121/2-CU121/1000)^2)=0,"",7850/1000*(1/3)*PI()*ABS(CQ121-CR121)*((CS121/2)^2+(CS121/2)*(CT121/2)+(CT121/2)^2-(CS121/2-CU121/1000)^2-(CS121/2-CU121/1000)*(CT121/2-CU121/1000)-(CT121/2-CU121/1000)^2))</f>
        <v/>
      </c>
      <c r="CY121" s="79" t="str">
        <f>IFERROR((TOWER_DATA[[#This Row],[D, bottom '[m']]]+TOWER_DATA[[#This Row],[D, top '[m']]])/(2*TOWER_DATA[[#This Row],[t '[mm']]]/1000),"")</f>
        <v/>
      </c>
      <c r="CZ121" t="str">
        <f>IFERROR((TOWER_DATA[[#This Row],[D, bottom '[m']]]+#REF!)/(2*#REF!/1000),"")</f>
        <v/>
      </c>
      <c r="DA121" s="100"/>
      <c r="DB121" s="100"/>
      <c r="DC121" s="100"/>
      <c r="DD121" s="100"/>
      <c r="DE121" s="100"/>
      <c r="DF121" s="100"/>
      <c r="DG121" s="100"/>
      <c r="DH121" s="100"/>
      <c r="DI121" s="100"/>
      <c r="DR121" s="77"/>
      <c r="DS121" s="77"/>
      <c r="DT121" s="77"/>
      <c r="DU121" s="77"/>
      <c r="DV121" s="77"/>
      <c r="DW121" s="77"/>
      <c r="DX121" s="77"/>
      <c r="DY121" s="77"/>
      <c r="DZ121" s="77"/>
      <c r="EQ121" s="79" t="str">
        <f t="shared" si="8"/>
        <v/>
      </c>
      <c r="ER121" s="79"/>
    </row>
    <row r="122" spans="2:148" x14ac:dyDescent="0.3">
      <c r="B122" s="79"/>
      <c r="C122" s="79"/>
      <c r="D122" s="79"/>
      <c r="E122" s="79"/>
      <c r="F122" s="79"/>
      <c r="G122" s="79"/>
      <c r="H122" s="79" t="str">
        <f>IFERROR(MP_DATA[[#This Row],[Bottom '[m']]]-MP_DATA[[#This Row],[D, top '[m']]], "")</f>
        <v/>
      </c>
      <c r="I122" s="79" t="str">
        <f>IFERROR(-(MP_DATA[[#This Row],[D, bottom '[m']]]-MP_DATA[[#This Row],[D, top '[m']]])/(MP_DATA[[#This Row],[Bottom '[m']]]-MP_DATA[[#This Row],[Top '[m']]]),"")</f>
        <v/>
      </c>
      <c r="J122" s="79" t="str">
        <f t="shared" si="4"/>
        <v/>
      </c>
      <c r="K122" s="79" t="str">
        <f>IFERROR((MP_DATA[[#This Row],[D, bottom '[m']]]+MP_DATA[[#This Row],[D, top '[m']]])/(2*MP_DATA[[#This Row],[t '[mm']]]/1000),"")</f>
        <v/>
      </c>
      <c r="L122" t="str">
        <f>IFERROR((MP_DATA[[#This Row],[D, bottom '[m']]]+#REF!)/(2*#REF!/1000),"")</f>
        <v/>
      </c>
      <c r="BB122" s="79" t="str">
        <f>IFERROR(TP_DATA[[#This Row],[Bottom '[m']]]-TP_DATA[[#This Row],[D, top '[m']]], "")</f>
        <v/>
      </c>
      <c r="BC122" s="79" t="str">
        <f>IFERROR(-(TP_DATA[[#This Row],[D, bottom '[m']]]-TP_DATA[[#This Row],[D, top '[m']]])/(TP_DATA[[#This Row],[Bottom '[m']]]-TP_DATA[[#This Row],[Top '[m']]]),"")</f>
        <v/>
      </c>
      <c r="BD122" s="79" t="str">
        <f t="shared" si="7"/>
        <v/>
      </c>
      <c r="BE122" s="79" t="str">
        <f>IFERROR((TP_DATA[[#This Row],[D, bottom '[m']]]+TP_DATA[[#This Row],[D, top '[m']]])/(2*TP_DATA[[#This Row],[t '[mm']]]/1000),"")</f>
        <v/>
      </c>
      <c r="BF122" t="str">
        <f>IFERROR((TP_DATA[[#This Row],[D, bottom '[m']]]+#REF!)/(2*#REF!/1000),"")</f>
        <v/>
      </c>
      <c r="CV122" s="79" t="str">
        <f>IFERROR(TOWER_DATA[[#This Row],[Top '[m']]]-TOWER_DATA[[#This Row],[Bottom '[m']]], "")</f>
        <v/>
      </c>
      <c r="CW122" s="79" t="str">
        <f>IFERROR(-(TOWER_DATA[[#This Row],[D, bottom '[m']]]-TOWER_DATA[[#This Row],[D, top '[m']]])/(TOWER_DATA[[#This Row],[Bottom '[m']]]-TOWER_DATA[[#This Row],[Top '[m']]]),"")</f>
        <v/>
      </c>
      <c r="CX122" s="79" t="str">
        <f t="shared" si="9"/>
        <v/>
      </c>
      <c r="CY122" s="79" t="str">
        <f>IFERROR((TOWER_DATA[[#This Row],[D, bottom '[m']]]+TOWER_DATA[[#This Row],[D, top '[m']]])/(2*TOWER_DATA[[#This Row],[t '[mm']]]/1000),"")</f>
        <v/>
      </c>
      <c r="CZ122" t="str">
        <f>IFERROR((TOWER_DATA[[#This Row],[D, bottom '[m']]]+#REF!)/(2*#REF!/1000),"")</f>
        <v/>
      </c>
      <c r="DA122" s="100"/>
      <c r="DB122" s="100"/>
      <c r="DC122" s="100"/>
      <c r="DD122" s="100"/>
      <c r="DE122" s="100"/>
      <c r="DF122" s="100"/>
      <c r="DG122" s="100"/>
      <c r="DH122" s="100"/>
      <c r="DI122" s="100"/>
      <c r="DR122" s="77"/>
      <c r="DS122" s="77"/>
      <c r="DT122" s="77"/>
      <c r="DU122" s="77"/>
      <c r="DV122" s="77"/>
      <c r="DW122" s="77"/>
      <c r="DX122" s="77"/>
      <c r="DY122" s="77"/>
      <c r="DZ122" s="77"/>
      <c r="EQ122" s="79" t="str">
        <f t="shared" si="8"/>
        <v/>
      </c>
      <c r="ER122" s="79"/>
    </row>
    <row r="123" spans="2:148" x14ac:dyDescent="0.3">
      <c r="B123" s="79"/>
      <c r="C123" s="79"/>
      <c r="D123" s="79"/>
      <c r="E123" s="79"/>
      <c r="F123" s="79"/>
      <c r="G123" s="79"/>
      <c r="H123" s="79" t="str">
        <f>IFERROR(MP_DATA[[#This Row],[Bottom '[m']]]-MP_DATA[[#This Row],[D, top '[m']]], "")</f>
        <v/>
      </c>
      <c r="I123" s="79" t="str">
        <f>IFERROR(-(MP_DATA[[#This Row],[D, bottom '[m']]]-MP_DATA[[#This Row],[D, top '[m']]])/(MP_DATA[[#This Row],[Bottom '[m']]]-MP_DATA[[#This Row],[Top '[m']]]),"")</f>
        <v/>
      </c>
      <c r="J123" s="79" t="str">
        <f t="shared" si="4"/>
        <v/>
      </c>
      <c r="K123" s="79" t="str">
        <f>IFERROR((MP_DATA[[#This Row],[D, bottom '[m']]]+MP_DATA[[#This Row],[D, top '[m']]])/(2*MP_DATA[[#This Row],[t '[mm']]]/1000),"")</f>
        <v/>
      </c>
      <c r="L123" t="str">
        <f>IFERROR((MP_DATA[[#This Row],[D, bottom '[m']]]+#REF!)/(2*#REF!/1000),"")</f>
        <v/>
      </c>
      <c r="BB123" s="79" t="str">
        <f>IFERROR(TP_DATA[[#This Row],[Bottom '[m']]]-TP_DATA[[#This Row],[D, top '[m']]], "")</f>
        <v/>
      </c>
      <c r="BC123" s="79" t="str">
        <f>IFERROR(-(TP_DATA[[#This Row],[D, bottom '[m']]]-TP_DATA[[#This Row],[D, top '[m']]])/(TP_DATA[[#This Row],[Bottom '[m']]]-TP_DATA[[#This Row],[Top '[m']]]),"")</f>
        <v/>
      </c>
      <c r="BD123" s="79" t="str">
        <f t="shared" si="7"/>
        <v/>
      </c>
      <c r="BE123" s="79" t="str">
        <f>IFERROR((TP_DATA[[#This Row],[D, bottom '[m']]]+TP_DATA[[#This Row],[D, top '[m']]])/(2*TP_DATA[[#This Row],[t '[mm']]]/1000),"")</f>
        <v/>
      </c>
      <c r="BF123" t="str">
        <f>IFERROR((TP_DATA[[#This Row],[D, bottom '[m']]]+#REF!)/(2*#REF!/1000),"")</f>
        <v/>
      </c>
      <c r="CV123" s="79" t="str">
        <f>IFERROR(TOWER_DATA[[#This Row],[Top '[m']]]-TOWER_DATA[[#This Row],[Bottom '[m']]], "")</f>
        <v/>
      </c>
      <c r="CW123" s="79" t="str">
        <f>IFERROR(-(TOWER_DATA[[#This Row],[D, bottom '[m']]]-TOWER_DATA[[#This Row],[D, top '[m']]])/(TOWER_DATA[[#This Row],[Bottom '[m']]]-TOWER_DATA[[#This Row],[Top '[m']]]),"")</f>
        <v/>
      </c>
      <c r="CX123" s="79" t="str">
        <f t="shared" si="9"/>
        <v/>
      </c>
      <c r="CY123" s="79" t="str">
        <f>IFERROR((TOWER_DATA[[#This Row],[D, bottom '[m']]]+TOWER_DATA[[#This Row],[D, top '[m']]])/(2*TOWER_DATA[[#This Row],[t '[mm']]]/1000),"")</f>
        <v/>
      </c>
      <c r="CZ123" t="str">
        <f>IFERROR((TOWER_DATA[[#This Row],[D, bottom '[m']]]+#REF!)/(2*#REF!/1000),"")</f>
        <v/>
      </c>
      <c r="DA123" s="100"/>
      <c r="DB123" s="100"/>
      <c r="DC123" s="100"/>
      <c r="DD123" s="100"/>
      <c r="DE123" s="100"/>
      <c r="DF123" s="100"/>
      <c r="DG123" s="100"/>
      <c r="DH123" s="100"/>
      <c r="DI123" s="100"/>
      <c r="DR123" s="77"/>
      <c r="DS123" s="77"/>
      <c r="DT123" s="77"/>
      <c r="DU123" s="77"/>
      <c r="DV123" s="77"/>
      <c r="DW123" s="77"/>
      <c r="DX123" s="77"/>
      <c r="DY123" s="77"/>
      <c r="DZ123" s="77"/>
      <c r="EQ123" s="79" t="str">
        <f t="shared" si="8"/>
        <v/>
      </c>
      <c r="ER123" s="79"/>
    </row>
    <row r="124" spans="2:148" x14ac:dyDescent="0.3">
      <c r="B124" s="79"/>
      <c r="C124" s="79"/>
      <c r="D124" s="79"/>
      <c r="E124" s="79"/>
      <c r="F124" s="79"/>
      <c r="G124" s="79"/>
      <c r="H124" s="79" t="str">
        <f>IFERROR(MP_DATA[[#This Row],[Bottom '[m']]]-MP_DATA[[#This Row],[D, top '[m']]], "")</f>
        <v/>
      </c>
      <c r="I124" s="79" t="str">
        <f>IFERROR(-(MP_DATA[[#This Row],[D, bottom '[m']]]-MP_DATA[[#This Row],[D, top '[m']]])/(MP_DATA[[#This Row],[Bottom '[m']]]-MP_DATA[[#This Row],[Top '[m']]]),"")</f>
        <v/>
      </c>
      <c r="J124" s="79" t="str">
        <f t="shared" si="4"/>
        <v/>
      </c>
      <c r="K124" s="79" t="str">
        <f>IFERROR((MP_DATA[[#This Row],[D, bottom '[m']]]+MP_DATA[[#This Row],[D, top '[m']]])/(2*MP_DATA[[#This Row],[t '[mm']]]/1000),"")</f>
        <v/>
      </c>
      <c r="L124" t="str">
        <f>IFERROR((MP_DATA[[#This Row],[D, bottom '[m']]]+#REF!)/(2*#REF!/1000),"")</f>
        <v/>
      </c>
      <c r="BB124" s="79" t="str">
        <f>IFERROR(TP_DATA[[#This Row],[Bottom '[m']]]-TP_DATA[[#This Row],[D, top '[m']]], "")</f>
        <v/>
      </c>
      <c r="BC124" s="79" t="str">
        <f>IFERROR(-(TP_DATA[[#This Row],[D, bottom '[m']]]-TP_DATA[[#This Row],[D, top '[m']]])/(TP_DATA[[#This Row],[Bottom '[m']]]-TP_DATA[[#This Row],[Top '[m']]]),"")</f>
        <v/>
      </c>
      <c r="BD124" s="79" t="str">
        <f t="shared" si="7"/>
        <v/>
      </c>
      <c r="BE124" s="79" t="str">
        <f>IFERROR((TP_DATA[[#This Row],[D, bottom '[m']]]+TP_DATA[[#This Row],[D, top '[m']]])/(2*TP_DATA[[#This Row],[t '[mm']]]/1000),"")</f>
        <v/>
      </c>
      <c r="BF124" t="str">
        <f>IFERROR((TP_DATA[[#This Row],[D, bottom '[m']]]+#REF!)/(2*#REF!/1000),"")</f>
        <v/>
      </c>
      <c r="CV124" s="79" t="str">
        <f>IFERROR(TOWER_DATA[[#This Row],[Top '[m']]]-TOWER_DATA[[#This Row],[Bottom '[m']]], "")</f>
        <v/>
      </c>
      <c r="CW124" s="79" t="str">
        <f>IFERROR(-(TOWER_DATA[[#This Row],[D, bottom '[m']]]-TOWER_DATA[[#This Row],[D, top '[m']]])/(TOWER_DATA[[#This Row],[Bottom '[m']]]-TOWER_DATA[[#This Row],[Top '[m']]]),"")</f>
        <v/>
      </c>
      <c r="CX124" s="79" t="str">
        <f t="shared" si="9"/>
        <v/>
      </c>
      <c r="CY124" s="79" t="str">
        <f>IFERROR((TOWER_DATA[[#This Row],[D, bottom '[m']]]+TOWER_DATA[[#This Row],[D, top '[m']]])/(2*TOWER_DATA[[#This Row],[t '[mm']]]/1000),"")</f>
        <v/>
      </c>
      <c r="CZ124" t="str">
        <f>IFERROR((TOWER_DATA[[#This Row],[D, bottom '[m']]]+#REF!)/(2*#REF!/1000),"")</f>
        <v/>
      </c>
      <c r="DA124" s="100"/>
      <c r="DB124" s="100"/>
      <c r="DC124" s="100"/>
      <c r="DD124" s="100"/>
      <c r="DE124" s="100"/>
      <c r="DF124" s="100"/>
      <c r="DG124" s="100"/>
      <c r="DH124" s="100"/>
      <c r="DI124" s="100"/>
      <c r="DR124" s="77"/>
      <c r="DS124" s="77"/>
      <c r="DT124" s="77"/>
      <c r="DU124" s="77"/>
      <c r="DV124" s="77"/>
      <c r="DW124" s="77"/>
      <c r="DX124" s="77"/>
      <c r="DY124" s="77"/>
      <c r="DZ124" s="77"/>
      <c r="EQ124" s="79" t="str">
        <f t="shared" si="8"/>
        <v/>
      </c>
      <c r="ER124" s="79"/>
    </row>
    <row r="125" spans="2:148" x14ac:dyDescent="0.3">
      <c r="B125" s="79"/>
      <c r="C125" s="79"/>
      <c r="D125" s="79"/>
      <c r="E125" s="79"/>
      <c r="F125" s="79"/>
      <c r="G125" s="79"/>
      <c r="H125" s="79" t="str">
        <f>IFERROR(MP_DATA[[#This Row],[Bottom '[m']]]-MP_DATA[[#This Row],[D, top '[m']]], "")</f>
        <v/>
      </c>
      <c r="I125" s="79" t="str">
        <f>IFERROR(-(MP_DATA[[#This Row],[D, bottom '[m']]]-MP_DATA[[#This Row],[D, top '[m']]])/(MP_DATA[[#This Row],[Bottom '[m']]]-MP_DATA[[#This Row],[Top '[m']]]),"")</f>
        <v/>
      </c>
      <c r="J125" s="79" t="str">
        <f t="shared" si="4"/>
        <v/>
      </c>
      <c r="K125" s="79" t="str">
        <f>IFERROR((MP_DATA[[#This Row],[D, bottom '[m']]]+MP_DATA[[#This Row],[D, top '[m']]])/(2*MP_DATA[[#This Row],[t '[mm']]]/1000),"")</f>
        <v/>
      </c>
      <c r="BB125" s="79" t="str">
        <f>IFERROR(TP_DATA[[#This Row],[Bottom '[m']]]-TP_DATA[[#This Row],[D, top '[m']]], "")</f>
        <v/>
      </c>
      <c r="BC125" s="79" t="str">
        <f>IFERROR(-(TP_DATA[[#This Row],[D, bottom '[m']]]-TP_DATA[[#This Row],[D, top '[m']]])/(TP_DATA[[#This Row],[Bottom '[m']]]-TP_DATA[[#This Row],[Top '[m']]]),"")</f>
        <v/>
      </c>
      <c r="BD125" s="79" t="str">
        <f t="shared" si="7"/>
        <v/>
      </c>
      <c r="BE125" s="79" t="str">
        <f>IFERROR((TP_DATA[[#This Row],[D, bottom '[m']]]+TP_DATA[[#This Row],[D, top '[m']]])/(2*TP_DATA[[#This Row],[t '[mm']]]/1000),"")</f>
        <v/>
      </c>
      <c r="CV125" s="79" t="str">
        <f>IFERROR(TOWER_DATA[[#This Row],[Top '[m']]]-TOWER_DATA[[#This Row],[Bottom '[m']]], "")</f>
        <v/>
      </c>
      <c r="CW125" s="79" t="str">
        <f>IFERROR(-(TOWER_DATA[[#This Row],[D, bottom '[m']]]-TOWER_DATA[[#This Row],[D, top '[m']]])/(TOWER_DATA[[#This Row],[Bottom '[m']]]-TOWER_DATA[[#This Row],[Top '[m']]]),"")</f>
        <v/>
      </c>
      <c r="CX125" s="79" t="str">
        <f t="shared" si="9"/>
        <v/>
      </c>
      <c r="CY125" s="79" t="str">
        <f>IFERROR((TOWER_DATA[[#This Row],[D, bottom '[m']]]+TOWER_DATA[[#This Row],[D, top '[m']]])/(2*TOWER_DATA[[#This Row],[t '[mm']]]/1000),"")</f>
        <v/>
      </c>
      <c r="DA125" s="100"/>
      <c r="DB125" s="100"/>
      <c r="DC125" s="100"/>
      <c r="DD125" s="100"/>
      <c r="DE125" s="100"/>
      <c r="DF125" s="100"/>
      <c r="DG125" s="100"/>
      <c r="DH125" s="100"/>
      <c r="DI125" s="100"/>
      <c r="DR125" s="77"/>
      <c r="DS125" s="77"/>
      <c r="DT125" s="77"/>
      <c r="DU125" s="77"/>
      <c r="DV125" s="77"/>
      <c r="DW125" s="77"/>
      <c r="DX125" s="77"/>
      <c r="DY125" s="77"/>
      <c r="DZ125" s="77"/>
      <c r="EQ125" s="79" t="str">
        <f t="shared" si="8"/>
        <v/>
      </c>
      <c r="ER125" s="79"/>
    </row>
    <row r="126" spans="2:148" x14ac:dyDescent="0.3">
      <c r="B126" s="79"/>
      <c r="C126" s="79"/>
      <c r="D126" s="79"/>
      <c r="E126" s="79"/>
      <c r="F126" s="79"/>
      <c r="G126" s="79"/>
      <c r="H126" s="79" t="str">
        <f>IFERROR(MP_DATA[[#This Row],[Bottom '[m']]]-MP_DATA[[#This Row],[D, top '[m']]], "")</f>
        <v/>
      </c>
      <c r="I126" s="79" t="str">
        <f>IFERROR(-(MP_DATA[[#This Row],[D, bottom '[m']]]-MP_DATA[[#This Row],[D, top '[m']]])/(MP_DATA[[#This Row],[Bottom '[m']]]-MP_DATA[[#This Row],[Top '[m']]]),"")</f>
        <v/>
      </c>
      <c r="J126" s="79" t="str">
        <f t="shared" ref="J126:J143" si="10">IF(7850/1000*(1/3)*PI()*ABS(C185-D185)*((E185/2)^2+(E185/2)*(F185/2)+(F185/2)^2-(E185/2-G185/1000)^2-(E185/2-G185/1000)*(F185/2-G185/1000)-(F185/2-G185/1000)^2)=0,"",7850/1000*(1/3)*PI()*ABS(C185-D185)*((E185/2)^2+(E185/2)*(F185/2)+(F185/2)^2-(E185/2-G185/1000)^2-(E185/2-G185/1000)*(F185/2-G185/1000)-(F185/2-G185/1000)^2))</f>
        <v/>
      </c>
      <c r="K126" s="79" t="str">
        <f>IFERROR((MP_DATA[[#This Row],[D, bottom '[m']]]+MP_DATA[[#This Row],[D, top '[m']]])/(2*MP_DATA[[#This Row],[t '[mm']]]/1000),"")</f>
        <v/>
      </c>
      <c r="BB126" s="79" t="str">
        <f>IFERROR(TP_DATA[[#This Row],[Bottom '[m']]]-TP_DATA[[#This Row],[D, top '[m']]], "")</f>
        <v/>
      </c>
      <c r="BC126" s="79" t="str">
        <f>IFERROR(-(TP_DATA[[#This Row],[D, bottom '[m']]]-TP_DATA[[#This Row],[D, top '[m']]])/(TP_DATA[[#This Row],[Bottom '[m']]]-TP_DATA[[#This Row],[Top '[m']]]),"")</f>
        <v/>
      </c>
      <c r="BD126" s="79" t="str">
        <f t="shared" si="7"/>
        <v/>
      </c>
      <c r="BE126" s="79" t="str">
        <f>IFERROR((TP_DATA[[#This Row],[D, bottom '[m']]]+TP_DATA[[#This Row],[D, top '[m']]])/(2*TP_DATA[[#This Row],[t '[mm']]]/1000),"")</f>
        <v/>
      </c>
      <c r="CV126" s="79" t="str">
        <f>IFERROR(TOWER_DATA[[#This Row],[Top '[m']]]-TOWER_DATA[[#This Row],[Bottom '[m']]], "")</f>
        <v/>
      </c>
      <c r="CW126" s="79" t="str">
        <f>IFERROR(-(TOWER_DATA[[#This Row],[D, bottom '[m']]]-TOWER_DATA[[#This Row],[D, top '[m']]])/(TOWER_DATA[[#This Row],[Bottom '[m']]]-TOWER_DATA[[#This Row],[Top '[m']]]),"")</f>
        <v/>
      </c>
      <c r="CX126" s="79" t="str">
        <f t="shared" si="9"/>
        <v/>
      </c>
      <c r="CY126" s="79" t="str">
        <f>IFERROR((TOWER_DATA[[#This Row],[D, bottom '[m']]]+TOWER_DATA[[#This Row],[D, top '[m']]])/(2*TOWER_DATA[[#This Row],[t '[mm']]]/1000),"")</f>
        <v/>
      </c>
      <c r="DA126" s="100"/>
      <c r="DB126" s="100"/>
      <c r="DC126" s="100"/>
      <c r="DD126" s="100"/>
      <c r="DE126" s="100"/>
      <c r="DF126" s="100"/>
      <c r="DG126" s="100"/>
      <c r="DH126" s="100"/>
      <c r="DI126" s="100"/>
      <c r="DR126" s="77"/>
      <c r="DS126" s="77"/>
      <c r="DT126" s="77"/>
      <c r="DU126" s="77"/>
      <c r="DV126" s="77"/>
      <c r="DW126" s="77"/>
      <c r="DX126" s="77"/>
      <c r="DY126" s="77"/>
      <c r="DZ126" s="77"/>
      <c r="EQ126" s="79" t="str">
        <f t="shared" si="8"/>
        <v/>
      </c>
      <c r="ER126" s="79"/>
    </row>
    <row r="127" spans="2:148" x14ac:dyDescent="0.3">
      <c r="B127" s="79"/>
      <c r="C127" s="79"/>
      <c r="D127" s="79"/>
      <c r="E127" s="79"/>
      <c r="F127" s="79"/>
      <c r="G127" s="79"/>
      <c r="H127" s="79" t="str">
        <f>IFERROR(MP_DATA[[#This Row],[Bottom '[m']]]-MP_DATA[[#This Row],[D, top '[m']]], "")</f>
        <v/>
      </c>
      <c r="I127" s="79" t="str">
        <f>IFERROR(-(MP_DATA[[#This Row],[D, bottom '[m']]]-MP_DATA[[#This Row],[D, top '[m']]])/(MP_DATA[[#This Row],[Bottom '[m']]]-MP_DATA[[#This Row],[Top '[m']]]),"")</f>
        <v/>
      </c>
      <c r="J127" s="79" t="str">
        <f t="shared" si="10"/>
        <v/>
      </c>
      <c r="K127" s="79" t="str">
        <f>IFERROR((MP_DATA[[#This Row],[D, bottom '[m']]]+MP_DATA[[#This Row],[D, top '[m']]])/(2*MP_DATA[[#This Row],[t '[mm']]]/1000),"")</f>
        <v/>
      </c>
      <c r="BB127" s="79" t="str">
        <f>IFERROR(TP_DATA[[#This Row],[Bottom '[m']]]-TP_DATA[[#This Row],[D, top '[m']]], "")</f>
        <v/>
      </c>
      <c r="BC127" s="79" t="str">
        <f>IFERROR(-(TP_DATA[[#This Row],[D, bottom '[m']]]-TP_DATA[[#This Row],[D, top '[m']]])/(TP_DATA[[#This Row],[Bottom '[m']]]-TP_DATA[[#This Row],[Top '[m']]]),"")</f>
        <v/>
      </c>
      <c r="BD127" s="79" t="str">
        <f t="shared" si="7"/>
        <v/>
      </c>
      <c r="BE127" s="79" t="str">
        <f>IFERROR((TP_DATA[[#This Row],[D, bottom '[m']]]+TP_DATA[[#This Row],[D, top '[m']]])/(2*TP_DATA[[#This Row],[t '[mm']]]/1000),"")</f>
        <v/>
      </c>
      <c r="CV127" s="79" t="str">
        <f>IFERROR(TOWER_DATA[[#This Row],[Top '[m']]]-TOWER_DATA[[#This Row],[Bottom '[m']]], "")</f>
        <v/>
      </c>
      <c r="CW127" s="79" t="str">
        <f>IFERROR(-(TOWER_DATA[[#This Row],[D, bottom '[m']]]-TOWER_DATA[[#This Row],[D, top '[m']]])/(TOWER_DATA[[#This Row],[Bottom '[m']]]-TOWER_DATA[[#This Row],[Top '[m']]]),"")</f>
        <v/>
      </c>
      <c r="CX127" s="79" t="str">
        <f t="shared" si="9"/>
        <v/>
      </c>
      <c r="CY127" s="79" t="str">
        <f>IFERROR((TOWER_DATA[[#This Row],[D, bottom '[m']]]+TOWER_DATA[[#This Row],[D, top '[m']]])/(2*TOWER_DATA[[#This Row],[t '[mm']]]/1000),"")</f>
        <v/>
      </c>
      <c r="DA127" s="100"/>
      <c r="DB127" s="100"/>
      <c r="DC127" s="100"/>
      <c r="DD127" s="100"/>
      <c r="DE127" s="100"/>
      <c r="DF127" s="100"/>
      <c r="DG127" s="100"/>
      <c r="DH127" s="100"/>
      <c r="DI127" s="100"/>
      <c r="DR127" s="77"/>
      <c r="DS127" s="77"/>
      <c r="DT127" s="77"/>
      <c r="DU127" s="77"/>
      <c r="DV127" s="77"/>
      <c r="DW127" s="77"/>
      <c r="DX127" s="77"/>
      <c r="DY127" s="77"/>
      <c r="DZ127" s="77"/>
      <c r="EQ127" s="79" t="str">
        <f t="shared" si="8"/>
        <v/>
      </c>
      <c r="ER127" s="79"/>
    </row>
    <row r="128" spans="2:148" x14ac:dyDescent="0.3">
      <c r="B128" s="79"/>
      <c r="C128" s="79"/>
      <c r="D128" s="79"/>
      <c r="E128" s="79"/>
      <c r="F128" s="79"/>
      <c r="G128" s="79"/>
      <c r="H128" s="79" t="str">
        <f>IFERROR(MP_DATA[[#This Row],[Bottom '[m']]]-MP_DATA[[#This Row],[D, top '[m']]], "")</f>
        <v/>
      </c>
      <c r="I128" s="79" t="str">
        <f>IFERROR(-(MP_DATA[[#This Row],[D, bottom '[m']]]-MP_DATA[[#This Row],[D, top '[m']]])/(MP_DATA[[#This Row],[Bottom '[m']]]-MP_DATA[[#This Row],[Top '[m']]]),"")</f>
        <v/>
      </c>
      <c r="J128" s="79" t="str">
        <f t="shared" si="10"/>
        <v/>
      </c>
      <c r="K128" s="79" t="str">
        <f>IFERROR((MP_DATA[[#This Row],[D, bottom '[m']]]+MP_DATA[[#This Row],[D, top '[m']]])/(2*MP_DATA[[#This Row],[t '[mm']]]/1000),"")</f>
        <v/>
      </c>
      <c r="BB128" s="79" t="str">
        <f>IFERROR(TP_DATA[[#This Row],[Bottom '[m']]]-TP_DATA[[#This Row],[D, top '[m']]], "")</f>
        <v/>
      </c>
      <c r="BC128" s="79" t="str">
        <f>IFERROR(-(TP_DATA[[#This Row],[D, bottom '[m']]]-TP_DATA[[#This Row],[D, top '[m']]])/(TP_DATA[[#This Row],[Bottom '[m']]]-TP_DATA[[#This Row],[Top '[m']]]),"")</f>
        <v/>
      </c>
      <c r="BD128" s="79" t="str">
        <f t="shared" si="7"/>
        <v/>
      </c>
      <c r="BE128" s="79" t="str">
        <f>IFERROR((TP_DATA[[#This Row],[D, bottom '[m']]]+TP_DATA[[#This Row],[D, top '[m']]])/(2*TP_DATA[[#This Row],[t '[mm']]]/1000),"")</f>
        <v/>
      </c>
      <c r="CV128" s="79" t="str">
        <f>IFERROR(TOWER_DATA[[#This Row],[Top '[m']]]-TOWER_DATA[[#This Row],[Bottom '[m']]], "")</f>
        <v/>
      </c>
      <c r="CW128" s="79" t="str">
        <f>IFERROR(-(TOWER_DATA[[#This Row],[D, bottom '[m']]]-TOWER_DATA[[#This Row],[D, top '[m']]])/(TOWER_DATA[[#This Row],[Bottom '[m']]]-TOWER_DATA[[#This Row],[Top '[m']]]),"")</f>
        <v/>
      </c>
      <c r="CX128" s="79" t="str">
        <f t="shared" si="9"/>
        <v/>
      </c>
      <c r="CY128" s="79" t="str">
        <f>IFERROR((TOWER_DATA[[#This Row],[D, bottom '[m']]]+TOWER_DATA[[#This Row],[D, top '[m']]])/(2*TOWER_DATA[[#This Row],[t '[mm']]]/1000),"")</f>
        <v/>
      </c>
      <c r="DA128" s="100"/>
      <c r="DB128" s="100"/>
      <c r="DC128" s="100"/>
      <c r="DD128" s="100"/>
      <c r="DE128" s="100"/>
      <c r="DF128" s="100"/>
      <c r="DG128" s="100"/>
      <c r="DH128" s="100"/>
      <c r="DI128" s="100"/>
      <c r="DR128" s="77"/>
      <c r="DS128" s="77"/>
      <c r="DT128" s="77"/>
      <c r="DU128" s="77"/>
      <c r="DV128" s="77"/>
      <c r="DW128" s="77"/>
      <c r="DX128" s="77"/>
      <c r="DY128" s="77"/>
      <c r="DZ128" s="77"/>
      <c r="EQ128" s="79" t="str">
        <f t="shared" si="8"/>
        <v/>
      </c>
      <c r="ER128" s="79"/>
    </row>
    <row r="129" spans="2:148" x14ac:dyDescent="0.3">
      <c r="B129" s="79"/>
      <c r="C129" s="79"/>
      <c r="D129" s="79"/>
      <c r="E129" s="79"/>
      <c r="F129" s="79"/>
      <c r="G129" s="79"/>
      <c r="H129" s="79" t="str">
        <f>IFERROR(MP_DATA[[#This Row],[Bottom '[m']]]-MP_DATA[[#This Row],[D, top '[m']]], "")</f>
        <v/>
      </c>
      <c r="I129" s="79" t="str">
        <f>IFERROR(-(MP_DATA[[#This Row],[D, bottom '[m']]]-MP_DATA[[#This Row],[D, top '[m']]])/(MP_DATA[[#This Row],[Bottom '[m']]]-MP_DATA[[#This Row],[Top '[m']]]),"")</f>
        <v/>
      </c>
      <c r="J129" s="79" t="str">
        <f t="shared" si="10"/>
        <v/>
      </c>
      <c r="K129" s="79" t="str">
        <f>IFERROR((MP_DATA[[#This Row],[D, bottom '[m']]]+MP_DATA[[#This Row],[D, top '[m']]])/(2*MP_DATA[[#This Row],[t '[mm']]]/1000),"")</f>
        <v/>
      </c>
      <c r="BB129" s="79" t="str">
        <f>IFERROR(TP_DATA[[#This Row],[Bottom '[m']]]-TP_DATA[[#This Row],[D, top '[m']]], "")</f>
        <v/>
      </c>
      <c r="BC129" s="79" t="str">
        <f>IFERROR(-(TP_DATA[[#This Row],[D, bottom '[m']]]-TP_DATA[[#This Row],[D, top '[m']]])/(TP_DATA[[#This Row],[Bottom '[m']]]-TP_DATA[[#This Row],[Top '[m']]]),"")</f>
        <v/>
      </c>
      <c r="BD129" s="79" t="str">
        <f t="shared" si="7"/>
        <v/>
      </c>
      <c r="BE129" s="79" t="str">
        <f>IFERROR((TP_DATA[[#This Row],[D, bottom '[m']]]+TP_DATA[[#This Row],[D, top '[m']]])/(2*TP_DATA[[#This Row],[t '[mm']]]/1000),"")</f>
        <v/>
      </c>
      <c r="CV129" s="79" t="str">
        <f>IFERROR(TOWER_DATA[[#This Row],[Top '[m']]]-TOWER_DATA[[#This Row],[Bottom '[m']]], "")</f>
        <v/>
      </c>
      <c r="CW129" s="79" t="str">
        <f>IFERROR(-(TOWER_DATA[[#This Row],[D, bottom '[m']]]-TOWER_DATA[[#This Row],[D, top '[m']]])/(TOWER_DATA[[#This Row],[Bottom '[m']]]-TOWER_DATA[[#This Row],[Top '[m']]]),"")</f>
        <v/>
      </c>
      <c r="CX129" s="79" t="str">
        <f t="shared" si="9"/>
        <v/>
      </c>
      <c r="CY129" s="79" t="str">
        <f>IFERROR((TOWER_DATA[[#This Row],[D, bottom '[m']]]+TOWER_DATA[[#This Row],[D, top '[m']]])/(2*TOWER_DATA[[#This Row],[t '[mm']]]/1000),"")</f>
        <v/>
      </c>
      <c r="DA129" s="100"/>
      <c r="DB129" s="100"/>
      <c r="DC129" s="100"/>
      <c r="DD129" s="100"/>
      <c r="DE129" s="100"/>
      <c r="DF129" s="100"/>
      <c r="DG129" s="100"/>
      <c r="DH129" s="100"/>
      <c r="DI129" s="100"/>
      <c r="DR129" s="77"/>
      <c r="DS129" s="77"/>
      <c r="DT129" s="77"/>
      <c r="DU129" s="77"/>
      <c r="DV129" s="77"/>
      <c r="DW129" s="77"/>
      <c r="DX129" s="77"/>
      <c r="DY129" s="77"/>
      <c r="DZ129" s="77"/>
      <c r="EQ129" s="79" t="str">
        <f t="shared" si="8"/>
        <v/>
      </c>
      <c r="ER129" s="79"/>
    </row>
    <row r="130" spans="2:148" x14ac:dyDescent="0.3">
      <c r="B130" s="79"/>
      <c r="C130" s="79"/>
      <c r="D130" s="79"/>
      <c r="E130" s="79"/>
      <c r="F130" s="79"/>
      <c r="G130" s="79"/>
      <c r="H130" s="79" t="str">
        <f>IFERROR(MP_DATA[[#This Row],[Bottom '[m']]]-MP_DATA[[#This Row],[D, top '[m']]], "")</f>
        <v/>
      </c>
      <c r="I130" s="79" t="str">
        <f>IFERROR(-(MP_DATA[[#This Row],[D, bottom '[m']]]-MP_DATA[[#This Row],[D, top '[m']]])/(MP_DATA[[#This Row],[Bottom '[m']]]-MP_DATA[[#This Row],[Top '[m']]]),"")</f>
        <v/>
      </c>
      <c r="J130" s="79" t="str">
        <f t="shared" si="10"/>
        <v/>
      </c>
      <c r="K130" s="79" t="str">
        <f>IFERROR((MP_DATA[[#This Row],[D, bottom '[m']]]+MP_DATA[[#This Row],[D, top '[m']]])/(2*MP_DATA[[#This Row],[t '[mm']]]/1000),"")</f>
        <v/>
      </c>
      <c r="BB130" s="79" t="str">
        <f>IFERROR(TP_DATA[[#This Row],[Bottom '[m']]]-TP_DATA[[#This Row],[D, top '[m']]], "")</f>
        <v/>
      </c>
      <c r="BC130" s="79" t="str">
        <f>IFERROR(-(TP_DATA[[#This Row],[D, bottom '[m']]]-TP_DATA[[#This Row],[D, top '[m']]])/(TP_DATA[[#This Row],[Bottom '[m']]]-TP_DATA[[#This Row],[Top '[m']]]),"")</f>
        <v/>
      </c>
      <c r="BD130" s="79" t="str">
        <f t="shared" si="7"/>
        <v/>
      </c>
      <c r="BE130" s="79" t="str">
        <f>IFERROR((TP_DATA[[#This Row],[D, bottom '[m']]]+TP_DATA[[#This Row],[D, top '[m']]])/(2*TP_DATA[[#This Row],[t '[mm']]]/1000),"")</f>
        <v/>
      </c>
      <c r="CV130" s="79" t="str">
        <f>IFERROR(TOWER_DATA[[#This Row],[Top '[m']]]-TOWER_DATA[[#This Row],[Bottom '[m']]], "")</f>
        <v/>
      </c>
      <c r="CW130" s="79" t="str">
        <f>IFERROR(-(TOWER_DATA[[#This Row],[D, bottom '[m']]]-TOWER_DATA[[#This Row],[D, top '[m']]])/(TOWER_DATA[[#This Row],[Bottom '[m']]]-TOWER_DATA[[#This Row],[Top '[m']]]),"")</f>
        <v/>
      </c>
      <c r="CX130" s="79" t="str">
        <f t="shared" si="9"/>
        <v/>
      </c>
      <c r="CY130" s="79" t="str">
        <f>IFERROR((TOWER_DATA[[#This Row],[D, bottom '[m']]]+TOWER_DATA[[#This Row],[D, top '[m']]])/(2*TOWER_DATA[[#This Row],[t '[mm']]]/1000),"")</f>
        <v/>
      </c>
      <c r="DA130" s="100"/>
      <c r="DB130" s="100"/>
      <c r="DC130" s="100"/>
      <c r="DD130" s="100"/>
      <c r="DE130" s="100"/>
      <c r="DF130" s="100"/>
      <c r="DG130" s="100"/>
      <c r="DH130" s="100"/>
      <c r="DI130" s="100"/>
      <c r="DR130" s="77"/>
      <c r="DS130" s="77"/>
      <c r="DT130" s="77"/>
      <c r="DU130" s="77"/>
      <c r="DV130" s="77"/>
      <c r="DW130" s="77"/>
      <c r="DX130" s="77"/>
      <c r="DY130" s="77"/>
      <c r="DZ130" s="77"/>
      <c r="EQ130" s="79" t="str">
        <f t="shared" si="8"/>
        <v/>
      </c>
      <c r="ER130" s="79"/>
    </row>
    <row r="131" spans="2:148" x14ac:dyDescent="0.3">
      <c r="B131" s="79"/>
      <c r="D131" s="79"/>
      <c r="F131" s="79"/>
      <c r="H131" s="79" t="str">
        <f>IFERROR(MP_DATA[[#This Row],[Bottom '[m']]]-MP_DATA[[#This Row],[D, top '[m']]], "")</f>
        <v/>
      </c>
      <c r="I131" t="str">
        <f>IFERROR(-(MP_DATA[[#This Row],[D, bottom '[m']]]-MP_DATA[[#This Row],[D, top '[m']]])/(MP_DATA[[#This Row],[Bottom '[m']]]-MP_DATA[[#This Row],[Top '[m']]]),"")</f>
        <v/>
      </c>
      <c r="J131" s="79" t="str">
        <f t="shared" si="10"/>
        <v/>
      </c>
      <c r="K131" s="79" t="str">
        <f>IFERROR((MP_DATA[[#This Row],[D, bottom '[m']]]+MP_DATA[[#This Row],[D, top '[m']]])/(2*MP_DATA[[#This Row],[t '[mm']]]/1000),"")</f>
        <v/>
      </c>
      <c r="BB131" s="79" t="str">
        <f>IFERROR(TP_DATA[[#This Row],[Bottom '[m']]]-TP_DATA[[#This Row],[D, top '[m']]], "")</f>
        <v/>
      </c>
      <c r="BC131" s="79" t="str">
        <f>IFERROR(-(TP_DATA[[#This Row],[D, bottom '[m']]]-TP_DATA[[#This Row],[D, top '[m']]])/(TP_DATA[[#This Row],[Bottom '[m']]]-TP_DATA[[#This Row],[Top '[m']]]),"")</f>
        <v/>
      </c>
      <c r="BD131" s="79" t="str">
        <f t="shared" si="7"/>
        <v/>
      </c>
      <c r="BE131" s="79" t="str">
        <f>IFERROR((TP_DATA[[#This Row],[D, bottom '[m']]]+TP_DATA[[#This Row],[D, top '[m']]])/(2*TP_DATA[[#This Row],[t '[mm']]]/1000),"")</f>
        <v/>
      </c>
      <c r="CV131" s="79" t="str">
        <f>IFERROR(TOWER_DATA[[#This Row],[Top '[m']]]-TOWER_DATA[[#This Row],[Bottom '[m']]], "")</f>
        <v/>
      </c>
      <c r="CW131" s="79" t="str">
        <f>IFERROR(-(TOWER_DATA[[#This Row],[D, bottom '[m']]]-TOWER_DATA[[#This Row],[D, top '[m']]])/(TOWER_DATA[[#This Row],[Bottom '[m']]]-TOWER_DATA[[#This Row],[Top '[m']]]),"")</f>
        <v/>
      </c>
      <c r="CX131" s="79" t="str">
        <f t="shared" si="9"/>
        <v/>
      </c>
      <c r="CY131" s="79" t="str">
        <f>IFERROR((TOWER_DATA[[#This Row],[D, bottom '[m']]]+TOWER_DATA[[#This Row],[D, top '[m']]])/(2*TOWER_DATA[[#This Row],[t '[mm']]]/1000),"")</f>
        <v/>
      </c>
      <c r="DA131" s="100"/>
      <c r="DB131" s="100"/>
      <c r="DC131" s="100"/>
      <c r="DD131" s="100"/>
      <c r="DE131" s="100"/>
      <c r="DF131" s="100"/>
      <c r="DG131" s="100"/>
      <c r="DH131" s="100"/>
      <c r="DI131" s="100"/>
      <c r="DR131" s="77"/>
      <c r="DS131" s="77"/>
      <c r="DT131" s="77"/>
      <c r="DU131" s="77"/>
      <c r="DV131" s="77"/>
      <c r="DW131" s="77"/>
      <c r="DX131" s="77"/>
      <c r="DY131" s="77"/>
      <c r="DZ131" s="77"/>
      <c r="EQ131" s="79" t="str">
        <f t="shared" si="8"/>
        <v/>
      </c>
      <c r="ER131" s="79"/>
    </row>
    <row r="132" spans="2:148" x14ac:dyDescent="0.3">
      <c r="B132" s="79"/>
      <c r="D132" s="79"/>
      <c r="F132" s="79"/>
      <c r="H132" s="79" t="str">
        <f>IFERROR(MP_DATA[[#This Row],[Bottom '[m']]]-MP_DATA[[#This Row],[D, top '[m']]], "")</f>
        <v/>
      </c>
      <c r="I132" t="str">
        <f>IFERROR(-(MP_DATA[[#This Row],[D, bottom '[m']]]-MP_DATA[[#This Row],[D, top '[m']]])/(MP_DATA[[#This Row],[Bottom '[m']]]-MP_DATA[[#This Row],[Top '[m']]]),"")</f>
        <v/>
      </c>
      <c r="J132" s="79" t="str">
        <f t="shared" si="10"/>
        <v/>
      </c>
      <c r="K132" s="79" t="str">
        <f>IFERROR((MP_DATA[[#This Row],[D, bottom '[m']]]+MP_DATA[[#This Row],[D, top '[m']]])/(2*MP_DATA[[#This Row],[t '[mm']]]/1000),"")</f>
        <v/>
      </c>
      <c r="BB132" s="79" t="str">
        <f>IFERROR(TP_DATA[[#This Row],[Bottom '[m']]]-TP_DATA[[#This Row],[D, top '[m']]], "")</f>
        <v/>
      </c>
      <c r="BC132" s="79" t="str">
        <f>IFERROR(-(TP_DATA[[#This Row],[D, bottom '[m']]]-TP_DATA[[#This Row],[D, top '[m']]])/(TP_DATA[[#This Row],[Bottom '[m']]]-TP_DATA[[#This Row],[Top '[m']]]),"")</f>
        <v/>
      </c>
      <c r="BD132" s="79" t="str">
        <f t="shared" si="7"/>
        <v/>
      </c>
      <c r="BE132" s="79" t="str">
        <f>IFERROR((TP_DATA[[#This Row],[D, bottom '[m']]]+TP_DATA[[#This Row],[D, top '[m']]])/(2*TP_DATA[[#This Row],[t '[mm']]]/1000),"")</f>
        <v/>
      </c>
      <c r="CV132" s="79" t="str">
        <f>IFERROR(TOWER_DATA[[#This Row],[Top '[m']]]-TOWER_DATA[[#This Row],[Bottom '[m']]], "")</f>
        <v/>
      </c>
      <c r="CW132" s="79" t="str">
        <f>IFERROR(-(TOWER_DATA[[#This Row],[D, bottom '[m']]]-TOWER_DATA[[#This Row],[D, top '[m']]])/(TOWER_DATA[[#This Row],[Bottom '[m']]]-TOWER_DATA[[#This Row],[Top '[m']]]),"")</f>
        <v/>
      </c>
      <c r="CX132" s="79" t="str">
        <f t="shared" si="9"/>
        <v/>
      </c>
      <c r="CY132" s="79" t="str">
        <f>IFERROR((TOWER_DATA[[#This Row],[D, bottom '[m']]]+TOWER_DATA[[#This Row],[D, top '[m']]])/(2*TOWER_DATA[[#This Row],[t '[mm']]]/1000),"")</f>
        <v/>
      </c>
      <c r="DA132" s="100"/>
      <c r="DB132" s="100"/>
      <c r="DC132" s="100"/>
      <c r="DD132" s="100"/>
      <c r="DE132" s="100"/>
      <c r="DF132" s="100"/>
      <c r="DG132" s="100"/>
      <c r="DH132" s="100"/>
      <c r="DI132" s="100"/>
      <c r="DR132" s="77"/>
      <c r="DS132" s="77"/>
      <c r="DT132" s="77"/>
      <c r="DU132" s="77"/>
      <c r="DV132" s="77"/>
      <c r="DW132" s="77"/>
      <c r="DX132" s="77"/>
      <c r="DY132" s="77"/>
      <c r="DZ132" s="77"/>
      <c r="EQ132" s="79" t="str">
        <f t="shared" si="8"/>
        <v/>
      </c>
      <c r="ER132" s="79"/>
    </row>
    <row r="133" spans="2:148" x14ac:dyDescent="0.3">
      <c r="B133" s="79"/>
      <c r="D133" s="79"/>
      <c r="F133" s="79"/>
      <c r="H133" s="79" t="str">
        <f>IFERROR(MP_DATA[[#This Row],[Bottom '[m']]]-MP_DATA[[#This Row],[D, top '[m']]], "")</f>
        <v/>
      </c>
      <c r="I133" t="str">
        <f>IFERROR(-(MP_DATA[[#This Row],[D, bottom '[m']]]-MP_DATA[[#This Row],[D, top '[m']]])/(MP_DATA[[#This Row],[Bottom '[m']]]-MP_DATA[[#This Row],[Top '[m']]]),"")</f>
        <v/>
      </c>
      <c r="J133" s="79" t="str">
        <f t="shared" si="10"/>
        <v/>
      </c>
      <c r="K133" s="79" t="str">
        <f>IFERROR((MP_DATA[[#This Row],[D, bottom '[m']]]+MP_DATA[[#This Row],[D, top '[m']]])/(2*MP_DATA[[#This Row],[t '[mm']]]/1000),"")</f>
        <v/>
      </c>
      <c r="BB133" s="79" t="str">
        <f>IFERROR(TP_DATA[[#This Row],[Bottom '[m']]]-TP_DATA[[#This Row],[D, top '[m']]], "")</f>
        <v/>
      </c>
      <c r="BC133" s="79" t="str">
        <f>IFERROR(-(TP_DATA[[#This Row],[D, bottom '[m']]]-TP_DATA[[#This Row],[D, top '[m']]])/(TP_DATA[[#This Row],[Bottom '[m']]]-TP_DATA[[#This Row],[Top '[m']]]),"")</f>
        <v/>
      </c>
      <c r="BD133" s="79" t="str">
        <f t="shared" si="7"/>
        <v/>
      </c>
      <c r="BE133" s="79" t="str">
        <f>IFERROR((TP_DATA[[#This Row],[D, bottom '[m']]]+TP_DATA[[#This Row],[D, top '[m']]])/(2*TP_DATA[[#This Row],[t '[mm']]]/1000),"")</f>
        <v/>
      </c>
      <c r="CV133" s="79" t="str">
        <f>IFERROR(TOWER_DATA[[#This Row],[Top '[m']]]-TOWER_DATA[[#This Row],[Bottom '[m']]], "")</f>
        <v/>
      </c>
      <c r="CW133" s="79" t="str">
        <f>IFERROR(-(TOWER_DATA[[#This Row],[D, bottom '[m']]]-TOWER_DATA[[#This Row],[D, top '[m']]])/(TOWER_DATA[[#This Row],[Bottom '[m']]]-TOWER_DATA[[#This Row],[Top '[m']]]),"")</f>
        <v/>
      </c>
      <c r="CX133" s="79" t="str">
        <f t="shared" si="9"/>
        <v/>
      </c>
      <c r="CY133" s="79" t="str">
        <f>IFERROR((TOWER_DATA[[#This Row],[D, bottom '[m']]]+TOWER_DATA[[#This Row],[D, top '[m']]])/(2*TOWER_DATA[[#This Row],[t '[mm']]]/1000),"")</f>
        <v/>
      </c>
      <c r="DA133" s="100"/>
      <c r="DB133" s="100"/>
      <c r="DC133" s="100"/>
      <c r="DD133" s="100"/>
      <c r="DE133" s="100"/>
      <c r="DF133" s="100"/>
      <c r="DG133" s="100"/>
      <c r="DH133" s="100"/>
      <c r="DI133" s="100"/>
      <c r="DR133" s="77"/>
      <c r="DS133" s="77"/>
      <c r="DT133" s="77"/>
      <c r="DU133" s="77"/>
      <c r="DV133" s="77"/>
      <c r="DW133" s="77"/>
      <c r="DX133" s="77"/>
      <c r="DY133" s="77"/>
      <c r="DZ133" s="77"/>
      <c r="EQ133" s="79" t="str">
        <f t="shared" si="8"/>
        <v/>
      </c>
      <c r="ER133" s="79"/>
    </row>
    <row r="134" spans="2:148" x14ac:dyDescent="0.3">
      <c r="B134" s="79"/>
      <c r="D134" s="79"/>
      <c r="F134" s="79"/>
      <c r="H134" s="79" t="str">
        <f>IFERROR(MP_DATA[[#This Row],[Bottom '[m']]]-MP_DATA[[#This Row],[D, top '[m']]], "")</f>
        <v/>
      </c>
      <c r="I134" t="str">
        <f>IFERROR(-(MP_DATA[[#This Row],[D, bottom '[m']]]-MP_DATA[[#This Row],[D, top '[m']]])/(MP_DATA[[#This Row],[Bottom '[m']]]-MP_DATA[[#This Row],[Top '[m']]]),"")</f>
        <v/>
      </c>
      <c r="J134" s="79" t="str">
        <f t="shared" si="10"/>
        <v/>
      </c>
      <c r="K134" s="79" t="str">
        <f>IFERROR((MP_DATA[[#This Row],[D, bottom '[m']]]+MP_DATA[[#This Row],[D, top '[m']]])/(2*MP_DATA[[#This Row],[t '[mm']]]/1000),"")</f>
        <v/>
      </c>
      <c r="BB134" s="79" t="str">
        <f>IFERROR(TP_DATA[[#This Row],[Bottom '[m']]]-TP_DATA[[#This Row],[D, top '[m']]], "")</f>
        <v/>
      </c>
      <c r="BC134" s="79" t="str">
        <f>IFERROR(-(TP_DATA[[#This Row],[D, bottom '[m']]]-TP_DATA[[#This Row],[D, top '[m']]])/(TP_DATA[[#This Row],[Bottom '[m']]]-TP_DATA[[#This Row],[Top '[m']]]),"")</f>
        <v/>
      </c>
      <c r="BD134" s="79" t="str">
        <f t="shared" si="7"/>
        <v/>
      </c>
      <c r="BE134" s="79" t="str">
        <f>IFERROR((TP_DATA[[#This Row],[D, bottom '[m']]]+TP_DATA[[#This Row],[D, top '[m']]])/(2*TP_DATA[[#This Row],[t '[mm']]]/1000),"")</f>
        <v/>
      </c>
      <c r="CV134" s="79" t="str">
        <f>IFERROR(TOWER_DATA[[#This Row],[Top '[m']]]-TOWER_DATA[[#This Row],[Bottom '[m']]], "")</f>
        <v/>
      </c>
      <c r="CW134" s="79" t="str">
        <f>IFERROR(-(TOWER_DATA[[#This Row],[D, bottom '[m']]]-TOWER_DATA[[#This Row],[D, top '[m']]])/(TOWER_DATA[[#This Row],[Bottom '[m']]]-TOWER_DATA[[#This Row],[Top '[m']]]),"")</f>
        <v/>
      </c>
      <c r="CX134" s="79" t="str">
        <f t="shared" si="9"/>
        <v/>
      </c>
      <c r="CY134" s="79" t="str">
        <f>IFERROR((TOWER_DATA[[#This Row],[D, bottom '[m']]]+TOWER_DATA[[#This Row],[D, top '[m']]])/(2*TOWER_DATA[[#This Row],[t '[mm']]]/1000),"")</f>
        <v/>
      </c>
      <c r="DA134" s="100"/>
      <c r="DB134" s="100"/>
      <c r="DC134" s="100"/>
      <c r="DD134" s="100"/>
      <c r="DE134" s="100"/>
      <c r="DF134" s="100"/>
      <c r="DG134" s="100"/>
      <c r="DH134" s="100"/>
      <c r="DI134" s="100"/>
      <c r="EQ134" s="79" t="str">
        <f t="shared" si="8"/>
        <v/>
      </c>
      <c r="ER134" s="79"/>
    </row>
    <row r="135" spans="2:148" x14ac:dyDescent="0.3">
      <c r="B135" s="79"/>
      <c r="C135" s="79"/>
      <c r="D135" s="79"/>
      <c r="E135" s="79"/>
      <c r="F135" s="79"/>
      <c r="G135" s="79"/>
      <c r="H135" s="79" t="str">
        <f>IFERROR(MP_DATA[[#This Row],[Bottom '[m']]]-MP_DATA[[#This Row],[D, top '[m']]], "")</f>
        <v/>
      </c>
      <c r="I135" s="79" t="str">
        <f>IFERROR(-(MP_DATA[[#This Row],[D, bottom '[m']]]-MP_DATA[[#This Row],[D, top '[m']]])/(MP_DATA[[#This Row],[Bottom '[m']]]-MP_DATA[[#This Row],[Top '[m']]]),"")</f>
        <v/>
      </c>
      <c r="J135" s="79" t="str">
        <f t="shared" si="10"/>
        <v/>
      </c>
      <c r="K135" s="79" t="str">
        <f>IFERROR((MP_DATA[[#This Row],[D, bottom '[m']]]+MP_DATA[[#This Row],[D, top '[m']]])/(2*MP_DATA[[#This Row],[t '[mm']]]/1000),"")</f>
        <v/>
      </c>
      <c r="BB135" s="79" t="str">
        <f>IFERROR(TP_DATA[[#This Row],[Bottom '[m']]]-TP_DATA[[#This Row],[D, top '[m']]], "")</f>
        <v/>
      </c>
      <c r="BC135" s="79" t="str">
        <f>IFERROR(-(TP_DATA[[#This Row],[D, bottom '[m']]]-TP_DATA[[#This Row],[D, top '[m']]])/(TP_DATA[[#This Row],[Bottom '[m']]]-TP_DATA[[#This Row],[Top '[m']]]),"")</f>
        <v/>
      </c>
      <c r="BD135" s="79" t="str">
        <f t="shared" si="7"/>
        <v/>
      </c>
      <c r="BE135" s="79" t="str">
        <f>IFERROR((TP_DATA[[#This Row],[D, bottom '[m']]]+TP_DATA[[#This Row],[D, top '[m']]])/(2*TP_DATA[[#This Row],[t '[mm']]]/1000),"")</f>
        <v/>
      </c>
      <c r="CV135" s="79" t="str">
        <f>IFERROR(TOWER_DATA[[#This Row],[Top '[m']]]-TOWER_DATA[[#This Row],[Bottom '[m']]], "")</f>
        <v/>
      </c>
      <c r="CW135" s="79" t="str">
        <f>IFERROR(-(TOWER_DATA[[#This Row],[D, bottom '[m']]]-TOWER_DATA[[#This Row],[D, top '[m']]])/(TOWER_DATA[[#This Row],[Bottom '[m']]]-TOWER_DATA[[#This Row],[Top '[m']]]),"")</f>
        <v/>
      </c>
      <c r="CX135" s="79" t="str">
        <f t="shared" si="9"/>
        <v/>
      </c>
      <c r="CY135" s="79" t="str">
        <f>IFERROR((TOWER_DATA[[#This Row],[D, bottom '[m']]]+TOWER_DATA[[#This Row],[D, top '[m']]])/(2*TOWER_DATA[[#This Row],[t '[mm']]]/1000),"")</f>
        <v/>
      </c>
      <c r="DA135" s="100"/>
      <c r="DB135" s="100"/>
      <c r="DC135" s="100"/>
      <c r="DD135" s="100"/>
      <c r="DE135" s="100"/>
      <c r="DF135" s="100"/>
      <c r="DG135" s="100"/>
      <c r="DH135" s="100"/>
      <c r="DI135" s="100"/>
      <c r="EQ135" s="79" t="str">
        <f t="shared" si="8"/>
        <v/>
      </c>
      <c r="ER135" s="79"/>
    </row>
    <row r="136" spans="2:148" x14ac:dyDescent="0.3">
      <c r="B136" s="79"/>
      <c r="C136" s="79"/>
      <c r="D136" s="79"/>
      <c r="E136" s="79"/>
      <c r="F136" s="79"/>
      <c r="G136" s="79"/>
      <c r="H136" s="79" t="str">
        <f>IFERROR(MP_DATA[[#This Row],[Bottom '[m']]]-MP_DATA[[#This Row],[D, top '[m']]], "")</f>
        <v/>
      </c>
      <c r="I136" s="79" t="str">
        <f>IFERROR(-(MP_DATA[[#This Row],[D, bottom '[m']]]-MP_DATA[[#This Row],[D, top '[m']]])/(MP_DATA[[#This Row],[Bottom '[m']]]-MP_DATA[[#This Row],[Top '[m']]]),"")</f>
        <v/>
      </c>
      <c r="J136" s="79" t="str">
        <f t="shared" si="10"/>
        <v/>
      </c>
      <c r="K136" s="79" t="str">
        <f>IFERROR((MP_DATA[[#This Row],[D, bottom '[m']]]+MP_DATA[[#This Row],[D, top '[m']]])/(2*MP_DATA[[#This Row],[t '[mm']]]/1000),"")</f>
        <v/>
      </c>
      <c r="BB136" s="79" t="str">
        <f>IFERROR(TP_DATA[[#This Row],[Bottom '[m']]]-TP_DATA[[#This Row],[D, top '[m']]], "")</f>
        <v/>
      </c>
      <c r="BC136" s="79" t="str">
        <f>IFERROR(-(TP_DATA[[#This Row],[D, bottom '[m']]]-TP_DATA[[#This Row],[D, top '[m']]])/(TP_DATA[[#This Row],[Bottom '[m']]]-TP_DATA[[#This Row],[Top '[m']]]),"")</f>
        <v/>
      </c>
      <c r="BD136" s="79" t="str">
        <f t="shared" ref="BD136:BD143" si="11">IF(7850/1000*(1/3)*PI()*ABS(AW136-AX136)*((AY136/2)^2+(AY136/2)*(AZ136/2)+(AZ136/2)^2-(AY136/2-BA136/1000)^2-(AY136/2-BA136/1000)*(AZ136/2-BA136/1000)-(AZ136/2-BA136/1000)^2)=0,"",7850/1000*(1/3)*PI()*ABS(AW136-AX136)*((AY136/2)^2+(AY136/2)*(AZ136/2)+(AZ136/2)^2-(AY136/2-BA136/1000)^2-(AY136/2-BA136/1000)*(AZ136/2-BA136/1000)-(AZ136/2-BA136/1000)^2))</f>
        <v/>
      </c>
      <c r="BE136" s="79" t="str">
        <f>IFERROR((TP_DATA[[#This Row],[D, bottom '[m']]]+TP_DATA[[#This Row],[D, top '[m']]])/(2*TP_DATA[[#This Row],[t '[mm']]]/1000),"")</f>
        <v/>
      </c>
      <c r="CV136" s="79" t="str">
        <f>IFERROR(TOWER_DATA[[#This Row],[Top '[m']]]-TOWER_DATA[[#This Row],[Bottom '[m']]], "")</f>
        <v/>
      </c>
      <c r="CW136" s="79" t="str">
        <f>IFERROR(-(TOWER_DATA[[#This Row],[D, bottom '[m']]]-TOWER_DATA[[#This Row],[D, top '[m']]])/(TOWER_DATA[[#This Row],[Bottom '[m']]]-TOWER_DATA[[#This Row],[Top '[m']]]),"")</f>
        <v/>
      </c>
      <c r="CX136" s="79" t="str">
        <f t="shared" si="9"/>
        <v/>
      </c>
      <c r="CY136" s="79" t="str">
        <f>IFERROR((TOWER_DATA[[#This Row],[D, bottom '[m']]]+TOWER_DATA[[#This Row],[D, top '[m']]])/(2*TOWER_DATA[[#This Row],[t '[mm']]]/1000),"")</f>
        <v/>
      </c>
      <c r="DA136" s="100"/>
      <c r="DB136" s="100"/>
      <c r="DC136" s="100"/>
      <c r="DD136" s="100"/>
      <c r="DE136" s="100"/>
      <c r="DF136" s="100"/>
      <c r="DG136" s="100"/>
      <c r="DH136" s="100"/>
      <c r="DI136" s="100"/>
      <c r="EQ136" s="79" t="str">
        <f t="shared" si="8"/>
        <v/>
      </c>
      <c r="ER136" s="79"/>
    </row>
    <row r="137" spans="2:148" x14ac:dyDescent="0.3">
      <c r="B137" s="79"/>
      <c r="C137" s="79"/>
      <c r="D137" s="79"/>
      <c r="E137" s="79"/>
      <c r="F137" s="79"/>
      <c r="G137" s="79"/>
      <c r="H137" s="79" t="str">
        <f>IFERROR(MP_DATA[[#This Row],[Bottom '[m']]]-MP_DATA[[#This Row],[D, top '[m']]], "")</f>
        <v/>
      </c>
      <c r="I137" s="79" t="str">
        <f>IFERROR(-(MP_DATA[[#This Row],[D, bottom '[m']]]-MP_DATA[[#This Row],[D, top '[m']]])/(MP_DATA[[#This Row],[Bottom '[m']]]-MP_DATA[[#This Row],[Top '[m']]]),"")</f>
        <v/>
      </c>
      <c r="J137" s="79" t="str">
        <f t="shared" si="10"/>
        <v/>
      </c>
      <c r="K137" s="79" t="str">
        <f>IFERROR((MP_DATA[[#This Row],[D, bottom '[m']]]+MP_DATA[[#This Row],[D, top '[m']]])/(2*MP_DATA[[#This Row],[t '[mm']]]/1000),"")</f>
        <v/>
      </c>
      <c r="BB137" s="79" t="str">
        <f>IFERROR(TP_DATA[[#This Row],[Bottom '[m']]]-TP_DATA[[#This Row],[D, top '[m']]], "")</f>
        <v/>
      </c>
      <c r="BC137" s="79" t="str">
        <f>IFERROR(-(TP_DATA[[#This Row],[D, bottom '[m']]]-TP_DATA[[#This Row],[D, top '[m']]])/(TP_DATA[[#This Row],[Bottom '[m']]]-TP_DATA[[#This Row],[Top '[m']]]),"")</f>
        <v/>
      </c>
      <c r="BD137" s="79" t="str">
        <f t="shared" si="11"/>
        <v/>
      </c>
      <c r="BE137" s="79" t="str">
        <f>IFERROR((TP_DATA[[#This Row],[D, bottom '[m']]]+TP_DATA[[#This Row],[D, top '[m']]])/(2*TP_DATA[[#This Row],[t '[mm']]]/1000),"")</f>
        <v/>
      </c>
      <c r="CV137" s="79" t="str">
        <f>IFERROR(TOWER_DATA[[#This Row],[Top '[m']]]-TOWER_DATA[[#This Row],[Bottom '[m']]], "")</f>
        <v/>
      </c>
      <c r="CW137" s="79" t="str">
        <f>IFERROR(-(TOWER_DATA[[#This Row],[D, bottom '[m']]]-TOWER_DATA[[#This Row],[D, top '[m']]])/(TOWER_DATA[[#This Row],[Bottom '[m']]]-TOWER_DATA[[#This Row],[Top '[m']]]),"")</f>
        <v/>
      </c>
      <c r="CX137" s="79" t="str">
        <f t="shared" si="9"/>
        <v/>
      </c>
      <c r="CY137" s="79" t="str">
        <f>IFERROR((TOWER_DATA[[#This Row],[D, bottom '[m']]]+TOWER_DATA[[#This Row],[D, top '[m']]])/(2*TOWER_DATA[[#This Row],[t '[mm']]]/1000),"")</f>
        <v/>
      </c>
      <c r="DA137" s="100"/>
      <c r="DB137" s="100"/>
      <c r="DC137" s="100"/>
      <c r="DD137" s="100"/>
      <c r="DE137" s="100"/>
      <c r="DF137" s="100"/>
      <c r="DG137" s="100"/>
      <c r="DH137" s="100"/>
      <c r="DI137" s="100"/>
      <c r="EQ137" s="79" t="str">
        <f t="shared" ref="EQ137:EQ146" si="12">IF(7850/1000*(1/3)*PI()*ABS(EK137-EL137)*((EM137/2)^2+(EM137/2)*(EN137/2)+(EN137/2)^2-(EM137/2-EP137/1000)^2-(EM137/2-EP137/1000)*(EN137/2-EP137/1000)-(EN137/2-EP137/1000)^2)=0,"",7850/1000*(1/3)*PI()*ABS(EK137-EL137)*((EM137/2)^2+(EM137/2)*(EN137/2)+(EN137/2)^2-(EM137/2-EP137/1000)^2-(EM137/2-EP137/1000)*(EN137/2-EP137/1000)-(EN137/2-EP137/1000)^2))</f>
        <v/>
      </c>
      <c r="ER137" s="79"/>
    </row>
    <row r="138" spans="2:148" x14ac:dyDescent="0.3">
      <c r="B138" s="79"/>
      <c r="C138" s="79"/>
      <c r="D138" s="79"/>
      <c r="E138" s="79"/>
      <c r="F138" s="79"/>
      <c r="G138" s="79"/>
      <c r="H138" s="79" t="str">
        <f>IFERROR(MP_DATA[[#This Row],[Bottom '[m']]]-MP_DATA[[#This Row],[D, top '[m']]], "")</f>
        <v/>
      </c>
      <c r="I138" s="79" t="str">
        <f>IFERROR(-(MP_DATA[[#This Row],[D, bottom '[m']]]-MP_DATA[[#This Row],[D, top '[m']]])/(MP_DATA[[#This Row],[Bottom '[m']]]-MP_DATA[[#This Row],[Top '[m']]]),"")</f>
        <v/>
      </c>
      <c r="J138" s="79" t="str">
        <f t="shared" si="10"/>
        <v/>
      </c>
      <c r="K138" s="79" t="str">
        <f>IFERROR((MP_DATA[[#This Row],[D, bottom '[m']]]+MP_DATA[[#This Row],[D, top '[m']]])/(2*MP_DATA[[#This Row],[t '[mm']]]/1000),"")</f>
        <v/>
      </c>
      <c r="BB138" s="79" t="str">
        <f>IFERROR(TP_DATA[[#This Row],[Bottom '[m']]]-TP_DATA[[#This Row],[D, top '[m']]], "")</f>
        <v/>
      </c>
      <c r="BC138" s="79" t="str">
        <f>IFERROR(-(TP_DATA[[#This Row],[D, bottom '[m']]]-TP_DATA[[#This Row],[D, top '[m']]])/(TP_DATA[[#This Row],[Bottom '[m']]]-TP_DATA[[#This Row],[Top '[m']]]),"")</f>
        <v/>
      </c>
      <c r="BD138" s="79" t="str">
        <f t="shared" si="11"/>
        <v/>
      </c>
      <c r="BE138" s="79" t="str">
        <f>IFERROR((TP_DATA[[#This Row],[D, bottom '[m']]]+TP_DATA[[#This Row],[D, top '[m']]])/(2*TP_DATA[[#This Row],[t '[mm']]]/1000),"")</f>
        <v/>
      </c>
      <c r="CV138" s="79" t="str">
        <f>IFERROR(TOWER_DATA[[#This Row],[Top '[m']]]-TOWER_DATA[[#This Row],[Bottom '[m']]], "")</f>
        <v/>
      </c>
      <c r="CW138" s="79" t="str">
        <f>IFERROR(-(TOWER_DATA[[#This Row],[D, bottom '[m']]]-TOWER_DATA[[#This Row],[D, top '[m']]])/(TOWER_DATA[[#This Row],[Bottom '[m']]]-TOWER_DATA[[#This Row],[Top '[m']]]),"")</f>
        <v/>
      </c>
      <c r="CX138" s="79" t="str">
        <f t="shared" si="9"/>
        <v/>
      </c>
      <c r="CY138" s="79" t="str">
        <f>IFERROR((TOWER_DATA[[#This Row],[D, bottom '[m']]]+TOWER_DATA[[#This Row],[D, top '[m']]])/(2*TOWER_DATA[[#This Row],[t '[mm']]]/1000),"")</f>
        <v/>
      </c>
      <c r="DA138" s="100"/>
      <c r="DB138" s="100"/>
      <c r="DC138" s="100"/>
      <c r="DD138" s="100"/>
      <c r="DE138" s="100"/>
      <c r="DF138" s="100"/>
      <c r="DG138" s="100"/>
      <c r="DH138" s="100"/>
      <c r="DI138" s="100"/>
      <c r="EQ138" s="79" t="str">
        <f t="shared" si="12"/>
        <v/>
      </c>
      <c r="ER138" s="79"/>
    </row>
    <row r="139" spans="2:148" x14ac:dyDescent="0.3">
      <c r="B139" s="79"/>
      <c r="C139" s="79"/>
      <c r="D139" s="79"/>
      <c r="E139" s="79"/>
      <c r="F139" s="79"/>
      <c r="G139" s="79"/>
      <c r="H139" s="79" t="str">
        <f>IFERROR(MP_DATA[[#This Row],[Bottom '[m']]]-MP_DATA[[#This Row],[D, top '[m']]], "")</f>
        <v/>
      </c>
      <c r="I139" s="79" t="str">
        <f>IFERROR(-(MP_DATA[[#This Row],[D, bottom '[m']]]-MP_DATA[[#This Row],[D, top '[m']]])/(MP_DATA[[#This Row],[Bottom '[m']]]-MP_DATA[[#This Row],[Top '[m']]]),"")</f>
        <v/>
      </c>
      <c r="J139" s="79" t="str">
        <f t="shared" si="10"/>
        <v/>
      </c>
      <c r="K139" s="79" t="str">
        <f>IFERROR((MP_DATA[[#This Row],[D, bottom '[m']]]+MP_DATA[[#This Row],[D, top '[m']]])/(2*MP_DATA[[#This Row],[t '[mm']]]/1000),"")</f>
        <v/>
      </c>
      <c r="BB139" s="79" t="str">
        <f>IFERROR(TP_DATA[[#This Row],[Bottom '[m']]]-TP_DATA[[#This Row],[D, top '[m']]], "")</f>
        <v/>
      </c>
      <c r="BC139" s="79" t="str">
        <f>IFERROR(-(TP_DATA[[#This Row],[D, bottom '[m']]]-TP_DATA[[#This Row],[D, top '[m']]])/(TP_DATA[[#This Row],[Bottom '[m']]]-TP_DATA[[#This Row],[Top '[m']]]),"")</f>
        <v/>
      </c>
      <c r="BD139" s="79" t="str">
        <f t="shared" si="11"/>
        <v/>
      </c>
      <c r="BE139" s="79" t="str">
        <f>IFERROR((TP_DATA[[#This Row],[D, bottom '[m']]]+TP_DATA[[#This Row],[D, top '[m']]])/(2*TP_DATA[[#This Row],[t '[mm']]]/1000),"")</f>
        <v/>
      </c>
      <c r="CV139" s="79" t="str">
        <f>IFERROR(TOWER_DATA[[#This Row],[Top '[m']]]-TOWER_DATA[[#This Row],[Bottom '[m']]], "")</f>
        <v/>
      </c>
      <c r="CW139" s="79" t="str">
        <f>IFERROR(-(TOWER_DATA[[#This Row],[D, bottom '[m']]]-TOWER_DATA[[#This Row],[D, top '[m']]])/(TOWER_DATA[[#This Row],[Bottom '[m']]]-TOWER_DATA[[#This Row],[Top '[m']]]),"")</f>
        <v/>
      </c>
      <c r="CX139" s="79" t="str">
        <f t="shared" si="9"/>
        <v/>
      </c>
      <c r="CY139" s="79" t="str">
        <f>IFERROR((TOWER_DATA[[#This Row],[D, bottom '[m']]]+TOWER_DATA[[#This Row],[D, top '[m']]])/(2*TOWER_DATA[[#This Row],[t '[mm']]]/1000),"")</f>
        <v/>
      </c>
      <c r="DA139" s="100"/>
      <c r="DB139" s="100"/>
      <c r="DC139" s="100"/>
      <c r="DD139" s="100"/>
      <c r="DE139" s="100"/>
      <c r="DF139" s="100"/>
      <c r="DG139" s="100"/>
      <c r="DH139" s="100"/>
      <c r="DI139" s="100"/>
      <c r="EQ139" s="79" t="str">
        <f t="shared" si="12"/>
        <v/>
      </c>
      <c r="ER139" s="79"/>
    </row>
    <row r="140" spans="2:148" x14ac:dyDescent="0.3">
      <c r="B140" s="79"/>
      <c r="C140" s="79"/>
      <c r="D140" s="79"/>
      <c r="E140" s="79"/>
      <c r="F140" s="79"/>
      <c r="G140" s="79"/>
      <c r="H140" s="79" t="str">
        <f>IFERROR(MP_DATA[[#This Row],[Bottom '[m']]]-MP_DATA[[#This Row],[D, top '[m']]], "")</f>
        <v/>
      </c>
      <c r="I140" s="79" t="str">
        <f>IFERROR(-(MP_DATA[[#This Row],[D, bottom '[m']]]-MP_DATA[[#This Row],[D, top '[m']]])/(MP_DATA[[#This Row],[Bottom '[m']]]-MP_DATA[[#This Row],[Top '[m']]]),"")</f>
        <v/>
      </c>
      <c r="J140" s="79" t="str">
        <f t="shared" si="10"/>
        <v/>
      </c>
      <c r="K140" s="79" t="str">
        <f>IFERROR((MP_DATA[[#This Row],[D, bottom '[m']]]+MP_DATA[[#This Row],[D, top '[m']]])/(2*MP_DATA[[#This Row],[t '[mm']]]/1000),"")</f>
        <v/>
      </c>
      <c r="BB140" s="79" t="str">
        <f>IFERROR(TP_DATA[[#This Row],[Bottom '[m']]]-TP_DATA[[#This Row],[D, top '[m']]], "")</f>
        <v/>
      </c>
      <c r="BC140" s="79" t="str">
        <f>IFERROR(-(TP_DATA[[#This Row],[D, bottom '[m']]]-TP_DATA[[#This Row],[D, top '[m']]])/(TP_DATA[[#This Row],[Bottom '[m']]]-TP_DATA[[#This Row],[Top '[m']]]),"")</f>
        <v/>
      </c>
      <c r="BD140" s="79" t="str">
        <f t="shared" si="11"/>
        <v/>
      </c>
      <c r="BE140" s="79" t="str">
        <f>IFERROR((TP_DATA[[#This Row],[D, bottom '[m']]]+TP_DATA[[#This Row],[D, top '[m']]])/(2*TP_DATA[[#This Row],[t '[mm']]]/1000),"")</f>
        <v/>
      </c>
      <c r="CV140" s="79" t="str">
        <f>IFERROR(TOWER_DATA[[#This Row],[Top '[m']]]-TOWER_DATA[[#This Row],[Bottom '[m']]], "")</f>
        <v/>
      </c>
      <c r="CW140" s="79" t="str">
        <f>IFERROR(-(TOWER_DATA[[#This Row],[D, bottom '[m']]]-TOWER_DATA[[#This Row],[D, top '[m']]])/(TOWER_DATA[[#This Row],[Bottom '[m']]]-TOWER_DATA[[#This Row],[Top '[m']]]),"")</f>
        <v/>
      </c>
      <c r="CX140" s="79" t="str">
        <f t="shared" si="9"/>
        <v/>
      </c>
      <c r="CY140" s="79" t="str">
        <f>IFERROR((TOWER_DATA[[#This Row],[D, bottom '[m']]]+TOWER_DATA[[#This Row],[D, top '[m']]])/(2*TOWER_DATA[[#This Row],[t '[mm']]]/1000),"")</f>
        <v/>
      </c>
      <c r="DA140" s="100"/>
      <c r="DB140" s="100"/>
      <c r="DC140" s="100"/>
      <c r="DD140" s="100"/>
      <c r="DE140" s="100"/>
      <c r="DF140" s="100"/>
      <c r="DG140" s="100"/>
      <c r="DH140" s="100"/>
      <c r="DI140" s="100"/>
      <c r="EQ140" s="79" t="str">
        <f t="shared" si="12"/>
        <v/>
      </c>
      <c r="ER140" s="79"/>
    </row>
    <row r="141" spans="2:148" x14ac:dyDescent="0.3">
      <c r="B141" s="79"/>
      <c r="C141" s="79"/>
      <c r="D141" s="79"/>
      <c r="E141" s="79"/>
      <c r="F141" s="79"/>
      <c r="G141" s="79"/>
      <c r="H141" s="79" t="str">
        <f>IFERROR(MP_DATA[[#This Row],[Bottom '[m']]]-MP_DATA[[#This Row],[D, top '[m']]], "")</f>
        <v/>
      </c>
      <c r="I141" s="79" t="str">
        <f>IFERROR(-(MP_DATA[[#This Row],[D, bottom '[m']]]-MP_DATA[[#This Row],[D, top '[m']]])/(MP_DATA[[#This Row],[Bottom '[m']]]-MP_DATA[[#This Row],[Top '[m']]]),"")</f>
        <v/>
      </c>
      <c r="J141" s="79" t="str">
        <f t="shared" si="10"/>
        <v/>
      </c>
      <c r="K141" s="79" t="str">
        <f>IFERROR((MP_DATA[[#This Row],[D, bottom '[m']]]+MP_DATA[[#This Row],[D, top '[m']]])/(2*MP_DATA[[#This Row],[t '[mm']]]/1000),"")</f>
        <v/>
      </c>
      <c r="BB141" s="79" t="str">
        <f>IFERROR(TP_DATA[[#This Row],[Bottom '[m']]]-TP_DATA[[#This Row],[D, top '[m']]], "")</f>
        <v/>
      </c>
      <c r="BC141" s="79" t="str">
        <f>IFERROR(-(TP_DATA[[#This Row],[D, bottom '[m']]]-TP_DATA[[#This Row],[D, top '[m']]])/(TP_DATA[[#This Row],[Bottom '[m']]]-TP_DATA[[#This Row],[Top '[m']]]),"")</f>
        <v/>
      </c>
      <c r="BD141" s="79" t="str">
        <f t="shared" si="11"/>
        <v/>
      </c>
      <c r="BE141" s="79" t="str">
        <f>IFERROR((TP_DATA[[#This Row],[D, bottom '[m']]]+TP_DATA[[#This Row],[D, top '[m']]])/(2*TP_DATA[[#This Row],[t '[mm']]]/1000),"")</f>
        <v/>
      </c>
      <c r="CV141" s="79" t="str">
        <f>IFERROR(TOWER_DATA[[#This Row],[Top '[m']]]-TOWER_DATA[[#This Row],[Bottom '[m']]], "")</f>
        <v/>
      </c>
      <c r="CW141" s="79" t="str">
        <f>IFERROR(-(TOWER_DATA[[#This Row],[D, bottom '[m']]]-TOWER_DATA[[#This Row],[D, top '[m']]])/(TOWER_DATA[[#This Row],[Bottom '[m']]]-TOWER_DATA[[#This Row],[Top '[m']]]),"")</f>
        <v/>
      </c>
      <c r="CX141" s="79" t="str">
        <f t="shared" si="9"/>
        <v/>
      </c>
      <c r="CY141" s="79" t="str">
        <f>IFERROR((TOWER_DATA[[#This Row],[D, bottom '[m']]]+TOWER_DATA[[#This Row],[D, top '[m']]])/(2*TOWER_DATA[[#This Row],[t '[mm']]]/1000),"")</f>
        <v/>
      </c>
      <c r="DA141" s="100"/>
      <c r="DB141" s="100"/>
      <c r="DC141" s="100"/>
      <c r="DD141" s="100"/>
      <c r="DE141" s="100"/>
      <c r="DF141" s="100"/>
      <c r="DG141" s="100"/>
      <c r="DH141" s="100"/>
      <c r="DI141" s="100"/>
      <c r="EQ141" s="79" t="str">
        <f t="shared" si="12"/>
        <v/>
      </c>
      <c r="ER141" s="79"/>
    </row>
    <row r="142" spans="2:148" x14ac:dyDescent="0.3">
      <c r="B142" s="79"/>
      <c r="C142" s="79"/>
      <c r="D142" s="79"/>
      <c r="E142" s="79"/>
      <c r="F142" s="79"/>
      <c r="G142" s="79"/>
      <c r="H142" s="79" t="str">
        <f>IFERROR(MP_DATA[[#This Row],[Bottom '[m']]]-MP_DATA[[#This Row],[D, top '[m']]], "")</f>
        <v/>
      </c>
      <c r="I142" s="79" t="str">
        <f>IFERROR(-(MP_DATA[[#This Row],[D, bottom '[m']]]-MP_DATA[[#This Row],[D, top '[m']]])/(MP_DATA[[#This Row],[Bottom '[m']]]-MP_DATA[[#This Row],[Top '[m']]]),"")</f>
        <v/>
      </c>
      <c r="J142" s="79" t="str">
        <f t="shared" si="10"/>
        <v/>
      </c>
      <c r="K142" s="79" t="str">
        <f>IFERROR((MP_DATA[[#This Row],[D, bottom '[m']]]+MP_DATA[[#This Row],[D, top '[m']]])/(2*MP_DATA[[#This Row],[t '[mm']]]/1000),"")</f>
        <v/>
      </c>
      <c r="BB142" s="79" t="str">
        <f>IFERROR(TP_DATA[[#This Row],[Bottom '[m']]]-TP_DATA[[#This Row],[D, top '[m']]], "")</f>
        <v/>
      </c>
      <c r="BC142" s="79" t="str">
        <f>IFERROR(-(TP_DATA[[#This Row],[D, bottom '[m']]]-TP_DATA[[#This Row],[D, top '[m']]])/(TP_DATA[[#This Row],[Bottom '[m']]]-TP_DATA[[#This Row],[Top '[m']]]),"")</f>
        <v/>
      </c>
      <c r="BD142" s="79" t="str">
        <f t="shared" si="11"/>
        <v/>
      </c>
      <c r="BE142" s="79" t="str">
        <f>IFERROR((TP_DATA[[#This Row],[D, bottom '[m']]]+TP_DATA[[#This Row],[D, top '[m']]])/(2*TP_DATA[[#This Row],[t '[mm']]]/1000),"")</f>
        <v/>
      </c>
      <c r="CV142" s="79" t="str">
        <f>IFERROR(TOWER_DATA[[#This Row],[Top '[m']]]-TOWER_DATA[[#This Row],[Bottom '[m']]], "")</f>
        <v/>
      </c>
      <c r="CW142" s="79" t="str">
        <f>IFERROR(-(TOWER_DATA[[#This Row],[D, bottom '[m']]]-TOWER_DATA[[#This Row],[D, top '[m']]])/(TOWER_DATA[[#This Row],[Bottom '[m']]]-TOWER_DATA[[#This Row],[Top '[m']]]),"")</f>
        <v/>
      </c>
      <c r="CX142" s="79" t="str">
        <f t="shared" si="9"/>
        <v/>
      </c>
      <c r="CY142" s="79" t="str">
        <f>IFERROR((TOWER_DATA[[#This Row],[D, bottom '[m']]]+TOWER_DATA[[#This Row],[D, top '[m']]])/(2*TOWER_DATA[[#This Row],[t '[mm']]]/1000),"")</f>
        <v/>
      </c>
      <c r="DA142" s="100"/>
      <c r="DB142" s="100"/>
      <c r="DC142" s="100"/>
      <c r="DD142" s="100"/>
      <c r="DE142" s="100"/>
      <c r="DF142" s="100"/>
      <c r="DG142" s="100"/>
      <c r="DH142" s="100"/>
      <c r="DI142" s="100"/>
      <c r="EQ142" s="79" t="str">
        <f t="shared" si="12"/>
        <v/>
      </c>
      <c r="ER142" s="79"/>
    </row>
    <row r="143" spans="2:148" x14ac:dyDescent="0.3">
      <c r="B143" s="79"/>
      <c r="C143" s="79"/>
      <c r="D143" s="79"/>
      <c r="E143" s="79"/>
      <c r="F143" s="79"/>
      <c r="G143" s="79"/>
      <c r="H143" s="79" t="str">
        <f>IFERROR(MP_DATA[[#This Row],[Bottom '[m']]]-MP_DATA[[#This Row],[D, top '[m']]], "")</f>
        <v/>
      </c>
      <c r="I143" s="79" t="str">
        <f>IFERROR(-(MP_DATA[[#This Row],[D, bottom '[m']]]-MP_DATA[[#This Row],[D, top '[m']]])/(MP_DATA[[#This Row],[Bottom '[m']]]-MP_DATA[[#This Row],[Top '[m']]]),"")</f>
        <v/>
      </c>
      <c r="J143" s="79" t="str">
        <f t="shared" si="10"/>
        <v/>
      </c>
      <c r="K143" s="79" t="str">
        <f>IFERROR((MP_DATA[[#This Row],[D, bottom '[m']]]+MP_DATA[[#This Row],[D, top '[m']]])/(2*MP_DATA[[#This Row],[t '[mm']]]/1000),"")</f>
        <v/>
      </c>
      <c r="BB143" s="79" t="str">
        <f>IFERROR(TP_DATA[[#This Row],[Bottom '[m']]]-TP_DATA[[#This Row],[D, top '[m']]], "")</f>
        <v/>
      </c>
      <c r="BC143" s="79" t="str">
        <f>IFERROR(-(TP_DATA[[#This Row],[D, bottom '[m']]]-TP_DATA[[#This Row],[D, top '[m']]])/(TP_DATA[[#This Row],[Bottom '[m']]]-TP_DATA[[#This Row],[Top '[m']]]),"")</f>
        <v/>
      </c>
      <c r="BD143" s="79" t="str">
        <f t="shared" si="11"/>
        <v/>
      </c>
      <c r="BE143" s="79" t="str">
        <f>IFERROR((TP_DATA[[#This Row],[D, bottom '[m']]]+TP_DATA[[#This Row],[D, top '[m']]])/(2*TP_DATA[[#This Row],[t '[mm']]]/1000),"")</f>
        <v/>
      </c>
      <c r="CV143" s="79" t="str">
        <f>IFERROR(TOWER_DATA[[#This Row],[Top '[m']]]-TOWER_DATA[[#This Row],[Bottom '[m']]], "")</f>
        <v/>
      </c>
      <c r="CW143" s="79" t="str">
        <f>IFERROR(-(TOWER_DATA[[#This Row],[D, bottom '[m']]]-TOWER_DATA[[#This Row],[D, top '[m']]])/(TOWER_DATA[[#This Row],[Bottom '[m']]]-TOWER_DATA[[#This Row],[Top '[m']]]),"")</f>
        <v/>
      </c>
      <c r="CX143" s="79" t="str">
        <f t="shared" si="9"/>
        <v/>
      </c>
      <c r="CY143" s="79" t="str">
        <f>IFERROR((TOWER_DATA[[#This Row],[D, bottom '[m']]]+TOWER_DATA[[#This Row],[D, top '[m']]])/(2*TOWER_DATA[[#This Row],[t '[mm']]]/1000),"")</f>
        <v/>
      </c>
      <c r="DA143" s="100"/>
      <c r="DB143" s="100"/>
      <c r="DC143" s="100"/>
      <c r="DD143" s="100"/>
      <c r="DE143" s="100"/>
      <c r="DF143" s="100"/>
      <c r="DG143" s="100"/>
      <c r="DH143" s="100"/>
      <c r="DI143" s="100"/>
      <c r="EQ143" s="79" t="str">
        <f t="shared" si="12"/>
        <v/>
      </c>
      <c r="ER143" s="79"/>
    </row>
    <row r="144" spans="2:148" x14ac:dyDescent="0.3">
      <c r="B144" s="79"/>
      <c r="D144" s="79"/>
      <c r="F144" s="79"/>
      <c r="H144" s="79" t="str">
        <f>IFERROR(MP_DATA[[#This Row],[Bottom '[m']]]-MP_DATA[[#This Row],[D, top '[m']]], "")</f>
        <v/>
      </c>
      <c r="I144" t="str">
        <f>IFERROR(-(MP_DATA[[#This Row],[D, bottom '[m']]]-MP_DATA[[#This Row],[D, top '[m']]])/(MP_DATA[[#This Row],[Bottom '[m']]]-MP_DATA[[#This Row],[Top '[m']]]),"")</f>
        <v/>
      </c>
      <c r="K144" s="79" t="str">
        <f>IFERROR((MP_DATA[[#This Row],[D, bottom '[m']]]+MP_DATA[[#This Row],[D, top '[m']]])/(2*MP_DATA[[#This Row],[t '[mm']]]/1000),"")</f>
        <v/>
      </c>
      <c r="BB144" s="79" t="str">
        <f>IFERROR(TP_DATA[[#This Row],[Bottom '[m']]]-TP_DATA[[#This Row],[D, top '[m']]], "")</f>
        <v/>
      </c>
      <c r="BC144" s="79" t="str">
        <f>IFERROR(-(TP_DATA[[#This Row],[D, bottom '[m']]]-TP_DATA[[#This Row],[D, top '[m']]])/(TP_DATA[[#This Row],[Bottom '[m']]]-TP_DATA[[#This Row],[Top '[m']]]),"")</f>
        <v/>
      </c>
      <c r="BE144" s="79" t="str">
        <f>IFERROR((TP_DATA[[#This Row],[D, bottom '[m']]]+TP_DATA[[#This Row],[D, top '[m']]])/(2*TP_DATA[[#This Row],[t '[mm']]]/1000),"")</f>
        <v/>
      </c>
      <c r="CV144" s="79" t="str">
        <f>IFERROR(TOWER_DATA[[#This Row],[Top '[m']]]-TOWER_DATA[[#This Row],[Bottom '[m']]], "")</f>
        <v/>
      </c>
      <c r="CW144" s="79" t="str">
        <f>IFERROR(-(TOWER_DATA[[#This Row],[D, bottom '[m']]]-TOWER_DATA[[#This Row],[D, top '[m']]])/(TOWER_DATA[[#This Row],[Bottom '[m']]]-TOWER_DATA[[#This Row],[Top '[m']]]),"")</f>
        <v/>
      </c>
      <c r="CX144" s="79" t="str">
        <f t="shared" si="9"/>
        <v/>
      </c>
      <c r="CY144" s="79" t="str">
        <f>IFERROR((TOWER_DATA[[#This Row],[D, bottom '[m']]]+TOWER_DATA[[#This Row],[D, top '[m']]])/(2*TOWER_DATA[[#This Row],[t '[mm']]]/1000),"")</f>
        <v/>
      </c>
      <c r="DA144" s="100"/>
      <c r="DB144" s="100"/>
      <c r="DC144" s="100"/>
      <c r="DD144" s="100"/>
      <c r="DE144" s="100"/>
      <c r="DF144" s="100"/>
      <c r="DG144" s="100"/>
      <c r="DH144" s="100"/>
      <c r="DI144" s="100"/>
      <c r="EQ144" s="79" t="str">
        <f t="shared" si="12"/>
        <v/>
      </c>
      <c r="ER144" s="79"/>
    </row>
    <row r="145" spans="2:148" x14ac:dyDescent="0.3">
      <c r="B145" s="79"/>
      <c r="D145" s="79"/>
      <c r="F145" s="79"/>
      <c r="H145" s="79" t="str">
        <f>IFERROR(MP_DATA[[#This Row],[Bottom '[m']]]-MP_DATA[[#This Row],[D, top '[m']]], "")</f>
        <v/>
      </c>
      <c r="I145" t="str">
        <f>IFERROR(-(MP_DATA[[#This Row],[D, bottom '[m']]]-MP_DATA[[#This Row],[D, top '[m']]])/(MP_DATA[[#This Row],[Bottom '[m']]]-MP_DATA[[#This Row],[Top '[m']]]),"")</f>
        <v/>
      </c>
      <c r="K145" s="79" t="str">
        <f>IFERROR((MP_DATA[[#This Row],[D, bottom '[m']]]+MP_DATA[[#This Row],[D, top '[m']]])/(2*MP_DATA[[#This Row],[t '[mm']]]/1000),"")</f>
        <v/>
      </c>
      <c r="BB145" s="79" t="str">
        <f>IFERROR(TP_DATA[[#This Row],[Bottom '[m']]]-TP_DATA[[#This Row],[D, top '[m']]], "")</f>
        <v/>
      </c>
      <c r="BC145" s="79" t="str">
        <f>IFERROR(-(TP_DATA[[#This Row],[D, bottom '[m']]]-TP_DATA[[#This Row],[D, top '[m']]])/(TP_DATA[[#This Row],[Bottom '[m']]]-TP_DATA[[#This Row],[Top '[m']]]),"")</f>
        <v/>
      </c>
      <c r="BE145" s="79" t="str">
        <f>IFERROR((TP_DATA[[#This Row],[D, bottom '[m']]]+TP_DATA[[#This Row],[D, top '[m']]])/(2*TP_DATA[[#This Row],[t '[mm']]]/1000),"")</f>
        <v/>
      </c>
      <c r="CV145" s="79" t="str">
        <f>IFERROR(TOWER_DATA[[#This Row],[Top '[m']]]-TOWER_DATA[[#This Row],[Bottom '[m']]], "")</f>
        <v/>
      </c>
      <c r="CW145" s="79" t="str">
        <f>IFERROR(-(TOWER_DATA[[#This Row],[D, bottom '[m']]]-TOWER_DATA[[#This Row],[D, top '[m']]])/(TOWER_DATA[[#This Row],[Bottom '[m']]]-TOWER_DATA[[#This Row],[Top '[m']]]),"")</f>
        <v/>
      </c>
      <c r="CX145" s="79" t="str">
        <f t="shared" si="9"/>
        <v/>
      </c>
      <c r="CY145" s="79" t="str">
        <f>IFERROR((TOWER_DATA[[#This Row],[D, bottom '[m']]]+TOWER_DATA[[#This Row],[D, top '[m']]])/(2*TOWER_DATA[[#This Row],[t '[mm']]]/1000),"")</f>
        <v/>
      </c>
      <c r="DA145" s="100"/>
      <c r="DB145" s="100"/>
      <c r="DC145" s="100"/>
      <c r="DD145" s="100"/>
      <c r="DE145" s="100"/>
      <c r="DF145" s="100"/>
      <c r="DG145" s="100"/>
      <c r="DH145" s="100"/>
      <c r="DI145" s="100"/>
      <c r="EQ145" s="79" t="str">
        <f t="shared" si="12"/>
        <v/>
      </c>
      <c r="ER145" s="79"/>
    </row>
    <row r="146" spans="2:148" x14ac:dyDescent="0.3">
      <c r="B146" s="79"/>
      <c r="D146" s="79"/>
      <c r="F146" s="79"/>
      <c r="H146" s="79" t="str">
        <f>IFERROR(MP_DATA[[#This Row],[Bottom '[m']]]-MP_DATA[[#This Row],[D, top '[m']]], "")</f>
        <v/>
      </c>
      <c r="I146" t="str">
        <f>IFERROR(-(MP_DATA[[#This Row],[D, bottom '[m']]]-MP_DATA[[#This Row],[D, top '[m']]])/(MP_DATA[[#This Row],[Bottom '[m']]]-MP_DATA[[#This Row],[Top '[m']]]),"")</f>
        <v/>
      </c>
      <c r="K146" s="79" t="str">
        <f>IFERROR((MP_DATA[[#This Row],[D, bottom '[m']]]+MP_DATA[[#This Row],[D, top '[m']]])/(2*MP_DATA[[#This Row],[t '[mm']]]/1000),"")</f>
        <v/>
      </c>
      <c r="BB146" s="79" t="str">
        <f>IFERROR(TP_DATA[[#This Row],[Bottom '[m']]]-TP_DATA[[#This Row],[D, top '[m']]], "")</f>
        <v/>
      </c>
      <c r="BC146" s="79" t="str">
        <f>IFERROR(-(TP_DATA[[#This Row],[D, bottom '[m']]]-TP_DATA[[#This Row],[D, top '[m']]])/(TP_DATA[[#This Row],[Bottom '[m']]]-TP_DATA[[#This Row],[Top '[m']]]),"")</f>
        <v/>
      </c>
      <c r="BE146" s="79" t="str">
        <f>IFERROR((TP_DATA[[#This Row],[D, bottom '[m']]]+TP_DATA[[#This Row],[D, top '[m']]])/(2*TP_DATA[[#This Row],[t '[mm']]]/1000),"")</f>
        <v/>
      </c>
      <c r="CV146" s="79" t="str">
        <f>IFERROR(TOWER_DATA[[#This Row],[Top '[m']]]-TOWER_DATA[[#This Row],[Bottom '[m']]], "")</f>
        <v/>
      </c>
      <c r="CW146" s="79" t="str">
        <f>IFERROR(-(TOWER_DATA[[#This Row],[D, bottom '[m']]]-TOWER_DATA[[#This Row],[D, top '[m']]])/(TOWER_DATA[[#This Row],[Bottom '[m']]]-TOWER_DATA[[#This Row],[Top '[m']]]),"")</f>
        <v/>
      </c>
      <c r="CY146" s="79" t="str">
        <f>IFERROR((TOWER_DATA[[#This Row],[D, bottom '[m']]]+TOWER_DATA[[#This Row],[D, top '[m']]])/(2*TOWER_DATA[[#This Row],[t '[mm']]]/1000),"")</f>
        <v/>
      </c>
      <c r="DA146" s="100"/>
      <c r="DB146" s="100"/>
      <c r="DC146" s="100"/>
      <c r="DD146" s="100"/>
      <c r="DE146" s="100"/>
      <c r="DF146" s="100"/>
      <c r="DG146" s="100"/>
      <c r="DH146" s="100"/>
      <c r="DI146" s="100"/>
      <c r="EQ146" s="79" t="str">
        <f t="shared" si="12"/>
        <v/>
      </c>
      <c r="ER146" s="79"/>
    </row>
    <row r="147" spans="2:148" x14ac:dyDescent="0.3">
      <c r="B147" s="79"/>
      <c r="D147" s="79"/>
      <c r="F147" s="79"/>
      <c r="H147" s="79" t="str">
        <f>IFERROR(MP_DATA[[#This Row],[Bottom '[m']]]-MP_DATA[[#This Row],[D, top '[m']]], "")</f>
        <v/>
      </c>
      <c r="I147" t="str">
        <f>IFERROR(-(MP_DATA[[#This Row],[D, bottom '[m']]]-MP_DATA[[#This Row],[D, top '[m']]])/(MP_DATA[[#This Row],[Bottom '[m']]]-MP_DATA[[#This Row],[Top '[m']]]),"")</f>
        <v/>
      </c>
      <c r="K147" s="79" t="str">
        <f>IFERROR((MP_DATA[[#This Row],[D, bottom '[m']]]+MP_DATA[[#This Row],[D, top '[m']]])/(2*MP_DATA[[#This Row],[t '[mm']]]/1000),"")</f>
        <v/>
      </c>
      <c r="BB147" s="79" t="str">
        <f>IFERROR(TP_DATA[[#This Row],[Bottom '[m']]]-TP_DATA[[#This Row],[D, top '[m']]], "")</f>
        <v/>
      </c>
      <c r="BC147" s="79" t="str">
        <f>IFERROR(-(TP_DATA[[#This Row],[D, bottom '[m']]]-TP_DATA[[#This Row],[D, top '[m']]])/(TP_DATA[[#This Row],[Bottom '[m']]]-TP_DATA[[#This Row],[Top '[m']]]),"")</f>
        <v/>
      </c>
      <c r="BE147" s="79" t="str">
        <f>IFERROR((TP_DATA[[#This Row],[D, bottom '[m']]]+TP_DATA[[#This Row],[D, top '[m']]])/(2*TP_DATA[[#This Row],[t '[mm']]]/1000),"")</f>
        <v/>
      </c>
      <c r="CV147" s="79" t="str">
        <f>IFERROR(TOWER_DATA[[#This Row],[Top '[m']]]-TOWER_DATA[[#This Row],[Bottom '[m']]], "")</f>
        <v/>
      </c>
      <c r="CW147" s="79" t="str">
        <f>IFERROR(-(TOWER_DATA[[#This Row],[D, bottom '[m']]]-TOWER_DATA[[#This Row],[D, top '[m']]])/(TOWER_DATA[[#This Row],[Bottom '[m']]]-TOWER_DATA[[#This Row],[Top '[m']]]),"")</f>
        <v/>
      </c>
      <c r="CY147" s="79" t="str">
        <f>IFERROR((TOWER_DATA[[#This Row],[D, bottom '[m']]]+TOWER_DATA[[#This Row],[D, top '[m']]])/(2*TOWER_DATA[[#This Row],[t '[mm']]]/1000),"")</f>
        <v/>
      </c>
      <c r="DA147" s="100"/>
      <c r="DB147" s="100"/>
      <c r="DC147" s="100"/>
      <c r="DD147" s="100"/>
      <c r="DE147" s="100"/>
      <c r="DF147" s="100"/>
      <c r="DG147" s="100"/>
      <c r="DH147" s="100"/>
      <c r="DI147" s="100"/>
    </row>
    <row r="148" spans="2:148" x14ac:dyDescent="0.3">
      <c r="H148" s="79" t="str">
        <f>IFERROR(MP_DATA[[#This Row],[Bottom '[m']]]-MP_DATA[[#This Row],[D, top '[m']]], "")</f>
        <v/>
      </c>
      <c r="I148" s="79" t="str">
        <f>IFERROR(-(MP_DATA[[#This Row],[D, bottom '[m']]]-MP_DATA[[#This Row],[D, top '[m']]])/(MP_DATA[[#This Row],[Bottom '[m']]]-MP_DATA[[#This Row],[Top '[m']]]),"")</f>
        <v/>
      </c>
      <c r="K148" s="79" t="str">
        <f>IFERROR((MP_DATA[[#This Row],[D, bottom '[m']]]+MP_DATA[[#This Row],[D, top '[m']]])/(2*MP_DATA[[#This Row],[t '[mm']]]/1000),"")</f>
        <v/>
      </c>
      <c r="BB148" s="79" t="str">
        <f>IFERROR(TP_DATA[[#This Row],[Bottom '[m']]]-TP_DATA[[#This Row],[D, top '[m']]], "")</f>
        <v/>
      </c>
      <c r="BC148" s="79" t="str">
        <f>IFERROR(-(TP_DATA[[#This Row],[D, bottom '[m']]]-TP_DATA[[#This Row],[D, top '[m']]])/(TP_DATA[[#This Row],[Bottom '[m']]]-TP_DATA[[#This Row],[Top '[m']]]),"")</f>
        <v/>
      </c>
      <c r="BE148" s="79" t="str">
        <f>IFERROR((TP_DATA[[#This Row],[D, bottom '[m']]]+TP_DATA[[#This Row],[D, top '[m']]])/(2*TP_DATA[[#This Row],[t '[mm']]]/1000),"")</f>
        <v/>
      </c>
      <c r="CV148" s="79" t="str">
        <f>IFERROR(TOWER_DATA[[#This Row],[Top '[m']]]-TOWER_DATA[[#This Row],[Bottom '[m']]], "")</f>
        <v/>
      </c>
      <c r="CW148" s="79" t="str">
        <f>IFERROR(-(TOWER_DATA[[#This Row],[D, bottom '[m']]]-TOWER_DATA[[#This Row],[D, top '[m']]])/(TOWER_DATA[[#This Row],[Bottom '[m']]]-TOWER_DATA[[#This Row],[Top '[m']]]),"")</f>
        <v/>
      </c>
      <c r="CY148" s="79" t="str">
        <f>IFERROR((TOWER_DATA[[#This Row],[D, bottom '[m']]]+TOWER_DATA[[#This Row],[D, top '[m']]])/(2*TOWER_DATA[[#This Row],[t '[mm']]]/1000),"")</f>
        <v/>
      </c>
      <c r="DA148" s="100"/>
      <c r="DB148" s="100"/>
      <c r="DC148" s="100"/>
      <c r="DD148" s="100"/>
      <c r="DE148" s="100"/>
      <c r="DF148" s="100"/>
      <c r="DG148" s="100"/>
      <c r="DH148" s="100"/>
      <c r="DI148" s="100"/>
    </row>
    <row r="149" spans="2:148" x14ac:dyDescent="0.3">
      <c r="H149" s="79" t="str">
        <f>IFERROR(MP_DATA[[#This Row],[Bottom '[m']]]-MP_DATA[[#This Row],[D, top '[m']]], "")</f>
        <v/>
      </c>
      <c r="I149" s="79" t="str">
        <f>IFERROR(-(MP_DATA[[#This Row],[D, bottom '[m']]]-MP_DATA[[#This Row],[D, top '[m']]])/(MP_DATA[[#This Row],[Bottom '[m']]]-MP_DATA[[#This Row],[Top '[m']]]),"")</f>
        <v/>
      </c>
      <c r="K149" s="79" t="str">
        <f>IFERROR((MP_DATA[[#This Row],[D, bottom '[m']]]+MP_DATA[[#This Row],[D, top '[m']]])/(2*MP_DATA[[#This Row],[t '[mm']]]/1000),"")</f>
        <v/>
      </c>
      <c r="BB149" s="79" t="str">
        <f>IFERROR(TP_DATA[[#This Row],[Bottom '[m']]]-TP_DATA[[#This Row],[D, top '[m']]], "")</f>
        <v/>
      </c>
      <c r="BC149" s="79" t="str">
        <f>IFERROR(-(TP_DATA[[#This Row],[D, bottom '[m']]]-TP_DATA[[#This Row],[D, top '[m']]])/(TP_DATA[[#This Row],[Bottom '[m']]]-TP_DATA[[#This Row],[Top '[m']]]),"")</f>
        <v/>
      </c>
      <c r="BE149" s="79" t="str">
        <f>IFERROR((TP_DATA[[#This Row],[D, bottom '[m']]]+TP_DATA[[#This Row],[D, top '[m']]])/(2*TP_DATA[[#This Row],[t '[mm']]]/1000),"")</f>
        <v/>
      </c>
      <c r="CV149" s="79" t="str">
        <f>IFERROR(TOWER_DATA[[#This Row],[Top '[m']]]-TOWER_DATA[[#This Row],[Bottom '[m']]], "")</f>
        <v/>
      </c>
      <c r="CW149" s="79" t="str">
        <f>IFERROR(-(TOWER_DATA[[#This Row],[D, bottom '[m']]]-TOWER_DATA[[#This Row],[D, top '[m']]])/(TOWER_DATA[[#This Row],[Bottom '[m']]]-TOWER_DATA[[#This Row],[Top '[m']]]),"")</f>
        <v/>
      </c>
      <c r="CY149" s="79" t="str">
        <f>IFERROR((TOWER_DATA[[#This Row],[D, bottom '[m']]]+TOWER_DATA[[#This Row],[D, top '[m']]])/(2*TOWER_DATA[[#This Row],[t '[mm']]]/1000),"")</f>
        <v/>
      </c>
      <c r="DA149" s="100"/>
      <c r="DB149" s="100"/>
      <c r="DC149" s="100"/>
      <c r="DD149" s="100"/>
      <c r="DE149" s="100"/>
      <c r="DF149" s="100"/>
      <c r="DG149" s="100"/>
      <c r="DH149" s="100"/>
      <c r="DI149" s="100"/>
    </row>
    <row r="150" spans="2:148" x14ac:dyDescent="0.3">
      <c r="H150" s="79" t="str">
        <f>IFERROR(MP_DATA[[#This Row],[Bottom '[m']]]-MP_DATA[[#This Row],[D, top '[m']]], "")</f>
        <v/>
      </c>
      <c r="K150" s="79" t="str">
        <f>IFERROR((MP_DATA[[#This Row],[D, bottom '[m']]]+MP_DATA[[#This Row],[D, top '[m']]])/(2*MP_DATA[[#This Row],[t '[mm']]]/1000),"")</f>
        <v/>
      </c>
      <c r="CF150" s="79"/>
      <c r="CG150" s="79"/>
      <c r="CH150" s="79"/>
      <c r="CI150" s="79"/>
      <c r="DA150" s="100"/>
      <c r="DB150" s="100"/>
      <c r="DC150" s="100"/>
      <c r="DD150" s="100"/>
      <c r="DE150" s="100"/>
      <c r="DF150" s="100"/>
      <c r="DG150" s="100"/>
      <c r="DH150" s="100"/>
      <c r="DI150" s="100"/>
    </row>
    <row r="151" spans="2:148" x14ac:dyDescent="0.3">
      <c r="CF151" s="79"/>
      <c r="CG151" s="79"/>
      <c r="CH151" s="79"/>
      <c r="CI151" s="79"/>
      <c r="DA151" s="100"/>
      <c r="DB151" s="100"/>
      <c r="DC151" s="100"/>
      <c r="DD151" s="100"/>
      <c r="DE151" s="100"/>
      <c r="DF151" s="100"/>
      <c r="DG151" s="100"/>
      <c r="DH151" s="100"/>
      <c r="DI151" s="100"/>
    </row>
    <row r="152" spans="2:148" x14ac:dyDescent="0.3">
      <c r="DA152" s="100"/>
      <c r="DB152" s="100"/>
      <c r="DC152" s="100"/>
      <c r="DD152" s="100"/>
      <c r="DE152" s="100"/>
      <c r="DF152" s="100"/>
      <c r="DG152" s="100"/>
      <c r="DH152" s="100"/>
      <c r="DI152" s="100"/>
    </row>
    <row r="153" spans="2:148" x14ac:dyDescent="0.3">
      <c r="DA153" s="100"/>
      <c r="DB153" s="100"/>
      <c r="DC153" s="100"/>
      <c r="DD153" s="100"/>
      <c r="DE153" s="100"/>
      <c r="DF153" s="100"/>
      <c r="DG153" s="100"/>
      <c r="DH153" s="100"/>
      <c r="DI153" s="100"/>
    </row>
    <row r="154" spans="2:148" x14ac:dyDescent="0.3">
      <c r="DA154" s="100"/>
      <c r="DB154" s="100"/>
      <c r="DC154" s="100"/>
      <c r="DD154" s="100"/>
      <c r="DE154" s="100"/>
      <c r="DF154" s="100"/>
      <c r="DG154" s="100"/>
      <c r="DH154" s="100"/>
      <c r="DI154" s="100"/>
    </row>
    <row r="155" spans="2:148" x14ac:dyDescent="0.3">
      <c r="DA155" s="100"/>
      <c r="DB155" s="100"/>
      <c r="DC155" s="100"/>
      <c r="DD155" s="100"/>
      <c r="DE155" s="100"/>
      <c r="DF155" s="100"/>
      <c r="DG155" s="100"/>
      <c r="DH155" s="100"/>
      <c r="DI155" s="100"/>
    </row>
    <row r="156" spans="2:148" x14ac:dyDescent="0.3">
      <c r="DA156" s="100"/>
      <c r="DB156" s="100"/>
      <c r="DC156" s="100"/>
      <c r="DD156" s="100"/>
      <c r="DE156" s="100"/>
      <c r="DF156" s="100"/>
      <c r="DG156" s="100"/>
      <c r="DH156" s="100"/>
      <c r="DI156" s="100"/>
    </row>
    <row r="157" spans="2:148" x14ac:dyDescent="0.3">
      <c r="DA157" s="100"/>
      <c r="DB157" s="100"/>
      <c r="DC157" s="100"/>
      <c r="DD157" s="100"/>
      <c r="DE157" s="100"/>
      <c r="DF157" s="100"/>
      <c r="DG157" s="100"/>
      <c r="DH157" s="100"/>
      <c r="DI157" s="100"/>
    </row>
    <row r="158" spans="2:148" x14ac:dyDescent="0.3">
      <c r="DA158" s="100"/>
      <c r="DB158" s="100"/>
      <c r="DC158" s="100"/>
      <c r="DD158" s="100"/>
      <c r="DE158" s="100"/>
      <c r="DF158" s="100"/>
      <c r="DG158" s="100"/>
      <c r="DH158" s="100"/>
      <c r="DI158" s="100"/>
    </row>
    <row r="159" spans="2:148" x14ac:dyDescent="0.3">
      <c r="DA159" s="100"/>
      <c r="DB159" s="100"/>
      <c r="DC159" s="100"/>
      <c r="DD159" s="100"/>
      <c r="DE159" s="100"/>
      <c r="DF159" s="100"/>
      <c r="DG159" s="100"/>
      <c r="DH159" s="100"/>
      <c r="DI159" s="100"/>
    </row>
    <row r="160" spans="2:148" x14ac:dyDescent="0.3">
      <c r="DA160" s="100"/>
      <c r="DB160" s="100"/>
      <c r="DC160" s="100"/>
      <c r="DD160" s="100"/>
      <c r="DE160" s="100"/>
      <c r="DF160" s="100"/>
      <c r="DG160" s="100"/>
      <c r="DH160" s="100"/>
      <c r="DI160" s="100"/>
    </row>
    <row r="161" spans="105:113" x14ac:dyDescent="0.3">
      <c r="DA161" s="100"/>
      <c r="DB161" s="100"/>
      <c r="DC161" s="100"/>
      <c r="DD161" s="100"/>
      <c r="DE161" s="100"/>
      <c r="DF161" s="100"/>
      <c r="DG161" s="100"/>
      <c r="DH161" s="100"/>
      <c r="DI161" s="100"/>
    </row>
    <row r="162" spans="105:113" x14ac:dyDescent="0.3">
      <c r="DA162" s="100"/>
      <c r="DB162" s="100"/>
      <c r="DC162" s="100"/>
      <c r="DD162" s="100"/>
      <c r="DE162" s="100"/>
      <c r="DF162" s="100"/>
      <c r="DG162" s="100"/>
      <c r="DH162" s="100"/>
      <c r="DI162" s="100"/>
    </row>
    <row r="163" spans="105:113" x14ac:dyDescent="0.3">
      <c r="DA163" s="100"/>
      <c r="DB163" s="100"/>
      <c r="DC163" s="100"/>
      <c r="DD163" s="100"/>
      <c r="DE163" s="100"/>
      <c r="DF163" s="100"/>
      <c r="DG163" s="100"/>
      <c r="DH163" s="100"/>
      <c r="DI163" s="100"/>
    </row>
    <row r="164" spans="105:113" x14ac:dyDescent="0.3">
      <c r="DA164" s="100"/>
      <c r="DB164" s="100"/>
      <c r="DC164" s="100"/>
      <c r="DD164" s="100"/>
      <c r="DE164" s="100"/>
      <c r="DF164" s="100"/>
      <c r="DG164" s="100"/>
      <c r="DH164" s="100"/>
      <c r="DI164" s="100"/>
    </row>
    <row r="165" spans="105:113" x14ac:dyDescent="0.3">
      <c r="DA165" s="100"/>
      <c r="DB165" s="100"/>
      <c r="DC165" s="100"/>
      <c r="DD165" s="100"/>
      <c r="DE165" s="100"/>
      <c r="DF165" s="100"/>
      <c r="DG165" s="100"/>
      <c r="DH165" s="100"/>
      <c r="DI165" s="100"/>
    </row>
    <row r="166" spans="105:113" x14ac:dyDescent="0.3">
      <c r="DA166" s="100"/>
      <c r="DB166" s="100"/>
      <c r="DC166" s="100"/>
      <c r="DD166" s="100"/>
      <c r="DE166" s="100"/>
      <c r="DF166" s="100"/>
      <c r="DG166" s="100"/>
      <c r="DH166" s="100"/>
      <c r="DI166" s="100"/>
    </row>
    <row r="167" spans="105:113" x14ac:dyDescent="0.3">
      <c r="DA167" s="100"/>
      <c r="DB167" s="100"/>
      <c r="DC167" s="100"/>
      <c r="DD167" s="100"/>
      <c r="DE167" s="100"/>
      <c r="DF167" s="100"/>
      <c r="DG167" s="100"/>
      <c r="DH167" s="100"/>
      <c r="DI167" s="100"/>
    </row>
    <row r="168" spans="105:113" x14ac:dyDescent="0.3">
      <c r="DA168" s="100"/>
      <c r="DB168" s="100"/>
      <c r="DC168" s="100"/>
      <c r="DD168" s="100"/>
      <c r="DE168" s="100"/>
      <c r="DF168" s="100"/>
      <c r="DG168" s="100"/>
      <c r="DH168" s="100"/>
      <c r="DI168" s="100"/>
    </row>
    <row r="169" spans="105:113" x14ac:dyDescent="0.3">
      <c r="DA169" s="100"/>
      <c r="DB169" s="100"/>
      <c r="DC169" s="100"/>
      <c r="DD169" s="100"/>
      <c r="DE169" s="100"/>
      <c r="DF169" s="100"/>
      <c r="DG169" s="100"/>
      <c r="DH169" s="100"/>
      <c r="DI169" s="100"/>
    </row>
    <row r="170" spans="105:113" x14ac:dyDescent="0.3">
      <c r="DA170" s="100"/>
      <c r="DB170" s="100"/>
      <c r="DC170" s="100"/>
      <c r="DD170" s="100"/>
      <c r="DE170" s="100"/>
      <c r="DF170" s="100"/>
      <c r="DG170" s="100"/>
      <c r="DH170" s="100"/>
      <c r="DI170" s="100"/>
    </row>
    <row r="171" spans="105:113" x14ac:dyDescent="0.3">
      <c r="DA171" s="100"/>
      <c r="DB171" s="100"/>
      <c r="DC171" s="100"/>
      <c r="DD171" s="100"/>
      <c r="DE171" s="100"/>
      <c r="DF171" s="100"/>
      <c r="DG171" s="100"/>
      <c r="DH171" s="100"/>
      <c r="DI171" s="100"/>
    </row>
    <row r="172" spans="105:113" x14ac:dyDescent="0.3">
      <c r="DA172" s="100"/>
      <c r="DB172" s="100"/>
      <c r="DC172" s="100"/>
      <c r="DD172" s="100"/>
      <c r="DE172" s="100"/>
      <c r="DF172" s="100"/>
      <c r="DG172" s="100"/>
      <c r="DH172" s="100"/>
      <c r="DI172" s="100"/>
    </row>
    <row r="173" spans="105:113" x14ac:dyDescent="0.3">
      <c r="DA173" s="100"/>
      <c r="DB173" s="100"/>
      <c r="DC173" s="100"/>
      <c r="DD173" s="100"/>
      <c r="DE173" s="100"/>
      <c r="DF173" s="100"/>
      <c r="DG173" s="100"/>
      <c r="DH173" s="100"/>
      <c r="DI173" s="100"/>
    </row>
    <row r="174" spans="105:113" x14ac:dyDescent="0.3">
      <c r="DA174" s="100"/>
      <c r="DB174" s="100"/>
      <c r="DC174" s="100"/>
      <c r="DD174" s="100"/>
      <c r="DE174" s="100"/>
      <c r="DF174" s="100"/>
      <c r="DG174" s="100"/>
      <c r="DH174" s="100"/>
      <c r="DI174" s="100"/>
    </row>
    <row r="175" spans="105:113" x14ac:dyDescent="0.3">
      <c r="DA175" s="100"/>
      <c r="DB175" s="100"/>
      <c r="DC175" s="100"/>
      <c r="DD175" s="100"/>
      <c r="DE175" s="100"/>
      <c r="DF175" s="100"/>
      <c r="DG175" s="100"/>
      <c r="DH175" s="100"/>
      <c r="DI175" s="100"/>
    </row>
    <row r="176" spans="105:113" x14ac:dyDescent="0.3">
      <c r="DA176" s="100"/>
      <c r="DB176" s="100"/>
      <c r="DC176" s="100"/>
      <c r="DD176" s="100"/>
      <c r="DE176" s="100"/>
      <c r="DF176" s="100"/>
      <c r="DG176" s="100"/>
      <c r="DH176" s="100"/>
      <c r="DI176" s="100"/>
    </row>
    <row r="177" spans="105:113" x14ac:dyDescent="0.3">
      <c r="DA177" s="100"/>
      <c r="DB177" s="100"/>
      <c r="DC177" s="100"/>
      <c r="DD177" s="100"/>
      <c r="DE177" s="100"/>
      <c r="DF177" s="100"/>
      <c r="DG177" s="100"/>
      <c r="DH177" s="100"/>
      <c r="DI177" s="100"/>
    </row>
    <row r="178" spans="105:113" x14ac:dyDescent="0.3">
      <c r="DA178" s="100"/>
      <c r="DB178" s="100"/>
      <c r="DC178" s="100"/>
      <c r="DD178" s="100"/>
      <c r="DE178" s="100"/>
      <c r="DF178" s="100"/>
      <c r="DG178" s="100"/>
      <c r="DH178" s="100"/>
      <c r="DI178" s="100"/>
    </row>
    <row r="179" spans="105:113" x14ac:dyDescent="0.3">
      <c r="DA179" s="100"/>
      <c r="DB179" s="100"/>
      <c r="DC179" s="100"/>
      <c r="DD179" s="100"/>
      <c r="DE179" s="100"/>
      <c r="DF179" s="100"/>
      <c r="DG179" s="100"/>
      <c r="DH179" s="100"/>
      <c r="DI179" s="100"/>
    </row>
    <row r="180" spans="105:113" x14ac:dyDescent="0.3">
      <c r="DA180" s="100"/>
      <c r="DB180" s="100"/>
      <c r="DC180" s="100"/>
      <c r="DD180" s="100"/>
      <c r="DE180" s="100"/>
      <c r="DF180" s="100"/>
      <c r="DG180" s="100"/>
      <c r="DH180" s="100"/>
      <c r="DI180" s="100"/>
    </row>
    <row r="181" spans="105:113" x14ac:dyDescent="0.3">
      <c r="DA181" s="100"/>
      <c r="DB181" s="100"/>
      <c r="DC181" s="100"/>
      <c r="DD181" s="100"/>
      <c r="DE181" s="100"/>
      <c r="DF181" s="100"/>
      <c r="DG181" s="100"/>
      <c r="DH181" s="100"/>
      <c r="DI181" s="100"/>
    </row>
    <row r="182" spans="105:113" x14ac:dyDescent="0.3">
      <c r="DA182" s="100"/>
      <c r="DB182" s="100"/>
      <c r="DC182" s="100"/>
      <c r="DD182" s="100"/>
      <c r="DE182" s="100"/>
      <c r="DF182" s="100"/>
      <c r="DG182" s="100"/>
      <c r="DH182" s="100"/>
      <c r="DI182" s="100"/>
    </row>
    <row r="183" spans="105:113" x14ac:dyDescent="0.3">
      <c r="DA183" s="100"/>
      <c r="DB183" s="100"/>
      <c r="DC183" s="100"/>
      <c r="DD183" s="100"/>
      <c r="DE183" s="100"/>
      <c r="DF183" s="100"/>
      <c r="DG183" s="100"/>
      <c r="DH183" s="100"/>
      <c r="DI183" s="100"/>
    </row>
    <row r="184" spans="105:113" x14ac:dyDescent="0.3">
      <c r="DA184" s="100"/>
      <c r="DB184" s="100"/>
      <c r="DC184" s="100"/>
      <c r="DD184" s="100"/>
      <c r="DE184" s="100"/>
      <c r="DF184" s="100"/>
      <c r="DG184" s="100"/>
      <c r="DH184" s="100"/>
      <c r="DI184" s="100"/>
    </row>
    <row r="185" spans="105:113" x14ac:dyDescent="0.3">
      <c r="DA185" s="100"/>
      <c r="DB185" s="100"/>
      <c r="DC185" s="100"/>
      <c r="DD185" s="100"/>
      <c r="DE185" s="100"/>
      <c r="DF185" s="100"/>
      <c r="DG185" s="100"/>
      <c r="DH185" s="100"/>
      <c r="DI185" s="100"/>
    </row>
    <row r="186" spans="105:113" x14ac:dyDescent="0.3">
      <c r="DA186" s="100"/>
      <c r="DB186" s="100"/>
      <c r="DC186" s="100"/>
      <c r="DD186" s="100"/>
      <c r="DE186" s="100"/>
      <c r="DF186" s="100"/>
      <c r="DG186" s="100"/>
      <c r="DH186" s="100"/>
      <c r="DI186" s="100"/>
    </row>
    <row r="187" spans="105:113" x14ac:dyDescent="0.3">
      <c r="DA187" s="100"/>
      <c r="DB187" s="100"/>
      <c r="DC187" s="100"/>
      <c r="DD187" s="100"/>
      <c r="DE187" s="100"/>
      <c r="DF187" s="100"/>
      <c r="DG187" s="100"/>
      <c r="DH187" s="100"/>
      <c r="DI187" s="100"/>
    </row>
    <row r="188" spans="105:113" x14ac:dyDescent="0.3">
      <c r="DA188" s="100"/>
      <c r="DB188" s="100"/>
      <c r="DC188" s="100"/>
      <c r="DD188" s="100"/>
      <c r="DE188" s="100"/>
      <c r="DF188" s="100"/>
      <c r="DG188" s="100"/>
      <c r="DH188" s="100"/>
      <c r="DI188" s="100"/>
    </row>
    <row r="189" spans="105:113" x14ac:dyDescent="0.3">
      <c r="DA189" s="100"/>
      <c r="DB189" s="100"/>
      <c r="DC189" s="100"/>
      <c r="DD189" s="100"/>
      <c r="DE189" s="100"/>
      <c r="DF189" s="100"/>
      <c r="DG189" s="100"/>
      <c r="DH189" s="100"/>
      <c r="DI189" s="100"/>
    </row>
    <row r="190" spans="105:113" x14ac:dyDescent="0.3">
      <c r="DA190" s="100"/>
      <c r="DB190" s="100"/>
      <c r="DC190" s="100"/>
      <c r="DD190" s="100"/>
      <c r="DE190" s="100"/>
      <c r="DF190" s="100"/>
      <c r="DG190" s="100"/>
      <c r="DH190" s="100"/>
      <c r="DI190" s="100"/>
    </row>
    <row r="191" spans="105:113" x14ac:dyDescent="0.3">
      <c r="DA191" s="100"/>
      <c r="DB191" s="100"/>
      <c r="DC191" s="100"/>
      <c r="DD191" s="100"/>
      <c r="DE191" s="100"/>
      <c r="DF191" s="100"/>
      <c r="DG191" s="100"/>
      <c r="DH191" s="100"/>
      <c r="DI191" s="100"/>
    </row>
    <row r="192" spans="105:113" x14ac:dyDescent="0.3">
      <c r="DA192" s="100"/>
      <c r="DB192" s="100"/>
      <c r="DC192" s="100"/>
      <c r="DD192" s="100"/>
      <c r="DE192" s="100"/>
      <c r="DF192" s="100"/>
      <c r="DG192" s="100"/>
      <c r="DH192" s="100"/>
      <c r="DI192" s="100"/>
    </row>
    <row r="193" spans="105:113" x14ac:dyDescent="0.3">
      <c r="DA193" s="100"/>
      <c r="DB193" s="100"/>
      <c r="DC193" s="100"/>
      <c r="DD193" s="100"/>
      <c r="DE193" s="100"/>
      <c r="DF193" s="100"/>
      <c r="DG193" s="100"/>
      <c r="DH193" s="100"/>
      <c r="DI193" s="100"/>
    </row>
    <row r="194" spans="105:113" x14ac:dyDescent="0.3">
      <c r="DA194" s="100"/>
      <c r="DB194" s="100"/>
      <c r="DC194" s="100"/>
      <c r="DD194" s="100"/>
      <c r="DE194" s="100"/>
      <c r="DF194" s="100"/>
      <c r="DG194" s="100"/>
      <c r="DH194" s="100"/>
      <c r="DI194" s="100"/>
    </row>
    <row r="195" spans="105:113" x14ac:dyDescent="0.3">
      <c r="DA195" s="100"/>
      <c r="DB195" s="100"/>
      <c r="DC195" s="100"/>
      <c r="DD195" s="100"/>
      <c r="DE195" s="100"/>
      <c r="DF195" s="100"/>
      <c r="DG195" s="100"/>
      <c r="DH195" s="100"/>
      <c r="DI195" s="100"/>
    </row>
    <row r="196" spans="105:113" x14ac:dyDescent="0.3">
      <c r="DA196" s="100"/>
      <c r="DB196" s="100"/>
      <c r="DC196" s="100"/>
      <c r="DD196" s="100"/>
      <c r="DE196" s="100"/>
      <c r="DF196" s="100"/>
      <c r="DG196" s="100"/>
      <c r="DH196" s="100"/>
      <c r="DI196" s="100"/>
    </row>
    <row r="197" spans="105:113" x14ac:dyDescent="0.3">
      <c r="DA197" s="100"/>
      <c r="DB197" s="100"/>
      <c r="DC197" s="100"/>
      <c r="DD197" s="100"/>
      <c r="DE197" s="100"/>
      <c r="DF197" s="100"/>
      <c r="DG197" s="100"/>
      <c r="DH197" s="100"/>
      <c r="DI197" s="100"/>
    </row>
    <row r="198" spans="105:113" x14ac:dyDescent="0.3">
      <c r="DA198" s="100"/>
      <c r="DB198" s="100"/>
      <c r="DC198" s="100"/>
      <c r="DD198" s="100"/>
      <c r="DE198" s="100"/>
      <c r="DF198" s="100"/>
      <c r="DG198" s="100"/>
      <c r="DH198" s="100"/>
      <c r="DI198" s="100"/>
    </row>
    <row r="199" spans="105:113" x14ac:dyDescent="0.3">
      <c r="DA199" s="100"/>
      <c r="DB199" s="100"/>
      <c r="DC199" s="100"/>
      <c r="DD199" s="100"/>
      <c r="DE199" s="100"/>
      <c r="DF199" s="100"/>
      <c r="DG199" s="100"/>
      <c r="DH199" s="100"/>
      <c r="DI199" s="100"/>
    </row>
    <row r="200" spans="105:113" x14ac:dyDescent="0.3">
      <c r="DA200" s="100"/>
      <c r="DB200" s="100"/>
      <c r="DC200" s="100"/>
      <c r="DD200" s="100"/>
      <c r="DE200" s="100"/>
      <c r="DF200" s="100"/>
      <c r="DG200" s="100"/>
      <c r="DH200" s="100"/>
      <c r="DI200" s="100"/>
    </row>
    <row r="201" spans="105:113" x14ac:dyDescent="0.3">
      <c r="DA201" s="100"/>
      <c r="DB201" s="100"/>
      <c r="DC201" s="100"/>
      <c r="DD201" s="100"/>
      <c r="DE201" s="100"/>
      <c r="DF201" s="100"/>
      <c r="DG201" s="100"/>
      <c r="DH201" s="100"/>
      <c r="DI201" s="100"/>
    </row>
    <row r="202" spans="105:113" x14ac:dyDescent="0.3">
      <c r="DA202" s="100"/>
      <c r="DB202" s="100"/>
      <c r="DC202" s="100"/>
      <c r="DD202" s="100"/>
      <c r="DE202" s="100"/>
      <c r="DF202" s="100"/>
      <c r="DG202" s="100"/>
      <c r="DH202" s="100"/>
      <c r="DI202" s="100"/>
    </row>
    <row r="203" spans="105:113" x14ac:dyDescent="0.3">
      <c r="DA203" s="100"/>
      <c r="DB203" s="100"/>
      <c r="DC203" s="100"/>
      <c r="DD203" s="100"/>
      <c r="DE203" s="100"/>
      <c r="DF203" s="100"/>
      <c r="DG203" s="100"/>
      <c r="DH203" s="100"/>
      <c r="DI203" s="100"/>
    </row>
    <row r="204" spans="105:113" x14ac:dyDescent="0.3">
      <c r="DA204" s="100"/>
      <c r="DB204" s="100"/>
      <c r="DC204" s="100"/>
      <c r="DD204" s="100"/>
      <c r="DE204" s="100"/>
      <c r="DF204" s="100"/>
      <c r="DG204" s="100"/>
      <c r="DH204" s="100"/>
      <c r="DI204" s="100"/>
    </row>
    <row r="205" spans="105:113" x14ac:dyDescent="0.3">
      <c r="DA205" s="100"/>
      <c r="DB205" s="100"/>
      <c r="DC205" s="100"/>
      <c r="DD205" s="100"/>
      <c r="DE205" s="100"/>
      <c r="DF205" s="100"/>
      <c r="DG205" s="100"/>
      <c r="DH205" s="100"/>
      <c r="DI205" s="100"/>
    </row>
    <row r="206" spans="105:113" x14ac:dyDescent="0.3">
      <c r="DA206" s="100"/>
      <c r="DB206" s="100"/>
      <c r="DC206" s="100"/>
      <c r="DD206" s="100"/>
      <c r="DE206" s="100"/>
      <c r="DF206" s="100"/>
      <c r="DG206" s="100"/>
      <c r="DH206" s="100"/>
      <c r="DI206" s="100"/>
    </row>
    <row r="207" spans="105:113" x14ac:dyDescent="0.3">
      <c r="DA207" s="100"/>
      <c r="DB207" s="100"/>
      <c r="DC207" s="100"/>
      <c r="DD207" s="100"/>
      <c r="DE207" s="100"/>
      <c r="DF207" s="100"/>
      <c r="DG207" s="100"/>
      <c r="DH207" s="100"/>
      <c r="DI207" s="100"/>
    </row>
    <row r="208" spans="105:113" x14ac:dyDescent="0.3">
      <c r="DA208" s="100"/>
      <c r="DB208" s="100"/>
      <c r="DC208" s="100"/>
      <c r="DD208" s="100"/>
      <c r="DE208" s="100"/>
      <c r="DF208" s="100"/>
      <c r="DG208" s="100"/>
      <c r="DH208" s="100"/>
      <c r="DI208" s="100"/>
    </row>
    <row r="209" spans="105:113" x14ac:dyDescent="0.3">
      <c r="DA209" s="100"/>
      <c r="DB209" s="100"/>
      <c r="DC209" s="100"/>
      <c r="DD209" s="100"/>
      <c r="DE209" s="100"/>
      <c r="DF209" s="100"/>
      <c r="DG209" s="100"/>
      <c r="DH209" s="100"/>
      <c r="DI209" s="100"/>
    </row>
    <row r="210" spans="105:113" x14ac:dyDescent="0.3">
      <c r="DA210" s="100"/>
      <c r="DB210" s="100"/>
      <c r="DC210" s="100"/>
      <c r="DD210" s="100"/>
      <c r="DE210" s="100"/>
      <c r="DF210" s="100"/>
      <c r="DG210" s="100"/>
      <c r="DH210" s="100"/>
      <c r="DI210" s="100"/>
    </row>
    <row r="211" spans="105:113" x14ac:dyDescent="0.3">
      <c r="DA211" s="100"/>
      <c r="DB211" s="100"/>
      <c r="DC211" s="100"/>
      <c r="DD211" s="100"/>
      <c r="DE211" s="100"/>
      <c r="DF211" s="100"/>
      <c r="DG211" s="100"/>
      <c r="DH211" s="100"/>
      <c r="DI211" s="100"/>
    </row>
    <row r="212" spans="105:113" x14ac:dyDescent="0.3">
      <c r="DA212" s="100"/>
      <c r="DB212" s="100"/>
      <c r="DC212" s="100"/>
      <c r="DD212" s="100"/>
      <c r="DE212" s="100"/>
      <c r="DF212" s="100"/>
      <c r="DG212" s="100"/>
      <c r="DH212" s="100"/>
      <c r="DI212" s="100"/>
    </row>
    <row r="213" spans="105:113" x14ac:dyDescent="0.3">
      <c r="DA213" s="100"/>
      <c r="DB213" s="100"/>
      <c r="DC213" s="100"/>
      <c r="DD213" s="100"/>
      <c r="DE213" s="100"/>
      <c r="DF213" s="100"/>
      <c r="DG213" s="100"/>
      <c r="DH213" s="100"/>
      <c r="DI213" s="100"/>
    </row>
    <row r="214" spans="105:113" x14ac:dyDescent="0.3">
      <c r="DA214" s="100"/>
      <c r="DB214" s="100"/>
      <c r="DC214" s="100"/>
      <c r="DD214" s="100"/>
      <c r="DE214" s="100"/>
      <c r="DF214" s="100"/>
      <c r="DG214" s="100"/>
      <c r="DH214" s="100"/>
      <c r="DI214" s="100"/>
    </row>
    <row r="215" spans="105:113" x14ac:dyDescent="0.3">
      <c r="DA215" s="100"/>
      <c r="DB215" s="100"/>
      <c r="DC215" s="100"/>
      <c r="DD215" s="100"/>
      <c r="DE215" s="100"/>
      <c r="DF215" s="100"/>
      <c r="DG215" s="100"/>
      <c r="DH215" s="100"/>
      <c r="DI215" s="100"/>
    </row>
    <row r="216" spans="105:113" x14ac:dyDescent="0.3">
      <c r="DA216" s="100"/>
      <c r="DB216" s="100"/>
      <c r="DC216" s="100"/>
      <c r="DD216" s="100"/>
      <c r="DE216" s="100"/>
      <c r="DF216" s="100"/>
      <c r="DG216" s="100"/>
      <c r="DH216" s="100"/>
      <c r="DI216" s="100"/>
    </row>
    <row r="217" spans="105:113" x14ac:dyDescent="0.3">
      <c r="DA217" s="100"/>
      <c r="DB217" s="100"/>
      <c r="DC217" s="100"/>
      <c r="DD217" s="100"/>
      <c r="DE217" s="100"/>
      <c r="DF217" s="100"/>
      <c r="DG217" s="100"/>
      <c r="DH217" s="100"/>
      <c r="DI217" s="100"/>
    </row>
    <row r="218" spans="105:113" x14ac:dyDescent="0.3">
      <c r="DA218" s="100"/>
      <c r="DB218" s="100"/>
      <c r="DC218" s="100"/>
      <c r="DD218" s="100"/>
      <c r="DE218" s="100"/>
      <c r="DF218" s="100"/>
      <c r="DG218" s="100"/>
      <c r="DH218" s="100"/>
      <c r="DI218" s="100"/>
    </row>
    <row r="219" spans="105:113" x14ac:dyDescent="0.3">
      <c r="DA219" s="100"/>
      <c r="DB219" s="100"/>
      <c r="DC219" s="100"/>
      <c r="DD219" s="100"/>
      <c r="DE219" s="100"/>
      <c r="DF219" s="100"/>
      <c r="DG219" s="100"/>
      <c r="DH219" s="100"/>
      <c r="DI219" s="100"/>
    </row>
    <row r="220" spans="105:113" x14ac:dyDescent="0.3">
      <c r="DA220" s="100"/>
      <c r="DB220" s="100"/>
      <c r="DC220" s="100"/>
      <c r="DD220" s="100"/>
      <c r="DE220" s="100"/>
      <c r="DF220" s="100"/>
      <c r="DG220" s="100"/>
      <c r="DH220" s="100"/>
      <c r="DI220" s="100"/>
    </row>
    <row r="221" spans="105:113" x14ac:dyDescent="0.3">
      <c r="DA221" s="100"/>
      <c r="DB221" s="100"/>
      <c r="DC221" s="100"/>
      <c r="DD221" s="100"/>
      <c r="DE221" s="100"/>
      <c r="DF221" s="100"/>
      <c r="DG221" s="100"/>
      <c r="DH221" s="100"/>
      <c r="DI221" s="100"/>
    </row>
    <row r="222" spans="105:113" x14ac:dyDescent="0.3">
      <c r="DA222" s="100"/>
      <c r="DB222" s="100"/>
      <c r="DC222" s="100"/>
      <c r="DD222" s="100"/>
      <c r="DE222" s="100"/>
      <c r="DF222" s="100"/>
      <c r="DG222" s="100"/>
      <c r="DH222" s="100"/>
      <c r="DI222" s="100"/>
    </row>
    <row r="223" spans="105:113" x14ac:dyDescent="0.3">
      <c r="DA223" s="100"/>
      <c r="DB223" s="100"/>
      <c r="DC223" s="100"/>
      <c r="DD223" s="100"/>
      <c r="DE223" s="100"/>
      <c r="DF223" s="100"/>
      <c r="DG223" s="100"/>
      <c r="DH223" s="100"/>
      <c r="DI223" s="100"/>
    </row>
    <row r="224" spans="105:113" x14ac:dyDescent="0.3">
      <c r="DA224" s="100"/>
      <c r="DB224" s="100"/>
      <c r="DC224" s="100"/>
      <c r="DD224" s="100"/>
      <c r="DE224" s="100"/>
      <c r="DF224" s="100"/>
      <c r="DG224" s="100"/>
      <c r="DH224" s="100"/>
      <c r="DI224" s="100"/>
    </row>
    <row r="225" spans="105:113" x14ac:dyDescent="0.3">
      <c r="DA225" s="100"/>
      <c r="DB225" s="100"/>
      <c r="DC225" s="100"/>
      <c r="DD225" s="100"/>
      <c r="DE225" s="100"/>
      <c r="DF225" s="100"/>
      <c r="DG225" s="100"/>
      <c r="DH225" s="100"/>
      <c r="DI225" s="100"/>
    </row>
    <row r="226" spans="105:113" x14ac:dyDescent="0.3">
      <c r="DA226" s="100"/>
      <c r="DB226" s="100"/>
      <c r="DC226" s="100"/>
      <c r="DD226" s="100"/>
      <c r="DE226" s="100"/>
      <c r="DF226" s="100"/>
      <c r="DG226" s="100"/>
      <c r="DH226" s="100"/>
      <c r="DI226" s="100"/>
    </row>
    <row r="227" spans="105:113" x14ac:dyDescent="0.3">
      <c r="DA227" s="100"/>
      <c r="DB227" s="100"/>
      <c r="DC227" s="100"/>
      <c r="DD227" s="100"/>
      <c r="DE227" s="100"/>
      <c r="DF227" s="100"/>
      <c r="DG227" s="100"/>
      <c r="DH227" s="100"/>
      <c r="DI227" s="100"/>
    </row>
    <row r="228" spans="105:113" x14ac:dyDescent="0.3">
      <c r="DA228" s="100"/>
      <c r="DB228" s="100"/>
      <c r="DC228" s="100"/>
      <c r="DD228" s="100"/>
      <c r="DE228" s="100"/>
      <c r="DF228" s="100"/>
      <c r="DG228" s="100"/>
      <c r="DH228" s="100"/>
      <c r="DI228" s="100"/>
    </row>
    <row r="229" spans="105:113" x14ac:dyDescent="0.3">
      <c r="DA229" s="100"/>
      <c r="DB229" s="100"/>
      <c r="DC229" s="100"/>
      <c r="DD229" s="100"/>
      <c r="DE229" s="100"/>
      <c r="DF229" s="100"/>
      <c r="DG229" s="100"/>
      <c r="DH229" s="100"/>
      <c r="DI229" s="100"/>
    </row>
    <row r="230" spans="105:113" x14ac:dyDescent="0.3">
      <c r="DA230" s="100"/>
      <c r="DB230" s="100"/>
      <c r="DC230" s="100"/>
      <c r="DD230" s="100"/>
      <c r="DE230" s="100"/>
      <c r="DF230" s="100"/>
      <c r="DG230" s="100"/>
      <c r="DH230" s="100"/>
      <c r="DI230" s="100"/>
    </row>
    <row r="231" spans="105:113" x14ac:dyDescent="0.3">
      <c r="DA231" s="100"/>
      <c r="DB231" s="100"/>
      <c r="DC231" s="100"/>
      <c r="DD231" s="100"/>
      <c r="DE231" s="100"/>
      <c r="DF231" s="100"/>
      <c r="DG231" s="100"/>
      <c r="DH231" s="100"/>
      <c r="DI231" s="100"/>
    </row>
    <row r="232" spans="105:113" x14ac:dyDescent="0.3">
      <c r="DA232" s="100"/>
      <c r="DB232" s="100"/>
      <c r="DC232" s="100"/>
      <c r="DD232" s="100"/>
      <c r="DE232" s="100"/>
      <c r="DF232" s="100"/>
      <c r="DG232" s="100"/>
      <c r="DH232" s="100"/>
      <c r="DI232" s="100"/>
    </row>
    <row r="233" spans="105:113" x14ac:dyDescent="0.3">
      <c r="DA233" s="100"/>
      <c r="DB233" s="100"/>
      <c r="DC233" s="100"/>
      <c r="DD233" s="100"/>
      <c r="DE233" s="100"/>
      <c r="DF233" s="100"/>
      <c r="DG233" s="100"/>
      <c r="DH233" s="100"/>
      <c r="DI233" s="100"/>
    </row>
    <row r="234" spans="105:113" x14ac:dyDescent="0.3">
      <c r="DA234" s="100"/>
      <c r="DB234" s="100"/>
      <c r="DC234" s="100"/>
      <c r="DD234" s="100"/>
      <c r="DE234" s="100"/>
      <c r="DF234" s="100"/>
      <c r="DG234" s="100"/>
      <c r="DH234" s="100"/>
      <c r="DI234" s="100"/>
    </row>
    <row r="235" spans="105:113" x14ac:dyDescent="0.3">
      <c r="DA235" s="100"/>
      <c r="DB235" s="100"/>
      <c r="DC235" s="100"/>
      <c r="DD235" s="100"/>
      <c r="DE235" s="100"/>
      <c r="DF235" s="100"/>
      <c r="DG235" s="100"/>
      <c r="DH235" s="100"/>
      <c r="DI235" s="100"/>
    </row>
    <row r="236" spans="105:113" x14ac:dyDescent="0.3">
      <c r="DA236" s="100"/>
      <c r="DB236" s="100"/>
      <c r="DC236" s="100"/>
      <c r="DD236" s="100"/>
      <c r="DE236" s="100"/>
      <c r="DF236" s="100"/>
      <c r="DG236" s="100"/>
      <c r="DH236" s="100"/>
      <c r="DI236" s="100"/>
    </row>
    <row r="237" spans="105:113" x14ac:dyDescent="0.3">
      <c r="DA237" s="100"/>
      <c r="DB237" s="100"/>
      <c r="DC237" s="100"/>
      <c r="DD237" s="100"/>
      <c r="DE237" s="100"/>
      <c r="DF237" s="100"/>
      <c r="DG237" s="100"/>
      <c r="DH237" s="100"/>
      <c r="DI237" s="100"/>
    </row>
    <row r="238" spans="105:113" x14ac:dyDescent="0.3">
      <c r="DA238" s="100"/>
      <c r="DB238" s="100"/>
      <c r="DC238" s="100"/>
      <c r="DD238" s="100"/>
      <c r="DE238" s="100"/>
      <c r="DF238" s="100"/>
      <c r="DG238" s="100"/>
      <c r="DH238" s="100"/>
      <c r="DI238" s="100"/>
    </row>
    <row r="239" spans="105:113" x14ac:dyDescent="0.3">
      <c r="DA239" s="100"/>
      <c r="DB239" s="100"/>
      <c r="DC239" s="100"/>
      <c r="DD239" s="100"/>
      <c r="DE239" s="100"/>
      <c r="DF239" s="100"/>
      <c r="DG239" s="100"/>
      <c r="DH239" s="100"/>
      <c r="DI239" s="100"/>
    </row>
    <row r="240" spans="105:113" x14ac:dyDescent="0.3">
      <c r="DA240" s="100"/>
      <c r="DB240" s="100"/>
      <c r="DC240" s="100"/>
      <c r="DD240" s="100"/>
      <c r="DE240" s="100"/>
      <c r="DF240" s="100"/>
      <c r="DG240" s="100"/>
      <c r="DH240" s="100"/>
      <c r="DI240" s="100"/>
    </row>
    <row r="241" spans="105:113" x14ac:dyDescent="0.3">
      <c r="DA241" s="100"/>
      <c r="DB241" s="100"/>
      <c r="DC241" s="100"/>
      <c r="DD241" s="100"/>
      <c r="DE241" s="100"/>
      <c r="DF241" s="100"/>
      <c r="DG241" s="100"/>
      <c r="DH241" s="100"/>
      <c r="DI241" s="100"/>
    </row>
    <row r="242" spans="105:113" x14ac:dyDescent="0.3">
      <c r="DA242" s="100"/>
      <c r="DB242" s="100"/>
      <c r="DC242" s="100"/>
      <c r="DD242" s="100"/>
      <c r="DE242" s="100"/>
      <c r="DF242" s="100"/>
      <c r="DG242" s="100"/>
      <c r="DH242" s="100"/>
      <c r="DI242" s="100"/>
    </row>
    <row r="243" spans="105:113" x14ac:dyDescent="0.3">
      <c r="DA243" s="100"/>
      <c r="DB243" s="100"/>
      <c r="DC243" s="100"/>
      <c r="DD243" s="100"/>
      <c r="DE243" s="100"/>
      <c r="DF243" s="100"/>
      <c r="DG243" s="100"/>
      <c r="DH243" s="100"/>
      <c r="DI243" s="100"/>
    </row>
    <row r="244" spans="105:113" x14ac:dyDescent="0.3">
      <c r="DA244" s="100"/>
      <c r="DB244" s="100"/>
      <c r="DC244" s="100"/>
      <c r="DD244" s="100"/>
      <c r="DE244" s="100"/>
      <c r="DF244" s="100"/>
      <c r="DG244" s="100"/>
      <c r="DH244" s="100"/>
      <c r="DI244" s="100"/>
    </row>
    <row r="245" spans="105:113" x14ac:dyDescent="0.3">
      <c r="DA245" s="100"/>
      <c r="DB245" s="100"/>
      <c r="DC245" s="100"/>
      <c r="DD245" s="100"/>
      <c r="DE245" s="100"/>
      <c r="DF245" s="100"/>
      <c r="DG245" s="100"/>
      <c r="DH245" s="100"/>
      <c r="DI245" s="100"/>
    </row>
    <row r="246" spans="105:113" x14ac:dyDescent="0.3">
      <c r="DA246" s="100"/>
      <c r="DB246" s="100"/>
      <c r="DC246" s="100"/>
      <c r="DD246" s="100"/>
      <c r="DE246" s="100"/>
      <c r="DF246" s="100"/>
      <c r="DG246" s="100"/>
      <c r="DH246" s="100"/>
      <c r="DI246" s="100"/>
    </row>
    <row r="247" spans="105:113" x14ac:dyDescent="0.3">
      <c r="DA247" s="100"/>
      <c r="DB247" s="100"/>
      <c r="DC247" s="100"/>
      <c r="DD247" s="100"/>
      <c r="DE247" s="100"/>
      <c r="DF247" s="100"/>
      <c r="DG247" s="100"/>
      <c r="DH247" s="100"/>
      <c r="DI247" s="100"/>
    </row>
    <row r="248" spans="105:113" x14ac:dyDescent="0.3">
      <c r="DA248" s="100"/>
      <c r="DB248" s="100"/>
      <c r="DC248" s="100"/>
      <c r="DD248" s="100"/>
      <c r="DE248" s="100"/>
      <c r="DF248" s="100"/>
      <c r="DG248" s="100"/>
      <c r="DH248" s="100"/>
      <c r="DI248" s="100"/>
    </row>
    <row r="249" spans="105:113" x14ac:dyDescent="0.3">
      <c r="DA249" s="100"/>
      <c r="DB249" s="100"/>
      <c r="DC249" s="100"/>
      <c r="DD249" s="100"/>
      <c r="DE249" s="100"/>
      <c r="DF249" s="100"/>
      <c r="DG249" s="100"/>
      <c r="DH249" s="100"/>
      <c r="DI249" s="100"/>
    </row>
    <row r="250" spans="105:113" x14ac:dyDescent="0.3">
      <c r="DA250" s="100"/>
      <c r="DB250" s="100"/>
      <c r="DC250" s="100"/>
      <c r="DD250" s="100"/>
      <c r="DE250" s="100"/>
      <c r="DF250" s="100"/>
      <c r="DG250" s="100"/>
      <c r="DH250" s="100"/>
      <c r="DI250" s="100"/>
    </row>
    <row r="251" spans="105:113" x14ac:dyDescent="0.3">
      <c r="DA251" s="100"/>
      <c r="DB251" s="100"/>
      <c r="DC251" s="100"/>
      <c r="DD251" s="100"/>
      <c r="DE251" s="100"/>
      <c r="DF251" s="100"/>
      <c r="DG251" s="100"/>
      <c r="DH251" s="100"/>
      <c r="DI251" s="100"/>
    </row>
    <row r="252" spans="105:113" x14ac:dyDescent="0.3">
      <c r="DA252" s="100"/>
      <c r="DB252" s="100"/>
      <c r="DC252" s="100"/>
      <c r="DD252" s="100"/>
      <c r="DE252" s="100"/>
      <c r="DF252" s="100"/>
      <c r="DG252" s="100"/>
      <c r="DH252" s="100"/>
      <c r="DI252" s="100"/>
    </row>
    <row r="253" spans="105:113" x14ac:dyDescent="0.3">
      <c r="DA253" s="100"/>
      <c r="DB253" s="100"/>
      <c r="DC253" s="100"/>
      <c r="DD253" s="100"/>
      <c r="DE253" s="100"/>
      <c r="DF253" s="100"/>
      <c r="DG253" s="100"/>
      <c r="DH253" s="100"/>
      <c r="DI253" s="100"/>
    </row>
    <row r="254" spans="105:113" x14ac:dyDescent="0.3">
      <c r="DA254" s="100"/>
      <c r="DB254" s="100"/>
      <c r="DC254" s="100"/>
      <c r="DD254" s="100"/>
      <c r="DE254" s="100"/>
      <c r="DF254" s="100"/>
      <c r="DG254" s="100"/>
      <c r="DH254" s="100"/>
      <c r="DI254" s="100"/>
    </row>
    <row r="255" spans="105:113" x14ac:dyDescent="0.3">
      <c r="DA255" s="100"/>
      <c r="DB255" s="100"/>
      <c r="DC255" s="100"/>
      <c r="DD255" s="100"/>
      <c r="DE255" s="100"/>
      <c r="DF255" s="100"/>
      <c r="DG255" s="100"/>
      <c r="DH255" s="100"/>
      <c r="DI255" s="100"/>
    </row>
    <row r="256" spans="105:113" x14ac:dyDescent="0.3">
      <c r="DA256" s="100"/>
      <c r="DB256" s="100"/>
      <c r="DC256" s="100"/>
      <c r="DD256" s="100"/>
      <c r="DE256" s="100"/>
      <c r="DF256" s="100"/>
      <c r="DG256" s="100"/>
      <c r="DH256" s="100"/>
      <c r="DI256" s="100"/>
    </row>
    <row r="257" spans="105:113" x14ac:dyDescent="0.3">
      <c r="DA257" s="100"/>
      <c r="DB257" s="100"/>
      <c r="DC257" s="100"/>
      <c r="DD257" s="100"/>
      <c r="DE257" s="100"/>
      <c r="DF257" s="100"/>
      <c r="DG257" s="100"/>
      <c r="DH257" s="100"/>
      <c r="DI257" s="100"/>
    </row>
    <row r="258" spans="105:113" x14ac:dyDescent="0.3">
      <c r="DA258" s="100"/>
      <c r="DB258" s="100"/>
      <c r="DC258" s="100"/>
      <c r="DD258" s="100"/>
      <c r="DE258" s="100"/>
      <c r="DF258" s="100"/>
      <c r="DG258" s="100"/>
      <c r="DH258" s="100"/>
      <c r="DI258" s="100"/>
    </row>
    <row r="259" spans="105:113" x14ac:dyDescent="0.3">
      <c r="DA259" s="100"/>
      <c r="DB259" s="100"/>
      <c r="DC259" s="100"/>
      <c r="DD259" s="100"/>
      <c r="DE259" s="100"/>
      <c r="DF259" s="100"/>
      <c r="DG259" s="100"/>
      <c r="DH259" s="100"/>
      <c r="DI259" s="100"/>
    </row>
    <row r="260" spans="105:113" x14ac:dyDescent="0.3">
      <c r="DA260" s="100"/>
      <c r="DB260" s="100"/>
      <c r="DC260" s="100"/>
      <c r="DD260" s="100"/>
      <c r="DE260" s="100"/>
      <c r="DF260" s="100"/>
      <c r="DG260" s="100"/>
      <c r="DH260" s="100"/>
      <c r="DI260" s="100"/>
    </row>
    <row r="261" spans="105:113" x14ac:dyDescent="0.3">
      <c r="DA261" s="100"/>
      <c r="DB261" s="100"/>
      <c r="DC261" s="100"/>
      <c r="DD261" s="100"/>
      <c r="DE261" s="100"/>
      <c r="DF261" s="100"/>
      <c r="DG261" s="100"/>
      <c r="DH261" s="100"/>
      <c r="DI261" s="100"/>
    </row>
    <row r="262" spans="105:113" x14ac:dyDescent="0.3">
      <c r="DA262" s="100"/>
      <c r="DB262" s="100"/>
      <c r="DC262" s="100"/>
      <c r="DD262" s="100"/>
      <c r="DE262" s="100"/>
      <c r="DF262" s="100"/>
      <c r="DG262" s="100"/>
      <c r="DH262" s="100"/>
      <c r="DI262" s="100"/>
    </row>
    <row r="263" spans="105:113" x14ac:dyDescent="0.3">
      <c r="DA263" s="100"/>
      <c r="DB263" s="100"/>
      <c r="DC263" s="100"/>
      <c r="DD263" s="100"/>
      <c r="DE263" s="100"/>
      <c r="DF263" s="100"/>
      <c r="DG263" s="100"/>
      <c r="DH263" s="100"/>
      <c r="DI263" s="100"/>
    </row>
    <row r="264" spans="105:113" x14ac:dyDescent="0.3">
      <c r="DA264" s="100"/>
      <c r="DB264" s="100"/>
      <c r="DC264" s="100"/>
      <c r="DD264" s="100"/>
      <c r="DE264" s="100"/>
      <c r="DF264" s="100"/>
      <c r="DG264" s="100"/>
      <c r="DH264" s="100"/>
      <c r="DI264" s="100"/>
    </row>
    <row r="265" spans="105:113" x14ac:dyDescent="0.3">
      <c r="DA265" s="100"/>
      <c r="DB265" s="100"/>
      <c r="DC265" s="100"/>
      <c r="DD265" s="100"/>
      <c r="DE265" s="100"/>
      <c r="DF265" s="100"/>
      <c r="DG265" s="100"/>
      <c r="DH265" s="100"/>
      <c r="DI265" s="100"/>
    </row>
    <row r="266" spans="105:113" x14ac:dyDescent="0.3">
      <c r="DA266" s="100"/>
      <c r="DB266" s="100"/>
      <c r="DC266" s="100"/>
      <c r="DD266" s="100"/>
      <c r="DE266" s="100"/>
      <c r="DF266" s="100"/>
      <c r="DG266" s="100"/>
      <c r="DH266" s="100"/>
      <c r="DI266" s="100"/>
    </row>
    <row r="267" spans="105:113" x14ac:dyDescent="0.3">
      <c r="DA267" s="100"/>
      <c r="DB267" s="100"/>
      <c r="DC267" s="100"/>
      <c r="DD267" s="100"/>
      <c r="DE267" s="100"/>
      <c r="DF267" s="100"/>
      <c r="DG267" s="100"/>
      <c r="DH267" s="100"/>
      <c r="DI267" s="100"/>
    </row>
    <row r="268" spans="105:113" x14ac:dyDescent="0.3">
      <c r="DA268" s="100"/>
      <c r="DB268" s="100"/>
      <c r="DC268" s="100"/>
      <c r="DD268" s="100"/>
      <c r="DE268" s="100"/>
      <c r="DF268" s="100"/>
      <c r="DG268" s="100"/>
      <c r="DH268" s="100"/>
      <c r="DI268" s="100"/>
    </row>
    <row r="269" spans="105:113" x14ac:dyDescent="0.3">
      <c r="DA269" s="100"/>
      <c r="DB269" s="100"/>
      <c r="DC269" s="100"/>
      <c r="DD269" s="100"/>
      <c r="DE269" s="100"/>
      <c r="DF269" s="100"/>
      <c r="DG269" s="100"/>
      <c r="DH269" s="100"/>
      <c r="DI269" s="100"/>
    </row>
    <row r="270" spans="105:113" x14ac:dyDescent="0.3">
      <c r="DA270" s="100"/>
      <c r="DB270" s="100"/>
      <c r="DC270" s="100"/>
      <c r="DD270" s="100"/>
      <c r="DE270" s="100"/>
      <c r="DF270" s="100"/>
      <c r="DG270" s="100"/>
      <c r="DH270" s="100"/>
      <c r="DI270" s="100"/>
    </row>
    <row r="271" spans="105:113" x14ac:dyDescent="0.3">
      <c r="DA271" s="100"/>
      <c r="DB271" s="100"/>
      <c r="DC271" s="100"/>
      <c r="DD271" s="100"/>
      <c r="DE271" s="100"/>
      <c r="DF271" s="100"/>
      <c r="DG271" s="100"/>
      <c r="DH271" s="100"/>
      <c r="DI271" s="100"/>
    </row>
    <row r="272" spans="105:113" x14ac:dyDescent="0.3">
      <c r="DA272" s="100"/>
      <c r="DB272" s="100"/>
      <c r="DC272" s="100"/>
      <c r="DD272" s="100"/>
      <c r="DE272" s="100"/>
      <c r="DF272" s="100"/>
      <c r="DG272" s="100"/>
      <c r="DH272" s="100"/>
      <c r="DI272" s="100"/>
    </row>
    <row r="273" spans="105:113" x14ac:dyDescent="0.3">
      <c r="DA273" s="100"/>
      <c r="DB273" s="100"/>
      <c r="DC273" s="100"/>
      <c r="DD273" s="100"/>
      <c r="DE273" s="100"/>
      <c r="DF273" s="100"/>
      <c r="DG273" s="100"/>
      <c r="DH273" s="100"/>
      <c r="DI273" s="100"/>
    </row>
    <row r="274" spans="105:113" x14ac:dyDescent="0.3">
      <c r="DA274" s="100"/>
      <c r="DB274" s="100"/>
      <c r="DC274" s="100"/>
      <c r="DD274" s="100"/>
      <c r="DE274" s="100"/>
      <c r="DF274" s="100"/>
      <c r="DG274" s="100"/>
      <c r="DH274" s="100"/>
      <c r="DI274" s="100"/>
    </row>
    <row r="275" spans="105:113" x14ac:dyDescent="0.3">
      <c r="DA275" s="100"/>
      <c r="DB275" s="100"/>
      <c r="DC275" s="100"/>
      <c r="DD275" s="100"/>
      <c r="DE275" s="100"/>
      <c r="DF275" s="100"/>
      <c r="DG275" s="100"/>
      <c r="DH275" s="100"/>
      <c r="DI275" s="100"/>
    </row>
    <row r="276" spans="105:113" x14ac:dyDescent="0.3">
      <c r="DA276" s="100"/>
      <c r="DB276" s="100"/>
      <c r="DC276" s="100"/>
      <c r="DD276" s="100"/>
      <c r="DE276" s="100"/>
      <c r="DF276" s="100"/>
      <c r="DG276" s="100"/>
      <c r="DH276" s="100"/>
      <c r="DI276" s="100"/>
    </row>
    <row r="277" spans="105:113" x14ac:dyDescent="0.3">
      <c r="DA277" s="100"/>
      <c r="DB277" s="100"/>
      <c r="DC277" s="100"/>
      <c r="DD277" s="100"/>
      <c r="DE277" s="100"/>
      <c r="DF277" s="100"/>
      <c r="DG277" s="100"/>
      <c r="DH277" s="100"/>
      <c r="DI277" s="100"/>
    </row>
    <row r="278" spans="105:113" x14ac:dyDescent="0.3">
      <c r="DA278" s="100"/>
      <c r="DB278" s="100"/>
      <c r="DC278" s="100"/>
      <c r="DD278" s="100"/>
      <c r="DE278" s="100"/>
      <c r="DF278" s="100"/>
      <c r="DG278" s="100"/>
      <c r="DH278" s="100"/>
      <c r="DI278" s="100"/>
    </row>
    <row r="279" spans="105:113" x14ac:dyDescent="0.3">
      <c r="DA279" s="100"/>
      <c r="DB279" s="100"/>
      <c r="DC279" s="100"/>
      <c r="DD279" s="100"/>
      <c r="DE279" s="100"/>
      <c r="DF279" s="100"/>
      <c r="DG279" s="100"/>
      <c r="DH279" s="100"/>
      <c r="DI279" s="100"/>
    </row>
    <row r="280" spans="105:113" x14ac:dyDescent="0.3">
      <c r="DA280" s="100"/>
      <c r="DB280" s="100"/>
      <c r="DC280" s="100"/>
      <c r="DD280" s="100"/>
      <c r="DE280" s="100"/>
      <c r="DF280" s="100"/>
      <c r="DG280" s="100"/>
      <c r="DH280" s="100"/>
      <c r="DI280" s="100"/>
    </row>
    <row r="281" spans="105:113" x14ac:dyDescent="0.3">
      <c r="DA281" s="100"/>
      <c r="DB281" s="100"/>
      <c r="DC281" s="100"/>
      <c r="DD281" s="100"/>
      <c r="DE281" s="100"/>
      <c r="DF281" s="100"/>
      <c r="DG281" s="100"/>
      <c r="DH281" s="100"/>
      <c r="DI281" s="100"/>
    </row>
    <row r="282" spans="105:113" x14ac:dyDescent="0.3">
      <c r="DA282" s="100"/>
      <c r="DB282" s="100"/>
      <c r="DC282" s="100"/>
      <c r="DD282" s="100"/>
      <c r="DE282" s="100"/>
      <c r="DF282" s="100"/>
      <c r="DG282" s="100"/>
      <c r="DH282" s="100"/>
      <c r="DI282" s="100"/>
    </row>
    <row r="283" spans="105:113" x14ac:dyDescent="0.3">
      <c r="DA283" s="100"/>
      <c r="DB283" s="100"/>
      <c r="DC283" s="100"/>
      <c r="DD283" s="100"/>
      <c r="DE283" s="100"/>
      <c r="DF283" s="100"/>
      <c r="DG283" s="100"/>
      <c r="DH283" s="100"/>
      <c r="DI283" s="100"/>
    </row>
    <row r="284" spans="105:113" x14ac:dyDescent="0.3">
      <c r="DA284" s="100"/>
      <c r="DB284" s="100"/>
      <c r="DC284" s="100"/>
      <c r="DD284" s="100"/>
      <c r="DE284" s="100"/>
      <c r="DF284" s="100"/>
      <c r="DG284" s="100"/>
      <c r="DH284" s="100"/>
      <c r="DI284" s="100"/>
    </row>
    <row r="285" spans="105:113" x14ac:dyDescent="0.3">
      <c r="DA285" s="100"/>
      <c r="DB285" s="100"/>
      <c r="DC285" s="100"/>
      <c r="DD285" s="100"/>
      <c r="DE285" s="100"/>
      <c r="DF285" s="100"/>
      <c r="DG285" s="100"/>
      <c r="DH285" s="100"/>
      <c r="DI285" s="100"/>
    </row>
    <row r="286" spans="105:113" x14ac:dyDescent="0.3">
      <c r="DA286" s="100"/>
      <c r="DB286" s="100"/>
      <c r="DC286" s="100"/>
      <c r="DD286" s="100"/>
      <c r="DE286" s="100"/>
      <c r="DF286" s="100"/>
      <c r="DG286" s="100"/>
      <c r="DH286" s="100"/>
      <c r="DI286" s="100"/>
    </row>
    <row r="287" spans="105:113" x14ac:dyDescent="0.3">
      <c r="DA287" s="100"/>
      <c r="DB287" s="100"/>
      <c r="DC287" s="100"/>
      <c r="DD287" s="100"/>
      <c r="DE287" s="100"/>
      <c r="DF287" s="100"/>
      <c r="DG287" s="100"/>
      <c r="DH287" s="100"/>
      <c r="DI287" s="100"/>
    </row>
    <row r="288" spans="105:113" x14ac:dyDescent="0.3">
      <c r="DA288" s="100"/>
      <c r="DB288" s="100"/>
      <c r="DC288" s="100"/>
      <c r="DD288" s="100"/>
      <c r="DE288" s="100"/>
      <c r="DF288" s="100"/>
      <c r="DG288" s="100"/>
      <c r="DH288" s="100"/>
      <c r="DI288" s="100"/>
    </row>
    <row r="289" spans="105:113" x14ac:dyDescent="0.3">
      <c r="DA289" s="100"/>
      <c r="DB289" s="100"/>
      <c r="DC289" s="100"/>
      <c r="DD289" s="100"/>
      <c r="DE289" s="100"/>
      <c r="DF289" s="100"/>
      <c r="DG289" s="100"/>
      <c r="DH289" s="100"/>
      <c r="DI289" s="100"/>
    </row>
    <row r="290" spans="105:113" x14ac:dyDescent="0.3">
      <c r="DA290" s="100"/>
      <c r="DB290" s="100"/>
      <c r="DC290" s="100"/>
      <c r="DD290" s="100"/>
      <c r="DE290" s="100"/>
      <c r="DF290" s="100"/>
      <c r="DG290" s="100"/>
      <c r="DH290" s="100"/>
      <c r="DI290" s="100"/>
    </row>
    <row r="291" spans="105:113" x14ac:dyDescent="0.3">
      <c r="DA291" s="100"/>
      <c r="DB291" s="100"/>
      <c r="DC291" s="100"/>
      <c r="DD291" s="100"/>
      <c r="DE291" s="100"/>
      <c r="DF291" s="100"/>
      <c r="DG291" s="100"/>
      <c r="DH291" s="100"/>
      <c r="DI291" s="100"/>
    </row>
    <row r="292" spans="105:113" x14ac:dyDescent="0.3">
      <c r="DA292" s="100"/>
      <c r="DB292" s="100"/>
      <c r="DC292" s="100"/>
      <c r="DD292" s="100"/>
      <c r="DE292" s="100"/>
      <c r="DF292" s="100"/>
      <c r="DG292" s="100"/>
      <c r="DH292" s="100"/>
      <c r="DI292" s="100"/>
    </row>
    <row r="293" spans="105:113" x14ac:dyDescent="0.3">
      <c r="DA293" s="100"/>
      <c r="DB293" s="100"/>
      <c r="DC293" s="100"/>
      <c r="DD293" s="100"/>
      <c r="DE293" s="100"/>
      <c r="DF293" s="100"/>
      <c r="DG293" s="100"/>
      <c r="DH293" s="100"/>
      <c r="DI293" s="100"/>
    </row>
    <row r="294" spans="105:113" x14ac:dyDescent="0.3">
      <c r="DA294" s="100"/>
      <c r="DB294" s="100"/>
      <c r="DC294" s="100"/>
      <c r="DD294" s="100"/>
      <c r="DE294" s="100"/>
      <c r="DF294" s="100"/>
      <c r="DG294" s="100"/>
      <c r="DH294" s="100"/>
      <c r="DI294" s="100"/>
    </row>
    <row r="295" spans="105:113" x14ac:dyDescent="0.3">
      <c r="DA295" s="100"/>
      <c r="DB295" s="100"/>
      <c r="DC295" s="100"/>
      <c r="DD295" s="100"/>
      <c r="DE295" s="100"/>
      <c r="DF295" s="100"/>
      <c r="DG295" s="100"/>
      <c r="DH295" s="100"/>
      <c r="DI295" s="100"/>
    </row>
    <row r="296" spans="105:113" x14ac:dyDescent="0.3">
      <c r="DA296" s="100"/>
      <c r="DB296" s="100"/>
      <c r="DC296" s="100"/>
      <c r="DD296" s="100"/>
      <c r="DE296" s="100"/>
      <c r="DF296" s="100"/>
      <c r="DG296" s="100"/>
      <c r="DH296" s="100"/>
      <c r="DI296" s="100"/>
    </row>
    <row r="297" spans="105:113" x14ac:dyDescent="0.3">
      <c r="DA297" s="100"/>
      <c r="DB297" s="100"/>
      <c r="DC297" s="100"/>
      <c r="DD297" s="100"/>
      <c r="DE297" s="100"/>
      <c r="DF297" s="100"/>
      <c r="DG297" s="100"/>
      <c r="DH297" s="100"/>
      <c r="DI297" s="100"/>
    </row>
    <row r="298" spans="105:113" x14ac:dyDescent="0.3">
      <c r="DA298" s="100"/>
      <c r="DB298" s="100"/>
      <c r="DC298" s="100"/>
      <c r="DD298" s="100"/>
      <c r="DE298" s="100"/>
      <c r="DF298" s="100"/>
      <c r="DG298" s="100"/>
      <c r="DH298" s="100"/>
      <c r="DI298" s="100"/>
    </row>
    <row r="299" spans="105:113" x14ac:dyDescent="0.3">
      <c r="DA299" s="100"/>
      <c r="DB299" s="100"/>
      <c r="DC299" s="100"/>
      <c r="DD299" s="100"/>
      <c r="DE299" s="100"/>
      <c r="DF299" s="100"/>
      <c r="DG299" s="100"/>
      <c r="DH299" s="100"/>
      <c r="DI299" s="100"/>
    </row>
    <row r="300" spans="105:113" x14ac:dyDescent="0.3">
      <c r="DA300" s="100"/>
      <c r="DB300" s="100"/>
      <c r="DC300" s="100"/>
      <c r="DD300" s="100"/>
      <c r="DE300" s="100"/>
      <c r="DF300" s="100"/>
      <c r="DG300" s="100"/>
      <c r="DH300" s="100"/>
      <c r="DI300" s="100"/>
    </row>
    <row r="301" spans="105:113" x14ac:dyDescent="0.3">
      <c r="DA301" s="100"/>
      <c r="DB301" s="100"/>
      <c r="DC301" s="100"/>
      <c r="DD301" s="100"/>
      <c r="DE301" s="100"/>
      <c r="DF301" s="100"/>
      <c r="DG301" s="100"/>
      <c r="DH301" s="100"/>
      <c r="DI301" s="100"/>
    </row>
    <row r="302" spans="105:113" x14ac:dyDescent="0.3">
      <c r="DA302" s="100"/>
      <c r="DB302" s="100"/>
      <c r="DC302" s="100"/>
      <c r="DD302" s="100"/>
      <c r="DE302" s="100"/>
      <c r="DF302" s="100"/>
      <c r="DG302" s="100"/>
      <c r="DH302" s="100"/>
      <c r="DI302" s="100"/>
    </row>
    <row r="303" spans="105:113" x14ac:dyDescent="0.3">
      <c r="DA303" s="100"/>
      <c r="DB303" s="100"/>
      <c r="DC303" s="100"/>
      <c r="DD303" s="100"/>
      <c r="DE303" s="100"/>
      <c r="DF303" s="100"/>
      <c r="DG303" s="100"/>
      <c r="DH303" s="100"/>
      <c r="DI303" s="100"/>
    </row>
    <row r="304" spans="105:113" x14ac:dyDescent="0.3">
      <c r="DA304" s="100"/>
      <c r="DB304" s="100"/>
      <c r="DC304" s="100"/>
      <c r="DD304" s="100"/>
      <c r="DE304" s="100"/>
      <c r="DF304" s="100"/>
      <c r="DG304" s="100"/>
      <c r="DH304" s="100"/>
      <c r="DI304" s="100"/>
    </row>
    <row r="305" spans="105:113" x14ac:dyDescent="0.3">
      <c r="DA305" s="100"/>
      <c r="DB305" s="100"/>
      <c r="DC305" s="100"/>
      <c r="DD305" s="100"/>
      <c r="DE305" s="100"/>
      <c r="DF305" s="100"/>
      <c r="DG305" s="100"/>
      <c r="DH305" s="100"/>
      <c r="DI305" s="100"/>
    </row>
    <row r="306" spans="105:113" x14ac:dyDescent="0.3">
      <c r="DA306" s="100"/>
      <c r="DB306" s="100"/>
      <c r="DC306" s="100"/>
      <c r="DD306" s="100"/>
      <c r="DE306" s="100"/>
      <c r="DF306" s="100"/>
      <c r="DG306" s="100"/>
      <c r="DH306" s="100"/>
      <c r="DI306" s="100"/>
    </row>
    <row r="307" spans="105:113" x14ac:dyDescent="0.3">
      <c r="DA307" s="100"/>
      <c r="DB307" s="100"/>
      <c r="DC307" s="100"/>
      <c r="DD307" s="100"/>
      <c r="DE307" s="100"/>
      <c r="DF307" s="100"/>
      <c r="DG307" s="100"/>
      <c r="DH307" s="100"/>
      <c r="DI307" s="100"/>
    </row>
    <row r="308" spans="105:113" x14ac:dyDescent="0.3">
      <c r="DA308" s="100"/>
      <c r="DB308" s="100"/>
      <c r="DC308" s="100"/>
      <c r="DD308" s="100"/>
      <c r="DE308" s="100"/>
      <c r="DF308" s="100"/>
      <c r="DG308" s="100"/>
      <c r="DH308" s="100"/>
      <c r="DI308" s="100"/>
    </row>
    <row r="309" spans="105:113" x14ac:dyDescent="0.3">
      <c r="DA309" s="100"/>
      <c r="DB309" s="100"/>
      <c r="DC309" s="100"/>
      <c r="DD309" s="100"/>
      <c r="DE309" s="100"/>
      <c r="DF309" s="100"/>
      <c r="DG309" s="100"/>
      <c r="DH309" s="100"/>
      <c r="DI309" s="100"/>
    </row>
    <row r="310" spans="105:113" x14ac:dyDescent="0.3">
      <c r="DA310" s="100"/>
      <c r="DB310" s="100"/>
      <c r="DC310" s="100"/>
      <c r="DD310" s="100"/>
      <c r="DE310" s="100"/>
      <c r="DF310" s="100"/>
      <c r="DG310" s="100"/>
      <c r="DH310" s="100"/>
      <c r="DI310" s="100"/>
    </row>
    <row r="311" spans="105:113" x14ac:dyDescent="0.3">
      <c r="DA311" s="100"/>
      <c r="DB311" s="100"/>
      <c r="DC311" s="100"/>
      <c r="DD311" s="100"/>
      <c r="DE311" s="100"/>
      <c r="DF311" s="100"/>
      <c r="DG311" s="100"/>
      <c r="DH311" s="100"/>
      <c r="DI311" s="100"/>
    </row>
    <row r="312" spans="105:113" x14ac:dyDescent="0.3">
      <c r="DA312" s="100"/>
      <c r="DB312" s="100"/>
      <c r="DC312" s="100"/>
      <c r="DD312" s="100"/>
      <c r="DE312" s="100"/>
      <c r="DF312" s="100"/>
      <c r="DG312" s="100"/>
      <c r="DH312" s="100"/>
      <c r="DI312" s="100"/>
    </row>
    <row r="313" spans="105:113" x14ac:dyDescent="0.3">
      <c r="DA313" s="100"/>
      <c r="DB313" s="100"/>
      <c r="DC313" s="100"/>
      <c r="DD313" s="100"/>
      <c r="DE313" s="100"/>
      <c r="DF313" s="100"/>
      <c r="DG313" s="100"/>
      <c r="DH313" s="100"/>
      <c r="DI313" s="100"/>
    </row>
    <row r="314" spans="105:113" x14ac:dyDescent="0.3">
      <c r="DA314" s="100"/>
      <c r="DB314" s="100"/>
      <c r="DC314" s="100"/>
      <c r="DD314" s="100"/>
      <c r="DE314" s="100"/>
      <c r="DF314" s="100"/>
      <c r="DG314" s="100"/>
      <c r="DH314" s="100"/>
      <c r="DI314" s="100"/>
    </row>
    <row r="315" spans="105:113" x14ac:dyDescent="0.3">
      <c r="DA315" s="100"/>
      <c r="DB315" s="100"/>
      <c r="DC315" s="100"/>
      <c r="DD315" s="100"/>
      <c r="DE315" s="100"/>
      <c r="DF315" s="100"/>
      <c r="DG315" s="100"/>
      <c r="DH315" s="100"/>
      <c r="DI315" s="100"/>
    </row>
    <row r="316" spans="105:113" x14ac:dyDescent="0.3">
      <c r="DA316" s="100"/>
      <c r="DB316" s="100"/>
      <c r="DC316" s="100"/>
      <c r="DD316" s="100"/>
      <c r="DE316" s="100"/>
      <c r="DF316" s="100"/>
      <c r="DG316" s="100"/>
      <c r="DH316" s="100"/>
      <c r="DI316" s="100"/>
    </row>
    <row r="317" spans="105:113" x14ac:dyDescent="0.3">
      <c r="DA317" s="100"/>
      <c r="DB317" s="100"/>
      <c r="DC317" s="100"/>
      <c r="DD317" s="100"/>
      <c r="DE317" s="100"/>
      <c r="DF317" s="100"/>
      <c r="DG317" s="100"/>
      <c r="DH317" s="100"/>
      <c r="DI317" s="100"/>
    </row>
    <row r="318" spans="105:113" x14ac:dyDescent="0.3">
      <c r="DA318" s="100"/>
      <c r="DB318" s="100"/>
      <c r="DC318" s="100"/>
      <c r="DD318" s="100"/>
      <c r="DE318" s="100"/>
      <c r="DF318" s="100"/>
      <c r="DG318" s="100"/>
      <c r="DH318" s="100"/>
      <c r="DI318" s="100"/>
    </row>
    <row r="319" spans="105:113" x14ac:dyDescent="0.3">
      <c r="DA319" s="100"/>
      <c r="DB319" s="100"/>
      <c r="DC319" s="100"/>
      <c r="DD319" s="100"/>
      <c r="DE319" s="100"/>
      <c r="DF319" s="100"/>
      <c r="DG319" s="100"/>
      <c r="DH319" s="100"/>
      <c r="DI319" s="100"/>
    </row>
    <row r="320" spans="105:113" x14ac:dyDescent="0.3">
      <c r="DA320" s="100"/>
      <c r="DB320" s="100"/>
      <c r="DC320" s="100"/>
      <c r="DD320" s="100"/>
      <c r="DE320" s="100"/>
      <c r="DF320" s="100"/>
      <c r="DG320" s="100"/>
      <c r="DH320" s="100"/>
      <c r="DI320" s="100"/>
    </row>
    <row r="321" spans="105:113" x14ac:dyDescent="0.3">
      <c r="DA321" s="100"/>
      <c r="DB321" s="100"/>
      <c r="DC321" s="100"/>
      <c r="DD321" s="100"/>
      <c r="DE321" s="100"/>
      <c r="DF321" s="100"/>
      <c r="DG321" s="100"/>
      <c r="DH321" s="100"/>
      <c r="DI321" s="100"/>
    </row>
    <row r="322" spans="105:113" x14ac:dyDescent="0.3">
      <c r="DA322" s="100"/>
      <c r="DB322" s="100"/>
      <c r="DC322" s="100"/>
      <c r="DD322" s="100"/>
      <c r="DE322" s="100"/>
      <c r="DF322" s="100"/>
      <c r="DG322" s="100"/>
      <c r="DH322" s="100"/>
      <c r="DI322" s="100"/>
    </row>
    <row r="323" spans="105:113" x14ac:dyDescent="0.3">
      <c r="DA323" s="100"/>
      <c r="DB323" s="100"/>
      <c r="DC323" s="100"/>
      <c r="DD323" s="100"/>
      <c r="DE323" s="100"/>
      <c r="DF323" s="100"/>
      <c r="DG323" s="100"/>
      <c r="DH323" s="100"/>
      <c r="DI323" s="100"/>
    </row>
    <row r="324" spans="105:113" x14ac:dyDescent="0.3">
      <c r="DA324" s="100"/>
      <c r="DB324" s="100"/>
      <c r="DC324" s="100"/>
      <c r="DD324" s="100"/>
      <c r="DE324" s="100"/>
      <c r="DF324" s="100"/>
      <c r="DG324" s="100"/>
      <c r="DH324" s="100"/>
      <c r="DI324" s="100"/>
    </row>
    <row r="325" spans="105:113" x14ac:dyDescent="0.3">
      <c r="DA325" s="100"/>
      <c r="DB325" s="100"/>
      <c r="DC325" s="100"/>
      <c r="DD325" s="100"/>
      <c r="DE325" s="100"/>
      <c r="DF325" s="100"/>
      <c r="DG325" s="100"/>
      <c r="DH325" s="100"/>
      <c r="DI325" s="100"/>
    </row>
    <row r="326" spans="105:113" x14ac:dyDescent="0.3">
      <c r="DA326" s="100"/>
      <c r="DB326" s="100"/>
      <c r="DC326" s="100"/>
      <c r="DD326" s="100"/>
      <c r="DE326" s="100"/>
      <c r="DF326" s="100"/>
      <c r="DG326" s="100"/>
      <c r="DH326" s="100"/>
      <c r="DI326" s="100"/>
    </row>
    <row r="327" spans="105:113" x14ac:dyDescent="0.3">
      <c r="DA327" s="100"/>
      <c r="DB327" s="100"/>
      <c r="DC327" s="100"/>
      <c r="DD327" s="100"/>
      <c r="DE327" s="100"/>
      <c r="DF327" s="100"/>
      <c r="DG327" s="100"/>
      <c r="DH327" s="100"/>
      <c r="DI327" s="100"/>
    </row>
    <row r="328" spans="105:113" x14ac:dyDescent="0.3">
      <c r="DA328" s="100"/>
      <c r="DB328" s="100"/>
      <c r="DC328" s="100"/>
      <c r="DD328" s="100"/>
      <c r="DE328" s="100"/>
      <c r="DF328" s="100"/>
      <c r="DG328" s="100"/>
      <c r="DH328" s="100"/>
      <c r="DI328" s="100"/>
    </row>
    <row r="329" spans="105:113" x14ac:dyDescent="0.3">
      <c r="DA329" s="100"/>
      <c r="DB329" s="100"/>
      <c r="DC329" s="100"/>
      <c r="DD329" s="100"/>
      <c r="DE329" s="100"/>
      <c r="DF329" s="100"/>
      <c r="DG329" s="100"/>
      <c r="DH329" s="100"/>
      <c r="DI329" s="100"/>
    </row>
  </sheetData>
  <protectedRanges>
    <protectedRange sqref="DA31:DI55 DR31:DZ55" name="Bereich1"/>
    <protectedRange sqref="ET25:EU25 EJ25:EK25 EX25:EZ25 EN25:EP25" name="Bereich1_1"/>
    <protectedRange sqref="C31:D32 D110:F120 D33:D109 C33:C120" name="Eingaben2"/>
    <protectedRange sqref="G99:G120" name="Eingaben2_1"/>
    <protectedRange sqref="E84:G98 E99:F109" name="Eingaben2_2"/>
    <protectedRange sqref="G76 E76 E31:G75" name="Eingaben2_4"/>
    <protectedRange sqref="E77:E83 G77:G83 F76:F82" name="Eingaben2_1_2"/>
  </protectedRanges>
  <dataConsolidate/>
  <phoneticPr fontId="10" type="noConversion"/>
  <conditionalFormatting sqref="B2008">
    <cfRule type="expression" dxfId="13" priority="13">
      <formula>B2007&lt;&gt;_xludf.INDIRECT("B" &amp; _xludf.ROW() + 200)</formula>
    </cfRule>
  </conditionalFormatting>
  <conditionalFormatting sqref="I150:J150 J144:J149 L127:L150 AV62:BA149 CP121:CU208 EJ100:EP187 H151:L174 B148:G233">
    <cfRule type="expression" dxfId="12" priority="15">
      <formula>#REF!&lt;&gt;_xludf.INDIRECT(_xludf.ADDRESS(_xludf.ROW()-200,_xludf.COLUMN()))</formula>
    </cfRule>
  </conditionalFormatting>
  <conditionalFormatting sqref="H189">
    <cfRule type="expression" dxfId="11" priority="17">
      <formula>#REF!&lt;&gt;_xludf.INDIRECT(_xludf.ADDRESS(_xludf.ROW()-200,_xludf.COLUMN()))</formula>
    </cfRule>
  </conditionalFormatting>
  <conditionalFormatting sqref="D235">
    <cfRule type="expression" dxfId="10" priority="20">
      <formula>#REF!&lt;&gt;_xludf.INDIRECT(_xludf.ADDRESS(_xludf.ROW()-200,_xludf.COLUMN()))</formula>
    </cfRule>
  </conditionalFormatting>
  <conditionalFormatting sqref="B234:B238 H175:H179">
    <cfRule type="expression" dxfId="9" priority="38">
      <formula>#REF!&lt;&gt;_xludf.INDIRECT(_xludf.ADDRESS(_xludf.ROW()-200,_xludf.COLUMN()))</formula>
    </cfRule>
  </conditionalFormatting>
  <conditionalFormatting sqref="BD144:BD149 BF127:BF149">
    <cfRule type="expression" dxfId="8" priority="3">
      <formula>#REF!&lt;&gt;_xludf.INDIRECT(_xludf.ADDRESS(_xludf.ROW()-200,_xludf.COLUMN()))</formula>
    </cfRule>
  </conditionalFormatting>
  <conditionalFormatting sqref="CX146:CX149 CZ127:CZ149">
    <cfRule type="expression" dxfId="7" priority="2">
      <formula>#REF!&lt;&gt;_xludf.INDIRECT(_xludf.ADDRESS(_xludf.ROW()-200,_xludf.COLUMN()))</formula>
    </cfRule>
  </conditionalFormatting>
  <conditionalFormatting sqref="EQ147:ER150">
    <cfRule type="expression" dxfId="6" priority="1">
      <formula>#REF!&lt;&gt;_xludf.INDIRECT(_xludf.ADDRESS(_xludf.ROW()-200,_xludf.COLUMN()))</formula>
    </cfRule>
  </conditionalFormatting>
  <conditionalFormatting sqref="H190:H197 H180:H188 I180:L197">
    <cfRule type="expression" dxfId="5" priority="44">
      <formula>H35&lt;&gt;_xludf.INDIRECT(_xludf.ADDRESS(_xludf.ROW()-200,_xludf.COLUMN()))</formula>
    </cfRule>
  </conditionalFormatting>
  <conditionalFormatting sqref="G249">
    <cfRule type="expression" dxfId="4" priority="50">
      <formula>H44&lt;&gt;_xludf.INDIRECT(_xludf.ADDRESS(_xludf.ROW()-200,_xludf.COLUMN()))</formula>
    </cfRule>
  </conditionalFormatting>
  <conditionalFormatting sqref="I175:L179">
    <cfRule type="expression" dxfId="3" priority="51">
      <formula>H30&lt;&gt;_xludf.INDIRECT(_xludf.ADDRESS(_xludf.ROW()-200,_xludf.COLUMN()))</formula>
    </cfRule>
  </conditionalFormatting>
  <conditionalFormatting sqref="E235">
    <cfRule type="expression" dxfId="2" priority="56">
      <formula>C31&lt;&gt;_xludf.INDIRECT(_xludf.ADDRESS(_xludf.ROW()-200,_xludf.COLUMN()))</formula>
    </cfRule>
  </conditionalFormatting>
  <conditionalFormatting sqref="G239:G248 B239:F256 G250:G256">
    <cfRule type="expression" dxfId="1" priority="59">
      <formula>B35&lt;&gt;_xludf.INDIRECT(_xludf.ADDRESS(_xludf.ROW()-200,_xludf.COLUMN()))</formula>
    </cfRule>
  </conditionalFormatting>
  <conditionalFormatting sqref="C235:C238 D236:E238 C234:G234 F235:G238">
    <cfRule type="expression" dxfId="0" priority="62">
      <formula>B30&lt;&gt;_xludf.INDIRECT(_xludf.ADDRESS(_xludf.ROW()-200,_xludf.COLUMN()))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19</xdr:row>
                    <xdr:rowOff>228600</xdr:rowOff>
                  </from>
                  <to>
                    <xdr:col>2</xdr:col>
                    <xdr:colOff>190500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18</xdr:row>
                    <xdr:rowOff>30480</xdr:rowOff>
                  </from>
                  <to>
                    <xdr:col>1</xdr:col>
                    <xdr:colOff>1074420</xdr:colOff>
                    <xdr:row>18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23</xdr:row>
                    <xdr:rowOff>22860</xdr:rowOff>
                  </from>
                  <to>
                    <xdr:col>14</xdr:col>
                    <xdr:colOff>1341120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365760</xdr:colOff>
                    <xdr:row>22</xdr:row>
                    <xdr:rowOff>175260</xdr:rowOff>
                  </from>
                  <to>
                    <xdr:col>11</xdr:col>
                    <xdr:colOff>822960</xdr:colOff>
                    <xdr:row>27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22860</xdr:colOff>
                    <xdr:row>4</xdr:row>
                    <xdr:rowOff>99060</xdr:rowOff>
                  </from>
                  <to>
                    <xdr:col>2</xdr:col>
                    <xdr:colOff>289560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47</xdr:col>
                    <xdr:colOff>38100</xdr:colOff>
                    <xdr:row>19</xdr:row>
                    <xdr:rowOff>160020</xdr:rowOff>
                  </from>
                  <to>
                    <xdr:col>49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47</xdr:col>
                    <xdr:colOff>30480</xdr:colOff>
                    <xdr:row>18</xdr:row>
                    <xdr:rowOff>30480</xdr:rowOff>
                  </from>
                  <to>
                    <xdr:col>47</xdr:col>
                    <xdr:colOff>800100</xdr:colOff>
                    <xdr:row>18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58</xdr:col>
                    <xdr:colOff>792480</xdr:colOff>
                    <xdr:row>23</xdr:row>
                    <xdr:rowOff>30480</xdr:rowOff>
                  </from>
                  <to>
                    <xdr:col>59</xdr:col>
                    <xdr:colOff>662940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56</xdr:col>
                    <xdr:colOff>274320</xdr:colOff>
                    <xdr:row>23</xdr:row>
                    <xdr:rowOff>45720</xdr:rowOff>
                  </from>
                  <to>
                    <xdr:col>58</xdr:col>
                    <xdr:colOff>762000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4" name="Dropdown_TOWER_Structures">
              <controlPr defaultSize="0" autoLine="0" autoPict="0" macro="[0]!load_TOWER_Data">
                <anchor moveWithCells="1">
                  <from>
                    <xdr:col>93</xdr:col>
                    <xdr:colOff>38100</xdr:colOff>
                    <xdr:row>19</xdr:row>
                    <xdr:rowOff>160020</xdr:rowOff>
                  </from>
                  <to>
                    <xdr:col>95</xdr:col>
                    <xdr:colOff>381000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5" name="Button 27">
              <controlPr defaultSize="0" print="0" autoFill="0" autoPict="0" macro="[0]!load_TOWER_DB">
                <anchor moveWithCells="1" sizeWithCells="1">
                  <from>
                    <xdr:col>93</xdr:col>
                    <xdr:colOff>38100</xdr:colOff>
                    <xdr:row>18</xdr:row>
                    <xdr:rowOff>38100</xdr:rowOff>
                  </from>
                  <to>
                    <xdr:col>93</xdr:col>
                    <xdr:colOff>792480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print="0" autoFill="0" autoPict="0" macro="[0]!save_TOWER_Data">
                <anchor moveWithCells="1" sizeWithCells="1">
                  <from>
                    <xdr:col>105</xdr:col>
                    <xdr:colOff>868680</xdr:colOff>
                    <xdr:row>23</xdr:row>
                    <xdr:rowOff>22860</xdr:rowOff>
                  </from>
                  <to>
                    <xdr:col>106</xdr:col>
                    <xdr:colOff>2171700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" name="Button 29">
              <controlPr defaultSize="0" print="0" autoFill="0" autoPict="0" macro="[0]!delete_TOWER_Data">
                <anchor moveWithCells="1" sizeWithCells="1">
                  <from>
                    <xdr:col>103</xdr:col>
                    <xdr:colOff>335280</xdr:colOff>
                    <xdr:row>22</xdr:row>
                    <xdr:rowOff>175260</xdr:rowOff>
                  </from>
                  <to>
                    <xdr:col>105</xdr:col>
                    <xdr:colOff>807720</xdr:colOff>
                    <xdr:row>27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8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1097280</xdr:colOff>
                    <xdr:row>18</xdr:row>
                    <xdr:rowOff>30480</xdr:rowOff>
                  </from>
                  <to>
                    <xdr:col>1</xdr:col>
                    <xdr:colOff>2552700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9" name="Button 32">
              <controlPr defaultSize="0" print="0" autoFill="0" autoPict="0" macro="[0]!reload_TP_DB">
                <anchor moveWithCells="1" sizeWithCells="1">
                  <from>
                    <xdr:col>47</xdr:col>
                    <xdr:colOff>838200</xdr:colOff>
                    <xdr:row>18</xdr:row>
                    <xdr:rowOff>22860</xdr:rowOff>
                  </from>
                  <to>
                    <xdr:col>48</xdr:col>
                    <xdr:colOff>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" name="Button 33">
              <controlPr defaultSize="0" print="0" autoFill="0" autoPict="0" macro="[0]!reload_TOWER_DB">
                <anchor moveWithCells="1" sizeWithCells="1">
                  <from>
                    <xdr:col>93</xdr:col>
                    <xdr:colOff>822960</xdr:colOff>
                    <xdr:row>18</xdr:row>
                    <xdr:rowOff>22860</xdr:rowOff>
                  </from>
                  <to>
                    <xdr:col>94</xdr:col>
                    <xdr:colOff>7620</xdr:colOff>
                    <xdr:row>18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Import_MP_use_TP">
              <controlPr defaultSize="0" autoFill="0" autoLine="0" autoPict="0">
                <anchor moveWithCells="1">
                  <from>
                    <xdr:col>3</xdr:col>
                    <xdr:colOff>68580</xdr:colOff>
                    <xdr:row>6</xdr:row>
                    <xdr:rowOff>22860</xdr:rowOff>
                  </from>
                  <to>
                    <xdr:col>3</xdr:col>
                    <xdr:colOff>876300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2" name="Import_MP_use_MP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38100</xdr:rowOff>
                  </from>
                  <to>
                    <xdr:col>3</xdr:col>
                    <xdr:colOff>952500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3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30480</xdr:colOff>
                    <xdr:row>20</xdr:row>
                    <xdr:rowOff>0</xdr:rowOff>
                  </from>
                  <to>
                    <xdr:col>7</xdr:col>
                    <xdr:colOff>708660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4" name="Button 38">
              <controlPr defaultSize="0" print="0" autoFill="0" autoPict="0" macro="[0]!move_structure_TP">
                <anchor moveWithCells="1" sizeWithCells="1">
                  <from>
                    <xdr:col>54</xdr:col>
                    <xdr:colOff>60960</xdr:colOff>
                    <xdr:row>20</xdr:row>
                    <xdr:rowOff>0</xdr:rowOff>
                  </from>
                  <to>
                    <xdr:col>55</xdr:col>
                    <xdr:colOff>731520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5" name="Dropdown_RNA_Structures">
              <controlPr defaultSize="0" autoLine="0" autoPict="0">
                <anchor moveWithCells="1">
                  <from>
                    <xdr:col>139</xdr:col>
                    <xdr:colOff>38100</xdr:colOff>
                    <xdr:row>19</xdr:row>
                    <xdr:rowOff>160020</xdr:rowOff>
                  </from>
                  <to>
                    <xdr:col>141</xdr:col>
                    <xdr:colOff>152400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6" name="Button 40">
              <controlPr defaultSize="0" print="0" autoFill="0" autoPict="0" macro="[0]!load_RNA_DB">
                <anchor moveWithCells="1" sizeWithCells="1">
                  <from>
                    <xdr:col>139</xdr:col>
                    <xdr:colOff>38100</xdr:colOff>
                    <xdr:row>18</xdr:row>
                    <xdr:rowOff>38100</xdr:rowOff>
                  </from>
                  <to>
                    <xdr:col>139</xdr:col>
                    <xdr:colOff>792480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7" name="Button 41">
              <controlPr defaultSize="0" print="0" autoFill="0" autoPict="0" macro="[0]!save_RNA_Data">
                <anchor moveWithCells="1" sizeWithCells="1">
                  <from>
                    <xdr:col>143</xdr:col>
                    <xdr:colOff>861060</xdr:colOff>
                    <xdr:row>19</xdr:row>
                    <xdr:rowOff>30480</xdr:rowOff>
                  </from>
                  <to>
                    <xdr:col>145</xdr:col>
                    <xdr:colOff>1592580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8" name="Button 43">
              <controlPr defaultSize="0" print="0" autoFill="0" autoPict="0" macro="[0]!reload_RNA_DB">
                <anchor moveWithCells="1" sizeWithCells="1">
                  <from>
                    <xdr:col>139</xdr:col>
                    <xdr:colOff>822960</xdr:colOff>
                    <xdr:row>18</xdr:row>
                    <xdr:rowOff>22860</xdr:rowOff>
                  </from>
                  <to>
                    <xdr:col>140</xdr:col>
                    <xdr:colOff>7620</xdr:colOff>
                    <xdr:row>18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29" name="Button 44">
              <controlPr defaultSize="0" print="0" autoFill="0" autoPict="0" macro="[0]!import_Masses_from_GConverter">
                <anchor moveWithCells="1" sizeWithCells="1">
                  <from>
                    <xdr:col>1</xdr:col>
                    <xdr:colOff>7620</xdr:colOff>
                    <xdr:row>9</xdr:row>
                    <xdr:rowOff>114300</xdr:rowOff>
                  </from>
                  <to>
                    <xdr:col>2</xdr:col>
                    <xdr:colOff>274320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0" name="Import_GeomConv_useMP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38100</xdr:rowOff>
                  </from>
                  <to>
                    <xdr:col>3</xdr:col>
                    <xdr:colOff>952500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1" name="Import_GeomConv_useTP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45720</xdr:rowOff>
                  </from>
                  <to>
                    <xdr:col>3</xdr:col>
                    <xdr:colOff>876300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32" name="Import_GeomConv_useTOWER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76200</xdr:rowOff>
                  </from>
                  <to>
                    <xdr:col>3</xdr:col>
                    <xdr:colOff>876300</xdr:colOff>
                    <xdr:row>13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26"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BA454"/>
  <sheetViews>
    <sheetView topLeftCell="M50" zoomScale="85" zoomScaleNormal="85" workbookViewId="0">
      <selection activeCell="R81" sqref="R81"/>
    </sheetView>
  </sheetViews>
  <sheetFormatPr baseColWidth="10" defaultColWidth="14.44140625" defaultRowHeight="14.4" x14ac:dyDescent="0.3"/>
  <cols>
    <col min="1" max="1" width="14.44140625" style="51"/>
    <col min="2" max="2" width="16.6640625" style="51" customWidth="1"/>
    <col min="3" max="6" width="14.44140625" style="51"/>
    <col min="7" max="7" width="19.6640625" style="51" customWidth="1"/>
    <col min="8" max="9" width="14.44140625" style="51"/>
    <col min="10" max="10" width="14.44140625" style="51" customWidth="1"/>
    <col min="11" max="13" width="14.44140625" style="51"/>
    <col min="14" max="14" width="22.109375" style="51" customWidth="1"/>
    <col min="15" max="15" width="10.33203125" style="55" customWidth="1"/>
    <col min="16" max="16" width="23.88671875" style="55" customWidth="1"/>
    <col min="17" max="17" width="12.6640625" style="55" customWidth="1"/>
    <col min="18" max="18" width="58.6640625" style="55" customWidth="1"/>
    <col min="19" max="19" width="15.33203125" style="55" customWidth="1"/>
    <col min="20" max="20" width="23" style="55" customWidth="1"/>
    <col min="21" max="21" width="21.88671875" style="55" customWidth="1"/>
    <col min="22" max="22" width="27.44140625" style="55" customWidth="1"/>
    <col min="23" max="23" width="28.109375" style="55" customWidth="1"/>
    <col min="24" max="24" width="26.88671875" style="55" customWidth="1"/>
    <col min="25" max="25" width="15.33203125" style="55" customWidth="1"/>
    <col min="26" max="26" width="13" style="51" customWidth="1"/>
    <col min="27" max="27" width="14.44140625" style="51" customWidth="1"/>
    <col min="28" max="28" width="19.33203125" style="51" customWidth="1"/>
    <col min="29" max="29" width="14.44140625" style="51"/>
    <col min="30" max="30" width="17.6640625" style="51" customWidth="1"/>
    <col min="31" max="33" width="14.44140625" style="51"/>
    <col min="34" max="34" width="19" customWidth="1"/>
    <col min="35" max="35" width="18.44140625" customWidth="1"/>
    <col min="37" max="37" width="22.6640625" customWidth="1"/>
    <col min="39" max="39" width="20.44140625" customWidth="1"/>
    <col min="43" max="44" width="14.44140625" style="51"/>
    <col min="45" max="45" width="20.44140625" style="51" customWidth="1"/>
    <col min="46" max="46" width="26.6640625" style="51" customWidth="1"/>
    <col min="47" max="47" width="17.44140625" style="51" customWidth="1"/>
    <col min="48" max="16384" width="14.44140625" style="51"/>
  </cols>
  <sheetData>
    <row r="2" spans="2:53" ht="15" customHeight="1" x14ac:dyDescent="0.3">
      <c r="B2" s="51" t="s">
        <v>27</v>
      </c>
      <c r="C2" s="51" t="s">
        <v>116</v>
      </c>
      <c r="D2" s="55" t="s">
        <v>117</v>
      </c>
      <c r="E2" s="55"/>
      <c r="F2" s="55"/>
      <c r="G2" s="55"/>
      <c r="H2" s="55"/>
      <c r="I2" s="55" t="s">
        <v>138</v>
      </c>
      <c r="J2" s="51" t="s">
        <v>116</v>
      </c>
      <c r="K2" s="51" t="s">
        <v>117</v>
      </c>
      <c r="M2" s="55"/>
      <c r="N2" s="55"/>
    </row>
    <row r="3" spans="2:53" x14ac:dyDescent="0.3">
      <c r="B3" s="82" t="s">
        <v>131</v>
      </c>
      <c r="C3" s="84"/>
      <c r="D3" s="87" t="s">
        <v>84</v>
      </c>
      <c r="E3" s="55"/>
      <c r="I3" t="s">
        <v>78</v>
      </c>
      <c r="J3" s="69">
        <f>SUMIF(WHOLE_STRUCTURE[Affiliation], "TOWER", J14:J2252)</f>
        <v>691.70737506686044</v>
      </c>
      <c r="K3" s="51" t="s">
        <v>6</v>
      </c>
      <c r="M3" s="55"/>
      <c r="N3" s="55"/>
    </row>
    <row r="4" spans="2:53" ht="15" customHeight="1" x14ac:dyDescent="0.3">
      <c r="B4" s="82" t="s">
        <v>130</v>
      </c>
      <c r="C4" s="84" t="s">
        <v>49</v>
      </c>
      <c r="D4" s="87" t="s">
        <v>84</v>
      </c>
      <c r="I4" t="s">
        <v>92</v>
      </c>
      <c r="J4" s="69">
        <f>SUMIF(WHOLE_STRUCTURE[Affiliation], "TP", J14:J2252)</f>
        <v>186.6207794303341</v>
      </c>
      <c r="K4" s="51" t="s">
        <v>6</v>
      </c>
      <c r="L4" s="55"/>
      <c r="M4" s="55"/>
      <c r="N4" s="55"/>
    </row>
    <row r="5" spans="2:53" ht="15" customHeight="1" x14ac:dyDescent="0.3">
      <c r="B5" s="83" t="s">
        <v>216</v>
      </c>
      <c r="C5" s="85">
        <v>0</v>
      </c>
      <c r="D5" s="86" t="s">
        <v>132</v>
      </c>
      <c r="I5" t="s">
        <v>69</v>
      </c>
      <c r="J5" s="69">
        <f>SUMIF(WHOLE_STRUCTURE[Affiliation], "MP", J14:J2252)</f>
        <v>1732.2296836474418</v>
      </c>
      <c r="K5" s="51" t="s">
        <v>6</v>
      </c>
      <c r="M5" s="55"/>
      <c r="N5" s="55"/>
    </row>
    <row r="6" spans="2:53" x14ac:dyDescent="0.3">
      <c r="B6" s="82" t="s">
        <v>133</v>
      </c>
      <c r="C6" s="84">
        <v>-43.5</v>
      </c>
      <c r="D6" s="87" t="s">
        <v>132</v>
      </c>
      <c r="I6" t="s">
        <v>126</v>
      </c>
      <c r="J6" s="69" t="str" cm="1">
        <f t="array" ref="J6">RNA[Power '[MW']]</f>
        <v>//</v>
      </c>
      <c r="K6" s="51" t="s">
        <v>6</v>
      </c>
      <c r="M6" s="55"/>
      <c r="N6" s="55"/>
      <c r="AI6" s="93"/>
      <c r="AJ6" s="93"/>
    </row>
    <row r="7" spans="2:53" ht="15" customHeight="1" x14ac:dyDescent="0.3">
      <c r="I7" t="s">
        <v>129</v>
      </c>
      <c r="J7" s="69">
        <f>SUM(Q14:Q1048576)</f>
        <v>5287.9120000000003</v>
      </c>
      <c r="K7" s="51" t="s">
        <v>6</v>
      </c>
      <c r="M7" s="55"/>
      <c r="N7" s="55"/>
      <c r="AT7" s="51" t="s">
        <v>249</v>
      </c>
    </row>
    <row r="8" spans="2:53" ht="15" customHeight="1" x14ac:dyDescent="0.3">
      <c r="B8" s="106" t="s">
        <v>207</v>
      </c>
      <c r="C8" s="84">
        <f xml:space="preserve"> INDEX(WHOLE_STRUCTURE[Top '[m']], 1) + INDEX(RNA[Vertical Offset TT to HH '[m']],1)</f>
        <v>147.08999999999997</v>
      </c>
      <c r="D8" s="87" t="s">
        <v>132</v>
      </c>
      <c r="I8" t="s">
        <v>137</v>
      </c>
      <c r="J8" s="69">
        <f>SUM(J3:J7)</f>
        <v>7898.469838144636</v>
      </c>
      <c r="K8" s="51" t="s">
        <v>6</v>
      </c>
      <c r="M8" s="55"/>
      <c r="N8" s="55"/>
    </row>
    <row r="9" spans="2:53" ht="15" customHeight="1" x14ac:dyDescent="0.3">
      <c r="I9"/>
      <c r="J9" s="69"/>
      <c r="M9" s="55"/>
      <c r="N9" s="55"/>
    </row>
    <row r="10" spans="2:53" ht="15" customHeight="1" x14ac:dyDescent="0.3">
      <c r="B10"/>
      <c r="C10"/>
      <c r="D10"/>
      <c r="E10"/>
      <c r="F10"/>
      <c r="G10"/>
      <c r="H10"/>
      <c r="L10"/>
      <c r="M10"/>
      <c r="N10"/>
      <c r="O10"/>
      <c r="P10"/>
      <c r="Q10"/>
    </row>
    <row r="11" spans="2:53" ht="31.95" customHeight="1" x14ac:dyDescent="0.6">
      <c r="B11" s="68" t="s">
        <v>108</v>
      </c>
      <c r="O11" s="68" t="s">
        <v>109</v>
      </c>
      <c r="AA11" s="68" t="s">
        <v>111</v>
      </c>
      <c r="AH11" s="68" t="s">
        <v>126</v>
      </c>
      <c r="AR11" s="68" t="s">
        <v>20</v>
      </c>
      <c r="AX11" s="68" t="s">
        <v>110</v>
      </c>
    </row>
    <row r="14" spans="2:53" x14ac:dyDescent="0.3">
      <c r="B14" s="51" t="s">
        <v>1</v>
      </c>
      <c r="C14" s="51" t="s">
        <v>94</v>
      </c>
      <c r="D14" s="51" t="s">
        <v>91</v>
      </c>
      <c r="E14" s="51" t="s">
        <v>105</v>
      </c>
      <c r="F14" s="51" t="s">
        <v>104</v>
      </c>
      <c r="G14" s="51" t="s">
        <v>85</v>
      </c>
      <c r="H14" s="51" t="s">
        <v>86</v>
      </c>
      <c r="I14" s="51" t="s">
        <v>87</v>
      </c>
      <c r="J14" s="51" t="s">
        <v>93</v>
      </c>
      <c r="K14" s="51" t="s">
        <v>9</v>
      </c>
      <c r="L14" s="51" t="s">
        <v>10</v>
      </c>
      <c r="M14" s="51" t="s">
        <v>12</v>
      </c>
      <c r="O14" s="55" t="s">
        <v>94</v>
      </c>
      <c r="P14" s="108" t="s">
        <v>272</v>
      </c>
      <c r="Q14" t="s">
        <v>105</v>
      </c>
      <c r="R14" t="s">
        <v>104</v>
      </c>
      <c r="S14" s="51" t="s">
        <v>96</v>
      </c>
      <c r="T14" s="51" t="s">
        <v>239</v>
      </c>
      <c r="U14" s="51" t="s">
        <v>240</v>
      </c>
      <c r="V14" s="51" t="s">
        <v>241</v>
      </c>
      <c r="W14" s="51" t="s">
        <v>243</v>
      </c>
      <c r="X14" s="51" t="s">
        <v>242</v>
      </c>
      <c r="AA14" s="66" t="s">
        <v>94</v>
      </c>
      <c r="AB14" s="57" t="s">
        <v>107</v>
      </c>
      <c r="AC14" s="57" t="s">
        <v>128</v>
      </c>
      <c r="AD14" s="67" t="s">
        <v>19</v>
      </c>
      <c r="AH14" t="s">
        <v>80</v>
      </c>
      <c r="AI14" t="s">
        <v>139</v>
      </c>
      <c r="AJ14" t="s">
        <v>140</v>
      </c>
      <c r="AK14" t="s">
        <v>218</v>
      </c>
      <c r="AL14" t="s">
        <v>227</v>
      </c>
      <c r="AM14" t="s">
        <v>228</v>
      </c>
      <c r="AN14" t="s">
        <v>237</v>
      </c>
      <c r="AO14" t="s">
        <v>236</v>
      </c>
      <c r="AP14" s="97" t="s">
        <v>19</v>
      </c>
      <c r="AR14" s="51" t="s">
        <v>104</v>
      </c>
      <c r="AS14" s="51" t="s">
        <v>105</v>
      </c>
      <c r="AT14" s="51" t="s">
        <v>112</v>
      </c>
      <c r="AU14" s="51" t="s">
        <v>248</v>
      </c>
      <c r="AV14" s="51" t="s">
        <v>247</v>
      </c>
      <c r="AX14" s="51" t="s">
        <v>104</v>
      </c>
      <c r="AY14" s="51" t="s">
        <v>105</v>
      </c>
      <c r="AZ14" s="51" t="s">
        <v>17</v>
      </c>
      <c r="BA14" s="51" t="s">
        <v>18</v>
      </c>
    </row>
    <row r="15" spans="2:53" x14ac:dyDescent="0.3">
      <c r="B15" s="51">
        <v>1</v>
      </c>
      <c r="C15" s="51" t="s">
        <v>78</v>
      </c>
      <c r="D15" s="51">
        <v>1</v>
      </c>
      <c r="E15" s="51">
        <v>140.49999999999997</v>
      </c>
      <c r="F15" s="51">
        <v>140.32499999999996</v>
      </c>
      <c r="G15" s="51">
        <v>5.6159999999999997</v>
      </c>
      <c r="H15" s="51">
        <v>5.6159999999999997</v>
      </c>
      <c r="I15" s="51">
        <v>42</v>
      </c>
      <c r="J15" s="54">
        <f t="shared" ref="J15:J41" si="0">IF(7850/1000*(1/3)*PI()*ABS(E15-F15)*((G15/2)^2+(G15/2)*(H15/2)+(H15/2)^2-(G15/2-I15/1000)^2-(G15/2-I15/1000)*(H15/2-I15/1000)-(H15/2-I15/1000)^2)=0,"",7850/1000*(1/3)*PI()*ABS(E15-F15)*((G15/2)^2+(G15/2)*(H15/2)+(H15/2)^2-(G15/2-I15/1000)^2-(G15/2-I15/1000)*(H15/2-I15/1000)-(H15/2-I15/1000)^2))</f>
        <v>1.0103546228354485</v>
      </c>
      <c r="K15" s="53">
        <f>IFERROR(WHOLE_STRUCTURE[[#This Row],[Bottom '[m']]]-WHOLE_STRUCTURE[[#This Row],[D, top '[m']]], "")</f>
        <v>134.70899999999995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133.71428571428569</v>
      </c>
      <c r="O15" s="55" t="s">
        <v>78</v>
      </c>
      <c r="P15" s="55" t="s">
        <v>262</v>
      </c>
      <c r="Q15" s="55">
        <v>140.49999999999997</v>
      </c>
      <c r="R15" s="55">
        <v>140.49999999999997</v>
      </c>
      <c r="S15" s="128">
        <v>6154</v>
      </c>
      <c r="T15" s="128"/>
      <c r="U15" s="128"/>
      <c r="V15" s="128"/>
      <c r="W15" s="128"/>
      <c r="X15" s="128"/>
      <c r="AB15" s="69"/>
      <c r="AC15" s="69"/>
      <c r="AH15" s="58" t="s">
        <v>250</v>
      </c>
      <c r="AI15" s="58" t="s">
        <v>156</v>
      </c>
      <c r="AJ15" s="58" t="s">
        <v>156</v>
      </c>
      <c r="AK15" s="60">
        <v>1394251</v>
      </c>
      <c r="AL15" s="60">
        <v>382420000</v>
      </c>
      <c r="AM15" s="60">
        <v>639730000</v>
      </c>
      <c r="AN15" s="60">
        <v>6.59</v>
      </c>
      <c r="AO15" s="60">
        <v>5.74</v>
      </c>
      <c r="AP15" s="60" t="s">
        <v>266</v>
      </c>
      <c r="AR15" s="51">
        <v>139</v>
      </c>
      <c r="AS15" s="51">
        <v>4.5999999999999996</v>
      </c>
      <c r="AT15" s="51">
        <v>0</v>
      </c>
      <c r="AU15" s="51">
        <v>1325</v>
      </c>
      <c r="AV15" s="51">
        <v>0.5</v>
      </c>
      <c r="AX15" s="51">
        <v>20</v>
      </c>
      <c r="AY15" s="51">
        <v>6.5</v>
      </c>
      <c r="AZ15" s="51">
        <v>0.9</v>
      </c>
      <c r="BA15" s="51">
        <v>2</v>
      </c>
    </row>
    <row r="16" spans="2:53" x14ac:dyDescent="0.3">
      <c r="B16" s="51">
        <v>2</v>
      </c>
      <c r="C16" s="51" t="s">
        <v>78</v>
      </c>
      <c r="D16" s="51">
        <v>2</v>
      </c>
      <c r="E16" s="51">
        <v>140.32499999999996</v>
      </c>
      <c r="F16" s="51">
        <v>140.27499999999998</v>
      </c>
      <c r="G16" s="51">
        <v>5.6159999999999997</v>
      </c>
      <c r="H16" s="51">
        <v>5.609</v>
      </c>
      <c r="I16" s="51">
        <v>42</v>
      </c>
      <c r="J16" s="54">
        <f t="shared" si="0"/>
        <v>0.28849148733930929</v>
      </c>
      <c r="K16" s="53">
        <f>IFERROR(WHOLE_STRUCTURE[[#This Row],[Bottom '[m']]]-WHOLE_STRUCTURE[[#This Row],[D, top '[m']]], "")</f>
        <v>134.65899999999999</v>
      </c>
      <c r="L16" s="54">
        <f>IFERROR(-(WHOLE_STRUCTURE[[#This Row],[D, bottom '[m']]]-WHOLE_STRUCTURE[[#This Row],[D, top '[m']]])/(WHOLE_STRUCTURE[[#This Row],[Bottom '[m']]]-WHOLE_STRUCTURE[[#This Row],[Top '[m']]]),"")</f>
        <v>-0.1400000000000412</v>
      </c>
      <c r="M16" s="52">
        <f>IFERROR((WHOLE_STRUCTURE[[#This Row],[D, bottom '[m']]]+WHOLE_STRUCTURE[[#This Row],[D, top '[m']]])/(2*WHOLE_STRUCTURE[[#This Row],[t '[mm']]]/1000),"")</f>
        <v>133.63095238095238</v>
      </c>
      <c r="O16" s="55" t="s">
        <v>78</v>
      </c>
      <c r="P16" s="55" t="s">
        <v>262</v>
      </c>
      <c r="Q16" s="55">
        <v>140.32499999999996</v>
      </c>
      <c r="R16" s="55">
        <v>140.32499999999996</v>
      </c>
      <c r="S16" s="128">
        <v>5</v>
      </c>
      <c r="T16" s="128"/>
      <c r="U16" s="128"/>
      <c r="V16" s="128"/>
      <c r="W16" s="128"/>
      <c r="X16" s="128"/>
      <c r="AR16" s="51">
        <f>IF(ISBLANK(AS16),"",AS15)</f>
        <v>4.5999999999999996</v>
      </c>
      <c r="AS16" s="51">
        <v>-9.6</v>
      </c>
      <c r="AT16" s="51">
        <v>250</v>
      </c>
      <c r="AU16" s="51">
        <v>1325</v>
      </c>
      <c r="AV16" s="51">
        <v>0.5</v>
      </c>
      <c r="AX16" s="51">
        <f>IF(ISBLANK(AY16),"",AY15)</f>
        <v>6.5</v>
      </c>
      <c r="AY16" s="51">
        <v>-22</v>
      </c>
      <c r="AZ16" s="51">
        <v>0.9</v>
      </c>
      <c r="BA16" s="51">
        <v>2</v>
      </c>
    </row>
    <row r="17" spans="2:50" x14ac:dyDescent="0.3">
      <c r="B17" s="51">
        <v>3</v>
      </c>
      <c r="C17" s="51" t="s">
        <v>78</v>
      </c>
      <c r="D17" s="51">
        <v>3</v>
      </c>
      <c r="E17" s="51">
        <v>140.27499999999998</v>
      </c>
      <c r="F17" s="51">
        <v>138.62499999999997</v>
      </c>
      <c r="G17" s="51">
        <v>5.609</v>
      </c>
      <c r="H17" s="51">
        <v>5.9039999999999999</v>
      </c>
      <c r="I17" s="51">
        <v>35</v>
      </c>
      <c r="J17" s="54">
        <f t="shared" si="0"/>
        <v>8.1485703675329084</v>
      </c>
      <c r="K17" s="53">
        <f>IFERROR(WHOLE_STRUCTURE[[#This Row],[Bottom '[m']]]-WHOLE_STRUCTURE[[#This Row],[D, top '[m']]], "")</f>
        <v>133.01599999999996</v>
      </c>
      <c r="L17" s="54">
        <f>IFERROR(-(WHOLE_STRUCTURE[[#This Row],[D, bottom '[m']]]-WHOLE_STRUCTURE[[#This Row],[D, top '[m']]])/(WHOLE_STRUCTURE[[#This Row],[Bottom '[m']]]-WHOLE_STRUCTURE[[#This Row],[Top '[m']]]),"")</f>
        <v>0.17878787878787814</v>
      </c>
      <c r="M17" s="52">
        <f>IFERROR((WHOLE_STRUCTURE[[#This Row],[D, bottom '[m']]]+WHOLE_STRUCTURE[[#This Row],[D, top '[m']]])/(2*WHOLE_STRUCTURE[[#This Row],[t '[mm']]]/1000),"")</f>
        <v>164.47142857142856</v>
      </c>
      <c r="O17" s="55" t="s">
        <v>78</v>
      </c>
      <c r="P17" s="55" t="s">
        <v>262</v>
      </c>
      <c r="Q17" s="55">
        <v>140.27499999999998</v>
      </c>
      <c r="R17" s="55">
        <v>140.27499999999998</v>
      </c>
      <c r="S17" s="128">
        <v>2</v>
      </c>
      <c r="T17" s="128"/>
      <c r="U17" s="128"/>
      <c r="V17" s="128"/>
      <c r="W17" s="128"/>
      <c r="X17" s="128"/>
      <c r="AR17" s="51">
        <f t="shared" ref="AR17" si="1">IF(ISBLANK(AS17),"",AS16)</f>
        <v>-9.6</v>
      </c>
      <c r="AS17" s="51">
        <v>-22</v>
      </c>
      <c r="AT17" s="51">
        <v>100</v>
      </c>
      <c r="AU17" s="51">
        <v>1325</v>
      </c>
      <c r="AV17" s="51">
        <v>0.5</v>
      </c>
      <c r="AX17" s="51" t="str">
        <f t="shared" ref="AX17" si="2">IF(ISBLANK(AY17),"",AY16)</f>
        <v/>
      </c>
    </row>
    <row r="18" spans="2:50" x14ac:dyDescent="0.3">
      <c r="B18" s="51">
        <v>4</v>
      </c>
      <c r="C18" s="51" t="s">
        <v>78</v>
      </c>
      <c r="D18" s="51">
        <v>4</v>
      </c>
      <c r="E18" s="51">
        <v>138.62499999999997</v>
      </c>
      <c r="F18" s="51">
        <v>136.97499999999997</v>
      </c>
      <c r="G18" s="51">
        <v>5.9039999999999999</v>
      </c>
      <c r="H18" s="51">
        <v>6.258</v>
      </c>
      <c r="I18" s="51">
        <v>40</v>
      </c>
      <c r="J18" s="54">
        <f t="shared" si="0"/>
        <v>9.8326889482561182</v>
      </c>
      <c r="K18" s="53">
        <f>IFERROR(WHOLE_STRUCTURE[[#This Row],[Bottom '[m']]]-WHOLE_STRUCTURE[[#This Row],[D, top '[m']]], "")</f>
        <v>131.07099999999997</v>
      </c>
      <c r="L18" s="54">
        <f>IFERROR(-(WHOLE_STRUCTURE[[#This Row],[D, bottom '[m']]]-WHOLE_STRUCTURE[[#This Row],[D, top '[m']]])/(WHOLE_STRUCTURE[[#This Row],[Bottom '[m']]]-WHOLE_STRUCTURE[[#This Row],[Top '[m']]]),"")</f>
        <v>0.21454545454545387</v>
      </c>
      <c r="M18" s="52">
        <f>IFERROR((WHOLE_STRUCTURE[[#This Row],[D, bottom '[m']]]+WHOLE_STRUCTURE[[#This Row],[D, top '[m']]])/(2*WHOLE_STRUCTURE[[#This Row],[t '[mm']]]/1000),"")</f>
        <v>152.02499999999998</v>
      </c>
      <c r="O18" s="55" t="s">
        <v>78</v>
      </c>
      <c r="P18" s="55" t="s">
        <v>262</v>
      </c>
      <c r="Q18" s="55">
        <v>138.23499999999999</v>
      </c>
      <c r="R18" s="55">
        <v>138.23499999999999</v>
      </c>
      <c r="S18" s="128">
        <v>1981</v>
      </c>
      <c r="T18" s="128"/>
      <c r="U18" s="128"/>
      <c r="V18" s="128"/>
      <c r="W18" s="128"/>
      <c r="X18" s="128"/>
      <c r="AA18" s="56" t="s">
        <v>94</v>
      </c>
      <c r="AB18" s="57" t="s">
        <v>105</v>
      </c>
      <c r="AC18" s="57" t="s">
        <v>104</v>
      </c>
      <c r="AD18" s="57" t="s">
        <v>85</v>
      </c>
      <c r="AE18" s="57" t="s">
        <v>86</v>
      </c>
      <c r="AF18" s="57" t="s">
        <v>87</v>
      </c>
    </row>
    <row r="19" spans="2:50" x14ac:dyDescent="0.3">
      <c r="B19" s="51">
        <v>5</v>
      </c>
      <c r="C19" s="51" t="s">
        <v>78</v>
      </c>
      <c r="D19" s="51">
        <v>5</v>
      </c>
      <c r="E19" s="51">
        <v>136.97499999999997</v>
      </c>
      <c r="F19" s="51">
        <v>136.38899999999998</v>
      </c>
      <c r="G19" s="51">
        <v>6.258</v>
      </c>
      <c r="H19" s="51">
        <v>6.258</v>
      </c>
      <c r="I19" s="51">
        <v>58</v>
      </c>
      <c r="J19" s="54">
        <f t="shared" si="0"/>
        <v>5.1968098755337806</v>
      </c>
      <c r="K19" s="53">
        <f>IFERROR(WHOLE_STRUCTURE[[#This Row],[Bottom '[m']]]-WHOLE_STRUCTURE[[#This Row],[D, top '[m']]], "")</f>
        <v>130.13099999999997</v>
      </c>
      <c r="L19" s="54">
        <f>IFERROR(-(WHOLE_STRUCTURE[[#This Row],[D, bottom '[m']]]-WHOLE_STRUCTURE[[#This Row],[D, top '[m']]])/(WHOLE_STRUCTURE[[#This Row],[Bottom '[m']]]-WHOLE_STRUCTURE[[#This Row],[Top '[m']]]),"")</f>
        <v>0</v>
      </c>
      <c r="M19" s="52">
        <f>IFERROR((WHOLE_STRUCTURE[[#This Row],[D, bottom '[m']]]+WHOLE_STRUCTURE[[#This Row],[D, top '[m']]])/(2*WHOLE_STRUCTURE[[#This Row],[t '[mm']]]/1000),"")</f>
        <v>107.89655172413792</v>
      </c>
      <c r="O19" s="55" t="s">
        <v>78</v>
      </c>
      <c r="P19" s="55" t="s">
        <v>262</v>
      </c>
      <c r="Q19" s="55">
        <v>136.58499999999998</v>
      </c>
      <c r="R19" s="55">
        <v>136.58499999999998</v>
      </c>
      <c r="S19" s="128">
        <v>82</v>
      </c>
      <c r="T19" s="128"/>
      <c r="U19" s="128"/>
      <c r="V19" s="128"/>
      <c r="W19" s="128"/>
      <c r="X19" s="128"/>
      <c r="AA19" s="58"/>
      <c r="AB19" s="58"/>
      <c r="AC19" s="58"/>
      <c r="AD19" s="58"/>
      <c r="AE19" s="59"/>
      <c r="AF19" s="60"/>
    </row>
    <row r="20" spans="2:50" x14ac:dyDescent="0.3">
      <c r="B20" s="51">
        <v>6</v>
      </c>
      <c r="C20" s="51" t="s">
        <v>78</v>
      </c>
      <c r="D20" s="51">
        <v>6</v>
      </c>
      <c r="E20" s="51">
        <v>136.38899999999998</v>
      </c>
      <c r="F20" s="51">
        <v>135.29999999999998</v>
      </c>
      <c r="G20" s="51">
        <v>6.258</v>
      </c>
      <c r="H20" s="51">
        <v>6.258</v>
      </c>
      <c r="I20" s="51">
        <v>58</v>
      </c>
      <c r="J20" s="54">
        <f t="shared" si="0"/>
        <v>9.6575528233044903</v>
      </c>
      <c r="K20" s="53">
        <f>IFERROR(WHOLE_STRUCTURE[[#This Row],[Bottom '[m']]]-WHOLE_STRUCTURE[[#This Row],[D, top '[m']]], "")</f>
        <v>129.04199999999997</v>
      </c>
      <c r="L20" s="54">
        <f>IFERROR(-(WHOLE_STRUCTURE[[#This Row],[D, bottom '[m']]]-WHOLE_STRUCTURE[[#This Row],[D, top '[m']]])/(WHOLE_STRUCTURE[[#This Row],[Bottom '[m']]]-WHOLE_STRUCTURE[[#This Row],[Top '[m']]]),"")</f>
        <v>0</v>
      </c>
      <c r="M20" s="52">
        <f>IFERROR((WHOLE_STRUCTURE[[#This Row],[D, bottom '[m']]]+WHOLE_STRUCTURE[[#This Row],[D, top '[m']]])/(2*WHOLE_STRUCTURE[[#This Row],[t '[mm']]]/1000),"")</f>
        <v>107.89655172413792</v>
      </c>
      <c r="O20" s="55" t="s">
        <v>78</v>
      </c>
      <c r="P20" s="55" t="s">
        <v>262</v>
      </c>
      <c r="Q20" s="55">
        <v>135.999</v>
      </c>
      <c r="R20" s="55">
        <v>135.999</v>
      </c>
      <c r="S20" s="128">
        <v>88</v>
      </c>
      <c r="T20" s="128"/>
      <c r="U20" s="128"/>
      <c r="V20" s="128"/>
      <c r="W20" s="128"/>
      <c r="X20" s="128"/>
      <c r="AA20" s="58"/>
      <c r="AB20" s="58"/>
      <c r="AC20" s="58"/>
      <c r="AD20" s="58"/>
      <c r="AE20" s="59"/>
      <c r="AF20" s="58"/>
    </row>
    <row r="21" spans="2:50" x14ac:dyDescent="0.3">
      <c r="B21" s="51">
        <v>7</v>
      </c>
      <c r="C21" s="51" t="s">
        <v>78</v>
      </c>
      <c r="D21" s="51">
        <v>7</v>
      </c>
      <c r="E21" s="51">
        <v>135.29999999999998</v>
      </c>
      <c r="F21" s="51">
        <v>133.47499999999997</v>
      </c>
      <c r="G21" s="51">
        <v>6.258</v>
      </c>
      <c r="H21" s="51">
        <v>6.2229999999999999</v>
      </c>
      <c r="I21" s="51">
        <v>58</v>
      </c>
      <c r="J21" s="54">
        <f t="shared" si="0"/>
        <v>16.138921784175626</v>
      </c>
      <c r="K21" s="53">
        <f>IFERROR(WHOLE_STRUCTURE[[#This Row],[Bottom '[m']]]-WHOLE_STRUCTURE[[#This Row],[D, top '[m']]], "")</f>
        <v>127.21699999999997</v>
      </c>
      <c r="L21" s="54">
        <f>IFERROR(-(WHOLE_STRUCTURE[[#This Row],[D, bottom '[m']]]-WHOLE_STRUCTURE[[#This Row],[D, top '[m']]])/(WHOLE_STRUCTURE[[#This Row],[Bottom '[m']]]-WHOLE_STRUCTURE[[#This Row],[Top '[m']]]),"")</f>
        <v>-1.9178082191780719E-2</v>
      </c>
      <c r="M21" s="52">
        <f>IFERROR((WHOLE_STRUCTURE[[#This Row],[D, bottom '[m']]]+WHOLE_STRUCTURE[[#This Row],[D, top '[m']]])/(2*WHOLE_STRUCTURE[[#This Row],[t '[mm']]]/1000),"")</f>
        <v>107.59482758620689</v>
      </c>
      <c r="O21" s="55" t="s">
        <v>78</v>
      </c>
      <c r="P21" s="55" t="s">
        <v>262</v>
      </c>
      <c r="Q21" s="55">
        <v>134.91</v>
      </c>
      <c r="R21" s="55">
        <v>134.91</v>
      </c>
      <c r="S21" s="128">
        <v>41600</v>
      </c>
      <c r="T21" s="128"/>
      <c r="U21" s="128"/>
      <c r="V21" s="128"/>
      <c r="W21" s="128"/>
      <c r="X21" s="128"/>
    </row>
    <row r="22" spans="2:50" x14ac:dyDescent="0.3">
      <c r="B22" s="51">
        <v>8</v>
      </c>
      <c r="C22" s="51" t="s">
        <v>78</v>
      </c>
      <c r="D22" s="51">
        <v>8</v>
      </c>
      <c r="E22" s="51">
        <v>133.47499999999997</v>
      </c>
      <c r="F22" s="51">
        <v>131.23999999999998</v>
      </c>
      <c r="G22" s="51">
        <v>6.2229999999999999</v>
      </c>
      <c r="H22" s="51">
        <v>6.2229999999999999</v>
      </c>
      <c r="I22" s="51">
        <v>23</v>
      </c>
      <c r="J22" s="54">
        <f t="shared" si="0"/>
        <v>7.8598920693133492</v>
      </c>
      <c r="K22" s="53">
        <f>IFERROR(WHOLE_STRUCTURE[[#This Row],[Bottom '[m']]]-WHOLE_STRUCTURE[[#This Row],[D, top '[m']]], "")</f>
        <v>125.01699999999998</v>
      </c>
      <c r="L22" s="54">
        <f>IFERROR(-(WHOLE_STRUCTURE[[#This Row],[D, bottom '[m']]]-WHOLE_STRUCTURE[[#This Row],[D, top '[m']]])/(WHOLE_STRUCTURE[[#This Row],[Bottom '[m']]]-WHOLE_STRUCTURE[[#This Row],[Top '[m']]]),"")</f>
        <v>0</v>
      </c>
      <c r="M22" s="52">
        <f>IFERROR((WHOLE_STRUCTURE[[#This Row],[D, bottom '[m']]]+WHOLE_STRUCTURE[[#This Row],[D, top '[m']]])/(2*WHOLE_STRUCTURE[[#This Row],[t '[mm']]]/1000),"")</f>
        <v>270.56521739130437</v>
      </c>
      <c r="O22" s="55" t="s">
        <v>78</v>
      </c>
      <c r="P22" s="55" t="s">
        <v>262</v>
      </c>
      <c r="Q22" s="55">
        <v>133.08499999999998</v>
      </c>
      <c r="R22" s="55">
        <v>133.08499999999998</v>
      </c>
      <c r="S22" s="128">
        <v>88</v>
      </c>
      <c r="T22" s="128"/>
      <c r="U22" s="128"/>
      <c r="V22" s="128"/>
      <c r="W22" s="128"/>
      <c r="X22" s="128"/>
    </row>
    <row r="23" spans="2:50" x14ac:dyDescent="0.3">
      <c r="B23" s="51">
        <v>9</v>
      </c>
      <c r="C23" s="51" t="s">
        <v>78</v>
      </c>
      <c r="D23" s="51">
        <v>9</v>
      </c>
      <c r="E23" s="51">
        <v>131.23999999999998</v>
      </c>
      <c r="F23" s="51">
        <v>130.89999999999998</v>
      </c>
      <c r="G23" s="51">
        <v>6.2229999999999999</v>
      </c>
      <c r="H23" s="51">
        <v>6.2229999999999999</v>
      </c>
      <c r="I23" s="51">
        <v>23</v>
      </c>
      <c r="J23" s="54">
        <f t="shared" si="0"/>
        <v>1.1956882790007084</v>
      </c>
      <c r="K23" s="53">
        <f>IFERROR(WHOLE_STRUCTURE[[#This Row],[Bottom '[m']]]-WHOLE_STRUCTURE[[#This Row],[D, top '[m']]], "")</f>
        <v>124.67699999999998</v>
      </c>
      <c r="L23" s="54">
        <f>IFERROR(-(WHOLE_STRUCTURE[[#This Row],[D, bottom '[m']]]-WHOLE_STRUCTURE[[#This Row],[D, top '[m']]])/(WHOLE_STRUCTURE[[#This Row],[Bottom '[m']]]-WHOLE_STRUCTURE[[#This Row],[Top '[m']]]),"")</f>
        <v>0</v>
      </c>
      <c r="M23" s="52">
        <f>IFERROR((WHOLE_STRUCTURE[[#This Row],[D, bottom '[m']]]+WHOLE_STRUCTURE[[#This Row],[D, top '[m']]])/(2*WHOLE_STRUCTURE[[#This Row],[t '[mm']]]/1000),"")</f>
        <v>270.56521739130437</v>
      </c>
      <c r="O23" s="55" t="s">
        <v>78</v>
      </c>
      <c r="P23" s="55" t="s">
        <v>262</v>
      </c>
      <c r="Q23" s="55">
        <v>131.23999999999998</v>
      </c>
      <c r="R23" s="55">
        <v>131.23999999999998</v>
      </c>
      <c r="S23" s="128">
        <v>92</v>
      </c>
      <c r="T23" s="128"/>
      <c r="U23" s="128"/>
      <c r="V23" s="128"/>
      <c r="W23" s="128"/>
      <c r="X23" s="128"/>
    </row>
    <row r="24" spans="2:50" x14ac:dyDescent="0.3">
      <c r="B24" s="51">
        <v>10</v>
      </c>
      <c r="C24" s="51" t="s">
        <v>78</v>
      </c>
      <c r="D24" s="51">
        <v>10</v>
      </c>
      <c r="E24" s="51">
        <v>130.89999999999998</v>
      </c>
      <c r="F24" s="51">
        <v>128.48999999999998</v>
      </c>
      <c r="G24" s="51">
        <v>6.2229999999999999</v>
      </c>
      <c r="H24" s="51">
        <v>6.2229999999999999</v>
      </c>
      <c r="I24" s="51">
        <v>23</v>
      </c>
      <c r="J24" s="54">
        <f t="shared" si="0"/>
        <v>8.475319859975512</v>
      </c>
      <c r="K24" s="53">
        <f>IFERROR(WHOLE_STRUCTURE[[#This Row],[Bottom '[m']]]-WHOLE_STRUCTURE[[#This Row],[D, top '[m']]], "")</f>
        <v>122.26699999999998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270.56521739130437</v>
      </c>
      <c r="O24" s="55" t="s">
        <v>78</v>
      </c>
      <c r="P24" s="55" t="s">
        <v>262</v>
      </c>
      <c r="Q24" s="55">
        <v>130.89999999999998</v>
      </c>
      <c r="R24" s="55">
        <v>130.89999999999998</v>
      </c>
      <c r="S24" s="128">
        <v>138</v>
      </c>
      <c r="T24" s="128"/>
      <c r="U24" s="128"/>
      <c r="V24" s="128"/>
      <c r="W24" s="128"/>
      <c r="X24" s="128"/>
    </row>
    <row r="25" spans="2:50" x14ac:dyDescent="0.3">
      <c r="B25" s="51">
        <v>11</v>
      </c>
      <c r="C25" s="51" t="s">
        <v>78</v>
      </c>
      <c r="D25" s="51">
        <v>11</v>
      </c>
      <c r="E25" s="51">
        <v>128.48999999999998</v>
      </c>
      <c r="F25" s="51">
        <v>125.74000000000001</v>
      </c>
      <c r="G25" s="51">
        <v>6.2229999999999999</v>
      </c>
      <c r="H25" s="51">
        <v>6.2229999999999999</v>
      </c>
      <c r="I25" s="51">
        <v>23</v>
      </c>
      <c r="J25" s="54">
        <f t="shared" si="0"/>
        <v>9.6710081389761218</v>
      </c>
      <c r="K25" s="53">
        <f>IFERROR(WHOLE_STRUCTURE[[#This Row],[Bottom '[m']]]-WHOLE_STRUCTURE[[#This Row],[D, top '[m']]], "")</f>
        <v>119.51700000000001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270.56521739130437</v>
      </c>
      <c r="O25" s="55" t="s">
        <v>78</v>
      </c>
      <c r="P25" s="55" t="s">
        <v>262</v>
      </c>
      <c r="Q25" s="55">
        <v>125.74</v>
      </c>
      <c r="R25" s="55">
        <v>125.74</v>
      </c>
      <c r="S25" s="128">
        <v>138</v>
      </c>
      <c r="T25" s="128"/>
      <c r="U25" s="128"/>
      <c r="V25" s="128"/>
      <c r="W25" s="128"/>
      <c r="X25" s="128"/>
    </row>
    <row r="26" spans="2:50" x14ac:dyDescent="0.3">
      <c r="B26" s="51">
        <v>12</v>
      </c>
      <c r="C26" s="51" t="s">
        <v>78</v>
      </c>
      <c r="D26" s="51">
        <v>12</v>
      </c>
      <c r="E26" s="51">
        <v>125.74000000000001</v>
      </c>
      <c r="F26" s="51">
        <v>123.667</v>
      </c>
      <c r="G26" s="51">
        <v>6.2229999999999999</v>
      </c>
      <c r="H26" s="51">
        <v>6.2229999999999999</v>
      </c>
      <c r="I26" s="51">
        <v>23</v>
      </c>
      <c r="J26" s="54">
        <f t="shared" si="0"/>
        <v>7.2901817716719197</v>
      </c>
      <c r="K26" s="53">
        <f>IFERROR(WHOLE_STRUCTURE[[#This Row],[Bottom '[m']]]-WHOLE_STRUCTURE[[#This Row],[D, top '[m']]], "")</f>
        <v>117.444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270.56521739130437</v>
      </c>
      <c r="O26" s="55" t="s">
        <v>78</v>
      </c>
      <c r="P26" s="55" t="s">
        <v>262</v>
      </c>
      <c r="Q26" s="55">
        <v>123.66699999999999</v>
      </c>
      <c r="R26" s="55">
        <v>123.66699999999999</v>
      </c>
      <c r="S26" s="128">
        <v>147</v>
      </c>
      <c r="T26" s="128"/>
      <c r="U26" s="128"/>
      <c r="V26" s="128"/>
      <c r="W26" s="128"/>
      <c r="X26" s="128"/>
    </row>
    <row r="27" spans="2:50" x14ac:dyDescent="0.3">
      <c r="B27" s="51">
        <v>13</v>
      </c>
      <c r="C27" s="51" t="s">
        <v>78</v>
      </c>
      <c r="D27" s="51">
        <v>13</v>
      </c>
      <c r="E27" s="51">
        <v>123.667</v>
      </c>
      <c r="F27" s="51">
        <v>122.81</v>
      </c>
      <c r="G27" s="51">
        <v>6.2229999999999999</v>
      </c>
      <c r="H27" s="51">
        <v>6.2229999999999999</v>
      </c>
      <c r="I27" s="51">
        <v>23</v>
      </c>
      <c r="J27" s="54">
        <f t="shared" si="0"/>
        <v>3.0138378091282236</v>
      </c>
      <c r="K27" s="53">
        <f>IFERROR(WHOLE_STRUCTURE[[#This Row],[Bottom '[m']]]-WHOLE_STRUCTURE[[#This Row],[D, top '[m']]], "")</f>
        <v>116.587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270.56521739130437</v>
      </c>
      <c r="O27" s="55" t="s">
        <v>78</v>
      </c>
      <c r="P27" s="55" t="s">
        <v>262</v>
      </c>
      <c r="Q27" s="55">
        <v>120.89999999999999</v>
      </c>
      <c r="R27" s="55">
        <v>120.89999999999999</v>
      </c>
      <c r="S27" s="128">
        <v>147</v>
      </c>
      <c r="T27" s="128"/>
      <c r="U27" s="128"/>
      <c r="V27" s="128"/>
      <c r="W27" s="128"/>
      <c r="X27" s="128"/>
    </row>
    <row r="28" spans="2:50" x14ac:dyDescent="0.3">
      <c r="B28" s="51">
        <v>14</v>
      </c>
      <c r="C28" s="51" t="s">
        <v>78</v>
      </c>
      <c r="D28" s="51">
        <v>14</v>
      </c>
      <c r="E28" s="51">
        <v>122.81</v>
      </c>
      <c r="F28" s="51">
        <v>120.9</v>
      </c>
      <c r="G28" s="51">
        <v>6.2229999999999999</v>
      </c>
      <c r="H28" s="51">
        <v>6.2229999999999999</v>
      </c>
      <c r="I28" s="51">
        <v>23</v>
      </c>
      <c r="J28" s="54">
        <f t="shared" si="0"/>
        <v>6.7169547437980182</v>
      </c>
      <c r="K28" s="53">
        <f>IFERROR(WHOLE_STRUCTURE[[#This Row],[Bottom '[m']]]-WHOLE_STRUCTURE[[#This Row],[D, top '[m']]], "")</f>
        <v>114.67700000000001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270.56521739130437</v>
      </c>
      <c r="O28" s="55" t="s">
        <v>78</v>
      </c>
      <c r="P28" s="55" t="s">
        <v>262</v>
      </c>
      <c r="Q28" s="55">
        <v>119.88</v>
      </c>
      <c r="R28" s="55">
        <v>119.88</v>
      </c>
      <c r="S28" s="128">
        <v>1060</v>
      </c>
      <c r="T28" s="128"/>
      <c r="U28" s="128"/>
      <c r="V28" s="128"/>
      <c r="W28" s="128"/>
      <c r="X28" s="128"/>
    </row>
    <row r="29" spans="2:50" x14ac:dyDescent="0.3">
      <c r="B29" s="51">
        <v>15</v>
      </c>
      <c r="C29" s="51" t="s">
        <v>78</v>
      </c>
      <c r="D29" s="51">
        <v>15</v>
      </c>
      <c r="E29" s="51">
        <v>120.9</v>
      </c>
      <c r="F29" s="51">
        <v>119.88000000000001</v>
      </c>
      <c r="G29" s="51">
        <v>6.2229999999999999</v>
      </c>
      <c r="H29" s="51">
        <v>6.2229999999999999</v>
      </c>
      <c r="I29" s="51">
        <v>23</v>
      </c>
      <c r="J29" s="54">
        <f t="shared" si="0"/>
        <v>3.587064837002075</v>
      </c>
      <c r="K29" s="53">
        <f>IFERROR(WHOLE_STRUCTURE[[#This Row],[Bottom '[m']]]-WHOLE_STRUCTURE[[#This Row],[D, top '[m']]], "")</f>
        <v>113.65700000000001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270.56521739130437</v>
      </c>
      <c r="O29" s="55" t="s">
        <v>78</v>
      </c>
      <c r="P29" s="55" t="s">
        <v>262</v>
      </c>
      <c r="Q29" s="55">
        <v>116.94999999999999</v>
      </c>
      <c r="R29" s="55">
        <v>116.94999999999999</v>
      </c>
      <c r="S29" s="128">
        <v>147</v>
      </c>
      <c r="T29" s="128"/>
      <c r="U29" s="128"/>
      <c r="V29" s="128"/>
      <c r="W29" s="128"/>
      <c r="X29" s="128"/>
    </row>
    <row r="30" spans="2:50" x14ac:dyDescent="0.3">
      <c r="B30" s="51">
        <v>16</v>
      </c>
      <c r="C30" s="51" t="s">
        <v>78</v>
      </c>
      <c r="D30" s="51">
        <v>16</v>
      </c>
      <c r="E30" s="51">
        <v>119.88000000000001</v>
      </c>
      <c r="F30" s="51">
        <v>116.95</v>
      </c>
      <c r="G30" s="51">
        <v>6.2229999999999999</v>
      </c>
      <c r="H30" s="51">
        <v>6.2229999999999999</v>
      </c>
      <c r="I30" s="51">
        <v>23</v>
      </c>
      <c r="J30" s="54">
        <f t="shared" si="0"/>
        <v>10.304019580800142</v>
      </c>
      <c r="K30" s="53">
        <f>IFERROR(WHOLE_STRUCTURE[[#This Row],[Bottom '[m']]]-WHOLE_STRUCTURE[[#This Row],[D, top '[m']]], "")</f>
        <v>110.727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270.56521739130437</v>
      </c>
      <c r="O30" s="55" t="s">
        <v>78</v>
      </c>
      <c r="P30" s="55" t="s">
        <v>262</v>
      </c>
      <c r="Q30" s="55">
        <v>115.446</v>
      </c>
      <c r="R30" s="55">
        <v>115.446</v>
      </c>
      <c r="S30" s="128">
        <v>147</v>
      </c>
      <c r="T30" s="128"/>
      <c r="U30" s="128"/>
      <c r="V30" s="128"/>
      <c r="W30" s="128"/>
      <c r="X30" s="128"/>
    </row>
    <row r="31" spans="2:50" x14ac:dyDescent="0.3">
      <c r="B31" s="51">
        <v>17</v>
      </c>
      <c r="C31" s="51" t="s">
        <v>78</v>
      </c>
      <c r="D31" s="51">
        <v>17</v>
      </c>
      <c r="E31" s="51">
        <v>116.95</v>
      </c>
      <c r="F31" s="51">
        <v>115.44600000000001</v>
      </c>
      <c r="G31" s="51">
        <v>6.2229999999999999</v>
      </c>
      <c r="H31" s="51">
        <v>6.2229999999999999</v>
      </c>
      <c r="I31" s="51">
        <v>23</v>
      </c>
      <c r="J31" s="54">
        <f t="shared" si="0"/>
        <v>5.2891622694618716</v>
      </c>
      <c r="K31" s="53">
        <f>IFERROR(WHOLE_STRUCTURE[[#This Row],[Bottom '[m']]]-WHOLE_STRUCTURE[[#This Row],[D, top '[m']]], "")</f>
        <v>109.22300000000001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270.56521739130437</v>
      </c>
      <c r="O31" s="55" t="s">
        <v>78</v>
      </c>
      <c r="P31" s="55" t="s">
        <v>262</v>
      </c>
      <c r="Q31" s="55">
        <v>111.08999999999999</v>
      </c>
      <c r="R31" s="55">
        <v>111.08999999999999</v>
      </c>
      <c r="S31" s="128">
        <v>147</v>
      </c>
      <c r="T31" s="128"/>
      <c r="U31" s="128"/>
      <c r="V31" s="128"/>
      <c r="W31" s="128"/>
      <c r="X31" s="128"/>
    </row>
    <row r="32" spans="2:50" x14ac:dyDescent="0.3">
      <c r="B32" s="51">
        <v>18</v>
      </c>
      <c r="C32" s="51" t="s">
        <v>78</v>
      </c>
      <c r="D32" s="51">
        <v>18</v>
      </c>
      <c r="E32" s="51">
        <v>115.44600000000001</v>
      </c>
      <c r="F32" s="51">
        <v>114.02000000000001</v>
      </c>
      <c r="G32" s="51">
        <v>6.2229999999999999</v>
      </c>
      <c r="H32" s="51">
        <v>6.2240000000000002</v>
      </c>
      <c r="I32" s="51">
        <v>23</v>
      </c>
      <c r="J32" s="54">
        <f t="shared" si="0"/>
        <v>5.0152617353149624</v>
      </c>
      <c r="K32" s="53">
        <f>IFERROR(WHOLE_STRUCTURE[[#This Row],[Bottom '[m']]]-WHOLE_STRUCTURE[[#This Row],[D, top '[m']]], "")</f>
        <v>107.79700000000001</v>
      </c>
      <c r="L32" s="54">
        <f>IFERROR(-(WHOLE_STRUCTURE[[#This Row],[D, bottom '[m']]]-WHOLE_STRUCTURE[[#This Row],[D, top '[m']]])/(WHOLE_STRUCTURE[[#This Row],[Bottom '[m']]]-WHOLE_STRUCTURE[[#This Row],[Top '[m']]]),"")</f>
        <v>7.0126227208999476E-4</v>
      </c>
      <c r="M32" s="52">
        <f>IFERROR((WHOLE_STRUCTURE[[#This Row],[D, bottom '[m']]]+WHOLE_STRUCTURE[[#This Row],[D, top '[m']]])/(2*WHOLE_STRUCTURE[[#This Row],[t '[mm']]]/1000),"")</f>
        <v>270.58695652173913</v>
      </c>
      <c r="O32" s="55" t="s">
        <v>78</v>
      </c>
      <c r="P32" s="55" t="s">
        <v>262</v>
      </c>
      <c r="Q32" s="55">
        <v>110.89999999999999</v>
      </c>
      <c r="R32" s="55">
        <v>110.89999999999999</v>
      </c>
      <c r="S32" s="128">
        <v>147</v>
      </c>
      <c r="T32" s="128"/>
      <c r="U32" s="128"/>
      <c r="V32" s="128"/>
      <c r="W32" s="128"/>
      <c r="X32" s="128"/>
    </row>
    <row r="33" spans="2:24" x14ac:dyDescent="0.3">
      <c r="B33" s="51">
        <v>19</v>
      </c>
      <c r="C33" s="51" t="s">
        <v>78</v>
      </c>
      <c r="D33" s="51">
        <v>19</v>
      </c>
      <c r="E33" s="51">
        <v>114.02000000000001</v>
      </c>
      <c r="F33" s="51">
        <v>111.09</v>
      </c>
      <c r="G33" s="51">
        <v>6.2240000000000002</v>
      </c>
      <c r="H33" s="51">
        <v>6.2249999999999996</v>
      </c>
      <c r="I33" s="51">
        <v>24</v>
      </c>
      <c r="J33" s="54">
        <f t="shared" si="0"/>
        <v>10.752887530560983</v>
      </c>
      <c r="K33" s="53">
        <f>IFERROR(WHOLE_STRUCTURE[[#This Row],[Bottom '[m']]]-WHOLE_STRUCTURE[[#This Row],[D, top '[m']]], "")</f>
        <v>104.866</v>
      </c>
      <c r="L33" s="54">
        <f>IFERROR(-(WHOLE_STRUCTURE[[#This Row],[D, bottom '[m']]]-WHOLE_STRUCTURE[[#This Row],[D, top '[m']]])/(WHOLE_STRUCTURE[[#This Row],[Bottom '[m']]]-WHOLE_STRUCTURE[[#This Row],[Top '[m']]]),"")</f>
        <v>3.412969283274551E-4</v>
      </c>
      <c r="M33" s="52">
        <f>IFERROR((WHOLE_STRUCTURE[[#This Row],[D, bottom '[m']]]+WHOLE_STRUCTURE[[#This Row],[D, top '[m']]])/(2*WHOLE_STRUCTURE[[#This Row],[t '[mm']]]/1000),"")</f>
        <v>259.35416666666669</v>
      </c>
      <c r="O33" s="55" t="s">
        <v>78</v>
      </c>
      <c r="P33" s="55" t="s">
        <v>262</v>
      </c>
      <c r="Q33" s="55">
        <v>107.22399999999999</v>
      </c>
      <c r="R33" s="55">
        <v>107.22399999999999</v>
      </c>
      <c r="S33" s="128">
        <v>147</v>
      </c>
      <c r="T33" s="128"/>
      <c r="U33" s="128"/>
      <c r="V33" s="128"/>
      <c r="W33" s="128"/>
      <c r="X33" s="128"/>
    </row>
    <row r="34" spans="2:24" x14ac:dyDescent="0.3">
      <c r="B34" s="51">
        <v>20</v>
      </c>
      <c r="C34" s="51" t="s">
        <v>78</v>
      </c>
      <c r="D34" s="51">
        <v>20</v>
      </c>
      <c r="E34" s="51">
        <v>111.09</v>
      </c>
      <c r="F34" s="51">
        <v>110.9</v>
      </c>
      <c r="G34" s="51">
        <v>6.2249999999999996</v>
      </c>
      <c r="H34" s="51">
        <v>6.2249999999999996</v>
      </c>
      <c r="I34" s="51">
        <v>25</v>
      </c>
      <c r="J34" s="54">
        <f t="shared" si="0"/>
        <v>0.72628124363851332</v>
      </c>
      <c r="K34" s="53">
        <f>IFERROR(WHOLE_STRUCTURE[[#This Row],[Bottom '[m']]]-WHOLE_STRUCTURE[[#This Row],[D, top '[m']]], "")</f>
        <v>104.67500000000001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248.99999999999997</v>
      </c>
      <c r="O34" s="55" t="s">
        <v>78</v>
      </c>
      <c r="P34" s="55" t="s">
        <v>262</v>
      </c>
      <c r="Q34" s="55">
        <v>102.3</v>
      </c>
      <c r="R34" s="55">
        <v>102.3</v>
      </c>
      <c r="S34" s="128">
        <v>147</v>
      </c>
      <c r="T34" s="128"/>
      <c r="U34" s="128"/>
      <c r="V34" s="128"/>
      <c r="W34" s="128"/>
      <c r="X34" s="128"/>
    </row>
    <row r="35" spans="2:24" x14ac:dyDescent="0.3">
      <c r="B35" s="51">
        <v>21</v>
      </c>
      <c r="C35" s="51" t="s">
        <v>78</v>
      </c>
      <c r="D35" s="51">
        <v>21</v>
      </c>
      <c r="E35" s="51">
        <v>110.9</v>
      </c>
      <c r="F35" s="51">
        <v>108.16000000000001</v>
      </c>
      <c r="G35" s="51">
        <v>6.2249999999999996</v>
      </c>
      <c r="H35" s="51">
        <v>6.226</v>
      </c>
      <c r="I35" s="51">
        <v>25</v>
      </c>
      <c r="J35" s="54">
        <f t="shared" si="0"/>
        <v>10.474584696294533</v>
      </c>
      <c r="K35" s="53">
        <f>IFERROR(WHOLE_STRUCTURE[[#This Row],[Bottom '[m']]]-WHOLE_STRUCTURE[[#This Row],[D, top '[m']]], "")</f>
        <v>101.93500000000002</v>
      </c>
      <c r="L35" s="54">
        <f>IFERROR(-(WHOLE_STRUCTURE[[#This Row],[D, bottom '[m']]]-WHOLE_STRUCTURE[[#This Row],[D, top '[m']]])/(WHOLE_STRUCTURE[[#This Row],[Bottom '[m']]]-WHOLE_STRUCTURE[[#This Row],[Top '[m']]]),"")</f>
        <v>3.6496350364975758E-4</v>
      </c>
      <c r="M35" s="52">
        <f>IFERROR((WHOLE_STRUCTURE[[#This Row],[D, bottom '[m']]]+WHOLE_STRUCTURE[[#This Row],[D, top '[m']]])/(2*WHOLE_STRUCTURE[[#This Row],[t '[mm']]]/1000),"")</f>
        <v>249.02</v>
      </c>
      <c r="O35" s="55" t="s">
        <v>78</v>
      </c>
      <c r="P35" s="55" t="s">
        <v>262</v>
      </c>
      <c r="Q35" s="55">
        <v>102.25999999999999</v>
      </c>
      <c r="R35" s="55">
        <v>102.25999999999999</v>
      </c>
      <c r="S35" s="128">
        <v>5610</v>
      </c>
      <c r="T35" s="128"/>
      <c r="U35" s="128"/>
      <c r="V35" s="128"/>
      <c r="W35" s="128"/>
      <c r="X35" s="128"/>
    </row>
    <row r="36" spans="2:24" x14ac:dyDescent="0.3">
      <c r="B36" s="51">
        <v>22</v>
      </c>
      <c r="C36" s="51" t="s">
        <v>78</v>
      </c>
      <c r="D36" s="51">
        <v>22</v>
      </c>
      <c r="E36" s="51">
        <v>108.16000000000001</v>
      </c>
      <c r="F36" s="51">
        <v>107.224</v>
      </c>
      <c r="G36" s="51">
        <v>6.226</v>
      </c>
      <c r="H36" s="51">
        <v>6.226</v>
      </c>
      <c r="I36" s="51">
        <v>26</v>
      </c>
      <c r="J36" s="54">
        <f t="shared" si="0"/>
        <v>3.7210063884604585</v>
      </c>
      <c r="K36" s="53">
        <f>IFERROR(WHOLE_STRUCTURE[[#This Row],[Bottom '[m']]]-WHOLE_STRUCTURE[[#This Row],[D, top '[m']]], "")</f>
        <v>100.998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239.46153846153848</v>
      </c>
      <c r="O36" s="55" t="s">
        <v>78</v>
      </c>
      <c r="P36" s="55" t="s">
        <v>262</v>
      </c>
      <c r="Q36" s="55">
        <v>102.1</v>
      </c>
      <c r="R36" s="55">
        <v>102.1</v>
      </c>
      <c r="S36" s="128">
        <v>8160</v>
      </c>
      <c r="T36" s="128"/>
      <c r="U36" s="128"/>
      <c r="V36" s="128"/>
      <c r="W36" s="128"/>
      <c r="X36" s="128"/>
    </row>
    <row r="37" spans="2:24" x14ac:dyDescent="0.3">
      <c r="B37" s="51">
        <v>23</v>
      </c>
      <c r="C37" s="51" t="s">
        <v>78</v>
      </c>
      <c r="D37" s="51">
        <v>23</v>
      </c>
      <c r="E37" s="51">
        <v>107.224</v>
      </c>
      <c r="F37" s="51">
        <v>105.23</v>
      </c>
      <c r="G37" s="51">
        <v>6.226</v>
      </c>
      <c r="H37" s="51">
        <v>6.226</v>
      </c>
      <c r="I37" s="51">
        <v>26</v>
      </c>
      <c r="J37" s="54">
        <f t="shared" si="0"/>
        <v>7.9270157463569424</v>
      </c>
      <c r="K37" s="53">
        <f>IFERROR(WHOLE_STRUCTURE[[#This Row],[Bottom '[m']]]-WHOLE_STRUCTURE[[#This Row],[D, top '[m']]], "")</f>
        <v>99.004000000000005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239.46153846153848</v>
      </c>
      <c r="O37" s="55" t="s">
        <v>78</v>
      </c>
      <c r="P37" s="55" t="s">
        <v>262</v>
      </c>
      <c r="Q37" s="55">
        <v>101.94</v>
      </c>
      <c r="R37" s="55">
        <v>101.94</v>
      </c>
      <c r="S37" s="128">
        <v>5</v>
      </c>
      <c r="T37" s="128"/>
      <c r="U37" s="128"/>
      <c r="V37" s="128"/>
      <c r="W37" s="128"/>
      <c r="X37" s="128"/>
    </row>
    <row r="38" spans="2:24" x14ac:dyDescent="0.3">
      <c r="B38" s="51">
        <v>24</v>
      </c>
      <c r="C38" s="51" t="s">
        <v>78</v>
      </c>
      <c r="D38" s="51">
        <v>24</v>
      </c>
      <c r="E38" s="51">
        <v>105.23</v>
      </c>
      <c r="F38" s="51">
        <v>102.30000000000001</v>
      </c>
      <c r="G38" s="51">
        <v>6.226</v>
      </c>
      <c r="H38" s="51">
        <v>6.2279999999999998</v>
      </c>
      <c r="I38" s="51">
        <v>26</v>
      </c>
      <c r="J38" s="54">
        <f t="shared" si="0"/>
        <v>11.64990084806473</v>
      </c>
      <c r="K38" s="53">
        <f>IFERROR(WHOLE_STRUCTURE[[#This Row],[Bottom '[m']]]-WHOLE_STRUCTURE[[#This Row],[D, top '[m']]], "")</f>
        <v>96.074000000000012</v>
      </c>
      <c r="L38" s="54">
        <f>IFERROR(-(WHOLE_STRUCTURE[[#This Row],[D, bottom '[m']]]-WHOLE_STRUCTURE[[#This Row],[D, top '[m']]])/(WHOLE_STRUCTURE[[#This Row],[Bottom '[m']]]-WHOLE_STRUCTURE[[#This Row],[Top '[m']]]),"")</f>
        <v>6.825938566552166E-4</v>
      </c>
      <c r="M38" s="52">
        <f>IFERROR((WHOLE_STRUCTURE[[#This Row],[D, bottom '[m']]]+WHOLE_STRUCTURE[[#This Row],[D, top '[m']]])/(2*WHOLE_STRUCTURE[[#This Row],[t '[mm']]]/1000),"")</f>
        <v>239.50000000000003</v>
      </c>
      <c r="O38" s="55" t="s">
        <v>78</v>
      </c>
      <c r="P38" s="55" t="s">
        <v>262</v>
      </c>
      <c r="Q38" s="55">
        <v>101.89999999999999</v>
      </c>
      <c r="R38" s="55">
        <v>101.89999999999999</v>
      </c>
      <c r="S38" s="128">
        <v>1</v>
      </c>
      <c r="T38" s="128"/>
      <c r="U38" s="128"/>
      <c r="V38" s="128"/>
      <c r="W38" s="128"/>
      <c r="X38" s="128"/>
    </row>
    <row r="39" spans="2:24" x14ac:dyDescent="0.3">
      <c r="B39" s="51">
        <v>25</v>
      </c>
      <c r="C39" s="51" t="s">
        <v>78</v>
      </c>
      <c r="D39" s="51">
        <v>25</v>
      </c>
      <c r="E39" s="51">
        <v>102.30000000000001</v>
      </c>
      <c r="F39" s="51">
        <v>102.26</v>
      </c>
      <c r="G39" s="51">
        <v>6.2279999999999998</v>
      </c>
      <c r="H39" s="51">
        <v>6.2279999999999998</v>
      </c>
      <c r="I39" s="51">
        <v>28</v>
      </c>
      <c r="J39" s="54">
        <f t="shared" si="0"/>
        <v>0.17124947218426703</v>
      </c>
      <c r="K39" s="53">
        <f>IFERROR(WHOLE_STRUCTURE[[#This Row],[Bottom '[m']]]-WHOLE_STRUCTURE[[#This Row],[D, top '[m']]], "")</f>
        <v>96.032000000000011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222.42857142857142</v>
      </c>
      <c r="O39" s="55" t="s">
        <v>78</v>
      </c>
      <c r="P39" s="55" t="s">
        <v>262</v>
      </c>
      <c r="Q39" s="55">
        <v>100.89999999999999</v>
      </c>
      <c r="R39" s="55">
        <v>100.89999999999999</v>
      </c>
      <c r="S39" s="128">
        <v>1003</v>
      </c>
      <c r="T39" s="128"/>
      <c r="U39" s="128"/>
      <c r="V39" s="128"/>
      <c r="W39" s="128"/>
      <c r="X39" s="128"/>
    </row>
    <row r="40" spans="2:24" x14ac:dyDescent="0.3">
      <c r="B40" s="51">
        <v>26</v>
      </c>
      <c r="C40" s="51" t="s">
        <v>78</v>
      </c>
      <c r="D40" s="51">
        <v>26</v>
      </c>
      <c r="E40" s="51">
        <v>102.26</v>
      </c>
      <c r="F40" s="51">
        <v>102.10000000000001</v>
      </c>
      <c r="G40" s="51">
        <v>6.2279999999999998</v>
      </c>
      <c r="H40" s="51">
        <v>6.2279999999999998</v>
      </c>
      <c r="I40" s="51">
        <v>28</v>
      </c>
      <c r="J40" s="54">
        <f t="shared" si="0"/>
        <v>0.68499788873694645</v>
      </c>
      <c r="K40" s="53">
        <f>IFERROR(WHOLE_STRUCTURE[[#This Row],[Bottom '[m']]]-WHOLE_STRUCTURE[[#This Row],[D, top '[m']]], "")</f>
        <v>95.872000000000014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222.42857142857142</v>
      </c>
      <c r="O40" s="55" t="s">
        <v>78</v>
      </c>
      <c r="P40" s="55" t="s">
        <v>262</v>
      </c>
      <c r="Q40" s="55">
        <v>99.002999999999986</v>
      </c>
      <c r="R40" s="55">
        <v>99.002999999999986</v>
      </c>
      <c r="S40" s="128">
        <v>137</v>
      </c>
      <c r="T40" s="128"/>
      <c r="U40" s="128"/>
      <c r="V40" s="128"/>
      <c r="W40" s="128"/>
      <c r="X40" s="128"/>
    </row>
    <row r="41" spans="2:24" x14ac:dyDescent="0.3">
      <c r="B41" s="51">
        <v>27</v>
      </c>
      <c r="C41" s="51" t="s">
        <v>78</v>
      </c>
      <c r="D41" s="51">
        <v>27</v>
      </c>
      <c r="E41" s="51">
        <v>102.10000000000001</v>
      </c>
      <c r="F41" s="51">
        <v>101.94000000000001</v>
      </c>
      <c r="G41" s="51">
        <v>6.2279999999999998</v>
      </c>
      <c r="H41" s="51">
        <v>6.2279999999999998</v>
      </c>
      <c r="I41" s="51">
        <v>28</v>
      </c>
      <c r="J41" s="54">
        <f t="shared" si="0"/>
        <v>0.68499788873694645</v>
      </c>
      <c r="K41" s="53">
        <f>IFERROR(WHOLE_STRUCTURE[[#This Row],[Bottom '[m']]]-WHOLE_STRUCTURE[[#This Row],[D, top '[m']]], "")</f>
        <v>95.712000000000018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222.42857142857142</v>
      </c>
      <c r="O41" s="55" t="s">
        <v>78</v>
      </c>
      <c r="P41" s="55" t="s">
        <v>262</v>
      </c>
      <c r="Q41" s="55">
        <v>94.891999999999996</v>
      </c>
      <c r="R41" s="55">
        <v>94.891999999999996</v>
      </c>
      <c r="S41" s="128">
        <v>138</v>
      </c>
      <c r="T41" s="128"/>
      <c r="U41" s="128"/>
      <c r="V41" s="128"/>
      <c r="W41" s="128"/>
      <c r="X41" s="128"/>
    </row>
    <row r="42" spans="2:24" x14ac:dyDescent="0.3">
      <c r="B42" s="51">
        <v>28</v>
      </c>
      <c r="C42" s="51" t="s">
        <v>78</v>
      </c>
      <c r="D42" s="51">
        <v>28</v>
      </c>
      <c r="E42" s="51">
        <v>101.94000000000001</v>
      </c>
      <c r="F42" s="51">
        <v>101.9</v>
      </c>
      <c r="G42" s="51">
        <v>6.2279999999999998</v>
      </c>
      <c r="H42" s="51">
        <v>6.23</v>
      </c>
      <c r="I42" s="51">
        <v>28</v>
      </c>
      <c r="J42" s="54">
        <f t="shared" ref="J42:J68" si="3">IF(7850/1000*(1/3)*PI()*ABS(E42-F42)*((G42/2)^2+(G42/2)*(H42/2)+(H42/2)^2-(G42/2-I42/1000)^2-(G42/2-I42/1000)*(H42/2-I42/1000)-(H42/2-I42/1000)^2)=0,"",7850/1000*(1/3)*PI()*ABS(E42-F42)*((G42/2)^2+(G42/2)*(H42/2)+(H42/2)^2-(G42/2-I42/1000)^2-(G42/2-I42/1000)*(H42/2-I42/1000)-(H42/2-I42/1000)^2))</f>
        <v>0.1712770930668801</v>
      </c>
      <c r="K42" s="53">
        <f>IFERROR(WHOLE_STRUCTURE[[#This Row],[Bottom '[m']]]-WHOLE_STRUCTURE[[#This Row],[D, top '[m']]], "")</f>
        <v>95.672000000000011</v>
      </c>
      <c r="L42" s="54">
        <f>IFERROR(-(WHOLE_STRUCTURE[[#This Row],[D, bottom '[m']]]-WHOLE_STRUCTURE[[#This Row],[D, top '[m']]])/(WHOLE_STRUCTURE[[#This Row],[Bottom '[m']]]-WHOLE_STRUCTURE[[#This Row],[Top '[m']]]),"")</f>
        <v>5.0000000000008885E-2</v>
      </c>
      <c r="M42" s="52">
        <f>IFERROR((WHOLE_STRUCTURE[[#This Row],[D, bottom '[m']]]+WHOLE_STRUCTURE[[#This Row],[D, top '[m']]])/(2*WHOLE_STRUCTURE[[#This Row],[t '[mm']]]/1000),"")</f>
        <v>222.46428571428572</v>
      </c>
      <c r="O42" s="55" t="s">
        <v>78</v>
      </c>
      <c r="P42" s="55" t="s">
        <v>262</v>
      </c>
      <c r="Q42" s="55">
        <v>91.005999999999986</v>
      </c>
      <c r="R42" s="55">
        <v>91.005999999999986</v>
      </c>
      <c r="S42" s="128">
        <v>138</v>
      </c>
      <c r="T42" s="128"/>
      <c r="U42" s="128"/>
      <c r="V42" s="128"/>
      <c r="W42" s="128"/>
      <c r="X42" s="128"/>
    </row>
    <row r="43" spans="2:24" x14ac:dyDescent="0.3">
      <c r="B43" s="51">
        <v>29</v>
      </c>
      <c r="C43" s="51" t="s">
        <v>78</v>
      </c>
      <c r="D43" s="51">
        <v>29</v>
      </c>
      <c r="E43" s="51">
        <v>101.9</v>
      </c>
      <c r="F43" s="51">
        <v>100.9</v>
      </c>
      <c r="G43" s="51">
        <v>6.23</v>
      </c>
      <c r="H43" s="51">
        <v>6.2530000000000001</v>
      </c>
      <c r="I43" s="51">
        <v>30.099999999999998</v>
      </c>
      <c r="J43" s="54">
        <f t="shared" si="3"/>
        <v>4.610791912861246</v>
      </c>
      <c r="K43" s="53">
        <f>IFERROR(WHOLE_STRUCTURE[[#This Row],[Bottom '[m']]]-WHOLE_STRUCTURE[[#This Row],[D, top '[m']]], "")</f>
        <v>94.67</v>
      </c>
      <c r="L43" s="54">
        <f>IFERROR(-(WHOLE_STRUCTURE[[#This Row],[D, bottom '[m']]]-WHOLE_STRUCTURE[[#This Row],[D, top '[m']]])/(WHOLE_STRUCTURE[[#This Row],[Bottom '[m']]]-WHOLE_STRUCTURE[[#This Row],[Top '[m']]]),"")</f>
        <v>2.2999999999999687E-2</v>
      </c>
      <c r="M43" s="52">
        <f>IFERROR((WHOLE_STRUCTURE[[#This Row],[D, bottom '[m']]]+WHOLE_STRUCTURE[[#This Row],[D, top '[m']]])/(2*WHOLE_STRUCTURE[[#This Row],[t '[mm']]]/1000),"")</f>
        <v>207.358803986711</v>
      </c>
      <c r="O43" s="55" t="s">
        <v>78</v>
      </c>
      <c r="P43" s="55" t="s">
        <v>262</v>
      </c>
      <c r="Q43" s="55">
        <v>90.899999999999991</v>
      </c>
      <c r="R43" s="55">
        <v>90.899999999999991</v>
      </c>
      <c r="S43" s="128">
        <v>139</v>
      </c>
      <c r="T43" s="128"/>
      <c r="U43" s="128"/>
      <c r="V43" s="128"/>
      <c r="W43" s="128"/>
      <c r="X43" s="128"/>
    </row>
    <row r="44" spans="2:24" x14ac:dyDescent="0.3">
      <c r="B44" s="51">
        <v>30</v>
      </c>
      <c r="C44" s="51" t="s">
        <v>78</v>
      </c>
      <c r="D44" s="51">
        <v>30</v>
      </c>
      <c r="E44" s="51">
        <v>100.9</v>
      </c>
      <c r="F44" s="51">
        <v>99.172000000000011</v>
      </c>
      <c r="G44" s="51">
        <v>6.2530000000000001</v>
      </c>
      <c r="H44" s="51">
        <v>6.2889999999999997</v>
      </c>
      <c r="I44" s="51">
        <v>30.099999999999998</v>
      </c>
      <c r="J44" s="54">
        <f t="shared" si="3"/>
        <v>8.0052884821827153</v>
      </c>
      <c r="K44" s="53">
        <f>IFERROR(WHOLE_STRUCTURE[[#This Row],[Bottom '[m']]]-WHOLE_STRUCTURE[[#This Row],[D, top '[m']]], "")</f>
        <v>92.919000000000011</v>
      </c>
      <c r="L44" s="54">
        <f>IFERROR(-(WHOLE_STRUCTURE[[#This Row],[D, bottom '[m']]]-WHOLE_STRUCTURE[[#This Row],[D, top '[m']]])/(WHOLE_STRUCTURE[[#This Row],[Bottom '[m']]]-WHOLE_STRUCTURE[[#This Row],[Top '[m']]]),"")</f>
        <v>2.0833333333333162E-2</v>
      </c>
      <c r="M44" s="52">
        <f>IFERROR((WHOLE_STRUCTURE[[#This Row],[D, bottom '[m']]]+WHOLE_STRUCTURE[[#This Row],[D, top '[m']]])/(2*WHOLE_STRUCTURE[[#This Row],[t '[mm']]]/1000),"")</f>
        <v>208.3388704318937</v>
      </c>
      <c r="O44" s="55" t="s">
        <v>78</v>
      </c>
      <c r="P44" s="55" t="s">
        <v>262</v>
      </c>
      <c r="Q44" s="55">
        <v>86.670999999999992</v>
      </c>
      <c r="R44" s="55">
        <v>86.670999999999992</v>
      </c>
      <c r="S44" s="128">
        <v>139</v>
      </c>
      <c r="T44" s="128"/>
      <c r="U44" s="128"/>
      <c r="V44" s="128"/>
      <c r="W44" s="128"/>
      <c r="X44" s="128"/>
    </row>
    <row r="45" spans="2:24" x14ac:dyDescent="0.3">
      <c r="B45" s="51">
        <v>31</v>
      </c>
      <c r="C45" s="51" t="s">
        <v>78</v>
      </c>
      <c r="D45" s="51">
        <v>31</v>
      </c>
      <c r="E45" s="51">
        <v>99.172000000000011</v>
      </c>
      <c r="F45" s="51">
        <v>99.003</v>
      </c>
      <c r="G45" s="51">
        <v>6.2889999999999997</v>
      </c>
      <c r="H45" s="51">
        <v>6.2919999999999998</v>
      </c>
      <c r="I45" s="51">
        <v>26.5</v>
      </c>
      <c r="J45" s="54">
        <f t="shared" si="3"/>
        <v>0.69183711520936486</v>
      </c>
      <c r="K45" s="53">
        <f>IFERROR(WHOLE_STRUCTURE[[#This Row],[Bottom '[m']]]-WHOLE_STRUCTURE[[#This Row],[D, top '[m']]], "")</f>
        <v>92.713999999999999</v>
      </c>
      <c r="L45" s="54">
        <f>IFERROR(-(WHOLE_STRUCTURE[[#This Row],[D, bottom '[m']]]-WHOLE_STRUCTURE[[#This Row],[D, top '[m']]])/(WHOLE_STRUCTURE[[#This Row],[Bottom '[m']]]-WHOLE_STRUCTURE[[#This Row],[Top '[m']]]),"")</f>
        <v>1.7751479289940329E-2</v>
      </c>
      <c r="M45" s="52">
        <f>IFERROR((WHOLE_STRUCTURE[[#This Row],[D, bottom '[m']]]+WHOLE_STRUCTURE[[#This Row],[D, top '[m']]])/(2*WHOLE_STRUCTURE[[#This Row],[t '[mm']]]/1000),"")</f>
        <v>237.37735849056602</v>
      </c>
      <c r="O45" s="55" t="s">
        <v>78</v>
      </c>
      <c r="P45" s="55" t="s">
        <v>262</v>
      </c>
      <c r="Q45" s="55">
        <v>82.839999999999989</v>
      </c>
      <c r="R45" s="55">
        <v>82.839999999999989</v>
      </c>
      <c r="S45" s="128">
        <v>140</v>
      </c>
      <c r="T45" s="128"/>
      <c r="U45" s="128"/>
      <c r="V45" s="128"/>
      <c r="W45" s="128"/>
      <c r="X45" s="128"/>
    </row>
    <row r="46" spans="2:24" x14ac:dyDescent="0.3">
      <c r="B46" s="51">
        <v>32</v>
      </c>
      <c r="C46" s="51" t="s">
        <v>78</v>
      </c>
      <c r="D46" s="51">
        <v>32</v>
      </c>
      <c r="E46" s="51">
        <v>99.003</v>
      </c>
      <c r="F46" s="51">
        <v>96.45</v>
      </c>
      <c r="G46" s="51">
        <v>6.2919999999999998</v>
      </c>
      <c r="H46" s="51">
        <v>6.351</v>
      </c>
      <c r="I46" s="51">
        <v>26.5</v>
      </c>
      <c r="J46" s="54">
        <f t="shared" si="3"/>
        <v>10.502965831367973</v>
      </c>
      <c r="K46" s="53">
        <f>IFERROR(WHOLE_STRUCTURE[[#This Row],[Bottom '[m']]]-WHOLE_STRUCTURE[[#This Row],[D, top '[m']]], "")</f>
        <v>90.158000000000001</v>
      </c>
      <c r="L46" s="54">
        <f>IFERROR(-(WHOLE_STRUCTURE[[#This Row],[D, bottom '[m']]]-WHOLE_STRUCTURE[[#This Row],[D, top '[m']]])/(WHOLE_STRUCTURE[[#This Row],[Bottom '[m']]]-WHOLE_STRUCTURE[[#This Row],[Top '[m']]]),"")</f>
        <v>2.3110066588327545E-2</v>
      </c>
      <c r="M46" s="52">
        <f>IFERROR((WHOLE_STRUCTURE[[#This Row],[D, bottom '[m']]]+WHOLE_STRUCTURE[[#This Row],[D, top '[m']]])/(2*WHOLE_STRUCTURE[[#This Row],[t '[mm']]]/1000),"")</f>
        <v>238.54716981132077</v>
      </c>
      <c r="O46" s="55" t="s">
        <v>78</v>
      </c>
      <c r="P46" s="55" t="s">
        <v>262</v>
      </c>
      <c r="Q46" s="55">
        <v>80.899999999999991</v>
      </c>
      <c r="R46" s="55">
        <v>80.899999999999991</v>
      </c>
      <c r="S46" s="128">
        <v>140</v>
      </c>
      <c r="T46" s="128"/>
      <c r="U46" s="128"/>
      <c r="V46" s="128"/>
      <c r="W46" s="128"/>
      <c r="X46" s="128"/>
    </row>
    <row r="47" spans="2:24" x14ac:dyDescent="0.3">
      <c r="B47" s="51">
        <v>33</v>
      </c>
      <c r="C47" s="51" t="s">
        <v>78</v>
      </c>
      <c r="D47" s="51">
        <v>33</v>
      </c>
      <c r="E47" s="51">
        <v>96.45</v>
      </c>
      <c r="F47" s="51">
        <v>94.89200000000001</v>
      </c>
      <c r="G47" s="51">
        <v>6.351</v>
      </c>
      <c r="H47" s="51">
        <v>6.3869999999999996</v>
      </c>
      <c r="I47" s="51">
        <v>28</v>
      </c>
      <c r="J47" s="54">
        <f t="shared" si="3"/>
        <v>6.8218594478281238</v>
      </c>
      <c r="K47" s="53">
        <f>IFERROR(WHOLE_STRUCTURE[[#This Row],[Bottom '[m']]]-WHOLE_STRUCTURE[[#This Row],[D, top '[m']]], "")</f>
        <v>88.541000000000011</v>
      </c>
      <c r="L47" s="54">
        <f>IFERROR(-(WHOLE_STRUCTURE[[#This Row],[D, bottom '[m']]]-WHOLE_STRUCTURE[[#This Row],[D, top '[m']]])/(WHOLE_STRUCTURE[[#This Row],[Bottom '[m']]]-WHOLE_STRUCTURE[[#This Row],[Top '[m']]]),"")</f>
        <v>2.3106546854942078E-2</v>
      </c>
      <c r="M47" s="52">
        <f>IFERROR((WHOLE_STRUCTURE[[#This Row],[D, bottom '[m']]]+WHOLE_STRUCTURE[[#This Row],[D, top '[m']]])/(2*WHOLE_STRUCTURE[[#This Row],[t '[mm']]]/1000),"")</f>
        <v>227.46428571428569</v>
      </c>
      <c r="O47" s="55" t="s">
        <v>78</v>
      </c>
      <c r="P47" s="55" t="s">
        <v>262</v>
      </c>
      <c r="Q47" s="55">
        <v>78.449999999999989</v>
      </c>
      <c r="R47" s="55">
        <v>78.449999999999989</v>
      </c>
      <c r="S47" s="128">
        <v>141</v>
      </c>
      <c r="T47" s="128"/>
      <c r="U47" s="128"/>
      <c r="V47" s="128"/>
      <c r="W47" s="128"/>
      <c r="X47" s="128"/>
    </row>
    <row r="48" spans="2:24" x14ac:dyDescent="0.3">
      <c r="B48" s="51">
        <v>34</v>
      </c>
      <c r="C48" s="51" t="s">
        <v>78</v>
      </c>
      <c r="D48" s="51">
        <v>34</v>
      </c>
      <c r="E48" s="51">
        <v>94.89200000000001</v>
      </c>
      <c r="F48" s="51">
        <v>93.728000000000009</v>
      </c>
      <c r="G48" s="51">
        <v>6.3869999999999996</v>
      </c>
      <c r="H48" s="51">
        <v>6.4139999999999997</v>
      </c>
      <c r="I48" s="51">
        <v>28</v>
      </c>
      <c r="J48" s="54">
        <f t="shared" si="3"/>
        <v>5.1220095660448148</v>
      </c>
      <c r="K48" s="53">
        <f>IFERROR(WHOLE_STRUCTURE[[#This Row],[Bottom '[m']]]-WHOLE_STRUCTURE[[#This Row],[D, top '[m']]], "")</f>
        <v>87.341000000000008</v>
      </c>
      <c r="L48" s="54">
        <f>IFERROR(-(WHOLE_STRUCTURE[[#This Row],[D, bottom '[m']]]-WHOLE_STRUCTURE[[#This Row],[D, top '[m']]])/(WHOLE_STRUCTURE[[#This Row],[Bottom '[m']]]-WHOLE_STRUCTURE[[#This Row],[Top '[m']]]),"")</f>
        <v>2.3195876288659881E-2</v>
      </c>
      <c r="M48" s="52">
        <f>IFERROR((WHOLE_STRUCTURE[[#This Row],[D, bottom '[m']]]+WHOLE_STRUCTURE[[#This Row],[D, top '[m']]])/(2*WHOLE_STRUCTURE[[#This Row],[t '[mm']]]/1000),"")</f>
        <v>228.58928571428569</v>
      </c>
      <c r="O48" s="55" t="s">
        <v>78</v>
      </c>
      <c r="P48" s="55" t="s">
        <v>262</v>
      </c>
      <c r="Q48" s="55">
        <v>74.673999999999992</v>
      </c>
      <c r="R48" s="55">
        <v>74.673999999999992</v>
      </c>
      <c r="S48" s="128">
        <v>141</v>
      </c>
      <c r="T48" s="128"/>
      <c r="U48" s="128"/>
      <c r="V48" s="128"/>
      <c r="W48" s="128"/>
      <c r="X48" s="128"/>
    </row>
    <row r="49" spans="2:24" x14ac:dyDescent="0.3">
      <c r="B49" s="51">
        <v>35</v>
      </c>
      <c r="C49" s="51" t="s">
        <v>78</v>
      </c>
      <c r="D49" s="51">
        <v>35</v>
      </c>
      <c r="E49" s="51">
        <v>93.728000000000009</v>
      </c>
      <c r="F49" s="51">
        <v>91.006</v>
      </c>
      <c r="G49" s="51">
        <v>6.4139999999999997</v>
      </c>
      <c r="H49" s="51">
        <v>6.4749999999999996</v>
      </c>
      <c r="I49" s="51">
        <v>28.6</v>
      </c>
      <c r="J49" s="54">
        <f t="shared" si="3"/>
        <v>12.317746718159135</v>
      </c>
      <c r="K49" s="53">
        <f>IFERROR(WHOLE_STRUCTURE[[#This Row],[Bottom '[m']]]-WHOLE_STRUCTURE[[#This Row],[D, top '[m']]], "")</f>
        <v>84.591999999999999</v>
      </c>
      <c r="L49" s="54">
        <f>IFERROR(-(WHOLE_STRUCTURE[[#This Row],[D, bottom '[m']]]-WHOLE_STRUCTURE[[#This Row],[D, top '[m']]])/(WHOLE_STRUCTURE[[#This Row],[Bottom '[m']]]-WHOLE_STRUCTURE[[#This Row],[Top '[m']]]),"")</f>
        <v>2.2409992652461335E-2</v>
      </c>
      <c r="M49" s="52">
        <f>IFERROR((WHOLE_STRUCTURE[[#This Row],[D, bottom '[m']]]+WHOLE_STRUCTURE[[#This Row],[D, top '[m']]])/(2*WHOLE_STRUCTURE[[#This Row],[t '[mm']]]/1000),"")</f>
        <v>225.33216783216781</v>
      </c>
      <c r="O49" s="55" t="s">
        <v>78</v>
      </c>
      <c r="P49" s="55" t="s">
        <v>262</v>
      </c>
      <c r="Q49" s="55">
        <v>71.951999999999984</v>
      </c>
      <c r="R49" s="55">
        <v>71.951999999999984</v>
      </c>
      <c r="S49" s="128">
        <v>142</v>
      </c>
      <c r="T49" s="128"/>
      <c r="U49" s="128"/>
      <c r="V49" s="128"/>
      <c r="W49" s="128"/>
      <c r="X49" s="128"/>
    </row>
    <row r="50" spans="2:24" x14ac:dyDescent="0.3">
      <c r="B50" s="51">
        <v>36</v>
      </c>
      <c r="C50" s="51" t="s">
        <v>78</v>
      </c>
      <c r="D50" s="51">
        <v>36</v>
      </c>
      <c r="E50" s="51">
        <v>91.006</v>
      </c>
      <c r="F50" s="51">
        <v>90.9</v>
      </c>
      <c r="G50" s="51">
        <v>6.4749999999999996</v>
      </c>
      <c r="H50" s="51">
        <v>6.4779999999999998</v>
      </c>
      <c r="I50" s="51">
        <v>29.4</v>
      </c>
      <c r="J50" s="54">
        <f t="shared" si="3"/>
        <v>0.49549255301145406</v>
      </c>
      <c r="K50" s="53">
        <f>IFERROR(WHOLE_STRUCTURE[[#This Row],[Bottom '[m']]]-WHOLE_STRUCTURE[[#This Row],[D, top '[m']]], "")</f>
        <v>84.425000000000011</v>
      </c>
      <c r="L50" s="54">
        <f>IFERROR(-(WHOLE_STRUCTURE[[#This Row],[D, bottom '[m']]]-WHOLE_STRUCTURE[[#This Row],[D, top '[m']]])/(WHOLE_STRUCTURE[[#This Row],[Bottom '[m']]]-WHOLE_STRUCTURE[[#This Row],[Top '[m']]]),"")</f>
        <v>2.830188679245536E-2</v>
      </c>
      <c r="M50" s="52">
        <f>IFERROR((WHOLE_STRUCTURE[[#This Row],[D, bottom '[m']]]+WHOLE_STRUCTURE[[#This Row],[D, top '[m']]])/(2*WHOLE_STRUCTURE[[#This Row],[t '[mm']]]/1000),"")</f>
        <v>220.28911564625849</v>
      </c>
      <c r="O50" s="55" t="s">
        <v>78</v>
      </c>
      <c r="P50" s="55" t="s">
        <v>262</v>
      </c>
      <c r="Q50" s="55">
        <v>70.899999999999991</v>
      </c>
      <c r="R50" s="55">
        <v>70.899999999999991</v>
      </c>
      <c r="S50" s="128">
        <v>143</v>
      </c>
      <c r="T50" s="128"/>
      <c r="U50" s="128"/>
      <c r="V50" s="128"/>
      <c r="W50" s="128"/>
      <c r="X50" s="128"/>
    </row>
    <row r="51" spans="2:24" x14ac:dyDescent="0.3">
      <c r="B51" s="51">
        <v>37</v>
      </c>
      <c r="C51" s="51" t="s">
        <v>78</v>
      </c>
      <c r="D51" s="51">
        <v>37</v>
      </c>
      <c r="E51" s="51">
        <v>90.9</v>
      </c>
      <c r="F51" s="51">
        <v>88.284000000000006</v>
      </c>
      <c r="G51" s="51">
        <v>6.4779999999999998</v>
      </c>
      <c r="H51" s="51">
        <v>6.5380000000000003</v>
      </c>
      <c r="I51" s="51">
        <v>29.4</v>
      </c>
      <c r="J51" s="54">
        <f t="shared" si="3"/>
        <v>12.288129120958363</v>
      </c>
      <c r="K51" s="53">
        <f>IFERROR(WHOLE_STRUCTURE[[#This Row],[Bottom '[m']]]-WHOLE_STRUCTURE[[#This Row],[D, top '[m']]], "")</f>
        <v>81.806000000000012</v>
      </c>
      <c r="L51" s="54">
        <f>IFERROR(-(WHOLE_STRUCTURE[[#This Row],[D, bottom '[m']]]-WHOLE_STRUCTURE[[#This Row],[D, top '[m']]])/(WHOLE_STRUCTURE[[#This Row],[Bottom '[m']]]-WHOLE_STRUCTURE[[#This Row],[Top '[m']]]),"")</f>
        <v>2.2935779816513954E-2</v>
      </c>
      <c r="M51" s="52">
        <f>IFERROR((WHOLE_STRUCTURE[[#This Row],[D, bottom '[m']]]+WHOLE_STRUCTURE[[#This Row],[D, top '[m']]])/(2*WHOLE_STRUCTURE[[#This Row],[t '[mm']]]/1000),"")</f>
        <v>221.36054421768708</v>
      </c>
      <c r="O51" s="55" t="s">
        <v>78</v>
      </c>
      <c r="P51" s="55" t="s">
        <v>262</v>
      </c>
      <c r="Q51" s="55">
        <v>66.489999999999995</v>
      </c>
      <c r="R51" s="55">
        <v>66.489999999999995</v>
      </c>
      <c r="S51" s="128">
        <v>144</v>
      </c>
      <c r="T51" s="128"/>
      <c r="U51" s="128"/>
      <c r="V51" s="128"/>
      <c r="W51" s="128"/>
      <c r="X51" s="128"/>
    </row>
    <row r="52" spans="2:24" x14ac:dyDescent="0.3">
      <c r="B52" s="51">
        <v>38</v>
      </c>
      <c r="C52" s="51" t="s">
        <v>78</v>
      </c>
      <c r="D52" s="51">
        <v>38</v>
      </c>
      <c r="E52" s="51">
        <v>88.284000000000006</v>
      </c>
      <c r="F52" s="51">
        <v>86.671000000000006</v>
      </c>
      <c r="G52" s="51">
        <v>6.5380000000000003</v>
      </c>
      <c r="H52" s="51">
        <v>6.5739999999999998</v>
      </c>
      <c r="I52" s="51">
        <v>29.5</v>
      </c>
      <c r="J52" s="54">
        <f t="shared" si="3"/>
        <v>7.6587211107854793</v>
      </c>
      <c r="K52" s="53">
        <f>IFERROR(WHOLE_STRUCTURE[[#This Row],[Bottom '[m']]]-WHOLE_STRUCTURE[[#This Row],[D, top '[m']]], "")</f>
        <v>80.13300000000001</v>
      </c>
      <c r="L52" s="54">
        <f>IFERROR(-(WHOLE_STRUCTURE[[#This Row],[D, bottom '[m']]]-WHOLE_STRUCTURE[[#This Row],[D, top '[m']]])/(WHOLE_STRUCTURE[[#This Row],[Bottom '[m']]]-WHOLE_STRUCTURE[[#This Row],[Top '[m']]]),"")</f>
        <v>2.2318660880346931E-2</v>
      </c>
      <c r="M52" s="52">
        <f>IFERROR((WHOLE_STRUCTURE[[#This Row],[D, bottom '[m']]]+WHOLE_STRUCTURE[[#This Row],[D, top '[m']]])/(2*WHOLE_STRUCTURE[[#This Row],[t '[mm']]]/1000),"")</f>
        <v>222.23728813559325</v>
      </c>
      <c r="O52" s="55" t="s">
        <v>78</v>
      </c>
      <c r="P52" s="55" t="s">
        <v>262</v>
      </c>
      <c r="Q52" s="55">
        <v>66.444999999999993</v>
      </c>
      <c r="R52" s="55">
        <v>66.444999999999993</v>
      </c>
      <c r="S52" s="128">
        <v>7316</v>
      </c>
      <c r="T52" s="128"/>
      <c r="U52" s="128"/>
      <c r="V52" s="128"/>
      <c r="W52" s="128"/>
      <c r="X52" s="128"/>
    </row>
    <row r="53" spans="2:24" x14ac:dyDescent="0.3">
      <c r="B53" s="51">
        <v>39</v>
      </c>
      <c r="C53" s="51" t="s">
        <v>78</v>
      </c>
      <c r="D53" s="51">
        <v>39</v>
      </c>
      <c r="E53" s="51">
        <v>86.671000000000006</v>
      </c>
      <c r="F53" s="51">
        <v>85.562000000000012</v>
      </c>
      <c r="G53" s="51">
        <v>6.5739999999999998</v>
      </c>
      <c r="H53" s="51">
        <v>6.601</v>
      </c>
      <c r="I53" s="51">
        <v>29.5</v>
      </c>
      <c r="J53" s="54">
        <f t="shared" si="3"/>
        <v>5.2910821427568031</v>
      </c>
      <c r="K53" s="53">
        <f>IFERROR(WHOLE_STRUCTURE[[#This Row],[Bottom '[m']]]-WHOLE_STRUCTURE[[#This Row],[D, top '[m']]], "")</f>
        <v>78.988000000000014</v>
      </c>
      <c r="L53" s="54">
        <f>IFERROR(-(WHOLE_STRUCTURE[[#This Row],[D, bottom '[m']]]-WHOLE_STRUCTURE[[#This Row],[D, top '[m']]])/(WHOLE_STRUCTURE[[#This Row],[Bottom '[m']]]-WHOLE_STRUCTURE[[#This Row],[Top '[m']]]),"")</f>
        <v>2.4346257889991223E-2</v>
      </c>
      <c r="M53" s="52">
        <f>IFERROR((WHOLE_STRUCTURE[[#This Row],[D, bottom '[m']]]+WHOLE_STRUCTURE[[#This Row],[D, top '[m']]])/(2*WHOLE_STRUCTURE[[#This Row],[t '[mm']]]/1000),"")</f>
        <v>223.30508474576274</v>
      </c>
      <c r="O53" s="55" t="s">
        <v>78</v>
      </c>
      <c r="P53" s="55" t="s">
        <v>262</v>
      </c>
      <c r="Q53" s="55">
        <v>66.259999999999991</v>
      </c>
      <c r="R53" s="55">
        <v>66.259999999999991</v>
      </c>
      <c r="S53" s="128">
        <v>10048</v>
      </c>
      <c r="T53" s="128"/>
      <c r="U53" s="128"/>
      <c r="V53" s="128"/>
      <c r="W53" s="128"/>
      <c r="X53" s="128"/>
    </row>
    <row r="54" spans="2:24" x14ac:dyDescent="0.3">
      <c r="B54" s="51">
        <v>40</v>
      </c>
      <c r="C54" s="51" t="s">
        <v>78</v>
      </c>
      <c r="D54" s="51">
        <v>40</v>
      </c>
      <c r="E54" s="51">
        <v>85.562000000000012</v>
      </c>
      <c r="F54" s="51">
        <v>82.84</v>
      </c>
      <c r="G54" s="51">
        <v>6.601</v>
      </c>
      <c r="H54" s="51">
        <v>6.6619999999999999</v>
      </c>
      <c r="I54" s="51">
        <v>31.5</v>
      </c>
      <c r="J54" s="54">
        <f t="shared" si="3"/>
        <v>13.956037882640588</v>
      </c>
      <c r="K54" s="53">
        <f>IFERROR(WHOLE_STRUCTURE[[#This Row],[Bottom '[m']]]-WHOLE_STRUCTURE[[#This Row],[D, top '[m']]], "")</f>
        <v>76.239000000000004</v>
      </c>
      <c r="L54" s="54">
        <f>IFERROR(-(WHOLE_STRUCTURE[[#This Row],[D, bottom '[m']]]-WHOLE_STRUCTURE[[#This Row],[D, top '[m']]])/(WHOLE_STRUCTURE[[#This Row],[Bottom '[m']]]-WHOLE_STRUCTURE[[#This Row],[Top '[m']]]),"")</f>
        <v>2.2409992652461335E-2</v>
      </c>
      <c r="M54" s="52">
        <f>IFERROR((WHOLE_STRUCTURE[[#This Row],[D, bottom '[m']]]+WHOLE_STRUCTURE[[#This Row],[D, top '[m']]])/(2*WHOLE_STRUCTURE[[#This Row],[t '[mm']]]/1000),"")</f>
        <v>210.52380952380952</v>
      </c>
      <c r="O54" s="55" t="s">
        <v>78</v>
      </c>
      <c r="P54" s="55" t="s">
        <v>262</v>
      </c>
      <c r="Q54" s="55">
        <v>66.074999999999989</v>
      </c>
      <c r="R54" s="55">
        <v>66.074999999999989</v>
      </c>
      <c r="S54" s="128">
        <v>6</v>
      </c>
      <c r="T54" s="128"/>
      <c r="U54" s="128"/>
      <c r="V54" s="128"/>
      <c r="W54" s="128"/>
      <c r="X54" s="128"/>
    </row>
    <row r="55" spans="2:24" x14ac:dyDescent="0.3">
      <c r="B55" s="51">
        <v>41</v>
      </c>
      <c r="C55" s="51" t="s">
        <v>78</v>
      </c>
      <c r="D55" s="51">
        <v>41</v>
      </c>
      <c r="E55" s="51">
        <v>82.84</v>
      </c>
      <c r="F55" s="51">
        <v>82.56</v>
      </c>
      <c r="G55" s="51">
        <v>6.6619999999999999</v>
      </c>
      <c r="H55" s="51">
        <v>6.6689999999999996</v>
      </c>
      <c r="I55" s="51">
        <v>31.2</v>
      </c>
      <c r="J55" s="54">
        <f t="shared" si="3"/>
        <v>1.4293127277149946</v>
      </c>
      <c r="K55" s="53">
        <f>IFERROR(WHOLE_STRUCTURE[[#This Row],[Bottom '[m']]]-WHOLE_STRUCTURE[[#This Row],[D, top '[m']]], "")</f>
        <v>75.897999999999996</v>
      </c>
      <c r="L55" s="54">
        <f>IFERROR(-(WHOLE_STRUCTURE[[#This Row],[D, bottom '[m']]]-WHOLE_STRUCTURE[[#This Row],[D, top '[m']]])/(WHOLE_STRUCTURE[[#This Row],[Bottom '[m']]]-WHOLE_STRUCTURE[[#This Row],[Top '[m']]]),"")</f>
        <v>2.4999999999998732E-2</v>
      </c>
      <c r="M55" s="52">
        <f>IFERROR((WHOLE_STRUCTURE[[#This Row],[D, bottom '[m']]]+WHOLE_STRUCTURE[[#This Row],[D, top '[m']]])/(2*WHOLE_STRUCTURE[[#This Row],[t '[mm']]]/1000),"")</f>
        <v>213.63782051282053</v>
      </c>
      <c r="O55" s="55" t="s">
        <v>78</v>
      </c>
      <c r="P55" s="55" t="s">
        <v>262</v>
      </c>
      <c r="Q55" s="55">
        <v>66.029999999999987</v>
      </c>
      <c r="R55" s="55">
        <v>66.029999999999987</v>
      </c>
      <c r="S55" s="128">
        <v>1061</v>
      </c>
      <c r="T55" s="128"/>
      <c r="U55" s="128"/>
      <c r="V55" s="128"/>
      <c r="W55" s="128"/>
      <c r="X55" s="128"/>
    </row>
    <row r="56" spans="2:24" x14ac:dyDescent="0.3">
      <c r="B56" s="51">
        <v>42</v>
      </c>
      <c r="C56" s="51" t="s">
        <v>78</v>
      </c>
      <c r="D56" s="51">
        <v>42</v>
      </c>
      <c r="E56" s="51">
        <v>82.56</v>
      </c>
      <c r="F56" s="51">
        <v>80.900000000000006</v>
      </c>
      <c r="G56" s="51">
        <v>6.6689999999999996</v>
      </c>
      <c r="H56" s="51">
        <v>6.7060000000000004</v>
      </c>
      <c r="I56" s="51">
        <v>31.2</v>
      </c>
      <c r="J56" s="54">
        <f t="shared" si="3"/>
        <v>8.5018825076561395</v>
      </c>
      <c r="K56" s="53">
        <f>IFERROR(WHOLE_STRUCTURE[[#This Row],[Bottom '[m']]]-WHOLE_STRUCTURE[[#This Row],[D, top '[m']]], "")</f>
        <v>74.231000000000009</v>
      </c>
      <c r="L56" s="54">
        <f>IFERROR(-(WHOLE_STRUCTURE[[#This Row],[D, bottom '[m']]]-WHOLE_STRUCTURE[[#This Row],[D, top '[m']]])/(WHOLE_STRUCTURE[[#This Row],[Bottom '[m']]]-WHOLE_STRUCTURE[[#This Row],[Top '[m']]]),"")</f>
        <v>2.2289156626506559E-2</v>
      </c>
      <c r="M56" s="52">
        <f>IFERROR((WHOLE_STRUCTURE[[#This Row],[D, bottom '[m']]]+WHOLE_STRUCTURE[[#This Row],[D, top '[m']]])/(2*WHOLE_STRUCTURE[[#This Row],[t '[mm']]]/1000),"")</f>
        <v>214.34294871794873</v>
      </c>
      <c r="O56" s="55" t="s">
        <v>78</v>
      </c>
      <c r="P56" s="55" t="s">
        <v>262</v>
      </c>
      <c r="Q56" s="55">
        <v>63.308000000000007</v>
      </c>
      <c r="R56" s="55">
        <v>63.308000000000007</v>
      </c>
      <c r="S56" s="128">
        <v>143</v>
      </c>
      <c r="T56" s="128"/>
      <c r="U56" s="128"/>
      <c r="V56" s="128"/>
      <c r="W56" s="128"/>
      <c r="X56" s="128"/>
    </row>
    <row r="57" spans="2:24" x14ac:dyDescent="0.3">
      <c r="B57" s="51">
        <v>43</v>
      </c>
      <c r="C57" s="51" t="s">
        <v>78</v>
      </c>
      <c r="D57" s="51">
        <v>43</v>
      </c>
      <c r="E57" s="51">
        <v>80.900000000000006</v>
      </c>
      <c r="F57" s="51">
        <v>80.118000000000009</v>
      </c>
      <c r="G57" s="51">
        <v>6.7060000000000004</v>
      </c>
      <c r="H57" s="51">
        <v>6.7240000000000002</v>
      </c>
      <c r="I57" s="51">
        <v>31.2</v>
      </c>
      <c r="J57" s="54">
        <f t="shared" si="3"/>
        <v>4.0216504702994413</v>
      </c>
      <c r="K57" s="53">
        <f>IFERROR(WHOLE_STRUCTURE[[#This Row],[Bottom '[m']]]-WHOLE_STRUCTURE[[#This Row],[D, top '[m']]], "")</f>
        <v>73.412000000000006</v>
      </c>
      <c r="L57" s="54">
        <f>IFERROR(-(WHOLE_STRUCTURE[[#This Row],[D, bottom '[m']]]-WHOLE_STRUCTURE[[#This Row],[D, top '[m']]])/(WHOLE_STRUCTURE[[#This Row],[Bottom '[m']]]-WHOLE_STRUCTURE[[#This Row],[Top '[m']]]),"")</f>
        <v>2.3017902813299074E-2</v>
      </c>
      <c r="M57" s="52">
        <f>IFERROR((WHOLE_STRUCTURE[[#This Row],[D, bottom '[m']]]+WHOLE_STRUCTURE[[#This Row],[D, top '[m']]])/(2*WHOLE_STRUCTURE[[#This Row],[t '[mm']]]/1000),"")</f>
        <v>215.22435897435898</v>
      </c>
      <c r="O57" s="55" t="s">
        <v>78</v>
      </c>
      <c r="P57" s="55" t="s">
        <v>262</v>
      </c>
      <c r="Q57" s="55">
        <v>62.007000000000005</v>
      </c>
      <c r="R57" s="55">
        <v>62.007000000000005</v>
      </c>
      <c r="S57" s="128">
        <v>144</v>
      </c>
      <c r="T57" s="128"/>
      <c r="U57" s="128"/>
      <c r="V57" s="128"/>
      <c r="W57" s="128"/>
      <c r="X57" s="128"/>
    </row>
    <row r="58" spans="2:24" x14ac:dyDescent="0.3">
      <c r="B58" s="51">
        <v>44</v>
      </c>
      <c r="C58" s="51" t="s">
        <v>78</v>
      </c>
      <c r="D58" s="51">
        <v>44</v>
      </c>
      <c r="E58" s="51">
        <v>80.118000000000009</v>
      </c>
      <c r="F58" s="51">
        <v>78.45</v>
      </c>
      <c r="G58" s="51">
        <v>6.7240000000000002</v>
      </c>
      <c r="H58" s="51">
        <v>6.7619999999999996</v>
      </c>
      <c r="I58" s="51">
        <v>31.7</v>
      </c>
      <c r="J58" s="54">
        <f t="shared" si="3"/>
        <v>8.751479715240583</v>
      </c>
      <c r="K58" s="53">
        <f>IFERROR(WHOLE_STRUCTURE[[#This Row],[Bottom '[m']]]-WHOLE_STRUCTURE[[#This Row],[D, top '[m']]], "")</f>
        <v>71.725999999999999</v>
      </c>
      <c r="L58" s="54">
        <f>IFERROR(-(WHOLE_STRUCTURE[[#This Row],[D, bottom '[m']]]-WHOLE_STRUCTURE[[#This Row],[D, top '[m']]])/(WHOLE_STRUCTURE[[#This Row],[Bottom '[m']]]-WHOLE_STRUCTURE[[#This Row],[Top '[m']]]),"")</f>
        <v>2.2781774580335264E-2</v>
      </c>
      <c r="M58" s="52">
        <f>IFERROR((WHOLE_STRUCTURE[[#This Row],[D, bottom '[m']]]+WHOLE_STRUCTURE[[#This Row],[D, top '[m']]])/(2*WHOLE_STRUCTURE[[#This Row],[t '[mm']]]/1000),"")</f>
        <v>212.71293375394325</v>
      </c>
      <c r="O58" s="55" t="s">
        <v>78</v>
      </c>
      <c r="P58" s="55" t="s">
        <v>262</v>
      </c>
      <c r="Q58" s="55">
        <v>57.896000000000001</v>
      </c>
      <c r="R58" s="55">
        <v>57.896000000000001</v>
      </c>
      <c r="S58" s="128">
        <v>144</v>
      </c>
      <c r="T58" s="128"/>
      <c r="U58" s="128"/>
      <c r="V58" s="128"/>
      <c r="W58" s="128"/>
      <c r="X58" s="128"/>
    </row>
    <row r="59" spans="2:24" x14ac:dyDescent="0.3">
      <c r="B59" s="51">
        <v>45</v>
      </c>
      <c r="C59" s="51" t="s">
        <v>78</v>
      </c>
      <c r="D59" s="51">
        <v>45</v>
      </c>
      <c r="E59" s="51">
        <v>78.45</v>
      </c>
      <c r="F59" s="51">
        <v>77.396000000000001</v>
      </c>
      <c r="G59" s="51">
        <v>6.7619999999999996</v>
      </c>
      <c r="H59" s="51">
        <v>6.7859999999999996</v>
      </c>
      <c r="I59" s="51">
        <v>31.7</v>
      </c>
      <c r="J59" s="54">
        <f t="shared" si="3"/>
        <v>5.5555553031988758</v>
      </c>
      <c r="K59" s="53">
        <f>IFERROR(WHOLE_STRUCTURE[[#This Row],[Bottom '[m']]]-WHOLE_STRUCTURE[[#This Row],[D, top '[m']]], "")</f>
        <v>70.634</v>
      </c>
      <c r="L59" s="54">
        <f>IFERROR(-(WHOLE_STRUCTURE[[#This Row],[D, bottom '[m']]]-WHOLE_STRUCTURE[[#This Row],[D, top '[m']]])/(WHOLE_STRUCTURE[[#This Row],[Bottom '[m']]]-WHOLE_STRUCTURE[[#This Row],[Top '[m']]]),"")</f>
        <v>2.277039848197341E-2</v>
      </c>
      <c r="M59" s="52">
        <f>IFERROR((WHOLE_STRUCTURE[[#This Row],[D, bottom '[m']]]+WHOLE_STRUCTURE[[#This Row],[D, top '[m']]])/(2*WHOLE_STRUCTURE[[#This Row],[t '[mm']]]/1000),"")</f>
        <v>213.69085173501574</v>
      </c>
      <c r="O59" s="55" t="s">
        <v>78</v>
      </c>
      <c r="P59" s="55" t="s">
        <v>262</v>
      </c>
      <c r="Q59" s="55">
        <v>55.153999999999996</v>
      </c>
      <c r="R59" s="55">
        <v>55.153999999999996</v>
      </c>
      <c r="S59" s="128">
        <v>144</v>
      </c>
      <c r="T59" s="128"/>
      <c r="U59" s="128"/>
      <c r="V59" s="128"/>
      <c r="W59" s="128"/>
      <c r="X59" s="128"/>
    </row>
    <row r="60" spans="2:24" x14ac:dyDescent="0.3">
      <c r="B60" s="51">
        <v>46</v>
      </c>
      <c r="C60" s="51" t="s">
        <v>78</v>
      </c>
      <c r="D60" s="51">
        <v>46</v>
      </c>
      <c r="E60" s="51">
        <v>77.396000000000001</v>
      </c>
      <c r="F60" s="51">
        <v>74.674000000000007</v>
      </c>
      <c r="G60" s="51">
        <v>6.7859999999999996</v>
      </c>
      <c r="H60" s="51">
        <v>6.8479999999999999</v>
      </c>
      <c r="I60" s="51">
        <v>32.200000000000003</v>
      </c>
      <c r="J60" s="54">
        <f t="shared" si="3"/>
        <v>14.665624875429092</v>
      </c>
      <c r="K60" s="53">
        <f>IFERROR(WHOLE_STRUCTURE[[#This Row],[Bottom '[m']]]-WHOLE_STRUCTURE[[#This Row],[D, top '[m']]], "")</f>
        <v>67.888000000000005</v>
      </c>
      <c r="L60" s="54">
        <f>IFERROR(-(WHOLE_STRUCTURE[[#This Row],[D, bottom '[m']]]-WHOLE_STRUCTURE[[#This Row],[D, top '[m']]])/(WHOLE_STRUCTURE[[#This Row],[Bottom '[m']]]-WHOLE_STRUCTURE[[#This Row],[Top '[m']]]),"")</f>
        <v>2.2777369581190452E-2</v>
      </c>
      <c r="M60" s="52">
        <f>IFERROR((WHOLE_STRUCTURE[[#This Row],[D, bottom '[m']]]+WHOLE_STRUCTURE[[#This Row],[D, top '[m']]])/(2*WHOLE_STRUCTURE[[#This Row],[t '[mm']]]/1000),"")</f>
        <v>211.70807453416151</v>
      </c>
      <c r="O60" s="55" t="s">
        <v>78</v>
      </c>
      <c r="P60" s="55" t="s">
        <v>262</v>
      </c>
      <c r="Q60" s="55">
        <v>53.786000000000001</v>
      </c>
      <c r="R60" s="55">
        <v>53.786000000000001</v>
      </c>
      <c r="S60" s="128">
        <v>145</v>
      </c>
      <c r="T60" s="128"/>
      <c r="U60" s="128"/>
      <c r="V60" s="128"/>
      <c r="W60" s="128"/>
      <c r="X60" s="128"/>
    </row>
    <row r="61" spans="2:24" x14ac:dyDescent="0.3">
      <c r="B61" s="51">
        <v>47</v>
      </c>
      <c r="C61" s="51" t="s">
        <v>78</v>
      </c>
      <c r="D61" s="51">
        <v>47</v>
      </c>
      <c r="E61" s="51">
        <v>74.674000000000007</v>
      </c>
      <c r="F61" s="51">
        <v>71.951999999999998</v>
      </c>
      <c r="G61" s="51">
        <v>6.8479999999999999</v>
      </c>
      <c r="H61" s="51">
        <v>6.9109999999999996</v>
      </c>
      <c r="I61" s="51">
        <v>32.5</v>
      </c>
      <c r="J61" s="54">
        <f t="shared" si="3"/>
        <v>14.937961615821818</v>
      </c>
      <c r="K61" s="53">
        <f>IFERROR(WHOLE_STRUCTURE[[#This Row],[Bottom '[m']]]-WHOLE_STRUCTURE[[#This Row],[D, top '[m']]], "")</f>
        <v>65.103999999999999</v>
      </c>
      <c r="L61" s="54">
        <f>IFERROR(-(WHOLE_STRUCTURE[[#This Row],[D, bottom '[m']]]-WHOLE_STRUCTURE[[#This Row],[D, top '[m']]])/(WHOLE_STRUCTURE[[#This Row],[Bottom '[m']]]-WHOLE_STRUCTURE[[#This Row],[Top '[m']]]),"")</f>
        <v>2.3144746509919004E-2</v>
      </c>
      <c r="M61" s="52">
        <f>IFERROR((WHOLE_STRUCTURE[[#This Row],[D, bottom '[m']]]+WHOLE_STRUCTURE[[#This Row],[D, top '[m']]])/(2*WHOLE_STRUCTURE[[#This Row],[t '[mm']]]/1000),"")</f>
        <v>211.67692307692309</v>
      </c>
      <c r="O61" s="55" t="s">
        <v>78</v>
      </c>
      <c r="P61" s="55" t="s">
        <v>262</v>
      </c>
      <c r="Q61" s="55">
        <v>50.900000000000006</v>
      </c>
      <c r="R61" s="55">
        <v>50.900000000000006</v>
      </c>
      <c r="S61" s="128">
        <v>145</v>
      </c>
      <c r="T61" s="128"/>
      <c r="U61" s="128"/>
      <c r="V61" s="128"/>
      <c r="W61" s="128"/>
      <c r="X61" s="128"/>
    </row>
    <row r="62" spans="2:24" x14ac:dyDescent="0.3">
      <c r="B62" s="51">
        <v>48</v>
      </c>
      <c r="C62" s="51" t="s">
        <v>78</v>
      </c>
      <c r="D62" s="51">
        <v>48</v>
      </c>
      <c r="E62" s="51">
        <v>71.951999999999998</v>
      </c>
      <c r="F62" s="51">
        <v>70.900000000000006</v>
      </c>
      <c r="G62" s="51">
        <v>6.9109999999999996</v>
      </c>
      <c r="H62" s="51">
        <v>6.9340000000000002</v>
      </c>
      <c r="I62" s="51">
        <v>33.5</v>
      </c>
      <c r="J62" s="54">
        <f t="shared" si="3"/>
        <v>5.9873722621344063</v>
      </c>
      <c r="K62" s="53">
        <f>IFERROR(WHOLE_STRUCTURE[[#This Row],[Bottom '[m']]]-WHOLE_STRUCTURE[[#This Row],[D, top '[m']]], "")</f>
        <v>63.989000000000004</v>
      </c>
      <c r="L62" s="54">
        <f>IFERROR(-(WHOLE_STRUCTURE[[#This Row],[D, bottom '[m']]]-WHOLE_STRUCTURE[[#This Row],[D, top '[m']]])/(WHOLE_STRUCTURE[[#This Row],[Bottom '[m']]]-WHOLE_STRUCTURE[[#This Row],[Top '[m']]]),"")</f>
        <v>2.1863117870723137E-2</v>
      </c>
      <c r="M62" s="52">
        <f>IFERROR((WHOLE_STRUCTURE[[#This Row],[D, bottom '[m']]]+WHOLE_STRUCTURE[[#This Row],[D, top '[m']]])/(2*WHOLE_STRUCTURE[[#This Row],[t '[mm']]]/1000),"")</f>
        <v>206.64179104477608</v>
      </c>
      <c r="O62" s="55" t="s">
        <v>78</v>
      </c>
      <c r="P62" s="55" t="s">
        <v>262</v>
      </c>
      <c r="Q62" s="55">
        <v>49.674999999999997</v>
      </c>
      <c r="R62" s="55">
        <v>49.674999999999997</v>
      </c>
      <c r="S62" s="128">
        <v>145</v>
      </c>
      <c r="T62" s="128"/>
      <c r="U62" s="128"/>
      <c r="V62" s="128"/>
      <c r="W62" s="128"/>
      <c r="X62" s="128"/>
    </row>
    <row r="63" spans="2:24" x14ac:dyDescent="0.3">
      <c r="B63" s="51">
        <v>49</v>
      </c>
      <c r="C63" s="51" t="s">
        <v>78</v>
      </c>
      <c r="D63" s="51">
        <v>49</v>
      </c>
      <c r="E63" s="51">
        <v>70.900000000000006</v>
      </c>
      <c r="F63" s="51">
        <v>69.225000000000009</v>
      </c>
      <c r="G63" s="51">
        <v>6.9340000000000002</v>
      </c>
      <c r="H63" s="51">
        <v>6.9720000000000004</v>
      </c>
      <c r="I63" s="51">
        <v>33.5</v>
      </c>
      <c r="J63" s="54">
        <f t="shared" si="3"/>
        <v>9.5753324534747843</v>
      </c>
      <c r="K63" s="53">
        <f>IFERROR(WHOLE_STRUCTURE[[#This Row],[Bottom '[m']]]-WHOLE_STRUCTURE[[#This Row],[D, top '[m']]], "")</f>
        <v>62.291000000000011</v>
      </c>
      <c r="L63" s="54">
        <f>IFERROR(-(WHOLE_STRUCTURE[[#This Row],[D, bottom '[m']]]-WHOLE_STRUCTURE[[#This Row],[D, top '[m']]])/(WHOLE_STRUCTURE[[#This Row],[Bottom '[m']]]-WHOLE_STRUCTURE[[#This Row],[Top '[m']]]),"")</f>
        <v>2.2686567164179296E-2</v>
      </c>
      <c r="M63" s="52">
        <f>IFERROR((WHOLE_STRUCTURE[[#This Row],[D, bottom '[m']]]+WHOLE_STRUCTURE[[#This Row],[D, top '[m']]])/(2*WHOLE_STRUCTURE[[#This Row],[t '[mm']]]/1000),"")</f>
        <v>207.55223880597015</v>
      </c>
      <c r="O63" s="55" t="s">
        <v>78</v>
      </c>
      <c r="P63" s="55" t="s">
        <v>262</v>
      </c>
      <c r="Q63" s="55">
        <v>45.564000000000007</v>
      </c>
      <c r="R63" s="55">
        <v>45.564000000000007</v>
      </c>
      <c r="S63" s="128">
        <v>146</v>
      </c>
      <c r="T63" s="128"/>
      <c r="U63" s="128"/>
      <c r="V63" s="128"/>
      <c r="W63" s="128"/>
      <c r="X63" s="128"/>
    </row>
    <row r="64" spans="2:24" x14ac:dyDescent="0.3">
      <c r="B64" s="51">
        <v>50</v>
      </c>
      <c r="C64" s="51" t="s">
        <v>78</v>
      </c>
      <c r="D64" s="51">
        <v>50</v>
      </c>
      <c r="E64" s="51">
        <v>69.225000000000009</v>
      </c>
      <c r="F64" s="51">
        <v>66.490000000000009</v>
      </c>
      <c r="G64" s="51">
        <v>6.9720000000000004</v>
      </c>
      <c r="H64" s="51">
        <v>7.0380000000000003</v>
      </c>
      <c r="I64" s="51">
        <v>34</v>
      </c>
      <c r="J64" s="54">
        <f t="shared" si="3"/>
        <v>15.986406792159258</v>
      </c>
      <c r="K64" s="53">
        <f>IFERROR(WHOLE_STRUCTURE[[#This Row],[Bottom '[m']]]-WHOLE_STRUCTURE[[#This Row],[D, top '[m']]], "")</f>
        <v>59.518000000000008</v>
      </c>
      <c r="L64" s="54">
        <f>IFERROR(-(WHOLE_STRUCTURE[[#This Row],[D, bottom '[m']]]-WHOLE_STRUCTURE[[#This Row],[D, top '[m']]])/(WHOLE_STRUCTURE[[#This Row],[Bottom '[m']]]-WHOLE_STRUCTURE[[#This Row],[Top '[m']]]),"")</f>
        <v>2.4131627056672707E-2</v>
      </c>
      <c r="M64" s="52">
        <f>IFERROR((WHOLE_STRUCTURE[[#This Row],[D, bottom '[m']]]+WHOLE_STRUCTURE[[#This Row],[D, top '[m']]])/(2*WHOLE_STRUCTURE[[#This Row],[t '[mm']]]/1000),"")</f>
        <v>206.02941176470588</v>
      </c>
      <c r="O64" s="55" t="s">
        <v>78</v>
      </c>
      <c r="P64" s="55" t="s">
        <v>262</v>
      </c>
      <c r="Q64" s="55">
        <v>41.561000000000007</v>
      </c>
      <c r="R64" s="55">
        <v>41.561000000000007</v>
      </c>
      <c r="S64" s="128">
        <v>146</v>
      </c>
      <c r="T64" s="128"/>
      <c r="U64" s="128"/>
      <c r="V64" s="128"/>
      <c r="W64" s="128"/>
      <c r="X64" s="128"/>
    </row>
    <row r="65" spans="2:24" x14ac:dyDescent="0.3">
      <c r="B65" s="51">
        <v>51</v>
      </c>
      <c r="C65" s="51" t="s">
        <v>78</v>
      </c>
      <c r="D65" s="51">
        <v>51</v>
      </c>
      <c r="E65" s="51">
        <v>66.490000000000009</v>
      </c>
      <c r="F65" s="51">
        <v>66.445000000000007</v>
      </c>
      <c r="G65" s="51">
        <v>7.0380000000000003</v>
      </c>
      <c r="H65" s="51">
        <v>7.0380000000000003</v>
      </c>
      <c r="I65" s="51">
        <v>38</v>
      </c>
      <c r="J65" s="54">
        <f t="shared" si="3"/>
        <v>0.29519818289824729</v>
      </c>
      <c r="K65" s="54">
        <f>IFERROR(WHOLE_STRUCTURE[[#This Row],[Bottom '[m']]]-WHOLE_STRUCTURE[[#This Row],[D, top '[m']]], "")</f>
        <v>59.407000000000011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185.21052631578948</v>
      </c>
      <c r="O65" s="55" t="s">
        <v>78</v>
      </c>
      <c r="P65" s="55" t="s">
        <v>262</v>
      </c>
      <c r="Q65" s="55">
        <v>40.900000000000006</v>
      </c>
      <c r="R65" s="55">
        <v>40.900000000000006</v>
      </c>
      <c r="S65" s="128">
        <v>150</v>
      </c>
      <c r="T65" s="128"/>
      <c r="U65" s="128"/>
      <c r="V65" s="128"/>
      <c r="W65" s="128"/>
      <c r="X65" s="128"/>
    </row>
    <row r="66" spans="2:24" x14ac:dyDescent="0.3">
      <c r="B66" s="51">
        <v>52</v>
      </c>
      <c r="C66" s="51" t="s">
        <v>78</v>
      </c>
      <c r="D66" s="51">
        <v>52</v>
      </c>
      <c r="E66" s="51">
        <v>66.445000000000007</v>
      </c>
      <c r="F66" s="51">
        <v>66.260000000000005</v>
      </c>
      <c r="G66" s="51">
        <v>7.0380000000000003</v>
      </c>
      <c r="H66" s="51">
        <v>7.0380000000000003</v>
      </c>
      <c r="I66" s="51">
        <v>38</v>
      </c>
      <c r="J66" s="54">
        <f t="shared" si="3"/>
        <v>1.2135925296927634</v>
      </c>
      <c r="K66" s="54">
        <f>IFERROR(WHOLE_STRUCTURE[[#This Row],[Bottom '[m']]]-WHOLE_STRUCTURE[[#This Row],[D, top '[m']]], "")</f>
        <v>59.222000000000008</v>
      </c>
      <c r="L66" s="54">
        <f>IFERROR(-(WHOLE_STRUCTURE[[#This Row],[D, bottom '[m']]]-WHOLE_STRUCTURE[[#This Row],[D, top '[m']]])/(WHOLE_STRUCTURE[[#This Row],[Bottom '[m']]]-WHOLE_STRUCTURE[[#This Row],[Top '[m']]]),"")</f>
        <v>0</v>
      </c>
      <c r="M66" s="54">
        <f>IFERROR((WHOLE_STRUCTURE[[#This Row],[D, bottom '[m']]]+WHOLE_STRUCTURE[[#This Row],[D, top '[m']]])/(2*WHOLE_STRUCTURE[[#This Row],[t '[mm']]]/1000),"")</f>
        <v>185.21052631578948</v>
      </c>
      <c r="O66" s="55" t="s">
        <v>78</v>
      </c>
      <c r="P66" s="55" t="s">
        <v>262</v>
      </c>
      <c r="Q66" s="55">
        <v>38.725000000000001</v>
      </c>
      <c r="R66" s="55">
        <v>38.725000000000001</v>
      </c>
      <c r="S66" s="128">
        <v>7072</v>
      </c>
      <c r="T66" s="128"/>
      <c r="U66" s="128"/>
      <c r="V66" s="128"/>
      <c r="W66" s="128"/>
      <c r="X66" s="128"/>
    </row>
    <row r="67" spans="2:24" x14ac:dyDescent="0.3">
      <c r="B67" s="51">
        <v>53</v>
      </c>
      <c r="C67" s="51" t="s">
        <v>78</v>
      </c>
      <c r="D67" s="51">
        <v>53</v>
      </c>
      <c r="E67" s="51">
        <v>66.260000000000005</v>
      </c>
      <c r="F67" s="51">
        <v>66.075000000000003</v>
      </c>
      <c r="G67" s="51">
        <v>7.0380000000000003</v>
      </c>
      <c r="H67" s="51">
        <v>7.0380000000000003</v>
      </c>
      <c r="I67" s="51">
        <v>38</v>
      </c>
      <c r="J67" s="54">
        <f t="shared" si="3"/>
        <v>1.2135925296927634</v>
      </c>
      <c r="K67" s="54">
        <f>IFERROR(WHOLE_STRUCTURE[[#This Row],[Bottom '[m']]]-WHOLE_STRUCTURE[[#This Row],[D, top '[m']]], "")</f>
        <v>59.037000000000006</v>
      </c>
      <c r="L67" s="54">
        <f>IFERROR(-(WHOLE_STRUCTURE[[#This Row],[D, bottom '[m']]]-WHOLE_STRUCTURE[[#This Row],[D, top '[m']]])/(WHOLE_STRUCTURE[[#This Row],[Bottom '[m']]]-WHOLE_STRUCTURE[[#This Row],[Top '[m']]]),"")</f>
        <v>0</v>
      </c>
      <c r="M67" s="54">
        <f>IFERROR((WHOLE_STRUCTURE[[#This Row],[D, bottom '[m']]]+WHOLE_STRUCTURE[[#This Row],[D, top '[m']]])/(2*WHOLE_STRUCTURE[[#This Row],[t '[mm']]]/1000),"")</f>
        <v>185.21052631578948</v>
      </c>
      <c r="O67" s="55" t="s">
        <v>78</v>
      </c>
      <c r="P67" s="55" t="s">
        <v>262</v>
      </c>
      <c r="Q67" s="55">
        <v>38.540000000000006</v>
      </c>
      <c r="R67" s="55">
        <v>38.540000000000006</v>
      </c>
      <c r="S67" s="128">
        <v>11176</v>
      </c>
      <c r="T67" s="128"/>
      <c r="U67" s="128"/>
      <c r="V67" s="128"/>
      <c r="W67" s="128"/>
      <c r="X67" s="128"/>
    </row>
    <row r="68" spans="2:24" x14ac:dyDescent="0.3">
      <c r="B68" s="51">
        <v>54</v>
      </c>
      <c r="C68" s="51" t="s">
        <v>78</v>
      </c>
      <c r="D68" s="51">
        <v>54</v>
      </c>
      <c r="E68" s="51">
        <v>66.075000000000003</v>
      </c>
      <c r="F68" s="51">
        <v>66.03</v>
      </c>
      <c r="G68" s="51">
        <v>7.0380000000000003</v>
      </c>
      <c r="H68" s="51">
        <v>7.032</v>
      </c>
      <c r="I68" s="51">
        <v>38</v>
      </c>
      <c r="J68" s="54">
        <f t="shared" si="3"/>
        <v>0.29507166939129226</v>
      </c>
      <c r="K68" s="54">
        <f>IFERROR(WHOLE_STRUCTURE[[#This Row],[Bottom '[m']]]-WHOLE_STRUCTURE[[#This Row],[D, top '[m']]], "")</f>
        <v>58.992000000000004</v>
      </c>
      <c r="L68" s="54">
        <f>IFERROR(-(WHOLE_STRUCTURE[[#This Row],[D, bottom '[m']]]-WHOLE_STRUCTURE[[#This Row],[D, top '[m']]])/(WHOLE_STRUCTURE[[#This Row],[Bottom '[m']]]-WHOLE_STRUCTURE[[#This Row],[Top '[m']]]),"")</f>
        <v>-0.13333333333333333</v>
      </c>
      <c r="M68" s="54">
        <f>IFERROR((WHOLE_STRUCTURE[[#This Row],[D, bottom '[m']]]+WHOLE_STRUCTURE[[#This Row],[D, top '[m']]])/(2*WHOLE_STRUCTURE[[#This Row],[t '[mm']]]/1000),"")</f>
        <v>185.13157894736844</v>
      </c>
      <c r="O68" s="55" t="s">
        <v>78</v>
      </c>
      <c r="P68" s="55" t="s">
        <v>262</v>
      </c>
      <c r="Q68" s="55">
        <v>38.355000000000004</v>
      </c>
      <c r="R68" s="55">
        <v>38.355000000000004</v>
      </c>
      <c r="S68" s="128">
        <v>6</v>
      </c>
      <c r="T68" s="128"/>
      <c r="U68" s="128"/>
      <c r="V68" s="128"/>
      <c r="W68" s="128"/>
      <c r="X68" s="128"/>
    </row>
    <row r="69" spans="2:24" x14ac:dyDescent="0.3">
      <c r="B69" s="51">
        <v>55</v>
      </c>
      <c r="C69" s="51" t="s">
        <v>78</v>
      </c>
      <c r="D69" s="51">
        <v>55</v>
      </c>
      <c r="E69" s="51">
        <v>66.03</v>
      </c>
      <c r="F69" s="51">
        <v>63.308000000000007</v>
      </c>
      <c r="G69" s="51">
        <v>7.032</v>
      </c>
      <c r="H69" s="51">
        <v>7.0759999999999996</v>
      </c>
      <c r="I69" s="51">
        <v>32</v>
      </c>
      <c r="J69" s="54">
        <f t="shared" ref="J69:J131" si="4">IF(7850/1000*(1/3)*PI()*ABS(E69-F69)*((G69/2)^2+(G69/2)*(H69/2)+(H69/2)^2-(G69/2-I69/1000)^2-(G69/2-I69/1000)*(H69/2-I69/1000)-(H69/2-I69/1000)^2)=0,"",7850/1000*(1/3)*PI()*ABS(E69-F69)*((G69/2)^2+(G69/2)*(H69/2)+(H69/2)^2-(G69/2-I69/1000)^2-(G69/2-I69/1000)*(H69/2-I69/1000)-(H69/2-I69/1000)^2))</f>
        <v>15.0840670340591</v>
      </c>
      <c r="K69" s="54">
        <f>IFERROR(WHOLE_STRUCTURE[[#This Row],[Bottom '[m']]]-WHOLE_STRUCTURE[[#This Row],[D, top '[m']]], "")</f>
        <v>56.27600000000001</v>
      </c>
      <c r="L69" s="54">
        <f>IFERROR(-(WHOLE_STRUCTURE[[#This Row],[D, bottom '[m']]]-WHOLE_STRUCTURE[[#This Row],[D, top '[m']]])/(WHOLE_STRUCTURE[[#This Row],[Bottom '[m']]]-WHOLE_STRUCTURE[[#This Row],[Top '[m']]]),"")</f>
        <v>1.6164584864070422E-2</v>
      </c>
      <c r="M69" s="54">
        <f>IFERROR((WHOLE_STRUCTURE[[#This Row],[D, bottom '[m']]]+WHOLE_STRUCTURE[[#This Row],[D, top '[m']]])/(2*WHOLE_STRUCTURE[[#This Row],[t '[mm']]]/1000),"")</f>
        <v>220.4375</v>
      </c>
      <c r="O69" s="55" t="s">
        <v>78</v>
      </c>
      <c r="P69" s="55" t="s">
        <v>262</v>
      </c>
      <c r="Q69" s="55">
        <v>38.305000000000007</v>
      </c>
      <c r="R69" s="55">
        <v>38.305000000000007</v>
      </c>
      <c r="S69" s="128">
        <v>2</v>
      </c>
      <c r="T69" s="128"/>
      <c r="U69" s="128"/>
      <c r="V69" s="128"/>
      <c r="W69" s="128"/>
      <c r="X69" s="128"/>
    </row>
    <row r="70" spans="2:24" x14ac:dyDescent="0.3">
      <c r="B70" s="51">
        <v>56</v>
      </c>
      <c r="C70" s="51" t="s">
        <v>78</v>
      </c>
      <c r="D70" s="51">
        <v>56</v>
      </c>
      <c r="E70" s="51">
        <v>63.308000000000007</v>
      </c>
      <c r="F70" s="51">
        <v>62.007000000000005</v>
      </c>
      <c r="G70" s="51">
        <v>7.0759999999999996</v>
      </c>
      <c r="H70" s="51">
        <v>7.0970000000000004</v>
      </c>
      <c r="I70" s="51">
        <v>33</v>
      </c>
      <c r="J70" s="54">
        <f t="shared" si="4"/>
        <v>7.4681913438982228</v>
      </c>
      <c r="K70" s="54">
        <f>IFERROR(WHOLE_STRUCTURE[[#This Row],[Bottom '[m']]]-WHOLE_STRUCTURE[[#This Row],[D, top '[m']]], "")</f>
        <v>54.931000000000004</v>
      </c>
      <c r="L70" s="54">
        <f>IFERROR(-(WHOLE_STRUCTURE[[#This Row],[D, bottom '[m']]]-WHOLE_STRUCTURE[[#This Row],[D, top '[m']]])/(WHOLE_STRUCTURE[[#This Row],[Bottom '[m']]]-WHOLE_STRUCTURE[[#This Row],[Top '[m']]]),"")</f>
        <v>1.6141429669485598E-2</v>
      </c>
      <c r="M70" s="54">
        <f>IFERROR((WHOLE_STRUCTURE[[#This Row],[D, bottom '[m']]]+WHOLE_STRUCTURE[[#This Row],[D, top '[m']]])/(2*WHOLE_STRUCTURE[[#This Row],[t '[mm']]]/1000),"")</f>
        <v>214.74242424242422</v>
      </c>
      <c r="O70" s="55" t="s">
        <v>78</v>
      </c>
      <c r="P70" s="55" t="s">
        <v>262</v>
      </c>
      <c r="Q70" s="55">
        <v>37.343000000000004</v>
      </c>
      <c r="R70" s="55">
        <v>37.343000000000004</v>
      </c>
      <c r="S70" s="128">
        <v>1318</v>
      </c>
      <c r="T70" s="128"/>
      <c r="U70" s="128"/>
      <c r="V70" s="128"/>
      <c r="W70" s="128"/>
      <c r="X70" s="128"/>
    </row>
    <row r="71" spans="2:24" x14ac:dyDescent="0.3">
      <c r="B71" s="51">
        <v>57</v>
      </c>
      <c r="C71" s="51" t="s">
        <v>78</v>
      </c>
      <c r="D71" s="51">
        <v>57</v>
      </c>
      <c r="E71" s="51">
        <v>62.007000000000005</v>
      </c>
      <c r="F71" s="51">
        <v>60.900000000000006</v>
      </c>
      <c r="G71" s="51">
        <v>7.0970000000000004</v>
      </c>
      <c r="H71" s="51">
        <v>7.1139999999999999</v>
      </c>
      <c r="I71" s="51">
        <v>33</v>
      </c>
      <c r="J71" s="54">
        <f t="shared" si="4"/>
        <v>6.3716813187634509</v>
      </c>
      <c r="K71" s="54">
        <f>IFERROR(WHOLE_STRUCTURE[[#This Row],[Bottom '[m']]]-WHOLE_STRUCTURE[[#This Row],[D, top '[m']]], "")</f>
        <v>53.803000000000004</v>
      </c>
      <c r="L71" s="54">
        <f>IFERROR(-(WHOLE_STRUCTURE[[#This Row],[D, bottom '[m']]]-WHOLE_STRUCTURE[[#This Row],[D, top '[m']]])/(WHOLE_STRUCTURE[[#This Row],[Bottom '[m']]]-WHOLE_STRUCTURE[[#This Row],[Top '[m']]]),"")</f>
        <v>1.5356820234868536E-2</v>
      </c>
      <c r="M71" s="54">
        <f>IFERROR((WHOLE_STRUCTURE[[#This Row],[D, bottom '[m']]]+WHOLE_STRUCTURE[[#This Row],[D, top '[m']]])/(2*WHOLE_STRUCTURE[[#This Row],[t '[mm']]]/1000),"")</f>
        <v>215.31818181818181</v>
      </c>
      <c r="O71" s="55" t="s">
        <v>78</v>
      </c>
      <c r="P71" s="55" t="s">
        <v>262</v>
      </c>
      <c r="Q71" s="55">
        <v>33.231999999999999</v>
      </c>
      <c r="R71" s="55">
        <v>33.231999999999999</v>
      </c>
      <c r="S71" s="128">
        <v>158</v>
      </c>
      <c r="T71" s="128"/>
      <c r="U71" s="128"/>
      <c r="V71" s="128"/>
      <c r="W71" s="128"/>
      <c r="X71" s="128"/>
    </row>
    <row r="72" spans="2:24" x14ac:dyDescent="0.3">
      <c r="B72" s="51">
        <v>58</v>
      </c>
      <c r="C72" s="51" t="s">
        <v>78</v>
      </c>
      <c r="D72" s="51">
        <v>58</v>
      </c>
      <c r="E72" s="51">
        <v>60.900000000000006</v>
      </c>
      <c r="F72" s="51">
        <v>60.59</v>
      </c>
      <c r="G72" s="51">
        <v>7.1139999999999999</v>
      </c>
      <c r="H72" s="51">
        <v>7.1189999999999998</v>
      </c>
      <c r="I72" s="51">
        <v>33</v>
      </c>
      <c r="J72" s="54">
        <f t="shared" si="4"/>
        <v>1.7870761604983658</v>
      </c>
      <c r="K72" s="54">
        <f>IFERROR(WHOLE_STRUCTURE[[#This Row],[Bottom '[m']]]-WHOLE_STRUCTURE[[#This Row],[D, top '[m']]], "")</f>
        <v>53.476000000000006</v>
      </c>
      <c r="L72" s="54">
        <f>IFERROR(-(WHOLE_STRUCTURE[[#This Row],[D, bottom '[m']]]-WHOLE_STRUCTURE[[#This Row],[D, top '[m']]])/(WHOLE_STRUCTURE[[#This Row],[Bottom '[m']]]-WHOLE_STRUCTURE[[#This Row],[Top '[m']]]),"")</f>
        <v>1.6129032258064054E-2</v>
      </c>
      <c r="M72" s="54">
        <f>IFERROR((WHOLE_STRUCTURE[[#This Row],[D, bottom '[m']]]+WHOLE_STRUCTURE[[#This Row],[D, top '[m']]])/(2*WHOLE_STRUCTURE[[#This Row],[t '[mm']]]/1000),"")</f>
        <v>215.65151515151516</v>
      </c>
      <c r="O72" s="55" t="s">
        <v>78</v>
      </c>
      <c r="P72" s="55" t="s">
        <v>262</v>
      </c>
      <c r="Q72" s="55">
        <v>30.900000000000002</v>
      </c>
      <c r="R72" s="55">
        <v>30.900000000000002</v>
      </c>
      <c r="S72" s="128">
        <v>158</v>
      </c>
      <c r="T72" s="128"/>
      <c r="U72" s="128"/>
      <c r="V72" s="128"/>
      <c r="W72" s="128"/>
      <c r="X72" s="128"/>
    </row>
    <row r="73" spans="2:24" x14ac:dyDescent="0.3">
      <c r="B73" s="51">
        <v>59</v>
      </c>
      <c r="C73" s="51" t="s">
        <v>78</v>
      </c>
      <c r="D73" s="51">
        <v>59</v>
      </c>
      <c r="E73" s="51">
        <v>60.59</v>
      </c>
      <c r="F73" s="51">
        <v>57.896000000000001</v>
      </c>
      <c r="G73" s="51">
        <v>7.1189999999999998</v>
      </c>
      <c r="H73" s="51">
        <v>7.1619999999999999</v>
      </c>
      <c r="I73" s="51">
        <v>33</v>
      </c>
      <c r="J73" s="54">
        <f t="shared" si="4"/>
        <v>15.582887276036354</v>
      </c>
      <c r="K73" s="54">
        <f>IFERROR(WHOLE_STRUCTURE[[#This Row],[Bottom '[m']]]-WHOLE_STRUCTURE[[#This Row],[D, top '[m']]], "")</f>
        <v>50.777000000000001</v>
      </c>
      <c r="L73" s="54">
        <f>IFERROR(-(WHOLE_STRUCTURE[[#This Row],[D, bottom '[m']]]-WHOLE_STRUCTURE[[#This Row],[D, top '[m']]])/(WHOLE_STRUCTURE[[#This Row],[Bottom '[m']]]-WHOLE_STRUCTURE[[#This Row],[Top '[m']]]),"")</f>
        <v>1.5961395694135155E-2</v>
      </c>
      <c r="M73" s="54">
        <f>IFERROR((WHOLE_STRUCTURE[[#This Row],[D, bottom '[m']]]+WHOLE_STRUCTURE[[#This Row],[D, top '[m']]])/(2*WHOLE_STRUCTURE[[#This Row],[t '[mm']]]/1000),"")</f>
        <v>216.37878787878785</v>
      </c>
      <c r="O73" s="55" t="s">
        <v>78</v>
      </c>
      <c r="P73" s="55" t="s">
        <v>262</v>
      </c>
      <c r="Q73" s="55">
        <v>29.121000000000002</v>
      </c>
      <c r="R73" s="55">
        <v>29.121000000000002</v>
      </c>
      <c r="S73" s="128">
        <v>158</v>
      </c>
      <c r="T73" s="128"/>
      <c r="U73" s="128"/>
      <c r="V73" s="128"/>
      <c r="W73" s="128"/>
      <c r="X73" s="128"/>
    </row>
    <row r="74" spans="2:24" x14ac:dyDescent="0.3">
      <c r="B74" s="51">
        <v>60</v>
      </c>
      <c r="C74" s="51" t="s">
        <v>78</v>
      </c>
      <c r="D74" s="51">
        <v>60</v>
      </c>
      <c r="E74" s="51">
        <v>57.896000000000001</v>
      </c>
      <c r="F74" s="51">
        <v>57.872</v>
      </c>
      <c r="G74" s="51">
        <v>7.1619999999999999</v>
      </c>
      <c r="H74" s="51">
        <v>7.1630000000000003</v>
      </c>
      <c r="I74" s="51">
        <v>33</v>
      </c>
      <c r="J74" s="54">
        <f t="shared" si="4"/>
        <v>0.13925275124633829</v>
      </c>
      <c r="K74" s="54">
        <f>IFERROR(WHOLE_STRUCTURE[[#This Row],[Bottom '[m']]]-WHOLE_STRUCTURE[[#This Row],[D, top '[m']]], "")</f>
        <v>50.71</v>
      </c>
      <c r="L74" s="54">
        <f>IFERROR(-(WHOLE_STRUCTURE[[#This Row],[D, bottom '[m']]]-WHOLE_STRUCTURE[[#This Row],[D, top '[m']]])/(WHOLE_STRUCTURE[[#This Row],[Bottom '[m']]]-WHOLE_STRUCTURE[[#This Row],[Top '[m']]]),"")</f>
        <v>4.1666666666679002E-2</v>
      </c>
      <c r="M74" s="54">
        <f>IFERROR((WHOLE_STRUCTURE[[#This Row],[D, bottom '[m']]]+WHOLE_STRUCTURE[[#This Row],[D, top '[m']]])/(2*WHOLE_STRUCTURE[[#This Row],[t '[mm']]]/1000),"")</f>
        <v>217.04545454545453</v>
      </c>
      <c r="O74" s="55" t="s">
        <v>78</v>
      </c>
      <c r="P74" s="55" t="s">
        <v>262</v>
      </c>
      <c r="Q74" s="55">
        <v>25.050000000000004</v>
      </c>
      <c r="R74" s="55">
        <v>25.050000000000004</v>
      </c>
      <c r="S74" s="128">
        <v>86</v>
      </c>
      <c r="T74" s="128"/>
      <c r="U74" s="128"/>
      <c r="V74" s="128"/>
      <c r="W74" s="128"/>
      <c r="X74" s="128"/>
    </row>
    <row r="75" spans="2:24" x14ac:dyDescent="0.3">
      <c r="B75" s="51">
        <v>61</v>
      </c>
      <c r="C75" s="51" t="s">
        <v>78</v>
      </c>
      <c r="D75" s="51">
        <v>61</v>
      </c>
      <c r="E75" s="51">
        <v>57.872</v>
      </c>
      <c r="F75" s="51">
        <v>55.153999999999996</v>
      </c>
      <c r="G75" s="51">
        <v>7.1630000000000003</v>
      </c>
      <c r="H75" s="51">
        <v>7.21</v>
      </c>
      <c r="I75" s="51">
        <v>34</v>
      </c>
      <c r="J75" s="54">
        <f t="shared" si="4"/>
        <v>16.300681633570363</v>
      </c>
      <c r="K75" s="54">
        <f>IFERROR(WHOLE_STRUCTURE[[#This Row],[Bottom '[m']]]-WHOLE_STRUCTURE[[#This Row],[D, top '[m']]], "")</f>
        <v>47.991</v>
      </c>
      <c r="L75" s="54">
        <f>IFERROR(-(WHOLE_STRUCTURE[[#This Row],[D, bottom '[m']]]-WHOLE_STRUCTURE[[#This Row],[D, top '[m']]])/(WHOLE_STRUCTURE[[#This Row],[Bottom '[m']]]-WHOLE_STRUCTURE[[#This Row],[Top '[m']]]),"")</f>
        <v>1.7292126563649615E-2</v>
      </c>
      <c r="M75" s="54">
        <f>IFERROR((WHOLE_STRUCTURE[[#This Row],[D, bottom '[m']]]+WHOLE_STRUCTURE[[#This Row],[D, top '[m']]])/(2*WHOLE_STRUCTURE[[#This Row],[t '[mm']]]/1000),"")</f>
        <v>211.36764705882354</v>
      </c>
      <c r="O75" s="55" t="s">
        <v>78</v>
      </c>
      <c r="P75" s="55" t="s">
        <v>262</v>
      </c>
      <c r="Q75" s="55">
        <v>25.011000000000003</v>
      </c>
      <c r="R75" s="55">
        <v>25.011000000000003</v>
      </c>
      <c r="S75" s="128">
        <v>688</v>
      </c>
      <c r="T75" s="128"/>
      <c r="U75" s="128"/>
      <c r="V75" s="128"/>
      <c r="W75" s="128"/>
      <c r="X75" s="128"/>
    </row>
    <row r="76" spans="2:24" x14ac:dyDescent="0.3">
      <c r="B76" s="51">
        <v>62</v>
      </c>
      <c r="C76" s="51" t="s">
        <v>78</v>
      </c>
      <c r="D76" s="51">
        <v>62</v>
      </c>
      <c r="E76" s="51">
        <v>55.153999999999996</v>
      </c>
      <c r="F76" s="51">
        <v>53.786000000000001</v>
      </c>
      <c r="G76" s="51">
        <v>7.21</v>
      </c>
      <c r="H76" s="51">
        <v>7.2309999999999999</v>
      </c>
      <c r="I76" s="51">
        <v>38.199999999999996</v>
      </c>
      <c r="J76" s="54">
        <f t="shared" si="4"/>
        <v>9.2561957628509823</v>
      </c>
      <c r="K76" s="54">
        <f>IFERROR(WHOLE_STRUCTURE[[#This Row],[Bottom '[m']]]-WHOLE_STRUCTURE[[#This Row],[D, top '[m']]], "")</f>
        <v>46.576000000000001</v>
      </c>
      <c r="L76" s="54">
        <f>IFERROR(-(WHOLE_STRUCTURE[[#This Row],[D, bottom '[m']]]-WHOLE_STRUCTURE[[#This Row],[D, top '[m']]])/(WHOLE_STRUCTURE[[#This Row],[Bottom '[m']]]-WHOLE_STRUCTURE[[#This Row],[Top '[m']]]),"")</f>
        <v>1.5350877192982445E-2</v>
      </c>
      <c r="M76" s="54">
        <f>IFERROR((WHOLE_STRUCTURE[[#This Row],[D, bottom '[m']]]+WHOLE_STRUCTURE[[#This Row],[D, top '[m']]])/(2*WHOLE_STRUCTURE[[#This Row],[t '[mm']]]/1000),"")</f>
        <v>189.01832460732984</v>
      </c>
      <c r="O76" s="55" t="s">
        <v>78</v>
      </c>
      <c r="P76" s="55" t="s">
        <v>262</v>
      </c>
      <c r="Q76" s="55">
        <v>22.12</v>
      </c>
      <c r="R76" s="55">
        <v>22.12</v>
      </c>
      <c r="S76" s="128">
        <v>13900</v>
      </c>
      <c r="T76" s="128"/>
      <c r="U76" s="128"/>
      <c r="V76" s="128"/>
      <c r="W76" s="128"/>
      <c r="X76" s="128"/>
    </row>
    <row r="77" spans="2:24" x14ac:dyDescent="0.3">
      <c r="B77" s="51">
        <v>63</v>
      </c>
      <c r="C77" s="51" t="s">
        <v>78</v>
      </c>
      <c r="D77" s="51">
        <v>63</v>
      </c>
      <c r="E77" s="51">
        <v>53.786000000000001</v>
      </c>
      <c r="F77" s="51">
        <v>52.436000000000007</v>
      </c>
      <c r="G77" s="51">
        <v>7.2309999999999999</v>
      </c>
      <c r="H77" s="51">
        <v>7.2519999999999998</v>
      </c>
      <c r="I77" s="51">
        <v>38.199999999999996</v>
      </c>
      <c r="J77" s="54">
        <f t="shared" si="4"/>
        <v>9.1611113805187827</v>
      </c>
      <c r="K77" s="54">
        <f>IFERROR(WHOLE_STRUCTURE[[#This Row],[Bottom '[m']]]-WHOLE_STRUCTURE[[#This Row],[D, top '[m']]], "")</f>
        <v>45.205000000000005</v>
      </c>
      <c r="L77" s="54">
        <f>IFERROR(-(WHOLE_STRUCTURE[[#This Row],[D, bottom '[m']]]-WHOLE_STRUCTURE[[#This Row],[D, top '[m']]])/(WHOLE_STRUCTURE[[#This Row],[Bottom '[m']]]-WHOLE_STRUCTURE[[#This Row],[Top '[m']]]),"")</f>
        <v>1.5555555555555553E-2</v>
      </c>
      <c r="M77" s="54">
        <f>IFERROR((WHOLE_STRUCTURE[[#This Row],[D, bottom '[m']]]+WHOLE_STRUCTURE[[#This Row],[D, top '[m']]])/(2*WHOLE_STRUCTURE[[#This Row],[t '[mm']]]/1000),"")</f>
        <v>189.56806282722516</v>
      </c>
      <c r="O77" s="55" t="s">
        <v>78</v>
      </c>
      <c r="P77" s="55" t="s">
        <v>262</v>
      </c>
      <c r="Q77" s="55">
        <v>21.14</v>
      </c>
      <c r="R77" s="55">
        <v>21.14</v>
      </c>
      <c r="S77" s="128">
        <v>53</v>
      </c>
      <c r="T77" s="128"/>
      <c r="U77" s="128"/>
      <c r="V77" s="128"/>
      <c r="W77" s="128"/>
      <c r="X77" s="128"/>
    </row>
    <row r="78" spans="2:24" x14ac:dyDescent="0.3">
      <c r="B78" s="51">
        <v>64</v>
      </c>
      <c r="C78" s="51" t="s">
        <v>78</v>
      </c>
      <c r="D78" s="51">
        <v>64</v>
      </c>
      <c r="E78" s="51">
        <v>52.436000000000007</v>
      </c>
      <c r="F78" s="51">
        <v>50.900000000000006</v>
      </c>
      <c r="G78" s="51">
        <v>7.2519999999999998</v>
      </c>
      <c r="H78" s="51">
        <v>7.2770000000000001</v>
      </c>
      <c r="I78" s="51">
        <v>38.199999999999996</v>
      </c>
      <c r="J78" s="54">
        <f t="shared" si="4"/>
        <v>10.456590375877102</v>
      </c>
      <c r="K78" s="54">
        <f>IFERROR(WHOLE_STRUCTURE[[#This Row],[Bottom '[m']]]-WHOLE_STRUCTURE[[#This Row],[D, top '[m']]], "")</f>
        <v>43.648000000000003</v>
      </c>
      <c r="L78" s="54">
        <f>IFERROR(-(WHOLE_STRUCTURE[[#This Row],[D, bottom '[m']]]-WHOLE_STRUCTURE[[#This Row],[D, top '[m']]])/(WHOLE_STRUCTURE[[#This Row],[Bottom '[m']]]-WHOLE_STRUCTURE[[#This Row],[Top '[m']]]),"")</f>
        <v>1.6276041666666883E-2</v>
      </c>
      <c r="M78" s="54">
        <f>IFERROR((WHOLE_STRUCTURE[[#This Row],[D, bottom '[m']]]+WHOLE_STRUCTURE[[#This Row],[D, top '[m']]])/(2*WHOLE_STRUCTURE[[#This Row],[t '[mm']]]/1000),"")</f>
        <v>190.17015706806285</v>
      </c>
      <c r="O78" s="55" t="s">
        <v>78</v>
      </c>
      <c r="P78" s="55" t="s">
        <v>262</v>
      </c>
      <c r="Q78" s="55">
        <v>21.080000000000002</v>
      </c>
      <c r="R78" s="55">
        <v>21.080000000000002</v>
      </c>
      <c r="S78" s="128">
        <v>14132</v>
      </c>
      <c r="T78" s="128"/>
      <c r="U78" s="128"/>
      <c r="V78" s="128"/>
      <c r="W78" s="128"/>
      <c r="X78" s="128"/>
    </row>
    <row r="79" spans="2:24" x14ac:dyDescent="0.3">
      <c r="B79" s="51">
        <v>65</v>
      </c>
      <c r="C79" s="51" t="s">
        <v>78</v>
      </c>
      <c r="D79" s="51">
        <v>65</v>
      </c>
      <c r="E79" s="51">
        <v>50.900000000000006</v>
      </c>
      <c r="F79" s="51">
        <v>49.718000000000004</v>
      </c>
      <c r="G79" s="51">
        <v>7.2770000000000001</v>
      </c>
      <c r="H79" s="51">
        <v>7.2919999999999998</v>
      </c>
      <c r="I79" s="51">
        <v>38.199999999999996</v>
      </c>
      <c r="J79" s="54">
        <f t="shared" si="4"/>
        <v>8.0689435830434757</v>
      </c>
      <c r="K79" s="54">
        <f>IFERROR(WHOLE_STRUCTURE[[#This Row],[Bottom '[m']]]-WHOLE_STRUCTURE[[#This Row],[D, top '[m']]], "")</f>
        <v>42.441000000000003</v>
      </c>
      <c r="L79" s="54">
        <f>IFERROR(-(WHOLE_STRUCTURE[[#This Row],[D, bottom '[m']]]-WHOLE_STRUCTURE[[#This Row],[D, top '[m']]])/(WHOLE_STRUCTURE[[#This Row],[Bottom '[m']]]-WHOLE_STRUCTURE[[#This Row],[Top '[m']]]),"")</f>
        <v>1.2690355329948945E-2</v>
      </c>
      <c r="M79" s="54">
        <f>IFERROR((WHOLE_STRUCTURE[[#This Row],[D, bottom '[m']]]+WHOLE_STRUCTURE[[#This Row],[D, top '[m']]])/(2*WHOLE_STRUCTURE[[#This Row],[t '[mm']]]/1000),"")</f>
        <v>190.69371727748691</v>
      </c>
      <c r="O79" s="55" t="s">
        <v>78</v>
      </c>
      <c r="P79" s="55" t="s">
        <v>100</v>
      </c>
      <c r="Q79" s="55">
        <v>20.900000000000002</v>
      </c>
      <c r="R79" s="55">
        <v>20.900000000000002</v>
      </c>
      <c r="S79" s="128">
        <v>28000</v>
      </c>
      <c r="T79" s="128"/>
      <c r="U79" s="128"/>
      <c r="V79" s="128"/>
      <c r="W79" s="128"/>
      <c r="X79" s="128"/>
    </row>
    <row r="80" spans="2:24" x14ac:dyDescent="0.3">
      <c r="B80" s="51">
        <v>66</v>
      </c>
      <c r="C80" s="51" t="s">
        <v>78</v>
      </c>
      <c r="D80" s="51">
        <v>66</v>
      </c>
      <c r="E80" s="51">
        <v>49.718000000000004</v>
      </c>
      <c r="F80" s="51">
        <v>49.674999999999997</v>
      </c>
      <c r="G80" s="51">
        <v>7.2919999999999998</v>
      </c>
      <c r="H80" s="51">
        <v>7.2919999999999998</v>
      </c>
      <c r="I80" s="51">
        <v>34.5</v>
      </c>
      <c r="J80" s="54">
        <f t="shared" si="4"/>
        <v>0.26551809567018186</v>
      </c>
      <c r="K80" s="54">
        <f>IFERROR(WHOLE_STRUCTURE[[#This Row],[Bottom '[m']]]-WHOLE_STRUCTURE[[#This Row],[D, top '[m']]], "")</f>
        <v>42.382999999999996</v>
      </c>
      <c r="L80" s="54">
        <f>IFERROR(-(WHOLE_STRUCTURE[[#This Row],[D, bottom '[m']]]-WHOLE_STRUCTURE[[#This Row],[D, top '[m']]])/(WHOLE_STRUCTURE[[#This Row],[Bottom '[m']]]-WHOLE_STRUCTURE[[#This Row],[Top '[m']]]),"")</f>
        <v>0</v>
      </c>
      <c r="M80" s="54">
        <f>IFERROR((WHOLE_STRUCTURE[[#This Row],[D, bottom '[m']]]+WHOLE_STRUCTURE[[#This Row],[D, top '[m']]])/(2*WHOLE_STRUCTURE[[#This Row],[t '[mm']]]/1000),"")</f>
        <v>211.36231884057969</v>
      </c>
      <c r="O80" s="55" t="s">
        <v>92</v>
      </c>
      <c r="P80" s="55" t="s">
        <v>101</v>
      </c>
      <c r="Q80" s="55">
        <v>20.100000000000001</v>
      </c>
      <c r="R80" s="55">
        <v>20.100000000000001</v>
      </c>
      <c r="S80" s="128">
        <v>20000</v>
      </c>
      <c r="T80" s="128"/>
      <c r="U80" s="128"/>
      <c r="V80" s="128"/>
      <c r="W80" s="128"/>
      <c r="X80" s="128"/>
    </row>
    <row r="81" spans="2:24" x14ac:dyDescent="0.3">
      <c r="B81" s="51">
        <v>67</v>
      </c>
      <c r="C81" s="51" t="s">
        <v>78</v>
      </c>
      <c r="D81" s="51">
        <v>67</v>
      </c>
      <c r="E81" s="51">
        <v>49.674999999999997</v>
      </c>
      <c r="F81" s="51">
        <v>47</v>
      </c>
      <c r="G81" s="51">
        <v>7.2919999999999998</v>
      </c>
      <c r="H81" s="51">
        <v>7.335</v>
      </c>
      <c r="I81" s="51">
        <v>34.5</v>
      </c>
      <c r="J81" s="54">
        <f t="shared" si="4"/>
        <v>16.566628376977938</v>
      </c>
      <c r="K81" s="54">
        <f>IFERROR(WHOLE_STRUCTURE[[#This Row],[Bottom '[m']]]-WHOLE_STRUCTURE[[#This Row],[D, top '[m']]], "")</f>
        <v>39.707999999999998</v>
      </c>
      <c r="L81" s="54">
        <f>IFERROR(-(WHOLE_STRUCTURE[[#This Row],[D, bottom '[m']]]-WHOLE_STRUCTURE[[#This Row],[D, top '[m']]])/(WHOLE_STRUCTURE[[#This Row],[Bottom '[m']]]-WHOLE_STRUCTURE[[#This Row],[Top '[m']]]),"")</f>
        <v>1.6074766355140258E-2</v>
      </c>
      <c r="M81" s="54">
        <f>IFERROR((WHOLE_STRUCTURE[[#This Row],[D, bottom '[m']]]+WHOLE_STRUCTURE[[#This Row],[D, top '[m']]])/(2*WHOLE_STRUCTURE[[#This Row],[t '[mm']]]/1000),"")</f>
        <v>211.98550724637678</v>
      </c>
      <c r="O81" s="55" t="s">
        <v>92</v>
      </c>
      <c r="P81" s="55" t="s">
        <v>95</v>
      </c>
      <c r="R81" s="55">
        <v>19.5</v>
      </c>
      <c r="S81" s="128">
        <v>5000</v>
      </c>
      <c r="T81" s="128">
        <v>1</v>
      </c>
      <c r="U81" s="128">
        <v>2</v>
      </c>
      <c r="V81" s="128">
        <v>3</v>
      </c>
      <c r="W81" s="128">
        <v>5</v>
      </c>
      <c r="X81" s="128">
        <v>5</v>
      </c>
    </row>
    <row r="82" spans="2:24" x14ac:dyDescent="0.3">
      <c r="B82" s="51">
        <v>68</v>
      </c>
      <c r="C82" s="51" t="s">
        <v>78</v>
      </c>
      <c r="D82" s="51">
        <v>68</v>
      </c>
      <c r="E82" s="51">
        <v>47</v>
      </c>
      <c r="F82" s="51">
        <v>45.564000000000007</v>
      </c>
      <c r="G82" s="51">
        <v>7.335</v>
      </c>
      <c r="H82" s="51">
        <v>7.3579999999999997</v>
      </c>
      <c r="I82" s="51">
        <v>35</v>
      </c>
      <c r="J82" s="54">
        <f t="shared" si="4"/>
        <v>9.0625099838538912</v>
      </c>
      <c r="K82" s="54">
        <f>IFERROR(WHOLE_STRUCTURE[[#This Row],[Bottom '[m']]]-WHOLE_STRUCTURE[[#This Row],[D, top '[m']]], "")</f>
        <v>38.229000000000006</v>
      </c>
      <c r="L82" s="54">
        <f>IFERROR(-(WHOLE_STRUCTURE[[#This Row],[D, bottom '[m']]]-WHOLE_STRUCTURE[[#This Row],[D, top '[m']]])/(WHOLE_STRUCTURE[[#This Row],[Bottom '[m']]]-WHOLE_STRUCTURE[[#This Row],[Top '[m']]]),"")</f>
        <v>1.6016713091921868E-2</v>
      </c>
      <c r="M82" s="54">
        <f>IFERROR((WHOLE_STRUCTURE[[#This Row],[D, bottom '[m']]]+WHOLE_STRUCTURE[[#This Row],[D, top '[m']]])/(2*WHOLE_STRUCTURE[[#This Row],[t '[mm']]]/1000),"")</f>
        <v>209.89999999999998</v>
      </c>
      <c r="O82" s="55" t="s">
        <v>92</v>
      </c>
      <c r="P82" s="55" t="s">
        <v>102</v>
      </c>
      <c r="Q82" s="55">
        <v>14</v>
      </c>
      <c r="R82" s="55">
        <v>14</v>
      </c>
      <c r="S82" s="128">
        <v>5000</v>
      </c>
      <c r="T82" s="128"/>
      <c r="U82" s="128"/>
      <c r="V82" s="128"/>
      <c r="W82" s="128"/>
      <c r="X82" s="128"/>
    </row>
    <row r="83" spans="2:24" x14ac:dyDescent="0.3">
      <c r="B83" s="51">
        <v>69</v>
      </c>
      <c r="C83" s="51" t="s">
        <v>78</v>
      </c>
      <c r="D83" s="51">
        <v>69</v>
      </c>
      <c r="E83" s="51">
        <v>45.564000000000007</v>
      </c>
      <c r="F83" s="51">
        <v>44.282000000000004</v>
      </c>
      <c r="G83" s="51">
        <v>7.3579999999999997</v>
      </c>
      <c r="H83" s="51">
        <v>7.3789999999999996</v>
      </c>
      <c r="I83" s="51">
        <v>35</v>
      </c>
      <c r="J83" s="54">
        <f t="shared" si="4"/>
        <v>8.1149695638373931</v>
      </c>
      <c r="K83" s="54">
        <f>IFERROR(WHOLE_STRUCTURE[[#This Row],[Bottom '[m']]]-WHOLE_STRUCTURE[[#This Row],[D, top '[m']]], "")</f>
        <v>36.924000000000007</v>
      </c>
      <c r="L83" s="54">
        <f>IFERROR(-(WHOLE_STRUCTURE[[#This Row],[D, bottom '[m']]]-WHOLE_STRUCTURE[[#This Row],[D, top '[m']]])/(WHOLE_STRUCTURE[[#This Row],[Bottom '[m']]]-WHOLE_STRUCTURE[[#This Row],[Top '[m']]]),"")</f>
        <v>1.6380655226208931E-2</v>
      </c>
      <c r="M83" s="54">
        <f>IFERROR((WHOLE_STRUCTURE[[#This Row],[D, bottom '[m']]]+WHOLE_STRUCTURE[[#This Row],[D, top '[m']]])/(2*WHOLE_STRUCTURE[[#This Row],[t '[mm']]]/1000),"")</f>
        <v>210.52857142857138</v>
      </c>
      <c r="O83" s="55" t="s">
        <v>92</v>
      </c>
      <c r="P83" s="55" t="s">
        <v>263</v>
      </c>
      <c r="Q83" s="55">
        <v>11</v>
      </c>
      <c r="R83" s="55">
        <v>11</v>
      </c>
      <c r="S83" s="128">
        <v>1</v>
      </c>
      <c r="T83" s="128"/>
      <c r="U83" s="128"/>
      <c r="V83" s="128"/>
      <c r="W83" s="128"/>
      <c r="X83" s="128"/>
    </row>
    <row r="84" spans="2:24" x14ac:dyDescent="0.3">
      <c r="B84" s="51">
        <v>70</v>
      </c>
      <c r="C84" s="51" t="s">
        <v>78</v>
      </c>
      <c r="D84" s="51">
        <v>70</v>
      </c>
      <c r="E84" s="51">
        <v>44.282000000000004</v>
      </c>
      <c r="F84" s="51">
        <v>41.561000000000007</v>
      </c>
      <c r="G84" s="51">
        <v>7.3789999999999996</v>
      </c>
      <c r="H84" s="51">
        <v>7.4249999999999998</v>
      </c>
      <c r="I84" s="51">
        <v>35.799999999999997</v>
      </c>
      <c r="J84" s="54">
        <f t="shared" si="4"/>
        <v>17.695979401197722</v>
      </c>
      <c r="K84" s="54">
        <f>IFERROR(WHOLE_STRUCTURE[[#This Row],[Bottom '[m']]]-WHOLE_STRUCTURE[[#This Row],[D, top '[m']]], "")</f>
        <v>34.182000000000009</v>
      </c>
      <c r="L84" s="54">
        <f>IFERROR(-(WHOLE_STRUCTURE[[#This Row],[D, bottom '[m']]]-WHOLE_STRUCTURE[[#This Row],[D, top '[m']]])/(WHOLE_STRUCTURE[[#This Row],[Bottom '[m']]]-WHOLE_STRUCTURE[[#This Row],[Top '[m']]]),"")</f>
        <v>1.6905549430356603E-2</v>
      </c>
      <c r="M84" s="54">
        <f>IFERROR((WHOLE_STRUCTURE[[#This Row],[D, bottom '[m']]]+WHOLE_STRUCTURE[[#This Row],[D, top '[m']]])/(2*WHOLE_STRUCTURE[[#This Row],[t '[mm']]]/1000),"")</f>
        <v>206.75977653631284</v>
      </c>
      <c r="O84" s="55" t="s">
        <v>92</v>
      </c>
      <c r="P84" s="55" t="s">
        <v>103</v>
      </c>
      <c r="Q84" s="55">
        <v>6.1</v>
      </c>
      <c r="R84" s="55">
        <v>6.1</v>
      </c>
      <c r="S84" s="128">
        <v>200</v>
      </c>
      <c r="T84" s="128"/>
      <c r="U84" s="128"/>
      <c r="V84" s="128"/>
      <c r="W84" s="128"/>
      <c r="X84" s="128"/>
    </row>
    <row r="85" spans="2:24" x14ac:dyDescent="0.3">
      <c r="B85" s="51">
        <v>71</v>
      </c>
      <c r="C85" s="51" t="s">
        <v>78</v>
      </c>
      <c r="D85" s="51">
        <v>71</v>
      </c>
      <c r="E85" s="51">
        <v>41.561000000000007</v>
      </c>
      <c r="F85" s="51">
        <v>40.900000000000006</v>
      </c>
      <c r="G85" s="51">
        <v>7.4249999999999998</v>
      </c>
      <c r="H85" s="51">
        <v>7.4349999999999996</v>
      </c>
      <c r="I85" s="51">
        <v>39</v>
      </c>
      <c r="J85" s="54">
        <f t="shared" si="4"/>
        <v>4.6988198876939959</v>
      </c>
      <c r="K85" s="54">
        <f>IFERROR(WHOLE_STRUCTURE[[#This Row],[Bottom '[m']]]-WHOLE_STRUCTURE[[#This Row],[D, top '[m']]], "")</f>
        <v>33.475000000000009</v>
      </c>
      <c r="L85" s="54">
        <f>IFERROR(-(WHOLE_STRUCTURE[[#This Row],[D, bottom '[m']]]-WHOLE_STRUCTURE[[#This Row],[D, top '[m']]])/(WHOLE_STRUCTURE[[#This Row],[Bottom '[m']]]-WHOLE_STRUCTURE[[#This Row],[Top '[m']]]),"")</f>
        <v>1.5128593040846848E-2</v>
      </c>
      <c r="M85" s="54">
        <f>IFERROR((WHOLE_STRUCTURE[[#This Row],[D, bottom '[m']]]+WHOLE_STRUCTURE[[#This Row],[D, top '[m']]])/(2*WHOLE_STRUCTURE[[#This Row],[t '[mm']]]/1000),"")</f>
        <v>190.5128205128205</v>
      </c>
      <c r="O85" s="55" t="s">
        <v>92</v>
      </c>
      <c r="P85" s="55" t="s">
        <v>97</v>
      </c>
      <c r="Q85" s="55">
        <v>5.6</v>
      </c>
      <c r="R85" s="55">
        <v>5.6</v>
      </c>
      <c r="S85" s="128">
        <v>60000</v>
      </c>
      <c r="T85" s="128"/>
      <c r="U85" s="128"/>
      <c r="V85" s="128"/>
      <c r="W85" s="128"/>
      <c r="X85" s="128"/>
    </row>
    <row r="86" spans="2:24" x14ac:dyDescent="0.3">
      <c r="B86" s="51">
        <v>72</v>
      </c>
      <c r="C86" s="51" t="s">
        <v>78</v>
      </c>
      <c r="D86" s="51">
        <v>72</v>
      </c>
      <c r="E86" s="51">
        <v>40.900000000000006</v>
      </c>
      <c r="F86" s="51">
        <v>38.775000000000006</v>
      </c>
      <c r="G86" s="51">
        <v>7.4349999999999996</v>
      </c>
      <c r="H86" s="51">
        <v>7.476</v>
      </c>
      <c r="I86" s="51">
        <v>39</v>
      </c>
      <c r="J86" s="54">
        <f t="shared" si="4"/>
        <v>15.158005904941108</v>
      </c>
      <c r="K86" s="54">
        <f>IFERROR(WHOLE_STRUCTURE[[#This Row],[Bottom '[m']]]-WHOLE_STRUCTURE[[#This Row],[D, top '[m']]], "")</f>
        <v>31.340000000000007</v>
      </c>
      <c r="L86" s="54">
        <f>IFERROR(-(WHOLE_STRUCTURE[[#This Row],[D, bottom '[m']]]-WHOLE_STRUCTURE[[#This Row],[D, top '[m']]])/(WHOLE_STRUCTURE[[#This Row],[Bottom '[m']]]-WHOLE_STRUCTURE[[#This Row],[Top '[m']]]),"")</f>
        <v>1.9294117647058996E-2</v>
      </c>
      <c r="M86" s="54">
        <f>IFERROR((WHOLE_STRUCTURE[[#This Row],[D, bottom '[m']]]+WHOLE_STRUCTURE[[#This Row],[D, top '[m']]])/(2*WHOLE_STRUCTURE[[#This Row],[t '[mm']]]/1000),"")</f>
        <v>191.16666666666666</v>
      </c>
      <c r="O86" s="55" t="s">
        <v>69</v>
      </c>
      <c r="P86" s="55" t="s">
        <v>97</v>
      </c>
      <c r="Q86" s="55">
        <v>5.6</v>
      </c>
      <c r="R86" s="55">
        <v>5.6</v>
      </c>
      <c r="S86" s="128">
        <v>60000</v>
      </c>
      <c r="T86" s="128"/>
      <c r="U86" s="128"/>
      <c r="V86" s="128"/>
      <c r="W86" s="128"/>
      <c r="X86" s="128"/>
    </row>
    <row r="87" spans="2:24" x14ac:dyDescent="0.3">
      <c r="B87" s="51">
        <v>73</v>
      </c>
      <c r="C87" s="51" t="s">
        <v>78</v>
      </c>
      <c r="D87" s="51">
        <v>73</v>
      </c>
      <c r="E87" s="51">
        <v>38.775000000000006</v>
      </c>
      <c r="F87" s="51">
        <v>38.725000000000001</v>
      </c>
      <c r="G87" s="51">
        <v>7.476</v>
      </c>
      <c r="H87" s="51">
        <v>7.476</v>
      </c>
      <c r="I87" s="51">
        <v>46</v>
      </c>
      <c r="J87" s="54">
        <f t="shared" si="4"/>
        <v>0.42144041332902277</v>
      </c>
      <c r="K87" s="54">
        <f>IFERROR(WHOLE_STRUCTURE[[#This Row],[Bottom '[m']]]-WHOLE_STRUCTURE[[#This Row],[D, top '[m']]], "")</f>
        <v>31.249000000000002</v>
      </c>
      <c r="L87" s="54">
        <f>IFERROR(-(WHOLE_STRUCTURE[[#This Row],[D, bottom '[m']]]-WHOLE_STRUCTURE[[#This Row],[D, top '[m']]])/(WHOLE_STRUCTURE[[#This Row],[Bottom '[m']]]-WHOLE_STRUCTURE[[#This Row],[Top '[m']]]),"")</f>
        <v>0</v>
      </c>
      <c r="M87" s="54">
        <f>IFERROR((WHOLE_STRUCTURE[[#This Row],[D, bottom '[m']]]+WHOLE_STRUCTURE[[#This Row],[D, top '[m']]])/(2*WHOLE_STRUCTURE[[#This Row],[t '[mm']]]/1000),"")</f>
        <v>162.52173913043478</v>
      </c>
      <c r="O87" s="55" t="s">
        <v>69</v>
      </c>
      <c r="P87" s="55" t="s">
        <v>98</v>
      </c>
      <c r="Q87" s="55">
        <v>4.2</v>
      </c>
      <c r="R87" s="55">
        <v>4.2</v>
      </c>
      <c r="S87" s="128">
        <v>9000</v>
      </c>
      <c r="T87" s="128"/>
      <c r="U87" s="128"/>
      <c r="V87" s="128"/>
      <c r="W87" s="128"/>
      <c r="X87" s="128"/>
    </row>
    <row r="88" spans="2:24" x14ac:dyDescent="0.3">
      <c r="B88" s="51">
        <v>74</v>
      </c>
      <c r="C88" s="51" t="s">
        <v>78</v>
      </c>
      <c r="D88" s="51">
        <v>74</v>
      </c>
      <c r="E88" s="51">
        <v>38.725000000000001</v>
      </c>
      <c r="F88" s="51">
        <v>38.540000000000006</v>
      </c>
      <c r="G88" s="51">
        <v>7.476</v>
      </c>
      <c r="H88" s="51">
        <v>7.476</v>
      </c>
      <c r="I88" s="51">
        <v>46</v>
      </c>
      <c r="J88" s="54">
        <f t="shared" si="4"/>
        <v>1.5593295293172105</v>
      </c>
      <c r="K88" s="54">
        <f>IFERROR(WHOLE_STRUCTURE[[#This Row],[Bottom '[m']]]-WHOLE_STRUCTURE[[#This Row],[D, top '[m']]], "")</f>
        <v>31.064000000000007</v>
      </c>
      <c r="L88" s="54">
        <f>IFERROR(-(WHOLE_STRUCTURE[[#This Row],[D, bottom '[m']]]-WHOLE_STRUCTURE[[#This Row],[D, top '[m']]])/(WHOLE_STRUCTURE[[#This Row],[Bottom '[m']]]-WHOLE_STRUCTURE[[#This Row],[Top '[m']]]),"")</f>
        <v>0</v>
      </c>
      <c r="M88" s="54">
        <f>IFERROR((WHOLE_STRUCTURE[[#This Row],[D, bottom '[m']]]+WHOLE_STRUCTURE[[#This Row],[D, top '[m']]])/(2*WHOLE_STRUCTURE[[#This Row],[t '[mm']]]/1000),"")</f>
        <v>162.52173913043478</v>
      </c>
      <c r="O88" s="55" t="s">
        <v>69</v>
      </c>
      <c r="P88" s="55" t="s">
        <v>99</v>
      </c>
      <c r="Q88" s="55">
        <v>2</v>
      </c>
      <c r="R88" s="55">
        <v>2</v>
      </c>
      <c r="S88" s="128">
        <v>80000</v>
      </c>
      <c r="T88" s="128"/>
      <c r="U88" s="128"/>
      <c r="V88" s="128"/>
      <c r="W88" s="128"/>
      <c r="X88" s="128"/>
    </row>
    <row r="89" spans="2:24" x14ac:dyDescent="0.3">
      <c r="B89" s="51">
        <v>75</v>
      </c>
      <c r="C89" s="51" t="s">
        <v>78</v>
      </c>
      <c r="D89" s="51">
        <v>75</v>
      </c>
      <c r="E89" s="51">
        <v>38.540000000000006</v>
      </c>
      <c r="F89" s="51">
        <v>38.355000000000004</v>
      </c>
      <c r="G89" s="51">
        <v>7.476</v>
      </c>
      <c r="H89" s="51">
        <v>7.476</v>
      </c>
      <c r="I89" s="51">
        <v>46</v>
      </c>
      <c r="J89" s="54">
        <f t="shared" si="4"/>
        <v>1.5593295293172704</v>
      </c>
      <c r="K89" s="54">
        <f>IFERROR(WHOLE_STRUCTURE[[#This Row],[Bottom '[m']]]-WHOLE_STRUCTURE[[#This Row],[D, top '[m']]], "")</f>
        <v>30.879000000000005</v>
      </c>
      <c r="L89" s="54">
        <f>IFERROR(-(WHOLE_STRUCTURE[[#This Row],[D, bottom '[m']]]-WHOLE_STRUCTURE[[#This Row],[D, top '[m']]])/(WHOLE_STRUCTURE[[#This Row],[Bottom '[m']]]-WHOLE_STRUCTURE[[#This Row],[Top '[m']]]),"")</f>
        <v>0</v>
      </c>
      <c r="M89" s="54">
        <f>IFERROR((WHOLE_STRUCTURE[[#This Row],[D, bottom '[m']]]+WHOLE_STRUCTURE[[#This Row],[D, top '[m']]])/(2*WHOLE_STRUCTURE[[#This Row],[t '[mm']]]/1000),"")</f>
        <v>162.52173913043478</v>
      </c>
    </row>
    <row r="90" spans="2:24" x14ac:dyDescent="0.3">
      <c r="B90" s="51">
        <v>76</v>
      </c>
      <c r="C90" s="51" t="s">
        <v>78</v>
      </c>
      <c r="D90" s="51">
        <v>76</v>
      </c>
      <c r="E90" s="51">
        <v>38.355000000000004</v>
      </c>
      <c r="F90" s="51">
        <v>38.305000000000007</v>
      </c>
      <c r="G90" s="51">
        <v>7.476</v>
      </c>
      <c r="H90" s="51">
        <v>7.4740000000000002</v>
      </c>
      <c r="I90" s="51">
        <v>46</v>
      </c>
      <c r="J90" s="54">
        <f t="shared" si="4"/>
        <v>0.42138369187360242</v>
      </c>
      <c r="K90" s="54">
        <f>IFERROR(WHOLE_STRUCTURE[[#This Row],[Bottom '[m']]]-WHOLE_STRUCTURE[[#This Row],[D, top '[m']]], "")</f>
        <v>30.829000000000008</v>
      </c>
      <c r="L90" s="54">
        <f>IFERROR(-(WHOLE_STRUCTURE[[#This Row],[D, bottom '[m']]]-WHOLE_STRUCTURE[[#This Row],[D, top '[m']]])/(WHOLE_STRUCTURE[[#This Row],[Bottom '[m']]]-WHOLE_STRUCTURE[[#This Row],[Top '[m']]]),"")</f>
        <v>-3.9999999999997871E-2</v>
      </c>
      <c r="M90" s="54">
        <f>IFERROR((WHOLE_STRUCTURE[[#This Row],[D, bottom '[m']]]+WHOLE_STRUCTURE[[#This Row],[D, top '[m']]])/(2*WHOLE_STRUCTURE[[#This Row],[t '[mm']]]/1000),"")</f>
        <v>162.5</v>
      </c>
    </row>
    <row r="91" spans="2:24" x14ac:dyDescent="0.3">
      <c r="B91" s="51">
        <v>77</v>
      </c>
      <c r="C91" s="51" t="s">
        <v>78</v>
      </c>
      <c r="D91" s="51">
        <v>77</v>
      </c>
      <c r="E91" s="51">
        <v>38.305000000000007</v>
      </c>
      <c r="F91" s="51">
        <v>37.343000000000004</v>
      </c>
      <c r="G91" s="51">
        <v>7.4740000000000002</v>
      </c>
      <c r="H91" s="51">
        <v>7.4740000000000002</v>
      </c>
      <c r="I91" s="51">
        <v>44.1</v>
      </c>
      <c r="J91" s="54">
        <f t="shared" si="4"/>
        <v>7.7734920638760601</v>
      </c>
      <c r="K91" s="54">
        <f>IFERROR(WHOLE_STRUCTURE[[#This Row],[Bottom '[m']]]-WHOLE_STRUCTURE[[#This Row],[D, top '[m']]], "")</f>
        <v>29.869000000000003</v>
      </c>
      <c r="L91" s="54">
        <f>IFERROR(-(WHOLE_STRUCTURE[[#This Row],[D, bottom '[m']]]-WHOLE_STRUCTURE[[#This Row],[D, top '[m']]])/(WHOLE_STRUCTURE[[#This Row],[Bottom '[m']]]-WHOLE_STRUCTURE[[#This Row],[Top '[m']]]),"")</f>
        <v>0</v>
      </c>
      <c r="M91" s="54">
        <f>IFERROR((WHOLE_STRUCTURE[[#This Row],[D, bottom '[m']]]+WHOLE_STRUCTURE[[#This Row],[D, top '[m']]])/(2*WHOLE_STRUCTURE[[#This Row],[t '[mm']]]/1000),"")</f>
        <v>169.47845804988663</v>
      </c>
    </row>
    <row r="92" spans="2:24" x14ac:dyDescent="0.3">
      <c r="B92" s="51">
        <v>78</v>
      </c>
      <c r="C92" s="51" t="s">
        <v>78</v>
      </c>
      <c r="D92" s="51">
        <v>78</v>
      </c>
      <c r="E92" s="51">
        <v>37.343000000000004</v>
      </c>
      <c r="F92" s="51">
        <v>35.43</v>
      </c>
      <c r="G92" s="51">
        <v>7.4740000000000002</v>
      </c>
      <c r="H92" s="51">
        <v>7.476</v>
      </c>
      <c r="I92" s="51">
        <v>44.1</v>
      </c>
      <c r="J92" s="54">
        <f t="shared" si="4"/>
        <v>15.460178569581235</v>
      </c>
      <c r="K92" s="54">
        <f>IFERROR(WHOLE_STRUCTURE[[#This Row],[Bottom '[m']]]-WHOLE_STRUCTURE[[#This Row],[D, top '[m']]], "")</f>
        <v>27.956</v>
      </c>
      <c r="L92" s="54">
        <f>IFERROR(-(WHOLE_STRUCTURE[[#This Row],[D, bottom '[m']]]-WHOLE_STRUCTURE[[#This Row],[D, top '[m']]])/(WHOLE_STRUCTURE[[#This Row],[Bottom '[m']]]-WHOLE_STRUCTURE[[#This Row],[Top '[m']]]),"")</f>
        <v>1.0454783063250266E-3</v>
      </c>
      <c r="M92" s="54">
        <f>IFERROR((WHOLE_STRUCTURE[[#This Row],[D, bottom '[m']]]+WHOLE_STRUCTURE[[#This Row],[D, top '[m']]])/(2*WHOLE_STRUCTURE[[#This Row],[t '[mm']]]/1000),"")</f>
        <v>169.50113378684807</v>
      </c>
    </row>
    <row r="93" spans="2:24" x14ac:dyDescent="0.3">
      <c r="B93" s="51">
        <v>79</v>
      </c>
      <c r="C93" s="51" t="s">
        <v>78</v>
      </c>
      <c r="D93" s="51">
        <v>79</v>
      </c>
      <c r="E93" s="51">
        <v>35.43</v>
      </c>
      <c r="F93" s="51">
        <v>33.231999999999999</v>
      </c>
      <c r="G93" s="51">
        <v>7.476</v>
      </c>
      <c r="H93" s="51">
        <v>7.476</v>
      </c>
      <c r="I93" s="51">
        <v>45.6</v>
      </c>
      <c r="J93" s="54">
        <f t="shared" si="4"/>
        <v>18.36640910818716</v>
      </c>
      <c r="K93" s="54">
        <f>IFERROR(WHOLE_STRUCTURE[[#This Row],[Bottom '[m']]]-WHOLE_STRUCTURE[[#This Row],[D, top '[m']]], "")</f>
        <v>25.756</v>
      </c>
      <c r="L93" s="54">
        <f>IFERROR(-(WHOLE_STRUCTURE[[#This Row],[D, bottom '[m']]]-WHOLE_STRUCTURE[[#This Row],[D, top '[m']]])/(WHOLE_STRUCTURE[[#This Row],[Bottom '[m']]]-WHOLE_STRUCTURE[[#This Row],[Top '[m']]]),"")</f>
        <v>0</v>
      </c>
      <c r="M93" s="54">
        <f>IFERROR((WHOLE_STRUCTURE[[#This Row],[D, bottom '[m']]]+WHOLE_STRUCTURE[[#This Row],[D, top '[m']]])/(2*WHOLE_STRUCTURE[[#This Row],[t '[mm']]]/1000),"")</f>
        <v>163.94736842105263</v>
      </c>
    </row>
    <row r="94" spans="2:24" x14ac:dyDescent="0.3">
      <c r="B94" s="51">
        <v>80</v>
      </c>
      <c r="C94" s="51" t="s">
        <v>78</v>
      </c>
      <c r="D94" s="51">
        <v>80</v>
      </c>
      <c r="E94" s="51">
        <v>33.231999999999999</v>
      </c>
      <c r="F94" s="51">
        <v>32.5</v>
      </c>
      <c r="G94" s="51">
        <v>7.476</v>
      </c>
      <c r="H94" s="51">
        <v>7.4770000000000003</v>
      </c>
      <c r="I94" s="51">
        <v>45.6</v>
      </c>
      <c r="J94" s="54">
        <f t="shared" si="4"/>
        <v>6.1169773172667181</v>
      </c>
      <c r="K94" s="54">
        <f>IFERROR(WHOLE_STRUCTURE[[#This Row],[Bottom '[m']]]-WHOLE_STRUCTURE[[#This Row],[D, top '[m']]], "")</f>
        <v>25.024000000000001</v>
      </c>
      <c r="L94" s="54">
        <f>IFERROR(-(WHOLE_STRUCTURE[[#This Row],[D, bottom '[m']]]-WHOLE_STRUCTURE[[#This Row],[D, top '[m']]])/(WHOLE_STRUCTURE[[#This Row],[Bottom '[m']]]-WHOLE_STRUCTURE[[#This Row],[Top '[m']]]),"")</f>
        <v>1.3661202185796925E-3</v>
      </c>
      <c r="M94" s="54">
        <f>IFERROR((WHOLE_STRUCTURE[[#This Row],[D, bottom '[m']]]+WHOLE_STRUCTURE[[#This Row],[D, top '[m']]])/(2*WHOLE_STRUCTURE[[#This Row],[t '[mm']]]/1000),"")</f>
        <v>163.95833333333331</v>
      </c>
    </row>
    <row r="95" spans="2:24" x14ac:dyDescent="0.3">
      <c r="B95" s="51">
        <v>81</v>
      </c>
      <c r="C95" s="51" t="s">
        <v>78</v>
      </c>
      <c r="D95" s="51">
        <v>81</v>
      </c>
      <c r="E95" s="51">
        <v>32.5</v>
      </c>
      <c r="F95" s="51">
        <v>30.9</v>
      </c>
      <c r="G95" s="51">
        <v>7.4770000000000003</v>
      </c>
      <c r="H95" s="51">
        <v>7.4770000000000003</v>
      </c>
      <c r="I95" s="51">
        <v>47.1</v>
      </c>
      <c r="J95" s="54">
        <f t="shared" si="4"/>
        <v>13.808400911123877</v>
      </c>
      <c r="K95" s="54">
        <f>IFERROR(WHOLE_STRUCTURE[[#This Row],[Bottom '[m']]]-WHOLE_STRUCTURE[[#This Row],[D, top '[m']]], "")</f>
        <v>23.422999999999998</v>
      </c>
      <c r="L95" s="54">
        <f>IFERROR(-(WHOLE_STRUCTURE[[#This Row],[D, bottom '[m']]]-WHOLE_STRUCTURE[[#This Row],[D, top '[m']]])/(WHOLE_STRUCTURE[[#This Row],[Bottom '[m']]]-WHOLE_STRUCTURE[[#This Row],[Top '[m']]]),"")</f>
        <v>0</v>
      </c>
      <c r="M95" s="54">
        <f>IFERROR((WHOLE_STRUCTURE[[#This Row],[D, bottom '[m']]]+WHOLE_STRUCTURE[[#This Row],[D, top '[m']]])/(2*WHOLE_STRUCTURE[[#This Row],[t '[mm']]]/1000),"")</f>
        <v>158.74734607218684</v>
      </c>
    </row>
    <row r="96" spans="2:24" x14ac:dyDescent="0.3">
      <c r="B96" s="51">
        <v>82</v>
      </c>
      <c r="C96" s="51" t="s">
        <v>78</v>
      </c>
      <c r="D96" s="51">
        <v>82</v>
      </c>
      <c r="E96" s="51">
        <v>30.9</v>
      </c>
      <c r="F96" s="51">
        <v>29.569999999999997</v>
      </c>
      <c r="G96" s="51">
        <v>7.4770000000000003</v>
      </c>
      <c r="H96" s="51">
        <v>7.4790000000000001</v>
      </c>
      <c r="I96" s="51">
        <v>47.1</v>
      </c>
      <c r="J96" s="54">
        <f t="shared" si="4"/>
        <v>11.47977812786228</v>
      </c>
      <c r="K96" s="54">
        <f>IFERROR(WHOLE_STRUCTURE[[#This Row],[Bottom '[m']]]-WHOLE_STRUCTURE[[#This Row],[D, top '[m']]], "")</f>
        <v>22.092999999999996</v>
      </c>
      <c r="L96" s="54">
        <f>IFERROR(-(WHOLE_STRUCTURE[[#This Row],[D, bottom '[m']]]-WHOLE_STRUCTURE[[#This Row],[D, top '[m']]])/(WHOLE_STRUCTURE[[#This Row],[Bottom '[m']]]-WHOLE_STRUCTURE[[#This Row],[Top '[m']]]),"")</f>
        <v>1.5037593984960729E-3</v>
      </c>
      <c r="M96" s="54">
        <f>IFERROR((WHOLE_STRUCTURE[[#This Row],[D, bottom '[m']]]+WHOLE_STRUCTURE[[#This Row],[D, top '[m']]])/(2*WHOLE_STRUCTURE[[#This Row],[t '[mm']]]/1000),"")</f>
        <v>158.76857749469212</v>
      </c>
    </row>
    <row r="97" spans="2:13" x14ac:dyDescent="0.3">
      <c r="B97" s="51">
        <v>83</v>
      </c>
      <c r="C97" s="51" t="s">
        <v>78</v>
      </c>
      <c r="D97" s="51">
        <v>83</v>
      </c>
      <c r="E97" s="51">
        <v>29.569999999999997</v>
      </c>
      <c r="F97" s="51">
        <v>29.120999999999999</v>
      </c>
      <c r="G97" s="51">
        <v>7.4790000000000001</v>
      </c>
      <c r="H97" s="51">
        <v>7.4790000000000001</v>
      </c>
      <c r="I97" s="51">
        <v>49</v>
      </c>
      <c r="J97" s="54">
        <f t="shared" si="4"/>
        <v>4.0313524059352366</v>
      </c>
      <c r="K97" s="54">
        <f>IFERROR(WHOLE_STRUCTURE[[#This Row],[Bottom '[m']]]-WHOLE_STRUCTURE[[#This Row],[D, top '[m']]], "")</f>
        <v>21.641999999999999</v>
      </c>
      <c r="L97" s="54">
        <f>IFERROR(-(WHOLE_STRUCTURE[[#This Row],[D, bottom '[m']]]-WHOLE_STRUCTURE[[#This Row],[D, top '[m']]])/(WHOLE_STRUCTURE[[#This Row],[Bottom '[m']]]-WHOLE_STRUCTURE[[#This Row],[Top '[m']]]),"")</f>
        <v>0</v>
      </c>
      <c r="M97" s="54">
        <f>IFERROR((WHOLE_STRUCTURE[[#This Row],[D, bottom '[m']]]+WHOLE_STRUCTURE[[#This Row],[D, top '[m']]])/(2*WHOLE_STRUCTURE[[#This Row],[t '[mm']]]/1000),"")</f>
        <v>152.63265306122449</v>
      </c>
    </row>
    <row r="98" spans="2:13" x14ac:dyDescent="0.3">
      <c r="B98" s="51">
        <v>84</v>
      </c>
      <c r="C98" s="51" t="s">
        <v>78</v>
      </c>
      <c r="D98" s="51">
        <v>84</v>
      </c>
      <c r="E98" s="51">
        <v>29.120999999999999</v>
      </c>
      <c r="F98" s="51">
        <v>26.639999999999997</v>
      </c>
      <c r="G98" s="51">
        <v>7.4790000000000001</v>
      </c>
      <c r="H98" s="51">
        <v>7.5</v>
      </c>
      <c r="I98" s="51">
        <v>49</v>
      </c>
      <c r="J98" s="54">
        <f t="shared" si="4"/>
        <v>22.307170912766217</v>
      </c>
      <c r="K98" s="54">
        <f>IFERROR(WHOLE_STRUCTURE[[#This Row],[Bottom '[m']]]-WHOLE_STRUCTURE[[#This Row],[D, top '[m']]], "")</f>
        <v>19.160999999999998</v>
      </c>
      <c r="L98" s="54">
        <f>IFERROR(-(WHOLE_STRUCTURE[[#This Row],[D, bottom '[m']]]-WHOLE_STRUCTURE[[#This Row],[D, top '[m']]])/(WHOLE_STRUCTURE[[#This Row],[Bottom '[m']]]-WHOLE_STRUCTURE[[#This Row],[Top '[m']]]),"")</f>
        <v>8.4643288996371999E-3</v>
      </c>
      <c r="M98" s="54">
        <f>IFERROR((WHOLE_STRUCTURE[[#This Row],[D, bottom '[m']]]+WHOLE_STRUCTURE[[#This Row],[D, top '[m']]])/(2*WHOLE_STRUCTURE[[#This Row],[t '[mm']]]/1000),"")</f>
        <v>152.84693877551018</v>
      </c>
    </row>
    <row r="99" spans="2:13" x14ac:dyDescent="0.3">
      <c r="B99" s="51">
        <v>85</v>
      </c>
      <c r="C99" s="51" t="s">
        <v>78</v>
      </c>
      <c r="D99" s="51">
        <v>85</v>
      </c>
      <c r="E99" s="51">
        <v>26.639999999999997</v>
      </c>
      <c r="F99" s="51">
        <v>25.05</v>
      </c>
      <c r="G99" s="51">
        <v>7.5</v>
      </c>
      <c r="H99" s="51">
        <v>7.5</v>
      </c>
      <c r="I99" s="51">
        <v>70</v>
      </c>
      <c r="J99" s="54">
        <f t="shared" si="4"/>
        <v>20.394051305876623</v>
      </c>
      <c r="K99" s="54">
        <f>IFERROR(WHOLE_STRUCTURE[[#This Row],[Bottom '[m']]]-WHOLE_STRUCTURE[[#This Row],[D, top '[m']]], "")</f>
        <v>17.55</v>
      </c>
      <c r="L99" s="54">
        <f>IFERROR(-(WHOLE_STRUCTURE[[#This Row],[D, bottom '[m']]]-WHOLE_STRUCTURE[[#This Row],[D, top '[m']]])/(WHOLE_STRUCTURE[[#This Row],[Bottom '[m']]]-WHOLE_STRUCTURE[[#This Row],[Top '[m']]]),"")</f>
        <v>0</v>
      </c>
      <c r="M99" s="54">
        <f>IFERROR((WHOLE_STRUCTURE[[#This Row],[D, bottom '[m']]]+WHOLE_STRUCTURE[[#This Row],[D, top '[m']]])/(2*WHOLE_STRUCTURE[[#This Row],[t '[mm']]]/1000),"")</f>
        <v>107.14285714285714</v>
      </c>
    </row>
    <row r="100" spans="2:13" x14ac:dyDescent="0.3">
      <c r="B100" s="51">
        <v>86</v>
      </c>
      <c r="C100" s="51" t="s">
        <v>78</v>
      </c>
      <c r="D100" s="51">
        <v>86</v>
      </c>
      <c r="E100" s="51">
        <v>25.05</v>
      </c>
      <c r="F100" s="51">
        <v>25.010999999999999</v>
      </c>
      <c r="G100" s="51">
        <v>7.5</v>
      </c>
      <c r="H100" s="51">
        <v>7.5</v>
      </c>
      <c r="I100" s="51">
        <v>70</v>
      </c>
      <c r="J100" s="54">
        <f t="shared" si="4"/>
        <v>0.50023144712529577</v>
      </c>
      <c r="K100" s="54">
        <f>IFERROR(WHOLE_STRUCTURE[[#This Row],[Bottom '[m']]]-WHOLE_STRUCTURE[[#This Row],[D, top '[m']]], "")</f>
        <v>17.510999999999999</v>
      </c>
      <c r="L100" s="54">
        <f>IFERROR(-(WHOLE_STRUCTURE[[#This Row],[D, bottom '[m']]]-WHOLE_STRUCTURE[[#This Row],[D, top '[m']]])/(WHOLE_STRUCTURE[[#This Row],[Bottom '[m']]]-WHOLE_STRUCTURE[[#This Row],[Top '[m']]]),"")</f>
        <v>0</v>
      </c>
      <c r="M100" s="54">
        <f>IFERROR((WHOLE_STRUCTURE[[#This Row],[D, bottom '[m']]]+WHOLE_STRUCTURE[[#This Row],[D, top '[m']]])/(2*WHOLE_STRUCTURE[[#This Row],[t '[mm']]]/1000),"")</f>
        <v>107.14285714285714</v>
      </c>
    </row>
    <row r="101" spans="2:13" x14ac:dyDescent="0.3">
      <c r="B101" s="51">
        <v>87</v>
      </c>
      <c r="C101" s="51" t="s">
        <v>78</v>
      </c>
      <c r="D101" s="51">
        <v>87</v>
      </c>
      <c r="E101" s="51">
        <v>25.010999999999999</v>
      </c>
      <c r="F101" s="51">
        <v>22.119999999999997</v>
      </c>
      <c r="G101" s="51">
        <v>7.5</v>
      </c>
      <c r="H101" s="51">
        <v>7.5</v>
      </c>
      <c r="I101" s="51">
        <v>70</v>
      </c>
      <c r="J101" s="54">
        <f t="shared" si="4"/>
        <v>37.081259324081437</v>
      </c>
      <c r="K101" s="54">
        <f>IFERROR(WHOLE_STRUCTURE[[#This Row],[Bottom '[m']]]-WHOLE_STRUCTURE[[#This Row],[D, top '[m']]], "")</f>
        <v>14.619999999999997</v>
      </c>
      <c r="L101" s="54">
        <f>IFERROR(-(WHOLE_STRUCTURE[[#This Row],[D, bottom '[m']]]-WHOLE_STRUCTURE[[#This Row],[D, top '[m']]])/(WHOLE_STRUCTURE[[#This Row],[Bottom '[m']]]-WHOLE_STRUCTURE[[#This Row],[Top '[m']]]),"")</f>
        <v>0</v>
      </c>
      <c r="M101" s="54">
        <f>IFERROR((WHOLE_STRUCTURE[[#This Row],[D, bottom '[m']]]+WHOLE_STRUCTURE[[#This Row],[D, top '[m']]])/(2*WHOLE_STRUCTURE[[#This Row],[t '[mm']]]/1000),"")</f>
        <v>107.14285714285714</v>
      </c>
    </row>
    <row r="102" spans="2:13" x14ac:dyDescent="0.3">
      <c r="B102" s="51">
        <v>88</v>
      </c>
      <c r="C102" s="51" t="s">
        <v>78</v>
      </c>
      <c r="D102" s="51">
        <v>88</v>
      </c>
      <c r="E102" s="51">
        <v>22.119999999999997</v>
      </c>
      <c r="F102" s="51">
        <v>21.139999999999997</v>
      </c>
      <c r="G102" s="51">
        <v>7.5</v>
      </c>
      <c r="H102" s="51">
        <v>7.5</v>
      </c>
      <c r="I102" s="51">
        <v>70</v>
      </c>
      <c r="J102" s="54">
        <f t="shared" si="4"/>
        <v>12.569918414942858</v>
      </c>
      <c r="K102" s="54">
        <f>IFERROR(WHOLE_STRUCTURE[[#This Row],[Bottom '[m']]]-WHOLE_STRUCTURE[[#This Row],[D, top '[m']]], "")</f>
        <v>13.639999999999997</v>
      </c>
      <c r="L102" s="54">
        <f>IFERROR(-(WHOLE_STRUCTURE[[#This Row],[D, bottom '[m']]]-WHOLE_STRUCTURE[[#This Row],[D, top '[m']]])/(WHOLE_STRUCTURE[[#This Row],[Bottom '[m']]]-WHOLE_STRUCTURE[[#This Row],[Top '[m']]]),"")</f>
        <v>0</v>
      </c>
      <c r="M102" s="54">
        <f>IFERROR((WHOLE_STRUCTURE[[#This Row],[D, bottom '[m']]]+WHOLE_STRUCTURE[[#This Row],[D, top '[m']]])/(2*WHOLE_STRUCTURE[[#This Row],[t '[mm']]]/1000),"")</f>
        <v>107.14285714285714</v>
      </c>
    </row>
    <row r="103" spans="2:13" x14ac:dyDescent="0.3">
      <c r="B103" s="51">
        <v>89</v>
      </c>
      <c r="C103" s="51" t="s">
        <v>78</v>
      </c>
      <c r="D103" s="51">
        <v>89</v>
      </c>
      <c r="E103" s="51">
        <v>21.139999999999997</v>
      </c>
      <c r="F103" s="51">
        <v>21.08</v>
      </c>
      <c r="G103" s="51">
        <v>7.5</v>
      </c>
      <c r="H103" s="51">
        <v>7.5</v>
      </c>
      <c r="I103" s="51">
        <v>70</v>
      </c>
      <c r="J103" s="54">
        <f t="shared" si="4"/>
        <v>0.76958684173117875</v>
      </c>
      <c r="K103" s="54">
        <f>IFERROR(WHOLE_STRUCTURE[[#This Row],[Bottom '[m']]]-WHOLE_STRUCTURE[[#This Row],[D, top '[m']]], "")</f>
        <v>13.579999999999998</v>
      </c>
      <c r="L103" s="54">
        <f>IFERROR(-(WHOLE_STRUCTURE[[#This Row],[D, bottom '[m']]]-WHOLE_STRUCTURE[[#This Row],[D, top '[m']]])/(WHOLE_STRUCTURE[[#This Row],[Bottom '[m']]]-WHOLE_STRUCTURE[[#This Row],[Top '[m']]]),"")</f>
        <v>0</v>
      </c>
      <c r="M103" s="54">
        <f>IFERROR((WHOLE_STRUCTURE[[#This Row],[D, bottom '[m']]]+WHOLE_STRUCTURE[[#This Row],[D, top '[m']]])/(2*WHOLE_STRUCTURE[[#This Row],[t '[mm']]]/1000),"")</f>
        <v>107.14285714285714</v>
      </c>
    </row>
    <row r="104" spans="2:13" x14ac:dyDescent="0.3">
      <c r="B104" s="51">
        <v>90</v>
      </c>
      <c r="C104" s="51" t="s">
        <v>78</v>
      </c>
      <c r="D104" s="51">
        <v>90</v>
      </c>
      <c r="E104" s="51">
        <v>21.08</v>
      </c>
      <c r="F104" s="51">
        <v>20.9</v>
      </c>
      <c r="G104" s="51">
        <v>7.5</v>
      </c>
      <c r="H104" s="51">
        <v>7.5</v>
      </c>
      <c r="I104" s="51">
        <v>70</v>
      </c>
      <c r="J104" s="54">
        <f t="shared" si="4"/>
        <v>2.3087605251935819</v>
      </c>
      <c r="K104" s="54">
        <f>IFERROR(WHOLE_STRUCTURE[[#This Row],[Bottom '[m']]]-WHOLE_STRUCTURE[[#This Row],[D, top '[m']]], "")</f>
        <v>13.399999999999999</v>
      </c>
      <c r="L104" s="54">
        <f>IFERROR(-(WHOLE_STRUCTURE[[#This Row],[D, bottom '[m']]]-WHOLE_STRUCTURE[[#This Row],[D, top '[m']]])/(WHOLE_STRUCTURE[[#This Row],[Bottom '[m']]]-WHOLE_STRUCTURE[[#This Row],[Top '[m']]]),"")</f>
        <v>0</v>
      </c>
      <c r="M104" s="54">
        <f>IFERROR((WHOLE_STRUCTURE[[#This Row],[D, bottom '[m']]]+WHOLE_STRUCTURE[[#This Row],[D, top '[m']]])/(2*WHOLE_STRUCTURE[[#This Row],[t '[mm']]]/1000),"")</f>
        <v>107.14285714285714</v>
      </c>
    </row>
    <row r="105" spans="2:13" x14ac:dyDescent="0.3">
      <c r="B105" s="51">
        <v>91</v>
      </c>
      <c r="C105" s="51" t="s">
        <v>92</v>
      </c>
      <c r="D105" s="51">
        <v>1</v>
      </c>
      <c r="E105" s="51">
        <v>20.9</v>
      </c>
      <c r="F105" s="51">
        <v>17.5</v>
      </c>
      <c r="G105" s="51">
        <v>7.5</v>
      </c>
      <c r="H105" s="51">
        <v>7.5</v>
      </c>
      <c r="I105" s="51">
        <v>86</v>
      </c>
      <c r="J105" s="54">
        <f t="shared" si="4"/>
        <v>53.462526608972695</v>
      </c>
      <c r="K105" s="54">
        <f>IFERROR(WHOLE_STRUCTURE[[#This Row],[Bottom '[m']]]-WHOLE_STRUCTURE[[#This Row],[D, top '[m']]], "")</f>
        <v>10</v>
      </c>
      <c r="L105" s="54">
        <f>IFERROR(-(WHOLE_STRUCTURE[[#This Row],[D, bottom '[m']]]-WHOLE_STRUCTURE[[#This Row],[D, top '[m']]])/(WHOLE_STRUCTURE[[#This Row],[Bottom '[m']]]-WHOLE_STRUCTURE[[#This Row],[Top '[m']]]),"")</f>
        <v>0</v>
      </c>
      <c r="M105" s="54">
        <f>IFERROR((WHOLE_STRUCTURE[[#This Row],[D, bottom '[m']]]+WHOLE_STRUCTURE[[#This Row],[D, top '[m']]])/(2*WHOLE_STRUCTURE[[#This Row],[t '[mm']]]/1000),"")</f>
        <v>87.209302325581405</v>
      </c>
    </row>
    <row r="106" spans="2:13" x14ac:dyDescent="0.3">
      <c r="B106" s="51">
        <v>92</v>
      </c>
      <c r="C106" s="51" t="s">
        <v>92</v>
      </c>
      <c r="D106" s="51">
        <v>2</v>
      </c>
      <c r="E106" s="51">
        <v>17.5</v>
      </c>
      <c r="F106" s="51">
        <v>13.5</v>
      </c>
      <c r="G106" s="51">
        <v>7.5</v>
      </c>
      <c r="H106" s="51">
        <v>7.5</v>
      </c>
      <c r="I106" s="51">
        <v>86</v>
      </c>
      <c r="J106" s="54">
        <f t="shared" si="4"/>
        <v>62.897090128203196</v>
      </c>
      <c r="K106" s="54">
        <f>IFERROR(WHOLE_STRUCTURE[[#This Row],[Bottom '[m']]]-WHOLE_STRUCTURE[[#This Row],[D, top '[m']]], "")</f>
        <v>6</v>
      </c>
      <c r="L106" s="54">
        <f>IFERROR(-(WHOLE_STRUCTURE[[#This Row],[D, bottom '[m']]]-WHOLE_STRUCTURE[[#This Row],[D, top '[m']]])/(WHOLE_STRUCTURE[[#This Row],[Bottom '[m']]]-WHOLE_STRUCTURE[[#This Row],[Top '[m']]]),"")</f>
        <v>0</v>
      </c>
      <c r="M106" s="54">
        <f>IFERROR((WHOLE_STRUCTURE[[#This Row],[D, bottom '[m']]]+WHOLE_STRUCTURE[[#This Row],[D, top '[m']]])/(2*WHOLE_STRUCTURE[[#This Row],[t '[mm']]]/1000),"")</f>
        <v>87.209302325581405</v>
      </c>
    </row>
    <row r="107" spans="2:13" x14ac:dyDescent="0.3">
      <c r="B107" s="51">
        <v>93</v>
      </c>
      <c r="C107" s="51" t="s">
        <v>92</v>
      </c>
      <c r="D107" s="51">
        <v>3</v>
      </c>
      <c r="E107" s="51">
        <v>13.5</v>
      </c>
      <c r="F107" s="51">
        <v>9.5</v>
      </c>
      <c r="G107" s="51">
        <v>7.5</v>
      </c>
      <c r="H107" s="51">
        <v>7.5</v>
      </c>
      <c r="I107" s="51">
        <v>93</v>
      </c>
      <c r="J107" s="54">
        <f t="shared" si="4"/>
        <v>67.952402167964607</v>
      </c>
      <c r="K107" s="54">
        <f>IFERROR(WHOLE_STRUCTURE[[#This Row],[Bottom '[m']]]-WHOLE_STRUCTURE[[#This Row],[D, top '[m']]], "")</f>
        <v>2</v>
      </c>
      <c r="L107" s="54">
        <f>IFERROR(-(WHOLE_STRUCTURE[[#This Row],[D, bottom '[m']]]-WHOLE_STRUCTURE[[#This Row],[D, top '[m']]])/(WHOLE_STRUCTURE[[#This Row],[Bottom '[m']]]-WHOLE_STRUCTURE[[#This Row],[Top '[m']]]),"")</f>
        <v>0</v>
      </c>
      <c r="M107" s="54">
        <f>IFERROR((WHOLE_STRUCTURE[[#This Row],[D, bottom '[m']]]+WHOLE_STRUCTURE[[#This Row],[D, top '[m']]])/(2*WHOLE_STRUCTURE[[#This Row],[t '[mm']]]/1000),"")</f>
        <v>80.645161290322577</v>
      </c>
    </row>
    <row r="108" spans="2:13" x14ac:dyDescent="0.3">
      <c r="B108" s="51">
        <v>94</v>
      </c>
      <c r="C108" s="51" t="s">
        <v>92</v>
      </c>
      <c r="D108" s="51">
        <v>4</v>
      </c>
      <c r="E108" s="51">
        <v>9.5</v>
      </c>
      <c r="F108" s="51">
        <v>5.6</v>
      </c>
      <c r="G108" s="51">
        <v>7.5</v>
      </c>
      <c r="H108" s="51">
        <v>7.5</v>
      </c>
      <c r="I108" s="51">
        <v>100</v>
      </c>
      <c r="J108" s="54">
        <f t="shared" si="4"/>
        <v>71.173095726342197</v>
      </c>
      <c r="K108" s="54">
        <f>IFERROR(WHOLE_STRUCTURE[[#This Row],[Bottom '[m']]]-WHOLE_STRUCTURE[[#This Row],[D, top '[m']]], "")</f>
        <v>-1.9000000000000004</v>
      </c>
      <c r="L108" s="54">
        <f>IFERROR(-(WHOLE_STRUCTURE[[#This Row],[D, bottom '[m']]]-WHOLE_STRUCTURE[[#This Row],[D, top '[m']]])/(WHOLE_STRUCTURE[[#This Row],[Bottom '[m']]]-WHOLE_STRUCTURE[[#This Row],[Top '[m']]]),"")</f>
        <v>0</v>
      </c>
      <c r="M108" s="54">
        <f>IFERROR((WHOLE_STRUCTURE[[#This Row],[D, bottom '[m']]]+WHOLE_STRUCTURE[[#This Row],[D, top '[m']]])/(2*WHOLE_STRUCTURE[[#This Row],[t '[mm']]]/1000),"")</f>
        <v>75</v>
      </c>
    </row>
    <row r="109" spans="2:13" x14ac:dyDescent="0.3">
      <c r="B109" s="51">
        <v>95</v>
      </c>
      <c r="C109" s="51" t="s">
        <v>69</v>
      </c>
      <c r="D109" s="51">
        <v>1</v>
      </c>
      <c r="E109" s="51">
        <v>5.6</v>
      </c>
      <c r="F109" s="51">
        <v>1.6</v>
      </c>
      <c r="G109" s="51">
        <v>7.5</v>
      </c>
      <c r="H109" s="51">
        <v>7.5</v>
      </c>
      <c r="I109" s="51">
        <v>108</v>
      </c>
      <c r="J109" s="54">
        <f t="shared" si="4"/>
        <v>78.752660498662593</v>
      </c>
      <c r="K109" s="54">
        <f>IFERROR(WHOLE_STRUCTURE[[#This Row],[Bottom '[m']]]-WHOLE_STRUCTURE[[#This Row],[D, top '[m']]], "")</f>
        <v>-5.9</v>
      </c>
      <c r="L109" s="54">
        <f>IFERROR(-(WHOLE_STRUCTURE[[#This Row],[D, bottom '[m']]]-WHOLE_STRUCTURE[[#This Row],[D, top '[m']]])/(WHOLE_STRUCTURE[[#This Row],[Bottom '[m']]]-WHOLE_STRUCTURE[[#This Row],[Top '[m']]]),"")</f>
        <v>0</v>
      </c>
      <c r="M109" s="54">
        <f>IFERROR((WHOLE_STRUCTURE[[#This Row],[D, bottom '[m']]]+WHOLE_STRUCTURE[[#This Row],[D, top '[m']]])/(2*WHOLE_STRUCTURE[[#This Row],[t '[mm']]]/1000),"")</f>
        <v>69.444444444444443</v>
      </c>
    </row>
    <row r="110" spans="2:13" x14ac:dyDescent="0.3">
      <c r="B110" s="51">
        <v>96</v>
      </c>
      <c r="C110" s="51" t="s">
        <v>69</v>
      </c>
      <c r="D110" s="51">
        <v>2</v>
      </c>
      <c r="E110" s="51">
        <v>1.6</v>
      </c>
      <c r="F110" s="51">
        <v>-2.2999999999999998</v>
      </c>
      <c r="G110" s="51">
        <v>7.5</v>
      </c>
      <c r="H110" s="51">
        <v>7.5</v>
      </c>
      <c r="I110" s="51">
        <v>100</v>
      </c>
      <c r="J110" s="54">
        <f t="shared" si="4"/>
        <v>71.173095726342183</v>
      </c>
      <c r="K110" s="54">
        <f>IFERROR(WHOLE_STRUCTURE[[#This Row],[Bottom '[m']]]-WHOLE_STRUCTURE[[#This Row],[D, top '[m']]], "")</f>
        <v>-9.8000000000000007</v>
      </c>
      <c r="L110" s="54">
        <f>IFERROR(-(WHOLE_STRUCTURE[[#This Row],[D, bottom '[m']]]-WHOLE_STRUCTURE[[#This Row],[D, top '[m']]])/(WHOLE_STRUCTURE[[#This Row],[Bottom '[m']]]-WHOLE_STRUCTURE[[#This Row],[Top '[m']]]),"")</f>
        <v>0</v>
      </c>
      <c r="M110" s="54">
        <f>IFERROR((WHOLE_STRUCTURE[[#This Row],[D, bottom '[m']]]+WHOLE_STRUCTURE[[#This Row],[D, top '[m']]])/(2*WHOLE_STRUCTURE[[#This Row],[t '[mm']]]/1000),"")</f>
        <v>75</v>
      </c>
    </row>
    <row r="111" spans="2:13" x14ac:dyDescent="0.3">
      <c r="B111" s="51">
        <v>97</v>
      </c>
      <c r="C111" s="51" t="s">
        <v>69</v>
      </c>
      <c r="D111" s="51">
        <v>3</v>
      </c>
      <c r="E111" s="51">
        <v>-2.2999999999999998</v>
      </c>
      <c r="F111" s="51">
        <v>-6.2</v>
      </c>
      <c r="G111" s="51">
        <v>7.5</v>
      </c>
      <c r="H111" s="51">
        <v>7.5</v>
      </c>
      <c r="I111" s="51">
        <v>98</v>
      </c>
      <c r="J111" s="54">
        <f t="shared" si="4"/>
        <v>69.768485064196611</v>
      </c>
      <c r="K111" s="54">
        <f>IFERROR(WHOLE_STRUCTURE[[#This Row],[Bottom '[m']]]-WHOLE_STRUCTURE[[#This Row],[D, top '[m']]], "")</f>
        <v>-13.7</v>
      </c>
      <c r="L111" s="54">
        <f>IFERROR(-(WHOLE_STRUCTURE[[#This Row],[D, bottom '[m']]]-WHOLE_STRUCTURE[[#This Row],[D, top '[m']]])/(WHOLE_STRUCTURE[[#This Row],[Bottom '[m']]]-WHOLE_STRUCTURE[[#This Row],[Top '[m']]]),"")</f>
        <v>0</v>
      </c>
      <c r="M111" s="54">
        <f>IFERROR((WHOLE_STRUCTURE[[#This Row],[D, bottom '[m']]]+WHOLE_STRUCTURE[[#This Row],[D, top '[m']]])/(2*WHOLE_STRUCTURE[[#This Row],[t '[mm']]]/1000),"")</f>
        <v>76.530612244897952</v>
      </c>
    </row>
    <row r="112" spans="2:13" x14ac:dyDescent="0.3">
      <c r="B112" s="51">
        <v>98</v>
      </c>
      <c r="C112" s="51" t="s">
        <v>69</v>
      </c>
      <c r="D112" s="51">
        <v>4</v>
      </c>
      <c r="E112" s="51">
        <v>-6.2</v>
      </c>
      <c r="F112" s="51">
        <v>-10.1</v>
      </c>
      <c r="G112" s="51">
        <v>7.5</v>
      </c>
      <c r="H112" s="51">
        <v>7.8282999999999996</v>
      </c>
      <c r="I112" s="51">
        <v>98</v>
      </c>
      <c r="J112" s="54">
        <f t="shared" si="4"/>
        <v>71.315701603414155</v>
      </c>
      <c r="K112" s="54">
        <f>IFERROR(WHOLE_STRUCTURE[[#This Row],[Bottom '[m']]]-WHOLE_STRUCTURE[[#This Row],[D, top '[m']]], "")</f>
        <v>-17.600000000000001</v>
      </c>
      <c r="L112" s="54">
        <f>IFERROR(-(WHOLE_STRUCTURE[[#This Row],[D, bottom '[m']]]-WHOLE_STRUCTURE[[#This Row],[D, top '[m']]])/(WHOLE_STRUCTURE[[#This Row],[Bottom '[m']]]-WHOLE_STRUCTURE[[#This Row],[Top '[m']]]),"")</f>
        <v>8.4179487179487089E-2</v>
      </c>
      <c r="M112" s="54">
        <f>IFERROR((WHOLE_STRUCTURE[[#This Row],[D, bottom '[m']]]+WHOLE_STRUCTURE[[#This Row],[D, top '[m']]])/(2*WHOLE_STRUCTURE[[#This Row],[t '[mm']]]/1000),"")</f>
        <v>78.205612244897949</v>
      </c>
    </row>
    <row r="113" spans="2:13" x14ac:dyDescent="0.3">
      <c r="B113" s="51">
        <v>99</v>
      </c>
      <c r="C113" s="51" t="s">
        <v>69</v>
      </c>
      <c r="D113" s="51">
        <v>5</v>
      </c>
      <c r="E113" s="51">
        <v>-10.1</v>
      </c>
      <c r="F113" s="51">
        <v>-14</v>
      </c>
      <c r="G113" s="51">
        <v>7.8282999999999996</v>
      </c>
      <c r="H113" s="51">
        <v>8.1565999999999992</v>
      </c>
      <c r="I113" s="51">
        <v>104</v>
      </c>
      <c r="J113" s="54">
        <f t="shared" si="4"/>
        <v>78.905840981319429</v>
      </c>
      <c r="K113" s="54">
        <f>IFERROR(WHOLE_STRUCTURE[[#This Row],[Bottom '[m']]]-WHOLE_STRUCTURE[[#This Row],[D, top '[m']]], "")</f>
        <v>-21.828299999999999</v>
      </c>
      <c r="L113" s="54">
        <f>IFERROR(-(WHOLE_STRUCTURE[[#This Row],[D, bottom '[m']]]-WHOLE_STRUCTURE[[#This Row],[D, top '[m']]])/(WHOLE_STRUCTURE[[#This Row],[Bottom '[m']]]-WHOLE_STRUCTURE[[#This Row],[Top '[m']]]),"")</f>
        <v>8.4179487179487061E-2</v>
      </c>
      <c r="M113" s="54">
        <f>IFERROR((WHOLE_STRUCTURE[[#This Row],[D, bottom '[m']]]+WHOLE_STRUCTURE[[#This Row],[D, top '[m']]])/(2*WHOLE_STRUCTURE[[#This Row],[t '[mm']]]/1000),"")</f>
        <v>76.850480769230771</v>
      </c>
    </row>
    <row r="114" spans="2:13" x14ac:dyDescent="0.3">
      <c r="B114" s="51">
        <v>100</v>
      </c>
      <c r="C114" s="51" t="s">
        <v>69</v>
      </c>
      <c r="D114" s="51">
        <v>6</v>
      </c>
      <c r="E114" s="51">
        <v>-14</v>
      </c>
      <c r="F114" s="51">
        <v>-17.899999999999999</v>
      </c>
      <c r="G114" s="51">
        <v>8.1565999999999992</v>
      </c>
      <c r="H114" s="51">
        <v>8.4847999999999999</v>
      </c>
      <c r="I114" s="51">
        <v>98</v>
      </c>
      <c r="J114" s="54">
        <f t="shared" si="4"/>
        <v>77.504096478974631</v>
      </c>
      <c r="K114" s="54">
        <f>IFERROR(WHOLE_STRUCTURE[[#This Row],[Bottom '[m']]]-WHOLE_STRUCTURE[[#This Row],[D, top '[m']]], "")</f>
        <v>-26.056599999999996</v>
      </c>
      <c r="L114" s="54">
        <f>IFERROR(-(WHOLE_STRUCTURE[[#This Row],[D, bottom '[m']]]-WHOLE_STRUCTURE[[#This Row],[D, top '[m']]])/(WHOLE_STRUCTURE[[#This Row],[Bottom '[m']]]-WHOLE_STRUCTURE[[#This Row],[Top '[m']]]),"")</f>
        <v>8.4153846153846371E-2</v>
      </c>
      <c r="M114" s="54">
        <f>IFERROR((WHOLE_STRUCTURE[[#This Row],[D, bottom '[m']]]+WHOLE_STRUCTURE[[#This Row],[D, top '[m']]])/(2*WHOLE_STRUCTURE[[#This Row],[t '[mm']]]/1000),"")</f>
        <v>84.905102040816303</v>
      </c>
    </row>
    <row r="115" spans="2:13" x14ac:dyDescent="0.3">
      <c r="B115" s="51">
        <v>101</v>
      </c>
      <c r="C115" s="51" t="s">
        <v>69</v>
      </c>
      <c r="D115" s="51">
        <v>7</v>
      </c>
      <c r="E115" s="51">
        <v>-17.899999999999999</v>
      </c>
      <c r="F115" s="51">
        <v>-21.8</v>
      </c>
      <c r="G115" s="51">
        <v>8.4847999999999999</v>
      </c>
      <c r="H115" s="51">
        <v>8.8131000000000004</v>
      </c>
      <c r="I115" s="51">
        <v>94</v>
      </c>
      <c r="J115" s="54">
        <f t="shared" si="4"/>
        <v>77.34450523878759</v>
      </c>
      <c r="K115" s="54">
        <f>IFERROR(WHOLE_STRUCTURE[[#This Row],[Bottom '[m']]]-WHOLE_STRUCTURE[[#This Row],[D, top '[m']]], "")</f>
        <v>-30.284800000000001</v>
      </c>
      <c r="L115" s="54">
        <f>IFERROR(-(WHOLE_STRUCTURE[[#This Row],[D, bottom '[m']]]-WHOLE_STRUCTURE[[#This Row],[D, top '[m']]])/(WHOLE_STRUCTURE[[#This Row],[Bottom '[m']]]-WHOLE_STRUCTURE[[#This Row],[Top '[m']]]),"")</f>
        <v>8.4179487179487256E-2</v>
      </c>
      <c r="M115" s="54">
        <f>IFERROR((WHOLE_STRUCTURE[[#This Row],[D, bottom '[m']]]+WHOLE_STRUCTURE[[#This Row],[D, top '[m']]])/(2*WHOLE_STRUCTURE[[#This Row],[t '[mm']]]/1000),"")</f>
        <v>92.010106382978719</v>
      </c>
    </row>
    <row r="116" spans="2:13" x14ac:dyDescent="0.3">
      <c r="B116" s="51">
        <v>102</v>
      </c>
      <c r="C116" s="51" t="s">
        <v>69</v>
      </c>
      <c r="D116" s="51">
        <v>8</v>
      </c>
      <c r="E116" s="51">
        <v>-21.8</v>
      </c>
      <c r="F116" s="51">
        <v>-25.7</v>
      </c>
      <c r="G116" s="51">
        <v>8.8131000000000004</v>
      </c>
      <c r="H116" s="51">
        <v>9.1414000000000009</v>
      </c>
      <c r="I116" s="51">
        <v>92</v>
      </c>
      <c r="J116" s="54">
        <f t="shared" si="4"/>
        <v>78.621552553821701</v>
      </c>
      <c r="K116" s="54">
        <f>IFERROR(WHOLE_STRUCTURE[[#This Row],[Bottom '[m']]]-WHOLE_STRUCTURE[[#This Row],[D, top '[m']]], "")</f>
        <v>-34.513100000000001</v>
      </c>
      <c r="L116" s="54">
        <f>IFERROR(-(WHOLE_STRUCTURE[[#This Row],[D, bottom '[m']]]-WHOLE_STRUCTURE[[#This Row],[D, top '[m']]])/(WHOLE_STRUCTURE[[#This Row],[Bottom '[m']]]-WHOLE_STRUCTURE[[#This Row],[Top '[m']]]),"")</f>
        <v>8.4179487179487339E-2</v>
      </c>
      <c r="M116" s="54">
        <f>IFERROR((WHOLE_STRUCTURE[[#This Row],[D, bottom '[m']]]+WHOLE_STRUCTURE[[#This Row],[D, top '[m']]])/(2*WHOLE_STRUCTURE[[#This Row],[t '[mm']]]/1000),"")</f>
        <v>97.578804347826107</v>
      </c>
    </row>
    <row r="117" spans="2:13" x14ac:dyDescent="0.3">
      <c r="B117" s="51">
        <v>103</v>
      </c>
      <c r="C117" s="51" t="s">
        <v>69</v>
      </c>
      <c r="D117" s="51">
        <v>9</v>
      </c>
      <c r="E117" s="51">
        <v>-25.7</v>
      </c>
      <c r="F117" s="51">
        <v>-29.6</v>
      </c>
      <c r="G117" s="51">
        <v>9.1414000000000009</v>
      </c>
      <c r="H117" s="51">
        <v>9.4696999999999996</v>
      </c>
      <c r="I117" s="51">
        <v>90</v>
      </c>
      <c r="J117" s="54">
        <f t="shared" si="4"/>
        <v>79.771527039027319</v>
      </c>
      <c r="K117" s="54">
        <f>IFERROR(WHOLE_STRUCTURE[[#This Row],[Bottom '[m']]]-WHOLE_STRUCTURE[[#This Row],[D, top '[m']]], "")</f>
        <v>-38.741399999999999</v>
      </c>
      <c r="L117" s="54">
        <f>IFERROR(-(WHOLE_STRUCTURE[[#This Row],[D, bottom '[m']]]-WHOLE_STRUCTURE[[#This Row],[D, top '[m']]])/(WHOLE_STRUCTURE[[#This Row],[Bottom '[m']]]-WHOLE_STRUCTURE[[#This Row],[Top '[m']]]),"")</f>
        <v>8.4179487179486798E-2</v>
      </c>
      <c r="M117" s="54">
        <f>IFERROR((WHOLE_STRUCTURE[[#This Row],[D, bottom '[m']]]+WHOLE_STRUCTURE[[#This Row],[D, top '[m']]])/(2*WHOLE_STRUCTURE[[#This Row],[t '[mm']]]/1000),"")</f>
        <v>103.39500000000001</v>
      </c>
    </row>
    <row r="118" spans="2:13" x14ac:dyDescent="0.3">
      <c r="B118" s="51">
        <v>104</v>
      </c>
      <c r="C118" s="51" t="s">
        <v>69</v>
      </c>
      <c r="D118" s="51">
        <v>10</v>
      </c>
      <c r="E118" s="51">
        <v>-29.6</v>
      </c>
      <c r="F118" s="51">
        <v>-33.5</v>
      </c>
      <c r="G118" s="51">
        <v>9.4696999999999996</v>
      </c>
      <c r="H118" s="51">
        <v>9.8000000000000007</v>
      </c>
      <c r="I118" s="51">
        <v>90</v>
      </c>
      <c r="J118" s="54">
        <f t="shared" si="4"/>
        <v>82.622009522867344</v>
      </c>
      <c r="K118" s="54">
        <f>IFERROR(WHOLE_STRUCTURE[[#This Row],[Bottom '[m']]]-WHOLE_STRUCTURE[[#This Row],[D, top '[m']]], "")</f>
        <v>-42.969700000000003</v>
      </c>
      <c r="L118" s="54">
        <f>IFERROR(-(WHOLE_STRUCTURE[[#This Row],[D, bottom '[m']]]-WHOLE_STRUCTURE[[#This Row],[D, top '[m']]])/(WHOLE_STRUCTURE[[#This Row],[Bottom '[m']]]-WHOLE_STRUCTURE[[#This Row],[Top '[m']]]),"")</f>
        <v>8.4692307692308011E-2</v>
      </c>
      <c r="M118" s="54">
        <f>IFERROR((WHOLE_STRUCTURE[[#This Row],[D, bottom '[m']]]+WHOLE_STRUCTURE[[#This Row],[D, top '[m']]])/(2*WHOLE_STRUCTURE[[#This Row],[t '[mm']]]/1000),"")</f>
        <v>107.05388888888889</v>
      </c>
    </row>
    <row r="119" spans="2:13" x14ac:dyDescent="0.3">
      <c r="B119" s="51">
        <v>105</v>
      </c>
      <c r="C119" s="51" t="s">
        <v>69</v>
      </c>
      <c r="D119" s="51">
        <v>11</v>
      </c>
      <c r="E119" s="51">
        <v>-33.5</v>
      </c>
      <c r="F119" s="51">
        <v>-36.799999999999997</v>
      </c>
      <c r="G119" s="51">
        <v>9.8000000000000007</v>
      </c>
      <c r="H119" s="51">
        <v>9.8000000000000007</v>
      </c>
      <c r="I119" s="51">
        <v>90</v>
      </c>
      <c r="J119" s="54">
        <f t="shared" si="4"/>
        <v>71.120566726377618</v>
      </c>
      <c r="K119" s="54">
        <f>IFERROR(WHOLE_STRUCTURE[[#This Row],[Bottom '[m']]]-WHOLE_STRUCTURE[[#This Row],[D, top '[m']]], "")</f>
        <v>-46.599999999999994</v>
      </c>
      <c r="L119" s="54">
        <f>IFERROR(-(WHOLE_STRUCTURE[[#This Row],[D, bottom '[m']]]-WHOLE_STRUCTURE[[#This Row],[D, top '[m']]])/(WHOLE_STRUCTURE[[#This Row],[Bottom '[m']]]-WHOLE_STRUCTURE[[#This Row],[Top '[m']]]),"")</f>
        <v>0</v>
      </c>
      <c r="M119" s="54">
        <f>IFERROR((WHOLE_STRUCTURE[[#This Row],[D, bottom '[m']]]+WHOLE_STRUCTURE[[#This Row],[D, top '[m']]])/(2*WHOLE_STRUCTURE[[#This Row],[t '[mm']]]/1000),"")</f>
        <v>108.8888888888889</v>
      </c>
    </row>
    <row r="120" spans="2:13" x14ac:dyDescent="0.3">
      <c r="B120" s="51">
        <v>106</v>
      </c>
      <c r="C120" s="51" t="s">
        <v>69</v>
      </c>
      <c r="D120" s="51">
        <v>12</v>
      </c>
      <c r="E120" s="51">
        <v>-36.799999999999997</v>
      </c>
      <c r="F120" s="51">
        <v>-40.200000000000003</v>
      </c>
      <c r="G120" s="51">
        <v>9.8000000000000007</v>
      </c>
      <c r="H120" s="51">
        <v>9.8000000000000007</v>
      </c>
      <c r="I120" s="51">
        <v>98</v>
      </c>
      <c r="J120" s="54">
        <f t="shared" si="4"/>
        <v>79.723396418003802</v>
      </c>
      <c r="K120" s="54">
        <f>IFERROR(WHOLE_STRUCTURE[[#This Row],[Bottom '[m']]]-WHOLE_STRUCTURE[[#This Row],[D, top '[m']]], "")</f>
        <v>-50</v>
      </c>
      <c r="L120" s="54">
        <f>IFERROR(-(WHOLE_STRUCTURE[[#This Row],[D, bottom '[m']]]-WHOLE_STRUCTURE[[#This Row],[D, top '[m']]])/(WHOLE_STRUCTURE[[#This Row],[Bottom '[m']]]-WHOLE_STRUCTURE[[#This Row],[Top '[m']]]),"")</f>
        <v>0</v>
      </c>
      <c r="M120" s="54">
        <f>IFERROR((WHOLE_STRUCTURE[[#This Row],[D, bottom '[m']]]+WHOLE_STRUCTURE[[#This Row],[D, top '[m']]])/(2*WHOLE_STRUCTURE[[#This Row],[t '[mm']]]/1000),"")</f>
        <v>100</v>
      </c>
    </row>
    <row r="121" spans="2:13" x14ac:dyDescent="0.3">
      <c r="B121" s="51">
        <v>107</v>
      </c>
      <c r="C121" s="51" t="s">
        <v>69</v>
      </c>
      <c r="D121" s="51">
        <v>13</v>
      </c>
      <c r="E121" s="51">
        <v>-40.200000000000003</v>
      </c>
      <c r="F121" s="51">
        <v>-43.8</v>
      </c>
      <c r="G121" s="51">
        <v>9.8000000000000007</v>
      </c>
      <c r="H121" s="51">
        <v>9.8000000000000007</v>
      </c>
      <c r="I121" s="51">
        <v>88</v>
      </c>
      <c r="J121" s="54">
        <f t="shared" si="4"/>
        <v>75.87756336934649</v>
      </c>
      <c r="K121" s="54">
        <f>IFERROR(WHOLE_STRUCTURE[[#This Row],[Bottom '[m']]]-WHOLE_STRUCTURE[[#This Row],[D, top '[m']]], "")</f>
        <v>-53.599999999999994</v>
      </c>
      <c r="L121" s="54">
        <f>IFERROR(-(WHOLE_STRUCTURE[[#This Row],[D, bottom '[m']]]-WHOLE_STRUCTURE[[#This Row],[D, top '[m']]])/(WHOLE_STRUCTURE[[#This Row],[Bottom '[m']]]-WHOLE_STRUCTURE[[#This Row],[Top '[m']]]),"")</f>
        <v>0</v>
      </c>
      <c r="M121" s="54">
        <f>IFERROR((WHOLE_STRUCTURE[[#This Row],[D, bottom '[m']]]+WHOLE_STRUCTURE[[#This Row],[D, top '[m']]])/(2*WHOLE_STRUCTURE[[#This Row],[t '[mm']]]/1000),"")</f>
        <v>111.36363636363637</v>
      </c>
    </row>
    <row r="122" spans="2:13" x14ac:dyDescent="0.3">
      <c r="B122" s="51">
        <v>108</v>
      </c>
      <c r="C122" s="51" t="s">
        <v>69</v>
      </c>
      <c r="D122" s="51">
        <v>14</v>
      </c>
      <c r="E122" s="51">
        <v>-43.8</v>
      </c>
      <c r="F122" s="51">
        <v>-47.8</v>
      </c>
      <c r="G122" s="51">
        <v>9.8000000000000007</v>
      </c>
      <c r="H122" s="51">
        <v>9.8000000000000007</v>
      </c>
      <c r="I122" s="51">
        <v>88</v>
      </c>
      <c r="J122" s="54">
        <f t="shared" si="4"/>
        <v>84.308403743718472</v>
      </c>
      <c r="K122" s="54">
        <f>IFERROR(WHOLE_STRUCTURE[[#This Row],[Bottom '[m']]]-WHOLE_STRUCTURE[[#This Row],[D, top '[m']]], "")</f>
        <v>-57.599999999999994</v>
      </c>
      <c r="L122" s="54">
        <f>IFERROR(-(WHOLE_STRUCTURE[[#This Row],[D, bottom '[m']]]-WHOLE_STRUCTURE[[#This Row],[D, top '[m']]])/(WHOLE_STRUCTURE[[#This Row],[Bottom '[m']]]-WHOLE_STRUCTURE[[#This Row],[Top '[m']]]),"")</f>
        <v>0</v>
      </c>
      <c r="M122" s="54">
        <f>IFERROR((WHOLE_STRUCTURE[[#This Row],[D, bottom '[m']]]+WHOLE_STRUCTURE[[#This Row],[D, top '[m']]])/(2*WHOLE_STRUCTURE[[#This Row],[t '[mm']]]/1000),"")</f>
        <v>111.36363636363637</v>
      </c>
    </row>
    <row r="123" spans="2:13" x14ac:dyDescent="0.3">
      <c r="B123" s="51">
        <v>109</v>
      </c>
      <c r="C123" s="51" t="s">
        <v>69</v>
      </c>
      <c r="D123" s="51">
        <v>15</v>
      </c>
      <c r="E123" s="51">
        <v>-47.8</v>
      </c>
      <c r="F123" s="51">
        <v>-51.8</v>
      </c>
      <c r="G123" s="51">
        <v>9.8000000000000007</v>
      </c>
      <c r="H123" s="51">
        <v>9.8000000000000007</v>
      </c>
      <c r="I123" s="51">
        <v>88</v>
      </c>
      <c r="J123" s="54">
        <f t="shared" si="4"/>
        <v>84.308403743718472</v>
      </c>
      <c r="K123" s="54">
        <f>IFERROR(WHOLE_STRUCTURE[[#This Row],[Bottom '[m']]]-WHOLE_STRUCTURE[[#This Row],[D, top '[m']]], "")</f>
        <v>-61.599999999999994</v>
      </c>
      <c r="L123" s="54">
        <f>IFERROR(-(WHOLE_STRUCTURE[[#This Row],[D, bottom '[m']]]-WHOLE_STRUCTURE[[#This Row],[D, top '[m']]])/(WHOLE_STRUCTURE[[#This Row],[Bottom '[m']]]-WHOLE_STRUCTURE[[#This Row],[Top '[m']]]),"")</f>
        <v>0</v>
      </c>
      <c r="M123" s="54">
        <f>IFERROR((WHOLE_STRUCTURE[[#This Row],[D, bottom '[m']]]+WHOLE_STRUCTURE[[#This Row],[D, top '[m']]])/(2*WHOLE_STRUCTURE[[#This Row],[t '[mm']]]/1000),"")</f>
        <v>111.36363636363637</v>
      </c>
    </row>
    <row r="124" spans="2:13" x14ac:dyDescent="0.3">
      <c r="B124" s="51">
        <v>110</v>
      </c>
      <c r="C124" s="51" t="s">
        <v>69</v>
      </c>
      <c r="D124" s="51">
        <v>16</v>
      </c>
      <c r="E124" s="51">
        <v>-51.8</v>
      </c>
      <c r="F124" s="51">
        <v>-55.8</v>
      </c>
      <c r="G124" s="51">
        <v>9.8000000000000007</v>
      </c>
      <c r="H124" s="51">
        <v>9.8000000000000007</v>
      </c>
      <c r="I124" s="51">
        <v>81</v>
      </c>
      <c r="J124" s="54">
        <f t="shared" si="4"/>
        <v>77.657985733209031</v>
      </c>
      <c r="K124" s="54">
        <f>IFERROR(WHOLE_STRUCTURE[[#This Row],[Bottom '[m']]]-WHOLE_STRUCTURE[[#This Row],[D, top '[m']]], "")</f>
        <v>-65.599999999999994</v>
      </c>
      <c r="L124" s="54">
        <f>IFERROR(-(WHOLE_STRUCTURE[[#This Row],[D, bottom '[m']]]-WHOLE_STRUCTURE[[#This Row],[D, top '[m']]])/(WHOLE_STRUCTURE[[#This Row],[Bottom '[m']]]-WHOLE_STRUCTURE[[#This Row],[Top '[m']]]),"")</f>
        <v>0</v>
      </c>
      <c r="M124" s="54">
        <f>IFERROR((WHOLE_STRUCTURE[[#This Row],[D, bottom '[m']]]+WHOLE_STRUCTURE[[#This Row],[D, top '[m']]])/(2*WHOLE_STRUCTURE[[#This Row],[t '[mm']]]/1000),"")</f>
        <v>120.98765432098766</v>
      </c>
    </row>
    <row r="125" spans="2:13" x14ac:dyDescent="0.3">
      <c r="B125" s="51">
        <v>111</v>
      </c>
      <c r="C125" s="51" t="s">
        <v>69</v>
      </c>
      <c r="D125" s="51">
        <v>17</v>
      </c>
      <c r="E125" s="51">
        <v>-55.8</v>
      </c>
      <c r="F125" s="51">
        <v>-59.8</v>
      </c>
      <c r="G125" s="51">
        <v>9.8000000000000007</v>
      </c>
      <c r="H125" s="51">
        <v>9.8000000000000007</v>
      </c>
      <c r="I125" s="51">
        <v>81</v>
      </c>
      <c r="J125" s="54">
        <f t="shared" si="4"/>
        <v>77.657985733209031</v>
      </c>
      <c r="K125" s="54">
        <f>IFERROR(WHOLE_STRUCTURE[[#This Row],[Bottom '[m']]]-WHOLE_STRUCTURE[[#This Row],[D, top '[m']]], "")</f>
        <v>-69.599999999999994</v>
      </c>
      <c r="L125" s="54">
        <f>IFERROR(-(WHOLE_STRUCTURE[[#This Row],[D, bottom '[m']]]-WHOLE_STRUCTURE[[#This Row],[D, top '[m']]])/(WHOLE_STRUCTURE[[#This Row],[Bottom '[m']]]-WHOLE_STRUCTURE[[#This Row],[Top '[m']]]),"")</f>
        <v>0</v>
      </c>
      <c r="M125" s="54">
        <f>IFERROR((WHOLE_STRUCTURE[[#This Row],[D, bottom '[m']]]+WHOLE_STRUCTURE[[#This Row],[D, top '[m']]])/(2*WHOLE_STRUCTURE[[#This Row],[t '[mm']]]/1000),"")</f>
        <v>120.98765432098766</v>
      </c>
    </row>
    <row r="126" spans="2:13" x14ac:dyDescent="0.3">
      <c r="B126" s="51">
        <v>112</v>
      </c>
      <c r="C126" s="51" t="s">
        <v>69</v>
      </c>
      <c r="D126" s="51">
        <v>18</v>
      </c>
      <c r="E126" s="51">
        <v>-59.8</v>
      </c>
      <c r="F126" s="51">
        <v>-63.8</v>
      </c>
      <c r="G126" s="51">
        <v>9.8000000000000007</v>
      </c>
      <c r="H126" s="51">
        <v>9.8000000000000007</v>
      </c>
      <c r="I126" s="51">
        <v>81</v>
      </c>
      <c r="J126" s="54">
        <f t="shared" si="4"/>
        <v>77.657985733209031</v>
      </c>
      <c r="K126" s="54">
        <f>IFERROR(WHOLE_STRUCTURE[[#This Row],[Bottom '[m']]]-WHOLE_STRUCTURE[[#This Row],[D, top '[m']]], "")</f>
        <v>-73.599999999999994</v>
      </c>
      <c r="L126" s="54">
        <f>IFERROR(-(WHOLE_STRUCTURE[[#This Row],[D, bottom '[m']]]-WHOLE_STRUCTURE[[#This Row],[D, top '[m']]])/(WHOLE_STRUCTURE[[#This Row],[Bottom '[m']]]-WHOLE_STRUCTURE[[#This Row],[Top '[m']]]),"")</f>
        <v>0</v>
      </c>
      <c r="M126" s="54">
        <f>IFERROR((WHOLE_STRUCTURE[[#This Row],[D, bottom '[m']]]+WHOLE_STRUCTURE[[#This Row],[D, top '[m']]])/(2*WHOLE_STRUCTURE[[#This Row],[t '[mm']]]/1000),"")</f>
        <v>120.98765432098766</v>
      </c>
    </row>
    <row r="127" spans="2:13" x14ac:dyDescent="0.3">
      <c r="B127" s="51">
        <v>113</v>
      </c>
      <c r="C127" s="51" t="s">
        <v>69</v>
      </c>
      <c r="D127" s="51">
        <v>19</v>
      </c>
      <c r="E127" s="51">
        <v>-63.8</v>
      </c>
      <c r="F127" s="51">
        <v>-67.599999999999994</v>
      </c>
      <c r="G127" s="51">
        <v>9.8000000000000007</v>
      </c>
      <c r="H127" s="51">
        <v>9.8000000000000007</v>
      </c>
      <c r="I127" s="51">
        <v>81</v>
      </c>
      <c r="J127" s="54">
        <f t="shared" si="4"/>
        <v>73.775086446548514</v>
      </c>
      <c r="K127" s="54">
        <f>IFERROR(WHOLE_STRUCTURE[[#This Row],[Bottom '[m']]]-WHOLE_STRUCTURE[[#This Row],[D, top '[m']]], "")</f>
        <v>-77.399999999999991</v>
      </c>
      <c r="L127" s="54">
        <f>IFERROR(-(WHOLE_STRUCTURE[[#This Row],[D, bottom '[m']]]-WHOLE_STRUCTURE[[#This Row],[D, top '[m']]])/(WHOLE_STRUCTURE[[#This Row],[Bottom '[m']]]-WHOLE_STRUCTURE[[#This Row],[Top '[m']]]),"")</f>
        <v>0</v>
      </c>
      <c r="M127" s="54">
        <f>IFERROR((WHOLE_STRUCTURE[[#This Row],[D, bottom '[m']]]+WHOLE_STRUCTURE[[#This Row],[D, top '[m']]])/(2*WHOLE_STRUCTURE[[#This Row],[t '[mm']]]/1000),"")</f>
        <v>120.98765432098766</v>
      </c>
    </row>
    <row r="128" spans="2:13" x14ac:dyDescent="0.3">
      <c r="B128" s="51">
        <v>114</v>
      </c>
      <c r="C128" s="51" t="s">
        <v>69</v>
      </c>
      <c r="D128" s="51">
        <v>20</v>
      </c>
      <c r="E128" s="51">
        <v>-67.599999999999994</v>
      </c>
      <c r="F128" s="51">
        <v>-70.7</v>
      </c>
      <c r="G128" s="51">
        <v>9.8000000000000007</v>
      </c>
      <c r="H128" s="51">
        <v>9.8000000000000007</v>
      </c>
      <c r="I128" s="51">
        <v>81</v>
      </c>
      <c r="J128" s="54">
        <f t="shared" si="4"/>
        <v>60.184938943237157</v>
      </c>
      <c r="K128" s="54">
        <f>IFERROR(WHOLE_STRUCTURE[[#This Row],[Bottom '[m']]]-WHOLE_STRUCTURE[[#This Row],[D, top '[m']]], "")</f>
        <v>-80.5</v>
      </c>
      <c r="L128" s="54">
        <f>IFERROR(-(WHOLE_STRUCTURE[[#This Row],[D, bottom '[m']]]-WHOLE_STRUCTURE[[#This Row],[D, top '[m']]])/(WHOLE_STRUCTURE[[#This Row],[Bottom '[m']]]-WHOLE_STRUCTURE[[#This Row],[Top '[m']]]),"")</f>
        <v>0</v>
      </c>
      <c r="M128" s="54">
        <f>IFERROR((WHOLE_STRUCTURE[[#This Row],[D, bottom '[m']]]+WHOLE_STRUCTURE[[#This Row],[D, top '[m']]])/(2*WHOLE_STRUCTURE[[#This Row],[t '[mm']]]/1000),"")</f>
        <v>120.98765432098766</v>
      </c>
    </row>
    <row r="129" spans="2:13" x14ac:dyDescent="0.3">
      <c r="B129" s="51">
        <v>115</v>
      </c>
      <c r="C129" s="51" t="s">
        <v>69</v>
      </c>
      <c r="D129" s="51">
        <v>21</v>
      </c>
      <c r="E129" s="51">
        <v>-70.7</v>
      </c>
      <c r="F129" s="51">
        <v>-73.7</v>
      </c>
      <c r="G129" s="51">
        <v>9.8000000000000007</v>
      </c>
      <c r="H129" s="51">
        <v>9.8000000000000007</v>
      </c>
      <c r="I129" s="51">
        <v>87</v>
      </c>
      <c r="J129" s="54">
        <f t="shared" si="4"/>
        <v>62.519201927990139</v>
      </c>
      <c r="K129" s="54">
        <f>IFERROR(WHOLE_STRUCTURE[[#This Row],[Bottom '[m']]]-WHOLE_STRUCTURE[[#This Row],[D, top '[m']]], "")</f>
        <v>-83.5</v>
      </c>
      <c r="L129" s="54">
        <f>IFERROR(-(WHOLE_STRUCTURE[[#This Row],[D, bottom '[m']]]-WHOLE_STRUCTURE[[#This Row],[D, top '[m']]])/(WHOLE_STRUCTURE[[#This Row],[Bottom '[m']]]-WHOLE_STRUCTURE[[#This Row],[Top '[m']]]),"")</f>
        <v>0</v>
      </c>
      <c r="M129" s="54">
        <f>IFERROR((WHOLE_STRUCTURE[[#This Row],[D, bottom '[m']]]+WHOLE_STRUCTURE[[#This Row],[D, top '[m']]])/(2*WHOLE_STRUCTURE[[#This Row],[t '[mm']]]/1000),"")</f>
        <v>112.64367816091955</v>
      </c>
    </row>
    <row r="130" spans="2:13" x14ac:dyDescent="0.3">
      <c r="B130" s="51">
        <v>116</v>
      </c>
      <c r="C130" s="51" t="s">
        <v>69</v>
      </c>
      <c r="D130" s="51">
        <v>22</v>
      </c>
      <c r="E130" s="51">
        <v>-73.7</v>
      </c>
      <c r="F130" s="51">
        <v>-76.8</v>
      </c>
      <c r="G130" s="51">
        <v>9.8000000000000007</v>
      </c>
      <c r="H130" s="51">
        <v>9.8000000000000007</v>
      </c>
      <c r="I130" s="51">
        <v>95</v>
      </c>
      <c r="J130" s="54">
        <f t="shared" si="4"/>
        <v>70.485594695118522</v>
      </c>
      <c r="K130" s="54">
        <f>IFERROR(WHOLE_STRUCTURE[[#This Row],[Bottom '[m']]]-WHOLE_STRUCTURE[[#This Row],[D, top '[m']]], "")</f>
        <v>-86.6</v>
      </c>
      <c r="L130" s="54">
        <f>IFERROR(-(WHOLE_STRUCTURE[[#This Row],[D, bottom '[m']]]-WHOLE_STRUCTURE[[#This Row],[D, top '[m']]])/(WHOLE_STRUCTURE[[#This Row],[Bottom '[m']]]-WHOLE_STRUCTURE[[#This Row],[Top '[m']]]),"")</f>
        <v>0</v>
      </c>
      <c r="M130" s="54">
        <f>IFERROR((WHOLE_STRUCTURE[[#This Row],[D, bottom '[m']]]+WHOLE_STRUCTURE[[#This Row],[D, top '[m']]])/(2*WHOLE_STRUCTURE[[#This Row],[t '[mm']]]/1000),"")</f>
        <v>103.15789473684211</v>
      </c>
    </row>
    <row r="131" spans="2:13" x14ac:dyDescent="0.3">
      <c r="B131" s="51">
        <v>117</v>
      </c>
      <c r="C131" s="51" t="s">
        <v>69</v>
      </c>
      <c r="D131" s="51">
        <v>23</v>
      </c>
      <c r="E131" s="51">
        <v>-76.8</v>
      </c>
      <c r="F131" s="51">
        <v>-79.8</v>
      </c>
      <c r="G131" s="51">
        <v>9.8000000000000007</v>
      </c>
      <c r="H131" s="51">
        <v>9.8000000000000007</v>
      </c>
      <c r="I131" s="51">
        <v>105</v>
      </c>
      <c r="J131" s="54">
        <f t="shared" si="4"/>
        <v>75.314378505222052</v>
      </c>
      <c r="K131" s="54">
        <f>IFERROR(WHOLE_STRUCTURE[[#This Row],[Bottom '[m']]]-WHOLE_STRUCTURE[[#This Row],[D, top '[m']]], "")</f>
        <v>-89.6</v>
      </c>
      <c r="L131" s="54">
        <f>IFERROR(-(WHOLE_STRUCTURE[[#This Row],[D, bottom '[m']]]-WHOLE_STRUCTURE[[#This Row],[D, top '[m']]])/(WHOLE_STRUCTURE[[#This Row],[Bottom '[m']]]-WHOLE_STRUCTURE[[#This Row],[Top '[m']]]),"")</f>
        <v>0</v>
      </c>
      <c r="M131" s="54">
        <f>IFERROR((WHOLE_STRUCTURE[[#This Row],[D, bottom '[m']]]+WHOLE_STRUCTURE[[#This Row],[D, top '[m']]])/(2*WHOLE_STRUCTURE[[#This Row],[t '[mm']]]/1000),"")</f>
        <v>93.333333333333343</v>
      </c>
    </row>
    <row r="132" spans="2:13" x14ac:dyDescent="0.3">
      <c r="J132" s="54" t="str">
        <f>IF(7850/1000*(1/3)*PI()*ABS(E132-F132)*((G132/2)^2+(G132/2)*(H132/2)+(H132/2)^2-(G132/2-I132/1000)^2-(G132/2-I132/1000)*(H132/2-I132/1000)-(H132/2-I132/1000)^2)=0,"",7850/1000*(1/3)*PI()*ABS(E132-F132)*((G132/2)^2+(G132/2)*(H132/2)+(H132/2)^2-(G132/2-I132/1000)^2-(G132/2-I132/1000)*(H132/2-I132/1000)-(H132/2-I132/1000)^2))</f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2:13" x14ac:dyDescent="0.3">
      <c r="J133" s="54" t="str">
        <f t="shared" ref="J133:J196" si="5">IF(7850/1000*(1/3)*PI()*ABS(E133-F133)*((G133/2)^2+(G133/2)*(H133/2)+(H133/2)^2-(G133/2-I133/1000)^2-(G133/2-I133/1000)*(H133/2-I133/1000)-(H133/2-I133/1000)^2)=0,"",7850/1000*(1/3)*PI()*ABS(E133-F133)*((G133/2)^2+(G133/2)*(H133/2)+(H133/2)^2-(G133/2-I133/1000)^2-(G133/2-I133/1000)*(H133/2-I133/1000)-(H133/2-I133/1000)^2))</f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2:13" x14ac:dyDescent="0.3">
      <c r="J134" s="54" t="str">
        <f t="shared" si="5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2:13" x14ac:dyDescent="0.3">
      <c r="J135" s="54" t="str">
        <f t="shared" si="5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2:13" x14ac:dyDescent="0.3">
      <c r="J136" s="54" t="str">
        <f t="shared" si="5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2:13" x14ac:dyDescent="0.3">
      <c r="J137" s="54" t="str">
        <f t="shared" si="5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2:13" x14ac:dyDescent="0.3">
      <c r="J138" s="54" t="str">
        <f t="shared" si="5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2:13" x14ac:dyDescent="0.3">
      <c r="J139" s="54" t="str">
        <f t="shared" si="5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2:13" x14ac:dyDescent="0.3">
      <c r="J140" s="54" t="str">
        <f t="shared" si="5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2:13" x14ac:dyDescent="0.3">
      <c r="J141" s="54" t="str">
        <f t="shared" si="5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2:13" x14ac:dyDescent="0.3">
      <c r="J142" s="54" t="str">
        <f t="shared" si="5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2:13" x14ac:dyDescent="0.3">
      <c r="J143" s="54" t="str">
        <f t="shared" si="5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2:13" x14ac:dyDescent="0.3">
      <c r="J144" s="54" t="str">
        <f t="shared" si="5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4" t="str">
        <f t="shared" si="5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4" t="str">
        <f t="shared" si="5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4" t="str">
        <f t="shared" si="5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4" t="str">
        <f t="shared" si="5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4" t="str">
        <f t="shared" si="5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4" t="str">
        <f t="shared" si="5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4" t="str">
        <f t="shared" si="5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4" t="str">
        <f t="shared" si="5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4" t="str">
        <f t="shared" si="5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4" t="str">
        <f t="shared" si="5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4" t="str">
        <f t="shared" si="5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4" t="str">
        <f t="shared" si="5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4" t="str">
        <f t="shared" si="5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4" t="str">
        <f t="shared" si="5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4" t="str">
        <f t="shared" si="5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4" t="str">
        <f t="shared" si="5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4" t="str">
        <f t="shared" si="5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4" t="str">
        <f t="shared" si="5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4" t="str">
        <f t="shared" si="5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4" t="str">
        <f t="shared" si="5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4" t="str">
        <f t="shared" si="5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4" t="str">
        <f t="shared" si="5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4" t="str">
        <f t="shared" si="5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4" t="str">
        <f t="shared" si="5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4" t="str">
        <f t="shared" si="5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4" t="str">
        <f t="shared" si="5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4" t="str">
        <f t="shared" si="5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4" t="str">
        <f t="shared" si="5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4" t="str">
        <f t="shared" si="5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4" t="str">
        <f t="shared" si="5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4" t="str">
        <f t="shared" si="5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4" t="str">
        <f t="shared" si="5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4" t="str">
        <f t="shared" si="5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4" t="str">
        <f t="shared" si="5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4" t="str">
        <f t="shared" si="5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4" t="str">
        <f t="shared" si="5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4" t="str">
        <f t="shared" si="5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4" t="str">
        <f t="shared" si="5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4" t="str">
        <f t="shared" si="5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4" t="str">
        <f t="shared" si="5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4" t="str">
        <f t="shared" si="5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4" t="str">
        <f t="shared" si="5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4" t="str">
        <f t="shared" si="5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4" t="str">
        <f t="shared" si="5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4" t="str">
        <f t="shared" si="5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4" t="str">
        <f t="shared" si="5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4" t="str">
        <f t="shared" si="5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4" t="str">
        <f t="shared" si="5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4" t="str">
        <f t="shared" si="5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4" t="str">
        <f t="shared" si="5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4" t="str">
        <f t="shared" si="5"/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4" t="str">
        <f t="shared" si="5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4" t="str">
        <f t="shared" ref="J197:J260" si="6">IF(7850/1000*(1/3)*PI()*ABS(E197-F197)*((G197/2)^2+(G197/2)*(H197/2)+(H197/2)^2-(G197/2-I197/1000)^2-(G197/2-I197/1000)*(H197/2-I197/1000)-(H197/2-I197/1000)^2)=0,"",7850/1000*(1/3)*PI()*ABS(E197-F197)*((G197/2)^2+(G197/2)*(H197/2)+(H197/2)^2-(G197/2-I197/1000)^2-(G197/2-I197/1000)*(H197/2-I197/1000)-(H197/2-I197/1000)^2))</f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4" t="str">
        <f t="shared" si="6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4" t="str">
        <f t="shared" si="6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4" t="str">
        <f t="shared" si="6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4" t="str">
        <f t="shared" si="6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4" t="str">
        <f t="shared" si="6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4" t="str">
        <f t="shared" si="6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4" t="str">
        <f t="shared" si="6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4" t="str">
        <f t="shared" si="6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4" t="str">
        <f t="shared" si="6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4" t="str">
        <f t="shared" si="6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4" t="str">
        <f t="shared" si="6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4" t="str">
        <f t="shared" si="6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4" t="str">
        <f t="shared" si="6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4" t="str">
        <f t="shared" si="6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4" t="str">
        <f t="shared" si="6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4" t="str">
        <f t="shared" si="6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4" t="str">
        <f t="shared" si="6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4" t="str">
        <f t="shared" si="6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4" t="str">
        <f t="shared" si="6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4" t="str">
        <f t="shared" si="6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4" t="str">
        <f t="shared" si="6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4" t="str">
        <f t="shared" si="6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4" t="str">
        <f t="shared" si="6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4" t="str">
        <f t="shared" si="6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4" t="str">
        <f t="shared" si="6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4" t="str">
        <f t="shared" si="6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4" t="str">
        <f t="shared" si="6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4" t="str">
        <f t="shared" si="6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4" t="str">
        <f t="shared" si="6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4" t="str">
        <f t="shared" si="6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4" t="str">
        <f t="shared" si="6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4" t="str">
        <f t="shared" si="6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4" t="str">
        <f t="shared" si="6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4" t="str">
        <f t="shared" si="6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4" t="str">
        <f t="shared" si="6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4" t="str">
        <f t="shared" si="6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4" t="str">
        <f t="shared" si="6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4" t="str">
        <f t="shared" si="6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4" t="str">
        <f t="shared" si="6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4" t="str">
        <f t="shared" si="6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4" t="str">
        <f t="shared" si="6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4" t="str">
        <f t="shared" si="6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4" t="str">
        <f t="shared" si="6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4" t="str">
        <f t="shared" si="6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4" t="str">
        <f t="shared" si="6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4" t="str">
        <f t="shared" si="6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4" t="str">
        <f t="shared" si="6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4" t="str">
        <f t="shared" si="6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4" t="str">
        <f t="shared" si="6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4" t="str">
        <f t="shared" si="6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4" t="str">
        <f t="shared" si="6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4" t="str">
        <f t="shared" si="6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4" t="str">
        <f t="shared" si="6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4" t="str">
        <f t="shared" si="6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4" t="str">
        <f t="shared" si="6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4" t="str">
        <f t="shared" si="6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4" t="str">
        <f t="shared" si="6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4" t="str">
        <f t="shared" si="6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4" t="str">
        <f t="shared" si="6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4" t="str">
        <f t="shared" si="6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4" t="str">
        <f t="shared" si="6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4" t="str">
        <f t="shared" si="6"/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4" t="str">
        <f t="shared" si="6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4" t="str">
        <f t="shared" ref="J261:J324" si="7">IF(7850/1000*(1/3)*PI()*ABS(E261-F261)*((G261/2)^2+(G261/2)*(H261/2)+(H261/2)^2-(G261/2-I261/1000)^2-(G261/2-I261/1000)*(H261/2-I261/1000)-(H261/2-I261/1000)^2)=0,"",7850/1000*(1/3)*PI()*ABS(E261-F261)*((G261/2)^2+(G261/2)*(H261/2)+(H261/2)^2-(G261/2-I261/1000)^2-(G261/2-I261/1000)*(H261/2-I261/1000)-(H261/2-I261/1000)^2))</f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4" t="str">
        <f t="shared" si="7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4" t="str">
        <f t="shared" si="7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4" t="str">
        <f t="shared" si="7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4" t="str">
        <f t="shared" si="7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4" t="str">
        <f t="shared" si="7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4" t="str">
        <f t="shared" si="7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4" t="str">
        <f t="shared" si="7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4" t="str">
        <f t="shared" si="7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4" t="str">
        <f t="shared" si="7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4" t="str">
        <f t="shared" si="7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4" t="str">
        <f t="shared" si="7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4" t="str">
        <f t="shared" si="7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4" t="str">
        <f t="shared" si="7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4" t="str">
        <f t="shared" si="7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4" t="str">
        <f t="shared" si="7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4" t="str">
        <f t="shared" si="7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4" t="str">
        <f t="shared" si="7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4" t="str">
        <f t="shared" si="7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4" t="str">
        <f t="shared" si="7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4" t="str">
        <f t="shared" si="7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4" t="str">
        <f t="shared" si="7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4" t="str">
        <f t="shared" si="7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4" t="str">
        <f t="shared" si="7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4" t="str">
        <f t="shared" si="7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4" t="str">
        <f t="shared" si="7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4" t="str">
        <f t="shared" si="7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4" t="str">
        <f t="shared" si="7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4" t="str">
        <f t="shared" si="7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4" t="str">
        <f t="shared" si="7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4" t="str">
        <f t="shared" si="7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4" t="str">
        <f t="shared" si="7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4" t="str">
        <f t="shared" si="7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4" t="str">
        <f t="shared" si="7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4" t="str">
        <f t="shared" si="7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4" t="str">
        <f t="shared" si="7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4" t="str">
        <f t="shared" si="7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4" t="str">
        <f t="shared" si="7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4" t="str">
        <f t="shared" si="7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4" t="str">
        <f t="shared" si="7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4" t="str">
        <f t="shared" si="7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4" t="str">
        <f t="shared" si="7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4" t="str">
        <f t="shared" si="7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4" t="str">
        <f t="shared" si="7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4" t="str">
        <f t="shared" si="7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4" t="str">
        <f t="shared" si="7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4" t="str">
        <f t="shared" si="7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4" t="str">
        <f t="shared" si="7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4" t="str">
        <f t="shared" si="7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4" t="str">
        <f t="shared" si="7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4" t="str">
        <f t="shared" si="7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4" t="str">
        <f t="shared" si="7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4" t="str">
        <f t="shared" si="7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4" t="str">
        <f t="shared" si="7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4" t="str">
        <f t="shared" si="7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4" t="str">
        <f t="shared" si="7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4" t="str">
        <f t="shared" si="7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4" t="str">
        <f t="shared" si="7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4" t="str">
        <f t="shared" si="7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4" t="str">
        <f t="shared" si="7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4" t="str">
        <f t="shared" si="7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4" t="str">
        <f t="shared" si="7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4" t="str">
        <f t="shared" si="7"/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4" t="str">
        <f t="shared" si="7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4" t="str">
        <f t="shared" ref="J325:J388" si="8">IF(7850/1000*(1/3)*PI()*ABS(E325-F325)*((G325/2)^2+(G325/2)*(H325/2)+(H325/2)^2-(G325/2-I325/1000)^2-(G325/2-I325/1000)*(H325/2-I325/1000)-(H325/2-I325/1000)^2)=0,"",7850/1000*(1/3)*PI()*ABS(E325-F325)*((G325/2)^2+(G325/2)*(H325/2)+(H325/2)^2-(G325/2-I325/1000)^2-(G325/2-I325/1000)*(H325/2-I325/1000)-(H325/2-I325/1000)^2))</f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4" t="str">
        <f t="shared" si="8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4" t="str">
        <f t="shared" si="8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4" t="str">
        <f t="shared" si="8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4" t="str">
        <f t="shared" si="8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4" t="str">
        <f t="shared" si="8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4" t="str">
        <f t="shared" si="8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4" t="str">
        <f t="shared" si="8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4" t="str">
        <f t="shared" si="8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4" t="str">
        <f t="shared" si="8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4" t="str">
        <f t="shared" si="8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4" t="str">
        <f t="shared" si="8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4" t="str">
        <f t="shared" si="8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4" t="str">
        <f t="shared" si="8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4" t="str">
        <f t="shared" si="8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4" t="str">
        <f t="shared" si="8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4" t="str">
        <f t="shared" si="8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4" t="str">
        <f t="shared" si="8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4" t="str">
        <f t="shared" si="8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4" t="str">
        <f t="shared" si="8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4" t="str">
        <f t="shared" si="8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4" t="str">
        <f t="shared" si="8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4" t="str">
        <f t="shared" si="8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4" t="str">
        <f t="shared" si="8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4" t="str">
        <f t="shared" si="8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4" t="str">
        <f t="shared" si="8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4" t="str">
        <f t="shared" si="8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4" t="str">
        <f t="shared" si="8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4" t="str">
        <f t="shared" si="8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4" t="str">
        <f t="shared" si="8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4" t="str">
        <f t="shared" si="8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4" t="str">
        <f t="shared" si="8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4" t="str">
        <f t="shared" si="8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4" t="str">
        <f t="shared" si="8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4" t="str">
        <f t="shared" si="8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4" t="str">
        <f t="shared" si="8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4" t="str">
        <f t="shared" si="8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4" t="str">
        <f t="shared" si="8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4" t="str">
        <f t="shared" si="8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4" t="str">
        <f t="shared" si="8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4" t="str">
        <f t="shared" si="8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4" t="str">
        <f t="shared" si="8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4" t="str">
        <f t="shared" si="8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4" t="str">
        <f t="shared" si="8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4" t="str">
        <f t="shared" si="8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4" t="str">
        <f t="shared" si="8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4" t="str">
        <f t="shared" si="8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4" t="str">
        <f t="shared" si="8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4" t="str">
        <f t="shared" si="8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4" t="str">
        <f t="shared" si="8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4" t="str">
        <f t="shared" si="8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4" t="str">
        <f t="shared" si="8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4" t="str">
        <f t="shared" si="8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4" t="str">
        <f t="shared" si="8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4" t="str">
        <f t="shared" si="8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4" t="str">
        <f t="shared" si="8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4" t="str">
        <f t="shared" si="8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4" t="str">
        <f t="shared" si="8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4" t="str">
        <f t="shared" si="8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4" t="str">
        <f t="shared" si="8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4" t="str">
        <f t="shared" si="8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4" t="str">
        <f t="shared" si="8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4" t="str">
        <f t="shared" si="8"/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4" t="str">
        <f t="shared" si="8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4" t="str">
        <f t="shared" ref="J389:J452" si="9">IF(7850/1000*(1/3)*PI()*ABS(E389-F389)*((G389/2)^2+(G389/2)*(H389/2)+(H389/2)^2-(G389/2-I389/1000)^2-(G389/2-I389/1000)*(H389/2-I389/1000)-(H389/2-I389/1000)^2)=0,"",7850/1000*(1/3)*PI()*ABS(E389-F389)*((G389/2)^2+(G389/2)*(H389/2)+(H389/2)^2-(G389/2-I389/1000)^2-(G389/2-I389/1000)*(H389/2-I389/1000)-(H389/2-I389/1000)^2))</f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4" t="str">
        <f t="shared" si="9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4" t="str">
        <f t="shared" si="9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4" t="str">
        <f t="shared" si="9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4" t="str">
        <f t="shared" si="9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4" t="str">
        <f t="shared" si="9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4" t="str">
        <f t="shared" si="9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4" t="str">
        <f t="shared" si="9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4" t="str">
        <f t="shared" si="9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4" t="str">
        <f t="shared" si="9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4" t="str">
        <f t="shared" si="9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4" t="str">
        <f t="shared" si="9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4" t="str">
        <f t="shared" si="9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4" t="str">
        <f t="shared" si="9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4" t="str">
        <f t="shared" si="9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4" t="str">
        <f t="shared" si="9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4" t="str">
        <f t="shared" si="9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4" t="str">
        <f t="shared" si="9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4" t="str">
        <f t="shared" si="9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4" t="str">
        <f t="shared" si="9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4" t="str">
        <f t="shared" si="9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4" t="str">
        <f t="shared" si="9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4" t="str">
        <f t="shared" si="9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4" t="str">
        <f t="shared" si="9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4" t="str">
        <f t="shared" si="9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4" t="str">
        <f t="shared" si="9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4" t="str">
        <f t="shared" si="9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4" t="str">
        <f t="shared" si="9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4" t="str">
        <f t="shared" si="9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4" t="str">
        <f t="shared" si="9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4" t="str">
        <f t="shared" si="9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4" t="str">
        <f t="shared" si="9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4" t="str">
        <f t="shared" si="9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4" t="str">
        <f t="shared" si="9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4" t="str">
        <f t="shared" si="9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4" t="str">
        <f t="shared" si="9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4" t="str">
        <f t="shared" si="9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4" t="str">
        <f t="shared" si="9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4" t="str">
        <f t="shared" si="9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4" t="str">
        <f t="shared" si="9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4" t="str">
        <f t="shared" si="9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4" t="str">
        <f t="shared" si="9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4" t="str">
        <f t="shared" si="9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4" t="str">
        <f t="shared" si="9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4" t="str">
        <f t="shared" si="9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4" t="str">
        <f t="shared" si="9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4" t="str">
        <f t="shared" si="9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4" t="str">
        <f t="shared" si="9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4" t="str">
        <f t="shared" si="9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4" t="str">
        <f t="shared" si="9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4" t="str">
        <f t="shared" si="9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4" t="str">
        <f t="shared" si="9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4" t="str">
        <f t="shared" si="9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4" t="str">
        <f t="shared" si="9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4" t="str">
        <f t="shared" si="9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4" t="str">
        <f t="shared" si="9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4" t="str">
        <f t="shared" si="9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3">
      <c r="J446" s="54" t="str">
        <f t="shared" si="9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3">
      <c r="J447" s="54" t="str">
        <f t="shared" si="9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3">
      <c r="J448" s="54" t="str">
        <f t="shared" si="9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3">
      <c r="J449" s="54" t="str">
        <f t="shared" si="9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3">
      <c r="J450" s="54" t="str">
        <f t="shared" si="9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3">
      <c r="J451" s="54" t="str">
        <f t="shared" si="9"/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3">
      <c r="J452" s="54" t="str">
        <f t="shared" si="9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  <row r="453" spans="10:13" x14ac:dyDescent="0.3">
      <c r="J453" s="54" t="str">
        <f t="shared" ref="J453:J454" si="10">IF(7850/1000*(1/3)*PI()*ABS(E453-F453)*((G453/2)^2+(G453/2)*(H453/2)+(H453/2)^2-(G453/2-I453/1000)^2-(G453/2-I453/1000)*(H453/2-I453/1000)-(H453/2-I453/1000)^2)=0,"",7850/1000*(1/3)*PI()*ABS(E453-F453)*((G453/2)^2+(G453/2)*(H453/2)+(H453/2)^2-(G453/2-I453/1000)^2-(G453/2-I453/1000)*(H453/2-I453/1000)-(H453/2-I453/1000)^2))</f>
        <v/>
      </c>
      <c r="K453" s="54" t="str">
        <f>IFERROR(WHOLE_STRUCTURE[[#This Row],[Bottom '[m']]]-WHOLE_STRUCTURE[[#This Row],[D, top '[m']]], "")</f>
        <v/>
      </c>
      <c r="L453" s="54" t="str">
        <f>IFERROR(-(WHOLE_STRUCTURE[[#This Row],[D, bottom '[m']]]-WHOLE_STRUCTURE[[#This Row],[D, top '[m']]])/(WHOLE_STRUCTURE[[#This Row],[Bottom '[m']]]-WHOLE_STRUCTURE[[#This Row],[Top '[m']]]),"")</f>
        <v/>
      </c>
      <c r="M453" s="54" t="str">
        <f>IFERROR((WHOLE_STRUCTURE[[#This Row],[D, bottom '[m']]]+WHOLE_STRUCTURE[[#This Row],[D, top '[m']]])/(2*WHOLE_STRUCTURE[[#This Row],[t '[mm']]]/1000),"")</f>
        <v/>
      </c>
    </row>
    <row r="454" spans="10:13" x14ac:dyDescent="0.3">
      <c r="J454" s="54" t="str">
        <f t="shared" si="10"/>
        <v/>
      </c>
      <c r="K454" s="54" t="str">
        <f>IFERROR(WHOLE_STRUCTURE[[#This Row],[Bottom '[m']]]-WHOLE_STRUCTURE[[#This Row],[D, top '[m']]], "")</f>
        <v/>
      </c>
      <c r="L454" s="54" t="str">
        <f>IFERROR(-(WHOLE_STRUCTURE[[#This Row],[D, bottom '[m']]]-WHOLE_STRUCTURE[[#This Row],[D, top '[m']]])/(WHOLE_STRUCTURE[[#This Row],[Bottom '[m']]]-WHOLE_STRUCTURE[[#This Row],[Top '[m']]]),"")</f>
        <v/>
      </c>
      <c r="M454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phoneticPr fontId="10" type="noConversion"/>
  <dataValidations disablePrompts="1" count="1">
    <dataValidation type="list" allowBlank="1" showInputMessage="1" showErrorMessage="1" sqref="L4" xr:uid="{E92DA31F-A847-4B55-AB93-5ACCFB45CDD5}">
      <formula1>$Q$22:$Q$35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F59"/>
  <sheetViews>
    <sheetView topLeftCell="A5" zoomScale="85" zoomScaleNormal="85" workbookViewId="0">
      <selection activeCell="E35" sqref="E35"/>
    </sheetView>
  </sheetViews>
  <sheetFormatPr baseColWidth="10" defaultRowHeight="14.4" x14ac:dyDescent="0.3"/>
  <cols>
    <col min="2" max="2" width="41.6640625" customWidth="1"/>
    <col min="3" max="3" width="39.88671875" customWidth="1"/>
    <col min="5" max="5" width="22.5546875" customWidth="1"/>
    <col min="6" max="6" width="19.5546875" customWidth="1"/>
  </cols>
  <sheetData>
    <row r="2" spans="2:5" ht="31.2" x14ac:dyDescent="0.6">
      <c r="B2" s="68" t="s">
        <v>56</v>
      </c>
      <c r="C2" s="68"/>
    </row>
    <row r="5" spans="2:5" ht="18" customHeight="1" x14ac:dyDescent="0.3"/>
    <row r="6" spans="2:5" x14ac:dyDescent="0.3">
      <c r="B6" t="s">
        <v>271</v>
      </c>
    </row>
    <row r="8" spans="2:5" x14ac:dyDescent="0.3">
      <c r="B8" s="78" t="s">
        <v>157</v>
      </c>
      <c r="C8" s="78"/>
    </row>
    <row r="9" spans="2:5" x14ac:dyDescent="0.3">
      <c r="B9" t="s">
        <v>27</v>
      </c>
      <c r="C9" t="s">
        <v>19</v>
      </c>
      <c r="D9" t="s">
        <v>117</v>
      </c>
      <c r="E9" s="95" t="s">
        <v>116</v>
      </c>
    </row>
    <row r="10" spans="2:5" x14ac:dyDescent="0.3">
      <c r="B10" t="s">
        <v>113</v>
      </c>
      <c r="C10" t="s">
        <v>125</v>
      </c>
      <c r="D10" t="s">
        <v>84</v>
      </c>
      <c r="E10" s="84" t="s">
        <v>114</v>
      </c>
    </row>
    <row r="11" spans="2:5" x14ac:dyDescent="0.3">
      <c r="B11" t="s">
        <v>115</v>
      </c>
      <c r="D11" t="s">
        <v>118</v>
      </c>
      <c r="E11" s="96">
        <v>210000000000</v>
      </c>
    </row>
    <row r="12" spans="2:5" x14ac:dyDescent="0.3">
      <c r="B12" t="s">
        <v>221</v>
      </c>
      <c r="D12" t="s">
        <v>119</v>
      </c>
      <c r="E12" s="84">
        <v>7850</v>
      </c>
    </row>
    <row r="13" spans="2:5" x14ac:dyDescent="0.3">
      <c r="B13" t="s">
        <v>120</v>
      </c>
      <c r="C13" t="s">
        <v>143</v>
      </c>
      <c r="D13" t="s">
        <v>121</v>
      </c>
      <c r="E13" s="85">
        <v>0.1</v>
      </c>
    </row>
    <row r="14" spans="2:5" x14ac:dyDescent="0.3">
      <c r="B14" t="s">
        <v>122</v>
      </c>
      <c r="C14" t="s">
        <v>142</v>
      </c>
      <c r="D14" t="s">
        <v>123</v>
      </c>
      <c r="E14" s="84">
        <v>5</v>
      </c>
    </row>
    <row r="15" spans="2:5" x14ac:dyDescent="0.3">
      <c r="B15" t="s">
        <v>124</v>
      </c>
      <c r="C15" t="s">
        <v>143</v>
      </c>
      <c r="D15" t="s">
        <v>121</v>
      </c>
      <c r="E15" s="85">
        <v>0.5</v>
      </c>
    </row>
    <row r="16" spans="2:5" x14ac:dyDescent="0.3">
      <c r="B16" t="s">
        <v>136</v>
      </c>
      <c r="D16" s="55" t="s">
        <v>132</v>
      </c>
      <c r="E16" s="84">
        <v>0.1</v>
      </c>
    </row>
    <row r="18" spans="2:6" x14ac:dyDescent="0.3">
      <c r="B18" t="s">
        <v>194</v>
      </c>
      <c r="F18" t="s">
        <v>195</v>
      </c>
    </row>
    <row r="20" spans="2:6" x14ac:dyDescent="0.3">
      <c r="B20" s="78" t="s">
        <v>158</v>
      </c>
      <c r="C20" s="78" t="s">
        <v>19</v>
      </c>
      <c r="D20" s="78" t="s">
        <v>225</v>
      </c>
      <c r="E20" s="78" t="s">
        <v>193</v>
      </c>
      <c r="F20" s="78" t="s">
        <v>224</v>
      </c>
    </row>
    <row r="21" spans="2:6" x14ac:dyDescent="0.3">
      <c r="B21" t="s">
        <v>196</v>
      </c>
      <c r="C21" t="s">
        <v>212</v>
      </c>
      <c r="D21" s="94" t="s">
        <v>84</v>
      </c>
      <c r="E21" s="94" t="s">
        <v>198</v>
      </c>
      <c r="F21" s="94"/>
    </row>
    <row r="22" spans="2:6" x14ac:dyDescent="0.3">
      <c r="B22" t="s">
        <v>197</v>
      </c>
      <c r="C22" t="s">
        <v>211</v>
      </c>
      <c r="D22" s="94" t="s">
        <v>84</v>
      </c>
      <c r="E22" s="94" t="s">
        <v>199</v>
      </c>
      <c r="F22" s="94"/>
    </row>
    <row r="23" spans="2:6" x14ac:dyDescent="0.3">
      <c r="B23" t="s">
        <v>159</v>
      </c>
      <c r="D23" s="94" t="s">
        <v>84</v>
      </c>
      <c r="E23" s="94" t="s">
        <v>200</v>
      </c>
      <c r="F23" s="94"/>
    </row>
    <row r="24" spans="2:6" x14ac:dyDescent="0.3">
      <c r="B24" t="s">
        <v>160</v>
      </c>
      <c r="D24" s="94" t="s">
        <v>84</v>
      </c>
      <c r="E24" s="94" t="s">
        <v>201</v>
      </c>
      <c r="F24" s="94"/>
    </row>
    <row r="25" spans="2:6" x14ac:dyDescent="0.3">
      <c r="B25" t="s">
        <v>161</v>
      </c>
      <c r="D25" s="94" t="s">
        <v>84</v>
      </c>
      <c r="E25" s="94" t="s">
        <v>202</v>
      </c>
      <c r="F25" s="94"/>
    </row>
    <row r="26" spans="2:6" x14ac:dyDescent="0.3">
      <c r="B26" t="s">
        <v>162</v>
      </c>
      <c r="D26" s="94" t="s">
        <v>84</v>
      </c>
      <c r="E26" s="94" t="s">
        <v>203</v>
      </c>
      <c r="F26" s="94"/>
    </row>
    <row r="27" spans="2:6" x14ac:dyDescent="0.3">
      <c r="B27" t="s">
        <v>163</v>
      </c>
      <c r="D27" s="94" t="s">
        <v>84</v>
      </c>
      <c r="E27" s="94" t="s">
        <v>204</v>
      </c>
      <c r="F27" s="94"/>
    </row>
    <row r="28" spans="2:6" x14ac:dyDescent="0.3">
      <c r="B28" t="s">
        <v>164</v>
      </c>
      <c r="D28" s="94" t="s">
        <v>84</v>
      </c>
      <c r="E28" s="94" t="s">
        <v>205</v>
      </c>
      <c r="F28" s="94"/>
    </row>
    <row r="29" spans="2:6" x14ac:dyDescent="0.3">
      <c r="B29" t="s">
        <v>165</v>
      </c>
      <c r="D29" s="94" t="s">
        <v>84</v>
      </c>
      <c r="E29" s="94">
        <v>501</v>
      </c>
      <c r="F29" s="94"/>
    </row>
    <row r="30" spans="2:6" x14ac:dyDescent="0.3">
      <c r="B30" t="s">
        <v>166</v>
      </c>
      <c r="D30" t="s">
        <v>229</v>
      </c>
      <c r="E30" s="94">
        <v>4630000000</v>
      </c>
      <c r="F30" s="94"/>
    </row>
    <row r="31" spans="2:6" x14ac:dyDescent="0.3">
      <c r="B31" t="s">
        <v>167</v>
      </c>
      <c r="D31" t="s">
        <v>229</v>
      </c>
      <c r="E31" s="94">
        <v>900000000000</v>
      </c>
      <c r="F31" s="94"/>
    </row>
    <row r="32" spans="2:6" x14ac:dyDescent="0.3">
      <c r="B32" t="s">
        <v>168</v>
      </c>
      <c r="D32" t="s">
        <v>229</v>
      </c>
      <c r="E32" s="94">
        <v>-46200000000</v>
      </c>
      <c r="F32" s="94"/>
    </row>
    <row r="33" spans="2:6" x14ac:dyDescent="0.3">
      <c r="B33" t="s">
        <v>169</v>
      </c>
      <c r="D33" t="s">
        <v>230</v>
      </c>
      <c r="E33" s="94">
        <v>170000</v>
      </c>
      <c r="F33" s="94"/>
    </row>
    <row r="34" spans="2:6" x14ac:dyDescent="0.3">
      <c r="B34" t="s">
        <v>170</v>
      </c>
      <c r="D34" t="s">
        <v>230</v>
      </c>
      <c r="E34" s="94">
        <v>360000000</v>
      </c>
      <c r="F34" s="94"/>
    </row>
    <row r="35" spans="2:6" x14ac:dyDescent="0.3">
      <c r="B35" t="s">
        <v>171</v>
      </c>
      <c r="D35" t="s">
        <v>230</v>
      </c>
      <c r="E35" s="94">
        <v>0</v>
      </c>
      <c r="F35" s="94"/>
    </row>
    <row r="36" spans="2:6" x14ac:dyDescent="0.3">
      <c r="B36" t="s">
        <v>172</v>
      </c>
      <c r="D36" s="94"/>
      <c r="E36" s="94">
        <v>2</v>
      </c>
      <c r="F36" s="94"/>
    </row>
    <row r="37" spans="2:6" x14ac:dyDescent="0.3">
      <c r="B37" t="s">
        <v>234</v>
      </c>
      <c r="D37" s="94"/>
      <c r="E37" s="94">
        <v>10</v>
      </c>
      <c r="F37" s="94"/>
    </row>
    <row r="38" spans="2:6" x14ac:dyDescent="0.3">
      <c r="B38" t="s">
        <v>173</v>
      </c>
      <c r="D38" s="94" t="s">
        <v>230</v>
      </c>
      <c r="E38" s="94">
        <v>1</v>
      </c>
      <c r="F38" s="94"/>
    </row>
    <row r="39" spans="2:6" x14ac:dyDescent="0.3">
      <c r="B39" t="s">
        <v>174</v>
      </c>
      <c r="D39" s="94" t="s">
        <v>231</v>
      </c>
      <c r="E39" s="94">
        <v>1027</v>
      </c>
      <c r="F39" s="94"/>
    </row>
    <row r="40" spans="2:6" x14ac:dyDescent="0.3">
      <c r="B40" t="s">
        <v>214</v>
      </c>
      <c r="C40" t="s">
        <v>210</v>
      </c>
      <c r="D40" s="94" t="s">
        <v>132</v>
      </c>
      <c r="E40" s="94" t="s">
        <v>206</v>
      </c>
      <c r="F40" s="94" t="s">
        <v>222</v>
      </c>
    </row>
    <row r="41" spans="2:6" x14ac:dyDescent="0.3">
      <c r="B41" t="s">
        <v>215</v>
      </c>
      <c r="C41" t="s">
        <v>210</v>
      </c>
      <c r="D41" s="94" t="s">
        <v>132</v>
      </c>
      <c r="E41" s="94" t="s">
        <v>206</v>
      </c>
      <c r="F41" s="94"/>
    </row>
    <row r="42" spans="2:6" x14ac:dyDescent="0.3">
      <c r="B42" t="s">
        <v>175</v>
      </c>
      <c r="D42" s="94" t="s">
        <v>231</v>
      </c>
      <c r="E42" s="94">
        <v>1325</v>
      </c>
      <c r="F42" s="94"/>
    </row>
    <row r="43" spans="2:6" x14ac:dyDescent="0.3">
      <c r="B43" t="s">
        <v>176</v>
      </c>
      <c r="D43" s="94"/>
      <c r="E43" s="94">
        <v>2</v>
      </c>
      <c r="F43" s="94"/>
    </row>
    <row r="44" spans="2:6" x14ac:dyDescent="0.3">
      <c r="B44" t="s">
        <v>177</v>
      </c>
      <c r="D44" s="94"/>
      <c r="E44" s="94">
        <v>300</v>
      </c>
      <c r="F44" s="94"/>
    </row>
    <row r="45" spans="2:6" x14ac:dyDescent="0.3">
      <c r="B45" t="s">
        <v>178</v>
      </c>
      <c r="D45" s="94"/>
      <c r="E45" s="94">
        <v>10</v>
      </c>
      <c r="F45" s="94"/>
    </row>
    <row r="46" spans="2:6" x14ac:dyDescent="0.3">
      <c r="B46" t="s">
        <v>179</v>
      </c>
      <c r="D46" s="94" t="s">
        <v>222</v>
      </c>
      <c r="E46" s="94">
        <v>7.4999999999999997E-3</v>
      </c>
      <c r="F46" s="94"/>
    </row>
    <row r="47" spans="2:6" x14ac:dyDescent="0.3">
      <c r="B47" t="s">
        <v>180</v>
      </c>
      <c r="D47" s="94" t="s">
        <v>222</v>
      </c>
      <c r="E47" s="94">
        <v>6.4000000000000003E-3</v>
      </c>
      <c r="F47" s="94"/>
    </row>
    <row r="48" spans="2:6" x14ac:dyDescent="0.3">
      <c r="B48" t="s">
        <v>181</v>
      </c>
      <c r="D48" s="94" t="s">
        <v>232</v>
      </c>
      <c r="E48" s="94">
        <v>36</v>
      </c>
      <c r="F48" s="94"/>
    </row>
    <row r="49" spans="2:6" x14ac:dyDescent="0.3">
      <c r="B49" t="s">
        <v>184</v>
      </c>
      <c r="D49" s="94" t="s">
        <v>222</v>
      </c>
      <c r="E49" s="94">
        <v>5</v>
      </c>
      <c r="F49" s="94" t="s">
        <v>223</v>
      </c>
    </row>
    <row r="50" spans="2:6" x14ac:dyDescent="0.3">
      <c r="B50" t="s">
        <v>182</v>
      </c>
      <c r="D50" s="94" t="s">
        <v>222</v>
      </c>
      <c r="E50" s="94">
        <v>10000000</v>
      </c>
      <c r="F50" s="94"/>
    </row>
    <row r="51" spans="2:6" x14ac:dyDescent="0.3">
      <c r="B51" t="s">
        <v>183</v>
      </c>
      <c r="D51" s="94" t="s">
        <v>222</v>
      </c>
      <c r="E51" s="94">
        <v>0.89500000000000002</v>
      </c>
      <c r="F51" s="94"/>
    </row>
    <row r="52" spans="2:6" x14ac:dyDescent="0.3">
      <c r="B52" t="s">
        <v>185</v>
      </c>
      <c r="C52" t="s">
        <v>213</v>
      </c>
      <c r="D52" s="94" t="s">
        <v>132</v>
      </c>
      <c r="E52" s="94" t="s">
        <v>206</v>
      </c>
      <c r="F52" s="94"/>
    </row>
    <row r="53" spans="2:6" x14ac:dyDescent="0.3">
      <c r="B53" t="s">
        <v>186</v>
      </c>
      <c r="C53" t="s">
        <v>210</v>
      </c>
      <c r="D53" s="94" t="s">
        <v>132</v>
      </c>
      <c r="E53" s="94" t="s">
        <v>208</v>
      </c>
      <c r="F53" s="94">
        <v>140</v>
      </c>
    </row>
    <row r="54" spans="2:6" x14ac:dyDescent="0.3">
      <c r="B54" t="s">
        <v>187</v>
      </c>
      <c r="D54" s="94" t="s">
        <v>222</v>
      </c>
      <c r="E54" s="94">
        <v>0.11</v>
      </c>
      <c r="F54" s="94"/>
    </row>
    <row r="55" spans="2:6" x14ac:dyDescent="0.3">
      <c r="B55" t="s">
        <v>188</v>
      </c>
      <c r="D55" s="94" t="s">
        <v>233</v>
      </c>
      <c r="E55" s="94">
        <v>0</v>
      </c>
      <c r="F55" s="94"/>
    </row>
    <row r="56" spans="2:6" x14ac:dyDescent="0.3">
      <c r="B56" t="s">
        <v>189</v>
      </c>
      <c r="D56" s="94" t="s">
        <v>84</v>
      </c>
      <c r="E56" s="94">
        <v>0</v>
      </c>
      <c r="F56" s="94"/>
    </row>
    <row r="57" spans="2:6" x14ac:dyDescent="0.3">
      <c r="B57" t="s">
        <v>190</v>
      </c>
      <c r="D57" s="94" t="s">
        <v>84</v>
      </c>
      <c r="E57" s="94">
        <v>1</v>
      </c>
      <c r="F57" s="94"/>
    </row>
    <row r="58" spans="2:6" x14ac:dyDescent="0.3">
      <c r="B58" t="s">
        <v>191</v>
      </c>
      <c r="D58" s="94" t="s">
        <v>84</v>
      </c>
      <c r="E58" s="94" t="s">
        <v>209</v>
      </c>
      <c r="F58" s="94"/>
    </row>
    <row r="59" spans="2:6" x14ac:dyDescent="0.3">
      <c r="B59" t="s">
        <v>192</v>
      </c>
      <c r="C59" t="s">
        <v>226</v>
      </c>
      <c r="D59" s="94"/>
      <c r="E59" s="94" t="s">
        <v>217</v>
      </c>
      <c r="F59" s="94"/>
    </row>
  </sheetData>
  <protectedRanges>
    <protectedRange sqref="E16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1089660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DC024-A638-4354-88D7-EB2750888AC6}">
  <sheetPr codeName="Tabelle6"/>
  <dimension ref="B2:N59"/>
  <sheetViews>
    <sheetView zoomScale="85" zoomScaleNormal="85" workbookViewId="0">
      <selection activeCell="J29" sqref="J29"/>
    </sheetView>
  </sheetViews>
  <sheetFormatPr baseColWidth="10" defaultRowHeight="14.4" x14ac:dyDescent="0.3"/>
  <cols>
    <col min="2" max="2" width="53.77734375" customWidth="1"/>
    <col min="3" max="3" width="25.44140625" customWidth="1"/>
    <col min="4" max="5" width="16.109375" customWidth="1"/>
    <col min="6" max="6" width="12.33203125" customWidth="1"/>
    <col min="7" max="7" width="16" customWidth="1"/>
    <col min="8" max="8" width="17.44140625" customWidth="1"/>
    <col min="9" max="9" width="16.5546875" customWidth="1"/>
    <col min="10" max="10" width="26.109375" customWidth="1"/>
    <col min="11" max="11" width="25.6640625" customWidth="1"/>
    <col min="12" max="12" width="21.44140625" customWidth="1"/>
    <col min="13" max="13" width="61.5546875" customWidth="1"/>
  </cols>
  <sheetData>
    <row r="2" spans="2:14" ht="31.2" x14ac:dyDescent="0.6">
      <c r="B2" s="68" t="s">
        <v>238</v>
      </c>
      <c r="C2" s="68"/>
    </row>
    <row r="5" spans="2:14" ht="18" customHeight="1" x14ac:dyDescent="0.3"/>
    <row r="6" spans="2:14" x14ac:dyDescent="0.3">
      <c r="B6" t="s">
        <v>268</v>
      </c>
    </row>
    <row r="8" spans="2:14" x14ac:dyDescent="0.3">
      <c r="B8" s="95" t="s">
        <v>245</v>
      </c>
      <c r="C8" s="107" t="s">
        <v>94</v>
      </c>
      <c r="D8" s="130" t="s">
        <v>272</v>
      </c>
      <c r="E8" t="s">
        <v>105</v>
      </c>
      <c r="F8" t="s">
        <v>104</v>
      </c>
      <c r="G8" t="s">
        <v>96</v>
      </c>
      <c r="H8" t="s">
        <v>239</v>
      </c>
      <c r="I8" t="s">
        <v>240</v>
      </c>
      <c r="J8" t="s">
        <v>241</v>
      </c>
      <c r="K8" t="s">
        <v>243</v>
      </c>
      <c r="L8" t="s">
        <v>242</v>
      </c>
    </row>
    <row r="9" spans="2:14" x14ac:dyDescent="0.3">
      <c r="B9" s="129" t="s">
        <v>246</v>
      </c>
      <c r="C9" s="55" t="s">
        <v>92</v>
      </c>
      <c r="D9" s="55" t="s">
        <v>101</v>
      </c>
      <c r="E9" s="55">
        <v>20.100000000000001</v>
      </c>
      <c r="F9" s="55">
        <v>20.100000000000001</v>
      </c>
      <c r="G9" s="55">
        <v>20000</v>
      </c>
      <c r="H9" s="55"/>
      <c r="I9" s="55"/>
      <c r="J9" s="55"/>
      <c r="K9" s="55"/>
      <c r="L9" s="55"/>
    </row>
    <row r="10" spans="2:14" x14ac:dyDescent="0.3">
      <c r="B10" s="129" t="s">
        <v>246</v>
      </c>
      <c r="C10" s="55" t="s">
        <v>92</v>
      </c>
      <c r="D10" s="55" t="s">
        <v>102</v>
      </c>
      <c r="E10" s="55">
        <v>14</v>
      </c>
      <c r="F10" s="55">
        <v>14</v>
      </c>
      <c r="G10" s="55">
        <v>5000</v>
      </c>
      <c r="H10" s="55"/>
      <c r="I10" s="55"/>
      <c r="J10" s="55"/>
      <c r="K10" s="55"/>
      <c r="L10" s="55"/>
    </row>
    <row r="11" spans="2:14" x14ac:dyDescent="0.3">
      <c r="B11" s="129" t="s">
        <v>246</v>
      </c>
      <c r="C11" s="55" t="s">
        <v>92</v>
      </c>
      <c r="D11" s="55" t="s">
        <v>263</v>
      </c>
      <c r="E11" s="55">
        <v>11</v>
      </c>
      <c r="F11" s="55">
        <v>11</v>
      </c>
      <c r="G11" s="55">
        <v>1</v>
      </c>
      <c r="H11" s="55"/>
      <c r="I11" s="55"/>
      <c r="J11" s="55"/>
      <c r="K11" s="55"/>
      <c r="L11" s="55"/>
    </row>
    <row r="12" spans="2:14" x14ac:dyDescent="0.3">
      <c r="B12" s="129" t="s">
        <v>246</v>
      </c>
      <c r="C12" s="55" t="s">
        <v>92</v>
      </c>
      <c r="D12" s="55" t="s">
        <v>103</v>
      </c>
      <c r="E12" s="55">
        <v>6.1</v>
      </c>
      <c r="F12" s="55">
        <v>6.1</v>
      </c>
      <c r="G12" s="55">
        <v>200</v>
      </c>
      <c r="H12" s="55"/>
      <c r="I12" s="55"/>
      <c r="J12" s="55"/>
      <c r="K12" s="55"/>
      <c r="L12" s="55"/>
    </row>
    <row r="13" spans="2:14" x14ac:dyDescent="0.3">
      <c r="B13" s="129" t="s">
        <v>246</v>
      </c>
      <c r="C13" s="55" t="s">
        <v>92</v>
      </c>
      <c r="D13" s="55" t="s">
        <v>97</v>
      </c>
      <c r="E13" s="55">
        <v>5.6</v>
      </c>
      <c r="F13" s="55">
        <v>5.6</v>
      </c>
      <c r="G13" s="55">
        <v>60000</v>
      </c>
      <c r="H13" s="55"/>
      <c r="I13" s="55"/>
      <c r="J13" s="55"/>
      <c r="K13" s="55"/>
      <c r="L13" s="55"/>
    </row>
    <row r="14" spans="2:14" x14ac:dyDescent="0.3">
      <c r="B14" s="129" t="s">
        <v>246</v>
      </c>
      <c r="C14" s="55" t="s">
        <v>69</v>
      </c>
      <c r="D14" s="55" t="s">
        <v>97</v>
      </c>
      <c r="E14" s="55">
        <v>5.6</v>
      </c>
      <c r="F14" s="55">
        <v>5.6</v>
      </c>
      <c r="G14" s="55">
        <v>60000</v>
      </c>
      <c r="H14" s="55"/>
      <c r="I14" s="55"/>
      <c r="J14" s="55"/>
      <c r="K14" s="55"/>
      <c r="L14" s="55"/>
    </row>
    <row r="15" spans="2:14" x14ac:dyDescent="0.3">
      <c r="B15" s="129" t="s">
        <v>246</v>
      </c>
      <c r="C15" s="55" t="s">
        <v>69</v>
      </c>
      <c r="D15" s="55" t="s">
        <v>98</v>
      </c>
      <c r="E15" s="55">
        <v>4.2</v>
      </c>
      <c r="F15" s="55">
        <v>4.2</v>
      </c>
      <c r="G15" s="55">
        <v>9000</v>
      </c>
      <c r="H15" s="55"/>
      <c r="I15" s="55"/>
      <c r="J15" s="55"/>
      <c r="K15" s="55"/>
      <c r="L15" s="55"/>
      <c r="M15" s="94"/>
      <c r="N15" s="94"/>
    </row>
    <row r="16" spans="2:14" x14ac:dyDescent="0.3">
      <c r="B16" s="129" t="s">
        <v>246</v>
      </c>
      <c r="C16" s="55" t="s">
        <v>69</v>
      </c>
      <c r="D16" s="55" t="s">
        <v>99</v>
      </c>
      <c r="E16" s="98">
        <v>2</v>
      </c>
      <c r="F16" s="98">
        <v>2</v>
      </c>
      <c r="G16" s="98">
        <v>80000</v>
      </c>
      <c r="H16" s="55"/>
      <c r="I16" s="55"/>
      <c r="J16" s="55"/>
      <c r="K16" s="55"/>
      <c r="L16" s="55"/>
      <c r="M16" s="94"/>
    </row>
    <row r="17" spans="2:13" x14ac:dyDescent="0.3">
      <c r="B17" s="129" t="s">
        <v>274</v>
      </c>
      <c r="C17" s="55" t="s">
        <v>92</v>
      </c>
      <c r="D17" s="55" t="s">
        <v>95</v>
      </c>
      <c r="E17" s="99"/>
      <c r="F17" s="99">
        <v>19.5</v>
      </c>
      <c r="G17" s="99">
        <v>5000</v>
      </c>
      <c r="H17" s="55">
        <v>1</v>
      </c>
      <c r="I17" s="55">
        <v>2</v>
      </c>
      <c r="J17" s="55">
        <v>3</v>
      </c>
      <c r="K17" s="55">
        <v>5</v>
      </c>
      <c r="L17" s="55">
        <v>5</v>
      </c>
      <c r="M17" s="94"/>
    </row>
    <row r="18" spans="2:13" x14ac:dyDescent="0.3"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</row>
    <row r="19" spans="2:13" x14ac:dyDescent="0.3"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</row>
    <row r="20" spans="2:13" x14ac:dyDescent="0.3">
      <c r="B20" s="78"/>
      <c r="C20" s="78"/>
      <c r="D20" s="78"/>
      <c r="F20" s="94"/>
      <c r="G20" s="94"/>
      <c r="H20" s="94"/>
      <c r="I20" s="94"/>
      <c r="J20" s="94"/>
      <c r="K20" s="94"/>
      <c r="L20" s="94"/>
      <c r="M20" s="94"/>
    </row>
    <row r="21" spans="2:13" x14ac:dyDescent="0.3">
      <c r="D21" s="94"/>
      <c r="E21" s="94"/>
      <c r="F21" s="94"/>
      <c r="G21" s="94"/>
      <c r="H21" s="94"/>
      <c r="I21" s="94"/>
      <c r="J21" s="94"/>
      <c r="K21" s="94"/>
      <c r="L21" s="94"/>
      <c r="M21" s="94"/>
    </row>
    <row r="22" spans="2:13" x14ac:dyDescent="0.3">
      <c r="D22" s="94"/>
      <c r="E22" s="94"/>
      <c r="F22" s="94"/>
      <c r="G22" s="94"/>
      <c r="H22" s="94"/>
      <c r="I22" s="94"/>
      <c r="J22" s="94"/>
      <c r="K22" s="94"/>
      <c r="L22" s="94"/>
      <c r="M22" s="94"/>
    </row>
    <row r="23" spans="2:13" x14ac:dyDescent="0.3">
      <c r="D23" s="94"/>
      <c r="E23" s="94"/>
      <c r="F23" s="94"/>
      <c r="G23" s="94"/>
      <c r="H23" s="94"/>
      <c r="I23" s="94"/>
      <c r="J23" s="94"/>
      <c r="K23" s="94"/>
      <c r="L23" s="94"/>
      <c r="M23" s="94"/>
    </row>
    <row r="24" spans="2:13" x14ac:dyDescent="0.3">
      <c r="D24" s="94"/>
      <c r="E24" s="94"/>
      <c r="F24" s="94"/>
      <c r="G24" s="94"/>
      <c r="H24" s="94"/>
      <c r="I24" s="94"/>
      <c r="J24" s="94"/>
      <c r="K24" s="94"/>
      <c r="L24" s="94"/>
      <c r="M24" s="94"/>
    </row>
    <row r="25" spans="2:13" x14ac:dyDescent="0.3">
      <c r="D25" s="94"/>
      <c r="E25" s="94"/>
      <c r="F25" s="94"/>
      <c r="G25" s="94"/>
      <c r="H25" s="94"/>
      <c r="I25" s="94"/>
      <c r="J25" s="94"/>
      <c r="K25" s="94" t="s">
        <v>244</v>
      </c>
      <c r="L25" s="94"/>
      <c r="M25" s="94"/>
    </row>
    <row r="26" spans="2:13" x14ac:dyDescent="0.3">
      <c r="D26" s="94"/>
      <c r="E26" s="94"/>
      <c r="F26" s="94"/>
      <c r="G26" s="94"/>
      <c r="H26" s="94"/>
      <c r="I26" s="94"/>
      <c r="J26" s="94"/>
      <c r="K26" s="94"/>
      <c r="L26" s="94"/>
      <c r="M26" s="94"/>
    </row>
    <row r="27" spans="2:13" x14ac:dyDescent="0.3">
      <c r="G27" s="94"/>
      <c r="H27" s="94"/>
      <c r="I27" s="94"/>
      <c r="J27" s="94"/>
      <c r="K27" s="94"/>
      <c r="L27" s="94"/>
      <c r="M27" s="94"/>
    </row>
    <row r="28" spans="2:13" x14ac:dyDescent="0.3">
      <c r="D28" s="94"/>
      <c r="E28" s="94"/>
      <c r="F28" s="94"/>
      <c r="G28" s="94"/>
      <c r="H28" s="94"/>
      <c r="I28" s="94"/>
      <c r="J28" s="94"/>
      <c r="K28" s="94"/>
      <c r="L28" s="94"/>
      <c r="M28" s="94"/>
    </row>
    <row r="29" spans="2:13" x14ac:dyDescent="0.3">
      <c r="C29" s="94"/>
      <c r="E29" s="94"/>
      <c r="G29" s="94"/>
      <c r="H29" s="94"/>
      <c r="I29" s="94"/>
      <c r="J29" s="94"/>
      <c r="K29" s="94"/>
      <c r="L29" s="94"/>
      <c r="M29" s="94"/>
    </row>
    <row r="30" spans="2:13" x14ac:dyDescent="0.3">
      <c r="C30" s="94"/>
      <c r="E30" s="94"/>
      <c r="G30" s="94"/>
      <c r="H30" s="94"/>
      <c r="I30" s="94"/>
      <c r="J30" s="94"/>
      <c r="K30" s="94"/>
      <c r="L30" s="94"/>
      <c r="M30" s="94"/>
    </row>
    <row r="31" spans="2:13" x14ac:dyDescent="0.3">
      <c r="C31" s="94"/>
      <c r="E31" s="94"/>
      <c r="G31" s="94"/>
      <c r="H31" s="94"/>
      <c r="I31" s="94"/>
      <c r="J31" s="94"/>
      <c r="K31" s="94"/>
      <c r="L31" s="94"/>
      <c r="M31" s="94"/>
    </row>
    <row r="32" spans="2:13" x14ac:dyDescent="0.3">
      <c r="C32" s="94"/>
      <c r="E32" s="94"/>
      <c r="G32" s="94"/>
      <c r="H32" s="94"/>
      <c r="I32" s="94"/>
      <c r="J32" s="94"/>
      <c r="K32" s="94"/>
      <c r="L32" s="94"/>
      <c r="M32" s="94"/>
    </row>
    <row r="33" spans="3:13" x14ac:dyDescent="0.3">
      <c r="C33" s="94"/>
      <c r="E33" s="94"/>
      <c r="G33" s="94"/>
      <c r="H33" s="94"/>
      <c r="I33" s="94"/>
      <c r="J33" s="94"/>
      <c r="K33" s="94"/>
      <c r="L33" s="94"/>
      <c r="M33" s="94"/>
    </row>
    <row r="34" spans="3:13" x14ac:dyDescent="0.3">
      <c r="C34" s="94"/>
      <c r="E34" s="94"/>
      <c r="G34" s="94"/>
      <c r="H34" s="94"/>
      <c r="I34" s="94"/>
      <c r="J34" s="94"/>
      <c r="K34" s="94"/>
      <c r="L34" s="94"/>
      <c r="M34" s="94"/>
    </row>
    <row r="35" spans="3:13" x14ac:dyDescent="0.3">
      <c r="C35" s="94"/>
      <c r="E35" s="94"/>
      <c r="G35" s="94"/>
      <c r="H35" s="94"/>
      <c r="I35" s="94"/>
      <c r="J35" s="94"/>
      <c r="K35" s="94"/>
      <c r="L35" s="94"/>
      <c r="M35" s="94"/>
    </row>
    <row r="36" spans="3:13" x14ac:dyDescent="0.3">
      <c r="C36" s="94"/>
      <c r="E36" s="94"/>
      <c r="G36" s="94"/>
      <c r="H36" s="94"/>
      <c r="I36" s="94"/>
      <c r="J36" s="94"/>
      <c r="K36" s="94"/>
      <c r="L36" s="94"/>
      <c r="M36" s="94"/>
    </row>
    <row r="37" spans="3:13" x14ac:dyDescent="0.3">
      <c r="C37" s="94"/>
      <c r="E37" s="94"/>
      <c r="G37" s="94"/>
      <c r="H37" s="94"/>
      <c r="I37" s="94"/>
      <c r="J37" s="94"/>
      <c r="K37" s="94"/>
      <c r="L37" s="94"/>
      <c r="M37" s="94"/>
    </row>
    <row r="38" spans="3:13" x14ac:dyDescent="0.3">
      <c r="C38" s="94"/>
      <c r="E38" s="94"/>
      <c r="G38" s="94"/>
      <c r="H38" s="94"/>
      <c r="I38" s="94"/>
      <c r="J38" s="94"/>
      <c r="K38" s="94"/>
      <c r="L38" s="94"/>
      <c r="M38" s="94"/>
    </row>
    <row r="39" spans="3:13" x14ac:dyDescent="0.3">
      <c r="C39" s="94"/>
      <c r="E39" s="94"/>
      <c r="G39" s="94"/>
      <c r="H39" s="94"/>
      <c r="I39" s="94"/>
      <c r="J39" s="94"/>
      <c r="K39" s="94"/>
      <c r="L39" s="94"/>
      <c r="M39" s="94"/>
    </row>
    <row r="40" spans="3:13" x14ac:dyDescent="0.3">
      <c r="C40" s="94"/>
      <c r="E40" s="94"/>
      <c r="G40" s="94"/>
      <c r="H40" s="94"/>
      <c r="I40" s="94"/>
      <c r="J40" s="94"/>
      <c r="K40" s="94"/>
      <c r="L40" s="94"/>
      <c r="M40" s="94"/>
    </row>
    <row r="41" spans="3:13" x14ac:dyDescent="0.3">
      <c r="C41" s="94"/>
      <c r="E41" s="94"/>
      <c r="G41" s="94"/>
      <c r="H41" s="94"/>
      <c r="I41" s="94"/>
      <c r="J41" s="94"/>
      <c r="K41" s="94"/>
      <c r="L41" s="94"/>
      <c r="M41" s="94"/>
    </row>
    <row r="42" spans="3:13" x14ac:dyDescent="0.3">
      <c r="D42" s="94"/>
      <c r="E42" s="94"/>
      <c r="F42" s="94"/>
      <c r="G42" s="94"/>
      <c r="H42" s="94"/>
      <c r="I42" s="94"/>
      <c r="J42" s="94"/>
      <c r="K42" s="94"/>
      <c r="L42" s="94"/>
      <c r="M42" s="94"/>
    </row>
    <row r="43" spans="3:13" x14ac:dyDescent="0.3">
      <c r="D43" s="94"/>
      <c r="E43" s="94"/>
      <c r="F43" s="94"/>
      <c r="G43" s="94"/>
      <c r="H43" s="94"/>
      <c r="I43" s="94"/>
      <c r="J43" s="94"/>
      <c r="K43" s="94"/>
      <c r="L43" s="94"/>
      <c r="M43" s="94"/>
    </row>
    <row r="44" spans="3:13" x14ac:dyDescent="0.3">
      <c r="D44" s="94"/>
      <c r="E44" s="94"/>
      <c r="F44" s="94"/>
      <c r="G44" s="94"/>
      <c r="H44" s="94"/>
      <c r="I44" s="94"/>
      <c r="J44" s="94"/>
      <c r="K44" s="94"/>
      <c r="L44" s="94"/>
      <c r="M44" s="94"/>
    </row>
    <row r="45" spans="3:13" x14ac:dyDescent="0.3">
      <c r="D45" s="94"/>
      <c r="E45" s="94"/>
      <c r="F45" s="94"/>
      <c r="G45" s="94"/>
      <c r="H45" s="94"/>
      <c r="I45" s="94"/>
      <c r="J45" s="94"/>
      <c r="K45" s="94"/>
      <c r="L45" s="94"/>
      <c r="M45" s="94"/>
    </row>
    <row r="46" spans="3:13" x14ac:dyDescent="0.3">
      <c r="D46" s="94"/>
      <c r="E46" s="94"/>
      <c r="F46" s="94"/>
      <c r="G46" s="94"/>
      <c r="H46" s="94"/>
      <c r="I46" s="94"/>
      <c r="J46" s="94"/>
      <c r="K46" s="94"/>
      <c r="L46" s="94"/>
      <c r="M46" s="94"/>
    </row>
    <row r="47" spans="3:13" x14ac:dyDescent="0.3">
      <c r="D47" s="94"/>
      <c r="E47" s="94"/>
      <c r="F47" s="94"/>
      <c r="G47" s="94"/>
      <c r="H47" s="94"/>
      <c r="I47" s="94"/>
      <c r="J47" s="94"/>
      <c r="K47" s="94"/>
      <c r="L47" s="94"/>
      <c r="M47" s="94"/>
    </row>
    <row r="48" spans="3:13" x14ac:dyDescent="0.3">
      <c r="D48" s="94"/>
      <c r="E48" s="94"/>
      <c r="F48" s="94"/>
      <c r="G48" s="94"/>
      <c r="H48" s="94"/>
      <c r="I48" s="94"/>
      <c r="J48" s="94"/>
      <c r="K48" s="94"/>
      <c r="L48" s="94"/>
      <c r="M48" s="94"/>
    </row>
    <row r="49" spans="4:13" x14ac:dyDescent="0.3">
      <c r="D49" s="94"/>
      <c r="E49" s="94"/>
      <c r="F49" s="94"/>
      <c r="G49" s="94"/>
      <c r="H49" s="94"/>
      <c r="I49" s="94"/>
      <c r="J49" s="94"/>
      <c r="K49" s="94"/>
      <c r="L49" s="94"/>
      <c r="M49" s="94"/>
    </row>
    <row r="50" spans="4:13" x14ac:dyDescent="0.3">
      <c r="D50" s="94"/>
      <c r="E50" s="94"/>
      <c r="F50" s="94"/>
      <c r="G50" s="94"/>
      <c r="H50" s="94"/>
      <c r="I50" s="94"/>
      <c r="J50" s="94"/>
      <c r="K50" s="94"/>
      <c r="L50" s="94"/>
      <c r="M50" s="94"/>
    </row>
    <row r="51" spans="4:13" x14ac:dyDescent="0.3">
      <c r="D51" s="94"/>
      <c r="E51" s="94"/>
      <c r="F51" s="94"/>
      <c r="G51" s="94"/>
      <c r="H51" s="94"/>
      <c r="I51" s="94"/>
      <c r="J51" s="94"/>
      <c r="K51" s="94"/>
      <c r="L51" s="94"/>
      <c r="M51" s="94"/>
    </row>
    <row r="52" spans="4:13" x14ac:dyDescent="0.3">
      <c r="D52" s="94"/>
      <c r="E52" s="94"/>
    </row>
    <row r="53" spans="4:13" x14ac:dyDescent="0.3">
      <c r="D53" s="94"/>
      <c r="E53" s="94"/>
    </row>
    <row r="54" spans="4:13" x14ac:dyDescent="0.3">
      <c r="D54" s="94"/>
      <c r="E54" s="94"/>
    </row>
    <row r="55" spans="4:13" x14ac:dyDescent="0.3">
      <c r="D55" s="94"/>
      <c r="E55" s="94"/>
    </row>
    <row r="56" spans="4:13" x14ac:dyDescent="0.3">
      <c r="D56" s="94"/>
      <c r="E56" s="94"/>
    </row>
    <row r="57" spans="4:13" x14ac:dyDescent="0.3">
      <c r="D57" s="94"/>
      <c r="E57" s="94"/>
    </row>
    <row r="58" spans="4:13" x14ac:dyDescent="0.3">
      <c r="D58" s="94"/>
      <c r="E58" s="94"/>
    </row>
    <row r="59" spans="4:13" x14ac:dyDescent="0.3">
      <c r="D59" s="94"/>
      <c r="E59" s="94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elect_WLGen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ort_WLGen">
                <anchor moveWithCells="1" sizeWithCells="1">
                  <from>
                    <xdr:col>1</xdr:col>
                    <xdr:colOff>1089660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fill_WLGenMasses">
                <anchor moveWithCells="1" sizeWithCells="1">
                  <from>
                    <xdr:col>1</xdr:col>
                    <xdr:colOff>2156460</xdr:colOff>
                    <xdr:row>3</xdr:row>
                    <xdr:rowOff>167640</xdr:rowOff>
                  </from>
                  <to>
                    <xdr:col>2</xdr:col>
                    <xdr:colOff>1173480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34" sqref="B34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68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267</v>
      </c>
    </row>
    <row r="13" spans="2:4" ht="17.25" customHeight="1" x14ac:dyDescent="0.3">
      <c r="B13" s="49" t="s">
        <v>59</v>
      </c>
    </row>
    <row r="14" spans="2:4" ht="17.25" customHeight="1" x14ac:dyDescent="0.3">
      <c r="B14" s="49" t="s">
        <v>60</v>
      </c>
    </row>
    <row r="15" spans="2:4" ht="17.25" customHeight="1" x14ac:dyDescent="0.3">
      <c r="B15" s="49" t="s">
        <v>61</v>
      </c>
    </row>
    <row r="16" spans="2:4" ht="17.25" customHeight="1" x14ac:dyDescent="0.3">
      <c r="B16" s="49" t="s">
        <v>62</v>
      </c>
    </row>
    <row r="17" spans="2:2" ht="17.25" customHeight="1" x14ac:dyDescent="0.3">
      <c r="B17" s="49" t="s">
        <v>63</v>
      </c>
    </row>
    <row r="18" spans="2:2" ht="17.25" customHeight="1" x14ac:dyDescent="0.3">
      <c r="B18" s="49" t="s">
        <v>64</v>
      </c>
    </row>
    <row r="19" spans="2:2" ht="17.25" customHeight="1" x14ac:dyDescent="0.3">
      <c r="B19" s="49" t="s">
        <v>65</v>
      </c>
    </row>
    <row r="20" spans="2:2" ht="17.25" customHeight="1" x14ac:dyDescent="0.3">
      <c r="B20" s="49" t="s">
        <v>66</v>
      </c>
    </row>
    <row r="21" spans="2:2" ht="17.25" customHeight="1" x14ac:dyDescent="0.3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26</vt:i4>
      </vt:variant>
    </vt:vector>
  </HeadingPairs>
  <TitlesOfParts>
    <vt:vector size="33" baseType="lpstr">
      <vt:lpstr>GlobalConfig</vt:lpstr>
      <vt:lpstr>CreateStucture</vt:lpstr>
      <vt:lpstr>BuildYourStructure</vt:lpstr>
      <vt:lpstr>StructureOverview</vt:lpstr>
      <vt:lpstr>ExportStructure</vt:lpstr>
      <vt:lpstr>WLGen</vt:lpstr>
      <vt:lpstr>Loop</vt:lpstr>
      <vt:lpstr>DISPL_MP</vt:lpstr>
      <vt:lpstr>DISPL_TP</vt:lpstr>
      <vt:lpstr>Import_GeomConv_path</vt:lpstr>
      <vt:lpstr>Import_MP_path</vt:lpstr>
      <vt:lpstr>JBOOST_Path</vt:lpstr>
      <vt:lpstr>MOVE_STRUCT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2025-06-23T09:36:40Z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