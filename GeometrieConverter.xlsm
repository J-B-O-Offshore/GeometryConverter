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318E2C13-C26D-40E7-B7FB-D5ED68D03C28}" xr6:coauthVersionLast="47" xr6:coauthVersionMax="47" xr10:uidLastSave="{00000000-0000-0000-0000-000000000000}"/>
  <bookViews>
    <workbookView xWindow="-120" yWindow="-120" windowWidth="29040" windowHeight="17520" activeTab="2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script_path">GlobalConfig!$D$11</definedName>
    <definedName name="python_scripts_path">GlobalConfig!$D$11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6" l="1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13" i="5"/>
  <c r="CK138" i="5"/>
  <c r="CJ138" i="5"/>
  <c r="CK137" i="5"/>
  <c r="CJ137" i="5"/>
  <c r="CI137" i="5"/>
  <c r="CK136" i="5"/>
  <c r="CJ136" i="5"/>
  <c r="CI136" i="5"/>
  <c r="CK135" i="5"/>
  <c r="CJ135" i="5"/>
  <c r="CI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J113" i="5"/>
  <c r="CI113" i="5"/>
  <c r="CL112" i="5"/>
  <c r="CL111" i="5"/>
  <c r="CL110" i="5"/>
  <c r="CK110" i="5"/>
  <c r="CJ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U88" i="5"/>
  <c r="DU89" i="5"/>
  <c r="DU90" i="5"/>
  <c r="DU91" i="5"/>
  <c r="DU92" i="5"/>
  <c r="DU93" i="5"/>
  <c r="DU94" i="5"/>
  <c r="DU95" i="5"/>
  <c r="DU96" i="5"/>
  <c r="DU97" i="5"/>
  <c r="DU98" i="5"/>
  <c r="DU99" i="5"/>
  <c r="DU100" i="5"/>
  <c r="DU101" i="5"/>
  <c r="DU102" i="5"/>
  <c r="DU103" i="5"/>
  <c r="DU104" i="5"/>
  <c r="DU105" i="5"/>
  <c r="DU106" i="5"/>
  <c r="DU107" i="5"/>
  <c r="DU108" i="5"/>
  <c r="DU109" i="5"/>
  <c r="DU110" i="5"/>
  <c r="DU111" i="5"/>
  <c r="DU112" i="5"/>
  <c r="DU113" i="5"/>
  <c r="DU114" i="5"/>
  <c r="DU115" i="5"/>
  <c r="DU116" i="5"/>
  <c r="DU117" i="5"/>
  <c r="DU118" i="5"/>
  <c r="DU119" i="5"/>
  <c r="DU120" i="5"/>
  <c r="DU121" i="5"/>
  <c r="DU122" i="5"/>
  <c r="DU123" i="5"/>
  <c r="DU124" i="5"/>
  <c r="DU125" i="5"/>
  <c r="DU126" i="5"/>
  <c r="DU127" i="5"/>
  <c r="DU128" i="5"/>
  <c r="DU129" i="5"/>
  <c r="DU130" i="5"/>
  <c r="DU131" i="5"/>
  <c r="DU132" i="5"/>
  <c r="DU133" i="5"/>
  <c r="DU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21" i="5"/>
  <c r="AX121" i="5"/>
  <c r="AW121" i="5"/>
  <c r="AY120" i="5"/>
  <c r="AX120" i="5"/>
  <c r="AW120" i="5"/>
  <c r="AY119" i="5"/>
  <c r="AX119" i="5"/>
  <c r="AW119" i="5"/>
  <c r="AY118" i="5"/>
  <c r="AX118" i="5"/>
  <c r="AW118" i="5"/>
  <c r="AY117" i="5"/>
  <c r="AX117" i="5"/>
  <c r="AW117" i="5"/>
  <c r="AY116" i="5"/>
  <c r="AX116" i="5"/>
  <c r="AW116" i="5"/>
  <c r="AY115" i="5"/>
  <c r="AX115" i="5"/>
  <c r="AW115" i="5"/>
  <c r="AY114" i="5"/>
  <c r="AX114" i="5"/>
  <c r="AW114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M136" i="5"/>
  <c r="M137" i="5"/>
  <c r="M138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36" i="5"/>
  <c r="N137" i="5"/>
  <c r="N138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35" i="5"/>
  <c r="L136" i="5"/>
  <c r="L137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<sst xmlns="http://schemas.openxmlformats.org/spreadsheetml/2006/main" count="1140" uniqueCount="418">
  <si>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</si>
  <si>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</si>
  <si>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</si>
  <si>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</si>
  <si>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</si>
  <si>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</si>
  <si>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</si>
  <si>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</si>
  <si>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</si>
  <si>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</si>
  <si>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</si>
  <si>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</si>
  <si>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</si>
  <si>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</si>
  <si>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</si>
  <si>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</si>
  <si>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</si>
  <si>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</si>
  <si>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</si>
  <si>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</si>
  <si>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</si>
  <si>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</si>
  <si>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</si>
  <si>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</si>
  <si>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</si>
  <si>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</si>
  <si>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</si>
  <si>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</si>
  <si>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</si>
  <si>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</si>
  <si>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</si>
  <si>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</si>
  <si>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</si>
  <si>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</si>
  <si>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</si>
  <si>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</si>
  <si>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</si>
  <si>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</si>
  <si>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</si>
  <si>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</si>
  <si>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</si>
  <si>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</si>
  <si>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</si>
  <si>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</si>
  <si>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</si>
  <si>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</si>
  <si>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</si>
  <si>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</si>
  <si>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</si>
  <si>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</si>
  <si>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</si>
  <si>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</si>
  <si>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</si>
  <si>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</si>
  <si>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</si>
  <si>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</si>
  <si>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</si>
  <si>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</si>
  <si>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</si>
  <si>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</si>
  <si>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</si>
  <si>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</si>
  <si>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</si>
  <si>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</si>
  <si>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</si>
  <si>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</si>
  <si>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</si>
  <si>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</si>
  <si>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</si>
  <si>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</si>
  <si>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</si>
  <si>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</si>
  <si>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</si>
  <si>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</si>
  <si>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</si>
  <si>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</si>
  <si>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</si>
  <si>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</si>
  <si>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</si>
  <si>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</si>
  <si>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</si>
  <si>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</si>
  <si>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</si>
  <si>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</si>
  <si>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</si>
  <si>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</si>
  <si>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</si>
  <si>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Airtight platform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</si>
  <si>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</si>
  <si>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</si>
  <si>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</si>
  <si>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</si>
  <si>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</si>
  <si>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</si>
  <si>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</si>
  <si>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</si>
  <si>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</si>
  <si>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</si>
  <si>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</si>
  <si>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</si>
  <si>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</si>
  <si>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</si>
  <si>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</si>
  <si>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</si>
  <si>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</si>
  <si>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</si>
  <si>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</si>
  <si>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</si>
  <si>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</si>
  <si>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</si>
  <si>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</si>
  <si>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</si>
  <si>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</si>
  <si>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</si>
  <si>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</si>
  <si>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</si>
  <si>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</si>
  <si>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</si>
  <si>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</si>
  <si>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</si>
  <si>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</si>
  <si>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</si>
  <si>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</si>
  <si>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</si>
  <si>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</si>
  <si>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</si>
  <si>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</si>
  <si>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</si>
  <si>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</si>
  <si>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</si>
  <si>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</si>
  <si>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</si>
  <si>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</si>
  <si>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</si>
  <si>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</si>
  <si>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</si>
  <si>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</si>
  <si>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</si>
  <si>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</si>
  <si>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</si>
  <si>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</si>
  <si>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</si>
  <si>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</si>
  <si>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</si>
  <si>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</si>
  <si>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</si>
  <si>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</si>
  <si>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</si>
  <si>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</si>
  <si>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</si>
  <si>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</si>
  <si>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</si>
  <si>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</si>
  <si>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</si>
  <si>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</si>
  <si>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</si>
  <si>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</si>
  <si>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</si>
  <si>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</si>
  <si>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</si>
  <si>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</si>
  <si>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</si>
  <si>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</si>
  <si>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</si>
  <si>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</si>
  <si>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</si>
  <si>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</si>
  <si>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</si>
  <si>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</si>
  <si>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</si>
  <si>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</si>
  <si>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</si>
  <si>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</si>
  <si>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</si>
  <si>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</si>
  <si>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</si>
  <si>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</si>
  <si>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</si>
  <si>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</si>
  <si>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</si>
  <si>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</si>
  <si>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</si>
  <si>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</si>
  <si>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</si>
  <si>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</si>
  <si>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</si>
  <si>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</si>
  <si>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</si>
  <si>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</si>
  <si>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</si>
  <si>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</si>
  <si>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</si>
  <si>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</si>
  <si>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</si>
  <si>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</si>
  <si>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</si>
  <si>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</si>
  <si>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</si>
  <si>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</si>
  <si>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</si>
  <si>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</si>
  <si>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</si>
  <si>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</si>
  <si>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</si>
  <si>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</si>
  <si>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</si>
  <si>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</si>
  <si>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</si>
  <si>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</si>
  <si>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</si>
  <si>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</si>
  <si>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</si>
  <si>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</si>
  <si>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</si>
  <si>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</si>
  <si>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</si>
  <si>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</si>
  <si>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</si>
  <si>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</si>
  <si>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</si>
  <si>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</si>
  <si>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</si>
  <si>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</si>
  <si>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AM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</si>
  <si>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</si>
  <si>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</si>
  <si>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</si>
  <si>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</si>
  <si>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</si>
  <si>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</si>
  <si>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</si>
  <si>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</si>
  <si>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</si>
  <si>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</si>
  <si>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</si>
  <si>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</si>
  <si>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</si>
  <si>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</si>
  <si>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</si>
  <si>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</si>
  <si>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</si>
  <si>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</si>
  <si>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</si>
  <si>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</si>
  <si>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</si>
  <si>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</si>
  <si>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</si>
  <si>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</si>
  <si>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</si>
  <si>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</si>
  <si>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</si>
  <si>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</si>
  <si>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</si>
  <si>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</si>
  <si>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</si>
  <si>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</si>
  <si>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</si>
  <si>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</si>
  <si>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</si>
  <si>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</si>
  <si>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</si>
  <si>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</si>
  <si>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</si>
  <si>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</si>
  <si>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</si>
  <si>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</si>
  <si>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</si>
  <si>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</si>
  <si>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</si>
  <si>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</si>
  <si>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</si>
  <si>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</si>
  <si>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</si>
  <si>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</si>
  <si>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</si>
  <si>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</si>
  <si>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</si>
  <si>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</si>
  <si>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</si>
  <si>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</si>
  <si>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</si>
  <si>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</si>
  <si>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</si>
  <si>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</si>
  <si>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</si>
  <si>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</si>
  <si>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</si>
  <si>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</si>
  <si>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</si>
  <si>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</si>
  <si>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</si>
  <si>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</si>
  <si>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</si>
  <si>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</si>
  <si>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</si>
  <si>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</si>
  <si>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</si>
  <si>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</si>
  <si>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</si>
  <si>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</si>
  <si>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</si>
  <si>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</si>
  <si>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</si>
  <si>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</si>
  <si>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</si>
  <si>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</si>
  <si>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</si>
  <si>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</si>
  <si>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18 (End 1)</t>
  </si>
  <si>
    <t>18 (End 2)</t>
  </si>
  <si>
    <t>19 (End 1)</t>
  </si>
  <si>
    <t>19 (End 2)</t>
  </si>
  <si>
    <t>20 (End 1)</t>
  </si>
  <si>
    <t>20 (End 2)</t>
  </si>
  <si>
    <t>21 (End 1)</t>
  </si>
  <si>
    <t>21 (End 2)</t>
  </si>
  <si>
    <t>22 (End 1)</t>
  </si>
  <si>
    <t>22 (End 2)</t>
  </si>
  <si>
    <t>23 (End 1)</t>
  </si>
  <si>
    <t>23 (End 2)</t>
  </si>
  <si>
    <t>24 (End 1)</t>
  </si>
  <si>
    <t>24 (End 2)</t>
  </si>
  <si>
    <t>25 (End 1)</t>
  </si>
  <si>
    <t>25 (End 2)</t>
  </si>
  <si>
    <t>26 (End 1)</t>
  </si>
  <si>
    <t>26 (End 2)</t>
  </si>
  <si>
    <t>27 (End 1)</t>
  </si>
  <si>
    <t>27 (End 2)</t>
  </si>
  <si>
    <t>28 (End 1)</t>
  </si>
  <si>
    <t>28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</si>
  <si>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</si>
  <si>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</si>
  <si>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</si>
  <si>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</si>
  <si>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</si>
  <si>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</si>
  <si>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</si>
  <si>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</si>
  <si>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</si>
  <si>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</si>
  <si>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</si>
  <si>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</si>
  <si>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 xml:space="preserve">Airtight platform </t>
  </si>
  <si>
    <t xml:space="preserve">Skirt 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</si>
  <si>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</si>
  <si>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</si>
  <si>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</si>
  <si>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</si>
  <si>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</si>
  <si>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</si>
  <si>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</si>
  <si>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</si>
  <si>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</si>
  <si>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</si>
  <si>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</si>
  <si>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</si>
  <si>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</si>
  <si>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</si>
  <si>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</si>
  <si>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</si>
  <si>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</si>
  <si>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</si>
  <si>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</si>
  <si>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</si>
  <si>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r>
      <t xml:space="preserve">Plot Assambly </t>
    </r>
    <r>
      <rPr>
        <i/>
        <sz val="18"/>
        <color theme="1"/>
        <rFont val="Aptos Narrow"/>
        <family val="2"/>
        <scheme val="minor"/>
      </rPr>
      <t xml:space="preserve"> </t>
    </r>
  </si>
  <si>
    <t>overlapping mode "SKIRT", waterlevel at 0 and seabed at -waterdepth from MP input</t>
  </si>
  <si>
    <t>Global Parameters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</si>
  <si>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Structrue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</si>
  <si>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</si>
  <si>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Structrue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</si>
  <si>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</si>
  <si>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</si>
  <si>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</si>
  <si>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</si>
  <si>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</si>
  <si>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</si>
  <si>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</si>
  <si>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</si>
  <si>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</si>
  <si>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</si>
  <si>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</si>
  <si>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</si>
  <si>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</si>
  <si>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</si>
  <si>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</si>
  <si>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 xml:space="preserve">TP top flange </t>
  </si>
  <si>
    <t xml:space="preserve">Maintenance platform </t>
  </si>
  <si>
    <t xml:space="preserve">Bolting platform </t>
  </si>
  <si>
    <t xml:space="preserve">Upper Ladder Upper Ladder </t>
  </si>
  <si>
    <t xml:space="preserve">E-module </t>
  </si>
  <si>
    <t xml:space="preserve">Resting Platform (equivalent)[1] </t>
  </si>
  <si>
    <t xml:space="preserve">MP-TP flange </t>
  </si>
  <si>
    <t xml:space="preserve">Lower Ladder Lower Ladder </t>
  </si>
  <si>
    <t xml:space="preserve">Fender Fender 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</si>
  <si>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</si>
  <si>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</si>
  <si>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</si>
  <si>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</si>
  <si>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WL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</si>
  <si>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</si>
  <si>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</si>
  <si>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</si>
  <si>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</si>
  <si>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</si>
  <si>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</si>
  <si>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Young's Mod.</t>
  </si>
  <si>
    <t>Shear Mod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</si>
  <si>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</si>
  <si>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</si>
  <si>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&lt;&lt;&lt;&lt;&lt;</t>
  </si>
  <si>
    <t>Vestas mass</t>
  </si>
  <si>
    <t>Service Platform</t>
  </si>
  <si>
    <t>Bolting Platform</t>
  </si>
  <si>
    <t>Junction Box Platform</t>
  </si>
  <si>
    <t>dummy to have same number of nodes as 22 MW MP</t>
  </si>
  <si>
    <t>Internal Access System</t>
  </si>
  <si>
    <t>TP/MP flange</t>
  </si>
  <si>
    <t>TP-sided flange to tower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</si>
</sst>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231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0" fillId="7" borderId="0" xfId="0" applyFill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0" fillId="7" borderId="0" xfId="0" applyFill="1" applyAlignment="1">
      <alignment vertical="center"/>
    </xf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6" xfId="0" applyFill="1" applyBorder="1"/>
    <xf numFmtId="0" fontId="0" fillId="17" borderId="7" xfId="0" applyFill="1" applyBorder="1"/>
    <xf numFmtId="0" fontId="0" fillId="17" borderId="9" xfId="0" applyFill="1" applyBorder="1"/>
    <xf numFmtId="0" fontId="0" fillId="17" borderId="0" xfId="0" applyFill="1"/>
    <xf numFmtId="0" fontId="0" fillId="17" borderId="5" xfId="0" applyFill="1" applyBorder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0" fontId="0" fillId="13" borderId="9" xfId="0" applyFill="1" applyBorder="1"/>
    <xf numFmtId="1" fontId="0" fillId="0" borderId="9" xfId="0" applyNumberFormat="1" applyBorder="1" applyAlignment="1">
      <alignment horizontal="center"/>
    </xf>
    <xf numFmtId="0" fontId="14" fillId="16" borderId="17" xfId="0" applyFont="1" applyFill="1" applyBorder="1" applyAlignment="1">
      <alignment horizontal="center"/>
    </xf>
    <xf numFmtId="0" fontId="14" fillId="16" borderId="18" xfId="0" applyFont="1" applyFill="1" applyBorder="1" applyAlignment="1">
      <alignment horizontal="center"/>
    </xf>
    <xf numFmtId="0" fontId="14" fillId="16" borderId="19" xfId="0" applyFon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168" fontId="0" fillId="0" borderId="21" xfId="0" applyNumberFormat="1" applyBorder="1"/>
    <xf numFmtId="0" fontId="0" fillId="0" borderId="20" xfId="0" applyBorder="1"/>
    <xf numFmtId="0" fontId="0" fillId="15" borderId="5" xfId="0" applyFill="1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168" fontId="0" fillId="0" borderId="21" xfId="0" applyNumberFormat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7" borderId="10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2" fontId="0" fillId="0" borderId="25" xfId="0" applyNumberFormat="1" applyBorder="1"/>
    <xf numFmtId="2" fontId="0" fillId="0" borderId="24" xfId="0" applyNumberFormat="1" applyBorder="1"/>
    <xf numFmtId="2" fontId="0" fillId="0" borderId="21" xfId="0" applyNumberFormat="1" applyBorder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2" fontId="0" fillId="0" borderId="9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3" fillId="10" borderId="28" xfId="0" applyFont="1" applyFill="1" applyBorder="1"/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5" borderId="4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37" fillId="15" borderId="9" xfId="0" applyFont="1" applyFill="1" applyBorder="1"/>
    <xf numFmtId="0" fontId="29" fillId="15" borderId="9" xfId="0" applyFont="1" applyFill="1" applyBorder="1"/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0" fontId="21" fillId="15" borderId="11" xfId="0" applyFont="1" applyFill="1" applyBorder="1"/>
    <xf numFmtId="0" fontId="21" fillId="15" borderId="4" xfId="0" applyFont="1" applyFill="1" applyBorder="1"/>
    <xf numFmtId="0" fontId="21" fillId="15" borderId="5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0" fillId="7" borderId="0" xfId="0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7" borderId="9" xfId="0" applyFill="1" applyBorder="1"/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13" borderId="0" xfId="0" applyFont="1" applyFill="1"/>
    <xf numFmtId="2" fontId="0" fillId="13" borderId="0" xfId="0" applyNumberFormat="1" applyFont="1" applyFill="1"/>
    <xf numFmtId="1" fontId="0" fillId="0" borderId="9" xfId="0" applyNumberForma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" fontId="18" fillId="0" borderId="9" xfId="0" applyNumberFormat="1" applyFont="1" applyFill="1" applyBorder="1" applyAlignment="1">
      <alignment horizontal="center"/>
    </xf>
    <xf numFmtId="2" fontId="18" fillId="0" borderId="0" xfId="0" applyNumberFormat="1" applyFont="1" applyFill="1" applyAlignment="1" applyProtection="1">
      <alignment horizontal="center"/>
      <protection locked="0"/>
    </xf>
    <xf numFmtId="1" fontId="18" fillId="0" borderId="0" xfId="0" applyNumberFormat="1" applyFont="1" applyFill="1" applyAlignment="1" applyProtection="1">
      <alignment horizontal="center"/>
      <protection locked="0"/>
    </xf>
    <xf numFmtId="0" fontId="0" fillId="0" borderId="10" xfId="0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3">
    <cellStyle name="Link" xfId="2" builtinId="8"/>
    <cellStyle name="Standard" xfId="0" builtinId="0"/>
    <cellStyle name="Standard 4" xfId="1" xr:uid="{7C2E7282-4006-4D40-8AAC-8E6944058B8E}"/>
  </cellStyles>
  <dxfs count="395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394"/>
      <tableStyleElement type="headerRow" dxfId="393"/>
      <tableStyleElement type="firstRowStripe" dxfId="392"/>
      <tableStyleElement type="secondRowStripe" dxfId="391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Use_TP" lockText="1" noThreeD="1"/>
</file>

<file path=xl/ctrlProps/ctrlProp14.xml><?xml version="1.0" encoding="utf-8"?>
<formControlPr xmlns="http://schemas.microsoft.com/office/spreadsheetml/2009/9/main" objectType="CheckBox" fmlaLink="Use_MP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UseMPGeomConv" lockText="1" noThreeD="1"/>
</file>

<file path=xl/ctrlProps/ctrlProp22.xml><?xml version="1.0" encoding="utf-8"?>
<formControlPr xmlns="http://schemas.microsoft.com/office/spreadsheetml/2009/9/main" objectType="CheckBox" checked="Checked" fmlaLink="UseTPGeomConv" lockText="1" noThreeD="1"/>
</file>

<file path=xl/ctrlProps/ctrlProp23.xml><?xml version="1.0" encoding="utf-8"?>
<formControlPr xmlns="http://schemas.microsoft.com/office/spreadsheetml/2009/9/main" objectType="CheckBox" fmlaLink="UseTOWERGeomConv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26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35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Drop" dropStyle="combo" dx="26" noThreeD="1" sel="12" val="6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Drop" dropStyle="combo" dx="26" noThreeD="1" sel="5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8.xml><?xml version="1.0" encoding="utf-8"?>
<formControlPr xmlns="http://schemas.microsoft.com/office/spreadsheetml/2009/9/main" objectType="Drop" dropStyle="combo" dx="26" noThreeD="1" sel="1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1534886</xdr:colOff>
      <xdr:row>32</xdr:row>
      <xdr:rowOff>43543</xdr:rowOff>
    </xdr:from>
    <xdr:to>
      <xdr:col>3</xdr:col>
      <xdr:colOff>9557657</xdr:colOff>
      <xdr:row>38</xdr:row>
      <xdr:rowOff>163285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5020220" y="6005377"/>
          <a:ext cx="9556568" cy="1181099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13</xdr:row>
      <xdr:rowOff>105591</xdr:rowOff>
    </xdr:from>
    <xdr:to>
      <xdr:col>3</xdr:col>
      <xdr:colOff>6752490</xdr:colOff>
      <xdr:row>29</xdr:row>
      <xdr:rowOff>18214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23</xdr:row>
      <xdr:rowOff>0</xdr:rowOff>
    </xdr:from>
    <xdr:to>
      <xdr:col>3</xdr:col>
      <xdr:colOff>6770915</xdr:colOff>
      <xdr:row>24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7</xdr:row>
          <xdr:rowOff>38100</xdr:rowOff>
        </xdr:from>
        <xdr:to>
          <xdr:col>118</xdr:col>
          <xdr:colOff>1165513</xdr:colOff>
          <xdr:row>8</xdr:row>
          <xdr:rowOff>205740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5</xdr:row>
          <xdr:rowOff>22860</xdr:rowOff>
        </xdr:from>
        <xdr:to>
          <xdr:col>4</xdr:col>
          <xdr:colOff>3413760</xdr:colOff>
          <xdr:row>6</xdr:row>
          <xdr:rowOff>213360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21</xdr:row>
          <xdr:rowOff>160020</xdr:rowOff>
        </xdr:from>
        <xdr:to>
          <xdr:col>8</xdr:col>
          <xdr:colOff>1447800</xdr:colOff>
          <xdr:row>24</xdr:row>
          <xdr:rowOff>160020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1470660</xdr:colOff>
          <xdr:row>21</xdr:row>
          <xdr:rowOff>160020</xdr:rowOff>
        </xdr:from>
        <xdr:to>
          <xdr:col>10</xdr:col>
          <xdr:colOff>1417320</xdr:colOff>
          <xdr:row>24</xdr:row>
          <xdr:rowOff>160020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137160</xdr:rowOff>
        </xdr:from>
        <xdr:to>
          <xdr:col>3</xdr:col>
          <xdr:colOff>1463040</xdr:colOff>
          <xdr:row>3</xdr:row>
          <xdr:rowOff>99060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18</xdr:row>
          <xdr:rowOff>68580</xdr:rowOff>
        </xdr:from>
        <xdr:to>
          <xdr:col>1</xdr:col>
          <xdr:colOff>1630680</xdr:colOff>
          <xdr:row>20</xdr:row>
          <xdr:rowOff>190500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792480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7</xdr:row>
          <xdr:rowOff>22860</xdr:rowOff>
        </xdr:from>
        <xdr:to>
          <xdr:col>4</xdr:col>
          <xdr:colOff>3413760</xdr:colOff>
          <xdr:row>8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822960</xdr:colOff>
          <xdr:row>6</xdr:row>
          <xdr:rowOff>22860</xdr:rowOff>
        </xdr:from>
        <xdr:to>
          <xdr:col>64</xdr:col>
          <xdr:colOff>7620</xdr:colOff>
          <xdr:row>6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1607820</xdr:colOff>
          <xdr:row>20</xdr:row>
          <xdr:rowOff>99060</xdr:rowOff>
        </xdr:from>
        <xdr:to>
          <xdr:col>1</xdr:col>
          <xdr:colOff>815340</xdr:colOff>
          <xdr:row>22</xdr:row>
          <xdr:rowOff>131445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20</xdr:row>
          <xdr:rowOff>114300</xdr:rowOff>
        </xdr:from>
        <xdr:to>
          <xdr:col>0</xdr:col>
          <xdr:colOff>990600</xdr:colOff>
          <xdr:row>22</xdr:row>
          <xdr:rowOff>131445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22</xdr:row>
          <xdr:rowOff>22860</xdr:rowOff>
        </xdr:from>
        <xdr:to>
          <xdr:col>4</xdr:col>
          <xdr:colOff>3406140</xdr:colOff>
          <xdr:row>23</xdr:row>
          <xdr:rowOff>213360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22860</xdr:colOff>
          <xdr:row>10</xdr:row>
          <xdr:rowOff>22860</xdr:rowOff>
        </xdr:from>
        <xdr:to>
          <xdr:col>119</xdr:col>
          <xdr:colOff>723900</xdr:colOff>
          <xdr:row>12</xdr:row>
          <xdr:rowOff>137160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76200</xdr:rowOff>
        </xdr:from>
        <xdr:to>
          <xdr:col>3</xdr:col>
          <xdr:colOff>1524000</xdr:colOff>
          <xdr:row>20</xdr:row>
          <xdr:rowOff>167640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20</xdr:row>
          <xdr:rowOff>106680</xdr:rowOff>
        </xdr:from>
        <xdr:to>
          <xdr:col>2</xdr:col>
          <xdr:colOff>914400</xdr:colOff>
          <xdr:row>22</xdr:row>
          <xdr:rowOff>129540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1112520</xdr:colOff>
          <xdr:row>20</xdr:row>
          <xdr:rowOff>83820</xdr:rowOff>
        </xdr:from>
        <xdr:to>
          <xdr:col>3</xdr:col>
          <xdr:colOff>533400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20</xdr:row>
          <xdr:rowOff>76200</xdr:rowOff>
        </xdr:from>
        <xdr:to>
          <xdr:col>3</xdr:col>
          <xdr:colOff>1503045</xdr:colOff>
          <xdr:row>22</xdr:row>
          <xdr:rowOff>131445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</xdr:row>
          <xdr:rowOff>99060</xdr:rowOff>
        </xdr:from>
        <xdr:to>
          <xdr:col>3</xdr:col>
          <xdr:colOff>1470660</xdr:colOff>
          <xdr:row>7</xdr:row>
          <xdr:rowOff>106680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7</xdr:row>
          <xdr:rowOff>182880</xdr:rowOff>
        </xdr:from>
        <xdr:to>
          <xdr:col>3</xdr:col>
          <xdr:colOff>1470660</xdr:colOff>
          <xdr:row>10</xdr:row>
          <xdr:rowOff>205740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11</xdr:row>
          <xdr:rowOff>30480</xdr:rowOff>
        </xdr:from>
        <xdr:to>
          <xdr:col>3</xdr:col>
          <xdr:colOff>1478280</xdr:colOff>
          <xdr:row>14</xdr:row>
          <xdr:rowOff>45720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14</xdr:row>
          <xdr:rowOff>106680</xdr:rowOff>
        </xdr:from>
        <xdr:to>
          <xdr:col>3</xdr:col>
          <xdr:colOff>1485900</xdr:colOff>
          <xdr:row>17</xdr:row>
          <xdr:rowOff>129540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22860</xdr:rowOff>
        </xdr:from>
        <xdr:to>
          <xdr:col>117</xdr:col>
          <xdr:colOff>2917421</xdr:colOff>
          <xdr:row>10</xdr:row>
          <xdr:rowOff>53340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22860</xdr:colOff>
          <xdr:row>8</xdr:row>
          <xdr:rowOff>22860</xdr:rowOff>
        </xdr:from>
        <xdr:to>
          <xdr:col>117</xdr:col>
          <xdr:colOff>3031374</xdr:colOff>
          <xdr:row>9</xdr:row>
          <xdr:rowOff>205740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</xdr:row>
          <xdr:rowOff>7620</xdr:rowOff>
        </xdr:from>
        <xdr:to>
          <xdr:col>11</xdr:col>
          <xdr:colOff>1371600</xdr:colOff>
          <xdr:row>4</xdr:row>
          <xdr:rowOff>60960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7</xdr:row>
          <xdr:rowOff>30480</xdr:rowOff>
        </xdr:from>
        <xdr:to>
          <xdr:col>118</xdr:col>
          <xdr:colOff>1161184</xdr:colOff>
          <xdr:row>8</xdr:row>
          <xdr:rowOff>190500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5</xdr:row>
          <xdr:rowOff>22860</xdr:rowOff>
        </xdr:from>
        <xdr:to>
          <xdr:col>41</xdr:col>
          <xdr:colOff>3413760</xdr:colOff>
          <xdr:row>6</xdr:row>
          <xdr:rowOff>213360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30480</xdr:colOff>
          <xdr:row>21</xdr:row>
          <xdr:rowOff>160020</xdr:rowOff>
        </xdr:from>
        <xdr:to>
          <xdr:col>45</xdr:col>
          <xdr:colOff>1447800</xdr:colOff>
          <xdr:row>24</xdr:row>
          <xdr:rowOff>160020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1470660</xdr:colOff>
          <xdr:row>21</xdr:row>
          <xdr:rowOff>160020</xdr:rowOff>
        </xdr:from>
        <xdr:to>
          <xdr:col>47</xdr:col>
          <xdr:colOff>1417320</xdr:colOff>
          <xdr:row>24</xdr:row>
          <xdr:rowOff>167640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7</xdr:row>
          <xdr:rowOff>7620</xdr:rowOff>
        </xdr:from>
        <xdr:to>
          <xdr:col>41</xdr:col>
          <xdr:colOff>3413760</xdr:colOff>
          <xdr:row>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22</xdr:row>
          <xdr:rowOff>22860</xdr:rowOff>
        </xdr:from>
        <xdr:to>
          <xdr:col>41</xdr:col>
          <xdr:colOff>3406140</xdr:colOff>
          <xdr:row>23</xdr:row>
          <xdr:rowOff>213360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152400</xdr:colOff>
          <xdr:row>2</xdr:row>
          <xdr:rowOff>7620</xdr:rowOff>
        </xdr:from>
        <xdr:to>
          <xdr:col>48</xdr:col>
          <xdr:colOff>1371600</xdr:colOff>
          <xdr:row>4</xdr:row>
          <xdr:rowOff>60960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792480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822960</xdr:colOff>
          <xdr:row>6</xdr:row>
          <xdr:rowOff>22860</xdr:rowOff>
        </xdr:from>
        <xdr:to>
          <xdr:col>102</xdr:col>
          <xdr:colOff>7620</xdr:colOff>
          <xdr:row>6</xdr:row>
          <xdr:rowOff>259080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22860</xdr:rowOff>
        </xdr:from>
        <xdr:to>
          <xdr:col>117</xdr:col>
          <xdr:colOff>3046614</xdr:colOff>
          <xdr:row>10</xdr:row>
          <xdr:rowOff>53340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22860</xdr:colOff>
          <xdr:row>8</xdr:row>
          <xdr:rowOff>22860</xdr:rowOff>
        </xdr:from>
        <xdr:to>
          <xdr:col>117</xdr:col>
          <xdr:colOff>3065664</xdr:colOff>
          <xdr:row>9</xdr:row>
          <xdr:rowOff>205740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22860</xdr:colOff>
          <xdr:row>7</xdr:row>
          <xdr:rowOff>45720</xdr:rowOff>
        </xdr:from>
        <xdr:to>
          <xdr:col>118</xdr:col>
          <xdr:colOff>1239288</xdr:colOff>
          <xdr:row>8</xdr:row>
          <xdr:rowOff>169545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15240</xdr:colOff>
          <xdr:row>5</xdr:row>
          <xdr:rowOff>30480</xdr:rowOff>
        </xdr:from>
        <xdr:to>
          <xdr:col>79</xdr:col>
          <xdr:colOff>3421380</xdr:colOff>
          <xdr:row>6</xdr:row>
          <xdr:rowOff>220980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30480</xdr:colOff>
          <xdr:row>21</xdr:row>
          <xdr:rowOff>160020</xdr:rowOff>
        </xdr:from>
        <xdr:to>
          <xdr:col>83</xdr:col>
          <xdr:colOff>1447800</xdr:colOff>
          <xdr:row>24</xdr:row>
          <xdr:rowOff>160020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1470660</xdr:colOff>
          <xdr:row>21</xdr:row>
          <xdr:rowOff>160020</xdr:rowOff>
        </xdr:from>
        <xdr:to>
          <xdr:col>85</xdr:col>
          <xdr:colOff>1417320</xdr:colOff>
          <xdr:row>24</xdr:row>
          <xdr:rowOff>167640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15240</xdr:colOff>
          <xdr:row>7</xdr:row>
          <xdr:rowOff>15240</xdr:rowOff>
        </xdr:from>
        <xdr:to>
          <xdr:col>79</xdr:col>
          <xdr:colOff>3421380</xdr:colOff>
          <xdr:row>8</xdr:row>
          <xdr:rowOff>198120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22</xdr:row>
          <xdr:rowOff>22860</xdr:rowOff>
        </xdr:from>
        <xdr:to>
          <xdr:col>79</xdr:col>
          <xdr:colOff>3406140</xdr:colOff>
          <xdr:row>23</xdr:row>
          <xdr:rowOff>213360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152400</xdr:colOff>
          <xdr:row>2</xdr:row>
          <xdr:rowOff>7620</xdr:rowOff>
        </xdr:from>
        <xdr:to>
          <xdr:col>86</xdr:col>
          <xdr:colOff>1371600</xdr:colOff>
          <xdr:row>4</xdr:row>
          <xdr:rowOff>60960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0</xdr:colOff>
          <xdr:row>7</xdr:row>
          <xdr:rowOff>45720</xdr:rowOff>
        </xdr:from>
        <xdr:to>
          <xdr:col>120</xdr:col>
          <xdr:colOff>1501140</xdr:colOff>
          <xdr:row>8</xdr:row>
          <xdr:rowOff>190500</xdr:rowOff>
        </xdr:to>
        <xdr:sp macro="" textlink="">
          <xdr:nvSpPr>
            <xdr:cNvPr id="4180" name="Dropdown_RNA_Structures2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30480</xdr:colOff>
          <xdr:row>5</xdr:row>
          <xdr:rowOff>22860</xdr:rowOff>
        </xdr:from>
        <xdr:to>
          <xdr:col>117</xdr:col>
          <xdr:colOff>3459480</xdr:colOff>
          <xdr:row>6</xdr:row>
          <xdr:rowOff>220980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30480</xdr:colOff>
          <xdr:row>7</xdr:row>
          <xdr:rowOff>22860</xdr:rowOff>
        </xdr:from>
        <xdr:to>
          <xdr:col>117</xdr:col>
          <xdr:colOff>3459480</xdr:colOff>
          <xdr:row>8</xdr:row>
          <xdr:rowOff>213360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1478280</xdr:colOff>
          <xdr:row>113</xdr:row>
          <xdr:rowOff>30480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15241</xdr:colOff>
      <xdr:row>2</xdr:row>
      <xdr:rowOff>0</xdr:rowOff>
    </xdr:from>
    <xdr:to>
      <xdr:col>126</xdr:col>
      <xdr:colOff>476622</xdr:colOff>
      <xdr:row>23</xdr:row>
      <xdr:rowOff>208800</xdr:rowOff>
    </xdr:to>
    <xdr:pic>
      <xdr:nvPicPr>
        <xdr:cNvPr id="10" name="Fig_MP_plot" hidden="1">
          <a:extLst>
            <a:ext uri="{FF2B5EF4-FFF2-40B4-BE49-F238E27FC236}">
              <a16:creationId xmlns:a16="http://schemas.microsoft.com/office/drawing/2014/main" id="{615EDE2C-6132-C1A4-5C54-8B746CE48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36816" y="228600"/>
          <a:ext cx="16100034" cy="5356109"/>
        </a:xfrm>
        <a:prstGeom prst="rect">
          <a:avLst/>
        </a:prstGeom>
      </xdr:spPr>
    </xdr:pic>
    <xdr:clientData/>
  </xdr:twoCellAnchor>
  <xdr:twoCellAnchor editAs="oneCell">
    <xdr:from>
      <xdr:col>0</xdr:col>
      <xdr:colOff>23813</xdr:colOff>
      <xdr:row>0</xdr:row>
      <xdr:rowOff>42862</xdr:rowOff>
    </xdr:from>
    <xdr:to>
      <xdr:col>3</xdr:col>
      <xdr:colOff>1463040</xdr:colOff>
      <xdr:row>0</xdr:row>
      <xdr:rowOff>2460922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twoCellAnchor editAs="oneCell">
    <xdr:from>
      <xdr:col>0</xdr:col>
      <xdr:colOff>91044</xdr:colOff>
      <xdr:row>113</xdr:row>
      <xdr:rowOff>138545</xdr:rowOff>
    </xdr:from>
    <xdr:to>
      <xdr:col>3</xdr:col>
      <xdr:colOff>1465323</xdr:colOff>
      <xdr:row>198</xdr:row>
      <xdr:rowOff>133665</xdr:rowOff>
    </xdr:to>
    <xdr:pic>
      <xdr:nvPicPr>
        <xdr:cNvPr id="24" name="Fig_Assambly_plot">
          <a:extLst>
            <a:ext uri="{FF2B5EF4-FFF2-40B4-BE49-F238E27FC236}">
              <a16:creationId xmlns:a16="http://schemas.microsoft.com/office/drawing/2014/main" id="{3D90538F-4CB8-EB3A-78F5-45F1D95F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" y="9724505"/>
          <a:ext cx="6203454" cy="19416595"/>
        </a:xfrm>
        <a:prstGeom prst="rect">
          <a:avLst/>
        </a:prstGeom>
      </xdr:spPr>
    </xdr:pic>
    <xdr:clientData/>
  </xdr:twoCellAnchor>
  <xdr:twoCellAnchor editAs="oneCell">
    <xdr:from>
      <xdr:col>87</xdr:col>
      <xdr:colOff>2</xdr:colOff>
      <xdr:row>2</xdr:row>
      <xdr:rowOff>0</xdr:rowOff>
    </xdr:from>
    <xdr:to>
      <xdr:col>125</xdr:col>
      <xdr:colOff>1464782</xdr:colOff>
      <xdr:row>25</xdr:row>
      <xdr:rowOff>19497</xdr:rowOff>
    </xdr:to>
    <xdr:pic>
      <xdr:nvPicPr>
        <xdr:cNvPr id="4" name="Fig_TOWER_plot" hidden="1">
          <a:extLst>
            <a:ext uri="{FF2B5EF4-FFF2-40B4-BE49-F238E27FC236}">
              <a16:creationId xmlns:a16="http://schemas.microsoft.com/office/drawing/2014/main" id="{F3BFF640-41BA-67C1-DEFB-9519A77EF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362" y="2773680"/>
          <a:ext cx="15831772" cy="5654487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2</xdr:row>
      <xdr:rowOff>0</xdr:rowOff>
    </xdr:from>
    <xdr:to>
      <xdr:col>144</xdr:col>
      <xdr:colOff>475212</xdr:colOff>
      <xdr:row>25</xdr:row>
      <xdr:rowOff>169001</xdr:rowOff>
    </xdr:to>
    <xdr:pic>
      <xdr:nvPicPr>
        <xdr:cNvPr id="6" name="Fig_TP_plot" hidden="1">
          <a:extLst>
            <a:ext uri="{FF2B5EF4-FFF2-40B4-BE49-F238E27FC236}">
              <a16:creationId xmlns:a16="http://schemas.microsoft.com/office/drawing/2014/main" id="{2A53D7A3-6EB0-0C73-1347-44A4AF084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0" y="2771775"/>
          <a:ext cx="18126077" cy="581351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12</xdr:row>
          <xdr:rowOff>68580</xdr:rowOff>
        </xdr:from>
        <xdr:to>
          <xdr:col>2</xdr:col>
          <xdr:colOff>2933700</xdr:colOff>
          <xdr:row>16</xdr:row>
          <xdr:rowOff>15240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16</xdr:row>
          <xdr:rowOff>60960</xdr:rowOff>
        </xdr:from>
        <xdr:to>
          <xdr:col>2</xdr:col>
          <xdr:colOff>2933700</xdr:colOff>
          <xdr:row>20</xdr:row>
          <xdr:rowOff>45720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20</xdr:row>
          <xdr:rowOff>91440</xdr:rowOff>
        </xdr:from>
        <xdr:to>
          <xdr:col>2</xdr:col>
          <xdr:colOff>2918460</xdr:colOff>
          <xdr:row>24</xdr:row>
          <xdr:rowOff>60960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30480</xdr:colOff>
          <xdr:row>1</xdr:row>
          <xdr:rowOff>38100</xdr:rowOff>
        </xdr:from>
        <xdr:to>
          <xdr:col>59</xdr:col>
          <xdr:colOff>205740</xdr:colOff>
          <xdr:row>3</xdr:row>
          <xdr:rowOff>144780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2574479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609599</xdr:colOff>
      <xdr:row>6</xdr:row>
      <xdr:rowOff>18877</xdr:rowOff>
    </xdr:from>
    <xdr:to>
      <xdr:col>64</xdr:col>
      <xdr:colOff>322581</xdr:colOff>
      <xdr:row>108</xdr:row>
      <xdr:rowOff>53830</xdr:rowOff>
    </xdr:to>
    <xdr:pic>
      <xdr:nvPicPr>
        <xdr:cNvPr id="15" name="Fig_Assambly_plot_Overview2">
          <a:extLst>
            <a:ext uri="{FF2B5EF4-FFF2-40B4-BE49-F238E27FC236}">
              <a16:creationId xmlns:a16="http://schemas.microsoft.com/office/drawing/2014/main" id="{5A4104BB-9F3A-51DA-9A74-FB1166033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49508" y="3915468"/>
          <a:ext cx="6622937" cy="180631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</xdr:row>
          <xdr:rowOff>38100</xdr:rowOff>
        </xdr:from>
        <xdr:to>
          <xdr:col>4</xdr:col>
          <xdr:colOff>2842260</xdr:colOff>
          <xdr:row>5</xdr:row>
          <xdr:rowOff>198120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5</xdr:row>
          <xdr:rowOff>213360</xdr:rowOff>
        </xdr:from>
        <xdr:to>
          <xdr:col>4</xdr:col>
          <xdr:colOff>2827020</xdr:colOff>
          <xdr:row>7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</xdr:colOff>
          <xdr:row>4</xdr:row>
          <xdr:rowOff>30480</xdr:rowOff>
        </xdr:from>
        <xdr:to>
          <xdr:col>17</xdr:col>
          <xdr:colOff>2125980</xdr:colOff>
          <xdr:row>5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5</xdr:row>
          <xdr:rowOff>220980</xdr:rowOff>
        </xdr:from>
        <xdr:to>
          <xdr:col>17</xdr:col>
          <xdr:colOff>1676400</xdr:colOff>
          <xdr:row>7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8</xdr:row>
          <xdr:rowOff>45720</xdr:rowOff>
        </xdr:from>
        <xdr:to>
          <xdr:col>18</xdr:col>
          <xdr:colOff>1036320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</xdr:row>
          <xdr:rowOff>91440</xdr:rowOff>
        </xdr:from>
        <xdr:to>
          <xdr:col>3</xdr:col>
          <xdr:colOff>3352800</xdr:colOff>
          <xdr:row>7</xdr:row>
          <xdr:rowOff>30480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7</xdr:row>
          <xdr:rowOff>99060</xdr:rowOff>
        </xdr:from>
        <xdr:to>
          <xdr:col>3</xdr:col>
          <xdr:colOff>3337560</xdr:colOff>
          <xdr:row>11</xdr:row>
          <xdr:rowOff>76200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11</xdr:row>
          <xdr:rowOff>137160</xdr:rowOff>
        </xdr:from>
        <xdr:to>
          <xdr:col>3</xdr:col>
          <xdr:colOff>3345180</xdr:colOff>
          <xdr:row>15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53340</xdr:colOff>
          <xdr:row>4</xdr:row>
          <xdr:rowOff>83820</xdr:rowOff>
        </xdr:from>
        <xdr:to>
          <xdr:col>33</xdr:col>
          <xdr:colOff>1234440</xdr:colOff>
          <xdr:row>9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3</xdr:col>
      <xdr:colOff>3333750</xdr:colOff>
      <xdr:row>0</xdr:row>
      <xdr:rowOff>2462147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350" dataDxfId="349">
  <autoFilter ref="E13:K14" xr:uid="{51AF5F9E-A6E5-4BA1-83BE-2546351DAE06}"/>
  <tableColumns count="7">
    <tableColumn id="1" xr3:uid="{8004DE55-01A0-4AB5-A007-D379F8ED184F}" name="Identifier" dataDxfId="348"/>
    <tableColumn id="2" xr3:uid="{73AEE22B-B9CF-4401-B31E-64902257C6A9}" name="Project ID" dataDxfId="347"/>
    <tableColumn id="3" xr3:uid="{6CD7BEF9-707B-4F7D-A334-46DB51B6F454}" name="Phase" dataDxfId="346"/>
    <tableColumn id="4" xr3:uid="{5572AB9F-884A-4001-85E7-5E708A2DFC71}" name="Structure ID" dataDxfId="345"/>
    <tableColumn id="5" xr3:uid="{AFCB5F1D-C5C1-4D21-A7C0-310C0D52F9E4}" name="Water Depth [m]" dataDxfId="344"/>
    <tableColumn id="6" xr3:uid="{149EEBB8-62A5-42C4-97FD-484848DB0825}" name="Height Reference" dataDxfId="343"/>
    <tableColumn id="7" xr3:uid="{82ECC3EB-0382-490B-8CE7-963B13E4D1A1}" name="Comments" dataDxfId="342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insertRow="1" totalsRowShown="0" headerRowDxfId="341" dataDxfId="340">
  <autoFilter ref="E18:K19" xr:uid="{58117B73-5FCA-4002-A528-31B3F83BDE75}"/>
  <tableColumns count="7">
    <tableColumn id="1" xr3:uid="{5C484AAB-AA0F-4FBD-9543-28D80EB7F84D}" name="Identifier" dataDxfId="339"/>
    <tableColumn id="2" xr3:uid="{87603448-795E-499B-8754-D6455D5FF52F}" name="Project ID" dataDxfId="338"/>
    <tableColumn id="3" xr3:uid="{51EA6487-4EF3-43A9-B440-34893EEEEAB2}" name="Phase" dataDxfId="337"/>
    <tableColumn id="4" xr3:uid="{4AC48BB5-6D2E-492F-89B1-5662010991A8}" name="Structure ID" dataDxfId="336"/>
    <tableColumn id="5" xr3:uid="{2AE3ED2D-7CAB-45B8-AA43-6197A5DBB9C2}" name="Water Depth [m]" dataDxfId="335"/>
    <tableColumn id="6" xr3:uid="{BC0E3E2E-DE67-4FD9-94E9-5C112B52D3FD}" name="Height Reference" dataDxfId="334"/>
    <tableColumn id="7" xr3:uid="{16928D7F-3DB7-43BD-BCF5-5C279A3E16F5}" name="Comments" dataDxfId="333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35" totalsRowShown="0" headerRowDxfId="332" dataDxfId="331">
  <autoFilter ref="E112:J135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330"/>
    <tableColumn id="2" xr3:uid="{01B5124C-F6E1-40D2-9236-F2D6BE941DD3}" name="Top [m]" dataDxfId="329"/>
    <tableColumn id="3" xr3:uid="{0537C90E-D320-4AC4-8392-2A7C45CE31A1}" name="Bottom [m]" dataDxfId="328"/>
    <tableColumn id="4" xr3:uid="{3F0DC3DB-26F8-4D70-A358-70EF5E1596F5}" name="D, top [m]" dataDxfId="327"/>
    <tableColumn id="5" xr3:uid="{25F6B1D8-AC49-468F-BDCD-72AC07BB3CD0}" name="D, bottom [m]" dataDxfId="326"/>
    <tableColumn id="6" xr3:uid="{3ED99EE5-BCA8-4244-A3E5-81C6F22A9AB2}" name="t [mm]" dataDxfId="325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24" dataDxfId="323">
  <autoFilter ref="Y12:AE13" xr:uid="{F46B677D-4D25-4464-BE0D-6A1E644518C5}"/>
  <tableColumns count="7">
    <tableColumn id="1" xr3:uid="{ECD0389F-015D-412B-9FF1-D5BEAAD27FC1}" name="Identifier" dataDxfId="322"/>
    <tableColumn id="2" xr3:uid="{90794316-AE1E-4D40-A728-B5B995A9CF65}" name="Project ID" dataDxfId="321"/>
    <tableColumn id="3" xr3:uid="{B8C9242D-AC32-4E57-A861-DB7E615D6A1C}" name="Phase" dataDxfId="320"/>
    <tableColumn id="4" xr3:uid="{1EEB510B-3010-431D-B8C6-870D9180A629}" name="Structure ID" dataDxfId="319"/>
    <tableColumn id="5" xr3:uid="{B6F5C20C-83C1-4B16-B4D3-933D066BB6A0}" name="Water Depth [m]" dataDxfId="318"/>
    <tableColumn id="6" xr3:uid="{26EA3A2D-14E0-4809-9795-74592B4984AD}" name="Height Reference" dataDxfId="317"/>
    <tableColumn id="7" xr3:uid="{9AC62F3C-D12C-40A1-8AF4-F7C9B043F1FB}" name="Comments" dataDxfId="3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1" totalsRowShown="0" headerRowDxfId="315" dataDxfId="314">
  <autoFilter ref="Y18:AD41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313"/>
    <tableColumn id="2" xr3:uid="{D0F6ECD2-6414-48B2-9B47-1C3B8BAC860B}" name="Top [m]" dataDxfId="312"/>
    <tableColumn id="3" xr3:uid="{575FC20A-0259-4081-83F8-71040557AEA8}" name="Bottom [m]" dataDxfId="311"/>
    <tableColumn id="4" xr3:uid="{529E5CD0-69F2-4E59-86A7-A3E6F1B39E96}" name="D, top [m]" dataDxfId="310"/>
    <tableColumn id="5" xr3:uid="{7F90AAFA-52D7-47DB-A99D-3E3E0AEE6541}" name="D, bottom [m]" dataDxfId="309"/>
    <tableColumn id="6" xr3:uid="{1B01547B-4485-4B79-8DB3-FCEA1C806B60}" name="t [mm]" dataDxfId="30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4" totalsRowShown="0" headerRowDxfId="307" dataDxfId="306">
  <autoFilter ref="P112:X114" xr:uid="{C2F2D263-B298-4967-B7BA-2043D2636A28}"/>
  <tableColumns count="9">
    <tableColumn id="9" xr3:uid="{983AA3EE-D554-4611-9143-CB18ADA5BC06}" name="Name" dataDxfId="305"/>
    <tableColumn id="2" xr3:uid="{365B74CD-D14D-4F75-ABA6-B5CBD126E6F2}" name="Top [m]" dataDxfId="304"/>
    <tableColumn id="12" xr3:uid="{3CC0B321-8A95-4AEE-8DFB-77DAE8FAB528}" name="Bottom [m]" dataDxfId="303"/>
    <tableColumn id="3" xr3:uid="{29EF80FE-079C-4A10-9ADB-03D595E35311}" name="Mass [kg]" dataDxfId="302"/>
    <tableColumn id="1" xr3:uid="{EB762DF5-D84F-4ED6-9E32-E1B37FE9C38D}" name="Diameter [m]" dataDxfId="301"/>
    <tableColumn id="4" xr3:uid="{7D3C052F-35A7-4A8C-B722-8A6311D56BDC}" name="Orientation [°]" dataDxfId="300"/>
    <tableColumn id="5" xr3:uid="{A094AF7B-AEFB-4B58-9377-0B3B7C131ADC}" name="Distance Axis to Axis" dataDxfId="299"/>
    <tableColumn id="6" xr3:uid="{E15A8DE3-D9C1-4684-A605-26B6F2B8779C}" name="Gap between surfaces" dataDxfId="298"/>
    <tableColumn id="7" xr3:uid="{026563CA-A00A-4D48-9BC2-1AF2FA6C6586}" name="Surface roughness [m]" dataDxfId="297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0" totalsRowShown="0" dataDxfId="296">
  <autoFilter ref="AF18:AN20" xr:uid="{BDE973CA-C8D2-4A67-ACE1-6BE97A1FF0C7}"/>
  <tableColumns count="9">
    <tableColumn id="9" xr3:uid="{55BF990C-941A-438C-86DE-D99A5424D8A4}" name="Name" dataDxfId="295"/>
    <tableColumn id="2" xr3:uid="{D2CC7DEA-1AC5-4558-B6A8-7A00324F8731}" name="Top [m]" dataDxfId="294"/>
    <tableColumn id="12" xr3:uid="{63B7643C-B71B-4F75-B941-E84BE173CC9A}" name="Bottom [m]" dataDxfId="293"/>
    <tableColumn id="3" xr3:uid="{74DA4B22-9428-450B-B8ED-D23057E6EF7A}" name="Mass [kg]" dataDxfId="292"/>
    <tableColumn id="1" xr3:uid="{45265052-CB7D-44E4-B950-26F73BB47B9B}" name="Diameter [m]" dataDxfId="291"/>
    <tableColumn id="4" xr3:uid="{E80A5184-2DFE-4036-BD65-B61B96122334}" name="Orientation [°]" dataDxfId="290"/>
    <tableColumn id="5" xr3:uid="{F8C744AA-AA7B-4562-BFA1-0E7C53B53FF4}" name="Distance Axis to Axis" dataDxfId="289"/>
    <tableColumn id="6" xr3:uid="{A8D74212-5B24-4FC1-A938-5DFC386726CB}" name="Gap between surfaces" dataDxfId="288"/>
    <tableColumn id="7" xr3:uid="{9576E46D-F632-4BD0-8B5D-9B663892335B}" name="Surface roughness [m]" dataDxfId="28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2" totalsRowShown="0" headerRowDxfId="286" dataDxfId="285">
  <autoFilter ref="E27:K32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284"/>
    <tableColumn id="2" xr3:uid="{75FB6F15-9784-4F9D-9947-41C8E7DD1CC9}" name="Project ID" dataDxfId="283"/>
    <tableColumn id="3" xr3:uid="{DF3379D9-9371-4EDE-B715-A6A40C072275}" name="Phase" dataDxfId="282"/>
    <tableColumn id="4" xr3:uid="{B2F66CA1-64D8-49D4-A1DA-28FD14EC75C2}" name="Structure ID" dataDxfId="281"/>
    <tableColumn id="5" xr3:uid="{E0EC4989-22E7-49A3-8DAC-034A87568E19}" name="Water Depth [m]" dataDxfId="280"/>
    <tableColumn id="6" xr3:uid="{9873A46F-D488-4AA7-BC64-C1E65C65D808}" name="Height Reference" dataDxfId="279"/>
    <tableColumn id="7" xr3:uid="{CD60E691-17C5-40B2-9E26-571B6CB0C11D}" name="Comments" dataDxfId="278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277" dataDxfId="17">
  <autoFilter ref="AP13:AV14" xr:uid="{4C688CB2-0B79-4AE2-B2DC-6850E0999F22}"/>
  <tableColumns count="7">
    <tableColumn id="1" xr3:uid="{4F627CE6-59C4-4523-A98C-81FD64443B88}" name="Identifier" dataDxfId="24"/>
    <tableColumn id="2" xr3:uid="{19921618-20B3-46FF-937E-24E6775D797E}" name="Project ID" dataDxfId="23"/>
    <tableColumn id="3" xr3:uid="{B1F7CCA9-A1BD-4F05-9237-B6284F3056E5}" name="Phase" dataDxfId="22"/>
    <tableColumn id="4" xr3:uid="{D5F33D5B-370E-46F7-BB6A-B74EC6139333}" name="Structure ID" dataDxfId="21"/>
    <tableColumn id="5" xr3:uid="{A7DF7C25-D9CF-4ABB-B7CD-68DC60608B9A}" name="Water Depth [m]" dataDxfId="20"/>
    <tableColumn id="6" xr3:uid="{A1DB5BD8-96E9-4ECB-89FE-50CF6529DD7E}" name="Height Reference" dataDxfId="19"/>
    <tableColumn id="7" xr3:uid="{2B99DBD7-0B0D-4BA1-87CB-C7AC621E6F3F}" name="Comments" dataDxfId="18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276" dataDxfId="275">
  <autoFilter ref="AP18:AV19" xr:uid="{82B2E050-F7C0-4103-ACF7-1508C2548380}"/>
  <tableColumns count="7">
    <tableColumn id="1" xr3:uid="{74379588-884B-4B92-99E3-2D8263DA35A7}" name="Identifier" dataDxfId="274"/>
    <tableColumn id="2" xr3:uid="{4D521BF5-BEDD-467B-BCA6-F197DD205F5D}" name="Project ID" dataDxfId="273"/>
    <tableColumn id="3" xr3:uid="{0D0764F3-2EB6-4AFD-8BBF-4B2A213694FB}" name="Phase" dataDxfId="272"/>
    <tableColumn id="4" xr3:uid="{F735A36B-0E53-4B21-98AF-8098D165B7A4}" name="Structure ID" dataDxfId="271"/>
    <tableColumn id="5" xr3:uid="{DD6C5343-9FF0-4988-B7AD-68A2B196AE75}" name="Water Depth [m]" dataDxfId="270"/>
    <tableColumn id="6" xr3:uid="{593B4864-FEBF-42DA-A98D-9BD5E874FDA3}" name="Height Reference" dataDxfId="269"/>
    <tableColumn id="7" xr3:uid="{AD918F6B-4A01-4D99-AEC7-AC9BF6550DE3}" name="Comments" dataDxfId="268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6" totalsRowShown="0" headerRowDxfId="267" dataDxfId="10">
  <autoFilter ref="AP112:AU116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16"/>
    <tableColumn id="2" xr3:uid="{AA39DD39-8C8E-4F66-AA28-5EB59746565D}" name="Top [m]" dataDxfId="15"/>
    <tableColumn id="3" xr3:uid="{E2F479E9-17D9-4C2D-BF7C-2640F78B84E4}" name="Bottom [m]" dataDxfId="14"/>
    <tableColumn id="4" xr3:uid="{C69849FB-2BB9-4BF6-8192-78ED7173DD46}" name="D, top [m]" dataDxfId="13"/>
    <tableColumn id="5" xr3:uid="{837623EF-EE9F-47D2-AAAD-D903281C1D0A}" name="D, bottom [m]" dataDxfId="12"/>
    <tableColumn id="6" xr3:uid="{FDE46510-9BFE-418F-AE03-598BF29FF831}" name="t [mm]" dataDxfId="11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19" totalsRowShown="0" headerRowDxfId="266" dataDxfId="0">
  <autoFilter ref="BA112:BI119" xr:uid="{E1532FB8-4FA8-44E8-9D28-3535D0247613}"/>
  <tableColumns count="9">
    <tableColumn id="9" xr3:uid="{DDF4C359-0ED4-4157-B9B0-FFEC4F20A42C}" name="Name" dataDxfId="9"/>
    <tableColumn id="2" xr3:uid="{19BE9D85-AB85-4478-869F-084DC21BFD73}" name="Top [m]" dataDxfId="8"/>
    <tableColumn id="12" xr3:uid="{60D0BC20-AB8D-45D9-B128-1553A1D96305}" name="Bottom [m]" dataDxfId="7"/>
    <tableColumn id="3" xr3:uid="{662A2295-30AD-4A23-9CB2-ED339894A5E3}" name="Mass [kg]" dataDxfId="6"/>
    <tableColumn id="1" xr3:uid="{7BB91480-5314-4B92-B955-96A05520598B}" name="Diameter [m]" dataDxfId="5"/>
    <tableColumn id="4" xr3:uid="{288140B8-5B54-4E75-9449-01E8BB0785E7}" name="Orientation [°]" dataDxfId="4"/>
    <tableColumn id="5" xr3:uid="{04DC00AE-32C9-416C-ACBC-DEF2672988E5}" name="Distance Axis to Axis" dataDxfId="3"/>
    <tableColumn id="6" xr3:uid="{55C6527D-0D27-4523-B175-D1F63F0DDCEC}" name="Gap between surfaces" dataDxfId="2"/>
    <tableColumn id="7" xr3:uid="{0BEC8B77-AA74-4444-96C4-C6CFE771E16C}" name="Surface roughness [m]" dataDxfId="1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265" dataDxfId="264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263"/>
    <tableColumn id="2" xr3:uid="{EC6A5746-7A0B-4DAB-8EBD-EDC20D766606}" name="Project ID" dataDxfId="262"/>
    <tableColumn id="3" xr3:uid="{2A15135F-98D6-4FBD-AE84-5EF0B52672ED}" name="Phase" dataDxfId="261"/>
    <tableColumn id="4" xr3:uid="{A7219BBA-68F7-4990-95D5-9B5A4EC218AA}" name="Structure ID" dataDxfId="260"/>
    <tableColumn id="5" xr3:uid="{ACC137C5-3CF1-40F4-952F-3B5BEC9A8ED2}" name="Water Depth [m]" dataDxfId="259"/>
    <tableColumn id="6" xr3:uid="{28B9B9E9-3ACF-4467-8F04-662CFC688071}" name="Height Reference" dataDxfId="258"/>
    <tableColumn id="7" xr3:uid="{352B6A31-2237-4251-83A7-8BBEBAA34145}" name="Comments" dataDxfId="257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256" dataDxfId="255">
  <autoFilter ref="BJ12:BP13" xr:uid="{95B9336E-C6A5-4C93-9BED-34E5AF05FA6C}"/>
  <tableColumns count="7">
    <tableColumn id="1" xr3:uid="{BFA931EE-6FF8-44FC-AD54-32A5CF9115A2}" name="Identifier" dataDxfId="254"/>
    <tableColumn id="2" xr3:uid="{890F5896-05F5-47DB-B9DE-92FEF30867DB}" name="Project ID" dataDxfId="253"/>
    <tableColumn id="3" xr3:uid="{B37A2062-3A26-4ECC-B4E4-991B88E82CB2}" name="Phase" dataDxfId="252"/>
    <tableColumn id="4" xr3:uid="{C64DA219-F7AA-44CC-BC3D-62956AF84B2E}" name="Structure ID" dataDxfId="251"/>
    <tableColumn id="5" xr3:uid="{47235A3E-EBF6-486D-8ADC-74E88BA72554}" name="Water Depth [m]" dataDxfId="250"/>
    <tableColumn id="6" xr3:uid="{6F9496C9-78A5-48EB-ADDB-1E499513D04A}" name="Height Reference" dataDxfId="249"/>
    <tableColumn id="7" xr3:uid="{377B6EFB-A6E2-452C-9D74-166D22A947E2}" name="Comments" dataDxfId="24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247" dataDxfId="246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245"/>
    <tableColumn id="2" xr3:uid="{E8281684-BC71-4E35-8AE4-31AC648F4A83}" name="Top [m]" dataDxfId="244"/>
    <tableColumn id="3" xr3:uid="{6B784D87-E7E2-4CF9-935B-9C0C8FC2DBC2}" name="Bottom [m]" dataDxfId="243"/>
    <tableColumn id="4" xr3:uid="{96A3790F-0CF8-4CB5-8340-C0A20382D4FC}" name="D, top [m]" dataDxfId="242"/>
    <tableColumn id="5" xr3:uid="{222474F9-E0FB-441A-81D5-07306740C4B2}" name="D, bottom [m]" dataDxfId="241"/>
    <tableColumn id="6" xr3:uid="{541ECBE1-3529-43CA-B9AD-3DE9306D1235}" name="t [mm]" dataDxfId="24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25" totalsRowShown="0" dataDxfId="239">
  <autoFilter ref="BQ18:BY25" xr:uid="{6CC2DE03-626B-408F-BF0C-226561799664}"/>
  <tableColumns count="9">
    <tableColumn id="9" xr3:uid="{C4C238D0-5357-48AB-969A-BE97844E5B70}" name="Name" dataDxfId="238"/>
    <tableColumn id="2" xr3:uid="{75F4D18E-F4BE-42B7-BB68-BF337C8DBA12}" name="Top [m]" dataDxfId="237"/>
    <tableColumn id="12" xr3:uid="{7C08C228-C676-4F90-9088-C9A3D6E72EB7}" name="Bottom [m]" dataDxfId="236"/>
    <tableColumn id="3" xr3:uid="{935DDAA6-49E6-45F6-B4AC-FCE8DF0B0A4D}" name="Mass [kg]" dataDxfId="235"/>
    <tableColumn id="1" xr3:uid="{E1D9BE0D-D944-4F2C-BAFF-1BA4FBB69ECE}" name="Diameter [m]" dataDxfId="234"/>
    <tableColumn id="4" xr3:uid="{A5E1EAFC-3DD4-4294-8717-665AE71BEDA8}" name="Orientation [°]" dataDxfId="233"/>
    <tableColumn id="5" xr3:uid="{5CE5C6CE-44B0-4B32-B390-246BAF490F6A}" name="Distance Axis to Axis" dataDxfId="232"/>
    <tableColumn id="6" xr3:uid="{CBE21F9B-8BA2-4737-8F56-34AD78C68BC3}" name="Gap between surfaces" dataDxfId="231"/>
    <tableColumn id="7" xr3:uid="{18326CB3-EF8F-4E97-ADA5-82B71868B5B1}" name="Surface roughness [m]" dataDxfId="23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DN14:DV28" totalsRowShown="0" dataDxfId="229">
  <autoFilter ref="DN14:DV28" xr:uid="{FEE1C0E0-398B-48E1-9521-CCB187180413}"/>
  <tableColumns count="9">
    <tableColumn id="1" xr3:uid="{03A8E757-56E6-48B0-929F-24FBFFC0EAA8}" name="Identifier" dataDxfId="228"/>
    <tableColumn id="2" xr3:uid="{BF4DEE24-7E2F-4B20-9B44-27C601C754F1}" name="Power [MW]" dataDxfId="227"/>
    <tableColumn id="3" xr3:uid="{4CBE937C-DD0F-4596-BD90-BE03828E4CA7}" name="Rotor Diameter [m]" dataDxfId="226"/>
    <tableColumn id="4" xr3:uid="{DE89D440-DA99-4425-B50C-30544DB961F5}" name="Mass of RNA [kg]" dataDxfId="225"/>
    <tableColumn id="5" xr3:uid="{E2FB4084-506E-4EC7-9BC8-8255DFE52EE0}" name="Inertia of RNA fore-aft @COG [kg m^2]" dataDxfId="224"/>
    <tableColumn id="9" xr3:uid="{44DAFC7A-C2DD-41BB-881C-14AD34F8BE60}" name="Inertia of RNA side-side @COG [kg m^2]" dataDxfId="223"/>
    <tableColumn id="6" xr3:uid="{18C2BBB8-192B-4BEC-B9C5-5B12B65B00E4}" name="Vertical Offset TT to HH [m] " dataDxfId="222"/>
    <tableColumn id="7" xr3:uid="{224A58F0-EA11-4A11-9268-3AE211EDB8B3}" name="Vertical Offset TT_COG [m]" dataDxfId="221"/>
    <tableColumn id="8" xr3:uid="{6189FE8D-4B10-4B10-BBA8-06FA82BF9F0C}" name="comment" dataDxfId="220"/>
  </tableColumns>
  <tableStyleInfo name="JBO_Design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X12:EF26" totalsRowShown="0" dataDxfId="219">
  <autoFilter ref="DX12:EF26" xr:uid="{6273375F-28C8-4A14-A545-8B988B5C9E65}"/>
  <tableColumns count="9">
    <tableColumn id="1" xr3:uid="{C3AE8FB7-66D2-47E1-8AA6-F0260BDFFCB8}" name="Identifier" dataDxfId="218"/>
    <tableColumn id="2" xr3:uid="{5F848737-A14E-44D6-9231-85AB48A55526}" name="Power [MW]" dataDxfId="217"/>
    <tableColumn id="3" xr3:uid="{2C93533D-1E27-4EB2-B7E6-3A19FEC55632}" name="Rotor Diameter [m]" dataDxfId="216"/>
    <tableColumn id="4" xr3:uid="{9D1780E5-E668-4D12-AF46-0A1DF433FA8A}" name="Mass of RNA [kg]" dataDxfId="215"/>
    <tableColumn id="5" xr3:uid="{1CA8A517-990E-4959-826C-118C5EC0C261}" name="Inertia of RNA fore-aft @COG [kg m^2]" dataDxfId="214"/>
    <tableColumn id="6" xr3:uid="{9FFE4A1F-E32A-49E7-8031-A24CF653CD8C}" name="Inertia of RNA side-side @COG [kg m^2]" dataDxfId="213"/>
    <tableColumn id="8" xr3:uid="{C481EB76-DD37-4979-8B5D-F3C81E38423E}" name="vertical offset TT to HH [m] " dataDxfId="212"/>
    <tableColumn id="7" xr3:uid="{3BD257A8-5786-4E03-8F1F-6116921828A3}" name="vertical offset TT_COG [m]" dataDxfId="211"/>
    <tableColumn id="9" xr3:uid="{A74BD603-BB70-4B62-BE72-E692B1275ED2}" name="comment" dataDxfId="2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209" dataDxfId="42">
  <autoFilter ref="CB13:CH14" xr:uid="{5E76A910-DF84-4E36-A4A6-B43198F7A96D}"/>
  <tableColumns count="7">
    <tableColumn id="1" xr3:uid="{49BDBE95-80B3-4FD9-8ACC-4B929435AD88}" name="Identifier" dataDxfId="49"/>
    <tableColumn id="2" xr3:uid="{32637689-6006-48B4-8929-BF421BC82099}" name="Project ID" dataDxfId="48"/>
    <tableColumn id="3" xr3:uid="{58EC6A59-D9AB-4639-AE2E-4066805ECCC7}" name="Phase" dataDxfId="47"/>
    <tableColumn id="4" xr3:uid="{D5F3B7B3-BCC6-430C-9377-613CFCF29F12}" name="Structure ID" dataDxfId="46"/>
    <tableColumn id="5" xr3:uid="{92A37342-D675-4C58-9EBE-68B176E8C4F0}" name="Water Depth [m]" dataDxfId="45"/>
    <tableColumn id="6" xr3:uid="{5F11FEBE-52FC-4092-8F48-847726252247}" name="Height Reference" dataDxfId="44"/>
    <tableColumn id="7" xr3:uid="{6517C9F8-12CA-4024-AE0A-4D2B27375CE4}" name="Comments" dataDxfId="43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208" dataDxfId="207">
  <autoFilter ref="CB18:CH19" xr:uid="{025EB930-F6B9-4BC7-B40C-AB7D77CEB229}"/>
  <tableColumns count="7">
    <tableColumn id="1" xr3:uid="{03FCE140-AA4A-46F2-BC6F-D0614EC2E9FE}" name="Identifier" dataDxfId="206"/>
    <tableColumn id="2" xr3:uid="{8FBF53CD-1458-4120-89FB-5F133EE7EBC4}" name="Project ID" dataDxfId="205"/>
    <tableColumn id="3" xr3:uid="{6DB63014-4AF3-4811-AA2F-6F13926398DB}" name="Phase" dataDxfId="204"/>
    <tableColumn id="4" xr3:uid="{87B1B81D-346F-4544-A6A4-9DDE8CD110B3}" name="Structure ID" dataDxfId="203"/>
    <tableColumn id="5" xr3:uid="{340DEA9D-D07C-4CB2-B2CA-37ABBF463E27}" name="Water Depth [m]" dataDxfId="202"/>
    <tableColumn id="6" xr3:uid="{878704E1-3839-422C-897E-097E9E7D609E}" name="Height Reference" dataDxfId="201"/>
    <tableColumn id="7" xr3:uid="{58108BE0-55DB-4266-A1B3-00D35B62F1A1}" name="Comments" dataDxfId="200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202" totalsRowShown="0" headerRowDxfId="199" dataDxfId="35">
  <autoFilter ref="CB112:CG202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41"/>
    <tableColumn id="2" xr3:uid="{AF3B0F66-A97E-469B-BB2C-92E08B9852BC}" name="Top [m]" dataDxfId="40"/>
    <tableColumn id="3" xr3:uid="{EC9C8893-C993-4BCE-BD9D-E7180486ABFE}" name="Bottom [m]" dataDxfId="39"/>
    <tableColumn id="4" xr3:uid="{ED8DD31F-6E20-4C5F-BC92-0B6DB7A1B362}" name="D, top [m]" dataDxfId="38"/>
    <tableColumn id="5" xr3:uid="{2B890B63-A561-40A7-9FBB-7B8D47FD2656}" name="D, bottom [m]" dataDxfId="37"/>
    <tableColumn id="6" xr3:uid="{F255FA0B-5DF3-4FA4-A7BD-E6FEACC8E738}" name="t [mm]" dataDxfId="36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76" totalsRowShown="0" headerRowDxfId="198" dataDxfId="25">
  <autoFilter ref="CM112:CU176" xr:uid="{053322B7-F3E5-4935-832F-DFBC92EF3AA2}"/>
  <tableColumns count="9">
    <tableColumn id="9" xr3:uid="{AB7A3BD0-E047-4B9B-B321-179F40ECC452}" name="Name" dataDxfId="34"/>
    <tableColumn id="2" xr3:uid="{3AED4E5F-8B5F-4607-A3FD-EEAB134CA7C8}" name="Top [m]" dataDxfId="33"/>
    <tableColumn id="12" xr3:uid="{84257648-6597-4C8A-AD5A-3D3D0B07220D}" name="Bottom [m]" dataDxfId="32"/>
    <tableColumn id="3" xr3:uid="{20FDA9C3-BF70-4D85-A870-C8B7ADD0F944}" name="Mass [kg]" dataDxfId="31"/>
    <tableColumn id="1" xr3:uid="{A1DA6B57-09C6-4BA3-8C6D-34B4DE0BC8C4}" name="Diameter [m]" dataDxfId="30"/>
    <tableColumn id="4" xr3:uid="{7B401936-3842-4626-8801-F37D73E9C6DF}" name="Orientation [°]" dataDxfId="29"/>
    <tableColumn id="5" xr3:uid="{3E808003-5E60-482F-ABF1-D2D73158ED75}" name="Distance Axis to Axis" dataDxfId="28"/>
    <tableColumn id="6" xr3:uid="{AA2B16CF-21CA-4B65-91DB-2046C745D885}" name="Gap between surfaces" dataDxfId="27"/>
    <tableColumn id="7" xr3:uid="{269E9AEB-7728-4497-93C0-92D0DDE32F7B}" name="Surface roughness [m]" dataDxfId="26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197" dataDxfId="196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195"/>
    <tableColumn id="2" xr3:uid="{B126DBC5-55C1-442E-B96B-933B020A9CD4}" name="Project ID" dataDxfId="194"/>
    <tableColumn id="3" xr3:uid="{348D5BC0-8868-4781-8DF0-2E04B537B73E}" name="Phase" dataDxfId="193"/>
    <tableColumn id="4" xr3:uid="{056B06E5-26E8-494B-83AF-1C87FB2162FC}" name="Structure ID" dataDxfId="192"/>
    <tableColumn id="5" xr3:uid="{EF179F4C-6CE0-4E71-9486-F0E6D0E71C4C}" name="Water Depth [m]" dataDxfId="191"/>
    <tableColumn id="6" xr3:uid="{2FDCFB50-700F-4830-AD68-13F9C0B1CC31}" name="Height Reference" dataDxfId="190"/>
    <tableColumn id="7" xr3:uid="{DE9B320D-8967-4FD8-BAE1-C291FB3ED005}" name="Comments" dataDxfId="189"/>
  </tableColumns>
  <tableStyleInfo name="JBO_Design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188" dataDxfId="187">
  <autoFilter ref="CV12:DB13" xr:uid="{636DA4FD-EDFB-4F12-A89B-84FBA35E7AC5}"/>
  <tableColumns count="7">
    <tableColumn id="1" xr3:uid="{E34E574E-744D-4554-AD98-E3D18572D674}" name="Identifier" dataDxfId="186"/>
    <tableColumn id="2" xr3:uid="{E411370A-1A97-44E5-BD18-89879F80115C}" name="Project ID" dataDxfId="185"/>
    <tableColumn id="3" xr3:uid="{F8DB145A-5EEF-4C6B-8F9D-B588A17D3C5D}" name="Phase" dataDxfId="184"/>
    <tableColumn id="4" xr3:uid="{43BB9CC2-4974-4122-BCFD-6271174F98E0}" name="Structure ID" dataDxfId="183"/>
    <tableColumn id="5" xr3:uid="{1E3D4F3B-C73C-4C7A-9F63-2C7CEB367AA8}" name="Water Depth [m]" dataDxfId="182"/>
    <tableColumn id="6" xr3:uid="{CF6F63D6-FC41-4D2D-B310-0191259847FF}" name="Height Reference" dataDxfId="181"/>
    <tableColumn id="7" xr3:uid="{50321489-A2C4-4A01-B8EA-6B294362F8E1}" name="Comments" dataDxfId="18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108" totalsRowShown="0" headerRowDxfId="179" dataDxfId="178">
  <autoFilter ref="CV18:DA108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177"/>
    <tableColumn id="2" xr3:uid="{BB1ACF23-16B7-4C47-80B0-893A33C698A9}" name="Top [m]" dataDxfId="176"/>
    <tableColumn id="3" xr3:uid="{D5324E74-51EE-432A-847E-5AE29B7CA4D7}" name="Bottom [m]" dataDxfId="175"/>
    <tableColumn id="4" xr3:uid="{FFBDC83C-AA98-41F1-91F3-EE469D2DD36A}" name="D, top [m]" dataDxfId="174"/>
    <tableColumn id="5" xr3:uid="{B936FF01-5C34-41FB-BD9D-F28D153F9BDF}" name="D, bottom [m]" dataDxfId="173"/>
    <tableColumn id="6" xr3:uid="{19D1010E-9125-43B6-B42C-67FA9586EDA8}" name="t [mm]" dataDxfId="17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82" totalsRowShown="0" dataDxfId="171">
  <autoFilter ref="DC18:DK82" xr:uid="{12F79D89-930A-4420-97C7-60370F1121DC}"/>
  <tableColumns count="9">
    <tableColumn id="9" xr3:uid="{5BB60229-57C8-489B-8AD5-280AB6D93E54}" name="Name" dataDxfId="170"/>
    <tableColumn id="2" xr3:uid="{EAC19ED0-15BB-4F2F-B297-347769AEDA92}" name="Top [m]" dataDxfId="169"/>
    <tableColumn id="12" xr3:uid="{47A7AF06-EC9F-427D-8F50-53F82DB050A6}" name="Bottom [m]" dataDxfId="168"/>
    <tableColumn id="3" xr3:uid="{50700484-30B3-4605-8578-AD4FBA12A5B2}" name="Mass [kg]" dataDxfId="167"/>
    <tableColumn id="1" xr3:uid="{E557ADD3-D28A-4C96-B6FA-AF6D98691265}" name="Diameter [m]" dataDxfId="166"/>
    <tableColumn id="4" xr3:uid="{E8468086-16DA-4063-B0B5-DAC02A29244C}" name="Orientation [°]" dataDxfId="165"/>
    <tableColumn id="5" xr3:uid="{62B06F09-4543-4DBA-8F55-1F54D6CC331B}" name="Distance Axis to Axis" dataDxfId="164"/>
    <tableColumn id="6" xr3:uid="{FC078448-A491-4E57-AF88-7DC574214818}" name="Gap between surfaces" dataDxfId="163"/>
    <tableColumn id="7" xr3:uid="{C7E82548-94F1-43F3-BD70-20A3E76E01FF}" name="Surface roughness [m]" dataDxfId="16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123" headerRowDxfId="161" dataDxfId="160">
  <autoFilter ref="D6:K123" xr:uid="{6964430C-2D65-45C4-817F-08653037EDFC}"/>
  <tableColumns count="8">
    <tableColumn id="1" xr3:uid="{1C924510-54DB-4186-8521-598E5FD7BF93}" name="Section" totalsRowLabel="Ergebnis" dataDxfId="159" totalsRowDxfId="158"/>
    <tableColumn id="2" xr3:uid="{29F8F207-72DF-4027-A39E-C3D956F79382}" name="Affiliation" dataDxfId="157" totalsRowDxfId="156"/>
    <tableColumn id="3" xr3:uid="{F1A86E12-282B-4FE8-A989-9056549BE251}" name="local Section" dataDxfId="155" totalsRowDxfId="154"/>
    <tableColumn id="4" xr3:uid="{1F0B5480-90D3-4DBF-AAEC-010EB8A46507}" name="Top [m]" dataDxfId="153" totalsRowDxfId="152"/>
    <tableColumn id="5" xr3:uid="{2F9EEEB1-AE18-4058-A215-9A6EAD23E6F0}" name="Bottom [m]" dataDxfId="151" totalsRowDxfId="150"/>
    <tableColumn id="6" xr3:uid="{CAF3E9FD-22BF-4C53-97D3-15DEA70C9DE2}" name="D, top [m]" dataDxfId="149" totalsRowDxfId="148"/>
    <tableColumn id="7" xr3:uid="{EE4449DD-273C-4967-8180-25E33E65F937}" name="D, bottom [m]" dataDxfId="147" totalsRowDxfId="146"/>
    <tableColumn id="8" xr3:uid="{0EE8182A-58FD-432D-A87C-9A474A081C7F}" name="t [mm]" totalsRowFunction="sum" dataDxfId="145" totalsRowDxfId="144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84" totalsRowShown="0" headerRowDxfId="143" dataDxfId="142">
  <autoFilter ref="Q6:Z84" xr:uid="{99775F4D-8879-4247-BCBB-9E55004F5FE5}"/>
  <tableColumns count="10">
    <tableColumn id="8" xr3:uid="{4222E379-EA2F-436F-A27E-F66347A2B7A2}" name="Affiliation" dataDxfId="141"/>
    <tableColumn id="1" xr3:uid="{00244646-90F3-4DDD-AB6B-0373781AFF60}" name="Name" dataDxfId="140"/>
    <tableColumn id="2" xr3:uid="{6305BA78-EC7F-4D5E-A143-DF4E3CB9A56C}" name="Top [m]" dataDxfId="139"/>
    <tableColumn id="3" xr3:uid="{156C5A02-52CD-48BE-87D5-E9BF8F935E99}" name="Bottom [m]" dataDxfId="138"/>
    <tableColumn id="4" xr3:uid="{BA986155-703C-4151-964B-7F7638569588}" name="Mass [kg]" dataDxfId="137"/>
    <tableColumn id="5" xr3:uid="{5FB39ED9-35A0-4964-ADC5-B9008F43FCB7}" name="Diameter [m]" dataDxfId="136"/>
    <tableColumn id="6" xr3:uid="{094B0EAF-8736-4B85-A464-028FE0E10FAC}" name="Orientation [°]" dataDxfId="135"/>
    <tableColumn id="7" xr3:uid="{F864D980-FF18-446E-8D28-70D3CBCA43E9}" name="Distance Axis to Axis" dataDxfId="134"/>
    <tableColumn id="9" xr3:uid="{FD2E8D1C-F275-49BC-BD8B-D63D6205E6DF}" name="Gap between surfaces" dataDxfId="133"/>
    <tableColumn id="10" xr3:uid="{DFEB932C-31A8-42AF-A99C-78CC47E5676D}" name="Surface roughness [m]" dataDxfId="132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8" totalsRowShown="0" headerRowDxfId="131" dataDxfId="129" headerRowBorderDxfId="130" tableBorderDxfId="128" totalsRowBorderDxfId="127">
  <autoFilter ref="AB17:AG18" xr:uid="{A1E86920-59C8-4A34-A4FA-D52D35DC047E}"/>
  <tableColumns count="6">
    <tableColumn id="1" xr3:uid="{D7BA5792-F27A-42AB-84A6-1A5C5073E624}" name="Affiliation" dataDxfId="126"/>
    <tableColumn id="3" xr3:uid="{F299E913-54CD-48A0-BB41-0880A93754FE}" name="Top [m]" dataDxfId="125"/>
    <tableColumn id="4" xr3:uid="{3FE7280C-AE16-43A5-98C5-AC81567063F8}" name="Bottom [m]" dataDxfId="124"/>
    <tableColumn id="5" xr3:uid="{494E1F17-E9F7-4B30-BF2F-0D837AD6C9EB}" name="D, top [m]" dataDxfId="123"/>
    <tableColumn id="6" xr3:uid="{9D18588B-23C1-495C-A81D-3BA5AF2F1DDD}" name="D, bottom [m]" dataDxfId="122"/>
    <tableColumn id="7" xr3:uid="{C3BA2567-9ACF-4834-A3FA-9599A0D98796}" name="t [mm]" dataDxfId="121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120" headerRowBorderDxfId="119" tableBorderDxfId="118">
  <autoFilter ref="AB13:AE14" xr:uid="{CD52EECF-AB78-4C57-8765-66AA1058C0CF}"/>
  <tableColumns count="4">
    <tableColumn id="1" xr3:uid="{035BC3C9-B7CD-47B5-94D2-F8D64A04FD6C}" name="Affiliation" dataDxfId="117"/>
    <tableColumn id="2" xr3:uid="{9093341A-644E-4005-A4B0-0B05612EE421}" name="Elevation [m]" dataDxfId="116"/>
    <tableColumn id="3" xr3:uid="{71FE16E7-7251-4F14-B28B-4C6055F6AED1}" name="Mass [t]" dataDxfId="115"/>
    <tableColumn id="4" xr3:uid="{87F4221A-61DF-4C79-A116-8098A7C6FAAE}" name="comment" dataDxfId="114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113" dataDxfId="112">
  <autoFilter ref="AB23:AF27" xr:uid="{8D334D84-754D-4685-9A4A-6A66B2E4FFB9}"/>
  <tableColumns count="5">
    <tableColumn id="1" xr3:uid="{DB673771-BB6D-4B68-81A2-B0DFC2758DC6}" name="Bottom [m]" dataDxfId="111"/>
    <tableColumn id="2" xr3:uid="{88DBAEFE-0CE9-43B7-BBD5-30E29A54DD0E}" name="Top [m]" dataDxfId="110"/>
    <tableColumn id="3" xr3:uid="{88F4E89D-F5DC-463C-AE91-5C5F8B82A591}" name="Marine Growth [mm]" dataDxfId="109"/>
    <tableColumn id="4" xr3:uid="{ABEE5949-3D04-400D-9A95-F3EBF7837C0E}" name="Density  [kg/m^3]" dataDxfId="108"/>
    <tableColumn id="5" xr3:uid="{F538BE21-E07F-43DA-9EA7-D7658B55572F}" name="Surface Roughness [m]" dataDxfId="107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106">
  <autoFilter ref="AB31:AE33" xr:uid="{87B4A03F-1005-4720-8887-A14737394284}"/>
  <tableColumns count="4">
    <tableColumn id="1" xr3:uid="{79B3039B-DCB3-4DB5-9657-9170C1A7D7A1}" name="Bottom [m]" dataDxfId="105"/>
    <tableColumn id="2" xr3:uid="{798BD679-C372-4555-9ABA-DF12AF1BEB7B}" name="Top [m]" dataDxfId="104"/>
    <tableColumn id="3" xr3:uid="{C28B4B73-F57A-4DF1-B531-CD436CEA398C}" name="cd" dataDxfId="103"/>
    <tableColumn id="4" xr3:uid="{B75141CC-AB54-4904-90B7-845CA3D69A1B}" name="cm" dataDxfId="102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101" dataDxfId="99" headerRowBorderDxfId="100" tableBorderDxfId="98" totalsRowBorderDxfId="97">
  <autoFilter ref="AB8:AJ9" xr:uid="{72CE8A2A-6760-4548-BB1E-BCA204D8C1BA}"/>
  <tableColumns count="9">
    <tableColumn id="1" xr3:uid="{46A5A21B-3002-456C-8AD9-5ECB42AC421F}" name="Identifier" dataDxfId="96"/>
    <tableColumn id="2" xr3:uid="{F5B4AC32-29FD-42F7-91EC-62CC42FCE0D7}" name="Power [MW]" dataDxfId="95"/>
    <tableColumn id="3" xr3:uid="{F6A77E93-EA0B-4A7B-91D9-D14361BC8B1A}" name="Rotor Diameter [m]" dataDxfId="94"/>
    <tableColumn id="4" xr3:uid="{324F57B3-0BB2-4A0A-864F-C4E295BA1417}" name="Mass of RNA [kg]" dataDxfId="93"/>
    <tableColumn id="5" xr3:uid="{498958C1-FF10-460A-950F-D28B6D477E67}" name="Inertia of RNA fore-aft @COG [kg m^2]" dataDxfId="92"/>
    <tableColumn id="8" xr3:uid="{234964DC-3BFC-4170-9D6A-7B3DBC67A11F}" name="Inertia of RNA side-side @COG [kg m^2]" dataDxfId="91"/>
    <tableColumn id="6" xr3:uid="{9A250389-A125-48C0-9709-4FC870698E51}" name="Vertical Offset TT to HH [m]" dataDxfId="90"/>
    <tableColumn id="7" xr3:uid="{7481D65D-D15B-4189-850C-213AFF247093}" name="Vertical Offset TT_COG [m]" dataDxfId="89"/>
    <tableColumn id="9" xr3:uid="{DC025F26-D4D4-42D6-A0AC-A10FD5B08484}" name="comment" dataDxfId="88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87" dataDxfId="86">
  <autoFilter ref="A5:C9" xr:uid="{C35E7AB2-603F-4F8E-A683-CC2DB9E03260}"/>
  <tableColumns count="3">
    <tableColumn id="1" xr3:uid="{249E4AC0-B025-41CE-B64B-B1C47A8B108A}" name="Parameter" dataDxfId="85" totalsRowDxfId="84"/>
    <tableColumn id="2" xr3:uid="{96957327-E448-409A-A132-2F66C10F1B05}" name="Value" dataDxfId="83" totalsRowDxfId="82"/>
    <tableColumn id="3" xr3:uid="{9BA3C973-0D4E-4458-9364-B9F23256E516}" name="Unit" dataDxfId="81" totalsRowDxfId="80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Value" dataDxfId="79"/>
    <tableColumn id="3" xr3:uid="{7B4AFB51-C380-4E40-AA9A-07A3C0BB6BB2}" name="Unit" dataDxfId="78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77"/>
    <tableColumn id="2" xr3:uid="{6C705FCB-5D10-4250-9912-E9DAC119643B}" name="Value" dataDxfId="76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75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74"/>
    <tableColumn id="4" xr3:uid="{E0487E44-0EED-4BFD-B57A-C884FB22266C}" name="default" dataDxfId="73"/>
    <tableColumn id="5" xr3:uid="{92045E4D-F12F-4D16-876C-05D25606D491}" name="SN1" dataDxfId="72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27" totalsRowShown="0" headerRowDxfId="71" dataDxfId="69" headerRowBorderDxfId="70">
  <autoFilter ref="R13:AB27" xr:uid="{71E9ED97-D6B3-4021-B4A0-767262A463AF}"/>
  <tableColumns count="11">
    <tableColumn id="3" xr3:uid="{FEC1B86F-C35E-46DA-A7B6-958218640B32}" name="Use For" dataDxfId="68"/>
    <tableColumn id="12" xr3:uid="{C2A89023-9057-4005-B5BC-7177CA0916E4}" name="Affiliation" dataDxfId="67"/>
    <tableColumn id="8" xr3:uid="{DA5288F4-A6D2-4654-91EF-5216E3A5D06D}" name="Name" dataDxfId="66"/>
    <tableColumn id="1" xr3:uid="{BCF04A15-F7A1-4B02-B968-2B77E93E65C8}" name="Top [m]" dataDxfId="65"/>
    <tableColumn id="2" xr3:uid="{7285DDF2-50C0-437F-A508-26E337365FD6}" name="Bottom [m]" dataDxfId="64"/>
    <tableColumn id="6" xr3:uid="{FF72EB0E-B8A4-4A02-BB1C-1EDDA8FDE8B6}" name="Mass [kg]" dataDxfId="63"/>
    <tableColumn id="4" xr3:uid="{C529D6EA-DB28-489B-9417-E4E43DA45BC2}" name="Diameter [m]" dataDxfId="62"/>
    <tableColumn id="7" xr3:uid="{187EAF26-0053-462C-A746-F4CFDD4FEA26}" name="Orientation [°]" dataDxfId="61"/>
    <tableColumn id="9" xr3:uid="{083E9AAE-21E0-4DD4-92EE-C339CE2D1002}" name="Distance Axis to Axis" dataDxfId="60"/>
    <tableColumn id="13" xr3:uid="{21BE8926-C21A-4E38-9100-554AFA0FA93B}" name="Gap between surfaces" dataDxfId="59"/>
    <tableColumn id="10" xr3:uid="{5E743F44-ADBC-4FED-9125-954BB70B4AA2}" name="Surface roughness [m]" dataDxfId="58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16:AL45" totalsRowShown="0" dataDxfId="57">
  <autoFilter ref="AF16:AL45" xr:uid="{FE356BDF-F7DD-4DF8-8A03-F552C7434686}"/>
  <tableColumns count="7">
    <tableColumn id="1" xr3:uid="{6D2CD887-573B-48AA-98AD-9996FADDC923}" name="Node [-]" dataDxfId="56"/>
    <tableColumn id="2" xr3:uid="{EC70247F-3373-4C15-8E7F-4D2A86B1DE62}" name="Elevation [m]" dataDxfId="55"/>
    <tableColumn id="3" xr3:uid="{083E87E4-CECB-495A-A83F-130B2C844AFE}" name="Local x [m]" dataDxfId="54"/>
    <tableColumn id="4" xr3:uid="{7C868A91-68C1-4A51-B109-53217D6E2AA3}" name="Local y [m]" dataDxfId="53"/>
    <tableColumn id="5" xr3:uid="{86FF08B6-8D4D-4CCD-919D-2EE5F2A56883}" name="Point mass [m]" dataDxfId="52"/>
    <tableColumn id="6" xr3:uid="{6C286BEE-E8E7-481A-94E7-8A10C03F2B0D}" name="New Node?" dataDxfId="51"/>
    <tableColumn id="7" xr3:uid="{6F09390B-5897-4502-BE0F-57B6FE441D6D}" name="comment" dataDxfId="50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16:AX72" totalsRowShown="0">
  <autoFilter ref="AO16:AX72" xr:uid="{08A0827C-AEB7-4AC5-AC1C-3A9EEE71E512}"/>
  <tableColumns count="10">
    <tableColumn id="1" xr3:uid="{EE8CEEDE-C7F8-49BC-B1C1-62256D68B1F7}" name="Affiliation"/>
    <tableColumn id="2" xr3:uid="{B5C9A065-2A24-4663-A78E-AB359C1B07B6}" name="Member [-]"/>
    <tableColumn id="3" xr3:uid="{6737F7E4-75EA-4406-A7BA-6FC70240743C}" name="Node [-]"/>
    <tableColumn id="4" xr3:uid="{89E5BBF6-3045-4D1E-BBF3-FCAE237AEF1F}" name="Diameter [m]"/>
    <tableColumn id="5" xr3:uid="{6F3CFA72-85FE-4FA1-98D1-C26E66E5227F}" name="Wall thickness [mm]"/>
    <tableColumn id="6" xr3:uid="{6F8DAE76-3BDE-41F7-B41C-569866CCAC01}" name="cd [-]"/>
    <tableColumn id="7" xr3:uid="{38F26F02-A7D4-4714-AB52-DE027CA3C685}" name="cm [-]"/>
    <tableColumn id="8" xr3:uid="{AF03C275-EBB0-4E9C-B3AD-4A9D80A81FED}" name="Marine growth [mm]"/>
    <tableColumn id="9" xr3:uid="{05F492D6-D126-434F-93C6-A121F0788998}" name="Density [kg*m^-3]"/>
    <tableColumn id="10" xr3:uid="{0530F484-7CF4-4A9A-9354-6550550F5D09}" name="Material [-]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O11:AR12" totalsRowShown="0">
  <autoFilter ref="AO11:AR12" xr:uid="{75D83FCB-684E-49B9-8C8E-EEC425D5900E}"/>
  <tableColumns count="4">
    <tableColumn id="1" xr3:uid="{CB78C727-D5DC-4CA2-BA49-B008160D7D1F}" name="Material"/>
    <tableColumn id="2" xr3:uid="{065FA7D2-18F9-4AC6-BB89-D8104A6F0927}" name="Density"/>
    <tableColumn id="3" xr3:uid="{5D3B327E-2F90-44C2-802D-F2908776C407}" name="Young's Mod."/>
    <tableColumn id="4" xr3:uid="{4882E81A-F94D-4030-BB50-4BFCD860A46F}" name="Shear Mod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1:AH14" totalsRowShown="0">
  <autoFilter ref="AF11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ctrlProp" Target="../ctrlProps/ctrlProp48.xml"/><Relationship Id="rId63" Type="http://schemas.openxmlformats.org/officeDocument/2006/relationships/table" Target="../tables/table14.xml"/><Relationship Id="rId68" Type="http://schemas.openxmlformats.org/officeDocument/2006/relationships/table" Target="../tables/table1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4.xml"/><Relationship Id="rId58" Type="http://schemas.openxmlformats.org/officeDocument/2006/relationships/table" Target="../tables/table9.xml"/><Relationship Id="rId66" Type="http://schemas.openxmlformats.org/officeDocument/2006/relationships/table" Target="../tables/table17.xml"/><Relationship Id="rId74" Type="http://schemas.openxmlformats.org/officeDocument/2006/relationships/table" Target="../tables/table25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2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ctrlProp" Target="../ctrlProps/ctrlProp49.xml"/><Relationship Id="rId56" Type="http://schemas.openxmlformats.org/officeDocument/2006/relationships/table" Target="../tables/table7.xml"/><Relationship Id="rId64" Type="http://schemas.openxmlformats.org/officeDocument/2006/relationships/table" Target="../tables/table15.xml"/><Relationship Id="rId69" Type="http://schemas.openxmlformats.org/officeDocument/2006/relationships/table" Target="../tables/table20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.xml"/><Relationship Id="rId72" Type="http://schemas.openxmlformats.org/officeDocument/2006/relationships/table" Target="../tables/table2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ctrlProp" Target="../ctrlProps/ctrlProp47.xml"/><Relationship Id="rId59" Type="http://schemas.openxmlformats.org/officeDocument/2006/relationships/table" Target="../tables/table10.xml"/><Relationship Id="rId67" Type="http://schemas.openxmlformats.org/officeDocument/2006/relationships/table" Target="../tables/table18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5.xml"/><Relationship Id="rId62" Type="http://schemas.openxmlformats.org/officeDocument/2006/relationships/table" Target="../tables/table13.xml"/><Relationship Id="rId70" Type="http://schemas.openxmlformats.org/officeDocument/2006/relationships/table" Target="../tables/table21.xml"/><Relationship Id="rId75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ctrlProp" Target="../ctrlProps/ctrlProp50.xml"/><Relationship Id="rId57" Type="http://schemas.openxmlformats.org/officeDocument/2006/relationships/table" Target="../tables/table8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3.xml"/><Relationship Id="rId60" Type="http://schemas.openxmlformats.org/officeDocument/2006/relationships/table" Target="../tables/table11.xml"/><Relationship Id="rId65" Type="http://schemas.openxmlformats.org/officeDocument/2006/relationships/table" Target="../tables/table16.xml"/><Relationship Id="rId73" Type="http://schemas.openxmlformats.org/officeDocument/2006/relationships/table" Target="../tables/table2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1.xml"/><Relationship Id="rId55" Type="http://schemas.openxmlformats.org/officeDocument/2006/relationships/table" Target="../tables/table6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4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51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5" Type="http://schemas.openxmlformats.org/officeDocument/2006/relationships/ctrlProp" Target="../ctrlProps/ctrlProp56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61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1:D44"/>
  <sheetViews>
    <sheetView showGridLines="0" zoomScale="70" zoomScaleNormal="70" workbookViewId="0">
      <selection activeCell="C27" sqref="C27"/>
    </sheetView>
  </sheetViews>
  <sheetFormatPr baseColWidth="10" defaultRowHeight="14.4"/>
  <cols>
    <col min="2" max="2" width="39.33203125" customWidth="1"/>
    <col min="3" max="3" width="22.5546875" customWidth="1"/>
    <col min="4" max="4" width="139.88671875" customWidth="1"/>
  </cols>
  <sheetData>
    <row r="1" spans="2:4" ht="15" thickBot="1"/>
    <row r="2" spans="2:4" ht="18">
      <c r="B2" s="142" t="s">
        <v>363</v>
      </c>
      <c r="C2" s="137" t="s">
        <v>345</v>
      </c>
      <c r="D2" s="138" t="s">
        <v>350</v>
      </c>
    </row>
    <row r="3" spans="2:4">
      <c r="B3" s="143"/>
      <c r="D3" s="57"/>
    </row>
    <row r="4" spans="2:4">
      <c r="B4" s="143"/>
      <c r="D4" s="57" t="s">
        <v>361</v>
      </c>
    </row>
    <row r="5" spans="2:4" ht="15" thickBot="1">
      <c r="B5" s="144"/>
      <c r="C5" s="67"/>
      <c r="D5" s="68"/>
    </row>
    <row r="6" spans="2:4" ht="18">
      <c r="B6" s="142" t="s">
        <v>357</v>
      </c>
      <c r="C6" s="137" t="s">
        <v>346</v>
      </c>
      <c r="D6" s="138" t="s">
        <v>351</v>
      </c>
    </row>
    <row r="7" spans="2:4">
      <c r="B7" s="143"/>
      <c r="C7" s="58" t="s">
        <v>359</v>
      </c>
      <c r="D7" s="57"/>
    </row>
    <row r="8" spans="2:4">
      <c r="B8" s="143"/>
      <c r="C8" s="139" t="s">
        <v>347</v>
      </c>
      <c r="D8" s="140" t="s">
        <v>352</v>
      </c>
    </row>
    <row r="9" spans="2:4">
      <c r="B9" s="143"/>
      <c r="D9" s="57"/>
    </row>
    <row r="10" spans="2:4" ht="15" thickBot="1">
      <c r="B10" s="143"/>
      <c r="D10" s="57" t="s">
        <v>362</v>
      </c>
    </row>
    <row r="11" spans="2:4" ht="15" thickBot="1">
      <c r="B11" s="143"/>
      <c r="C11" s="141" t="s">
        <v>355</v>
      </c>
      <c r="D11" s="136" t="s">
        <v>356</v>
      </c>
    </row>
    <row r="12" spans="2:4" ht="15" thickBot="1">
      <c r="B12" s="144"/>
      <c r="C12" s="67"/>
      <c r="D12" s="68"/>
    </row>
    <row r="13" spans="2:4" ht="18">
      <c r="B13" s="142" t="s">
        <v>348</v>
      </c>
      <c r="C13" s="63"/>
      <c r="D13" s="65" t="s">
        <v>353</v>
      </c>
    </row>
    <row r="14" spans="2:4">
      <c r="B14" s="143"/>
      <c r="C14" s="56"/>
      <c r="D14" s="57"/>
    </row>
    <row r="15" spans="2:4">
      <c r="B15" s="143"/>
      <c r="C15" s="56"/>
      <c r="D15" s="57"/>
    </row>
    <row r="16" spans="2:4">
      <c r="B16" s="143"/>
      <c r="C16" s="56"/>
      <c r="D16" s="57"/>
    </row>
    <row r="17" spans="2:4">
      <c r="B17" s="143"/>
      <c r="C17" s="56"/>
      <c r="D17" s="57"/>
    </row>
    <row r="18" spans="2:4">
      <c r="B18" s="143"/>
      <c r="C18" s="56"/>
      <c r="D18" s="57"/>
    </row>
    <row r="19" spans="2:4">
      <c r="B19" s="143"/>
      <c r="C19" s="56"/>
      <c r="D19" s="57"/>
    </row>
    <row r="20" spans="2:4">
      <c r="B20" s="143"/>
      <c r="C20" s="56"/>
      <c r="D20" s="57"/>
    </row>
    <row r="21" spans="2:4">
      <c r="B21" s="143"/>
      <c r="C21" s="56"/>
      <c r="D21" s="57"/>
    </row>
    <row r="22" spans="2:4">
      <c r="B22" s="143"/>
      <c r="C22" s="56"/>
      <c r="D22" s="57"/>
    </row>
    <row r="23" spans="2:4">
      <c r="B23" s="143"/>
      <c r="C23" s="56"/>
      <c r="D23" s="57"/>
    </row>
    <row r="24" spans="2:4">
      <c r="B24" s="143"/>
      <c r="C24" s="56"/>
      <c r="D24" s="57"/>
    </row>
    <row r="25" spans="2:4">
      <c r="B25" s="143"/>
      <c r="C25" s="56"/>
      <c r="D25" s="57"/>
    </row>
    <row r="26" spans="2:4">
      <c r="B26" s="143"/>
      <c r="C26" s="56"/>
      <c r="D26" s="57"/>
    </row>
    <row r="27" spans="2:4">
      <c r="B27" s="143"/>
      <c r="C27" s="56"/>
      <c r="D27" s="57"/>
    </row>
    <row r="28" spans="2:4">
      <c r="B28" s="143"/>
      <c r="C28" s="56"/>
      <c r="D28" s="57"/>
    </row>
    <row r="29" spans="2:4">
      <c r="B29" s="143"/>
      <c r="C29" s="56"/>
      <c r="D29" s="57"/>
    </row>
    <row r="30" spans="2:4" ht="15" thickBot="1">
      <c r="B30" s="144"/>
      <c r="C30" s="66"/>
      <c r="D30" s="68"/>
    </row>
    <row r="31" spans="2:4" ht="18">
      <c r="B31" s="142" t="s">
        <v>349</v>
      </c>
      <c r="C31" s="64"/>
      <c r="D31" s="65" t="s">
        <v>354</v>
      </c>
    </row>
    <row r="32" spans="2:4">
      <c r="B32" s="143"/>
      <c r="D32" s="57" t="s">
        <v>358</v>
      </c>
    </row>
    <row r="33" spans="2:4">
      <c r="B33" s="143"/>
      <c r="D33" s="57"/>
    </row>
    <row r="34" spans="2:4">
      <c r="B34" s="143"/>
      <c r="D34" s="57"/>
    </row>
    <row r="35" spans="2:4">
      <c r="B35" s="143"/>
      <c r="D35" s="57"/>
    </row>
    <row r="36" spans="2:4">
      <c r="B36" s="143"/>
      <c r="D36" s="57"/>
    </row>
    <row r="37" spans="2:4">
      <c r="B37" s="143"/>
      <c r="D37" s="57"/>
    </row>
    <row r="38" spans="2:4">
      <c r="B38" s="143"/>
      <c r="D38" s="57"/>
    </row>
    <row r="39" spans="2:4">
      <c r="B39" s="143"/>
      <c r="D39" s="57"/>
    </row>
    <row r="40" spans="2:4">
      <c r="B40" s="143"/>
      <c r="D40" s="57"/>
    </row>
    <row r="41" spans="2:4">
      <c r="B41" s="143"/>
      <c r="D41" s="57"/>
    </row>
    <row r="42" spans="2:4" ht="15" thickBot="1">
      <c r="B42" s="144"/>
      <c r="C42" s="67"/>
      <c r="D42" s="68"/>
    </row>
    <row r="44" spans="2:4" ht="18">
      <c r="B44" s="70"/>
    </row>
  </sheetData>
  <hyperlinks>
    <hyperlink ref="D2" r:id="rId1" display="https://www.python.org/downloads/windows/" xr:uid="{186286B4-A626-477F-B359-EC7C6DF0E213}"/>
    <hyperlink ref="D6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4.4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210" t="s">
        <v>42</v>
      </c>
      <c r="C4" s="211"/>
      <c r="D4" s="212"/>
      <c r="E4" s="40"/>
      <c r="F4" s="213" t="s">
        <v>26</v>
      </c>
      <c r="G4" s="214"/>
      <c r="H4" s="214"/>
      <c r="I4" s="215"/>
      <c r="J4" s="40"/>
      <c r="K4" s="216" t="s">
        <v>43</v>
      </c>
      <c r="L4" s="217"/>
      <c r="M4" s="218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360</v>
      </c>
      <c r="D22" s="1" t="s">
        <v>360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M890"/>
  <sheetViews>
    <sheetView showGridLines="0" tabSelected="1" zoomScale="55" zoomScaleNormal="55" workbookViewId="0">
      <selection activeCell="DO123" sqref="DO123"/>
    </sheetView>
  </sheetViews>
  <sheetFormatPr baseColWidth="10" defaultColWidth="22.88671875" defaultRowHeight="18" customHeight="1" outlineLevelRow="1"/>
  <cols>
    <col min="1" max="1" width="24.5546875" style="71" customWidth="1"/>
    <col min="2" max="2" width="24.6640625" style="59" customWidth="1"/>
    <col min="3" max="3" width="21" style="59" customWidth="1"/>
    <col min="4" max="4" width="23.109375" style="59" customWidth="1"/>
    <col min="5" max="5" width="50.109375" style="89" hidden="1" customWidth="1"/>
    <col min="6" max="7" width="22" style="53" hidden="1" customWidth="1"/>
    <col min="8" max="8" width="27.6640625" style="53" hidden="1" customWidth="1"/>
    <col min="9" max="9" width="22" style="53" hidden="1" customWidth="1"/>
    <col min="10" max="10" width="22" style="52" hidden="1" customWidth="1"/>
    <col min="11" max="11" width="22" style="97" hidden="1" customWidth="1"/>
    <col min="12" max="13" width="22" hidden="1" customWidth="1"/>
    <col min="14" max="14" width="22" style="83" hidden="1" customWidth="1"/>
    <col min="15" max="15" width="11.109375" hidden="1" customWidth="1"/>
    <col min="16" max="16" width="38.5546875" hidden="1" customWidth="1"/>
    <col min="17" max="23" width="21.5546875" hidden="1" customWidth="1"/>
    <col min="24" max="24" width="21.5546875" style="57" hidden="1" customWidth="1"/>
    <col min="25" max="29" width="22.88671875" hidden="1" customWidth="1"/>
    <col min="30" max="30" width="25.109375" hidden="1" customWidth="1"/>
    <col min="31" max="31" width="21.109375" hidden="1" customWidth="1"/>
    <col min="32" max="32" width="18.33203125" hidden="1" customWidth="1"/>
    <col min="33" max="33" width="18.5546875" hidden="1" customWidth="1" collapsed="1"/>
    <col min="34" max="34" width="25.33203125" hidden="1" customWidth="1"/>
    <col min="35" max="35" width="20.6640625" hidden="1" customWidth="1"/>
    <col min="36" max="36" width="16.5546875" hidden="1" customWidth="1"/>
    <col min="37" max="37" width="20.6640625" hidden="1" customWidth="1"/>
    <col min="38" max="38" width="13.33203125" hidden="1" customWidth="1"/>
    <col min="39" max="40" width="22.88671875" hidden="1" customWidth="1"/>
    <col min="41" max="41" width="21.5546875" hidden="1" customWidth="1"/>
    <col min="42" max="42" width="50.109375" style="89" hidden="1" customWidth="1"/>
    <col min="43" max="44" width="22" style="53" hidden="1" customWidth="1"/>
    <col min="45" max="45" width="27.6640625" style="53" hidden="1" customWidth="1"/>
    <col min="46" max="46" width="22" style="53" hidden="1" customWidth="1"/>
    <col min="47" max="47" width="22" style="52" hidden="1" customWidth="1"/>
    <col min="48" max="48" width="22" style="97" hidden="1" customWidth="1"/>
    <col min="49" max="50" width="22" hidden="1" customWidth="1"/>
    <col min="51" max="51" width="22" style="83" hidden="1" customWidth="1"/>
    <col min="52" max="52" width="11.109375" hidden="1" customWidth="1"/>
    <col min="53" max="53" width="56.33203125" hidden="1" customWidth="1"/>
    <col min="54" max="60" width="21.5546875" hidden="1" customWidth="1"/>
    <col min="61" max="61" width="21.5546875" style="57" hidden="1" customWidth="1"/>
    <col min="62" max="66" width="22.88671875" hidden="1" customWidth="1"/>
    <col min="67" max="67" width="25.109375" hidden="1" customWidth="1"/>
    <col min="68" max="69" width="21.109375" hidden="1" customWidth="1"/>
    <col min="70" max="72" width="18.33203125" hidden="1" customWidth="1"/>
    <col min="73" max="73" width="18.5546875" hidden="1" customWidth="1" collapsed="1"/>
    <col min="74" max="74" width="25.33203125" hidden="1" customWidth="1"/>
    <col min="75" max="75" width="20.6640625" hidden="1" customWidth="1"/>
    <col min="76" max="76" width="16.5546875" hidden="1" customWidth="1"/>
    <col min="77" max="77" width="22.88671875" hidden="1" customWidth="1" collapsed="1"/>
    <col min="78" max="78" width="22.88671875" hidden="1" customWidth="1"/>
    <col min="79" max="79" width="21.5546875" hidden="1" customWidth="1"/>
    <col min="80" max="80" width="50.109375" style="89" hidden="1" customWidth="1"/>
    <col min="81" max="82" width="22" style="53" hidden="1" customWidth="1"/>
    <col min="83" max="83" width="27.6640625" style="53" hidden="1" customWidth="1"/>
    <col min="84" max="84" width="22" style="53" hidden="1" customWidth="1"/>
    <col min="85" max="85" width="22" style="52" hidden="1" customWidth="1"/>
    <col min="86" max="86" width="22" style="97" hidden="1" customWidth="1"/>
    <col min="87" max="88" width="22" hidden="1" customWidth="1"/>
    <col min="89" max="89" width="22" style="83" hidden="1" customWidth="1"/>
    <col min="90" max="90" width="11.109375" hidden="1" customWidth="1"/>
    <col min="91" max="98" width="21.5546875" hidden="1" customWidth="1"/>
    <col min="99" max="99" width="21.5546875" style="57" hidden="1" customWidth="1"/>
    <col min="100" max="104" width="22.88671875" hidden="1" customWidth="1"/>
    <col min="105" max="105" width="25.109375" hidden="1" customWidth="1"/>
    <col min="106" max="107" width="21.109375" hidden="1" customWidth="1"/>
    <col min="108" max="110" width="18.33203125" hidden="1" customWidth="1"/>
    <col min="111" max="111" width="18.5546875" hidden="1" customWidth="1" collapsed="1"/>
    <col min="112" max="112" width="25.33203125" hidden="1" customWidth="1"/>
    <col min="113" max="113" width="20.6640625" hidden="1" customWidth="1"/>
    <col min="114" max="114" width="16.5546875" hidden="1" customWidth="1"/>
    <col min="115" max="115" width="22.88671875" hidden="1" customWidth="1" collapsed="1"/>
    <col min="116" max="117" width="22.88671875" hidden="1" customWidth="1"/>
    <col min="118" max="118" width="50.6640625" style="56" customWidth="1"/>
    <col min="119" max="126" width="22.88671875" customWidth="1"/>
    <col min="127" max="127" width="22.88671875" style="57" customWidth="1"/>
    <col min="128" max="136" width="22.88671875" hidden="1" customWidth="1"/>
    <col min="137" max="137" width="22.88671875" hidden="1" customWidth="1" collapsed="1"/>
    <col min="138" max="138" width="22.88671875" hidden="1" customWidth="1"/>
    <col min="139" max="142" width="0" hidden="1" customWidth="1"/>
    <col min="143" max="143" width="0" style="57" hidden="1" customWidth="1"/>
    <col min="144" max="144" width="0" hidden="1" customWidth="1"/>
  </cols>
  <sheetData>
    <row r="1" spans="1:136" ht="200.4" customHeight="1" thickBot="1">
      <c r="A1" s="149"/>
      <c r="B1" s="150"/>
      <c r="C1" s="150"/>
      <c r="D1" s="151"/>
      <c r="E1" s="166" t="s">
        <v>368</v>
      </c>
      <c r="K1"/>
      <c r="N1"/>
      <c r="AP1" s="167" t="s">
        <v>369</v>
      </c>
      <c r="AV1"/>
      <c r="AY1"/>
      <c r="CB1" s="152" t="s">
        <v>370</v>
      </c>
      <c r="CH1"/>
      <c r="CK1"/>
      <c r="DN1" s="168" t="s">
        <v>367</v>
      </c>
    </row>
    <row r="2" spans="1:136" ht="18" customHeight="1">
      <c r="E2" s="180"/>
      <c r="F2" s="181"/>
      <c r="G2" s="181"/>
      <c r="H2" s="181"/>
      <c r="I2" s="181"/>
      <c r="J2" s="182"/>
      <c r="K2" s="87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80"/>
      <c r="AQ2" s="181"/>
      <c r="AR2" s="181"/>
      <c r="AS2" s="181"/>
      <c r="AT2" s="181"/>
      <c r="AU2" s="182"/>
      <c r="AV2" s="87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80"/>
      <c r="CC2" s="181"/>
      <c r="CD2" s="181"/>
      <c r="CE2" s="181"/>
      <c r="CF2" s="181"/>
      <c r="CG2" s="182"/>
      <c r="CH2" s="87"/>
      <c r="CI2" s="63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6"/>
      <c r="DO2" s="87"/>
      <c r="DP2" s="87"/>
      <c r="DQ2" s="87"/>
      <c r="DR2" s="87"/>
      <c r="DS2" s="87"/>
      <c r="DT2" s="87"/>
      <c r="DU2" s="87"/>
      <c r="DV2" s="87"/>
      <c r="DW2" s="147"/>
    </row>
    <row r="3" spans="1:136" ht="43.5" customHeight="1">
      <c r="E3" s="185" t="s">
        <v>69</v>
      </c>
      <c r="F3" s="183"/>
      <c r="G3" s="183"/>
      <c r="H3" s="183"/>
      <c r="I3" s="183"/>
      <c r="J3" s="184"/>
      <c r="K3" s="59"/>
      <c r="L3" s="56"/>
      <c r="N3"/>
      <c r="AP3" s="185" t="s">
        <v>83</v>
      </c>
      <c r="AQ3" s="183"/>
      <c r="AR3" s="183"/>
      <c r="AS3" s="183"/>
      <c r="AT3" s="183"/>
      <c r="AU3" s="184"/>
      <c r="AV3" s="59"/>
      <c r="AW3" s="56"/>
      <c r="AY3"/>
      <c r="CB3" s="186" t="s">
        <v>71</v>
      </c>
      <c r="CC3" s="183"/>
      <c r="CD3" s="183"/>
      <c r="CE3" s="183"/>
      <c r="CF3" s="183"/>
      <c r="CG3" s="184"/>
      <c r="CH3" s="59"/>
      <c r="CI3" s="56"/>
      <c r="CK3"/>
      <c r="DN3" s="185" t="s">
        <v>109</v>
      </c>
      <c r="DO3" s="183"/>
      <c r="DP3" s="183"/>
      <c r="DQ3" s="183"/>
      <c r="DR3" s="183"/>
      <c r="DS3" s="184"/>
      <c r="DT3" s="59"/>
      <c r="DU3" s="59"/>
      <c r="DV3" s="59"/>
      <c r="DW3" s="126"/>
    </row>
    <row r="4" spans="1:136" ht="18" customHeight="1">
      <c r="E4" s="71"/>
      <c r="F4" s="59"/>
      <c r="G4" s="59"/>
      <c r="H4" s="59"/>
      <c r="I4" s="59"/>
      <c r="J4" s="59"/>
      <c r="K4" s="59"/>
      <c r="L4" s="56"/>
      <c r="N4"/>
      <c r="AP4" s="71"/>
      <c r="AQ4" s="59"/>
      <c r="AR4" s="59"/>
      <c r="AS4" s="59"/>
      <c r="AT4" s="59"/>
      <c r="AU4" s="59"/>
      <c r="AV4" s="59"/>
      <c r="AW4" s="56"/>
      <c r="AY4"/>
      <c r="BY4" s="58"/>
      <c r="BZ4" s="58"/>
      <c r="CB4" s="71"/>
      <c r="CC4" s="59"/>
      <c r="CD4" s="59"/>
      <c r="CE4" s="59"/>
      <c r="CF4" s="59"/>
      <c r="CG4" s="59"/>
      <c r="CH4" s="59"/>
      <c r="CI4" s="56"/>
      <c r="CK4"/>
      <c r="DK4" s="58"/>
      <c r="DL4" s="58"/>
      <c r="DM4" s="58"/>
      <c r="DN4" s="71"/>
      <c r="DO4" s="59"/>
      <c r="DP4" s="59"/>
      <c r="DQ4" s="59"/>
      <c r="DR4" s="59"/>
      <c r="DS4" s="59"/>
      <c r="DT4" s="59"/>
      <c r="DU4" s="59"/>
      <c r="DV4" s="59"/>
      <c r="DW4" s="126"/>
    </row>
    <row r="5" spans="1:136" ht="19.5" customHeight="1" thickBot="1">
      <c r="A5" s="145"/>
      <c r="B5" s="146"/>
      <c r="C5" s="146"/>
      <c r="D5" s="146"/>
      <c r="E5" s="100" t="s">
        <v>253</v>
      </c>
      <c r="F5" s="70"/>
      <c r="G5" s="70"/>
      <c r="H5" s="70"/>
      <c r="I5" s="70"/>
      <c r="J5"/>
      <c r="K5"/>
      <c r="L5" s="56"/>
      <c r="N5"/>
      <c r="AP5" s="100" t="s">
        <v>253</v>
      </c>
      <c r="AQ5" s="70"/>
      <c r="AR5" s="70"/>
      <c r="AS5" s="70"/>
      <c r="AT5" s="70"/>
      <c r="AU5"/>
      <c r="AV5"/>
      <c r="AW5" s="56"/>
      <c r="AY5"/>
      <c r="CB5" s="100" t="s">
        <v>253</v>
      </c>
      <c r="CC5" s="70"/>
      <c r="CD5" s="70"/>
      <c r="CE5" s="70"/>
      <c r="CF5" s="70"/>
      <c r="CG5"/>
      <c r="CH5"/>
      <c r="CI5" s="56"/>
      <c r="CK5"/>
      <c r="DN5" s="100" t="s">
        <v>253</v>
      </c>
      <c r="DO5" s="70"/>
      <c r="DP5" s="70"/>
      <c r="DQ5" s="70"/>
      <c r="DR5" s="70"/>
    </row>
    <row r="6" spans="1:136" ht="18" customHeight="1">
      <c r="A6" s="145"/>
      <c r="B6" s="146"/>
      <c r="C6" s="146"/>
      <c r="D6" s="146"/>
      <c r="E6" s="77"/>
      <c r="F6" s="84" t="s">
        <v>249</v>
      </c>
      <c r="G6" s="78"/>
      <c r="H6" s="78"/>
      <c r="I6" s="78"/>
      <c r="J6" s="78"/>
      <c r="K6" s="78"/>
      <c r="L6" s="56"/>
      <c r="N6" s="72"/>
      <c r="AP6" s="77"/>
      <c r="AQ6" s="84" t="s">
        <v>249</v>
      </c>
      <c r="AR6" s="78"/>
      <c r="AS6" s="78"/>
      <c r="AT6" s="78"/>
      <c r="AU6" s="78"/>
      <c r="AV6" s="78"/>
      <c r="AW6" s="56"/>
      <c r="AY6" s="72"/>
      <c r="CB6" s="77"/>
      <c r="CC6" s="84" t="s">
        <v>249</v>
      </c>
      <c r="CD6" s="78"/>
      <c r="CE6" s="78"/>
      <c r="CF6" s="78"/>
      <c r="CG6" s="78"/>
      <c r="CH6" s="78"/>
      <c r="CI6" s="56"/>
      <c r="CK6" s="72"/>
      <c r="DN6" s="77"/>
      <c r="DO6" s="84" t="s">
        <v>249</v>
      </c>
      <c r="DP6" s="78"/>
      <c r="DQ6" s="78"/>
      <c r="DR6" s="78"/>
      <c r="DS6" s="78"/>
      <c r="DT6" s="111"/>
    </row>
    <row r="7" spans="1:136" ht="18" customHeight="1">
      <c r="A7" s="145"/>
      <c r="B7" s="146"/>
      <c r="C7" s="146"/>
      <c r="D7" s="146"/>
      <c r="E7" s="79"/>
      <c r="F7" s="73" t="s">
        <v>81</v>
      </c>
      <c r="G7" s="69"/>
      <c r="H7" s="69"/>
      <c r="I7" s="69"/>
      <c r="J7" s="69"/>
      <c r="K7" s="69"/>
      <c r="L7" s="56"/>
      <c r="N7"/>
      <c r="AP7" s="79"/>
      <c r="AQ7" s="73" t="s">
        <v>375</v>
      </c>
      <c r="AR7" s="69"/>
      <c r="AS7" s="69"/>
      <c r="AT7" s="69"/>
      <c r="AU7" s="69"/>
      <c r="AV7" s="69"/>
      <c r="AW7" s="56"/>
      <c r="AY7"/>
      <c r="BM7" t="s">
        <v>263</v>
      </c>
      <c r="CB7" s="79"/>
      <c r="CC7" s="73" t="s">
        <v>263</v>
      </c>
      <c r="CD7" s="69"/>
      <c r="CE7" s="69"/>
      <c r="CF7" s="69"/>
      <c r="CG7" s="69"/>
      <c r="CH7" s="69"/>
      <c r="CI7" s="56"/>
      <c r="CK7"/>
      <c r="DN7" s="79"/>
      <c r="DO7" s="73" t="s">
        <v>126</v>
      </c>
      <c r="DP7" s="69"/>
      <c r="DQ7" s="69"/>
      <c r="DR7" s="69"/>
      <c r="DS7" s="69"/>
      <c r="DT7" s="112"/>
    </row>
    <row r="8" spans="1:136" ht="18" customHeight="1">
      <c r="A8" s="145"/>
      <c r="B8" s="146"/>
      <c r="C8" s="146"/>
      <c r="D8" s="146"/>
      <c r="E8" s="79"/>
      <c r="F8" s="80"/>
      <c r="G8" s="80"/>
      <c r="H8" s="80"/>
      <c r="I8" s="80"/>
      <c r="J8" s="80"/>
      <c r="K8" s="80"/>
      <c r="L8" s="56"/>
      <c r="N8"/>
      <c r="AP8" s="79"/>
      <c r="AQ8" s="80"/>
      <c r="AR8" s="80"/>
      <c r="AS8" s="80"/>
      <c r="AT8" s="80"/>
      <c r="AU8" s="80"/>
      <c r="AV8" s="80" t="s">
        <v>409</v>
      </c>
      <c r="AW8" s="56"/>
      <c r="AY8"/>
      <c r="CB8" s="79"/>
      <c r="CC8" s="80"/>
      <c r="CD8" s="80"/>
      <c r="CE8" s="80"/>
      <c r="CF8" s="80"/>
      <c r="CG8" s="80"/>
      <c r="CH8" s="80"/>
      <c r="CI8" s="56"/>
      <c r="CK8"/>
      <c r="DN8" s="79"/>
      <c r="DO8" s="80"/>
      <c r="DP8" s="80"/>
      <c r="DQ8" s="80"/>
      <c r="DR8" s="80"/>
      <c r="DS8" s="80"/>
      <c r="DT8" s="113"/>
    </row>
    <row r="9" spans="1:136" ht="18" customHeight="1" thickBot="1">
      <c r="A9" s="145"/>
      <c r="B9" s="146"/>
      <c r="C9" s="146"/>
      <c r="D9" s="146"/>
      <c r="E9" s="81"/>
      <c r="F9" s="82"/>
      <c r="G9" s="82"/>
      <c r="H9" s="82"/>
      <c r="I9" s="82"/>
      <c r="J9" s="82"/>
      <c r="K9" s="82"/>
      <c r="L9" s="56"/>
      <c r="N9"/>
      <c r="AP9" s="81"/>
      <c r="AQ9" s="82"/>
      <c r="AR9" s="82"/>
      <c r="AS9" s="82"/>
      <c r="AT9" s="82"/>
      <c r="AU9" s="82"/>
      <c r="AV9" s="82"/>
      <c r="AW9" s="56"/>
      <c r="AY9"/>
      <c r="CB9" s="81"/>
      <c r="CC9" s="82"/>
      <c r="CD9" s="82"/>
      <c r="CE9" s="82"/>
      <c r="CF9" s="82"/>
      <c r="CG9" s="82"/>
      <c r="CH9" s="82"/>
      <c r="CI9" s="56"/>
      <c r="CK9"/>
      <c r="DN9" s="81"/>
      <c r="DO9" s="82"/>
      <c r="DP9" s="82"/>
      <c r="DQ9" s="82"/>
      <c r="DR9" s="82"/>
      <c r="DS9" s="82"/>
      <c r="DT9" s="114"/>
    </row>
    <row r="10" spans="1:136" ht="18" customHeight="1">
      <c r="A10" s="145"/>
      <c r="B10" s="146"/>
      <c r="C10" s="146"/>
      <c r="D10" s="146"/>
      <c r="E10" s="56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D10"/>
      <c r="CE10"/>
      <c r="CF10"/>
      <c r="CG10"/>
      <c r="CH10"/>
      <c r="CI10" s="56"/>
      <c r="CK10"/>
    </row>
    <row r="11" spans="1:136" ht="18" customHeight="1">
      <c r="A11" s="145"/>
      <c r="B11" s="146"/>
      <c r="C11" s="146"/>
      <c r="D11" s="146"/>
      <c r="E11" s="56"/>
      <c r="F11"/>
      <c r="G11"/>
      <c r="H11"/>
      <c r="I11"/>
      <c r="J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/>
      <c r="CI11" s="56"/>
      <c r="CK11"/>
    </row>
    <row r="12" spans="1:136" ht="18" customHeight="1">
      <c r="A12" s="145"/>
      <c r="B12" s="146"/>
      <c r="C12" s="146"/>
      <c r="D12" s="146"/>
      <c r="E12" s="100" t="s">
        <v>254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117</v>
      </c>
      <c r="AD12" t="s">
        <v>113</v>
      </c>
      <c r="AE12" t="s">
        <v>118</v>
      </c>
      <c r="AP12" s="100" t="s">
        <v>254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117</v>
      </c>
      <c r="BO12" t="s">
        <v>113</v>
      </c>
      <c r="BP12" t="s">
        <v>118</v>
      </c>
      <c r="CB12" s="100" t="s">
        <v>254</v>
      </c>
      <c r="CC12"/>
      <c r="CD12"/>
      <c r="CE12"/>
      <c r="CF12"/>
      <c r="CG12"/>
      <c r="CH12"/>
      <c r="CI12" s="56"/>
      <c r="CK12"/>
      <c r="CV12" t="s">
        <v>73</v>
      </c>
      <c r="CW12" t="s">
        <v>74</v>
      </c>
      <c r="CX12" t="s">
        <v>72</v>
      </c>
      <c r="CY12" t="s">
        <v>75</v>
      </c>
      <c r="CZ12" t="s">
        <v>117</v>
      </c>
      <c r="DA12" t="s">
        <v>113</v>
      </c>
      <c r="DB12" t="s">
        <v>118</v>
      </c>
      <c r="DX12" t="s">
        <v>73</v>
      </c>
      <c r="DY12" t="s">
        <v>122</v>
      </c>
      <c r="DZ12" t="s">
        <v>123</v>
      </c>
      <c r="EA12" t="s">
        <v>197</v>
      </c>
      <c r="EB12" t="s">
        <v>206</v>
      </c>
      <c r="EC12" t="s">
        <v>207</v>
      </c>
      <c r="ED12" t="s">
        <v>198</v>
      </c>
      <c r="EE12" t="s">
        <v>199</v>
      </c>
      <c r="EF12" t="s">
        <v>19</v>
      </c>
    </row>
    <row r="13" spans="1:136" ht="18" customHeight="1">
      <c r="A13" s="145"/>
      <c r="B13" s="146"/>
      <c r="C13" s="146"/>
      <c r="D13" s="146"/>
      <c r="E13" s="85" t="s">
        <v>73</v>
      </c>
      <c r="F13" s="51" t="s">
        <v>74</v>
      </c>
      <c r="G13" s="51" t="s">
        <v>72</v>
      </c>
      <c r="H13" s="51" t="s">
        <v>75</v>
      </c>
      <c r="I13" s="51" t="s">
        <v>117</v>
      </c>
      <c r="J13" s="51" t="s">
        <v>113</v>
      </c>
      <c r="K13" s="51" t="s">
        <v>118</v>
      </c>
      <c r="L13" s="56"/>
      <c r="N13"/>
      <c r="Y13" t="s">
        <v>245</v>
      </c>
      <c r="Z13" t="s">
        <v>240</v>
      </c>
      <c r="AA13" t="s">
        <v>241</v>
      </c>
      <c r="AB13" t="s">
        <v>246</v>
      </c>
      <c r="AC13">
        <v>38.9</v>
      </c>
      <c r="AD13" t="s">
        <v>49</v>
      </c>
      <c r="AP13" s="85" t="s">
        <v>73</v>
      </c>
      <c r="AQ13" s="51" t="s">
        <v>74</v>
      </c>
      <c r="AR13" s="51" t="s">
        <v>72</v>
      </c>
      <c r="AS13" s="51" t="s">
        <v>75</v>
      </c>
      <c r="AT13" s="51" t="s">
        <v>117</v>
      </c>
      <c r="AU13" s="51" t="s">
        <v>113</v>
      </c>
      <c r="AV13" s="51" t="s">
        <v>118</v>
      </c>
      <c r="AW13" s="56"/>
      <c r="AY13"/>
      <c r="BJ13" t="s">
        <v>231</v>
      </c>
      <c r="BK13" t="s">
        <v>229</v>
      </c>
      <c r="BL13" t="s">
        <v>76</v>
      </c>
      <c r="BM13" t="s">
        <v>230</v>
      </c>
      <c r="BN13">
        <v>43.5</v>
      </c>
      <c r="BO13" t="s">
        <v>49</v>
      </c>
      <c r="CB13" s="85" t="s">
        <v>73</v>
      </c>
      <c r="CC13" s="51" t="s">
        <v>74</v>
      </c>
      <c r="CD13" s="51" t="s">
        <v>72</v>
      </c>
      <c r="CE13" s="51" t="s">
        <v>75</v>
      </c>
      <c r="CF13" s="51" t="s">
        <v>117</v>
      </c>
      <c r="CG13" s="51" t="s">
        <v>113</v>
      </c>
      <c r="CH13" s="51" t="s">
        <v>118</v>
      </c>
      <c r="CI13" s="56"/>
      <c r="CK13"/>
      <c r="CV13" t="s">
        <v>264</v>
      </c>
      <c r="CW13" t="s">
        <v>229</v>
      </c>
      <c r="CX13" t="s">
        <v>76</v>
      </c>
      <c r="CY13" t="s">
        <v>265</v>
      </c>
      <c r="CZ13">
        <v>43.5</v>
      </c>
      <c r="DA13" t="s">
        <v>49</v>
      </c>
      <c r="DX13" s="51" t="s">
        <v>261</v>
      </c>
      <c r="DY13" s="51">
        <v>10</v>
      </c>
      <c r="DZ13">
        <v>200</v>
      </c>
      <c r="EA13">
        <v>300000</v>
      </c>
      <c r="EB13" s="51">
        <v>20000000</v>
      </c>
      <c r="EC13" s="51">
        <v>20000000</v>
      </c>
      <c r="ED13" s="51">
        <v>2</v>
      </c>
      <c r="EE13">
        <v>3</v>
      </c>
      <c r="EF13" t="s">
        <v>262</v>
      </c>
    </row>
    <row r="14" spans="1:136" ht="18" customHeight="1">
      <c r="A14" s="145"/>
      <c r="B14" s="146"/>
      <c r="C14" s="146"/>
      <c r="D14" s="146"/>
      <c r="E14" s="85" t="s">
        <v>245</v>
      </c>
      <c r="F14" s="51" t="s">
        <v>240</v>
      </c>
      <c r="G14" s="51" t="s">
        <v>241</v>
      </c>
      <c r="H14" s="51" t="s">
        <v>246</v>
      </c>
      <c r="I14" s="51">
        <v>38.9</v>
      </c>
      <c r="J14" s="51" t="s">
        <v>49</v>
      </c>
      <c r="K14" s="51"/>
      <c r="L14" s="56"/>
      <c r="N14"/>
      <c r="Y14" s="60"/>
      <c r="Z14" s="60"/>
      <c r="AA14" s="60"/>
      <c r="AB14" s="60"/>
      <c r="AC14" s="60"/>
      <c r="AD14" s="60"/>
      <c r="AP14" s="219" t="s">
        <v>231</v>
      </c>
      <c r="AQ14" s="220" t="s">
        <v>229</v>
      </c>
      <c r="AR14" s="220" t="s">
        <v>76</v>
      </c>
      <c r="AS14" s="220" t="s">
        <v>230</v>
      </c>
      <c r="AT14" s="220">
        <v>43.5</v>
      </c>
      <c r="AU14" s="220" t="s">
        <v>49</v>
      </c>
      <c r="AV14" s="220"/>
      <c r="AW14" s="56"/>
      <c r="AY14"/>
      <c r="BJ14" s="60"/>
      <c r="BK14" s="60"/>
      <c r="BL14" s="60"/>
      <c r="BM14" s="60"/>
      <c r="BN14" s="60"/>
      <c r="BO14" s="60"/>
      <c r="CB14" s="219" t="s">
        <v>264</v>
      </c>
      <c r="CC14" s="220" t="s">
        <v>229</v>
      </c>
      <c r="CD14" s="220" t="s">
        <v>76</v>
      </c>
      <c r="CE14" s="220" t="s">
        <v>265</v>
      </c>
      <c r="CF14" s="220">
        <v>43.5</v>
      </c>
      <c r="CG14" s="220" t="s">
        <v>49</v>
      </c>
      <c r="CH14" s="220"/>
      <c r="CI14" s="56"/>
      <c r="CK14"/>
      <c r="CV14" s="60"/>
      <c r="CW14" s="60"/>
      <c r="CX14" s="60"/>
      <c r="CY14" s="60"/>
      <c r="CZ14" s="60"/>
      <c r="DA14" s="60"/>
      <c r="DN14" s="121" t="s">
        <v>73</v>
      </c>
      <c r="DO14" t="s">
        <v>122</v>
      </c>
      <c r="DP14" t="s">
        <v>123</v>
      </c>
      <c r="DQ14" t="s">
        <v>197</v>
      </c>
      <c r="DR14" t="s">
        <v>206</v>
      </c>
      <c r="DS14" t="s">
        <v>207</v>
      </c>
      <c r="DT14" t="s">
        <v>214</v>
      </c>
      <c r="DU14" t="s">
        <v>215</v>
      </c>
      <c r="DV14" t="s">
        <v>19</v>
      </c>
      <c r="DX14" s="51" t="s">
        <v>127</v>
      </c>
      <c r="DY14" s="51">
        <v>3.6</v>
      </c>
      <c r="DZ14">
        <v>120</v>
      </c>
      <c r="EA14">
        <v>237804</v>
      </c>
      <c r="EB14" s="51">
        <v>20595330</v>
      </c>
      <c r="EC14" s="51">
        <v>20595330</v>
      </c>
      <c r="ED14" s="51">
        <v>2.2000000000000002</v>
      </c>
      <c r="EE14">
        <v>2.2000000000000002</v>
      </c>
      <c r="EF14" t="s">
        <v>138</v>
      </c>
    </row>
    <row r="15" spans="1:136" ht="18" customHeight="1">
      <c r="A15" s="145"/>
      <c r="B15" s="146"/>
      <c r="C15" s="146"/>
      <c r="D15" s="146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/>
      <c r="CI15" s="56"/>
      <c r="CK15"/>
      <c r="DN15" s="130" t="s">
        <v>261</v>
      </c>
      <c r="DO15" s="53">
        <v>10</v>
      </c>
      <c r="DP15" s="53">
        <v>200</v>
      </c>
      <c r="DQ15" s="53">
        <v>300000</v>
      </c>
      <c r="DR15" s="53">
        <v>20000000</v>
      </c>
      <c r="DS15" s="53">
        <v>20000000</v>
      </c>
      <c r="DT15" s="53">
        <v>2</v>
      </c>
      <c r="DU15" s="53">
        <v>3</v>
      </c>
      <c r="DV15" s="53" t="s">
        <v>262</v>
      </c>
      <c r="DX15" s="51" t="s">
        <v>128</v>
      </c>
      <c r="DY15" s="51">
        <v>5</v>
      </c>
      <c r="DZ15">
        <v>122</v>
      </c>
      <c r="EA15">
        <v>427397</v>
      </c>
      <c r="EB15" s="51">
        <v>37230240</v>
      </c>
      <c r="EC15" s="51">
        <v>37230240</v>
      </c>
      <c r="ED15" s="51">
        <v>3.2</v>
      </c>
      <c r="EE15">
        <v>3.2</v>
      </c>
      <c r="EF15" t="s">
        <v>138</v>
      </c>
    </row>
    <row r="16" spans="1:136" ht="18" customHeight="1">
      <c r="A16" s="145"/>
      <c r="B16" s="146"/>
      <c r="C16" s="146"/>
      <c r="D16" s="146"/>
      <c r="K16"/>
      <c r="L16" s="56"/>
      <c r="N16"/>
      <c r="Y16" s="58" t="s">
        <v>70</v>
      </c>
      <c r="AV16"/>
      <c r="AW16" s="56"/>
      <c r="AY16"/>
      <c r="BJ16" s="58" t="s">
        <v>70</v>
      </c>
      <c r="CH16"/>
      <c r="CI16" s="56"/>
      <c r="CK16"/>
      <c r="CV16" s="58" t="s">
        <v>70</v>
      </c>
      <c r="DN16" s="130" t="s">
        <v>127</v>
      </c>
      <c r="DO16" s="53">
        <v>3.6</v>
      </c>
      <c r="DP16" s="53">
        <v>120</v>
      </c>
      <c r="DQ16" s="53">
        <v>237804</v>
      </c>
      <c r="DR16" s="53">
        <v>20595330</v>
      </c>
      <c r="DS16" s="53">
        <v>20595330</v>
      </c>
      <c r="DT16" s="53">
        <v>2.2000000000000002</v>
      </c>
      <c r="DU16" s="53">
        <v>2.2000000000000002</v>
      </c>
      <c r="DV16" s="53" t="s">
        <v>138</v>
      </c>
      <c r="DX16" s="51" t="s">
        <v>129</v>
      </c>
      <c r="DY16" s="51">
        <v>4</v>
      </c>
      <c r="DZ16">
        <v>130</v>
      </c>
      <c r="EA16">
        <v>239664</v>
      </c>
      <c r="EB16" s="51">
        <v>23265890</v>
      </c>
      <c r="EC16" s="51">
        <v>23265890</v>
      </c>
      <c r="ED16" s="51">
        <v>2.2000000000000002</v>
      </c>
      <c r="EE16">
        <v>2.2000000000000002</v>
      </c>
      <c r="EF16" t="s">
        <v>138</v>
      </c>
    </row>
    <row r="17" spans="1:136" ht="18" customHeight="1">
      <c r="A17" s="145"/>
      <c r="B17" s="146"/>
      <c r="C17" s="146"/>
      <c r="D17" s="146"/>
      <c r="E17" s="100" t="s">
        <v>255</v>
      </c>
      <c r="F17"/>
      <c r="G17" t="s">
        <v>371</v>
      </c>
      <c r="H17"/>
      <c r="I17"/>
      <c r="J17"/>
      <c r="K17"/>
      <c r="L17" s="56"/>
      <c r="N17"/>
      <c r="AP17" s="100" t="s">
        <v>255</v>
      </c>
      <c r="AQ17"/>
      <c r="AR17"/>
      <c r="AS17"/>
      <c r="AT17"/>
      <c r="AU17"/>
      <c r="AV17"/>
      <c r="AW17" s="56"/>
      <c r="AY17"/>
      <c r="CB17" s="100" t="s">
        <v>255</v>
      </c>
      <c r="CC17"/>
      <c r="CD17"/>
      <c r="CE17"/>
      <c r="CF17"/>
      <c r="CG17"/>
      <c r="CH17"/>
      <c r="CI17" s="56"/>
      <c r="CK17"/>
      <c r="DN17" s="130" t="s">
        <v>128</v>
      </c>
      <c r="DO17" s="53">
        <v>5</v>
      </c>
      <c r="DP17" s="53">
        <v>122</v>
      </c>
      <c r="DQ17" s="53">
        <v>427397</v>
      </c>
      <c r="DR17" s="53">
        <v>37230240</v>
      </c>
      <c r="DS17" s="53">
        <v>37230240</v>
      </c>
      <c r="DT17" s="53">
        <v>3.2</v>
      </c>
      <c r="DU17" s="53">
        <v>3.2</v>
      </c>
      <c r="DV17" s="53" t="s">
        <v>138</v>
      </c>
      <c r="DX17" s="51" t="s">
        <v>130</v>
      </c>
      <c r="DY17" s="51">
        <v>6</v>
      </c>
      <c r="DZ17">
        <v>142</v>
      </c>
      <c r="EA17">
        <v>312142</v>
      </c>
      <c r="EB17" s="51">
        <v>59416040</v>
      </c>
      <c r="EC17" s="51">
        <v>59416040</v>
      </c>
      <c r="ED17" s="51">
        <v>2.85</v>
      </c>
      <c r="EE17">
        <v>2.85</v>
      </c>
      <c r="EF17" t="s">
        <v>138</v>
      </c>
    </row>
    <row r="18" spans="1:136" ht="18" customHeight="1" thickBot="1">
      <c r="A18" s="145"/>
      <c r="B18" s="146"/>
      <c r="C18" s="146"/>
      <c r="D18" s="146"/>
      <c r="E18" s="85" t="s">
        <v>73</v>
      </c>
      <c r="F18" s="51" t="s">
        <v>74</v>
      </c>
      <c r="G18" s="51" t="s">
        <v>72</v>
      </c>
      <c r="H18" s="51" t="s">
        <v>75</v>
      </c>
      <c r="I18" s="51" t="s">
        <v>117</v>
      </c>
      <c r="J18" s="51" t="s">
        <v>113</v>
      </c>
      <c r="K18" s="51" t="s">
        <v>118</v>
      </c>
      <c r="L18" s="56"/>
      <c r="N18"/>
      <c r="Y18" t="s">
        <v>1</v>
      </c>
      <c r="Z18" t="s">
        <v>90</v>
      </c>
      <c r="AA18" t="s">
        <v>89</v>
      </c>
      <c r="AB18" t="s">
        <v>78</v>
      </c>
      <c r="AC18" t="s">
        <v>79</v>
      </c>
      <c r="AD18" t="s">
        <v>80</v>
      </c>
      <c r="AF18" s="61" t="s">
        <v>234</v>
      </c>
      <c r="AG18" t="s">
        <v>90</v>
      </c>
      <c r="AH18" t="s">
        <v>89</v>
      </c>
      <c r="AI18" t="s">
        <v>86</v>
      </c>
      <c r="AJ18" t="s">
        <v>218</v>
      </c>
      <c r="AK18" t="s">
        <v>219</v>
      </c>
      <c r="AL18" t="s">
        <v>220</v>
      </c>
      <c r="AM18" t="s">
        <v>222</v>
      </c>
      <c r="AN18" t="s">
        <v>221</v>
      </c>
      <c r="AP18" s="85" t="s">
        <v>73</v>
      </c>
      <c r="AQ18" s="51" t="s">
        <v>74</v>
      </c>
      <c r="AR18" s="51" t="s">
        <v>72</v>
      </c>
      <c r="AS18" s="51" t="s">
        <v>75</v>
      </c>
      <c r="AT18" s="51" t="s">
        <v>117</v>
      </c>
      <c r="AU18" s="51" t="s">
        <v>113</v>
      </c>
      <c r="AV18" s="51" t="s">
        <v>118</v>
      </c>
      <c r="AW18" s="56"/>
      <c r="AY18"/>
      <c r="BJ18" t="s">
        <v>1</v>
      </c>
      <c r="BK18" t="s">
        <v>90</v>
      </c>
      <c r="BL18" t="s">
        <v>89</v>
      </c>
      <c r="BM18" t="s">
        <v>78</v>
      </c>
      <c r="BN18" t="s">
        <v>79</v>
      </c>
      <c r="BO18" t="s">
        <v>80</v>
      </c>
      <c r="BQ18" s="61" t="s">
        <v>234</v>
      </c>
      <c r="BR18" t="s">
        <v>90</v>
      </c>
      <c r="BS18" t="s">
        <v>89</v>
      </c>
      <c r="BT18" t="s">
        <v>86</v>
      </c>
      <c r="BU18" t="s">
        <v>218</v>
      </c>
      <c r="BV18" t="s">
        <v>219</v>
      </c>
      <c r="BW18" t="s">
        <v>220</v>
      </c>
      <c r="BX18" t="s">
        <v>222</v>
      </c>
      <c r="BY18" t="s">
        <v>221</v>
      </c>
      <c r="CB18" s="85" t="s">
        <v>73</v>
      </c>
      <c r="CC18" s="51" t="s">
        <v>74</v>
      </c>
      <c r="CD18" s="51" t="s">
        <v>72</v>
      </c>
      <c r="CE18" s="51" t="s">
        <v>75</v>
      </c>
      <c r="CF18" s="51" t="s">
        <v>117</v>
      </c>
      <c r="CG18" s="51" t="s">
        <v>113</v>
      </c>
      <c r="CH18" s="51" t="s">
        <v>118</v>
      </c>
      <c r="CI18" s="56"/>
      <c r="CK18"/>
      <c r="CV18" t="s">
        <v>1</v>
      </c>
      <c r="CW18" t="s">
        <v>90</v>
      </c>
      <c r="CX18" t="s">
        <v>89</v>
      </c>
      <c r="CY18" t="s">
        <v>78</v>
      </c>
      <c r="CZ18" t="s">
        <v>79</v>
      </c>
      <c r="DA18" t="s">
        <v>80</v>
      </c>
      <c r="DC18" s="61" t="s">
        <v>234</v>
      </c>
      <c r="DD18" t="s">
        <v>90</v>
      </c>
      <c r="DE18" t="s">
        <v>89</v>
      </c>
      <c r="DF18" t="s">
        <v>86</v>
      </c>
      <c r="DG18" t="s">
        <v>218</v>
      </c>
      <c r="DH18" t="s">
        <v>219</v>
      </c>
      <c r="DI18" t="s">
        <v>220</v>
      </c>
      <c r="DJ18" t="s">
        <v>222</v>
      </c>
      <c r="DK18" t="s">
        <v>221</v>
      </c>
      <c r="DN18" s="130" t="s">
        <v>129</v>
      </c>
      <c r="DO18" s="53">
        <v>4</v>
      </c>
      <c r="DP18" s="53">
        <v>130</v>
      </c>
      <c r="DQ18" s="53">
        <v>239664</v>
      </c>
      <c r="DR18" s="53">
        <v>23265890</v>
      </c>
      <c r="DS18" s="53">
        <v>23265890</v>
      </c>
      <c r="DT18" s="53">
        <v>2.2000000000000002</v>
      </c>
      <c r="DU18" s="53">
        <v>2.2000000000000002</v>
      </c>
      <c r="DV18" s="53" t="s">
        <v>138</v>
      </c>
      <c r="DX18" s="51" t="s">
        <v>131</v>
      </c>
      <c r="DY18" s="51">
        <v>8</v>
      </c>
      <c r="DZ18">
        <v>164</v>
      </c>
      <c r="EA18">
        <v>450972</v>
      </c>
      <c r="EB18" s="51">
        <v>72350120</v>
      </c>
      <c r="EC18" s="51">
        <v>72350120</v>
      </c>
      <c r="ED18" s="51">
        <v>2.29</v>
      </c>
      <c r="EE18">
        <v>2.29</v>
      </c>
      <c r="EF18" t="s">
        <v>138</v>
      </c>
    </row>
    <row r="19" spans="1:136" ht="18" customHeight="1">
      <c r="A19" s="86"/>
      <c r="B19" s="87"/>
      <c r="C19" s="86"/>
      <c r="D19" s="147"/>
      <c r="E19" s="60"/>
      <c r="F19" s="60"/>
      <c r="G19" s="60"/>
      <c r="H19" s="60"/>
      <c r="I19" s="60"/>
      <c r="J19" s="60"/>
      <c r="K19" s="60"/>
      <c r="L19" s="56"/>
      <c r="N19"/>
      <c r="Y19">
        <v>1</v>
      </c>
      <c r="Z19">
        <v>5.5</v>
      </c>
      <c r="AA19">
        <v>1.7</v>
      </c>
      <c r="AB19">
        <v>8</v>
      </c>
      <c r="AC19">
        <v>8</v>
      </c>
      <c r="AD19">
        <v>115</v>
      </c>
      <c r="AF19" t="s">
        <v>87</v>
      </c>
      <c r="AG19">
        <v>4.3</v>
      </c>
      <c r="AH19">
        <v>4.3</v>
      </c>
      <c r="AI19">
        <v>14000</v>
      </c>
      <c r="AP19" s="88"/>
      <c r="AQ19" s="60"/>
      <c r="AR19" s="60"/>
      <c r="AS19" s="60"/>
      <c r="AT19" s="60"/>
      <c r="AU19" s="60"/>
      <c r="AV19" s="60"/>
      <c r="AW19" s="56"/>
      <c r="AY19"/>
      <c r="BJ19">
        <v>1</v>
      </c>
      <c r="BK19">
        <v>20.9</v>
      </c>
      <c r="BL19">
        <v>17.5</v>
      </c>
      <c r="BM19">
        <v>7.5</v>
      </c>
      <c r="BN19">
        <v>7.5</v>
      </c>
      <c r="BO19">
        <v>86</v>
      </c>
      <c r="BQ19" t="s">
        <v>411</v>
      </c>
      <c r="BR19">
        <v>20.100000000000001</v>
      </c>
      <c r="BS19">
        <v>20.100000000000001</v>
      </c>
      <c r="BT19">
        <v>20000</v>
      </c>
      <c r="CB19" s="88"/>
      <c r="CC19" s="60"/>
      <c r="CD19" s="60"/>
      <c r="CE19" s="60"/>
      <c r="CF19" s="60"/>
      <c r="CG19" s="60"/>
      <c r="CH19" s="60"/>
      <c r="CI19" s="56"/>
      <c r="CK19"/>
      <c r="CV19">
        <v>1</v>
      </c>
      <c r="CW19">
        <v>140.49999999999997</v>
      </c>
      <c r="CX19">
        <v>140.32499999999996</v>
      </c>
      <c r="CY19">
        <v>5.6159999999999997</v>
      </c>
      <c r="CZ19">
        <v>5.6159999999999997</v>
      </c>
      <c r="DA19">
        <v>42</v>
      </c>
      <c r="DC19" t="s">
        <v>410</v>
      </c>
      <c r="DD19">
        <v>140.49999999999997</v>
      </c>
      <c r="DE19">
        <v>140.49999999999997</v>
      </c>
      <c r="DF19">
        <v>6154</v>
      </c>
      <c r="DN19" s="130" t="s">
        <v>130</v>
      </c>
      <c r="DO19" s="53">
        <v>6</v>
      </c>
      <c r="DP19" s="53">
        <v>142</v>
      </c>
      <c r="DQ19" s="53">
        <v>312142</v>
      </c>
      <c r="DR19" s="53">
        <v>59416040</v>
      </c>
      <c r="DS19" s="53">
        <v>59416040</v>
      </c>
      <c r="DT19" s="53">
        <v>2.85</v>
      </c>
      <c r="DU19" s="53">
        <v>2.85</v>
      </c>
      <c r="DV19" s="53" t="s">
        <v>138</v>
      </c>
      <c r="DX19" t="s">
        <v>132</v>
      </c>
      <c r="DY19">
        <v>9.5</v>
      </c>
      <c r="DZ19">
        <v>174</v>
      </c>
      <c r="EA19">
        <v>484588</v>
      </c>
      <c r="EB19">
        <v>83636270</v>
      </c>
      <c r="EC19">
        <v>83636270</v>
      </c>
      <c r="ED19">
        <v>3.5</v>
      </c>
      <c r="EE19">
        <v>3.5</v>
      </c>
      <c r="EF19" t="s">
        <v>138</v>
      </c>
    </row>
    <row r="20" spans="1:136" ht="18" customHeight="1">
      <c r="C20" s="71"/>
      <c r="D20" s="126"/>
      <c r="E20" s="52"/>
      <c r="K20"/>
      <c r="L20" s="56"/>
      <c r="N20"/>
      <c r="Y20">
        <v>2</v>
      </c>
      <c r="Z20">
        <v>1.7</v>
      </c>
      <c r="AA20">
        <v>-1.8</v>
      </c>
      <c r="AB20">
        <v>8</v>
      </c>
      <c r="AC20">
        <v>8</v>
      </c>
      <c r="AD20">
        <v>114</v>
      </c>
      <c r="AF20" t="s">
        <v>88</v>
      </c>
      <c r="AG20">
        <v>0.55000000000000004</v>
      </c>
      <c r="AH20">
        <v>0.55000000000000004</v>
      </c>
      <c r="AI20">
        <v>105000</v>
      </c>
      <c r="AV20"/>
      <c r="AW20" s="56"/>
      <c r="AY20"/>
      <c r="BJ20">
        <v>2</v>
      </c>
      <c r="BK20">
        <v>17.5</v>
      </c>
      <c r="BL20">
        <v>13.5</v>
      </c>
      <c r="BM20">
        <v>7.5</v>
      </c>
      <c r="BN20">
        <v>7.5</v>
      </c>
      <c r="BO20">
        <v>86</v>
      </c>
      <c r="BQ20" t="s">
        <v>412</v>
      </c>
      <c r="BR20">
        <v>19.5</v>
      </c>
      <c r="BS20">
        <v>19.5</v>
      </c>
      <c r="BT20">
        <v>5000</v>
      </c>
      <c r="CH20"/>
      <c r="CI20" s="56"/>
      <c r="CK20"/>
      <c r="CV20" s="221">
        <v>2</v>
      </c>
      <c r="CW20" s="222">
        <v>140.32499999999996</v>
      </c>
      <c r="CX20" s="222">
        <v>140.27499999999998</v>
      </c>
      <c r="CY20" s="221">
        <v>5.6159999999999997</v>
      </c>
      <c r="CZ20" s="221">
        <v>5.609</v>
      </c>
      <c r="DA20" s="221">
        <v>42</v>
      </c>
      <c r="DC20" t="s">
        <v>410</v>
      </c>
      <c r="DD20">
        <v>140.32499999999996</v>
      </c>
      <c r="DE20">
        <v>140.32499999999996</v>
      </c>
      <c r="DF20">
        <v>5</v>
      </c>
      <c r="DN20" s="130" t="s">
        <v>131</v>
      </c>
      <c r="DO20" s="53">
        <v>8</v>
      </c>
      <c r="DP20" s="53">
        <v>164</v>
      </c>
      <c r="DQ20" s="53">
        <v>450972</v>
      </c>
      <c r="DR20" s="53">
        <v>72350120</v>
      </c>
      <c r="DS20" s="53">
        <v>72350120</v>
      </c>
      <c r="DT20" s="53">
        <v>2.29</v>
      </c>
      <c r="DU20" s="53">
        <v>2.29</v>
      </c>
      <c r="DV20" s="53" t="s">
        <v>138</v>
      </c>
      <c r="DX20" t="s">
        <v>133</v>
      </c>
      <c r="DY20">
        <v>10</v>
      </c>
      <c r="DZ20">
        <v>180</v>
      </c>
      <c r="EA20">
        <v>673916</v>
      </c>
      <c r="EB20">
        <v>102240300</v>
      </c>
      <c r="EC20">
        <v>102240300</v>
      </c>
      <c r="ED20">
        <v>3.5</v>
      </c>
      <c r="EE20">
        <v>3.5</v>
      </c>
      <c r="EF20" t="s">
        <v>138</v>
      </c>
    </row>
    <row r="21" spans="1:136" ht="18" customHeight="1">
      <c r="C21" s="71"/>
      <c r="D21" s="126"/>
      <c r="E21" s="52"/>
      <c r="K21"/>
      <c r="L21" s="56"/>
      <c r="N21"/>
      <c r="Y21">
        <v>3</v>
      </c>
      <c r="Z21">
        <v>-1.8</v>
      </c>
      <c r="AA21">
        <v>-5.3</v>
      </c>
      <c r="AB21">
        <v>8</v>
      </c>
      <c r="AC21">
        <v>8</v>
      </c>
      <c r="AD21">
        <v>116</v>
      </c>
      <c r="AF21" s="60"/>
      <c r="AG21" s="60"/>
      <c r="AH21" s="60"/>
      <c r="AI21" s="60"/>
      <c r="AV21"/>
      <c r="AW21" s="56"/>
      <c r="AY21"/>
      <c r="BJ21">
        <v>3</v>
      </c>
      <c r="BK21">
        <v>13.5</v>
      </c>
      <c r="BL21">
        <v>9.5</v>
      </c>
      <c r="BM21">
        <v>7.5</v>
      </c>
      <c r="BN21">
        <v>7.5</v>
      </c>
      <c r="BO21">
        <v>93</v>
      </c>
      <c r="BQ21" s="60" t="s">
        <v>413</v>
      </c>
      <c r="BR21" s="60">
        <v>14</v>
      </c>
      <c r="BS21" s="60">
        <v>14</v>
      </c>
      <c r="BT21" s="60">
        <v>5000</v>
      </c>
      <c r="CH21"/>
      <c r="CI21" s="56"/>
      <c r="CK21"/>
      <c r="CV21" s="221">
        <v>3</v>
      </c>
      <c r="CW21" s="222">
        <v>140.27499999999998</v>
      </c>
      <c r="CX21" s="222">
        <v>138.62499999999997</v>
      </c>
      <c r="CY21" s="221">
        <v>5.609</v>
      </c>
      <c r="CZ21" s="221">
        <v>5.9039999999999999</v>
      </c>
      <c r="DA21" s="221">
        <v>35</v>
      </c>
      <c r="DC21" s="60" t="s">
        <v>410</v>
      </c>
      <c r="DD21" s="60">
        <v>140.27499999999998</v>
      </c>
      <c r="DE21" s="60">
        <v>140.27499999999998</v>
      </c>
      <c r="DF21" s="60">
        <v>2</v>
      </c>
      <c r="DN21" s="121" t="s">
        <v>132</v>
      </c>
      <c r="DO21" s="51">
        <v>9.5</v>
      </c>
      <c r="DP21" s="51">
        <v>174</v>
      </c>
      <c r="DQ21" s="51">
        <v>484588</v>
      </c>
      <c r="DR21" s="51">
        <v>83636270</v>
      </c>
      <c r="DS21" s="51">
        <v>83636270</v>
      </c>
      <c r="DT21" s="51">
        <v>3.5</v>
      </c>
      <c r="DU21" s="51">
        <v>3.5</v>
      </c>
      <c r="DV21" s="51" t="s">
        <v>138</v>
      </c>
      <c r="DX21" t="s">
        <v>110</v>
      </c>
      <c r="DY21">
        <v>13</v>
      </c>
      <c r="DZ21">
        <v>210</v>
      </c>
      <c r="EA21">
        <v>777534</v>
      </c>
      <c r="EB21">
        <v>197394400</v>
      </c>
      <c r="EC21">
        <v>197394400</v>
      </c>
      <c r="ED21">
        <v>3.4</v>
      </c>
      <c r="EE21">
        <v>3.4</v>
      </c>
      <c r="EF21" t="s">
        <v>138</v>
      </c>
    </row>
    <row r="22" spans="1:136" ht="18" customHeight="1" thickBot="1">
      <c r="C22" s="71"/>
      <c r="D22" s="126"/>
      <c r="E22" s="102" t="s">
        <v>256</v>
      </c>
      <c r="F22"/>
      <c r="G22"/>
      <c r="H22" s="76"/>
      <c r="I22"/>
      <c r="J22"/>
      <c r="K22"/>
      <c r="L22" s="56"/>
      <c r="N22"/>
      <c r="Y22">
        <v>4</v>
      </c>
      <c r="Z22">
        <v>-5.3</v>
      </c>
      <c r="AA22">
        <v>-8.8000000000000007</v>
      </c>
      <c r="AB22">
        <v>8</v>
      </c>
      <c r="AC22">
        <v>8.36</v>
      </c>
      <c r="AD22">
        <v>118</v>
      </c>
      <c r="AP22" s="100" t="s">
        <v>256</v>
      </c>
      <c r="AQ22"/>
      <c r="AR22"/>
      <c r="AS22" s="76"/>
      <c r="AT22"/>
      <c r="AU22"/>
      <c r="AV22"/>
      <c r="AW22" s="56"/>
      <c r="AY22"/>
      <c r="BJ22">
        <v>4</v>
      </c>
      <c r="BK22">
        <v>9.5</v>
      </c>
      <c r="BL22">
        <v>5.6</v>
      </c>
      <c r="BM22">
        <v>7.5</v>
      </c>
      <c r="BN22">
        <v>7.5</v>
      </c>
      <c r="BO22">
        <v>100</v>
      </c>
      <c r="BQ22" s="60" t="s">
        <v>414</v>
      </c>
      <c r="BR22" s="60">
        <v>11</v>
      </c>
      <c r="BS22" s="60">
        <v>11</v>
      </c>
      <c r="BT22" s="60">
        <v>1</v>
      </c>
      <c r="CB22" s="100" t="s">
        <v>256</v>
      </c>
      <c r="CC22"/>
      <c r="CD22"/>
      <c r="CE22" s="76"/>
      <c r="CF22"/>
      <c r="CG22"/>
      <c r="CH22"/>
      <c r="CI22" s="56"/>
      <c r="CK22"/>
      <c r="CV22" s="221">
        <v>4</v>
      </c>
      <c r="CW22" s="222">
        <v>138.62499999999997</v>
      </c>
      <c r="CX22" s="222">
        <v>136.97499999999997</v>
      </c>
      <c r="CY22" s="221">
        <v>5.9039999999999999</v>
      </c>
      <c r="CZ22" s="221">
        <v>6.258</v>
      </c>
      <c r="DA22" s="221">
        <v>40</v>
      </c>
      <c r="DC22" s="60" t="s">
        <v>410</v>
      </c>
      <c r="DD22" s="60">
        <v>138.23499999999999</v>
      </c>
      <c r="DE22" s="60">
        <v>138.23499999999999</v>
      </c>
      <c r="DF22" s="60">
        <v>1981</v>
      </c>
      <c r="DN22" s="121" t="s">
        <v>133</v>
      </c>
      <c r="DO22" s="51">
        <v>10</v>
      </c>
      <c r="DP22" s="51">
        <v>180</v>
      </c>
      <c r="DQ22" s="51">
        <v>673916</v>
      </c>
      <c r="DR22" s="51">
        <v>102240300</v>
      </c>
      <c r="DS22" s="51">
        <v>102240300</v>
      </c>
      <c r="DT22" s="51">
        <v>3.5</v>
      </c>
      <c r="DU22" s="51">
        <v>3.5</v>
      </c>
      <c r="DV22" s="51" t="s">
        <v>138</v>
      </c>
      <c r="DX22" t="s">
        <v>134</v>
      </c>
      <c r="DY22">
        <v>12</v>
      </c>
      <c r="DZ22">
        <v>220</v>
      </c>
      <c r="EA22">
        <v>775567</v>
      </c>
      <c r="EB22">
        <v>198819700</v>
      </c>
      <c r="EC22">
        <v>198819700</v>
      </c>
      <c r="ED22">
        <v>3.4</v>
      </c>
      <c r="EE22">
        <v>3.4</v>
      </c>
      <c r="EF22" t="s">
        <v>138</v>
      </c>
    </row>
    <row r="23" spans="1:136" ht="18" customHeight="1">
      <c r="A23" s="156" t="b">
        <v>0</v>
      </c>
      <c r="B23" s="155" t="b">
        <v>0</v>
      </c>
      <c r="C23" s="156" t="b">
        <v>1</v>
      </c>
      <c r="D23" s="157" t="b">
        <v>0</v>
      </c>
      <c r="E23" s="64"/>
      <c r="F23" s="107" t="s">
        <v>250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Y23">
        <v>5</v>
      </c>
      <c r="Z23">
        <v>-8.8000000000000007</v>
      </c>
      <c r="AA23">
        <v>-12.3</v>
      </c>
      <c r="AB23">
        <v>8.36</v>
      </c>
      <c r="AC23">
        <v>8.7200000000000006</v>
      </c>
      <c r="AD23">
        <v>108</v>
      </c>
      <c r="AP23" s="63"/>
      <c r="AQ23" s="107" t="s">
        <v>250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J23" s="60"/>
      <c r="BK23" s="62"/>
      <c r="BL23" s="62"/>
      <c r="BM23" s="60"/>
      <c r="BN23" s="60"/>
      <c r="BO23" s="60"/>
      <c r="BQ23" s="60" t="s">
        <v>415</v>
      </c>
      <c r="BR23" s="60">
        <v>6.1</v>
      </c>
      <c r="BS23" s="60">
        <v>6.1</v>
      </c>
      <c r="BT23" s="60">
        <v>200</v>
      </c>
      <c r="CB23" s="63"/>
      <c r="CC23" s="107" t="s">
        <v>250</v>
      </c>
      <c r="CD23"/>
      <c r="CE23"/>
      <c r="CF23"/>
      <c r="CG23"/>
      <c r="CH23"/>
      <c r="CI23" s="56"/>
      <c r="CK23"/>
      <c r="CL23" t="str">
        <f>IFERROR((TOWER_DATA[[#This Row],[D, bottom '[m']]]+#REF!)/(2*#REF!/1000),"")</f>
        <v/>
      </c>
      <c r="CV23" s="221">
        <v>5</v>
      </c>
      <c r="CW23" s="222">
        <v>136.97499999999997</v>
      </c>
      <c r="CX23" s="222">
        <v>136.38899999999998</v>
      </c>
      <c r="CY23" s="221">
        <v>6.258</v>
      </c>
      <c r="CZ23" s="221">
        <v>6.258</v>
      </c>
      <c r="DA23" s="221">
        <v>58</v>
      </c>
      <c r="DC23" s="60" t="s">
        <v>410</v>
      </c>
      <c r="DD23" s="60">
        <v>136.58499999999998</v>
      </c>
      <c r="DE23" s="60">
        <v>136.58499999999998</v>
      </c>
      <c r="DF23" s="60">
        <v>82</v>
      </c>
      <c r="DN23" s="121" t="s">
        <v>110</v>
      </c>
      <c r="DO23" s="51">
        <v>13</v>
      </c>
      <c r="DP23" s="51">
        <v>210</v>
      </c>
      <c r="DQ23" s="51">
        <v>777534</v>
      </c>
      <c r="DR23" s="51">
        <v>197394400</v>
      </c>
      <c r="DS23" s="51">
        <v>197394400</v>
      </c>
      <c r="DT23" s="51">
        <v>3.4</v>
      </c>
      <c r="DU23" s="51">
        <v>3.4</v>
      </c>
      <c r="DV23" s="51" t="s">
        <v>138</v>
      </c>
      <c r="DX23" t="s">
        <v>135</v>
      </c>
      <c r="DY23">
        <v>15</v>
      </c>
      <c r="DZ23">
        <v>220</v>
      </c>
      <c r="EA23">
        <v>1166238</v>
      </c>
      <c r="EB23">
        <v>205031400</v>
      </c>
      <c r="EC23">
        <v>205031400</v>
      </c>
      <c r="ED23">
        <v>3.4</v>
      </c>
      <c r="EE23">
        <v>3.4</v>
      </c>
      <c r="EF23" t="s">
        <v>138</v>
      </c>
    </row>
    <row r="24" spans="1:136" ht="18" customHeight="1" thickBot="1">
      <c r="A24" s="98"/>
      <c r="B24" s="158"/>
      <c r="C24" s="160" t="b">
        <v>1</v>
      </c>
      <c r="D24" s="159"/>
      <c r="E24" s="67"/>
      <c r="F24" s="104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Y24">
        <v>6</v>
      </c>
      <c r="Z24">
        <v>-12.3</v>
      </c>
      <c r="AA24">
        <v>-15.8</v>
      </c>
      <c r="AB24">
        <v>8.7200000000000006</v>
      </c>
      <c r="AC24">
        <v>9.08</v>
      </c>
      <c r="AD24">
        <v>100</v>
      </c>
      <c r="AP24" s="66"/>
      <c r="AQ24" s="104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J24" s="60"/>
      <c r="BK24" s="62"/>
      <c r="BL24" s="62"/>
      <c r="BM24" s="60"/>
      <c r="BN24" s="60"/>
      <c r="BO24" s="60"/>
      <c r="BQ24" s="60" t="s">
        <v>416</v>
      </c>
      <c r="BR24" s="60">
        <v>5.6</v>
      </c>
      <c r="BS24" s="60">
        <v>5.6</v>
      </c>
      <c r="BT24" s="60">
        <v>60000</v>
      </c>
      <c r="CB24" s="66"/>
      <c r="CC24" s="104"/>
      <c r="CD24"/>
      <c r="CE24"/>
      <c r="CF24"/>
      <c r="CG24"/>
      <c r="CH24"/>
      <c r="CI24" s="56"/>
      <c r="CK24"/>
      <c r="CL24" t="str">
        <f>IFERROR((TOWER_DATA[[#This Row],[D, bottom '[m']]]+#REF!)/(2*#REF!/1000),"")</f>
        <v/>
      </c>
      <c r="CV24" s="221">
        <v>6</v>
      </c>
      <c r="CW24" s="222">
        <v>136.38899999999998</v>
      </c>
      <c r="CX24" s="222">
        <v>135.29999999999998</v>
      </c>
      <c r="CY24" s="221">
        <v>6.258</v>
      </c>
      <c r="CZ24" s="221">
        <v>6.258</v>
      </c>
      <c r="DA24" s="221">
        <v>58</v>
      </c>
      <c r="DC24" s="60" t="s">
        <v>410</v>
      </c>
      <c r="DD24" s="60">
        <v>135.999</v>
      </c>
      <c r="DE24" s="60">
        <v>135.999</v>
      </c>
      <c r="DF24" s="60">
        <v>88</v>
      </c>
      <c r="DN24" s="121" t="s">
        <v>134</v>
      </c>
      <c r="DO24" s="51">
        <v>12</v>
      </c>
      <c r="DP24" s="51">
        <v>220</v>
      </c>
      <c r="DQ24" s="51">
        <v>775567</v>
      </c>
      <c r="DR24" s="51">
        <v>198819700</v>
      </c>
      <c r="DS24" s="51">
        <v>198819700</v>
      </c>
      <c r="DT24" s="51">
        <v>3.4</v>
      </c>
      <c r="DU24" s="51">
        <v>3.4</v>
      </c>
      <c r="DV24" s="51" t="s">
        <v>138</v>
      </c>
      <c r="DX24" t="s">
        <v>136</v>
      </c>
      <c r="DZ24">
        <v>236</v>
      </c>
      <c r="EA24">
        <v>565481</v>
      </c>
      <c r="EB24">
        <v>241746700</v>
      </c>
      <c r="EC24">
        <v>241746700</v>
      </c>
      <c r="ED24">
        <v>3.5</v>
      </c>
      <c r="EE24">
        <v>3.5</v>
      </c>
      <c r="EF24" t="s">
        <v>138</v>
      </c>
    </row>
    <row r="25" spans="1:136" ht="21.6" customHeight="1">
      <c r="A25" s="154" t="s">
        <v>364</v>
      </c>
      <c r="D25" s="126"/>
      <c r="K25"/>
      <c r="L25" s="56"/>
      <c r="N25"/>
      <c r="O25" t="str">
        <f>IFERROR((MP_DATA[[#This Row],[D, bottom '[m']]]+#REF!)/(2*#REF!/1000),"")</f>
        <v/>
      </c>
      <c r="Y25">
        <v>7</v>
      </c>
      <c r="Z25">
        <v>-15.8</v>
      </c>
      <c r="AA25">
        <v>-19.3</v>
      </c>
      <c r="AB25">
        <v>9.08</v>
      </c>
      <c r="AC25">
        <v>9.44</v>
      </c>
      <c r="AD25">
        <v>94</v>
      </c>
      <c r="AV25"/>
      <c r="AW25" s="56"/>
      <c r="AY25"/>
      <c r="AZ25" t="str">
        <f>IFERROR((TP_DATA[[#This Row],[D, bottom '[m']]]+#REF!)/(2*#REF!/1000),"")</f>
        <v/>
      </c>
      <c r="BJ25" s="60"/>
      <c r="BK25" s="62"/>
      <c r="BL25" s="62"/>
      <c r="BM25" s="60"/>
      <c r="BN25" s="60"/>
      <c r="BO25" s="60"/>
      <c r="BQ25" s="60" t="s">
        <v>417</v>
      </c>
      <c r="BR25" s="60">
        <v>20.900000000000002</v>
      </c>
      <c r="BS25" s="60">
        <v>20.900000000000002</v>
      </c>
      <c r="BT25" s="60">
        <v>28000</v>
      </c>
      <c r="CH25"/>
      <c r="CI25" s="56"/>
      <c r="CK25"/>
      <c r="CL25" t="str">
        <f>IFERROR((TOWER_DATA[[#This Row],[D, bottom '[m']]]+#REF!)/(2*#REF!/1000),"")</f>
        <v/>
      </c>
      <c r="CV25" s="221">
        <v>7</v>
      </c>
      <c r="CW25" s="222">
        <v>135.29999999999998</v>
      </c>
      <c r="CX25" s="222">
        <v>133.47499999999997</v>
      </c>
      <c r="CY25" s="221">
        <v>6.258</v>
      </c>
      <c r="CZ25" s="221">
        <v>6.2229999999999999</v>
      </c>
      <c r="DA25" s="221">
        <v>58</v>
      </c>
      <c r="DC25" s="60" t="s">
        <v>410</v>
      </c>
      <c r="DD25" s="60">
        <v>134.91</v>
      </c>
      <c r="DE25" s="60">
        <v>134.91</v>
      </c>
      <c r="DF25" s="60">
        <v>41600</v>
      </c>
      <c r="DN25" s="121" t="s">
        <v>135</v>
      </c>
      <c r="DO25" s="51">
        <v>15</v>
      </c>
      <c r="DP25" s="51">
        <v>220</v>
      </c>
      <c r="DQ25" s="51">
        <v>1166238</v>
      </c>
      <c r="DR25" s="51">
        <v>205031400</v>
      </c>
      <c r="DS25" s="51">
        <v>205031400</v>
      </c>
      <c r="DT25" s="51">
        <v>3.4</v>
      </c>
      <c r="DU25" s="51">
        <v>3.4</v>
      </c>
      <c r="DV25" s="51" t="s">
        <v>138</v>
      </c>
      <c r="DX25" t="s">
        <v>137</v>
      </c>
      <c r="DY25">
        <v>15</v>
      </c>
      <c r="DZ25">
        <v>240</v>
      </c>
      <c r="EA25">
        <v>1102065</v>
      </c>
      <c r="EB25">
        <v>276287200</v>
      </c>
      <c r="EC25">
        <v>276287200</v>
      </c>
      <c r="ED25">
        <v>3.4</v>
      </c>
      <c r="EE25">
        <v>3.4</v>
      </c>
      <c r="EF25" t="s">
        <v>138</v>
      </c>
    </row>
    <row r="26" spans="1:136" ht="20.399999999999999" customHeight="1" thickBot="1">
      <c r="A26" s="153" t="s">
        <v>365</v>
      </c>
      <c r="E26" s="101" t="s">
        <v>257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Y26">
        <v>8</v>
      </c>
      <c r="Z26">
        <v>-19.3</v>
      </c>
      <c r="AA26">
        <v>-22.8</v>
      </c>
      <c r="AB26">
        <v>9.44</v>
      </c>
      <c r="AC26">
        <v>9.8000000000000007</v>
      </c>
      <c r="AD26">
        <v>93</v>
      </c>
      <c r="AP26" s="101" t="s">
        <v>257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BQ26" s="60"/>
      <c r="BR26" s="60"/>
      <c r="BS26" s="60"/>
      <c r="BT26" s="60"/>
      <c r="BU26" s="60"/>
      <c r="BV26" s="60"/>
      <c r="BW26" s="60"/>
      <c r="BY26" s="60"/>
      <c r="CB26" s="101" t="s">
        <v>257</v>
      </c>
      <c r="CH26"/>
      <c r="CI26" s="66"/>
      <c r="CJ26" s="67"/>
      <c r="CK26" s="67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V26" s="221">
        <v>8</v>
      </c>
      <c r="CW26" s="222">
        <v>133.47499999999997</v>
      </c>
      <c r="CX26" s="222">
        <v>131.23999999999998</v>
      </c>
      <c r="CY26" s="221">
        <v>6.2229999999999999</v>
      </c>
      <c r="CZ26" s="221">
        <v>6.2229999999999999</v>
      </c>
      <c r="DA26" s="221">
        <v>23</v>
      </c>
      <c r="DC26" s="60" t="s">
        <v>410</v>
      </c>
      <c r="DD26" s="60">
        <v>133.08499999999998</v>
      </c>
      <c r="DE26" s="60">
        <v>133.08499999999998</v>
      </c>
      <c r="DF26" s="60">
        <v>88</v>
      </c>
      <c r="DN26" s="121" t="s">
        <v>136</v>
      </c>
      <c r="DO26" s="51"/>
      <c r="DP26" s="51">
        <v>236</v>
      </c>
      <c r="DQ26" s="51">
        <v>565481</v>
      </c>
      <c r="DR26" s="51">
        <v>241746700</v>
      </c>
      <c r="DS26" s="51">
        <v>241746700</v>
      </c>
      <c r="DT26" s="51">
        <v>3.5</v>
      </c>
      <c r="DU26" s="51">
        <v>3.5</v>
      </c>
      <c r="DV26" s="51" t="s">
        <v>138</v>
      </c>
      <c r="DX26" s="51" t="s">
        <v>227</v>
      </c>
      <c r="DY26" s="51" t="s">
        <v>138</v>
      </c>
      <c r="DZ26" t="s">
        <v>138</v>
      </c>
      <c r="EA26">
        <v>1394251</v>
      </c>
      <c r="EB26" s="51">
        <v>382420000</v>
      </c>
      <c r="EC26" s="51">
        <v>639730000</v>
      </c>
      <c r="ED26">
        <v>6.59</v>
      </c>
      <c r="EE26">
        <v>5.74</v>
      </c>
      <c r="EF26" t="s">
        <v>232</v>
      </c>
    </row>
    <row r="27" spans="1:136" ht="18" hidden="1" customHeight="1" outlineLevel="1">
      <c r="D27" s="126"/>
      <c r="E27" s="56" t="s">
        <v>73</v>
      </c>
      <c r="F27" t="s">
        <v>74</v>
      </c>
      <c r="G27" t="s">
        <v>72</v>
      </c>
      <c r="H27" t="s">
        <v>75</v>
      </c>
      <c r="I27" t="s">
        <v>117</v>
      </c>
      <c r="J27" t="s">
        <v>113</v>
      </c>
      <c r="K27" t="s">
        <v>118</v>
      </c>
      <c r="N27"/>
      <c r="O27" t="str">
        <f>IFERROR((MP_DATA[[#This Row],[D, bottom '[m']]]+#REF!)/(2*#REF!/1000),"")</f>
        <v/>
      </c>
      <c r="Y27" s="60">
        <v>9</v>
      </c>
      <c r="Z27" s="62">
        <v>-22.8</v>
      </c>
      <c r="AA27" s="62">
        <v>-26.7</v>
      </c>
      <c r="AB27" s="60">
        <v>9.8000000000000007</v>
      </c>
      <c r="AC27" s="60">
        <v>9.8000000000000007</v>
      </c>
      <c r="AD27" s="60">
        <v>93</v>
      </c>
      <c r="AP27" s="56" t="s">
        <v>73</v>
      </c>
      <c r="AQ27" t="s">
        <v>74</v>
      </c>
      <c r="AR27" t="s">
        <v>72</v>
      </c>
      <c r="AS27" t="s">
        <v>75</v>
      </c>
      <c r="AT27" t="s">
        <v>117</v>
      </c>
      <c r="AU27" t="s">
        <v>113</v>
      </c>
      <c r="AV27" t="s">
        <v>118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BQ27" s="60"/>
      <c r="BR27" s="60"/>
      <c r="BS27" s="60"/>
      <c r="BT27" s="60"/>
      <c r="BU27" s="60"/>
      <c r="BV27" s="60"/>
      <c r="BW27" s="60"/>
      <c r="BY27" s="60"/>
      <c r="CB27" s="56" t="s">
        <v>73</v>
      </c>
      <c r="CC27" t="s">
        <v>74</v>
      </c>
      <c r="CD27" t="s">
        <v>72</v>
      </c>
      <c r="CE27" t="s">
        <v>75</v>
      </c>
      <c r="CF27" t="s">
        <v>117</v>
      </c>
      <c r="CG27" t="s">
        <v>113</v>
      </c>
      <c r="CH27" t="s">
        <v>118</v>
      </c>
      <c r="CK27"/>
      <c r="CL27" t="str">
        <f>IFERROR((TOWER_DATA[[#This Row],[D, bottom '[m']]]+#REF!)/(2*#REF!/1000),"")</f>
        <v/>
      </c>
      <c r="CV27" s="221">
        <v>9</v>
      </c>
      <c r="CW27" s="222">
        <v>131.23999999999998</v>
      </c>
      <c r="CX27" s="222">
        <v>130.89999999999998</v>
      </c>
      <c r="CY27" s="221">
        <v>6.2229999999999999</v>
      </c>
      <c r="CZ27" s="221">
        <v>6.2229999999999999</v>
      </c>
      <c r="DA27" s="221">
        <v>23</v>
      </c>
      <c r="DC27" s="60" t="s">
        <v>410</v>
      </c>
      <c r="DD27" s="60">
        <v>131.23999999999998</v>
      </c>
      <c r="DE27" s="60">
        <v>131.23999999999998</v>
      </c>
      <c r="DF27" s="60">
        <v>92</v>
      </c>
      <c r="DN27" s="56" t="s">
        <v>137</v>
      </c>
      <c r="DO27">
        <v>15</v>
      </c>
      <c r="DP27">
        <v>240</v>
      </c>
      <c r="DQ27">
        <v>1102065</v>
      </c>
      <c r="DR27">
        <v>276287200</v>
      </c>
      <c r="DS27">
        <v>276287200</v>
      </c>
      <c r="DT27">
        <v>3.4</v>
      </c>
      <c r="DU27">
        <v>3.4</v>
      </c>
      <c r="DV27" t="s">
        <v>138</v>
      </c>
    </row>
    <row r="28" spans="1:136" ht="18" hidden="1" customHeight="1" outlineLevel="1">
      <c r="D28" s="126"/>
      <c r="E28" s="56" t="s">
        <v>231</v>
      </c>
      <c r="F28" t="s">
        <v>229</v>
      </c>
      <c r="G28" t="s">
        <v>76</v>
      </c>
      <c r="H28" t="s">
        <v>230</v>
      </c>
      <c r="I28">
        <v>43.5</v>
      </c>
      <c r="J28" t="s">
        <v>49</v>
      </c>
      <c r="K28" t="s">
        <v>228</v>
      </c>
      <c r="N28"/>
      <c r="O28" t="str">
        <f>IFERROR((MP_DATA[[#This Row],[D, bottom '[m']]]+#REF!)/(2*#REF!/1000),"")</f>
        <v/>
      </c>
      <c r="Y28" s="60">
        <v>10</v>
      </c>
      <c r="Z28" s="62">
        <v>-26.7</v>
      </c>
      <c r="AA28" s="62">
        <v>-30.6</v>
      </c>
      <c r="AB28" s="60">
        <v>9.8000000000000007</v>
      </c>
      <c r="AC28" s="60">
        <v>9.8000000000000007</v>
      </c>
      <c r="AD28" s="60">
        <v>102</v>
      </c>
      <c r="AP28" s="56" t="s">
        <v>231</v>
      </c>
      <c r="AQ28" t="s">
        <v>229</v>
      </c>
      <c r="AR28" t="s">
        <v>76</v>
      </c>
      <c r="AS28" t="s">
        <v>230</v>
      </c>
      <c r="AT28">
        <v>43.5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Q28" s="60"/>
      <c r="BR28" s="60"/>
      <c r="BS28" s="60"/>
      <c r="BT28" s="60"/>
      <c r="BU28" s="60"/>
      <c r="BV28" s="60"/>
      <c r="BW28" s="60"/>
      <c r="BY28" s="60"/>
      <c r="BZ28" s="60"/>
      <c r="CB28" s="56" t="s">
        <v>264</v>
      </c>
      <c r="CC28" t="s">
        <v>229</v>
      </c>
      <c r="CD28" t="s">
        <v>76</v>
      </c>
      <c r="CE28" t="s">
        <v>265</v>
      </c>
      <c r="CF28">
        <v>43.5</v>
      </c>
      <c r="CG28" t="s">
        <v>49</v>
      </c>
      <c r="CH28"/>
      <c r="CK28"/>
      <c r="CL28" t="str">
        <f>IFERROR((TOWER_DATA[[#This Row],[D, bottom '[m']]]+#REF!)/(2*#REF!/1000),"")</f>
        <v/>
      </c>
      <c r="CV28" s="221">
        <v>10</v>
      </c>
      <c r="CW28" s="222">
        <v>130.89999999999998</v>
      </c>
      <c r="CX28" s="222">
        <v>128.48999999999998</v>
      </c>
      <c r="CY28" s="221">
        <v>6.2229999999999999</v>
      </c>
      <c r="CZ28" s="221">
        <v>6.2229999999999999</v>
      </c>
      <c r="DA28" s="221">
        <v>23</v>
      </c>
      <c r="DC28" s="60" t="s">
        <v>410</v>
      </c>
      <c r="DD28" s="60">
        <v>130.89999999999998</v>
      </c>
      <c r="DE28" s="60">
        <v>130.89999999999998</v>
      </c>
      <c r="DF28" s="60">
        <v>138</v>
      </c>
      <c r="DG28" s="60"/>
      <c r="DH28" s="60"/>
      <c r="DI28" s="60"/>
      <c r="DK28" s="60"/>
      <c r="DL28" s="60"/>
      <c r="DN28" s="130" t="s">
        <v>227</v>
      </c>
      <c r="DO28" s="131" t="s">
        <v>138</v>
      </c>
      <c r="DP28" s="131" t="s">
        <v>138</v>
      </c>
      <c r="DQ28" s="131">
        <v>1394251</v>
      </c>
      <c r="DR28" s="131">
        <v>382420000</v>
      </c>
      <c r="DS28" s="131">
        <v>639730000</v>
      </c>
      <c r="DT28" s="131">
        <v>6.59</v>
      </c>
      <c r="DU28" s="131">
        <v>5.74</v>
      </c>
      <c r="DV28" s="131" t="s">
        <v>232</v>
      </c>
    </row>
    <row r="29" spans="1:136" ht="18" hidden="1" customHeight="1" outlineLevel="1">
      <c r="D29" s="126"/>
      <c r="E29" s="56" t="s">
        <v>235</v>
      </c>
      <c r="F29" t="s">
        <v>236</v>
      </c>
      <c r="G29" t="s">
        <v>237</v>
      </c>
      <c r="H29" t="s">
        <v>238</v>
      </c>
      <c r="I29">
        <v>23.1</v>
      </c>
      <c r="J29" t="s">
        <v>49</v>
      </c>
      <c r="K29"/>
      <c r="N29"/>
      <c r="O29" t="str">
        <f>IFERROR((MP_DATA[[#This Row],[D, bottom '[m']]]+#REF!)/(2*#REF!/1000),"")</f>
        <v/>
      </c>
      <c r="Y29" s="60">
        <v>11</v>
      </c>
      <c r="Z29" s="62">
        <v>-30.6</v>
      </c>
      <c r="AA29" s="62">
        <v>-34.5</v>
      </c>
      <c r="AB29" s="60">
        <v>9.8000000000000007</v>
      </c>
      <c r="AC29" s="60">
        <v>9.8000000000000007</v>
      </c>
      <c r="AD29" s="60">
        <v>112</v>
      </c>
      <c r="AP29" s="56" t="s">
        <v>235</v>
      </c>
      <c r="AQ29" t="s">
        <v>236</v>
      </c>
      <c r="AR29" t="s">
        <v>237</v>
      </c>
      <c r="AS29" t="s">
        <v>238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Q29" s="60"/>
      <c r="BR29" s="60"/>
      <c r="BS29" s="60"/>
      <c r="BT29" s="60"/>
      <c r="BU29" s="60"/>
      <c r="BV29" s="60"/>
      <c r="BW29" s="60"/>
      <c r="BY29" s="60"/>
      <c r="BZ29" s="60"/>
      <c r="CB29" s="56" t="s">
        <v>235</v>
      </c>
      <c r="CC29" t="s">
        <v>236</v>
      </c>
      <c r="CD29" t="s">
        <v>237</v>
      </c>
      <c r="CE29" t="s">
        <v>238</v>
      </c>
      <c r="CF29">
        <v>23.1</v>
      </c>
      <c r="CG29" t="s">
        <v>49</v>
      </c>
      <c r="CH29"/>
      <c r="CK29"/>
      <c r="CL29" t="str">
        <f>IFERROR((TOWER_DATA[[#This Row],[D, bottom '[m']]]+#REF!)/(2*#REF!/1000),"")</f>
        <v/>
      </c>
      <c r="CV29" s="221">
        <v>11</v>
      </c>
      <c r="CW29" s="222">
        <v>128.48999999999998</v>
      </c>
      <c r="CX29" s="222">
        <v>125.74000000000001</v>
      </c>
      <c r="CY29" s="221">
        <v>6.2229999999999999</v>
      </c>
      <c r="CZ29" s="221">
        <v>6.2229999999999999</v>
      </c>
      <c r="DA29" s="221">
        <v>23</v>
      </c>
      <c r="DC29" s="60" t="s">
        <v>410</v>
      </c>
      <c r="DD29" s="60">
        <v>125.74</v>
      </c>
      <c r="DE29" s="60">
        <v>125.74</v>
      </c>
      <c r="DF29" s="60">
        <v>138</v>
      </c>
      <c r="DG29" s="60"/>
      <c r="DH29" s="60"/>
      <c r="DI29" s="60"/>
      <c r="DK29" s="60"/>
      <c r="DL29" s="60"/>
    </row>
    <row r="30" spans="1:136" ht="18" hidden="1" customHeight="1" outlineLevel="1">
      <c r="D30" s="126"/>
      <c r="E30" s="56" t="s">
        <v>239</v>
      </c>
      <c r="F30" t="s">
        <v>240</v>
      </c>
      <c r="G30" t="s">
        <v>241</v>
      </c>
      <c r="H30" t="s">
        <v>242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Y30" s="60">
        <v>12</v>
      </c>
      <c r="Z30" s="62">
        <v>-34.5</v>
      </c>
      <c r="AA30" s="62">
        <v>-38.200000000000003</v>
      </c>
      <c r="AB30" s="60">
        <v>9.8000000000000007</v>
      </c>
      <c r="AC30" s="60">
        <v>9.8000000000000007</v>
      </c>
      <c r="AD30" s="60">
        <v>116</v>
      </c>
      <c r="AP30" s="56" t="s">
        <v>239</v>
      </c>
      <c r="AQ30" t="s">
        <v>240</v>
      </c>
      <c r="AR30" t="s">
        <v>241</v>
      </c>
      <c r="AS30" t="s">
        <v>242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Q30" s="60"/>
      <c r="BR30" s="60"/>
      <c r="BS30" s="60"/>
      <c r="BT30" s="60"/>
      <c r="BU30" s="60"/>
      <c r="BV30" s="60"/>
      <c r="BW30" s="60"/>
      <c r="BY30" s="60"/>
      <c r="BZ30" s="60"/>
      <c r="CB30" s="56" t="s">
        <v>266</v>
      </c>
      <c r="CC30" t="s">
        <v>267</v>
      </c>
      <c r="CD30" t="s">
        <v>268</v>
      </c>
      <c r="CE30" t="s">
        <v>267</v>
      </c>
      <c r="CF30">
        <v>0</v>
      </c>
      <c r="CG30" t="s">
        <v>49</v>
      </c>
      <c r="CH30"/>
      <c r="CK30"/>
      <c r="CL30" t="str">
        <f>IFERROR((TOWER_DATA[[#This Row],[D, bottom '[m']]]+#REF!)/(2*#REF!/1000),"")</f>
        <v/>
      </c>
      <c r="CV30" s="221">
        <v>12</v>
      </c>
      <c r="CW30" s="222">
        <v>125.74000000000001</v>
      </c>
      <c r="CX30" s="222">
        <v>123.667</v>
      </c>
      <c r="CY30" s="221">
        <v>6.2229999999999999</v>
      </c>
      <c r="CZ30" s="221">
        <v>6.2229999999999999</v>
      </c>
      <c r="DA30" s="221">
        <v>23</v>
      </c>
      <c r="DC30" s="60" t="s">
        <v>410</v>
      </c>
      <c r="DD30" s="60">
        <v>123.66699999999999</v>
      </c>
      <c r="DE30" s="60">
        <v>123.66699999999999</v>
      </c>
      <c r="DF30" s="60">
        <v>147</v>
      </c>
      <c r="DG30" s="60"/>
      <c r="DH30" s="60"/>
      <c r="DI30" s="60"/>
      <c r="DK30" s="60"/>
      <c r="DL30" s="60"/>
    </row>
    <row r="31" spans="1:136" ht="18" hidden="1" customHeight="1" outlineLevel="1">
      <c r="D31" s="126"/>
      <c r="E31" s="56" t="s">
        <v>243</v>
      </c>
      <c r="F31" t="s">
        <v>240</v>
      </c>
      <c r="G31" t="s">
        <v>241</v>
      </c>
      <c r="H31" t="s">
        <v>244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60">
        <v>13</v>
      </c>
      <c r="Z31" s="62">
        <v>-38.200000000000003</v>
      </c>
      <c r="AA31" s="62">
        <v>-40.29</v>
      </c>
      <c r="AB31" s="60">
        <v>9.8000000000000007</v>
      </c>
      <c r="AC31" s="60">
        <v>9.8000000000000007</v>
      </c>
      <c r="AD31" s="60">
        <v>108</v>
      </c>
      <c r="AP31" s="56" t="s">
        <v>243</v>
      </c>
      <c r="AQ31" t="s">
        <v>240</v>
      </c>
      <c r="AR31" t="s">
        <v>241</v>
      </c>
      <c r="AS31" t="s">
        <v>244</v>
      </c>
      <c r="AT31">
        <v>38.9</v>
      </c>
      <c r="AU31" t="s">
        <v>49</v>
      </c>
      <c r="AV31" t="s">
        <v>259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Q31" s="60"/>
      <c r="BR31" s="60"/>
      <c r="BS31" s="60"/>
      <c r="BT31" s="60"/>
      <c r="BU31" s="60"/>
      <c r="BV31" s="60"/>
      <c r="BW31" s="60"/>
      <c r="BY31" s="60"/>
      <c r="BZ31" s="60"/>
      <c r="CB31" s="56"/>
      <c r="CC31"/>
      <c r="CD31"/>
      <c r="CE31"/>
      <c r="CF31"/>
      <c r="CG31"/>
      <c r="CH31"/>
      <c r="CK31"/>
      <c r="CL31" t="str">
        <f>IFERROR((TOWER_DATA[[#This Row],[D, bottom '[m']]]+#REF!)/(2*#REF!/1000),"")</f>
        <v/>
      </c>
      <c r="CV31" s="221">
        <v>13</v>
      </c>
      <c r="CW31" s="222">
        <v>123.667</v>
      </c>
      <c r="CX31" s="222">
        <v>122.81</v>
      </c>
      <c r="CY31" s="221">
        <v>6.2229999999999999</v>
      </c>
      <c r="CZ31" s="221">
        <v>6.2229999999999999</v>
      </c>
      <c r="DA31" s="221">
        <v>23</v>
      </c>
      <c r="DC31" t="s">
        <v>410</v>
      </c>
      <c r="DD31">
        <v>120.89999999999999</v>
      </c>
      <c r="DE31">
        <v>120.89999999999999</v>
      </c>
      <c r="DF31">
        <v>147</v>
      </c>
      <c r="DL31" s="60"/>
    </row>
    <row r="32" spans="1:136" ht="18" hidden="1" customHeight="1" outlineLevel="1">
      <c r="D32" s="126"/>
      <c r="E32" s="56" t="s">
        <v>245</v>
      </c>
      <c r="F32" t="s">
        <v>240</v>
      </c>
      <c r="G32" t="s">
        <v>241</v>
      </c>
      <c r="H32" t="s">
        <v>246</v>
      </c>
      <c r="I32">
        <v>38.9</v>
      </c>
      <c r="J32" t="s">
        <v>49</v>
      </c>
      <c r="K32"/>
      <c r="N32"/>
      <c r="O32" t="str">
        <f>IFERROR((MP_DATA[[#This Row],[D, bottom '[m']]]+#REF!)/(2*#REF!/1000),"")</f>
        <v/>
      </c>
      <c r="Y32" s="60">
        <v>14</v>
      </c>
      <c r="Z32" s="62">
        <v>-40.29</v>
      </c>
      <c r="AA32" s="62">
        <v>-42.2</v>
      </c>
      <c r="AB32" s="60">
        <v>9.8000000000000007</v>
      </c>
      <c r="AC32" s="60">
        <v>9.8000000000000007</v>
      </c>
      <c r="AD32" s="60">
        <v>108</v>
      </c>
      <c r="AP32" s="56" t="s">
        <v>245</v>
      </c>
      <c r="AQ32" t="s">
        <v>240</v>
      </c>
      <c r="AR32" t="s">
        <v>241</v>
      </c>
      <c r="AS32" t="s">
        <v>246</v>
      </c>
      <c r="AT32">
        <v>38.9</v>
      </c>
      <c r="AU32" t="s">
        <v>49</v>
      </c>
      <c r="AV32" t="s">
        <v>260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Q32" s="60"/>
      <c r="BR32" s="60"/>
      <c r="BS32" s="60"/>
      <c r="BT32" s="60"/>
      <c r="BU32" s="60"/>
      <c r="BV32" s="60"/>
      <c r="BW32" s="60"/>
      <c r="BY32" s="60"/>
      <c r="BZ32" s="60"/>
      <c r="CB32" s="56"/>
      <c r="CC32"/>
      <c r="CD32"/>
      <c r="CE32"/>
      <c r="CF32"/>
      <c r="CG32"/>
      <c r="CH32"/>
      <c r="CK32"/>
      <c r="CL32" t="str">
        <f>IFERROR((TOWER_DATA[[#This Row],[D, bottom '[m']]]+#REF!)/(2*#REF!/1000),"")</f>
        <v/>
      </c>
      <c r="CV32" s="221">
        <v>14</v>
      </c>
      <c r="CW32" s="222">
        <v>122.81</v>
      </c>
      <c r="CX32" s="222">
        <v>120.9</v>
      </c>
      <c r="CY32" s="221">
        <v>6.2229999999999999</v>
      </c>
      <c r="CZ32" s="221">
        <v>6.2229999999999999</v>
      </c>
      <c r="DA32" s="221">
        <v>23</v>
      </c>
      <c r="DC32" t="s">
        <v>410</v>
      </c>
      <c r="DD32">
        <v>119.88</v>
      </c>
      <c r="DE32">
        <v>119.88</v>
      </c>
      <c r="DF32">
        <v>1060</v>
      </c>
      <c r="DL32" s="60"/>
    </row>
    <row r="33" spans="4:126" ht="18" hidden="1" customHeight="1" outlineLevel="1">
      <c r="D33" s="126"/>
      <c r="K33"/>
      <c r="N33"/>
      <c r="O33" s="75" t="str">
        <f>IFERROR((MP_DATA[[#This Row],[D, bottom '[m']]]+#REF!)/(2*#REF!/1000),"")</f>
        <v/>
      </c>
      <c r="Y33" s="60">
        <v>15</v>
      </c>
      <c r="Z33" s="62">
        <v>-42.2</v>
      </c>
      <c r="AA33" s="62">
        <v>-46.2</v>
      </c>
      <c r="AB33" s="60">
        <v>9.8000000000000007</v>
      </c>
      <c r="AC33" s="60">
        <v>9.8000000000000007</v>
      </c>
      <c r="AD33" s="60">
        <v>98</v>
      </c>
      <c r="AV33"/>
      <c r="AY33"/>
      <c r="AZ33" s="75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Q33" s="60"/>
      <c r="BR33" s="60"/>
      <c r="BS33" s="60"/>
      <c r="BT33" s="60"/>
      <c r="BU33" s="60"/>
      <c r="BV33" s="60"/>
      <c r="BW33" s="60"/>
      <c r="BY33" s="60"/>
      <c r="BZ33" s="60"/>
      <c r="CH33"/>
      <c r="CK33"/>
      <c r="CL33" s="75" t="str">
        <f>IFERROR((TOWER_DATA[[#This Row],[D, bottom '[m']]]+#REF!)/(2*#REF!/1000),"")</f>
        <v/>
      </c>
      <c r="CV33" s="221">
        <v>15</v>
      </c>
      <c r="CW33" s="222">
        <v>120.9</v>
      </c>
      <c r="CX33" s="222">
        <v>119.88000000000001</v>
      </c>
      <c r="CY33" s="221">
        <v>6.2229999999999999</v>
      </c>
      <c r="CZ33" s="221">
        <v>6.2229999999999999</v>
      </c>
      <c r="DA33" s="221">
        <v>23</v>
      </c>
      <c r="DC33" s="60" t="s">
        <v>410</v>
      </c>
      <c r="DD33" s="60">
        <v>116.94999999999999</v>
      </c>
      <c r="DE33" s="60">
        <v>116.94999999999999</v>
      </c>
      <c r="DF33" s="60">
        <v>147</v>
      </c>
      <c r="DL33" s="60"/>
      <c r="DU33" s="75"/>
      <c r="DV33" s="75"/>
    </row>
    <row r="34" spans="4:126" ht="18" hidden="1" customHeight="1" outlineLevel="1">
      <c r="D34" s="126"/>
      <c r="K34"/>
      <c r="N34"/>
      <c r="O34" s="75" t="str">
        <f>IFERROR((MP_DATA[[#This Row],[D, bottom '[m']]]+#REF!)/(2*#REF!/1000),"")</f>
        <v/>
      </c>
      <c r="Y34" s="60">
        <v>16</v>
      </c>
      <c r="Z34" s="62">
        <v>-46.2</v>
      </c>
      <c r="AA34" s="62">
        <v>-50.2</v>
      </c>
      <c r="AB34" s="60">
        <v>9.8000000000000007</v>
      </c>
      <c r="AC34" s="60">
        <v>9.8000000000000007</v>
      </c>
      <c r="AD34" s="60">
        <v>98</v>
      </c>
      <c r="AV34"/>
      <c r="AY34"/>
      <c r="AZ34" s="75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Q34" s="60"/>
      <c r="BR34" s="60"/>
      <c r="BS34" s="60"/>
      <c r="BT34" s="60"/>
      <c r="BU34" s="60"/>
      <c r="BV34" s="60"/>
      <c r="BW34" s="60"/>
      <c r="BY34" s="60"/>
      <c r="BZ34" s="60"/>
      <c r="CH34"/>
      <c r="CK34"/>
      <c r="CL34" s="75" t="str">
        <f>IFERROR((TOWER_DATA[[#This Row],[D, bottom '[m']]]+#REF!)/(2*#REF!/1000),"")</f>
        <v/>
      </c>
      <c r="CV34" s="221">
        <v>16</v>
      </c>
      <c r="CW34" s="222">
        <v>119.88000000000001</v>
      </c>
      <c r="CX34" s="222">
        <v>116.95</v>
      </c>
      <c r="CY34" s="221">
        <v>6.2229999999999999</v>
      </c>
      <c r="CZ34" s="221">
        <v>6.2229999999999999</v>
      </c>
      <c r="DA34" s="221">
        <v>23</v>
      </c>
      <c r="DC34" s="60" t="s">
        <v>410</v>
      </c>
      <c r="DD34" s="60">
        <v>115.446</v>
      </c>
      <c r="DE34" s="60">
        <v>115.446</v>
      </c>
      <c r="DF34" s="60">
        <v>147</v>
      </c>
      <c r="DL34" s="60"/>
      <c r="DU34" s="75"/>
      <c r="DV34" s="75"/>
    </row>
    <row r="35" spans="4:126" ht="18" hidden="1" customHeight="1" outlineLevel="1">
      <c r="D35" s="126"/>
      <c r="K35"/>
      <c r="N35"/>
      <c r="O35" s="75" t="str">
        <f>IFERROR((MP_DATA[[#This Row],[D, bottom '[m']]]+#REF!)/(2*#REF!/1000),"")</f>
        <v/>
      </c>
      <c r="Y35" s="60">
        <v>17</v>
      </c>
      <c r="Z35" s="62">
        <v>-50.2</v>
      </c>
      <c r="AA35" s="62">
        <v>-54.2</v>
      </c>
      <c r="AB35" s="60">
        <v>9.8000000000000007</v>
      </c>
      <c r="AC35" s="60">
        <v>9.8000000000000007</v>
      </c>
      <c r="AD35" s="60">
        <v>98</v>
      </c>
      <c r="AV35"/>
      <c r="AY35"/>
      <c r="AZ35" s="75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/>
      <c r="CK35"/>
      <c r="CL35" s="75" t="str">
        <f>IFERROR((TOWER_DATA[[#This Row],[D, bottom '[m']]]+#REF!)/(2*#REF!/1000),"")</f>
        <v/>
      </c>
      <c r="CV35" s="221">
        <v>17</v>
      </c>
      <c r="CW35" s="222">
        <v>116.95</v>
      </c>
      <c r="CX35" s="222">
        <v>115.44600000000001</v>
      </c>
      <c r="CY35" s="221">
        <v>6.2229999999999999</v>
      </c>
      <c r="CZ35" s="221">
        <v>6.2229999999999999</v>
      </c>
      <c r="DA35" s="221">
        <v>23</v>
      </c>
      <c r="DC35" s="60" t="s">
        <v>410</v>
      </c>
      <c r="DD35" s="60">
        <v>111.08999999999999</v>
      </c>
      <c r="DE35" s="60">
        <v>111.08999999999999</v>
      </c>
      <c r="DF35" s="60">
        <v>147</v>
      </c>
      <c r="DU35" s="75"/>
      <c r="DV35" s="75"/>
    </row>
    <row r="36" spans="4:126" ht="18" hidden="1" customHeight="1" outlineLevel="1">
      <c r="D36" s="126"/>
      <c r="K36"/>
      <c r="N36"/>
      <c r="O36" s="75" t="str">
        <f>IFERROR((MP_DATA[[#This Row],[D, bottom '[m']]]+#REF!)/(2*#REF!/1000),"")</f>
        <v/>
      </c>
      <c r="Y36" s="60">
        <v>18</v>
      </c>
      <c r="Z36" s="62">
        <v>-54.2</v>
      </c>
      <c r="AA36" s="62">
        <v>-58.2</v>
      </c>
      <c r="AB36" s="60">
        <v>9.8000000000000007</v>
      </c>
      <c r="AC36" s="60">
        <v>9.8000000000000007</v>
      </c>
      <c r="AD36" s="60">
        <v>98</v>
      </c>
      <c r="AV36"/>
      <c r="AY36"/>
      <c r="AZ36" s="75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/>
      <c r="CK36"/>
      <c r="CL36" s="75" t="str">
        <f>IFERROR((TOWER_DATA[[#This Row],[D, bottom '[m']]]+#REF!)/(2*#REF!/1000),"")</f>
        <v/>
      </c>
      <c r="CV36" s="221">
        <v>18</v>
      </c>
      <c r="CW36" s="222">
        <v>115.44600000000001</v>
      </c>
      <c r="CX36" s="222">
        <v>114.02000000000001</v>
      </c>
      <c r="CY36" s="221">
        <v>6.2229999999999999</v>
      </c>
      <c r="CZ36" s="221">
        <v>6.2240000000000002</v>
      </c>
      <c r="DA36" s="221">
        <v>23</v>
      </c>
      <c r="DC36" s="60" t="s">
        <v>410</v>
      </c>
      <c r="DD36" s="60">
        <v>110.89999999999999</v>
      </c>
      <c r="DE36" s="60">
        <v>110.89999999999999</v>
      </c>
      <c r="DF36" s="60">
        <v>147</v>
      </c>
      <c r="DU36" s="75"/>
      <c r="DV36" s="75"/>
    </row>
    <row r="37" spans="4:126" ht="18" hidden="1" customHeight="1" outlineLevel="1">
      <c r="D37" s="126"/>
      <c r="K37"/>
      <c r="N37"/>
      <c r="O37" s="75" t="str">
        <f>IFERROR((MP_DATA[[#This Row],[D, bottom '[m']]]+#REF!)/(2*#REF!/1000),"")</f>
        <v/>
      </c>
      <c r="Y37" s="60">
        <v>19</v>
      </c>
      <c r="Z37" s="62">
        <v>-58.2</v>
      </c>
      <c r="AA37" s="62">
        <v>-62.2</v>
      </c>
      <c r="AB37" s="60">
        <v>9.8000000000000007</v>
      </c>
      <c r="AC37" s="60">
        <v>9.8000000000000007</v>
      </c>
      <c r="AD37" s="60">
        <v>91</v>
      </c>
      <c r="AV37"/>
      <c r="AY37"/>
      <c r="AZ37" s="75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/>
      <c r="CK37"/>
      <c r="CL37" s="75" t="str">
        <f>IFERROR((TOWER_DATA[[#This Row],[D, bottom '[m']]]+#REF!)/(2*#REF!/1000),"")</f>
        <v/>
      </c>
      <c r="CV37" s="221">
        <v>19</v>
      </c>
      <c r="CW37" s="222">
        <v>114.02000000000001</v>
      </c>
      <c r="CX37" s="222">
        <v>111.09</v>
      </c>
      <c r="CY37" s="221">
        <v>6.2240000000000002</v>
      </c>
      <c r="CZ37" s="221">
        <v>6.2249999999999996</v>
      </c>
      <c r="DA37" s="221">
        <v>24</v>
      </c>
      <c r="DC37" s="60" t="s">
        <v>410</v>
      </c>
      <c r="DD37" s="60">
        <v>107.22399999999999</v>
      </c>
      <c r="DE37" s="60">
        <v>107.22399999999999</v>
      </c>
      <c r="DF37" s="60">
        <v>147</v>
      </c>
      <c r="DU37" s="75"/>
      <c r="DV37" s="75"/>
    </row>
    <row r="38" spans="4:126" ht="18" hidden="1" customHeight="1" outlineLevel="1">
      <c r="D38" s="126"/>
      <c r="K38"/>
      <c r="N38"/>
      <c r="Y38" s="60">
        <v>20</v>
      </c>
      <c r="Z38" s="62">
        <v>-62.2</v>
      </c>
      <c r="AA38" s="62">
        <v>-65.650000000000006</v>
      </c>
      <c r="AB38" s="60">
        <v>9.8000000000000007</v>
      </c>
      <c r="AC38" s="60">
        <v>9.8000000000000007</v>
      </c>
      <c r="AD38" s="60">
        <v>88</v>
      </c>
      <c r="AV38"/>
      <c r="AY38"/>
      <c r="BJ38" s="60"/>
      <c r="BK38" s="62"/>
      <c r="BL38" s="62"/>
      <c r="BM38" s="60"/>
      <c r="BN38" s="60"/>
      <c r="BO38" s="60"/>
      <c r="CH38"/>
      <c r="CK38"/>
      <c r="CV38" s="221">
        <v>20</v>
      </c>
      <c r="CW38" s="222">
        <v>111.09</v>
      </c>
      <c r="CX38" s="222">
        <v>110.9</v>
      </c>
      <c r="CY38" s="221">
        <v>6.2249999999999996</v>
      </c>
      <c r="CZ38" s="221">
        <v>6.2249999999999996</v>
      </c>
      <c r="DA38" s="221">
        <v>25</v>
      </c>
      <c r="DC38" s="60" t="s">
        <v>410</v>
      </c>
      <c r="DD38" s="60">
        <v>102.3</v>
      </c>
      <c r="DE38" s="60">
        <v>102.3</v>
      </c>
      <c r="DF38" s="60">
        <v>147</v>
      </c>
      <c r="DU38" s="75"/>
      <c r="DV38" s="75"/>
    </row>
    <row r="39" spans="4:126" ht="18" hidden="1" customHeight="1" outlineLevel="1">
      <c r="D39" s="126"/>
      <c r="K39"/>
      <c r="N39"/>
      <c r="Y39" s="60">
        <v>21</v>
      </c>
      <c r="Z39" s="62">
        <v>-65.650000000000006</v>
      </c>
      <c r="AA39" s="62">
        <v>-69.349999999999994</v>
      </c>
      <c r="AB39" s="60">
        <v>9.8000000000000007</v>
      </c>
      <c r="AC39" s="60">
        <v>9.8000000000000007</v>
      </c>
      <c r="AD39" s="60">
        <v>86</v>
      </c>
      <c r="AV39"/>
      <c r="AY39"/>
      <c r="BJ39" s="60"/>
      <c r="BK39" s="62"/>
      <c r="BL39" s="62"/>
      <c r="BM39" s="60"/>
      <c r="BN39" s="60"/>
      <c r="BO39" s="60"/>
      <c r="CH39"/>
      <c r="CK39"/>
      <c r="CV39" s="221">
        <v>21</v>
      </c>
      <c r="CW39" s="222">
        <v>110.9</v>
      </c>
      <c r="CX39" s="222">
        <v>108.16000000000001</v>
      </c>
      <c r="CY39" s="221">
        <v>6.2249999999999996</v>
      </c>
      <c r="CZ39" s="221">
        <v>6.226</v>
      </c>
      <c r="DA39" s="221">
        <v>25</v>
      </c>
      <c r="DC39" s="60" t="s">
        <v>410</v>
      </c>
      <c r="DD39" s="60">
        <v>102.25999999999999</v>
      </c>
      <c r="DE39" s="60">
        <v>102.25999999999999</v>
      </c>
      <c r="DF39" s="60">
        <v>5610</v>
      </c>
      <c r="DU39" s="75"/>
      <c r="DV39" s="75"/>
    </row>
    <row r="40" spans="4:126" ht="18" hidden="1" customHeight="1" outlineLevel="1">
      <c r="D40" s="126"/>
      <c r="K40"/>
      <c r="N40"/>
      <c r="Y40" s="60">
        <v>22</v>
      </c>
      <c r="Z40" s="62">
        <v>-69.349999999999994</v>
      </c>
      <c r="AA40" s="62">
        <v>-73.05</v>
      </c>
      <c r="AB40" s="60">
        <v>9.8000000000000007</v>
      </c>
      <c r="AC40" s="60">
        <v>9.8000000000000007</v>
      </c>
      <c r="AD40" s="60">
        <v>95</v>
      </c>
      <c r="AV40"/>
      <c r="AY40"/>
      <c r="BJ40" s="60"/>
      <c r="BK40" s="62"/>
      <c r="BL40" s="62"/>
      <c r="BM40" s="60"/>
      <c r="BN40" s="60"/>
      <c r="BO40" s="60"/>
      <c r="CH40"/>
      <c r="CK40"/>
      <c r="CV40" s="221">
        <v>22</v>
      </c>
      <c r="CW40" s="222">
        <v>108.16000000000001</v>
      </c>
      <c r="CX40" s="222">
        <v>107.224</v>
      </c>
      <c r="CY40" s="221">
        <v>6.226</v>
      </c>
      <c r="CZ40" s="221">
        <v>6.226</v>
      </c>
      <c r="DA40" s="221">
        <v>26</v>
      </c>
      <c r="DC40" s="60" t="s">
        <v>410</v>
      </c>
      <c r="DD40" s="60">
        <v>102.1</v>
      </c>
      <c r="DE40" s="60">
        <v>102.1</v>
      </c>
      <c r="DF40" s="60">
        <v>8160</v>
      </c>
      <c r="DU40" s="75"/>
      <c r="DV40" s="75"/>
    </row>
    <row r="41" spans="4:126" ht="18" hidden="1" customHeight="1" outlineLevel="1">
      <c r="D41" s="126"/>
      <c r="K41"/>
      <c r="N41"/>
      <c r="Y41" s="60">
        <v>23</v>
      </c>
      <c r="Z41" s="62">
        <v>-73.05</v>
      </c>
      <c r="AA41" s="62">
        <v>-76.05</v>
      </c>
      <c r="AB41" s="60">
        <v>9.8000000000000007</v>
      </c>
      <c r="AC41" s="60">
        <v>9.8000000000000007</v>
      </c>
      <c r="AD41" s="60">
        <v>105</v>
      </c>
      <c r="AV41"/>
      <c r="AY41"/>
      <c r="BJ41" s="60"/>
      <c r="BK41" s="62"/>
      <c r="BL41" s="62"/>
      <c r="BM41" s="60"/>
      <c r="BN41" s="60"/>
      <c r="BO41" s="60"/>
      <c r="CH41"/>
      <c r="CK41"/>
      <c r="CV41" s="221">
        <v>23</v>
      </c>
      <c r="CW41" s="222">
        <v>107.224</v>
      </c>
      <c r="CX41" s="222">
        <v>105.23</v>
      </c>
      <c r="CY41" s="221">
        <v>6.226</v>
      </c>
      <c r="CZ41" s="221">
        <v>6.226</v>
      </c>
      <c r="DA41" s="221">
        <v>26</v>
      </c>
      <c r="DC41" s="60" t="s">
        <v>410</v>
      </c>
      <c r="DD41" s="60">
        <v>101.94</v>
      </c>
      <c r="DE41" s="60">
        <v>101.94</v>
      </c>
      <c r="DF41" s="60">
        <v>5</v>
      </c>
      <c r="DU41" s="75"/>
      <c r="DV41" s="75"/>
    </row>
    <row r="42" spans="4:126" ht="18" hidden="1" customHeight="1" outlineLevel="1">
      <c r="D42" s="126"/>
      <c r="K42"/>
      <c r="N42"/>
      <c r="O42" s="75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5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/>
      <c r="CK42"/>
      <c r="CL42" s="75" t="str">
        <f>IFERROR((TOWER_DATA[[#This Row],[D, bottom '[m']]]+#REF!)/(2*#REF!/1000),"")</f>
        <v/>
      </c>
      <c r="CV42" s="221">
        <v>24</v>
      </c>
      <c r="CW42" s="222">
        <v>105.23</v>
      </c>
      <c r="CX42" s="222">
        <v>102.30000000000001</v>
      </c>
      <c r="CY42" s="221">
        <v>6.226</v>
      </c>
      <c r="CZ42" s="221">
        <v>6.2279999999999998</v>
      </c>
      <c r="DA42" s="221">
        <v>26</v>
      </c>
      <c r="DC42" s="60" t="s">
        <v>410</v>
      </c>
      <c r="DD42" s="60">
        <v>101.89999999999999</v>
      </c>
      <c r="DE42" s="60">
        <v>101.89999999999999</v>
      </c>
      <c r="DF42" s="60">
        <v>1</v>
      </c>
      <c r="DU42" s="75"/>
      <c r="DV42" s="75"/>
    </row>
    <row r="43" spans="4:126" ht="18" hidden="1" customHeight="1" outlineLevel="1">
      <c r="D43" s="126"/>
      <c r="K43"/>
      <c r="N43"/>
      <c r="O43" s="75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5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/>
      <c r="CK43"/>
      <c r="CL43" s="75" t="str">
        <f>IFERROR((TOWER_DATA[[#This Row],[D, bottom '[m']]]+#REF!)/(2*#REF!/1000),"")</f>
        <v/>
      </c>
      <c r="CV43" s="221">
        <v>25</v>
      </c>
      <c r="CW43" s="222">
        <v>102.30000000000001</v>
      </c>
      <c r="CX43" s="222">
        <v>102.26</v>
      </c>
      <c r="CY43" s="221">
        <v>6.2279999999999998</v>
      </c>
      <c r="CZ43" s="221">
        <v>6.2279999999999998</v>
      </c>
      <c r="DA43" s="221">
        <v>28</v>
      </c>
      <c r="DC43" s="60" t="s">
        <v>410</v>
      </c>
      <c r="DD43" s="60">
        <v>100.89999999999999</v>
      </c>
      <c r="DE43" s="60">
        <v>100.89999999999999</v>
      </c>
      <c r="DF43" s="60">
        <v>1003</v>
      </c>
      <c r="DU43" s="75"/>
      <c r="DV43" s="75"/>
    </row>
    <row r="44" spans="4:126" ht="18" hidden="1" customHeight="1" outlineLevel="1">
      <c r="D44" s="126"/>
      <c r="K44"/>
      <c r="N44"/>
      <c r="O44" s="75" t="str">
        <f>IFERROR((MP_DATA[[#This Row],[D, bottom '[m']]]+#REF!)/(2*#REF!/1000),"")</f>
        <v/>
      </c>
      <c r="AV44"/>
      <c r="AY44"/>
      <c r="AZ44" s="75" t="str">
        <f>IFERROR((TP_DATA[[#This Row],[D, bottom '[m']]]+#REF!)/(2*#REF!/1000),"")</f>
        <v/>
      </c>
      <c r="CH44"/>
      <c r="CK44"/>
      <c r="CL44" s="75" t="str">
        <f>IFERROR((TOWER_DATA[[#This Row],[D, bottom '[m']]]+#REF!)/(2*#REF!/1000),"")</f>
        <v/>
      </c>
      <c r="CV44" s="221">
        <v>26</v>
      </c>
      <c r="CW44" s="222">
        <v>102.26</v>
      </c>
      <c r="CX44" s="222">
        <v>102.10000000000001</v>
      </c>
      <c r="CY44" s="221">
        <v>6.2279999999999998</v>
      </c>
      <c r="CZ44" s="221">
        <v>6.2279999999999998</v>
      </c>
      <c r="DA44" s="221">
        <v>28</v>
      </c>
      <c r="DC44" s="60" t="s">
        <v>410</v>
      </c>
      <c r="DD44" s="60">
        <v>99.002999999999986</v>
      </c>
      <c r="DE44" s="60">
        <v>99.002999999999986</v>
      </c>
      <c r="DF44" s="60">
        <v>137</v>
      </c>
      <c r="DU44" s="75"/>
      <c r="DV44" s="75"/>
    </row>
    <row r="45" spans="4:126" ht="18" hidden="1" customHeight="1" outlineLevel="1">
      <c r="D45" s="126"/>
      <c r="K45"/>
      <c r="N45"/>
      <c r="O45" s="75" t="str">
        <f>IFERROR((MP_DATA[[#This Row],[D, bottom '[m']]]+#REF!)/(2*#REF!/1000),"")</f>
        <v/>
      </c>
      <c r="AV45"/>
      <c r="AY45"/>
      <c r="AZ45" s="75" t="str">
        <f>IFERROR((TP_DATA[[#This Row],[D, bottom '[m']]]+#REF!)/(2*#REF!/1000),"")</f>
        <v/>
      </c>
      <c r="CH45"/>
      <c r="CK45"/>
      <c r="CL45" s="75" t="str">
        <f>IFERROR((TOWER_DATA[[#This Row],[D, bottom '[m']]]+#REF!)/(2*#REF!/1000),"")</f>
        <v/>
      </c>
      <c r="CV45" s="221">
        <v>27</v>
      </c>
      <c r="CW45" s="222">
        <v>102.10000000000001</v>
      </c>
      <c r="CX45" s="222">
        <v>101.94000000000001</v>
      </c>
      <c r="CY45" s="221">
        <v>6.2279999999999998</v>
      </c>
      <c r="CZ45" s="221">
        <v>6.2279999999999998</v>
      </c>
      <c r="DA45" s="221">
        <v>28</v>
      </c>
      <c r="DC45" s="60" t="s">
        <v>410</v>
      </c>
      <c r="DD45" s="60">
        <v>94.891999999999996</v>
      </c>
      <c r="DE45" s="60">
        <v>94.891999999999996</v>
      </c>
      <c r="DF45" s="60">
        <v>138</v>
      </c>
      <c r="DU45" s="75"/>
      <c r="DV45" s="75"/>
    </row>
    <row r="46" spans="4:126" ht="18" hidden="1" customHeight="1" outlineLevel="1">
      <c r="D46" s="126"/>
      <c r="K46"/>
      <c r="N46"/>
      <c r="O46" s="75" t="str">
        <f>IFERROR((MP_DATA[[#This Row],[D, bottom '[m']]]+#REF!)/(2*#REF!/1000),"")</f>
        <v/>
      </c>
      <c r="AV46"/>
      <c r="AY46"/>
      <c r="AZ46" s="75" t="str">
        <f>IFERROR((TP_DATA[[#This Row],[D, bottom '[m']]]+#REF!)/(2*#REF!/1000),"")</f>
        <v/>
      </c>
      <c r="CH46"/>
      <c r="CK46"/>
      <c r="CL46" s="75" t="str">
        <f>IFERROR((TOWER_DATA[[#This Row],[D, bottom '[m']]]+#REF!)/(2*#REF!/1000),"")</f>
        <v/>
      </c>
      <c r="CV46" s="221">
        <v>28</v>
      </c>
      <c r="CW46" s="222">
        <v>101.94000000000001</v>
      </c>
      <c r="CX46" s="222">
        <v>101.9</v>
      </c>
      <c r="CY46" s="221">
        <v>6.2279999999999998</v>
      </c>
      <c r="CZ46" s="221">
        <v>6.23</v>
      </c>
      <c r="DA46" s="221">
        <v>28</v>
      </c>
      <c r="DC46" s="60" t="s">
        <v>410</v>
      </c>
      <c r="DD46" s="60">
        <v>91.005999999999986</v>
      </c>
      <c r="DE46" s="60">
        <v>91.005999999999986</v>
      </c>
      <c r="DF46" s="60">
        <v>138</v>
      </c>
      <c r="DU46" s="75"/>
      <c r="DV46" s="75"/>
    </row>
    <row r="47" spans="4:126" ht="18" hidden="1" customHeight="1" outlineLevel="1">
      <c r="D47" s="126"/>
      <c r="K47"/>
      <c r="N47"/>
      <c r="O47" s="75" t="str">
        <f>IFERROR((MP_DATA[[#This Row],[D, bottom '[m']]]+#REF!)/(2*#REF!/1000),"")</f>
        <v/>
      </c>
      <c r="AV47"/>
      <c r="AY47"/>
      <c r="AZ47" s="75" t="str">
        <f>IFERROR((TP_DATA[[#This Row],[D, bottom '[m']]]+#REF!)/(2*#REF!/1000),"")</f>
        <v/>
      </c>
      <c r="CH47"/>
      <c r="CK47"/>
      <c r="CL47" s="75" t="str">
        <f>IFERROR((TOWER_DATA[[#This Row],[D, bottom '[m']]]+#REF!)/(2*#REF!/1000),"")</f>
        <v/>
      </c>
      <c r="CV47" s="221">
        <v>29</v>
      </c>
      <c r="CW47" s="222">
        <v>101.9</v>
      </c>
      <c r="CX47" s="222">
        <v>100.9</v>
      </c>
      <c r="CY47" s="221">
        <v>6.23</v>
      </c>
      <c r="CZ47" s="221">
        <v>6.2530000000000001</v>
      </c>
      <c r="DA47" s="221">
        <v>30.099999999999998</v>
      </c>
      <c r="DC47" s="60" t="s">
        <v>410</v>
      </c>
      <c r="DD47" s="60">
        <v>90.899999999999991</v>
      </c>
      <c r="DE47" s="60">
        <v>90.899999999999991</v>
      </c>
      <c r="DF47" s="60">
        <v>139</v>
      </c>
      <c r="DU47" s="75"/>
      <c r="DV47" s="75"/>
    </row>
    <row r="48" spans="4:126" ht="18" hidden="1" customHeight="1" outlineLevel="1">
      <c r="D48" s="126"/>
      <c r="K48"/>
      <c r="N48"/>
      <c r="O48" s="75"/>
      <c r="AV48"/>
      <c r="AY48"/>
      <c r="AZ48" s="75"/>
      <c r="CH48"/>
      <c r="CK48"/>
      <c r="CL48" s="75"/>
      <c r="CV48" s="221">
        <v>30</v>
      </c>
      <c r="CW48" s="222">
        <v>100.9</v>
      </c>
      <c r="CX48" s="222">
        <v>99.172000000000011</v>
      </c>
      <c r="CY48" s="221">
        <v>6.2530000000000001</v>
      </c>
      <c r="CZ48" s="221">
        <v>6.2889999999999997</v>
      </c>
      <c r="DA48" s="221">
        <v>30.099999999999998</v>
      </c>
      <c r="DC48" s="60" t="s">
        <v>410</v>
      </c>
      <c r="DD48" s="60">
        <v>86.670999999999992</v>
      </c>
      <c r="DE48" s="60">
        <v>86.670999999999992</v>
      </c>
      <c r="DF48" s="60">
        <v>139</v>
      </c>
      <c r="DU48" s="75"/>
      <c r="DV48" s="75"/>
    </row>
    <row r="49" spans="4:126" ht="18" hidden="1" customHeight="1" outlineLevel="1">
      <c r="D49" s="126"/>
      <c r="K49"/>
      <c r="N49"/>
      <c r="O49" s="75"/>
      <c r="AV49"/>
      <c r="AY49"/>
      <c r="AZ49" s="75"/>
      <c r="CH49"/>
      <c r="CK49"/>
      <c r="CL49" s="75"/>
      <c r="CV49" s="221">
        <v>31</v>
      </c>
      <c r="CW49" s="222">
        <v>99.172000000000011</v>
      </c>
      <c r="CX49" s="222">
        <v>99.003</v>
      </c>
      <c r="CY49" s="221">
        <v>6.2889999999999997</v>
      </c>
      <c r="CZ49" s="221">
        <v>6.2919999999999998</v>
      </c>
      <c r="DA49" s="221">
        <v>26.5</v>
      </c>
      <c r="DC49" s="60" t="s">
        <v>410</v>
      </c>
      <c r="DD49" s="60">
        <v>82.839999999999989</v>
      </c>
      <c r="DE49" s="60">
        <v>82.839999999999989</v>
      </c>
      <c r="DF49" s="60">
        <v>140</v>
      </c>
      <c r="DU49" s="75"/>
      <c r="DV49" s="75"/>
    </row>
    <row r="50" spans="4:126" ht="18" hidden="1" customHeight="1" outlineLevel="1">
      <c r="D50" s="126"/>
      <c r="K50"/>
      <c r="N50"/>
      <c r="O50" s="75"/>
      <c r="AV50"/>
      <c r="AY50"/>
      <c r="AZ50" s="75"/>
      <c r="CH50"/>
      <c r="CK50"/>
      <c r="CL50" s="75"/>
      <c r="CV50" s="221">
        <v>32</v>
      </c>
      <c r="CW50" s="222">
        <v>99.003</v>
      </c>
      <c r="CX50" s="222">
        <v>96.45</v>
      </c>
      <c r="CY50" s="221">
        <v>6.2919999999999998</v>
      </c>
      <c r="CZ50" s="221">
        <v>6.351</v>
      </c>
      <c r="DA50" s="221">
        <v>26.5</v>
      </c>
      <c r="DC50" s="60" t="s">
        <v>410</v>
      </c>
      <c r="DD50" s="60">
        <v>80.899999999999991</v>
      </c>
      <c r="DE50" s="60">
        <v>80.899999999999991</v>
      </c>
      <c r="DF50" s="60">
        <v>140</v>
      </c>
      <c r="DU50" s="75"/>
      <c r="DV50" s="75"/>
    </row>
    <row r="51" spans="4:126" ht="18" hidden="1" customHeight="1" outlineLevel="1">
      <c r="D51" s="126"/>
      <c r="K51"/>
      <c r="N51"/>
      <c r="O51" s="75"/>
      <c r="AV51"/>
      <c r="AY51"/>
      <c r="AZ51" s="75"/>
      <c r="CH51"/>
      <c r="CK51"/>
      <c r="CL51" s="75"/>
      <c r="CV51" s="221">
        <v>33</v>
      </c>
      <c r="CW51" s="222">
        <v>96.45</v>
      </c>
      <c r="CX51" s="222">
        <v>94.89200000000001</v>
      </c>
      <c r="CY51" s="221">
        <v>6.351</v>
      </c>
      <c r="CZ51" s="221">
        <v>6.3869999999999996</v>
      </c>
      <c r="DA51" s="221">
        <v>28</v>
      </c>
      <c r="DC51" s="60" t="s">
        <v>410</v>
      </c>
      <c r="DD51" s="60">
        <v>78.449999999999989</v>
      </c>
      <c r="DE51" s="60">
        <v>78.449999999999989</v>
      </c>
      <c r="DF51" s="60">
        <v>141</v>
      </c>
      <c r="DU51" s="75"/>
      <c r="DV51" s="75"/>
    </row>
    <row r="52" spans="4:126" ht="18" hidden="1" customHeight="1" outlineLevel="1">
      <c r="D52" s="126"/>
      <c r="K52"/>
      <c r="N52"/>
      <c r="O52" s="75"/>
      <c r="AV52"/>
      <c r="AY52"/>
      <c r="AZ52" s="75"/>
      <c r="CH52"/>
      <c r="CK52"/>
      <c r="CL52" s="75"/>
      <c r="CV52" s="221">
        <v>34</v>
      </c>
      <c r="CW52" s="222">
        <v>94.89200000000001</v>
      </c>
      <c r="CX52" s="222">
        <v>93.728000000000009</v>
      </c>
      <c r="CY52" s="221">
        <v>6.3869999999999996</v>
      </c>
      <c r="CZ52" s="221">
        <v>6.4139999999999997</v>
      </c>
      <c r="DA52" s="221">
        <v>28</v>
      </c>
      <c r="DC52" s="60" t="s">
        <v>410</v>
      </c>
      <c r="DD52" s="60">
        <v>74.673999999999992</v>
      </c>
      <c r="DE52" s="60">
        <v>74.673999999999992</v>
      </c>
      <c r="DF52" s="60">
        <v>141</v>
      </c>
      <c r="DU52" s="75"/>
      <c r="DV52" s="75"/>
    </row>
    <row r="53" spans="4:126" ht="18" hidden="1" customHeight="1" outlineLevel="1">
      <c r="D53" s="126"/>
      <c r="K53"/>
      <c r="N53"/>
      <c r="O53" s="75"/>
      <c r="AV53"/>
      <c r="AY53"/>
      <c r="AZ53" s="75"/>
      <c r="CH53"/>
      <c r="CK53"/>
      <c r="CL53" s="75"/>
      <c r="CV53" s="221">
        <v>35</v>
      </c>
      <c r="CW53" s="222">
        <v>93.728000000000009</v>
      </c>
      <c r="CX53" s="222">
        <v>91.006</v>
      </c>
      <c r="CY53" s="221">
        <v>6.4139999999999997</v>
      </c>
      <c r="CZ53" s="221">
        <v>6.4749999999999996</v>
      </c>
      <c r="DA53" s="221">
        <v>28.6</v>
      </c>
      <c r="DC53" s="60" t="s">
        <v>410</v>
      </c>
      <c r="DD53" s="60">
        <v>71.951999999999984</v>
      </c>
      <c r="DE53" s="60">
        <v>71.951999999999984</v>
      </c>
      <c r="DF53" s="60">
        <v>142</v>
      </c>
      <c r="DU53" s="75"/>
      <c r="DV53" s="75"/>
    </row>
    <row r="54" spans="4:126" ht="18" hidden="1" customHeight="1" outlineLevel="1">
      <c r="D54" s="126"/>
      <c r="K54"/>
      <c r="N54"/>
      <c r="O54" s="75"/>
      <c r="AV54"/>
      <c r="AY54"/>
      <c r="AZ54" s="75"/>
      <c r="CH54"/>
      <c r="CK54"/>
      <c r="CL54" s="75"/>
      <c r="CV54" s="221">
        <v>36</v>
      </c>
      <c r="CW54" s="222">
        <v>91.006</v>
      </c>
      <c r="CX54" s="222">
        <v>90.9</v>
      </c>
      <c r="CY54" s="221">
        <v>6.4749999999999996</v>
      </c>
      <c r="CZ54" s="221">
        <v>6.4779999999999998</v>
      </c>
      <c r="DA54" s="221">
        <v>29.4</v>
      </c>
      <c r="DC54" s="60" t="s">
        <v>410</v>
      </c>
      <c r="DD54" s="60">
        <v>70.899999999999991</v>
      </c>
      <c r="DE54" s="60">
        <v>70.899999999999991</v>
      </c>
      <c r="DF54" s="60">
        <v>143</v>
      </c>
      <c r="DU54" s="75"/>
      <c r="DV54" s="75"/>
    </row>
    <row r="55" spans="4:126" ht="18" hidden="1" customHeight="1" outlineLevel="1">
      <c r="D55" s="126"/>
      <c r="K55"/>
      <c r="N55"/>
      <c r="O55" s="75"/>
      <c r="AV55"/>
      <c r="AY55"/>
      <c r="AZ55" s="75"/>
      <c r="CH55"/>
      <c r="CK55"/>
      <c r="CL55" s="75"/>
      <c r="CV55" s="221">
        <v>37</v>
      </c>
      <c r="CW55" s="222">
        <v>90.9</v>
      </c>
      <c r="CX55" s="222">
        <v>88.284000000000006</v>
      </c>
      <c r="CY55" s="221">
        <v>6.4779999999999998</v>
      </c>
      <c r="CZ55" s="221">
        <v>6.5380000000000003</v>
      </c>
      <c r="DA55" s="221">
        <v>29.4</v>
      </c>
      <c r="DC55" s="60" t="s">
        <v>410</v>
      </c>
      <c r="DD55" s="60">
        <v>66.489999999999995</v>
      </c>
      <c r="DE55" s="60">
        <v>66.489999999999995</v>
      </c>
      <c r="DF55" s="60">
        <v>144</v>
      </c>
      <c r="DU55" s="75"/>
      <c r="DV55" s="75"/>
    </row>
    <row r="56" spans="4:126" ht="18" hidden="1" customHeight="1" outlineLevel="1">
      <c r="D56" s="126"/>
      <c r="K56"/>
      <c r="N56"/>
      <c r="O56" s="75"/>
      <c r="AV56"/>
      <c r="AY56"/>
      <c r="AZ56" s="75"/>
      <c r="CH56"/>
      <c r="CK56"/>
      <c r="CL56" s="75"/>
      <c r="CV56" s="221">
        <v>38</v>
      </c>
      <c r="CW56" s="222">
        <v>88.284000000000006</v>
      </c>
      <c r="CX56" s="222">
        <v>86.671000000000006</v>
      </c>
      <c r="CY56" s="221">
        <v>6.5380000000000003</v>
      </c>
      <c r="CZ56" s="221">
        <v>6.5739999999999998</v>
      </c>
      <c r="DA56" s="221">
        <v>29.5</v>
      </c>
      <c r="DC56" s="60" t="s">
        <v>410</v>
      </c>
      <c r="DD56" s="60">
        <v>66.444999999999993</v>
      </c>
      <c r="DE56" s="60">
        <v>66.444999999999993</v>
      </c>
      <c r="DF56" s="60">
        <v>7316</v>
      </c>
      <c r="DU56" s="75"/>
      <c r="DV56" s="75"/>
    </row>
    <row r="57" spans="4:126" ht="18" hidden="1" customHeight="1" outlineLevel="1">
      <c r="D57" s="126"/>
      <c r="K57"/>
      <c r="N57"/>
      <c r="O57" s="75"/>
      <c r="AV57"/>
      <c r="AY57"/>
      <c r="AZ57" s="75"/>
      <c r="CH57"/>
      <c r="CK57"/>
      <c r="CL57" s="75"/>
      <c r="CV57" s="221">
        <v>39</v>
      </c>
      <c r="CW57" s="222">
        <v>86.671000000000006</v>
      </c>
      <c r="CX57" s="222">
        <v>85.562000000000012</v>
      </c>
      <c r="CY57" s="221">
        <v>6.5739999999999998</v>
      </c>
      <c r="CZ57" s="221">
        <v>6.601</v>
      </c>
      <c r="DA57" s="221">
        <v>29.5</v>
      </c>
      <c r="DC57" s="60" t="s">
        <v>410</v>
      </c>
      <c r="DD57" s="60">
        <v>66.259999999999991</v>
      </c>
      <c r="DE57" s="60">
        <v>66.259999999999991</v>
      </c>
      <c r="DF57" s="60">
        <v>10048</v>
      </c>
      <c r="DU57" s="75"/>
      <c r="DV57" s="75"/>
    </row>
    <row r="58" spans="4:126" ht="18" hidden="1" customHeight="1" outlineLevel="1">
      <c r="D58" s="126"/>
      <c r="K58"/>
      <c r="N58"/>
      <c r="O58" s="75"/>
      <c r="AV58"/>
      <c r="AY58"/>
      <c r="AZ58" s="75"/>
      <c r="CH58"/>
      <c r="CK58"/>
      <c r="CL58" s="75"/>
      <c r="CV58" s="221">
        <v>40</v>
      </c>
      <c r="CW58" s="222">
        <v>85.562000000000012</v>
      </c>
      <c r="CX58" s="222">
        <v>82.84</v>
      </c>
      <c r="CY58" s="221">
        <v>6.601</v>
      </c>
      <c r="CZ58" s="221">
        <v>6.6619999999999999</v>
      </c>
      <c r="DA58" s="221">
        <v>31.5</v>
      </c>
      <c r="DC58" s="60" t="s">
        <v>410</v>
      </c>
      <c r="DD58" s="60">
        <v>66.074999999999989</v>
      </c>
      <c r="DE58" s="60">
        <v>66.074999999999989</v>
      </c>
      <c r="DF58" s="60">
        <v>6</v>
      </c>
      <c r="DU58" s="75"/>
      <c r="DV58" s="75"/>
    </row>
    <row r="59" spans="4:126" ht="18" hidden="1" customHeight="1" outlineLevel="1">
      <c r="D59" s="126"/>
      <c r="K59"/>
      <c r="N59"/>
      <c r="O59" s="75"/>
      <c r="AV59"/>
      <c r="AY59"/>
      <c r="AZ59" s="75"/>
      <c r="CH59"/>
      <c r="CK59"/>
      <c r="CL59" s="75"/>
      <c r="CV59" s="221">
        <v>41</v>
      </c>
      <c r="CW59" s="222">
        <v>82.84</v>
      </c>
      <c r="CX59" s="222">
        <v>82.56</v>
      </c>
      <c r="CY59" s="221">
        <v>6.6619999999999999</v>
      </c>
      <c r="CZ59" s="221">
        <v>6.6689999999999996</v>
      </c>
      <c r="DA59" s="221">
        <v>31.2</v>
      </c>
      <c r="DC59" s="60" t="s">
        <v>410</v>
      </c>
      <c r="DD59" s="60">
        <v>66.029999999999987</v>
      </c>
      <c r="DE59" s="60">
        <v>66.029999999999987</v>
      </c>
      <c r="DF59" s="60">
        <v>1061</v>
      </c>
      <c r="DU59" s="75"/>
      <c r="DV59" s="75"/>
    </row>
    <row r="60" spans="4:126" ht="18" hidden="1" customHeight="1" outlineLevel="1">
      <c r="D60" s="126"/>
      <c r="K60"/>
      <c r="N60"/>
      <c r="O60" s="75" t="str">
        <f>IFERROR((MP_DATA[[#This Row],[D, bottom '[m']]]+#REF!)/(2*#REF!/1000),"")</f>
        <v/>
      </c>
      <c r="AV60"/>
      <c r="AY60"/>
      <c r="AZ60" s="75" t="str">
        <f>IFERROR((TP_DATA[[#This Row],[D, bottom '[m']]]+#REF!)/(2*#REF!/1000),"")</f>
        <v/>
      </c>
      <c r="CH60"/>
      <c r="CK60"/>
      <c r="CL60" s="75" t="str">
        <f>IFERROR((TOWER_DATA[[#This Row],[D, bottom '[m']]]+#REF!)/(2*#REF!/1000),"")</f>
        <v/>
      </c>
      <c r="CV60" s="221">
        <v>42</v>
      </c>
      <c r="CW60" s="222">
        <v>82.56</v>
      </c>
      <c r="CX60" s="222">
        <v>80.900000000000006</v>
      </c>
      <c r="CY60" s="221">
        <v>6.6689999999999996</v>
      </c>
      <c r="CZ60" s="221">
        <v>6.7060000000000004</v>
      </c>
      <c r="DA60" s="221">
        <v>31.2</v>
      </c>
      <c r="DC60" s="60" t="s">
        <v>410</v>
      </c>
      <c r="DD60" s="60">
        <v>63.308000000000007</v>
      </c>
      <c r="DE60" s="60">
        <v>63.308000000000007</v>
      </c>
      <c r="DF60" s="60">
        <v>143</v>
      </c>
      <c r="DU60" s="75"/>
      <c r="DV60" s="75"/>
    </row>
    <row r="61" spans="4:126" ht="18" hidden="1" customHeight="1" outlineLevel="1">
      <c r="D61" s="126"/>
      <c r="K61"/>
      <c r="N61"/>
      <c r="O61" s="75" t="str">
        <f>IFERROR((MP_DATA[[#This Row],[D, bottom '[m']]]+#REF!)/(2*#REF!/1000),"")</f>
        <v/>
      </c>
      <c r="AV61"/>
      <c r="AY61"/>
      <c r="AZ61" s="75" t="str">
        <f>IFERROR((TP_DATA[[#This Row],[D, bottom '[m']]]+#REF!)/(2*#REF!/1000),"")</f>
        <v/>
      </c>
      <c r="CH61"/>
      <c r="CK61"/>
      <c r="CL61" s="75" t="str">
        <f>IFERROR((TOWER_DATA[[#This Row],[D, bottom '[m']]]+#REF!)/(2*#REF!/1000),"")</f>
        <v/>
      </c>
      <c r="CV61" s="221">
        <v>43</v>
      </c>
      <c r="CW61" s="222">
        <v>80.900000000000006</v>
      </c>
      <c r="CX61" s="222">
        <v>80.118000000000009</v>
      </c>
      <c r="CY61" s="221">
        <v>6.7060000000000004</v>
      </c>
      <c r="CZ61" s="221">
        <v>6.7240000000000002</v>
      </c>
      <c r="DA61" s="221">
        <v>31.2</v>
      </c>
      <c r="DC61" s="60" t="s">
        <v>410</v>
      </c>
      <c r="DD61" s="60">
        <v>62.007000000000005</v>
      </c>
      <c r="DE61" s="60">
        <v>62.007000000000005</v>
      </c>
      <c r="DF61" s="60">
        <v>144</v>
      </c>
      <c r="DU61" s="75"/>
      <c r="DV61" s="75"/>
    </row>
    <row r="62" spans="4:126" ht="18" hidden="1" customHeight="1" outlineLevel="1">
      <c r="D62" s="126"/>
      <c r="K62"/>
      <c r="N62"/>
      <c r="O62" s="75" t="str">
        <f>IFERROR((MP_DATA[[#This Row],[D, bottom '[m']]]+#REF!)/(2*#REF!/1000),"")</f>
        <v/>
      </c>
      <c r="AV62"/>
      <c r="AY62"/>
      <c r="AZ62" s="75" t="str">
        <f>IFERROR((TP_DATA[[#This Row],[D, bottom '[m']]]+#REF!)/(2*#REF!/1000),"")</f>
        <v/>
      </c>
      <c r="CH62"/>
      <c r="CK62"/>
      <c r="CL62" s="75" t="str">
        <f>IFERROR((TOWER_DATA[[#This Row],[D, bottom '[m']]]+#REF!)/(2*#REF!/1000),"")</f>
        <v/>
      </c>
      <c r="CV62" s="221">
        <v>44</v>
      </c>
      <c r="CW62" s="222">
        <v>80.118000000000009</v>
      </c>
      <c r="CX62" s="222">
        <v>78.45</v>
      </c>
      <c r="CY62" s="221">
        <v>6.7240000000000002</v>
      </c>
      <c r="CZ62" s="221">
        <v>6.7619999999999996</v>
      </c>
      <c r="DA62" s="221">
        <v>31.7</v>
      </c>
      <c r="DC62" s="60" t="s">
        <v>410</v>
      </c>
      <c r="DD62" s="60">
        <v>57.896000000000001</v>
      </c>
      <c r="DE62" s="60">
        <v>57.896000000000001</v>
      </c>
      <c r="DF62" s="60">
        <v>144</v>
      </c>
      <c r="DU62" s="75"/>
      <c r="DV62" s="75"/>
    </row>
    <row r="63" spans="4:126" ht="18" hidden="1" customHeight="1" outlineLevel="1">
      <c r="D63" s="126"/>
      <c r="K63"/>
      <c r="N63"/>
      <c r="O63" s="75" t="str">
        <f>IFERROR((MP_DATA[[#This Row],[D, bottom '[m']]]+#REF!)/(2*#REF!/1000),"")</f>
        <v/>
      </c>
      <c r="AV63"/>
      <c r="AY63"/>
      <c r="AZ63" s="75" t="str">
        <f>IFERROR((TP_DATA[[#This Row],[D, bottom '[m']]]+#REF!)/(2*#REF!/1000),"")</f>
        <v/>
      </c>
      <c r="CH63"/>
      <c r="CK63"/>
      <c r="CL63" s="75" t="str">
        <f>IFERROR((TOWER_DATA[[#This Row],[D, bottom '[m']]]+#REF!)/(2*#REF!/1000),"")</f>
        <v/>
      </c>
      <c r="CV63" s="221">
        <v>45</v>
      </c>
      <c r="CW63" s="222">
        <v>78.45</v>
      </c>
      <c r="CX63" s="222">
        <v>77.396000000000001</v>
      </c>
      <c r="CY63" s="221">
        <v>6.7619999999999996</v>
      </c>
      <c r="CZ63" s="221">
        <v>6.7859999999999996</v>
      </c>
      <c r="DA63" s="221">
        <v>31.7</v>
      </c>
      <c r="DC63" s="60" t="s">
        <v>410</v>
      </c>
      <c r="DD63" s="60">
        <v>55.153999999999996</v>
      </c>
      <c r="DE63" s="60">
        <v>55.153999999999996</v>
      </c>
      <c r="DF63" s="60">
        <v>144</v>
      </c>
      <c r="DU63" s="75"/>
      <c r="DV63" s="75"/>
    </row>
    <row r="64" spans="4:126" ht="18" hidden="1" customHeight="1" outlineLevel="1">
      <c r="D64" s="126"/>
      <c r="K64"/>
      <c r="N64"/>
      <c r="O64" s="75" t="str">
        <f>IFERROR((MP_DATA[[#This Row],[D, bottom '[m']]]+#REF!)/(2*#REF!/1000),"")</f>
        <v/>
      </c>
      <c r="AV64"/>
      <c r="AY64"/>
      <c r="AZ64" s="75" t="str">
        <f>IFERROR((TP_DATA[[#This Row],[D, bottom '[m']]]+#REF!)/(2*#REF!/1000),"")</f>
        <v/>
      </c>
      <c r="CH64"/>
      <c r="CK64"/>
      <c r="CL64" s="75" t="str">
        <f>IFERROR((TOWER_DATA[[#This Row],[D, bottom '[m']]]+#REF!)/(2*#REF!/1000),"")</f>
        <v/>
      </c>
      <c r="CV64" s="221">
        <v>46</v>
      </c>
      <c r="CW64" s="222">
        <v>77.396000000000001</v>
      </c>
      <c r="CX64" s="222">
        <v>74.674000000000007</v>
      </c>
      <c r="CY64" s="221">
        <v>6.7859999999999996</v>
      </c>
      <c r="CZ64" s="221">
        <v>6.8479999999999999</v>
      </c>
      <c r="DA64" s="221">
        <v>32.200000000000003</v>
      </c>
      <c r="DC64" s="60" t="s">
        <v>410</v>
      </c>
      <c r="DD64" s="60">
        <v>53.786000000000001</v>
      </c>
      <c r="DE64" s="60">
        <v>53.786000000000001</v>
      </c>
      <c r="DF64" s="60">
        <v>145</v>
      </c>
      <c r="DU64" s="75"/>
      <c r="DV64" s="75"/>
    </row>
    <row r="65" spans="4:126" ht="18" hidden="1" customHeight="1" outlineLevel="1">
      <c r="D65" s="126"/>
      <c r="K65"/>
      <c r="N65"/>
      <c r="O65" s="75" t="str">
        <f>IFERROR((MP_DATA[[#This Row],[D, bottom '[m']]]+#REF!)/(2*#REF!/1000),"")</f>
        <v/>
      </c>
      <c r="AV65"/>
      <c r="AY65"/>
      <c r="AZ65" s="75" t="str">
        <f>IFERROR((TP_DATA[[#This Row],[D, bottom '[m']]]+#REF!)/(2*#REF!/1000),"")</f>
        <v/>
      </c>
      <c r="CH65"/>
      <c r="CK65"/>
      <c r="CL65" s="75" t="str">
        <f>IFERROR((TOWER_DATA[[#This Row],[D, bottom '[m']]]+#REF!)/(2*#REF!/1000),"")</f>
        <v/>
      </c>
      <c r="CV65" s="221">
        <v>47</v>
      </c>
      <c r="CW65" s="222">
        <v>74.674000000000007</v>
      </c>
      <c r="CX65" s="222">
        <v>71.951999999999998</v>
      </c>
      <c r="CY65" s="221">
        <v>6.8479999999999999</v>
      </c>
      <c r="CZ65" s="221">
        <v>6.9109999999999996</v>
      </c>
      <c r="DA65" s="221">
        <v>32.5</v>
      </c>
      <c r="DC65" s="60" t="s">
        <v>410</v>
      </c>
      <c r="DD65" s="60">
        <v>50.900000000000006</v>
      </c>
      <c r="DE65" s="60">
        <v>50.900000000000006</v>
      </c>
      <c r="DF65" s="60">
        <v>145</v>
      </c>
      <c r="DU65" s="75"/>
      <c r="DV65" s="75"/>
    </row>
    <row r="66" spans="4:126" ht="18" hidden="1" customHeight="1" outlineLevel="1">
      <c r="D66" s="126"/>
      <c r="K66"/>
      <c r="N66"/>
      <c r="O66" s="75" t="str">
        <f>IFERROR((MP_DATA[[#This Row],[D, bottom '[m']]]+#REF!)/(2*#REF!/1000),"")</f>
        <v/>
      </c>
      <c r="AV66"/>
      <c r="AY66"/>
      <c r="AZ66" s="75" t="str">
        <f>IFERROR((TP_DATA[[#This Row],[D, bottom '[m']]]+#REF!)/(2*#REF!/1000),"")</f>
        <v/>
      </c>
      <c r="CH66"/>
      <c r="CK66"/>
      <c r="CL66" s="75" t="str">
        <f>IFERROR((TOWER_DATA[[#This Row],[D, bottom '[m']]]+#REF!)/(2*#REF!/1000),"")</f>
        <v/>
      </c>
      <c r="CV66" s="221">
        <v>48</v>
      </c>
      <c r="CW66" s="222">
        <v>71.951999999999998</v>
      </c>
      <c r="CX66" s="222">
        <v>70.900000000000006</v>
      </c>
      <c r="CY66" s="221">
        <v>6.9109999999999996</v>
      </c>
      <c r="CZ66" s="221">
        <v>6.9340000000000002</v>
      </c>
      <c r="DA66" s="221">
        <v>33.5</v>
      </c>
      <c r="DC66" s="60" t="s">
        <v>410</v>
      </c>
      <c r="DD66" s="60">
        <v>49.674999999999997</v>
      </c>
      <c r="DE66" s="60">
        <v>49.674999999999997</v>
      </c>
      <c r="DF66" s="60">
        <v>145</v>
      </c>
      <c r="DU66" s="75"/>
      <c r="DV66" s="75"/>
    </row>
    <row r="67" spans="4:126" ht="18" hidden="1" customHeight="1" outlineLevel="1">
      <c r="D67" s="126"/>
      <c r="K67"/>
      <c r="N67"/>
      <c r="O67" s="75" t="str">
        <f>IFERROR((MP_DATA[[#This Row],[D, bottom '[m']]]+#REF!)/(2*#REF!/1000),"")</f>
        <v/>
      </c>
      <c r="AV67"/>
      <c r="AY67"/>
      <c r="AZ67" s="75" t="str">
        <f>IFERROR((TP_DATA[[#This Row],[D, bottom '[m']]]+#REF!)/(2*#REF!/1000),"")</f>
        <v/>
      </c>
      <c r="CH67"/>
      <c r="CK67"/>
      <c r="CL67" s="75" t="str">
        <f>IFERROR((TOWER_DATA[[#This Row],[D, bottom '[m']]]+#REF!)/(2*#REF!/1000),"")</f>
        <v/>
      </c>
      <c r="CV67" s="221">
        <v>49</v>
      </c>
      <c r="CW67" s="222">
        <v>70.900000000000006</v>
      </c>
      <c r="CX67" s="222">
        <v>69.225000000000009</v>
      </c>
      <c r="CY67" s="221">
        <v>6.9340000000000002</v>
      </c>
      <c r="CZ67" s="221">
        <v>6.9720000000000004</v>
      </c>
      <c r="DA67" s="221">
        <v>33.5</v>
      </c>
      <c r="DC67" s="60" t="s">
        <v>410</v>
      </c>
      <c r="DD67" s="60">
        <v>45.564000000000007</v>
      </c>
      <c r="DE67" s="60">
        <v>45.564000000000007</v>
      </c>
      <c r="DF67" s="60">
        <v>146</v>
      </c>
      <c r="DU67" s="75"/>
      <c r="DV67" s="75"/>
    </row>
    <row r="68" spans="4:126" ht="18" hidden="1" customHeight="1" outlineLevel="1">
      <c r="D68" s="126"/>
      <c r="K68"/>
      <c r="N68"/>
      <c r="O68" s="75" t="str">
        <f>IFERROR((MP_DATA[[#This Row],[D, bottom '[m']]]+#REF!)/(2*#REF!/1000),"")</f>
        <v/>
      </c>
      <c r="AV68"/>
      <c r="AY68"/>
      <c r="AZ68" s="75" t="str">
        <f>IFERROR((TP_DATA[[#This Row],[D, bottom '[m']]]+#REF!)/(2*#REF!/1000),"")</f>
        <v/>
      </c>
      <c r="CH68"/>
      <c r="CK68"/>
      <c r="CL68" s="75" t="str">
        <f>IFERROR((TOWER_DATA[[#This Row],[D, bottom '[m']]]+#REF!)/(2*#REF!/1000),"")</f>
        <v/>
      </c>
      <c r="CV68" s="221">
        <v>50</v>
      </c>
      <c r="CW68" s="222">
        <v>69.225000000000009</v>
      </c>
      <c r="CX68" s="222">
        <v>66.490000000000009</v>
      </c>
      <c r="CY68" s="221">
        <v>6.9720000000000004</v>
      </c>
      <c r="CZ68" s="221">
        <v>7.0380000000000003</v>
      </c>
      <c r="DA68" s="221">
        <v>34</v>
      </c>
      <c r="DC68" s="60" t="s">
        <v>410</v>
      </c>
      <c r="DD68" s="60">
        <v>41.561000000000007</v>
      </c>
      <c r="DE68" s="60">
        <v>41.561000000000007</v>
      </c>
      <c r="DF68" s="60">
        <v>146</v>
      </c>
      <c r="DU68" s="75"/>
      <c r="DV68" s="75"/>
    </row>
    <row r="69" spans="4:126" ht="18" hidden="1" customHeight="1" outlineLevel="1">
      <c r="D69" s="126"/>
      <c r="K69"/>
      <c r="N69"/>
      <c r="O69" s="75" t="str">
        <f>IFERROR((MP_DATA[[#This Row],[D, bottom '[m']]]+#REF!)/(2*#REF!/1000),"")</f>
        <v/>
      </c>
      <c r="AV69"/>
      <c r="AY69"/>
      <c r="AZ69" s="75" t="str">
        <f>IFERROR((TP_DATA[[#This Row],[D, bottom '[m']]]+#REF!)/(2*#REF!/1000),"")</f>
        <v/>
      </c>
      <c r="CH69"/>
      <c r="CK69"/>
      <c r="CL69" s="75" t="str">
        <f>IFERROR((TOWER_DATA[[#This Row],[D, bottom '[m']]]+#REF!)/(2*#REF!/1000),"")</f>
        <v/>
      </c>
      <c r="CV69" s="221">
        <v>51</v>
      </c>
      <c r="CW69" s="222">
        <v>66.490000000000009</v>
      </c>
      <c r="CX69" s="222">
        <v>66.445000000000007</v>
      </c>
      <c r="CY69" s="221">
        <v>7.0380000000000003</v>
      </c>
      <c r="CZ69" s="221">
        <v>7.0380000000000003</v>
      </c>
      <c r="DA69" s="221">
        <v>38</v>
      </c>
      <c r="DC69" s="60" t="s">
        <v>410</v>
      </c>
      <c r="DD69" s="60">
        <v>40.900000000000006</v>
      </c>
      <c r="DE69" s="60">
        <v>40.900000000000006</v>
      </c>
      <c r="DF69" s="60">
        <v>150</v>
      </c>
      <c r="DU69" s="75"/>
      <c r="DV69" s="75"/>
    </row>
    <row r="70" spans="4:126" ht="18" hidden="1" customHeight="1" outlineLevel="1">
      <c r="D70" s="126"/>
      <c r="K70"/>
      <c r="N70"/>
      <c r="O70" s="75" t="str">
        <f>IFERROR((MP_DATA[[#This Row],[D, bottom '[m']]]+#REF!)/(2*#REF!/1000),"")</f>
        <v/>
      </c>
      <c r="AV70"/>
      <c r="AY70"/>
      <c r="AZ70" s="75" t="str">
        <f>IFERROR((TP_DATA[[#This Row],[D, bottom '[m']]]+#REF!)/(2*#REF!/1000),"")</f>
        <v/>
      </c>
      <c r="CH70"/>
      <c r="CK70"/>
      <c r="CL70" s="75" t="str">
        <f>IFERROR((TOWER_DATA[[#This Row],[D, bottom '[m']]]+#REF!)/(2*#REF!/1000),"")</f>
        <v/>
      </c>
      <c r="CV70" s="221">
        <v>52</v>
      </c>
      <c r="CW70" s="222">
        <v>66.445000000000007</v>
      </c>
      <c r="CX70" s="222">
        <v>66.260000000000005</v>
      </c>
      <c r="CY70" s="221">
        <v>7.0380000000000003</v>
      </c>
      <c r="CZ70" s="221">
        <v>7.0380000000000003</v>
      </c>
      <c r="DA70" s="221">
        <v>38</v>
      </c>
      <c r="DC70" s="60" t="s">
        <v>410</v>
      </c>
      <c r="DD70" s="60">
        <v>38.725000000000001</v>
      </c>
      <c r="DE70" s="60">
        <v>38.725000000000001</v>
      </c>
      <c r="DF70" s="60">
        <v>7072</v>
      </c>
      <c r="DU70" s="75"/>
      <c r="DV70" s="75"/>
    </row>
    <row r="71" spans="4:126" ht="18" hidden="1" customHeight="1" outlineLevel="1">
      <c r="D71" s="126"/>
      <c r="K71"/>
      <c r="N71"/>
      <c r="O71" s="75" t="str">
        <f>IFERROR((MP_DATA[[#This Row],[D, bottom '[m']]]+#REF!)/(2*#REF!/1000),"")</f>
        <v/>
      </c>
      <c r="AV71"/>
      <c r="AY71"/>
      <c r="AZ71" s="75" t="str">
        <f>IFERROR((TP_DATA[[#This Row],[D, bottom '[m']]]+#REF!)/(2*#REF!/1000),"")</f>
        <v/>
      </c>
      <c r="CH71"/>
      <c r="CK71"/>
      <c r="CL71" s="75" t="str">
        <f>IFERROR((TOWER_DATA[[#This Row],[D, bottom '[m']]]+#REF!)/(2*#REF!/1000),"")</f>
        <v/>
      </c>
      <c r="CV71" s="221">
        <v>53</v>
      </c>
      <c r="CW71" s="222">
        <v>66.260000000000005</v>
      </c>
      <c r="CX71" s="222">
        <v>66.075000000000003</v>
      </c>
      <c r="CY71" s="221">
        <v>7.0380000000000003</v>
      </c>
      <c r="CZ71" s="221">
        <v>7.0380000000000003</v>
      </c>
      <c r="DA71" s="221">
        <v>38</v>
      </c>
      <c r="DC71" s="60" t="s">
        <v>410</v>
      </c>
      <c r="DD71" s="60">
        <v>38.540000000000006</v>
      </c>
      <c r="DE71" s="60">
        <v>38.540000000000006</v>
      </c>
      <c r="DF71" s="60">
        <v>11176</v>
      </c>
      <c r="DU71" s="75"/>
      <c r="DV71" s="75"/>
    </row>
    <row r="72" spans="4:126" ht="18" hidden="1" customHeight="1" outlineLevel="1">
      <c r="D72" s="126"/>
      <c r="K72"/>
      <c r="N72"/>
      <c r="O72" s="75" t="str">
        <f>IFERROR((MP_DATA[[#This Row],[D, bottom '[m']]]+#REF!)/(2*#REF!/1000),"")</f>
        <v/>
      </c>
      <c r="AV72"/>
      <c r="AY72"/>
      <c r="AZ72" s="75" t="str">
        <f>IFERROR((TP_DATA[[#This Row],[D, bottom '[m']]]+#REF!)/(2*#REF!/1000),"")</f>
        <v/>
      </c>
      <c r="CH72"/>
      <c r="CK72"/>
      <c r="CL72" s="75" t="str">
        <f>IFERROR((TOWER_DATA[[#This Row],[D, bottom '[m']]]+#REF!)/(2*#REF!/1000),"")</f>
        <v/>
      </c>
      <c r="CV72" s="221">
        <v>54</v>
      </c>
      <c r="CW72" s="222">
        <v>66.075000000000003</v>
      </c>
      <c r="CX72" s="222">
        <v>66.03</v>
      </c>
      <c r="CY72" s="221">
        <v>7.0380000000000003</v>
      </c>
      <c r="CZ72" s="221">
        <v>7.032</v>
      </c>
      <c r="DA72" s="221">
        <v>38</v>
      </c>
      <c r="DC72" s="60" t="s">
        <v>410</v>
      </c>
      <c r="DD72" s="60">
        <v>38.355000000000004</v>
      </c>
      <c r="DE72" s="60">
        <v>38.355000000000004</v>
      </c>
      <c r="DF72" s="60">
        <v>6</v>
      </c>
      <c r="DU72" s="75"/>
      <c r="DV72" s="75"/>
    </row>
    <row r="73" spans="4:126" ht="18" hidden="1" customHeight="1" outlineLevel="1">
      <c r="D73" s="126"/>
      <c r="K73"/>
      <c r="N73"/>
      <c r="O73" s="75" t="str">
        <f>IFERROR((MP_DATA[[#This Row],[D, bottom '[m']]]+#REF!)/(2*#REF!/1000),"")</f>
        <v/>
      </c>
      <c r="AV73"/>
      <c r="AY73"/>
      <c r="AZ73" s="75" t="str">
        <f>IFERROR((TP_DATA[[#This Row],[D, bottom '[m']]]+#REF!)/(2*#REF!/1000),"")</f>
        <v/>
      </c>
      <c r="CH73"/>
      <c r="CK73"/>
      <c r="CL73" s="75" t="str">
        <f>IFERROR((TOWER_DATA[[#This Row],[D, bottom '[m']]]+#REF!)/(2*#REF!/1000),"")</f>
        <v/>
      </c>
      <c r="CV73" s="221">
        <v>55</v>
      </c>
      <c r="CW73" s="222">
        <v>66.03</v>
      </c>
      <c r="CX73" s="222">
        <v>63.308000000000007</v>
      </c>
      <c r="CY73" s="221">
        <v>7.032</v>
      </c>
      <c r="CZ73" s="221">
        <v>7.0759999999999996</v>
      </c>
      <c r="DA73" s="221">
        <v>32</v>
      </c>
      <c r="DC73" s="60" t="s">
        <v>410</v>
      </c>
      <c r="DD73" s="60">
        <v>38.305000000000007</v>
      </c>
      <c r="DE73" s="60">
        <v>38.305000000000007</v>
      </c>
      <c r="DF73" s="60">
        <v>2</v>
      </c>
      <c r="DU73" s="75"/>
      <c r="DV73" s="75"/>
    </row>
    <row r="74" spans="4:126" ht="18" hidden="1" customHeight="1" outlineLevel="1">
      <c r="D74" s="126"/>
      <c r="K74"/>
      <c r="N74"/>
      <c r="O74" s="75" t="str">
        <f>IFERROR((MP_DATA[[#This Row],[D, bottom '[m']]]+#REF!)/(2*#REF!/1000),"")</f>
        <v/>
      </c>
      <c r="AV74"/>
      <c r="AY74"/>
      <c r="AZ74" s="75" t="str">
        <f>IFERROR((TP_DATA[[#This Row],[D, bottom '[m']]]+#REF!)/(2*#REF!/1000),"")</f>
        <v/>
      </c>
      <c r="CH74"/>
      <c r="CK74"/>
      <c r="CL74" s="75" t="str">
        <f>IFERROR((TOWER_DATA[[#This Row],[D, bottom '[m']]]+#REF!)/(2*#REF!/1000),"")</f>
        <v/>
      </c>
      <c r="CV74" s="221">
        <v>56</v>
      </c>
      <c r="CW74" s="222">
        <v>63.308000000000007</v>
      </c>
      <c r="CX74" s="222">
        <v>62.007000000000005</v>
      </c>
      <c r="CY74" s="221">
        <v>7.0759999999999996</v>
      </c>
      <c r="CZ74" s="221">
        <v>7.0970000000000004</v>
      </c>
      <c r="DA74" s="221">
        <v>33</v>
      </c>
      <c r="DC74" s="60" t="s">
        <v>410</v>
      </c>
      <c r="DD74" s="60">
        <v>37.343000000000004</v>
      </c>
      <c r="DE74" s="60">
        <v>37.343000000000004</v>
      </c>
      <c r="DF74" s="60">
        <v>1318</v>
      </c>
      <c r="DU74" s="75"/>
      <c r="DV74" s="75"/>
    </row>
    <row r="75" spans="4:126" ht="18" hidden="1" customHeight="1" outlineLevel="1">
      <c r="D75" s="126"/>
      <c r="K75"/>
      <c r="N75"/>
      <c r="O75" s="75" t="str">
        <f>IFERROR((MP_DATA[[#This Row],[D, bottom '[m']]]+#REF!)/(2*#REF!/1000),"")</f>
        <v/>
      </c>
      <c r="AV75"/>
      <c r="AY75"/>
      <c r="AZ75" s="75" t="str">
        <f>IFERROR((TP_DATA[[#This Row],[D, bottom '[m']]]+#REF!)/(2*#REF!/1000),"")</f>
        <v/>
      </c>
      <c r="CH75"/>
      <c r="CK75"/>
      <c r="CL75" s="75" t="str">
        <f>IFERROR((TOWER_DATA[[#This Row],[D, bottom '[m']]]+#REF!)/(2*#REF!/1000),"")</f>
        <v/>
      </c>
      <c r="CV75" s="221">
        <v>57</v>
      </c>
      <c r="CW75" s="222">
        <v>62.007000000000005</v>
      </c>
      <c r="CX75" s="222">
        <v>60.900000000000006</v>
      </c>
      <c r="CY75" s="221">
        <v>7.0970000000000004</v>
      </c>
      <c r="CZ75" s="221">
        <v>7.1139999999999999</v>
      </c>
      <c r="DA75" s="221">
        <v>33</v>
      </c>
      <c r="DC75" s="60" t="s">
        <v>410</v>
      </c>
      <c r="DD75" s="60">
        <v>33.231999999999999</v>
      </c>
      <c r="DE75" s="60">
        <v>33.231999999999999</v>
      </c>
      <c r="DF75" s="60">
        <v>158</v>
      </c>
      <c r="DU75" s="75"/>
      <c r="DV75" s="75"/>
    </row>
    <row r="76" spans="4:126" ht="18" hidden="1" customHeight="1" outlineLevel="1">
      <c r="D76" s="126"/>
      <c r="K76"/>
      <c r="N76"/>
      <c r="O76" s="75" t="str">
        <f>IFERROR((MP_DATA[[#This Row],[D, bottom '[m']]]+#REF!)/(2*#REF!/1000),"")</f>
        <v/>
      </c>
      <c r="AV76"/>
      <c r="AY76"/>
      <c r="AZ76" s="75" t="str">
        <f>IFERROR((TP_DATA[[#This Row],[D, bottom '[m']]]+#REF!)/(2*#REF!/1000),"")</f>
        <v/>
      </c>
      <c r="CH76"/>
      <c r="CK76"/>
      <c r="CL76" s="75" t="str">
        <f>IFERROR((TOWER_DATA[[#This Row],[D, bottom '[m']]]+#REF!)/(2*#REF!/1000),"")</f>
        <v/>
      </c>
      <c r="CV76" s="221">
        <v>58</v>
      </c>
      <c r="CW76" s="222">
        <v>60.900000000000006</v>
      </c>
      <c r="CX76" s="222">
        <v>60.59</v>
      </c>
      <c r="CY76" s="221">
        <v>7.1139999999999999</v>
      </c>
      <c r="CZ76" s="221">
        <v>7.1189999999999998</v>
      </c>
      <c r="DA76" s="221">
        <v>33</v>
      </c>
      <c r="DC76" s="60" t="s">
        <v>410</v>
      </c>
      <c r="DD76" s="60">
        <v>30.900000000000002</v>
      </c>
      <c r="DE76" s="60">
        <v>30.900000000000002</v>
      </c>
      <c r="DF76" s="60">
        <v>158</v>
      </c>
      <c r="DU76" s="75"/>
      <c r="DV76" s="75"/>
    </row>
    <row r="77" spans="4:126" ht="18" hidden="1" customHeight="1" outlineLevel="1">
      <c r="D77" s="126"/>
      <c r="K77"/>
      <c r="N77"/>
      <c r="O77" s="75" t="str">
        <f>IFERROR((MP_DATA[[#This Row],[D, bottom '[m']]]+#REF!)/(2*#REF!/1000),"")</f>
        <v/>
      </c>
      <c r="AV77"/>
      <c r="AY77"/>
      <c r="AZ77" s="75" t="str">
        <f>IFERROR((TP_DATA[[#This Row],[D, bottom '[m']]]+#REF!)/(2*#REF!/1000),"")</f>
        <v/>
      </c>
      <c r="CH77"/>
      <c r="CK77"/>
      <c r="CL77" s="75" t="str">
        <f>IFERROR((TOWER_DATA[[#This Row],[D, bottom '[m']]]+#REF!)/(2*#REF!/1000),"")</f>
        <v/>
      </c>
      <c r="CV77" s="221">
        <v>59</v>
      </c>
      <c r="CW77" s="222">
        <v>60.59</v>
      </c>
      <c r="CX77" s="222">
        <v>57.896000000000001</v>
      </c>
      <c r="CY77" s="221">
        <v>7.1189999999999998</v>
      </c>
      <c r="CZ77" s="221">
        <v>7.1619999999999999</v>
      </c>
      <c r="DA77" s="221">
        <v>33</v>
      </c>
      <c r="DC77" s="60" t="s">
        <v>410</v>
      </c>
      <c r="DD77" s="60">
        <v>29.121000000000002</v>
      </c>
      <c r="DE77" s="60">
        <v>29.121000000000002</v>
      </c>
      <c r="DF77" s="60">
        <v>158</v>
      </c>
      <c r="DU77" s="75"/>
      <c r="DV77" s="75"/>
    </row>
    <row r="78" spans="4:126" ht="18" hidden="1" customHeight="1" outlineLevel="1">
      <c r="D78" s="126"/>
      <c r="K78"/>
      <c r="N78"/>
      <c r="O78" s="75" t="str">
        <f>IFERROR((MP_DATA[[#This Row],[D, bottom '[m']]]+#REF!)/(2*#REF!/1000),"")</f>
        <v/>
      </c>
      <c r="AV78"/>
      <c r="AY78"/>
      <c r="AZ78" s="75" t="str">
        <f>IFERROR((TP_DATA[[#This Row],[D, bottom '[m']]]+#REF!)/(2*#REF!/1000),"")</f>
        <v/>
      </c>
      <c r="CH78"/>
      <c r="CK78"/>
      <c r="CL78" s="75" t="str">
        <f>IFERROR((TOWER_DATA[[#This Row],[D, bottom '[m']]]+#REF!)/(2*#REF!/1000),"")</f>
        <v/>
      </c>
      <c r="CV78" s="221">
        <v>60</v>
      </c>
      <c r="CW78" s="222">
        <v>57.896000000000001</v>
      </c>
      <c r="CX78" s="222">
        <v>57.872</v>
      </c>
      <c r="CY78" s="221">
        <v>7.1619999999999999</v>
      </c>
      <c r="CZ78" s="221">
        <v>7.1630000000000003</v>
      </c>
      <c r="DA78" s="221">
        <v>33</v>
      </c>
      <c r="DC78" s="60" t="s">
        <v>410</v>
      </c>
      <c r="DD78" s="60">
        <v>25.050000000000004</v>
      </c>
      <c r="DE78" s="60">
        <v>25.050000000000004</v>
      </c>
      <c r="DF78" s="60">
        <v>86</v>
      </c>
      <c r="DU78" s="75"/>
      <c r="DV78" s="75"/>
    </row>
    <row r="79" spans="4:126" ht="18" hidden="1" customHeight="1" outlineLevel="1">
      <c r="D79" s="126"/>
      <c r="K79"/>
      <c r="N79"/>
      <c r="O79" s="75" t="str">
        <f>IFERROR((MP_DATA[[#This Row],[D, bottom '[m']]]+#REF!)/(2*#REF!/1000),"")</f>
        <v/>
      </c>
      <c r="AV79"/>
      <c r="AY79"/>
      <c r="AZ79" s="75" t="str">
        <f>IFERROR((TP_DATA[[#This Row],[D, bottom '[m']]]+#REF!)/(2*#REF!/1000),"")</f>
        <v/>
      </c>
      <c r="CH79"/>
      <c r="CK79"/>
      <c r="CL79" s="75" t="str">
        <f>IFERROR((TOWER_DATA[[#This Row],[D, bottom '[m']]]+#REF!)/(2*#REF!/1000),"")</f>
        <v/>
      </c>
      <c r="CV79" s="221">
        <v>61</v>
      </c>
      <c r="CW79" s="222">
        <v>57.872</v>
      </c>
      <c r="CX79" s="222">
        <v>55.153999999999996</v>
      </c>
      <c r="CY79" s="221">
        <v>7.1630000000000003</v>
      </c>
      <c r="CZ79" s="221">
        <v>7.21</v>
      </c>
      <c r="DA79" s="221">
        <v>34</v>
      </c>
      <c r="DC79" s="60" t="s">
        <v>410</v>
      </c>
      <c r="DD79" s="60">
        <v>25.011000000000003</v>
      </c>
      <c r="DE79" s="60">
        <v>25.011000000000003</v>
      </c>
      <c r="DF79" s="60">
        <v>688</v>
      </c>
      <c r="DU79" s="75"/>
      <c r="DV79" s="75"/>
    </row>
    <row r="80" spans="4:126" ht="18" hidden="1" customHeight="1" outlineLevel="1">
      <c r="D80" s="126"/>
      <c r="K80"/>
      <c r="N80"/>
      <c r="O80" s="75" t="str">
        <f>IFERROR((MP_DATA[[#This Row],[D, bottom '[m']]]+#REF!)/(2*#REF!/1000),"")</f>
        <v/>
      </c>
      <c r="AV80"/>
      <c r="AY80"/>
      <c r="AZ80" s="75" t="str">
        <f>IFERROR((TP_DATA[[#This Row],[D, bottom '[m']]]+#REF!)/(2*#REF!/1000),"")</f>
        <v/>
      </c>
      <c r="CH80"/>
      <c r="CK80"/>
      <c r="CL80" s="75" t="str">
        <f>IFERROR((TOWER_DATA[[#This Row],[D, bottom '[m']]]+#REF!)/(2*#REF!/1000),"")</f>
        <v/>
      </c>
      <c r="CV80" s="221">
        <v>62</v>
      </c>
      <c r="CW80" s="222">
        <v>55.153999999999996</v>
      </c>
      <c r="CX80" s="222">
        <v>53.786000000000001</v>
      </c>
      <c r="CY80" s="221">
        <v>7.21</v>
      </c>
      <c r="CZ80" s="221">
        <v>7.2309999999999999</v>
      </c>
      <c r="DA80" s="221">
        <v>38.199999999999996</v>
      </c>
      <c r="DC80" s="60" t="s">
        <v>410</v>
      </c>
      <c r="DD80" s="60">
        <v>22.12</v>
      </c>
      <c r="DE80" s="60">
        <v>22.12</v>
      </c>
      <c r="DF80" s="60">
        <v>13900</v>
      </c>
      <c r="DU80" s="75"/>
      <c r="DV80" s="75"/>
    </row>
    <row r="81" spans="4:126" ht="18" hidden="1" customHeight="1" outlineLevel="1">
      <c r="D81" s="126"/>
      <c r="K81"/>
      <c r="N81"/>
      <c r="O81" s="75" t="str">
        <f>IFERROR((MP_DATA[[#This Row],[D, bottom '[m']]]+#REF!)/(2*#REF!/1000),"")</f>
        <v/>
      </c>
      <c r="AV81"/>
      <c r="AY81"/>
      <c r="AZ81" s="75" t="str">
        <f>IFERROR((TP_DATA[[#This Row],[D, bottom '[m']]]+#REF!)/(2*#REF!/1000),"")</f>
        <v/>
      </c>
      <c r="CH81"/>
      <c r="CK81"/>
      <c r="CL81" s="75" t="str">
        <f>IFERROR((TOWER_DATA[[#This Row],[D, bottom '[m']]]+#REF!)/(2*#REF!/1000),"")</f>
        <v/>
      </c>
      <c r="CV81" s="221">
        <v>63</v>
      </c>
      <c r="CW81" s="222">
        <v>53.786000000000001</v>
      </c>
      <c r="CX81" s="222">
        <v>52.436000000000007</v>
      </c>
      <c r="CY81" s="221">
        <v>7.2309999999999999</v>
      </c>
      <c r="CZ81" s="221">
        <v>7.2519999999999998</v>
      </c>
      <c r="DA81" s="221">
        <v>38.199999999999996</v>
      </c>
      <c r="DC81" s="60" t="s">
        <v>410</v>
      </c>
      <c r="DD81" s="60">
        <v>21.14</v>
      </c>
      <c r="DE81" s="60">
        <v>21.14</v>
      </c>
      <c r="DF81" s="60">
        <v>53</v>
      </c>
      <c r="DU81" s="75"/>
      <c r="DV81" s="75"/>
    </row>
    <row r="82" spans="4:126" ht="18" hidden="1" customHeight="1" outlineLevel="1">
      <c r="D82" s="126"/>
      <c r="K82" s="75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5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5" t="str">
        <f>IFERROR((MP_DATA[[#This Row],[D, bottom '[m']]]+MP_DATA[[#This Row],[D, top '[m']]])/(2*MP_DATA[[#This Row],[t '[mm']]]/1000),"")</f>
        <v/>
      </c>
      <c r="O82" s="75" t="str">
        <f>IFERROR((MP_DATA[[#This Row],[D, bottom '[m']]]+#REF!)/(2*#REF!/1000),"")</f>
        <v/>
      </c>
      <c r="AV82" s="75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5" t="str">
        <f t="shared" ref="AX82:AX84" si="1">IF(7850/1000*(1/3)*PI()*ABS(AQ141-AR141)*((AS141/2)^2+(AS141/2)*(AT141/2)+(AT141/2)^2-(AS141/2-AU141/1000)^2-(AS141/2-AU141/1000)*(AT141/2-AU141/1000)-(AT141/2-AU141/1000)^2)=0,"",7850/1000*(1/3)*PI()*ABS(AQ141-AR141)*((AS141/2)^2+(AS141/2)*(AT141/2)+(AT141/2)^2-(AS141/2-AU141/1000)^2-(AS141/2-AU141/1000)*(AT141/2-AU141/1000)-(AT141/2-AU141/1000)^2))</f>
        <v/>
      </c>
      <c r="AY82" s="75" t="str">
        <f>IFERROR((TP_DATA[[#This Row],[D, bottom '[m']]]+TP_DATA[[#This Row],[D, top '[m']]])/(2*TP_DATA[[#This Row],[t '[mm']]]/1000),"")</f>
        <v/>
      </c>
      <c r="AZ82" s="75" t="str">
        <f>IFERROR((TP_DATA[[#This Row],[D, bottom '[m']]]+#REF!)/(2*#REF!/1000),"")</f>
        <v/>
      </c>
      <c r="CH82" s="75" t="str">
        <f>IFERROR(TOWER_DATA[[#This Row],[Bottom '[m']]]-TOWER_DATA[[#This Row],[D, top '[m']]], "")</f>
        <v/>
      </c>
      <c r="CI82" t="str">
        <f>IFERROR(-(TOWER_DATA[[#This Row],[D, bottom '[m']]]-TOWER_DATA[[#This Row],[D, top '[m']]])/(TOWER_DATA[[#This Row],[Bottom '[m']]]-TOWER_DATA[[#This Row],[Top '[m']]]),"")</f>
        <v/>
      </c>
      <c r="CJ82" s="75">
        <f t="shared" ref="CJ82:CJ84" si="2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>4.610791912861246</v>
      </c>
      <c r="CK82" s="75" t="str">
        <f>IFERROR((TOWER_DATA[[#This Row],[D, bottom '[m']]]+TOWER_DATA[[#This Row],[D, top '[m']]])/(2*TOWER_DATA[[#This Row],[t '[mm']]]/1000),"")</f>
        <v/>
      </c>
      <c r="CL82" s="75" t="str">
        <f>IFERROR((TOWER_DATA[[#This Row],[D, bottom '[m']]]+#REF!)/(2*#REF!/1000),"")</f>
        <v/>
      </c>
      <c r="CV82" s="221">
        <v>64</v>
      </c>
      <c r="CW82" s="222">
        <v>52.436000000000007</v>
      </c>
      <c r="CX82" s="222">
        <v>50.900000000000006</v>
      </c>
      <c r="CY82" s="221">
        <v>7.2519999999999998</v>
      </c>
      <c r="CZ82" s="221">
        <v>7.2770000000000001</v>
      </c>
      <c r="DA82" s="221">
        <v>38.199999999999996</v>
      </c>
      <c r="DC82" s="60" t="s">
        <v>410</v>
      </c>
      <c r="DD82" s="60">
        <v>21.080000000000002</v>
      </c>
      <c r="DE82" s="60">
        <v>21.080000000000002</v>
      </c>
      <c r="DF82" s="60">
        <v>14132</v>
      </c>
      <c r="DU82" s="75"/>
      <c r="DV82" s="75"/>
    </row>
    <row r="83" spans="4:126" ht="18" hidden="1" customHeight="1" outlineLevel="1">
      <c r="D83" s="126"/>
      <c r="K83" s="75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5" t="str">
        <f t="shared" si="0"/>
        <v/>
      </c>
      <c r="N83" s="75" t="str">
        <f>IFERROR((MP_DATA[[#This Row],[D, bottom '[m']]]+MP_DATA[[#This Row],[D, top '[m']]])/(2*MP_DATA[[#This Row],[t '[mm']]]/1000),"")</f>
        <v/>
      </c>
      <c r="O83" s="75" t="str">
        <f>IFERROR((MP_DATA[[#This Row],[D, bottom '[m']]]+#REF!)/(2*#REF!/1000),"")</f>
        <v/>
      </c>
      <c r="AV83" s="75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5" t="str">
        <f t="shared" si="1"/>
        <v/>
      </c>
      <c r="AY83" s="75" t="str">
        <f>IFERROR((TP_DATA[[#This Row],[D, bottom '[m']]]+TP_DATA[[#This Row],[D, top '[m']]])/(2*TP_DATA[[#This Row],[t '[mm']]]/1000),"")</f>
        <v/>
      </c>
      <c r="AZ83" s="75" t="str">
        <f>IFERROR((TP_DATA[[#This Row],[D, bottom '[m']]]+#REF!)/(2*#REF!/1000),"")</f>
        <v/>
      </c>
      <c r="CH83" s="75" t="str">
        <f>IFERROR(TOWER_DATA[[#This Row],[Bottom '[m']]]-TOWER_DATA[[#This Row],[D, top '[m']]], "")</f>
        <v/>
      </c>
      <c r="CI83" t="str">
        <f>IFERROR(-(TOWER_DATA[[#This Row],[D, bottom '[m']]]-TOWER_DATA[[#This Row],[D, top '[m']]])/(TOWER_DATA[[#This Row],[Bottom '[m']]]-TOWER_DATA[[#This Row],[Top '[m']]]),"")</f>
        <v/>
      </c>
      <c r="CJ83" s="75">
        <f t="shared" si="2"/>
        <v>8.0052884821827153</v>
      </c>
      <c r="CK83" s="75" t="str">
        <f>IFERROR((TOWER_DATA[[#This Row],[D, bottom '[m']]]+TOWER_DATA[[#This Row],[D, top '[m']]])/(2*TOWER_DATA[[#This Row],[t '[mm']]]/1000),"")</f>
        <v/>
      </c>
      <c r="CL83" s="75" t="str">
        <f>IFERROR((TOWER_DATA[[#This Row],[D, bottom '[m']]]+#REF!)/(2*#REF!/1000),"")</f>
        <v/>
      </c>
      <c r="CV83" s="221">
        <v>65</v>
      </c>
      <c r="CW83" s="222">
        <v>50.900000000000006</v>
      </c>
      <c r="CX83" s="222">
        <v>49.718000000000004</v>
      </c>
      <c r="CY83" s="221">
        <v>7.2770000000000001</v>
      </c>
      <c r="CZ83" s="221">
        <v>7.2919999999999998</v>
      </c>
      <c r="DA83" s="221">
        <v>38.199999999999996</v>
      </c>
      <c r="DU83" s="75"/>
      <c r="DV83" s="75"/>
    </row>
    <row r="84" spans="4:126" ht="18" hidden="1" customHeight="1" outlineLevel="1">
      <c r="D84" s="126"/>
      <c r="K84" s="75" t="str">
        <f>IFERROR(MP_DATA[[#This Row],[Bottom '[m']]]-MP_DATA[[#This Row],[D, top '[m']]], "")</f>
        <v/>
      </c>
      <c r="L84" s="75" t="str">
        <f>IFERROR(-(MP_DATA[[#This Row],[D, bottom '[m']]]-MP_DATA[[#This Row],[D, top '[m']]])/(MP_DATA[[#This Row],[Bottom '[m']]]-MP_DATA[[#This Row],[Top '[m']]]),"")</f>
        <v/>
      </c>
      <c r="M84" s="75" t="str">
        <f t="shared" si="0"/>
        <v/>
      </c>
      <c r="N84" s="75" t="str">
        <f>IFERROR((MP_DATA[[#This Row],[D, bottom '[m']]]+MP_DATA[[#This Row],[D, top '[m']]])/(2*MP_DATA[[#This Row],[t '[mm']]]/1000),"")</f>
        <v/>
      </c>
      <c r="O84" s="75" t="str">
        <f>IFERROR((MP_DATA[[#This Row],[D, bottom '[m']]]+#REF!)/(2*#REF!/1000),"")</f>
        <v/>
      </c>
      <c r="AV84" s="75" t="str">
        <f>IFERROR(TP_DATA[[#This Row],[Bottom '[m']]]-TP_DATA[[#This Row],[D, top '[m']]], "")</f>
        <v/>
      </c>
      <c r="AW84" s="75" t="str">
        <f>IFERROR(-(TP_DATA[[#This Row],[D, bottom '[m']]]-TP_DATA[[#This Row],[D, top '[m']]])/(TP_DATA[[#This Row],[Bottom '[m']]]-TP_DATA[[#This Row],[Top '[m']]]),"")</f>
        <v/>
      </c>
      <c r="AX84" s="75" t="str">
        <f t="shared" si="1"/>
        <v/>
      </c>
      <c r="AY84" s="75" t="str">
        <f>IFERROR((TP_DATA[[#This Row],[D, bottom '[m']]]+TP_DATA[[#This Row],[D, top '[m']]])/(2*TP_DATA[[#This Row],[t '[mm']]]/1000),"")</f>
        <v/>
      </c>
      <c r="AZ84" s="75" t="str">
        <f>IFERROR((TP_DATA[[#This Row],[D, bottom '[m']]]+#REF!)/(2*#REF!/1000),"")</f>
        <v/>
      </c>
      <c r="CH84" s="75" t="str">
        <f>IFERROR(TOWER_DATA[[#This Row],[Bottom '[m']]]-TOWER_DATA[[#This Row],[D, top '[m']]], "")</f>
        <v/>
      </c>
      <c r="CI84" s="75" t="str">
        <f>IFERROR(-(TOWER_DATA[[#This Row],[D, bottom '[m']]]-TOWER_DATA[[#This Row],[D, top '[m']]])/(TOWER_DATA[[#This Row],[Bottom '[m']]]-TOWER_DATA[[#This Row],[Top '[m']]]),"")</f>
        <v/>
      </c>
      <c r="CJ84" s="75">
        <f t="shared" si="2"/>
        <v>0.69183711520936486</v>
      </c>
      <c r="CK84" s="75" t="str">
        <f>IFERROR((TOWER_DATA[[#This Row],[D, bottom '[m']]]+TOWER_DATA[[#This Row],[D, top '[m']]])/(2*TOWER_DATA[[#This Row],[t '[mm']]]/1000),"")</f>
        <v/>
      </c>
      <c r="CL84" s="75" t="str">
        <f>IFERROR((TOWER_DATA[[#This Row],[D, bottom '[m']]]+#REF!)/(2*#REF!/1000),"")</f>
        <v/>
      </c>
      <c r="CV84" s="221">
        <v>66</v>
      </c>
      <c r="CW84" s="222">
        <v>49.718000000000004</v>
      </c>
      <c r="CX84" s="222">
        <v>49.674999999999997</v>
      </c>
      <c r="CY84" s="221">
        <v>7.2919999999999998</v>
      </c>
      <c r="CZ84" s="221">
        <v>7.2919999999999998</v>
      </c>
      <c r="DA84" s="221">
        <v>34.5</v>
      </c>
      <c r="DU84" s="75"/>
      <c r="DV84" s="75"/>
    </row>
    <row r="85" spans="4:126" ht="18" hidden="1" customHeight="1" outlineLevel="1">
      <c r="D85" s="126"/>
      <c r="K85"/>
      <c r="N85"/>
      <c r="O85" s="75" t="str">
        <f>IFERROR((MP_DATA[[#This Row],[D, bottom '[m']]]+#REF!)/(2*#REF!/1000),"")</f>
        <v/>
      </c>
      <c r="AV85"/>
      <c r="AY85"/>
      <c r="AZ85" s="75" t="str">
        <f>IFERROR((TP_DATA[[#This Row],[D, bottom '[m']]]+#REF!)/(2*#REF!/1000),"")</f>
        <v/>
      </c>
      <c r="CH85"/>
      <c r="CK85"/>
      <c r="CL85" s="75" t="str">
        <f>IFERROR((TOWER_DATA[[#This Row],[D, bottom '[m']]]+#REF!)/(2*#REF!/1000),"")</f>
        <v/>
      </c>
      <c r="CV85" s="221">
        <v>67</v>
      </c>
      <c r="CW85" s="222">
        <v>49.674999999999997</v>
      </c>
      <c r="CX85" s="222">
        <v>47</v>
      </c>
      <c r="CY85" s="221">
        <v>7.2919999999999998</v>
      </c>
      <c r="CZ85" s="221">
        <v>7.335</v>
      </c>
      <c r="DA85" s="221">
        <v>34.5</v>
      </c>
      <c r="DU85" s="75"/>
      <c r="DV85" s="75"/>
    </row>
    <row r="86" spans="4:126" ht="18" hidden="1" customHeight="1" outlineLevel="1">
      <c r="D86" s="126"/>
      <c r="K86"/>
      <c r="N86"/>
      <c r="O86" s="75" t="str">
        <f>IFERROR((MP_DATA[[#This Row],[D, bottom '[m']]]+#REF!)/(2*#REF!/1000),"")</f>
        <v/>
      </c>
      <c r="AV86"/>
      <c r="AY86"/>
      <c r="AZ86" s="75" t="str">
        <f>IFERROR((TP_DATA[[#This Row],[D, bottom '[m']]]+#REF!)/(2*#REF!/1000),"")</f>
        <v/>
      </c>
      <c r="CH86"/>
      <c r="CK86"/>
      <c r="CL86" s="75" t="str">
        <f>IFERROR((TOWER_DATA[[#This Row],[D, bottom '[m']]]+#REF!)/(2*#REF!/1000),"")</f>
        <v/>
      </c>
      <c r="CV86" s="221">
        <v>68</v>
      </c>
      <c r="CW86" s="222">
        <v>47</v>
      </c>
      <c r="CX86" s="222">
        <v>45.564000000000007</v>
      </c>
      <c r="CY86" s="221">
        <v>7.335</v>
      </c>
      <c r="CZ86" s="221">
        <v>7.3579999999999997</v>
      </c>
      <c r="DA86" s="221">
        <v>35</v>
      </c>
      <c r="DU86" s="75"/>
      <c r="DV86" s="75"/>
    </row>
    <row r="87" spans="4:126" ht="18" hidden="1" customHeight="1" outlineLevel="1">
      <c r="D87" s="126"/>
      <c r="K87"/>
      <c r="N87"/>
      <c r="O87" s="75" t="str">
        <f>IFERROR((MP_DATA[[#This Row],[D, bottom '[m']]]+#REF!)/(2*#REF!/1000),"")</f>
        <v/>
      </c>
      <c r="AV87"/>
      <c r="AY87"/>
      <c r="AZ87" s="75" t="str">
        <f>IFERROR((TP_DATA[[#This Row],[D, bottom '[m']]]+#REF!)/(2*#REF!/1000),"")</f>
        <v/>
      </c>
      <c r="CH87"/>
      <c r="CK87"/>
      <c r="CL87" s="75" t="str">
        <f>IFERROR((TOWER_DATA[[#This Row],[D, bottom '[m']]]+#REF!)/(2*#REF!/1000),"")</f>
        <v/>
      </c>
      <c r="CV87" s="221">
        <v>69</v>
      </c>
      <c r="CW87" s="222">
        <v>45.564000000000007</v>
      </c>
      <c r="CX87" s="222">
        <v>44.282000000000004</v>
      </c>
      <c r="CY87" s="221">
        <v>7.3579999999999997</v>
      </c>
      <c r="CZ87" s="221">
        <v>7.3789999999999996</v>
      </c>
      <c r="DA87" s="221">
        <v>35</v>
      </c>
      <c r="DU87" s="75"/>
      <c r="DV87" s="75"/>
    </row>
    <row r="88" spans="4:126" ht="18" hidden="1" customHeight="1" outlineLevel="1">
      <c r="D88" s="126"/>
      <c r="K88"/>
      <c r="N88"/>
      <c r="O88" s="75" t="str">
        <f>IFERROR((MP_DATA[[#This Row],[D, bottom '[m']]]+#REF!)/(2*#REF!/1000),"")</f>
        <v/>
      </c>
      <c r="AV88"/>
      <c r="AY88"/>
      <c r="AZ88" s="75" t="str">
        <f>IFERROR((TP_DATA[[#This Row],[D, bottom '[m']]]+#REF!)/(2*#REF!/1000),"")</f>
        <v/>
      </c>
      <c r="CH88"/>
      <c r="CK88"/>
      <c r="CL88" s="75" t="str">
        <f>IFERROR((TOWER_DATA[[#This Row],[D, bottom '[m']]]+#REF!)/(2*#REF!/1000),"")</f>
        <v/>
      </c>
      <c r="CV88" s="221">
        <v>70</v>
      </c>
      <c r="CW88" s="222">
        <v>44.282000000000004</v>
      </c>
      <c r="CX88" s="222">
        <v>41.561000000000007</v>
      </c>
      <c r="CY88" s="221">
        <v>7.3789999999999996</v>
      </c>
      <c r="CZ88" s="221">
        <v>7.4249999999999998</v>
      </c>
      <c r="DA88" s="221">
        <v>35.799999999999997</v>
      </c>
      <c r="DU88" s="75" t="str">
        <f>IF(7850/1000*(1/3)*PI()*ABS(DO88-DP88)*((DQ88/2)^2+(DQ88/2)*(DR88/2)+(DR88/2)^2-(DQ88/2-DT88/1000)^2-(DQ88/2-DT88/1000)*(DR88/2-DT88/1000)-(DR88/2-DT88/1000)^2)=0,"",7850/1000*(1/3)*PI()*ABS(DO88-DP88)*((DQ88/2)^2+(DQ88/2)*(DR88/2)+(DR88/2)^2-(DQ88/2-DT88/1000)^2-(DQ88/2-DT88/1000)*(DR88/2-DT88/1000)-(DR88/2-DT88/1000)^2))</f>
        <v/>
      </c>
      <c r="DV88" s="75"/>
    </row>
    <row r="89" spans="4:126" ht="18" hidden="1" customHeight="1" outlineLevel="1">
      <c r="D89" s="126"/>
      <c r="K89"/>
      <c r="N89"/>
      <c r="O89" s="75" t="str">
        <f>IFERROR((MP_DATA[[#This Row],[D, bottom '[m']]]+#REF!)/(2*#REF!/1000),"")</f>
        <v/>
      </c>
      <c r="AV89"/>
      <c r="AY89"/>
      <c r="AZ89" s="75" t="str">
        <f>IFERROR((TP_DATA[[#This Row],[D, bottom '[m']]]+#REF!)/(2*#REF!/1000),"")</f>
        <v/>
      </c>
      <c r="CH89"/>
      <c r="CK89"/>
      <c r="CL89" s="75" t="str">
        <f>IFERROR((TOWER_DATA[[#This Row],[D, bottom '[m']]]+#REF!)/(2*#REF!/1000),"")</f>
        <v/>
      </c>
      <c r="CV89" s="221">
        <v>71</v>
      </c>
      <c r="CW89" s="222">
        <v>41.561000000000007</v>
      </c>
      <c r="CX89" s="222">
        <v>40.900000000000006</v>
      </c>
      <c r="CY89" s="221">
        <v>7.4249999999999998</v>
      </c>
      <c r="CZ89" s="221">
        <v>7.4349999999999996</v>
      </c>
      <c r="DA89" s="221">
        <v>39</v>
      </c>
      <c r="DU89" s="75" t="str">
        <f>IF(7850/1000*(1/3)*PI()*ABS(DO89-DP89)*((DQ89/2)^2+(DQ89/2)*(DR89/2)+(DR89/2)^2-(DQ89/2-DT89/1000)^2-(DQ89/2-DT89/1000)*(DR89/2-DT89/1000)-(DR89/2-DT89/1000)^2)=0,"",7850/1000*(1/3)*PI()*ABS(DO89-DP89)*((DQ89/2)^2+(DQ89/2)*(DR89/2)+(DR89/2)^2-(DQ89/2-DT89/1000)^2-(DQ89/2-DT89/1000)*(DR89/2-DT89/1000)-(DR89/2-DT89/1000)^2))</f>
        <v/>
      </c>
      <c r="DV89" s="75"/>
    </row>
    <row r="90" spans="4:126" ht="18" hidden="1" customHeight="1" outlineLevel="1">
      <c r="D90" s="126"/>
      <c r="K90"/>
      <c r="N90"/>
      <c r="O90" s="75" t="str">
        <f>IFERROR((MP_DATA[[#This Row],[D, bottom '[m']]]+#REF!)/(2*#REF!/1000),"")</f>
        <v/>
      </c>
      <c r="AV90"/>
      <c r="AY90"/>
      <c r="AZ90" s="75" t="str">
        <f>IFERROR((TP_DATA[[#This Row],[D, bottom '[m']]]+#REF!)/(2*#REF!/1000),"")</f>
        <v/>
      </c>
      <c r="CH90"/>
      <c r="CK90"/>
      <c r="CL90" s="75" t="str">
        <f>IFERROR((TOWER_DATA[[#This Row],[D, bottom '[m']]]+#REF!)/(2*#REF!/1000),"")</f>
        <v/>
      </c>
      <c r="CV90" s="221">
        <v>72</v>
      </c>
      <c r="CW90" s="222">
        <v>40.900000000000006</v>
      </c>
      <c r="CX90" s="222">
        <v>38.775000000000006</v>
      </c>
      <c r="CY90" s="221">
        <v>7.4349999999999996</v>
      </c>
      <c r="CZ90" s="221">
        <v>7.476</v>
      </c>
      <c r="DA90" s="221">
        <v>39</v>
      </c>
      <c r="DU90" s="75" t="str">
        <f>IF(7850/1000*(1/3)*PI()*ABS(DO90-DP90)*((DQ90/2)^2+(DQ90/2)*(DR90/2)+(DR90/2)^2-(DQ90/2-DT90/1000)^2-(DQ90/2-DT90/1000)*(DR90/2-DT90/1000)-(DR90/2-DT90/1000)^2)=0,"",7850/1000*(1/3)*PI()*ABS(DO90-DP90)*((DQ90/2)^2+(DQ90/2)*(DR90/2)+(DR90/2)^2-(DQ90/2-DT90/1000)^2-(DQ90/2-DT90/1000)*(DR90/2-DT90/1000)-(DR90/2-DT90/1000)^2))</f>
        <v/>
      </c>
      <c r="DV90" s="75"/>
    </row>
    <row r="91" spans="4:126" ht="18" hidden="1" customHeight="1" outlineLevel="1">
      <c r="D91" s="126"/>
      <c r="K91"/>
      <c r="N91"/>
      <c r="O91" s="75" t="str">
        <f>IFERROR((MP_DATA[[#This Row],[D, bottom '[m']]]+#REF!)/(2*#REF!/1000),"")</f>
        <v/>
      </c>
      <c r="AV91"/>
      <c r="AY91"/>
      <c r="AZ91" s="75" t="str">
        <f>IFERROR((TP_DATA[[#This Row],[D, bottom '[m']]]+#REF!)/(2*#REF!/1000),"")</f>
        <v/>
      </c>
      <c r="CH91"/>
      <c r="CK91"/>
      <c r="CL91" s="75" t="str">
        <f>IFERROR((TOWER_DATA[[#This Row],[D, bottom '[m']]]+#REF!)/(2*#REF!/1000),"")</f>
        <v/>
      </c>
      <c r="CV91" s="221">
        <v>73</v>
      </c>
      <c r="CW91" s="222">
        <v>38.775000000000006</v>
      </c>
      <c r="CX91" s="222">
        <v>38.725000000000001</v>
      </c>
      <c r="CY91" s="221">
        <v>7.476</v>
      </c>
      <c r="CZ91" s="221">
        <v>7.476</v>
      </c>
      <c r="DA91" s="221">
        <v>46</v>
      </c>
      <c r="DU91" s="75" t="str">
        <f t="shared" ref="DU91:DU124" si="3">IF(7850/1000*(1/3)*PI()*ABS(DO91-DP91)*((DQ91/2)^2+(DQ91/2)*(DR91/2)+(DR91/2)^2-(DQ91/2-DT91/1000)^2-(DQ91/2-DT91/1000)*(DR91/2-DT91/1000)-(DR91/2-DT91/1000)^2)=0,"",7850/1000*(1/3)*PI()*ABS(DO91-DP91)*((DQ91/2)^2+(DQ91/2)*(DR91/2)+(DR91/2)^2-(DQ91/2-DT91/1000)^2-(DQ91/2-DT91/1000)*(DR91/2-DT91/1000)-(DR91/2-DT91/1000)^2))</f>
        <v/>
      </c>
      <c r="DV91" s="75"/>
    </row>
    <row r="92" spans="4:126" ht="18" hidden="1" customHeight="1" outlineLevel="1">
      <c r="D92" s="126"/>
      <c r="K92"/>
      <c r="N92"/>
      <c r="O92" s="75" t="str">
        <f>IFERROR((MP_DATA[[#This Row],[D, bottom '[m']]]+#REF!)/(2*#REF!/1000),"")</f>
        <v/>
      </c>
      <c r="AV92"/>
      <c r="AY92"/>
      <c r="AZ92" s="75" t="str">
        <f>IFERROR((TP_DATA[[#This Row],[D, bottom '[m']]]+#REF!)/(2*#REF!/1000),"")</f>
        <v/>
      </c>
      <c r="CH92"/>
      <c r="CK92"/>
      <c r="CL92" s="75" t="str">
        <f>IFERROR((TOWER_DATA[[#This Row],[D, bottom '[m']]]+#REF!)/(2*#REF!/1000),"")</f>
        <v/>
      </c>
      <c r="CV92" s="221">
        <v>74</v>
      </c>
      <c r="CW92" s="222">
        <v>38.725000000000001</v>
      </c>
      <c r="CX92" s="222">
        <v>38.540000000000006</v>
      </c>
      <c r="CY92" s="221">
        <v>7.476</v>
      </c>
      <c r="CZ92" s="221">
        <v>7.476</v>
      </c>
      <c r="DA92" s="221">
        <v>46</v>
      </c>
      <c r="DU92" s="75" t="str">
        <f t="shared" si="3"/>
        <v/>
      </c>
      <c r="DV92" s="75"/>
    </row>
    <row r="93" spans="4:126" ht="18" hidden="1" customHeight="1" outlineLevel="1">
      <c r="D93" s="126"/>
      <c r="K93"/>
      <c r="N93"/>
      <c r="O93" s="75" t="str">
        <f>IFERROR((MP_DATA[[#This Row],[D, bottom '[m']]]+#REF!)/(2*#REF!/1000),"")</f>
        <v/>
      </c>
      <c r="AV93"/>
      <c r="AY93"/>
      <c r="AZ93" s="75" t="str">
        <f>IFERROR((TP_DATA[[#This Row],[D, bottom '[m']]]+#REF!)/(2*#REF!/1000),"")</f>
        <v/>
      </c>
      <c r="CH93"/>
      <c r="CK93"/>
      <c r="CL93" s="75" t="str">
        <f>IFERROR((TOWER_DATA[[#This Row],[D, bottom '[m']]]+#REF!)/(2*#REF!/1000),"")</f>
        <v/>
      </c>
      <c r="CV93" s="221">
        <v>75</v>
      </c>
      <c r="CW93" s="222">
        <v>38.540000000000006</v>
      </c>
      <c r="CX93" s="222">
        <v>38.355000000000004</v>
      </c>
      <c r="CY93" s="221">
        <v>7.476</v>
      </c>
      <c r="CZ93" s="221">
        <v>7.476</v>
      </c>
      <c r="DA93" s="221">
        <v>46</v>
      </c>
      <c r="DU93" s="75" t="str">
        <f t="shared" si="3"/>
        <v/>
      </c>
      <c r="DV93" s="75"/>
    </row>
    <row r="94" spans="4:126" ht="18" hidden="1" customHeight="1" outlineLevel="1">
      <c r="D94" s="126"/>
      <c r="K94"/>
      <c r="N94"/>
      <c r="O94" s="75" t="str">
        <f>IFERROR((MP_DATA[[#This Row],[D, bottom '[m']]]+#REF!)/(2*#REF!/1000),"")</f>
        <v/>
      </c>
      <c r="AV94"/>
      <c r="AY94"/>
      <c r="AZ94" s="75" t="str">
        <f>IFERROR((TP_DATA[[#This Row],[D, bottom '[m']]]+#REF!)/(2*#REF!/1000),"")</f>
        <v/>
      </c>
      <c r="CH94"/>
      <c r="CK94"/>
      <c r="CL94" s="75" t="str">
        <f>IFERROR((TOWER_DATA[[#This Row],[D, bottom '[m']]]+#REF!)/(2*#REF!/1000),"")</f>
        <v/>
      </c>
      <c r="CV94" s="221">
        <v>76</v>
      </c>
      <c r="CW94" s="222">
        <v>38.355000000000004</v>
      </c>
      <c r="CX94" s="222">
        <v>38.305000000000007</v>
      </c>
      <c r="CY94" s="221">
        <v>7.476</v>
      </c>
      <c r="CZ94" s="221">
        <v>7.4740000000000002</v>
      </c>
      <c r="DA94" s="221">
        <v>46</v>
      </c>
      <c r="DU94" s="75" t="str">
        <f t="shared" si="3"/>
        <v/>
      </c>
      <c r="DV94" s="75"/>
    </row>
    <row r="95" spans="4:126" ht="18" hidden="1" customHeight="1" outlineLevel="1">
      <c r="D95" s="126"/>
      <c r="K95"/>
      <c r="N95"/>
      <c r="O95" s="75" t="str">
        <f>IFERROR((MP_DATA[[#This Row],[D, bottom '[m']]]+#REF!)/(2*#REF!/1000),"")</f>
        <v/>
      </c>
      <c r="AV95"/>
      <c r="AY95"/>
      <c r="AZ95" s="75" t="str">
        <f>IFERROR((TP_DATA[[#This Row],[D, bottom '[m']]]+#REF!)/(2*#REF!/1000),"")</f>
        <v/>
      </c>
      <c r="CH95"/>
      <c r="CK95"/>
      <c r="CL95" s="75" t="str">
        <f>IFERROR((TOWER_DATA[[#This Row],[D, bottom '[m']]]+#REF!)/(2*#REF!/1000),"")</f>
        <v/>
      </c>
      <c r="CV95" s="221">
        <v>77</v>
      </c>
      <c r="CW95" s="222">
        <v>38.305000000000007</v>
      </c>
      <c r="CX95" s="222">
        <v>37.343000000000004</v>
      </c>
      <c r="CY95" s="221">
        <v>7.4740000000000002</v>
      </c>
      <c r="CZ95" s="221">
        <v>7.4740000000000002</v>
      </c>
      <c r="DA95" s="221">
        <v>44.1</v>
      </c>
      <c r="DU95" s="75" t="str">
        <f t="shared" si="3"/>
        <v/>
      </c>
      <c r="DV95" s="75"/>
    </row>
    <row r="96" spans="4:126" ht="18" hidden="1" customHeight="1" outlineLevel="1">
      <c r="D96" s="126"/>
      <c r="K96"/>
      <c r="N96"/>
      <c r="O96" s="75" t="str">
        <f>IFERROR((MP_DATA[[#This Row],[D, bottom '[m']]]+#REF!)/(2*#REF!/1000),"")</f>
        <v/>
      </c>
      <c r="AV96"/>
      <c r="AY96"/>
      <c r="AZ96" s="75" t="str">
        <f>IFERROR((TP_DATA[[#This Row],[D, bottom '[m']]]+#REF!)/(2*#REF!/1000),"")</f>
        <v/>
      </c>
      <c r="CH96"/>
      <c r="CK96"/>
      <c r="CL96" s="75" t="str">
        <f>IFERROR((TOWER_DATA[[#This Row],[D, bottom '[m']]]+#REF!)/(2*#REF!/1000),"")</f>
        <v/>
      </c>
      <c r="CV96" s="221">
        <v>78</v>
      </c>
      <c r="CW96" s="222">
        <v>37.343000000000004</v>
      </c>
      <c r="CX96" s="222">
        <v>35.43</v>
      </c>
      <c r="CY96" s="221">
        <v>7.4740000000000002</v>
      </c>
      <c r="CZ96" s="221">
        <v>7.476</v>
      </c>
      <c r="DA96" s="221">
        <v>44.1</v>
      </c>
      <c r="DU96" s="75" t="str">
        <f t="shared" si="3"/>
        <v/>
      </c>
      <c r="DV96" s="75"/>
    </row>
    <row r="97" spans="4:126" ht="18" hidden="1" customHeight="1" outlineLevel="1">
      <c r="D97" s="126"/>
      <c r="K97"/>
      <c r="N97"/>
      <c r="O97" s="75" t="str">
        <f>IFERROR((MP_DATA[[#This Row],[D, bottom '[m']]]+#REF!)/(2*#REF!/1000),"")</f>
        <v/>
      </c>
      <c r="AV97"/>
      <c r="AY97"/>
      <c r="AZ97" s="75" t="str">
        <f>IFERROR((TP_DATA[[#This Row],[D, bottom '[m']]]+#REF!)/(2*#REF!/1000),"")</f>
        <v/>
      </c>
      <c r="CH97"/>
      <c r="CK97"/>
      <c r="CL97" s="75" t="str">
        <f>IFERROR((TOWER_DATA[[#This Row],[D, bottom '[m']]]+#REF!)/(2*#REF!/1000),"")</f>
        <v/>
      </c>
      <c r="CV97" s="221">
        <v>79</v>
      </c>
      <c r="CW97" s="222">
        <v>35.43</v>
      </c>
      <c r="CX97" s="222">
        <v>33.231999999999999</v>
      </c>
      <c r="CY97" s="221">
        <v>7.476</v>
      </c>
      <c r="CZ97" s="221">
        <v>7.476</v>
      </c>
      <c r="DA97" s="221">
        <v>45.6</v>
      </c>
      <c r="DU97" s="75" t="str">
        <f t="shared" si="3"/>
        <v/>
      </c>
      <c r="DV97" s="75"/>
    </row>
    <row r="98" spans="4:126" ht="18" hidden="1" customHeight="1" outlineLevel="1">
      <c r="D98" s="126"/>
      <c r="K98"/>
      <c r="N98"/>
      <c r="O98" s="75" t="str">
        <f>IFERROR((MP_DATA[[#This Row],[D, bottom '[m']]]+#REF!)/(2*#REF!/1000),"")</f>
        <v/>
      </c>
      <c r="AV98"/>
      <c r="AY98"/>
      <c r="AZ98" s="75" t="str">
        <f>IFERROR((TP_DATA[[#This Row],[D, bottom '[m']]]+#REF!)/(2*#REF!/1000),"")</f>
        <v/>
      </c>
      <c r="CH98"/>
      <c r="CK98"/>
      <c r="CL98" s="75" t="str">
        <f>IFERROR((TOWER_DATA[[#This Row],[D, bottom '[m']]]+#REF!)/(2*#REF!/1000),"")</f>
        <v/>
      </c>
      <c r="CV98" s="221">
        <v>80</v>
      </c>
      <c r="CW98" s="222">
        <v>33.231999999999999</v>
      </c>
      <c r="CX98" s="222">
        <v>32.5</v>
      </c>
      <c r="CY98" s="221">
        <v>7.476</v>
      </c>
      <c r="CZ98" s="221">
        <v>7.4770000000000003</v>
      </c>
      <c r="DA98" s="221">
        <v>45.6</v>
      </c>
      <c r="DU98" s="75" t="str">
        <f t="shared" si="3"/>
        <v/>
      </c>
      <c r="DV98" s="75"/>
    </row>
    <row r="99" spans="4:126" ht="18" hidden="1" customHeight="1" outlineLevel="1">
      <c r="D99" s="126"/>
      <c r="K99"/>
      <c r="N99"/>
      <c r="O99" s="75" t="str">
        <f>IFERROR((MP_DATA[[#This Row],[D, bottom '[m']]]+#REF!)/(2*#REF!/1000),"")</f>
        <v/>
      </c>
      <c r="AV99"/>
      <c r="AY99"/>
      <c r="AZ99" s="75" t="str">
        <f>IFERROR((TP_DATA[[#This Row],[D, bottom '[m']]]+#REF!)/(2*#REF!/1000),"")</f>
        <v/>
      </c>
      <c r="CH99"/>
      <c r="CK99"/>
      <c r="CL99" s="75" t="str">
        <f>IFERROR((TOWER_DATA[[#This Row],[D, bottom '[m']]]+#REF!)/(2*#REF!/1000),"")</f>
        <v/>
      </c>
      <c r="CV99" s="221">
        <v>81</v>
      </c>
      <c r="CW99" s="222">
        <v>32.5</v>
      </c>
      <c r="CX99" s="222">
        <v>30.9</v>
      </c>
      <c r="CY99" s="221">
        <v>7.4770000000000003</v>
      </c>
      <c r="CZ99" s="221">
        <v>7.4770000000000003</v>
      </c>
      <c r="DA99" s="221">
        <v>47.1</v>
      </c>
      <c r="DU99" s="75" t="str">
        <f t="shared" si="3"/>
        <v/>
      </c>
      <c r="DV99" s="75"/>
    </row>
    <row r="100" spans="4:126" ht="18" hidden="1" customHeight="1" outlineLevel="1">
      <c r="D100" s="126"/>
      <c r="K100"/>
      <c r="N100"/>
      <c r="O100" s="75" t="str">
        <f>IFERROR((MP_DATA[[#This Row],[D, bottom '[m']]]+#REF!)/(2*#REF!/1000),"")</f>
        <v/>
      </c>
      <c r="AV100"/>
      <c r="AY100"/>
      <c r="AZ100" s="75" t="str">
        <f>IFERROR((TP_DATA[[#This Row],[D, bottom '[m']]]+#REF!)/(2*#REF!/1000),"")</f>
        <v/>
      </c>
      <c r="CH100"/>
      <c r="CK100"/>
      <c r="CL100" s="75" t="str">
        <f>IFERROR((TOWER_DATA[[#This Row],[D, bottom '[m']]]+#REF!)/(2*#REF!/1000),"")</f>
        <v/>
      </c>
      <c r="CV100" s="221">
        <v>82</v>
      </c>
      <c r="CW100" s="222">
        <v>30.9</v>
      </c>
      <c r="CX100" s="222">
        <v>29.569999999999997</v>
      </c>
      <c r="CY100" s="221">
        <v>7.4770000000000003</v>
      </c>
      <c r="CZ100" s="221">
        <v>7.4790000000000001</v>
      </c>
      <c r="DA100" s="221">
        <v>47.1</v>
      </c>
      <c r="DU100" s="75" t="str">
        <f t="shared" si="3"/>
        <v/>
      </c>
      <c r="DV100" s="75"/>
    </row>
    <row r="101" spans="4:126" ht="18" hidden="1" customHeight="1" outlineLevel="1">
      <c r="D101" s="126"/>
      <c r="K101"/>
      <c r="N101"/>
      <c r="O101" s="75" t="str">
        <f>IFERROR((MP_DATA[[#This Row],[D, bottom '[m']]]+#REF!)/(2*#REF!/1000),"")</f>
        <v/>
      </c>
      <c r="AV101"/>
      <c r="AY101"/>
      <c r="AZ101" s="75" t="str">
        <f>IFERROR((TP_DATA[[#This Row],[D, bottom '[m']]]+#REF!)/(2*#REF!/1000),"")</f>
        <v/>
      </c>
      <c r="CH101"/>
      <c r="CK101"/>
      <c r="CL101" s="75" t="str">
        <f>IFERROR((TOWER_DATA[[#This Row],[D, bottom '[m']]]+#REF!)/(2*#REF!/1000),"")</f>
        <v/>
      </c>
      <c r="CV101" s="221">
        <v>83</v>
      </c>
      <c r="CW101" s="222">
        <v>29.569999999999997</v>
      </c>
      <c r="CX101" s="222">
        <v>29.120999999999999</v>
      </c>
      <c r="CY101" s="221">
        <v>7.4790000000000001</v>
      </c>
      <c r="CZ101" s="221">
        <v>7.4790000000000001</v>
      </c>
      <c r="DA101" s="221">
        <v>49</v>
      </c>
      <c r="DU101" s="75" t="str">
        <f t="shared" si="3"/>
        <v/>
      </c>
      <c r="DV101" s="75"/>
    </row>
    <row r="102" spans="4:126" ht="18" hidden="1" customHeight="1" outlineLevel="1">
      <c r="D102" s="126"/>
      <c r="K102"/>
      <c r="N102"/>
      <c r="O102" s="75" t="str">
        <f>IFERROR((MP_DATA[[#This Row],[D, bottom '[m']]]+#REF!)/(2*#REF!/1000),"")</f>
        <v/>
      </c>
      <c r="AV102"/>
      <c r="AY102"/>
      <c r="AZ102" s="75" t="str">
        <f>IFERROR((TP_DATA[[#This Row],[D, bottom '[m']]]+#REF!)/(2*#REF!/1000),"")</f>
        <v/>
      </c>
      <c r="CH102"/>
      <c r="CK102"/>
      <c r="CL102" s="75" t="str">
        <f>IFERROR((TOWER_DATA[[#This Row],[D, bottom '[m']]]+#REF!)/(2*#REF!/1000),"")</f>
        <v/>
      </c>
      <c r="CV102" s="221">
        <v>84</v>
      </c>
      <c r="CW102" s="222">
        <v>29.120999999999999</v>
      </c>
      <c r="CX102" s="222">
        <v>26.639999999999997</v>
      </c>
      <c r="CY102" s="221">
        <v>7.4790000000000001</v>
      </c>
      <c r="CZ102" s="221">
        <v>7.5</v>
      </c>
      <c r="DA102" s="221">
        <v>49</v>
      </c>
      <c r="DU102" s="75" t="str">
        <f t="shared" si="3"/>
        <v/>
      </c>
      <c r="DV102" s="75"/>
    </row>
    <row r="103" spans="4:126" ht="18" hidden="1" customHeight="1" outlineLevel="1">
      <c r="D103" s="126"/>
      <c r="K103"/>
      <c r="N103"/>
      <c r="O103" s="75" t="str">
        <f>IFERROR((MP_DATA[[#This Row],[D, bottom '[m']]]+#REF!)/(2*#REF!/1000),"")</f>
        <v/>
      </c>
      <c r="AV103"/>
      <c r="AY103"/>
      <c r="AZ103" s="75" t="str">
        <f>IFERROR((TP_DATA[[#This Row],[D, bottom '[m']]]+#REF!)/(2*#REF!/1000),"")</f>
        <v/>
      </c>
      <c r="CH103"/>
      <c r="CK103"/>
      <c r="CL103" s="75" t="str">
        <f>IFERROR((TOWER_DATA[[#This Row],[D, bottom '[m']]]+#REF!)/(2*#REF!/1000),"")</f>
        <v/>
      </c>
      <c r="CV103" s="221">
        <v>85</v>
      </c>
      <c r="CW103" s="222">
        <v>26.639999999999997</v>
      </c>
      <c r="CX103" s="222">
        <v>25.05</v>
      </c>
      <c r="CY103" s="221">
        <v>7.5</v>
      </c>
      <c r="CZ103" s="221">
        <v>7.5</v>
      </c>
      <c r="DA103" s="221">
        <v>70</v>
      </c>
      <c r="DU103" s="75" t="str">
        <f t="shared" si="3"/>
        <v/>
      </c>
      <c r="DV103" s="75"/>
    </row>
    <row r="104" spans="4:126" ht="18" hidden="1" customHeight="1" outlineLevel="1">
      <c r="D104" s="126"/>
      <c r="K104"/>
      <c r="N104"/>
      <c r="O104" s="75" t="str">
        <f>IFERROR((MP_DATA[[#This Row],[D, bottom '[m']]]+#REF!)/(2*#REF!/1000),"")</f>
        <v/>
      </c>
      <c r="AV104"/>
      <c r="AY104"/>
      <c r="AZ104" s="75" t="str">
        <f>IFERROR((TP_DATA[[#This Row],[D, bottom '[m']]]+#REF!)/(2*#REF!/1000),"")</f>
        <v/>
      </c>
      <c r="CH104"/>
      <c r="CK104"/>
      <c r="CL104" s="75" t="str">
        <f>IFERROR((TOWER_DATA[[#This Row],[D, bottom '[m']]]+#REF!)/(2*#REF!/1000),"")</f>
        <v/>
      </c>
      <c r="CV104" s="221">
        <v>86</v>
      </c>
      <c r="CW104" s="222">
        <v>25.05</v>
      </c>
      <c r="CX104" s="222">
        <v>25.010999999999999</v>
      </c>
      <c r="CY104" s="221">
        <v>7.5</v>
      </c>
      <c r="CZ104" s="221">
        <v>7.5</v>
      </c>
      <c r="DA104" s="221">
        <v>70</v>
      </c>
      <c r="DU104" s="75" t="str">
        <f t="shared" si="3"/>
        <v/>
      </c>
      <c r="DV104" s="75"/>
    </row>
    <row r="105" spans="4:126" ht="18" hidden="1" customHeight="1" outlineLevel="1">
      <c r="D105" s="126"/>
      <c r="K105"/>
      <c r="N105"/>
      <c r="O105" s="75" t="str">
        <f>IFERROR((MP_DATA[[#This Row],[D, bottom '[m']]]+#REF!)/(2*#REF!/1000),"")</f>
        <v/>
      </c>
      <c r="AV105"/>
      <c r="AY105"/>
      <c r="AZ105" s="75" t="str">
        <f>IFERROR((TP_DATA[[#This Row],[D, bottom '[m']]]+#REF!)/(2*#REF!/1000),"")</f>
        <v/>
      </c>
      <c r="CH105"/>
      <c r="CK105"/>
      <c r="CL105" s="75" t="str">
        <f>IFERROR((TOWER_DATA[[#This Row],[D, bottom '[m']]]+#REF!)/(2*#REF!/1000),"")</f>
        <v/>
      </c>
      <c r="CV105" s="221">
        <v>87</v>
      </c>
      <c r="CW105" s="222">
        <v>25.010999999999999</v>
      </c>
      <c r="CX105" s="222">
        <v>22.119999999999997</v>
      </c>
      <c r="CY105" s="221">
        <v>7.5</v>
      </c>
      <c r="CZ105" s="221">
        <v>7.5</v>
      </c>
      <c r="DA105" s="221">
        <v>70</v>
      </c>
      <c r="DU105" s="75" t="str">
        <f t="shared" si="3"/>
        <v/>
      </c>
      <c r="DV105" s="75"/>
    </row>
    <row r="106" spans="4:126" ht="18" hidden="1" customHeight="1" outlineLevel="1">
      <c r="D106" s="126"/>
      <c r="K106"/>
      <c r="N106"/>
      <c r="O106" s="75" t="str">
        <f>IFERROR((MP_DATA[[#This Row],[D, bottom '[m']]]+#REF!)/(2*#REF!/1000),"")</f>
        <v/>
      </c>
      <c r="AV106"/>
      <c r="AY106"/>
      <c r="AZ106" s="75" t="str">
        <f>IFERROR((TP_DATA[[#This Row],[D, bottom '[m']]]+#REF!)/(2*#REF!/1000),"")</f>
        <v/>
      </c>
      <c r="CH106"/>
      <c r="CK106"/>
      <c r="CL106" s="75" t="str">
        <f>IFERROR((TOWER_DATA[[#This Row],[D, bottom '[m']]]+#REF!)/(2*#REF!/1000),"")</f>
        <v/>
      </c>
      <c r="CV106" s="221">
        <v>88</v>
      </c>
      <c r="CW106" s="222">
        <v>22.119999999999997</v>
      </c>
      <c r="CX106" s="222">
        <v>21.139999999999997</v>
      </c>
      <c r="CY106" s="221">
        <v>7.5</v>
      </c>
      <c r="CZ106" s="221">
        <v>7.5</v>
      </c>
      <c r="DA106" s="221">
        <v>70</v>
      </c>
      <c r="DU106" s="75" t="str">
        <f t="shared" si="3"/>
        <v/>
      </c>
      <c r="DV106" s="75"/>
    </row>
    <row r="107" spans="4:126" ht="18" hidden="1" customHeight="1" outlineLevel="1">
      <c r="D107" s="126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/>
      <c r="CK107"/>
      <c r="CL107" t="str">
        <f>IFERROR((TOWER_DATA[[#This Row],[D, bottom '[m']]]+#REF!)/(2*#REF!/1000),"")</f>
        <v/>
      </c>
      <c r="CV107" s="221">
        <v>89</v>
      </c>
      <c r="CW107" s="222">
        <v>21.139999999999997</v>
      </c>
      <c r="CX107" s="222">
        <v>21.08</v>
      </c>
      <c r="CY107" s="221">
        <v>7.5</v>
      </c>
      <c r="CZ107" s="221">
        <v>7.5</v>
      </c>
      <c r="DA107" s="221">
        <v>70</v>
      </c>
      <c r="DU107" s="75" t="str">
        <f t="shared" si="3"/>
        <v/>
      </c>
      <c r="DV107" s="75"/>
    </row>
    <row r="108" spans="4:126" ht="18" hidden="1" customHeight="1" outlineLevel="1">
      <c r="D108" s="126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/>
      <c r="CK108"/>
      <c r="CL108" t="str">
        <f>IFERROR((TOWER_DATA[[#This Row],[D, bottom '[m']]]+#REF!)/(2*#REF!/1000),"")</f>
        <v/>
      </c>
      <c r="CV108" s="221">
        <v>90</v>
      </c>
      <c r="CW108" s="222">
        <v>21.08</v>
      </c>
      <c r="CX108" s="222">
        <v>20.9</v>
      </c>
      <c r="CY108" s="221">
        <v>7.5</v>
      </c>
      <c r="CZ108" s="221">
        <v>7.5</v>
      </c>
      <c r="DA108" s="221">
        <v>70</v>
      </c>
      <c r="DU108" s="75" t="str">
        <f t="shared" si="3"/>
        <v/>
      </c>
      <c r="DV108" s="75"/>
    </row>
    <row r="109" spans="4:126" ht="18" hidden="1" customHeight="1" outlineLevel="1">
      <c r="D109" s="126"/>
      <c r="K109" s="75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5" t="str">
        <f t="shared" si="0"/>
        <v/>
      </c>
      <c r="N109" s="75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5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5" t="str">
        <f t="shared" ref="AX109:AX110" si="4">IF(7850/1000*(1/3)*PI()*ABS(AQ168-AR168)*((AS168/2)^2+(AS168/2)*(AT168/2)+(AT168/2)^2-(AS168/2-AU168/1000)^2-(AS168/2-AU168/1000)*(AT168/2-AU168/1000)-(AT168/2-AU168/1000)^2)=0,"",7850/1000*(1/3)*PI()*ABS(AQ168-AR168)*((AS168/2)^2+(AS168/2)*(AT168/2)+(AT168/2)^2-(AS168/2-AU168/1000)^2-(AS168/2-AU168/1000)*(AT168/2-AU168/1000)-(AT168/2-AU168/1000)^2))</f>
        <v/>
      </c>
      <c r="AY109" s="75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75" t="str">
        <f>IFERROR(TOWER_DATA[[#This Row],[Bottom '[m']]]-TOWER_DATA[[#This Row],[D, top '[m']]], "")</f>
        <v/>
      </c>
      <c r="CI109" t="str">
        <f>IFERROR(-(TOWER_DATA[[#This Row],[D, bottom '[m']]]-TOWER_DATA[[#This Row],[D, top '[m']]])/(TOWER_DATA[[#This Row],[Bottom '[m']]]-TOWER_DATA[[#This Row],[Top '[m']]]),"")</f>
        <v/>
      </c>
      <c r="CJ109" s="75">
        <f t="shared" ref="CJ109:CJ110" si="5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>7.4681913438982228</v>
      </c>
      <c r="CK109" s="75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U109" s="75" t="str">
        <f t="shared" si="3"/>
        <v/>
      </c>
      <c r="DV109" s="75"/>
    </row>
    <row r="110" spans="4:126" ht="18" customHeight="1" collapsed="1">
      <c r="D110" s="126"/>
      <c r="K110" s="75" t="str">
        <f>IFERROR(MP_DATA[[#This Row],[Bottom '[m']]]-MP_DATA[[#This Row],[D, top '[m']]], "")</f>
        <v/>
      </c>
      <c r="L110" s="75" t="str">
        <f>IFERROR(-(MP_DATA[[#This Row],[D, bottom '[m']]]-MP_DATA[[#This Row],[D, top '[m']]])/(MP_DATA[[#This Row],[Bottom '[m']]]-MP_DATA[[#This Row],[Top '[m']]]),"")</f>
        <v/>
      </c>
      <c r="M110" s="75" t="str">
        <f t="shared" si="0"/>
        <v/>
      </c>
      <c r="N110" s="75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5" t="str">
        <f>IFERROR(TP_DATA[[#This Row],[Bottom '[m']]]-TP_DATA[[#This Row],[D, top '[m']]], "")</f>
        <v/>
      </c>
      <c r="AW110" s="75" t="str">
        <f>IFERROR(-(TP_DATA[[#This Row],[D, bottom '[m']]]-TP_DATA[[#This Row],[D, top '[m']]])/(TP_DATA[[#This Row],[Bottom '[m']]]-TP_DATA[[#This Row],[Top '[m']]]),"")</f>
        <v/>
      </c>
      <c r="AX110" s="75" t="str">
        <f t="shared" si="4"/>
        <v/>
      </c>
      <c r="AY110" s="75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75" t="str">
        <f>IFERROR(TOWER_DATA[[#This Row],[Bottom '[m']]]-TOWER_DATA[[#This Row],[D, top '[m']]], "")</f>
        <v/>
      </c>
      <c r="CI110" s="75" t="str">
        <f>IFERROR(-(TOWER_DATA[[#This Row],[D, bottom '[m']]]-TOWER_DATA[[#This Row],[D, top '[m']]])/(TOWER_DATA[[#This Row],[Bottom '[m']]]-TOWER_DATA[[#This Row],[Top '[m']]]),"")</f>
        <v/>
      </c>
      <c r="CJ110" s="75">
        <f t="shared" si="5"/>
        <v>6.3716813187634509</v>
      </c>
      <c r="CK110" s="75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U110" s="75" t="str">
        <f t="shared" si="3"/>
        <v/>
      </c>
      <c r="DV110" s="75"/>
    </row>
    <row r="111" spans="4:126" ht="18" customHeight="1">
      <c r="D111" s="126"/>
      <c r="E111" s="100" t="s">
        <v>258</v>
      </c>
      <c r="F111"/>
      <c r="G111"/>
      <c r="H111"/>
      <c r="I111"/>
      <c r="J111"/>
      <c r="K111" s="74" t="s">
        <v>252</v>
      </c>
      <c r="N111"/>
      <c r="O111" t="str">
        <f>IFERROR((MP_DATA[[#This Row],[D, bottom '[m']]]+#REF!)/(2*#REF!/1000),"")</f>
        <v/>
      </c>
      <c r="P111" s="102" t="s">
        <v>251</v>
      </c>
      <c r="AP111" s="100" t="s">
        <v>258</v>
      </c>
      <c r="AQ111"/>
      <c r="AR111"/>
      <c r="AS111"/>
      <c r="AT111"/>
      <c r="AU111"/>
      <c r="AV111" s="74" t="s">
        <v>252</v>
      </c>
      <c r="AY111"/>
      <c r="AZ111" t="str">
        <f>IFERROR((TP_DATA[[#This Row],[D, bottom '[m']]]+#REF!)/(2*#REF!/1000),"")</f>
        <v/>
      </c>
      <c r="BA111" s="102" t="s">
        <v>251</v>
      </c>
      <c r="CB111" s="100" t="s">
        <v>258</v>
      </c>
      <c r="CC111"/>
      <c r="CD111"/>
      <c r="CE111"/>
      <c r="CF111"/>
      <c r="CG111"/>
      <c r="CH111" s="74" t="s">
        <v>252</v>
      </c>
      <c r="CK111"/>
      <c r="CL111" t="str">
        <f>IFERROR((TOWER_DATA[[#This Row],[D, bottom '[m']]]+#REF!)/(2*#REF!/1000),"")</f>
        <v/>
      </c>
      <c r="CM111" s="102" t="s">
        <v>251</v>
      </c>
      <c r="DU111" s="75" t="str">
        <f t="shared" si="3"/>
        <v/>
      </c>
      <c r="DV111" s="75"/>
    </row>
    <row r="112" spans="4:126" ht="18" customHeight="1">
      <c r="D112" s="126"/>
      <c r="E112" s="85" t="s">
        <v>1</v>
      </c>
      <c r="F112" s="51" t="s">
        <v>90</v>
      </c>
      <c r="G112" s="51" t="s">
        <v>89</v>
      </c>
      <c r="H112" s="51" t="s">
        <v>78</v>
      </c>
      <c r="I112" s="51" t="s">
        <v>79</v>
      </c>
      <c r="J112" s="51" t="s">
        <v>80</v>
      </c>
      <c r="K112" s="90" t="s">
        <v>270</v>
      </c>
      <c r="L112" s="91" t="s">
        <v>247</v>
      </c>
      <c r="M112" s="91" t="s">
        <v>84</v>
      </c>
      <c r="N112" s="92" t="s">
        <v>248</v>
      </c>
      <c r="O112" t="str">
        <f>IFERROR((MP_DATA[[#This Row],[D, bottom '[m']]]+#REF!)/(2*#REF!/1000),"")</f>
        <v/>
      </c>
      <c r="P112" s="129" t="s">
        <v>234</v>
      </c>
      <c r="Q112" s="51" t="s">
        <v>90</v>
      </c>
      <c r="R112" s="51" t="s">
        <v>89</v>
      </c>
      <c r="S112" s="51" t="s">
        <v>86</v>
      </c>
      <c r="T112" s="51" t="s">
        <v>218</v>
      </c>
      <c r="U112" s="51" t="s">
        <v>219</v>
      </c>
      <c r="V112" s="51" t="s">
        <v>220</v>
      </c>
      <c r="W112" s="51" t="s">
        <v>222</v>
      </c>
      <c r="X112" s="106" t="s">
        <v>221</v>
      </c>
      <c r="AO112" s="51"/>
      <c r="AP112" s="85" t="s">
        <v>1</v>
      </c>
      <c r="AQ112" s="51" t="s">
        <v>90</v>
      </c>
      <c r="AR112" s="51" t="s">
        <v>89</v>
      </c>
      <c r="AS112" s="51" t="s">
        <v>78</v>
      </c>
      <c r="AT112" s="51" t="s">
        <v>79</v>
      </c>
      <c r="AU112" s="51" t="s">
        <v>80</v>
      </c>
      <c r="AV112" s="90" t="s">
        <v>270</v>
      </c>
      <c r="AW112" s="91" t="s">
        <v>247</v>
      </c>
      <c r="AX112" s="91" t="s">
        <v>84</v>
      </c>
      <c r="AY112" s="92" t="s">
        <v>248</v>
      </c>
      <c r="AZ112" t="str">
        <f>IFERROR((TP_DATA[[#This Row],[D, bottom '[m']]]+#REF!)/(2*#REF!/1000),"")</f>
        <v/>
      </c>
      <c r="BA112" s="129" t="s">
        <v>234</v>
      </c>
      <c r="BB112" s="51" t="s">
        <v>90</v>
      </c>
      <c r="BC112" s="51" t="s">
        <v>89</v>
      </c>
      <c r="BD112" s="51" t="s">
        <v>86</v>
      </c>
      <c r="BE112" s="51" t="s">
        <v>218</v>
      </c>
      <c r="BF112" s="51" t="s">
        <v>219</v>
      </c>
      <c r="BG112" s="51" t="s">
        <v>220</v>
      </c>
      <c r="BH112" s="51" t="s">
        <v>222</v>
      </c>
      <c r="BI112" s="106" t="s">
        <v>221</v>
      </c>
      <c r="CA112" s="51"/>
      <c r="CB112" s="85" t="s">
        <v>1</v>
      </c>
      <c r="CC112" s="51" t="s">
        <v>90</v>
      </c>
      <c r="CD112" s="51" t="s">
        <v>89</v>
      </c>
      <c r="CE112" s="51" t="s">
        <v>78</v>
      </c>
      <c r="CF112" s="51" t="s">
        <v>79</v>
      </c>
      <c r="CG112" s="51" t="s">
        <v>80</v>
      </c>
      <c r="CH112" s="115" t="s">
        <v>270</v>
      </c>
      <c r="CI112" s="91" t="s">
        <v>247</v>
      </c>
      <c r="CJ112" s="91" t="s">
        <v>84</v>
      </c>
      <c r="CK112" s="92" t="s">
        <v>248</v>
      </c>
      <c r="CL112" t="str">
        <f>IFERROR((TOWER_DATA[[#This Row],[D, bottom '[m']]]+#REF!)/(2*#REF!/1000),"")</f>
        <v/>
      </c>
      <c r="CM112" s="105" t="s">
        <v>234</v>
      </c>
      <c r="CN112" s="51" t="s">
        <v>90</v>
      </c>
      <c r="CO112" s="51" t="s">
        <v>89</v>
      </c>
      <c r="CP112" s="51" t="s">
        <v>86</v>
      </c>
      <c r="CQ112" s="51" t="s">
        <v>218</v>
      </c>
      <c r="CR112" s="51" t="s">
        <v>219</v>
      </c>
      <c r="CS112" s="51" t="s">
        <v>220</v>
      </c>
      <c r="CT112" s="51" t="s">
        <v>222</v>
      </c>
      <c r="CU112" s="106" t="s">
        <v>221</v>
      </c>
      <c r="DU112" s="75" t="str">
        <f t="shared" si="3"/>
        <v/>
      </c>
      <c r="DV112" s="75"/>
    </row>
    <row r="113" spans="4:126" ht="18" customHeight="1">
      <c r="D113" s="126"/>
      <c r="E113" s="89">
        <v>1</v>
      </c>
      <c r="F113" s="53">
        <v>5.5</v>
      </c>
      <c r="G113" s="53">
        <v>1.7</v>
      </c>
      <c r="H113" s="53">
        <v>8</v>
      </c>
      <c r="I113" s="53">
        <v>8</v>
      </c>
      <c r="J113" s="52">
        <v>115</v>
      </c>
      <c r="K113" s="53">
        <f>IFERROR(MP_DATA[[#This Row],[Top '[m']]]-MP_DATA[[#This Row],[Bottom '[m']]], "")</f>
        <v>3.8</v>
      </c>
      <c r="L113" s="93">
        <f>IFERROR(-(MP_DATA[[#This Row],[D, bottom '[m']]]-MP_DATA[[#This Row],[D, top '[m']]])/(MP_DATA[[#This Row],[Bottom '[m']]]-MP_DATA[[#This Row],[Top '[m']]]),"")</f>
        <v>0</v>
      </c>
      <c r="M113" s="93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84.977248348428759</v>
      </c>
      <c r="N113" s="94">
        <f>IFERROR((MP_DATA[[#This Row],[D, bottom '[m']]]+MP_DATA[[#This Row],[D, top '[m']]])/(2*MP_DATA[[#This Row],[t '[mm']]]/1000),"")</f>
        <v>69.565217391304344</v>
      </c>
      <c r="P113" s="55" t="s">
        <v>87</v>
      </c>
      <c r="Q113" s="51">
        <v>4.3</v>
      </c>
      <c r="R113" s="51">
        <v>4.3</v>
      </c>
      <c r="S113" s="51">
        <v>14000</v>
      </c>
      <c r="T113" s="51"/>
      <c r="U113" s="51"/>
      <c r="V113" s="51"/>
      <c r="W113" s="51"/>
      <c r="X113" s="106"/>
      <c r="AO113" s="51"/>
      <c r="AP113" s="223">
        <v>1</v>
      </c>
      <c r="AQ113" s="224">
        <v>20.9</v>
      </c>
      <c r="AR113" s="224">
        <v>17.5</v>
      </c>
      <c r="AS113" s="224">
        <v>7.5</v>
      </c>
      <c r="AT113" s="224">
        <v>7.5</v>
      </c>
      <c r="AU113" s="225">
        <v>86</v>
      </c>
      <c r="AV113" s="53">
        <f>IFERROR(TP_DATA[[#This Row],[Top '[m']]]-TP_DATA[[#This Row],[Bottom '[m']]], "")</f>
        <v>3.3999999999999986</v>
      </c>
      <c r="AW113" s="93">
        <f>IFERROR(-(TP_DATA[[#This Row],[D, bottom '[m']]]-TP_DATA[[#This Row],[D, top '[m']]])/(TP_DATA[[#This Row],[Bottom '[m']]]-TP_DATA[[#This Row],[Top '[m']]]),"")</f>
        <v>0</v>
      </c>
      <c r="AX113" s="93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>53.462526608972695</v>
      </c>
      <c r="AY113" s="94">
        <f>IFERROR((TP_DATA[[#This Row],[D, bottom '[m']]]+TP_DATA[[#This Row],[D, top '[m']]])/(2*TP_DATA[[#This Row],[t '[mm']]]/1000),"")</f>
        <v>87.209302325581405</v>
      </c>
      <c r="BA113" s="230" t="s">
        <v>411</v>
      </c>
      <c r="BB113" s="220">
        <v>20.100000000000001</v>
      </c>
      <c r="BC113" s="220">
        <v>20.100000000000001</v>
      </c>
      <c r="BD113" s="220">
        <v>20000</v>
      </c>
      <c r="BE113" s="220"/>
      <c r="BF113" s="220"/>
      <c r="BG113" s="220"/>
      <c r="BH113" s="220"/>
      <c r="BI113" s="229"/>
      <c r="CA113" s="51"/>
      <c r="CB113" s="223">
        <v>1</v>
      </c>
      <c r="CC113" s="224">
        <v>140.49999999999997</v>
      </c>
      <c r="CD113" s="224">
        <v>140.32499999999996</v>
      </c>
      <c r="CE113" s="224">
        <v>5.6159999999999997</v>
      </c>
      <c r="CF113" s="224">
        <v>5.6159999999999997</v>
      </c>
      <c r="CG113" s="225">
        <v>42</v>
      </c>
      <c r="CH113" s="116">
        <f>IFERROR(TOWER_DATA[[#This Row],[Top '[m']]]-TOWER_DATA[[#This Row],[Bottom '[m']]], "")</f>
        <v>0.17500000000001137</v>
      </c>
      <c r="CI113" s="117">
        <f>IFERROR(-(TOWER_DATA[[#This Row],[D, bottom '[m']]]-TOWER_DATA[[#This Row],[D, top '[m']]])/(TOWER_DATA[[#This Row],[Bottom '[m']]]-TOWER_DATA[[#This Row],[Top '[m']]]),"")</f>
        <v>0</v>
      </c>
      <c r="CJ113" s="117">
        <f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>1.0103546228354485</v>
      </c>
      <c r="CK113" s="118">
        <f>IFERROR((TOWER_DATA[[#This Row],[D, bottom '[m']]]+TOWER_DATA[[#This Row],[D, top '[m']]])/(2*TOWER_DATA[[#This Row],[t '[mm']]]/1000),"")</f>
        <v>133.71428571428569</v>
      </c>
      <c r="CM113" s="220" t="s">
        <v>410</v>
      </c>
      <c r="CN113" s="220">
        <v>140.49999999999997</v>
      </c>
      <c r="CO113" s="220">
        <v>140.49999999999997</v>
      </c>
      <c r="CP113" s="220">
        <v>6154</v>
      </c>
      <c r="CQ113" s="220"/>
      <c r="CR113" s="220"/>
      <c r="CS113" s="220"/>
      <c r="CT113" s="220"/>
      <c r="CU113" s="229"/>
      <c r="DU113" s="75" t="str">
        <f t="shared" si="3"/>
        <v/>
      </c>
      <c r="DV113" s="75"/>
    </row>
    <row r="114" spans="4:126" ht="18" customHeight="1">
      <c r="D114" s="126"/>
      <c r="E114" s="89">
        <v>2</v>
      </c>
      <c r="F114" s="53">
        <v>1.7</v>
      </c>
      <c r="G114" s="53">
        <v>-1.8</v>
      </c>
      <c r="H114" s="53">
        <v>8</v>
      </c>
      <c r="I114" s="53">
        <v>8</v>
      </c>
      <c r="J114" s="52">
        <v>114</v>
      </c>
      <c r="K114" s="53">
        <f>IFERROR(MP_DATA[[#This Row],[Top '[m']]]-MP_DATA[[#This Row],[Bottom '[m']]], "")</f>
        <v>3.5</v>
      </c>
      <c r="L114" s="53">
        <f>IFERROR(-(MP_DATA[[#This Row],[D, bottom '[m']]]-MP_DATA[[#This Row],[D, top '[m']]])/(MP_DATA[[#This Row],[Bottom '[m']]]-MP_DATA[[#This Row],[Top '[m']]]),"")</f>
        <v>0</v>
      </c>
      <c r="M114" s="53">
        <f t="shared" ref="M114:M138" si="6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>77.597762344516724</v>
      </c>
      <c r="N114" s="95">
        <f>IFERROR((MP_DATA[[#This Row],[D, bottom '[m']]]+MP_DATA[[#This Row],[D, top '[m']]])/(2*MP_DATA[[#This Row],[t '[mm']]]/1000),"")</f>
        <v>70.175438596491219</v>
      </c>
      <c r="P114" s="55" t="s">
        <v>88</v>
      </c>
      <c r="Q114" s="51">
        <v>0.55000000000000004</v>
      </c>
      <c r="R114" s="51">
        <v>0.55000000000000004</v>
      </c>
      <c r="S114" s="51">
        <v>105000</v>
      </c>
      <c r="T114" s="51"/>
      <c r="U114" s="51"/>
      <c r="V114" s="51"/>
      <c r="W114" s="51"/>
      <c r="X114" s="106"/>
      <c r="AO114" s="51"/>
      <c r="AP114" s="223">
        <v>2</v>
      </c>
      <c r="AQ114" s="224">
        <v>17.5</v>
      </c>
      <c r="AR114" s="224">
        <v>13.5</v>
      </c>
      <c r="AS114" s="224">
        <v>7.5</v>
      </c>
      <c r="AT114" s="224">
        <v>7.5</v>
      </c>
      <c r="AU114" s="225">
        <v>86</v>
      </c>
      <c r="AV114" s="53">
        <f>IFERROR(TP_DATA[[#This Row],[Top '[m']]]-TP_DATA[[#This Row],[Bottom '[m']]], "")</f>
        <v>4</v>
      </c>
      <c r="AW114" s="53">
        <f>IFERROR(-(TP_DATA[[#This Row],[D, bottom '[m']]]-TP_DATA[[#This Row],[D, top '[m']]])/(TP_DATA[[#This Row],[Bottom '[m']]]-TP_DATA[[#This Row],[Top '[m']]]),"")</f>
        <v>0</v>
      </c>
      <c r="AX114" s="53">
        <f t="shared" ref="AX114:AX138" si="7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>62.897090128203196</v>
      </c>
      <c r="AY114" s="95">
        <f>IFERROR((TP_DATA[[#This Row],[D, bottom '[m']]]+TP_DATA[[#This Row],[D, top '[m']]])/(2*TP_DATA[[#This Row],[t '[mm']]]/1000),"")</f>
        <v>87.209302325581405</v>
      </c>
      <c r="BA114" s="230" t="s">
        <v>412</v>
      </c>
      <c r="BB114" s="220">
        <v>19.5</v>
      </c>
      <c r="BC114" s="220">
        <v>19.5</v>
      </c>
      <c r="BD114" s="220">
        <v>5000</v>
      </c>
      <c r="BE114" s="220"/>
      <c r="BF114" s="220"/>
      <c r="BG114" s="220"/>
      <c r="BH114" s="220"/>
      <c r="BI114" s="229"/>
      <c r="CA114" s="51"/>
      <c r="CB114" s="226">
        <v>2</v>
      </c>
      <c r="CC114" s="227">
        <v>140.32499999999996</v>
      </c>
      <c r="CD114" s="227">
        <v>140.27499999999998</v>
      </c>
      <c r="CE114" s="227">
        <v>5.6159999999999997</v>
      </c>
      <c r="CF114" s="227">
        <v>5.609</v>
      </c>
      <c r="CG114" s="228">
        <v>42</v>
      </c>
      <c r="CH114" s="116">
        <f>IFERROR(TOWER_DATA[[#This Row],[Top '[m']]]-TOWER_DATA[[#This Row],[Bottom '[m']]], "")</f>
        <v>4.9999999999982947E-2</v>
      </c>
      <c r="CI114" s="116">
        <f>IFERROR(-(TOWER_DATA[[#This Row],[D, bottom '[m']]]-TOWER_DATA[[#This Row],[D, top '[m']]])/(TOWER_DATA[[#This Row],[Bottom '[m']]]-TOWER_DATA[[#This Row],[Top '[m']]]),"")</f>
        <v>-0.1400000000000412</v>
      </c>
      <c r="CJ114" s="116">
        <f t="shared" ref="CJ114:CJ138" si="8">IF(7850/1000*(1/3)*PI()*ABS(CC114-CD114)*((CE114/2)^2+(CE114/2)*(CF114/2)+(CF114/2)^2-(CE114/2-CG114/1000)^2-(CE114/2-CG114/1000)*(CF114/2-CG114/1000)-(CF114/2-CG114/1000)^2)=0,"",7850/1000*(1/3)*PI()*ABS(CC114-CD114)*((CE114/2)^2+(CE114/2)*(CF114/2)+(CF114/2)^2-(CE114/2-CG114/1000)^2-(CE114/2-CG114/1000)*(CF114/2-CG114/1000)-(CF114/2-CG114/1000)^2))</f>
        <v>0.28849148733930929</v>
      </c>
      <c r="CK114" s="119">
        <f>IFERROR((TOWER_DATA[[#This Row],[D, bottom '[m']]]+TOWER_DATA[[#This Row],[D, top '[m']]])/(2*TOWER_DATA[[#This Row],[t '[mm']]]/1000),"")</f>
        <v>133.63095238095238</v>
      </c>
      <c r="CM114" s="220" t="s">
        <v>410</v>
      </c>
      <c r="CN114" s="220">
        <v>140.32499999999996</v>
      </c>
      <c r="CO114" s="220">
        <v>140.32499999999996</v>
      </c>
      <c r="CP114" s="220">
        <v>5</v>
      </c>
      <c r="CQ114" s="220"/>
      <c r="CR114" s="220"/>
      <c r="CS114" s="220"/>
      <c r="CT114" s="220"/>
      <c r="CU114" s="229"/>
      <c r="DU114" s="75" t="str">
        <f t="shared" si="3"/>
        <v/>
      </c>
      <c r="DV114" s="75"/>
    </row>
    <row r="115" spans="4:126" ht="18" customHeight="1">
      <c r="D115" s="126"/>
      <c r="E115" s="89">
        <v>3</v>
      </c>
      <c r="F115" s="53">
        <v>-1.8</v>
      </c>
      <c r="G115" s="53">
        <v>-5.3</v>
      </c>
      <c r="H115" s="53">
        <v>8</v>
      </c>
      <c r="I115" s="53">
        <v>8</v>
      </c>
      <c r="J115" s="52">
        <v>116</v>
      </c>
      <c r="K115" s="53">
        <f>IFERROR(MP_DATA[[#This Row],[Top '[m']]]-MP_DATA[[#This Row],[Bottom '[m']]], "")</f>
        <v>3.5</v>
      </c>
      <c r="L115" s="53">
        <f>IFERROR(-(MP_DATA[[#This Row],[D, bottom '[m']]]-MP_DATA[[#This Row],[D, top '[m']]])/(MP_DATA[[#This Row],[Bottom '[m']]]-MP_DATA[[#This Row],[Top '[m']]]),"")</f>
        <v>0</v>
      </c>
      <c r="M115" s="53">
        <f t="shared" si="6"/>
        <v>78.939101456282515</v>
      </c>
      <c r="N115" s="95">
        <f>IFERROR((MP_DATA[[#This Row],[D, bottom '[m']]]+MP_DATA[[#This Row],[D, top '[m']]])/(2*MP_DATA[[#This Row],[t '[mm']]]/1000),"")</f>
        <v>68.965517241379303</v>
      </c>
      <c r="P115" s="55"/>
      <c r="Q115" s="51"/>
      <c r="R115" s="51"/>
      <c r="S115" s="51"/>
      <c r="T115" s="51"/>
      <c r="U115" s="51"/>
      <c r="V115" s="51"/>
      <c r="W115" s="51"/>
      <c r="X115" s="106"/>
      <c r="AO115" s="51"/>
      <c r="AP115" s="223">
        <v>3</v>
      </c>
      <c r="AQ115" s="224">
        <v>13.5</v>
      </c>
      <c r="AR115" s="224">
        <v>9.5</v>
      </c>
      <c r="AS115" s="224">
        <v>7.5</v>
      </c>
      <c r="AT115" s="224">
        <v>7.5</v>
      </c>
      <c r="AU115" s="225">
        <v>93</v>
      </c>
      <c r="AV115" s="53">
        <f>IFERROR(TP_DATA[[#This Row],[Top '[m']]]-TP_DATA[[#This Row],[Bottom '[m']]], "")</f>
        <v>4</v>
      </c>
      <c r="AW115" s="53">
        <f>IFERROR(-(TP_DATA[[#This Row],[D, bottom '[m']]]-TP_DATA[[#This Row],[D, top '[m']]])/(TP_DATA[[#This Row],[Bottom '[m']]]-TP_DATA[[#This Row],[Top '[m']]]),"")</f>
        <v>0</v>
      </c>
      <c r="AX115" s="53">
        <f t="shared" si="7"/>
        <v>67.952402167964607</v>
      </c>
      <c r="AY115" s="95">
        <f>IFERROR((TP_DATA[[#This Row],[D, bottom '[m']]]+TP_DATA[[#This Row],[D, top '[m']]])/(2*TP_DATA[[#This Row],[t '[mm']]]/1000),"")</f>
        <v>80.645161290322577</v>
      </c>
      <c r="BA115" s="230" t="s">
        <v>413</v>
      </c>
      <c r="BB115" s="220">
        <v>14</v>
      </c>
      <c r="BC115" s="220">
        <v>14</v>
      </c>
      <c r="BD115" s="220">
        <v>5000</v>
      </c>
      <c r="BE115" s="220"/>
      <c r="BF115" s="220"/>
      <c r="BG115" s="220"/>
      <c r="BH115" s="220"/>
      <c r="BI115" s="229"/>
      <c r="CA115" s="51"/>
      <c r="CB115" s="226">
        <v>3</v>
      </c>
      <c r="CC115" s="227">
        <v>140.27499999999998</v>
      </c>
      <c r="CD115" s="227">
        <v>138.62499999999997</v>
      </c>
      <c r="CE115" s="227">
        <v>5.609</v>
      </c>
      <c r="CF115" s="227">
        <v>5.9039999999999999</v>
      </c>
      <c r="CG115" s="228">
        <v>35</v>
      </c>
      <c r="CH115" s="116">
        <f>IFERROR(TOWER_DATA[[#This Row],[Top '[m']]]-TOWER_DATA[[#This Row],[Bottom '[m']]], "")</f>
        <v>1.6500000000000057</v>
      </c>
      <c r="CI115" s="116">
        <f>IFERROR(-(TOWER_DATA[[#This Row],[D, bottom '[m']]]-TOWER_DATA[[#This Row],[D, top '[m']]])/(TOWER_DATA[[#This Row],[Bottom '[m']]]-TOWER_DATA[[#This Row],[Top '[m']]]),"")</f>
        <v>0.17878787878787814</v>
      </c>
      <c r="CJ115" s="116">
        <f t="shared" si="8"/>
        <v>8.1485703675329084</v>
      </c>
      <c r="CK115" s="119">
        <f>IFERROR((TOWER_DATA[[#This Row],[D, bottom '[m']]]+TOWER_DATA[[#This Row],[D, top '[m']]])/(2*TOWER_DATA[[#This Row],[t '[mm']]]/1000),"")</f>
        <v>164.47142857142856</v>
      </c>
      <c r="CM115" s="220" t="s">
        <v>410</v>
      </c>
      <c r="CN115" s="220">
        <v>140.27499999999998</v>
      </c>
      <c r="CO115" s="220">
        <v>140.27499999999998</v>
      </c>
      <c r="CP115" s="220">
        <v>2</v>
      </c>
      <c r="CQ115" s="220"/>
      <c r="CR115" s="220"/>
      <c r="CS115" s="220"/>
      <c r="CT115" s="220"/>
      <c r="CU115" s="229"/>
      <c r="DU115" s="75" t="str">
        <f t="shared" si="3"/>
        <v/>
      </c>
      <c r="DV115" s="75"/>
    </row>
    <row r="116" spans="4:126" ht="18" customHeight="1">
      <c r="D116" s="126"/>
      <c r="E116" s="89">
        <v>4</v>
      </c>
      <c r="F116" s="53">
        <v>-5.3</v>
      </c>
      <c r="G116" s="53">
        <v>-8.8000000000000007</v>
      </c>
      <c r="H116" s="53">
        <v>8</v>
      </c>
      <c r="I116" s="53">
        <v>8.36</v>
      </c>
      <c r="J116" s="52">
        <v>118</v>
      </c>
      <c r="K116" s="53">
        <f>IFERROR(MP_DATA[[#This Row],[Top '[m']]]-MP_DATA[[#This Row],[Bottom '[m']]], "")</f>
        <v>3.5000000000000009</v>
      </c>
      <c r="L116" s="53">
        <f>IFERROR(-(MP_DATA[[#This Row],[D, bottom '[m']]]-MP_DATA[[#This Row],[D, top '[m']]])/(MP_DATA[[#This Row],[Bottom '[m']]]-MP_DATA[[#This Row],[Top '[m']]]),"")</f>
        <v>0.10285714285714267</v>
      </c>
      <c r="M116" s="53">
        <f t="shared" si="6"/>
        <v>82.113086129245573</v>
      </c>
      <c r="N116" s="95">
        <f>IFERROR((MP_DATA[[#This Row],[D, bottom '[m']]]+MP_DATA[[#This Row],[D, top '[m']]])/(2*MP_DATA[[#This Row],[t '[mm']]]/1000),"")</f>
        <v>69.322033898305079</v>
      </c>
      <c r="P116" s="51"/>
      <c r="Q116" s="51"/>
      <c r="R116" s="51"/>
      <c r="S116" s="51"/>
      <c r="T116" s="51"/>
      <c r="U116" s="51"/>
      <c r="V116" s="51"/>
      <c r="W116" s="51"/>
      <c r="X116" s="106"/>
      <c r="AO116" s="51"/>
      <c r="AP116" s="223">
        <v>4</v>
      </c>
      <c r="AQ116" s="224">
        <v>9.5</v>
      </c>
      <c r="AR116" s="224">
        <v>5.6</v>
      </c>
      <c r="AS116" s="224">
        <v>7.5</v>
      </c>
      <c r="AT116" s="224">
        <v>7.5</v>
      </c>
      <c r="AU116" s="225">
        <v>100</v>
      </c>
      <c r="AV116" s="53">
        <f>IFERROR(TP_DATA[[#This Row],[Top '[m']]]-TP_DATA[[#This Row],[Bottom '[m']]], "")</f>
        <v>3.9000000000000004</v>
      </c>
      <c r="AW116" s="53">
        <f>IFERROR(-(TP_DATA[[#This Row],[D, bottom '[m']]]-TP_DATA[[#This Row],[D, top '[m']]])/(TP_DATA[[#This Row],[Bottom '[m']]]-TP_DATA[[#This Row],[Top '[m']]]),"")</f>
        <v>0</v>
      </c>
      <c r="AX116" s="53">
        <f t="shared" si="7"/>
        <v>71.173095726342197</v>
      </c>
      <c r="AY116" s="95">
        <f>IFERROR((TP_DATA[[#This Row],[D, bottom '[m']]]+TP_DATA[[#This Row],[D, top '[m']]])/(2*TP_DATA[[#This Row],[t '[mm']]]/1000),"")</f>
        <v>75</v>
      </c>
      <c r="BA116" s="230" t="s">
        <v>414</v>
      </c>
      <c r="BB116" s="220">
        <v>11</v>
      </c>
      <c r="BC116" s="220">
        <v>11</v>
      </c>
      <c r="BD116" s="220">
        <v>1</v>
      </c>
      <c r="BE116" s="220"/>
      <c r="BF116" s="220"/>
      <c r="BG116" s="220"/>
      <c r="BH116" s="220"/>
      <c r="BI116" s="229"/>
      <c r="CA116" s="51"/>
      <c r="CB116" s="226">
        <v>4</v>
      </c>
      <c r="CC116" s="227">
        <v>138.62499999999997</v>
      </c>
      <c r="CD116" s="227">
        <v>136.97499999999997</v>
      </c>
      <c r="CE116" s="227">
        <v>5.9039999999999999</v>
      </c>
      <c r="CF116" s="227">
        <v>6.258</v>
      </c>
      <c r="CG116" s="228">
        <v>40</v>
      </c>
      <c r="CH116" s="116">
        <f>IFERROR(TOWER_DATA[[#This Row],[Top '[m']]]-TOWER_DATA[[#This Row],[Bottom '[m']]], "")</f>
        <v>1.6500000000000057</v>
      </c>
      <c r="CI116" s="116">
        <f>IFERROR(-(TOWER_DATA[[#This Row],[D, bottom '[m']]]-TOWER_DATA[[#This Row],[D, top '[m']]])/(TOWER_DATA[[#This Row],[Bottom '[m']]]-TOWER_DATA[[#This Row],[Top '[m']]]),"")</f>
        <v>0.21454545454545387</v>
      </c>
      <c r="CJ116" s="116">
        <f t="shared" si="8"/>
        <v>9.8326889482561182</v>
      </c>
      <c r="CK116" s="119">
        <f>IFERROR((TOWER_DATA[[#This Row],[D, bottom '[m']]]+TOWER_DATA[[#This Row],[D, top '[m']]])/(2*TOWER_DATA[[#This Row],[t '[mm']]]/1000),"")</f>
        <v>152.02499999999998</v>
      </c>
      <c r="CM116" s="220" t="s">
        <v>410</v>
      </c>
      <c r="CN116" s="220">
        <v>138.23499999999999</v>
      </c>
      <c r="CO116" s="220">
        <v>138.23499999999999</v>
      </c>
      <c r="CP116" s="220">
        <v>1981</v>
      </c>
      <c r="CQ116" s="220"/>
      <c r="CR116" s="220"/>
      <c r="CS116" s="220"/>
      <c r="CT116" s="220"/>
      <c r="CU116" s="229"/>
      <c r="DU116" s="75" t="str">
        <f t="shared" si="3"/>
        <v/>
      </c>
      <c r="DV116" s="75"/>
    </row>
    <row r="117" spans="4:126" ht="18" customHeight="1">
      <c r="D117" s="126"/>
      <c r="E117" s="89">
        <v>5</v>
      </c>
      <c r="F117" s="53">
        <v>-8.8000000000000007</v>
      </c>
      <c r="G117" s="53">
        <v>-12.3</v>
      </c>
      <c r="H117" s="53">
        <v>8.36</v>
      </c>
      <c r="I117" s="53">
        <v>8.7200000000000006</v>
      </c>
      <c r="J117" s="52">
        <v>108</v>
      </c>
      <c r="K117" s="53">
        <f>IFERROR(MP_DATA[[#This Row],[Top '[m']]]-MP_DATA[[#This Row],[Bottom '[m']]], "")</f>
        <v>3.5</v>
      </c>
      <c r="L117" s="53">
        <f>IFERROR(-(MP_DATA[[#This Row],[D, bottom '[m']]]-MP_DATA[[#This Row],[D, top '[m']]])/(MP_DATA[[#This Row],[Bottom '[m']]]-MP_DATA[[#This Row],[Top '[m']]]),"")</f>
        <v>0.1028571428571432</v>
      </c>
      <c r="M117" s="53">
        <f t="shared" si="6"/>
        <v>78.603507732566385</v>
      </c>
      <c r="N117" s="95">
        <f>IFERROR((MP_DATA[[#This Row],[D, bottom '[m']]]+MP_DATA[[#This Row],[D, top '[m']]])/(2*MP_DATA[[#This Row],[t '[mm']]]/1000),"")</f>
        <v>79.074074074074062</v>
      </c>
      <c r="P117" s="51"/>
      <c r="Q117" s="51"/>
      <c r="R117" s="51"/>
      <c r="S117" s="51"/>
      <c r="T117" s="51"/>
      <c r="U117" s="51"/>
      <c r="V117" s="51"/>
      <c r="W117" s="51"/>
      <c r="X117" s="106"/>
      <c r="AO117" s="51"/>
      <c r="AP117" s="108"/>
      <c r="AQ117" s="109"/>
      <c r="AR117" s="109"/>
      <c r="AS117" s="109"/>
      <c r="AT117" s="109"/>
      <c r="AU117" s="110"/>
      <c r="AV117" s="53" t="str">
        <f>IFERROR(TP_DATA[[#This Row],[Top '[m']]]-TP_DATA[[#This Row],[Bottom '[m']]], "")</f>
        <v/>
      </c>
      <c r="AW117" s="53" t="str">
        <f>IFERROR(-(TP_DATA[[#This Row],[D, bottom '[m']]]-TP_DATA[[#This Row],[D, top '[m']]])/(TP_DATA[[#This Row],[Bottom '[m']]]-TP_DATA[[#This Row],[Top '[m']]]),"")</f>
        <v/>
      </c>
      <c r="AX117" s="53" t="str">
        <f t="shared" si="7"/>
        <v/>
      </c>
      <c r="AY117" s="95" t="str">
        <f>IFERROR((TP_DATA[[#This Row],[D, bottom '[m']]]+TP_DATA[[#This Row],[D, top '[m']]])/(2*TP_DATA[[#This Row],[t '[mm']]]/1000),"")</f>
        <v/>
      </c>
      <c r="BA117" s="230" t="s">
        <v>415</v>
      </c>
      <c r="BB117" s="220">
        <v>6.1</v>
      </c>
      <c r="BC117" s="220">
        <v>6.1</v>
      </c>
      <c r="BD117" s="220">
        <v>200</v>
      </c>
      <c r="BE117" s="220"/>
      <c r="BF117" s="220"/>
      <c r="BG117" s="220"/>
      <c r="BH117" s="220"/>
      <c r="BI117" s="229"/>
      <c r="CA117" s="51"/>
      <c r="CB117" s="226">
        <v>5</v>
      </c>
      <c r="CC117" s="227">
        <v>136.97499999999997</v>
      </c>
      <c r="CD117" s="227">
        <v>136.38899999999998</v>
      </c>
      <c r="CE117" s="227">
        <v>6.258</v>
      </c>
      <c r="CF117" s="227">
        <v>6.258</v>
      </c>
      <c r="CG117" s="228">
        <v>58</v>
      </c>
      <c r="CH117" s="116">
        <f>IFERROR(TOWER_DATA[[#This Row],[Top '[m']]]-TOWER_DATA[[#This Row],[Bottom '[m']]], "")</f>
        <v>0.58599999999998431</v>
      </c>
      <c r="CI117" s="116">
        <f>IFERROR(-(TOWER_DATA[[#This Row],[D, bottom '[m']]]-TOWER_DATA[[#This Row],[D, top '[m']]])/(TOWER_DATA[[#This Row],[Bottom '[m']]]-TOWER_DATA[[#This Row],[Top '[m']]]),"")</f>
        <v>0</v>
      </c>
      <c r="CJ117" s="116">
        <f t="shared" si="8"/>
        <v>5.1968098755337806</v>
      </c>
      <c r="CK117" s="119">
        <f>IFERROR((TOWER_DATA[[#This Row],[D, bottom '[m']]]+TOWER_DATA[[#This Row],[D, top '[m']]])/(2*TOWER_DATA[[#This Row],[t '[mm']]]/1000),"")</f>
        <v>107.89655172413792</v>
      </c>
      <c r="CM117" s="220" t="s">
        <v>410</v>
      </c>
      <c r="CN117" s="220">
        <v>136.58499999999998</v>
      </c>
      <c r="CO117" s="220">
        <v>136.58499999999998</v>
      </c>
      <c r="CP117" s="220">
        <v>82</v>
      </c>
      <c r="CQ117" s="220"/>
      <c r="CR117" s="220"/>
      <c r="CS117" s="220"/>
      <c r="CT117" s="220"/>
      <c r="CU117" s="229"/>
      <c r="DU117" s="75" t="str">
        <f t="shared" si="3"/>
        <v/>
      </c>
      <c r="DV117" s="75"/>
    </row>
    <row r="118" spans="4:126" ht="18" customHeight="1">
      <c r="D118" s="126"/>
      <c r="E118" s="89">
        <v>6</v>
      </c>
      <c r="F118" s="53">
        <v>-12.3</v>
      </c>
      <c r="G118" s="53">
        <v>-15.8</v>
      </c>
      <c r="H118" s="53">
        <v>8.7200000000000006</v>
      </c>
      <c r="I118" s="53">
        <v>9.08</v>
      </c>
      <c r="J118" s="52">
        <v>100</v>
      </c>
      <c r="K118" s="53">
        <f>IFERROR(MP_DATA[[#This Row],[Top '[m']]]-MP_DATA[[#This Row],[Bottom '[m']]], "")</f>
        <v>3.5</v>
      </c>
      <c r="L118" s="53">
        <f>IFERROR(-(MP_DATA[[#This Row],[D, bottom '[m']]]-MP_DATA[[#This Row],[D, top '[m']]])/(MP_DATA[[#This Row],[Bottom '[m']]]-MP_DATA[[#This Row],[Top '[m']]]),"")</f>
        <v>0.10285714285714269</v>
      </c>
      <c r="M118" s="53">
        <f t="shared" si="6"/>
        <v>75.957427178493617</v>
      </c>
      <c r="N118" s="95">
        <f>IFERROR((MP_DATA[[#This Row],[D, bottom '[m']]]+MP_DATA[[#This Row],[D, top '[m']]])/(2*MP_DATA[[#This Row],[t '[mm']]]/1000),"")</f>
        <v>89</v>
      </c>
      <c r="P118" s="51"/>
      <c r="Q118" s="51"/>
      <c r="R118" s="51"/>
      <c r="S118" s="51"/>
      <c r="T118" s="51"/>
      <c r="U118" s="51"/>
      <c r="V118" s="51"/>
      <c r="W118" s="51"/>
      <c r="X118" s="106"/>
      <c r="AO118" s="51"/>
      <c r="AP118" s="108"/>
      <c r="AQ118" s="109"/>
      <c r="AR118" s="109"/>
      <c r="AS118" s="109"/>
      <c r="AT118" s="109"/>
      <c r="AU118" s="110"/>
      <c r="AV118" s="53" t="str">
        <f>IFERROR(TP_DATA[[#This Row],[Top '[m']]]-TP_DATA[[#This Row],[Bottom '[m']]], "")</f>
        <v/>
      </c>
      <c r="AW118" s="53" t="str">
        <f>IFERROR(-(TP_DATA[[#This Row],[D, bottom '[m']]]-TP_DATA[[#This Row],[D, top '[m']]])/(TP_DATA[[#This Row],[Bottom '[m']]]-TP_DATA[[#This Row],[Top '[m']]]),"")</f>
        <v/>
      </c>
      <c r="AX118" s="53" t="str">
        <f t="shared" si="7"/>
        <v/>
      </c>
      <c r="AY118" s="95" t="str">
        <f>IFERROR((TP_DATA[[#This Row],[D, bottom '[m']]]+TP_DATA[[#This Row],[D, top '[m']]])/(2*TP_DATA[[#This Row],[t '[mm']]]/1000),"")</f>
        <v/>
      </c>
      <c r="BA118" s="230" t="s">
        <v>416</v>
      </c>
      <c r="BB118" s="220">
        <v>5.6</v>
      </c>
      <c r="BC118" s="220">
        <v>5.6</v>
      </c>
      <c r="BD118" s="220">
        <v>60000</v>
      </c>
      <c r="BE118" s="220"/>
      <c r="BF118" s="220"/>
      <c r="BG118" s="220"/>
      <c r="BH118" s="220"/>
      <c r="BI118" s="229"/>
      <c r="CA118" s="51"/>
      <c r="CB118" s="226">
        <v>6</v>
      </c>
      <c r="CC118" s="227">
        <v>136.38899999999998</v>
      </c>
      <c r="CD118" s="227">
        <v>135.29999999999998</v>
      </c>
      <c r="CE118" s="227">
        <v>6.258</v>
      </c>
      <c r="CF118" s="227">
        <v>6.258</v>
      </c>
      <c r="CG118" s="228">
        <v>58</v>
      </c>
      <c r="CH118" s="116">
        <f>IFERROR(TOWER_DATA[[#This Row],[Top '[m']]]-TOWER_DATA[[#This Row],[Bottom '[m']]], "")</f>
        <v>1.0889999999999986</v>
      </c>
      <c r="CI118" s="116">
        <f>IFERROR(-(TOWER_DATA[[#This Row],[D, bottom '[m']]]-TOWER_DATA[[#This Row],[D, top '[m']]])/(TOWER_DATA[[#This Row],[Bottom '[m']]]-TOWER_DATA[[#This Row],[Top '[m']]]),"")</f>
        <v>0</v>
      </c>
      <c r="CJ118" s="116">
        <f t="shared" si="8"/>
        <v>9.6575528233044903</v>
      </c>
      <c r="CK118" s="119">
        <f>IFERROR((TOWER_DATA[[#This Row],[D, bottom '[m']]]+TOWER_DATA[[#This Row],[D, top '[m']]])/(2*TOWER_DATA[[#This Row],[t '[mm']]]/1000),"")</f>
        <v>107.89655172413792</v>
      </c>
      <c r="CM118" s="220" t="s">
        <v>410</v>
      </c>
      <c r="CN118" s="220">
        <v>135.999</v>
      </c>
      <c r="CO118" s="220">
        <v>135.999</v>
      </c>
      <c r="CP118" s="220">
        <v>88</v>
      </c>
      <c r="CQ118" s="220"/>
      <c r="CR118" s="220"/>
      <c r="CS118" s="220"/>
      <c r="CT118" s="220"/>
      <c r="CU118" s="229"/>
      <c r="DU118" s="75" t="str">
        <f t="shared" si="3"/>
        <v/>
      </c>
      <c r="DV118" s="75"/>
    </row>
    <row r="119" spans="4:126" ht="18" customHeight="1">
      <c r="D119" s="126"/>
      <c r="E119" s="89">
        <v>7</v>
      </c>
      <c r="F119" s="53">
        <v>-15.8</v>
      </c>
      <c r="G119" s="53">
        <v>-19.3</v>
      </c>
      <c r="H119" s="53">
        <v>9.08</v>
      </c>
      <c r="I119" s="53">
        <v>9.44</v>
      </c>
      <c r="J119" s="52">
        <v>94</v>
      </c>
      <c r="K119" s="53">
        <f>IFERROR(MP_DATA[[#This Row],[Top '[m']]]-MP_DATA[[#This Row],[Bottom '[m']]], "")</f>
        <v>3.5</v>
      </c>
      <c r="L119" s="53">
        <f>IFERROR(-(MP_DATA[[#This Row],[D, bottom '[m']]]-MP_DATA[[#This Row],[D, top '[m']]])/(MP_DATA[[#This Row],[Bottom '[m']]]-MP_DATA[[#This Row],[Top '[m']]]),"")</f>
        <v>0.10285714285714269</v>
      </c>
      <c r="M119" s="53">
        <f t="shared" si="6"/>
        <v>74.36957168943114</v>
      </c>
      <c r="N119" s="95">
        <f>IFERROR((MP_DATA[[#This Row],[D, bottom '[m']]]+MP_DATA[[#This Row],[D, top '[m']]])/(2*MP_DATA[[#This Row],[t '[mm']]]/1000),"")</f>
        <v>98.510638297872333</v>
      </c>
      <c r="AP119" s="108"/>
      <c r="AQ119" s="109"/>
      <c r="AR119" s="109"/>
      <c r="AS119" s="109"/>
      <c r="AT119" s="109"/>
      <c r="AU119" s="110"/>
      <c r="AV119" s="53" t="str">
        <f>IFERROR(TP_DATA[[#This Row],[Top '[m']]]-TP_DATA[[#This Row],[Bottom '[m']]], "")</f>
        <v/>
      </c>
      <c r="AW119" s="53" t="str">
        <f>IFERROR(-(TP_DATA[[#This Row],[D, bottom '[m']]]-TP_DATA[[#This Row],[D, top '[m']]])/(TP_DATA[[#This Row],[Bottom '[m']]]-TP_DATA[[#This Row],[Top '[m']]]),"")</f>
        <v/>
      </c>
      <c r="AX119" s="53" t="str">
        <f t="shared" si="7"/>
        <v/>
      </c>
      <c r="AY119" s="95" t="str">
        <f>IFERROR((TP_DATA[[#This Row],[D, bottom '[m']]]+TP_DATA[[#This Row],[D, top '[m']]])/(2*TP_DATA[[#This Row],[t '[mm']]]/1000),"")</f>
        <v/>
      </c>
      <c r="BA119" s="230" t="s">
        <v>417</v>
      </c>
      <c r="BB119" s="220">
        <v>20.900000000000002</v>
      </c>
      <c r="BC119" s="220">
        <v>20.900000000000002</v>
      </c>
      <c r="BD119" s="220">
        <v>28000</v>
      </c>
      <c r="BE119" s="220"/>
      <c r="BF119" s="220"/>
      <c r="BG119" s="220"/>
      <c r="BH119" s="220"/>
      <c r="BI119" s="229"/>
      <c r="CB119" s="226">
        <v>7</v>
      </c>
      <c r="CC119" s="227">
        <v>135.29999999999998</v>
      </c>
      <c r="CD119" s="227">
        <v>133.47499999999997</v>
      </c>
      <c r="CE119" s="227">
        <v>6.258</v>
      </c>
      <c r="CF119" s="227">
        <v>6.2229999999999999</v>
      </c>
      <c r="CG119" s="228">
        <v>58</v>
      </c>
      <c r="CH119" s="116">
        <f>IFERROR(TOWER_DATA[[#This Row],[Top '[m']]]-TOWER_DATA[[#This Row],[Bottom '[m']]], "")</f>
        <v>1.8250000000000171</v>
      </c>
      <c r="CI119" s="116">
        <f>IFERROR(-(TOWER_DATA[[#This Row],[D, bottom '[m']]]-TOWER_DATA[[#This Row],[D, top '[m']]])/(TOWER_DATA[[#This Row],[Bottom '[m']]]-TOWER_DATA[[#This Row],[Top '[m']]]),"")</f>
        <v>-1.9178082191780719E-2</v>
      </c>
      <c r="CJ119" s="116">
        <f t="shared" si="8"/>
        <v>16.138921784175626</v>
      </c>
      <c r="CK119" s="119">
        <f>IFERROR((TOWER_DATA[[#This Row],[D, bottom '[m']]]+TOWER_DATA[[#This Row],[D, top '[m']]])/(2*TOWER_DATA[[#This Row],[t '[mm']]]/1000),"")</f>
        <v>107.59482758620689</v>
      </c>
      <c r="CM119" s="220" t="s">
        <v>410</v>
      </c>
      <c r="CN119" s="220">
        <v>134.91</v>
      </c>
      <c r="CO119" s="220">
        <v>134.91</v>
      </c>
      <c r="CP119" s="220">
        <v>41600</v>
      </c>
      <c r="CQ119" s="220"/>
      <c r="CR119" s="220"/>
      <c r="CS119" s="220"/>
      <c r="CT119" s="220"/>
      <c r="CU119" s="229"/>
      <c r="DU119" s="75" t="str">
        <f t="shared" si="3"/>
        <v/>
      </c>
      <c r="DV119" s="75"/>
    </row>
    <row r="120" spans="4:126" ht="18" customHeight="1">
      <c r="D120" s="126"/>
      <c r="E120" s="89">
        <v>8</v>
      </c>
      <c r="F120" s="53">
        <v>-19.3</v>
      </c>
      <c r="G120" s="53">
        <v>-22.8</v>
      </c>
      <c r="H120" s="53">
        <v>9.44</v>
      </c>
      <c r="I120" s="53">
        <v>9.8000000000000007</v>
      </c>
      <c r="J120" s="52">
        <v>93</v>
      </c>
      <c r="K120" s="53">
        <f>IFERROR(MP_DATA[[#This Row],[Top '[m']]]-MP_DATA[[#This Row],[Bottom '[m']]], "")</f>
        <v>3.5</v>
      </c>
      <c r="L120" s="53">
        <f>IFERROR(-(MP_DATA[[#This Row],[D, bottom '[m']]]-MP_DATA[[#This Row],[D, top '[m']]])/(MP_DATA[[#This Row],[Bottom '[m']]]-MP_DATA[[#This Row],[Top '[m']]]),"")</f>
        <v>0.1028571428571432</v>
      </c>
      <c r="M120" s="53">
        <f t="shared" si="6"/>
        <v>76.476268195278408</v>
      </c>
      <c r="N120" s="95">
        <f>IFERROR((MP_DATA[[#This Row],[D, bottom '[m']]]+MP_DATA[[#This Row],[D, top '[m']]])/(2*MP_DATA[[#This Row],[t '[mm']]]/1000),"")</f>
        <v>103.44086021505377</v>
      </c>
      <c r="AV120" s="53" t="str">
        <f>IFERROR(TP_DATA[[#This Row],[Top '[m']]]-TP_DATA[[#This Row],[Bottom '[m']]], "")</f>
        <v/>
      </c>
      <c r="AW120" s="53" t="str">
        <f>IFERROR(-(TP_DATA[[#This Row],[D, bottom '[m']]]-TP_DATA[[#This Row],[D, top '[m']]])/(TP_DATA[[#This Row],[Bottom '[m']]]-TP_DATA[[#This Row],[Top '[m']]]),"")</f>
        <v/>
      </c>
      <c r="AX120" s="53" t="str">
        <f t="shared" si="7"/>
        <v/>
      </c>
      <c r="AY120" s="95" t="str">
        <f>IFERROR((TP_DATA[[#This Row],[D, bottom '[m']]]+TP_DATA[[#This Row],[D, top '[m']]])/(2*TP_DATA[[#This Row],[t '[mm']]]/1000),"")</f>
        <v/>
      </c>
      <c r="BA120" s="230"/>
      <c r="BB120" s="220"/>
      <c r="BC120" s="220"/>
      <c r="BD120" s="220"/>
      <c r="BE120" s="220"/>
      <c r="BF120" s="220"/>
      <c r="BG120" s="220"/>
      <c r="BH120" s="220"/>
      <c r="BI120" s="229"/>
      <c r="CB120" s="226">
        <v>8</v>
      </c>
      <c r="CC120" s="227">
        <v>133.47499999999997</v>
      </c>
      <c r="CD120" s="227">
        <v>131.23999999999998</v>
      </c>
      <c r="CE120" s="227">
        <v>6.2229999999999999</v>
      </c>
      <c r="CF120" s="227">
        <v>6.2229999999999999</v>
      </c>
      <c r="CG120" s="228">
        <v>23</v>
      </c>
      <c r="CH120" s="116">
        <f>IFERROR(TOWER_DATA[[#This Row],[Top '[m']]]-TOWER_DATA[[#This Row],[Bottom '[m']]], "")</f>
        <v>2.2349999999999852</v>
      </c>
      <c r="CI120" s="116">
        <f>IFERROR(-(TOWER_DATA[[#This Row],[D, bottom '[m']]]-TOWER_DATA[[#This Row],[D, top '[m']]])/(TOWER_DATA[[#This Row],[Bottom '[m']]]-TOWER_DATA[[#This Row],[Top '[m']]]),"")</f>
        <v>0</v>
      </c>
      <c r="CJ120" s="116">
        <f t="shared" si="8"/>
        <v>7.8598920693133492</v>
      </c>
      <c r="CK120" s="119">
        <f>IFERROR((TOWER_DATA[[#This Row],[D, bottom '[m']]]+TOWER_DATA[[#This Row],[D, top '[m']]])/(2*TOWER_DATA[[#This Row],[t '[mm']]]/1000),"")</f>
        <v>270.56521739130437</v>
      </c>
      <c r="CM120" s="220" t="s">
        <v>410</v>
      </c>
      <c r="CN120" s="220">
        <v>133.08499999999998</v>
      </c>
      <c r="CO120" s="220">
        <v>133.08499999999998</v>
      </c>
      <c r="CP120" s="220">
        <v>88</v>
      </c>
      <c r="CQ120" s="220"/>
      <c r="CR120" s="220"/>
      <c r="CS120" s="220"/>
      <c r="CT120" s="220"/>
      <c r="CU120" s="229"/>
      <c r="DU120" s="75" t="str">
        <f t="shared" si="3"/>
        <v/>
      </c>
      <c r="DV120" s="75"/>
    </row>
    <row r="121" spans="4:126" ht="18" customHeight="1">
      <c r="D121" s="126"/>
      <c r="E121" s="108">
        <v>9</v>
      </c>
      <c r="F121" s="109">
        <v>-22.8</v>
      </c>
      <c r="G121" s="109">
        <v>-26.7</v>
      </c>
      <c r="H121" s="109">
        <v>9.8000000000000007</v>
      </c>
      <c r="I121" s="109">
        <v>9.8000000000000007</v>
      </c>
      <c r="J121" s="110">
        <v>93</v>
      </c>
      <c r="K121" s="53">
        <f>IFERROR(MP_DATA[[#This Row],[Top '[m']]]-MP_DATA[[#This Row],[Bottom '[m']]], "")</f>
        <v>3.8999999999999986</v>
      </c>
      <c r="L121" s="53">
        <f>IFERROR(-(MP_DATA[[#This Row],[D, bottom '[m']]]-MP_DATA[[#This Row],[D, top '[m']]])/(MP_DATA[[#This Row],[Bottom '[m']]]-MP_DATA[[#This Row],[Top '[m']]]),"")</f>
        <v>0</v>
      </c>
      <c r="M121" s="53">
        <f t="shared" si="6"/>
        <v>86.826463973042152</v>
      </c>
      <c r="N121" s="95">
        <f>IFERROR((MP_DATA[[#This Row],[D, bottom '[m']]]+MP_DATA[[#This Row],[D, top '[m']]])/(2*MP_DATA[[#This Row],[t '[mm']]]/1000),"")</f>
        <v>105.37634408602152</v>
      </c>
      <c r="AP121" s="108"/>
      <c r="AQ121" s="109"/>
      <c r="AR121" s="109"/>
      <c r="AS121" s="109"/>
      <c r="AT121" s="109"/>
      <c r="AU121" s="110"/>
      <c r="AV121" s="53" t="str">
        <f>IFERROR(TP_DATA[[#This Row],[Top '[m']]]-TP_DATA[[#This Row],[Bottom '[m']]], "")</f>
        <v/>
      </c>
      <c r="AW121" s="53" t="str">
        <f>IFERROR(-(TP_DATA[[#This Row],[D, bottom '[m']]]-TP_DATA[[#This Row],[D, top '[m']]])/(TP_DATA[[#This Row],[Bottom '[m']]]-TP_DATA[[#This Row],[Top '[m']]]),"")</f>
        <v/>
      </c>
      <c r="AX121" s="53" t="str">
        <f t="shared" si="7"/>
        <v/>
      </c>
      <c r="AY121" s="95" t="str">
        <f>IFERROR((TP_DATA[[#This Row],[D, bottom '[m']]]+TP_DATA[[#This Row],[D, top '[m']]])/(2*TP_DATA[[#This Row],[t '[mm']]]/1000),"")</f>
        <v/>
      </c>
      <c r="BA121" s="230"/>
      <c r="BB121" s="220"/>
      <c r="BC121" s="220"/>
      <c r="BD121" s="220"/>
      <c r="BE121" s="220"/>
      <c r="BF121" s="220"/>
      <c r="BG121" s="220"/>
      <c r="BH121" s="220"/>
      <c r="BI121" s="229"/>
      <c r="CB121" s="226">
        <v>9</v>
      </c>
      <c r="CC121" s="227">
        <v>131.23999999999998</v>
      </c>
      <c r="CD121" s="227">
        <v>130.89999999999998</v>
      </c>
      <c r="CE121" s="227">
        <v>6.2229999999999999</v>
      </c>
      <c r="CF121" s="227">
        <v>6.2229999999999999</v>
      </c>
      <c r="CG121" s="228">
        <v>23</v>
      </c>
      <c r="CH121" s="116">
        <f>IFERROR(TOWER_DATA[[#This Row],[Top '[m']]]-TOWER_DATA[[#This Row],[Bottom '[m']]], "")</f>
        <v>0.34000000000000341</v>
      </c>
      <c r="CI121" s="116">
        <f>IFERROR(-(TOWER_DATA[[#This Row],[D, bottom '[m']]]-TOWER_DATA[[#This Row],[D, top '[m']]])/(TOWER_DATA[[#This Row],[Bottom '[m']]]-TOWER_DATA[[#This Row],[Top '[m']]]),"")</f>
        <v>0</v>
      </c>
      <c r="CJ121" s="116">
        <f t="shared" si="8"/>
        <v>1.1956882790007084</v>
      </c>
      <c r="CK121" s="119">
        <f>IFERROR((TOWER_DATA[[#This Row],[D, bottom '[m']]]+TOWER_DATA[[#This Row],[D, top '[m']]])/(2*TOWER_DATA[[#This Row],[t '[mm']]]/1000),"")</f>
        <v>270.56521739130437</v>
      </c>
      <c r="CM121" s="220" t="s">
        <v>410</v>
      </c>
      <c r="CN121" s="220">
        <v>131.23999999999998</v>
      </c>
      <c r="CO121" s="220">
        <v>131.23999999999998</v>
      </c>
      <c r="CP121" s="220">
        <v>92</v>
      </c>
      <c r="CQ121" s="220"/>
      <c r="CR121" s="220"/>
      <c r="CS121" s="220"/>
      <c r="CT121" s="220"/>
      <c r="CU121" s="229"/>
      <c r="DU121" s="75" t="str">
        <f t="shared" si="3"/>
        <v/>
      </c>
      <c r="DV121" s="75"/>
    </row>
    <row r="122" spans="4:126" ht="18" customHeight="1">
      <c r="D122" s="126"/>
      <c r="E122" s="108">
        <v>10</v>
      </c>
      <c r="F122" s="109">
        <v>-26.7</v>
      </c>
      <c r="G122" s="109">
        <v>-30.6</v>
      </c>
      <c r="H122" s="109">
        <v>9.8000000000000007</v>
      </c>
      <c r="I122" s="109">
        <v>9.8000000000000007</v>
      </c>
      <c r="J122" s="110">
        <v>102</v>
      </c>
      <c r="K122" s="53">
        <f>IFERROR(MP_DATA[[#This Row],[Top '[m']]]-MP_DATA[[#This Row],[Bottom '[m']]], "")</f>
        <v>3.9000000000000021</v>
      </c>
      <c r="L122" s="53">
        <f>IFERROR(-(MP_DATA[[#This Row],[D, bottom '[m']]]-MP_DATA[[#This Row],[D, top '[m']]])/(MP_DATA[[#This Row],[Bottom '[m']]]-MP_DATA[[#This Row],[Top '[m']]]),"")</f>
        <v>0</v>
      </c>
      <c r="M122" s="53">
        <f t="shared" si="6"/>
        <v>95.140731892047384</v>
      </c>
      <c r="N122" s="95">
        <f>IFERROR((MP_DATA[[#This Row],[D, bottom '[m']]]+MP_DATA[[#This Row],[D, top '[m']]])/(2*MP_DATA[[#This Row],[t '[mm']]]/1000),"")</f>
        <v>96.078431372549034</v>
      </c>
      <c r="AP122" s="108"/>
      <c r="AQ122" s="109"/>
      <c r="AR122" s="109"/>
      <c r="AS122" s="109"/>
      <c r="AT122" s="109"/>
      <c r="AU122" s="110"/>
      <c r="AV122" s="53" t="str">
        <f>IFERROR(TP_DATA[[#This Row],[Top '[m']]]-TP_DATA[[#This Row],[Bottom '[m']]], "")</f>
        <v/>
      </c>
      <c r="AW122" s="53" t="str">
        <f>IFERROR(-(TP_DATA[[#This Row],[D, bottom '[m']]]-TP_DATA[[#This Row],[D, top '[m']]])/(TP_DATA[[#This Row],[Bottom '[m']]]-TP_DATA[[#This Row],[Top '[m']]]),"")</f>
        <v/>
      </c>
      <c r="AX122" s="53" t="str">
        <f t="shared" si="7"/>
        <v/>
      </c>
      <c r="AY122" s="95" t="str">
        <f>IFERROR((TP_DATA[[#This Row],[D, bottom '[m']]]+TP_DATA[[#This Row],[D, top '[m']]])/(2*TP_DATA[[#This Row],[t '[mm']]]/1000),"")</f>
        <v/>
      </c>
      <c r="BA122" s="230"/>
      <c r="BB122" s="220"/>
      <c r="BC122" s="220"/>
      <c r="BD122" s="220"/>
      <c r="BE122" s="220"/>
      <c r="BF122" s="220"/>
      <c r="BG122" s="220"/>
      <c r="BH122" s="220"/>
      <c r="BI122" s="229"/>
      <c r="CB122" s="226">
        <v>10</v>
      </c>
      <c r="CC122" s="227">
        <v>130.89999999999998</v>
      </c>
      <c r="CD122" s="227">
        <v>128.48999999999998</v>
      </c>
      <c r="CE122" s="227">
        <v>6.2229999999999999</v>
      </c>
      <c r="CF122" s="227">
        <v>6.2229999999999999</v>
      </c>
      <c r="CG122" s="228">
        <v>23</v>
      </c>
      <c r="CH122" s="116">
        <f>IFERROR(TOWER_DATA[[#This Row],[Top '[m']]]-TOWER_DATA[[#This Row],[Bottom '[m']]], "")</f>
        <v>2.4099999999999966</v>
      </c>
      <c r="CI122" s="116">
        <f>IFERROR(-(TOWER_DATA[[#This Row],[D, bottom '[m']]]-TOWER_DATA[[#This Row],[D, top '[m']]])/(TOWER_DATA[[#This Row],[Bottom '[m']]]-TOWER_DATA[[#This Row],[Top '[m']]]),"")</f>
        <v>0</v>
      </c>
      <c r="CJ122" s="116">
        <f t="shared" si="8"/>
        <v>8.475319859975512</v>
      </c>
      <c r="CK122" s="119">
        <f>IFERROR((TOWER_DATA[[#This Row],[D, bottom '[m']]]+TOWER_DATA[[#This Row],[D, top '[m']]])/(2*TOWER_DATA[[#This Row],[t '[mm']]]/1000),"")</f>
        <v>270.56521739130437</v>
      </c>
      <c r="CM122" s="220" t="s">
        <v>410</v>
      </c>
      <c r="CN122" s="220">
        <v>130.89999999999998</v>
      </c>
      <c r="CO122" s="220">
        <v>130.89999999999998</v>
      </c>
      <c r="CP122" s="220">
        <v>138</v>
      </c>
      <c r="CQ122" s="220"/>
      <c r="CR122" s="220"/>
      <c r="CS122" s="220"/>
      <c r="CT122" s="220"/>
      <c r="CU122" s="229"/>
      <c r="DU122" s="75" t="str">
        <f t="shared" si="3"/>
        <v/>
      </c>
      <c r="DV122" s="75"/>
    </row>
    <row r="123" spans="4:126" ht="18" customHeight="1">
      <c r="D123" s="126"/>
      <c r="E123" s="108">
        <v>11</v>
      </c>
      <c r="F123" s="109">
        <v>-30.6</v>
      </c>
      <c r="G123" s="109">
        <v>-34.5</v>
      </c>
      <c r="H123" s="109">
        <v>9.8000000000000007</v>
      </c>
      <c r="I123" s="109">
        <v>9.8000000000000007</v>
      </c>
      <c r="J123" s="110">
        <v>112</v>
      </c>
      <c r="K123" s="53">
        <f>IFERROR(MP_DATA[[#This Row],[Top '[m']]]-MP_DATA[[#This Row],[Bottom '[m']]], "")</f>
        <v>3.8999999999999986</v>
      </c>
      <c r="L123" s="53">
        <f>IFERROR(-(MP_DATA[[#This Row],[D, bottom '[m']]]-MP_DATA[[#This Row],[D, top '[m']]])/(MP_DATA[[#This Row],[Bottom '[m']]]-MP_DATA[[#This Row],[Top '[m']]]),"")</f>
        <v>0</v>
      </c>
      <c r="M123" s="53">
        <f t="shared" si="6"/>
        <v>104.36053318438101</v>
      </c>
      <c r="N123" s="95">
        <f>IFERROR((MP_DATA[[#This Row],[D, bottom '[m']]]+MP_DATA[[#This Row],[D, top '[m']]])/(2*MP_DATA[[#This Row],[t '[mm']]]/1000),"")</f>
        <v>87.5</v>
      </c>
      <c r="AP123" s="108"/>
      <c r="AQ123" s="109"/>
      <c r="AR123" s="109"/>
      <c r="AS123" s="109"/>
      <c r="AT123" s="109"/>
      <c r="AU123" s="110"/>
      <c r="AV123" s="53" t="str">
        <f>IFERROR(TP_DATA[[#This Row],[Top '[m']]]-TP_DATA[[#This Row],[Bottom '[m']]], "")</f>
        <v/>
      </c>
      <c r="AW123" s="53" t="str">
        <f>IFERROR(-(TP_DATA[[#This Row],[D, bottom '[m']]]-TP_DATA[[#This Row],[D, top '[m']]])/(TP_DATA[[#This Row],[Bottom '[m']]]-TP_DATA[[#This Row],[Top '[m']]]),"")</f>
        <v/>
      </c>
      <c r="AX123" s="53" t="str">
        <f t="shared" si="7"/>
        <v/>
      </c>
      <c r="AY123" s="95" t="str">
        <f>IFERROR((TP_DATA[[#This Row],[D, bottom '[m']]]+TP_DATA[[#This Row],[D, top '[m']]])/(2*TP_DATA[[#This Row],[t '[mm']]]/1000),"")</f>
        <v/>
      </c>
      <c r="BA123" s="230"/>
      <c r="BB123" s="220"/>
      <c r="BC123" s="220"/>
      <c r="BD123" s="220"/>
      <c r="BE123" s="220"/>
      <c r="BF123" s="220"/>
      <c r="BG123" s="220"/>
      <c r="BH123" s="220"/>
      <c r="BI123" s="229"/>
      <c r="CB123" s="226">
        <v>11</v>
      </c>
      <c r="CC123" s="227">
        <v>128.48999999999998</v>
      </c>
      <c r="CD123" s="227">
        <v>125.74000000000001</v>
      </c>
      <c r="CE123" s="227">
        <v>6.2229999999999999</v>
      </c>
      <c r="CF123" s="227">
        <v>6.2229999999999999</v>
      </c>
      <c r="CG123" s="228">
        <v>23</v>
      </c>
      <c r="CH123" s="116">
        <f>IFERROR(TOWER_DATA[[#This Row],[Top '[m']]]-TOWER_DATA[[#This Row],[Bottom '[m']]], "")</f>
        <v>2.7499999999999716</v>
      </c>
      <c r="CI123" s="116">
        <f>IFERROR(-(TOWER_DATA[[#This Row],[D, bottom '[m']]]-TOWER_DATA[[#This Row],[D, top '[m']]])/(TOWER_DATA[[#This Row],[Bottom '[m']]]-TOWER_DATA[[#This Row],[Top '[m']]]),"")</f>
        <v>0</v>
      </c>
      <c r="CJ123" s="116">
        <f t="shared" si="8"/>
        <v>9.6710081389761218</v>
      </c>
      <c r="CK123" s="119">
        <f>IFERROR((TOWER_DATA[[#This Row],[D, bottom '[m']]]+TOWER_DATA[[#This Row],[D, top '[m']]])/(2*TOWER_DATA[[#This Row],[t '[mm']]]/1000),"")</f>
        <v>270.56521739130437</v>
      </c>
      <c r="CM123" s="220" t="s">
        <v>410</v>
      </c>
      <c r="CN123" s="220">
        <v>125.74</v>
      </c>
      <c r="CO123" s="220">
        <v>125.74</v>
      </c>
      <c r="CP123" s="220">
        <v>138</v>
      </c>
      <c r="CQ123" s="220"/>
      <c r="CR123" s="220"/>
      <c r="CS123" s="220"/>
      <c r="CT123" s="220"/>
      <c r="CU123" s="229"/>
      <c r="DU123" s="75" t="str">
        <f t="shared" si="3"/>
        <v/>
      </c>
      <c r="DV123" s="75"/>
    </row>
    <row r="124" spans="4:126" ht="18" customHeight="1">
      <c r="D124" s="126"/>
      <c r="E124" s="108">
        <v>12</v>
      </c>
      <c r="F124" s="109">
        <v>-34.5</v>
      </c>
      <c r="G124" s="109">
        <v>-38.200000000000003</v>
      </c>
      <c r="H124" s="109">
        <v>9.8000000000000007</v>
      </c>
      <c r="I124" s="109">
        <v>9.8000000000000007</v>
      </c>
      <c r="J124" s="110">
        <v>116</v>
      </c>
      <c r="K124" s="53">
        <f>IFERROR(MP_DATA[[#This Row],[Top '[m']]]-MP_DATA[[#This Row],[Bottom '[m']]], "")</f>
        <v>3.7000000000000028</v>
      </c>
      <c r="L124" s="53">
        <f>IFERROR(-(MP_DATA[[#This Row],[D, bottom '[m']]]-MP_DATA[[#This Row],[D, top '[m']]])/(MP_DATA[[#This Row],[Bottom '[m']]]-MP_DATA[[#This Row],[Top '[m']]]),"")</f>
        <v>0</v>
      </c>
      <c r="M124" s="53">
        <f t="shared" si="6"/>
        <v>102.50239749437456</v>
      </c>
      <c r="N124" s="95">
        <f>IFERROR((MP_DATA[[#This Row],[D, bottom '[m']]]+MP_DATA[[#This Row],[D, top '[m']]])/(2*MP_DATA[[#This Row],[t '[mm']]]/1000),"")</f>
        <v>84.482758620689651</v>
      </c>
      <c r="AP124" s="108"/>
      <c r="AQ124" s="109"/>
      <c r="AR124" s="109"/>
      <c r="AS124" s="109"/>
      <c r="AT124" s="109"/>
      <c r="AU124" s="110"/>
      <c r="AV124" s="53" t="str">
        <f>IFERROR(TP_DATA[[#This Row],[Top '[m']]]-TP_DATA[[#This Row],[Bottom '[m']]], "")</f>
        <v/>
      </c>
      <c r="AW124" s="53" t="str">
        <f>IFERROR(-(TP_DATA[[#This Row],[D, bottom '[m']]]-TP_DATA[[#This Row],[D, top '[m']]])/(TP_DATA[[#This Row],[Bottom '[m']]]-TP_DATA[[#This Row],[Top '[m']]]),"")</f>
        <v/>
      </c>
      <c r="AX124" s="53" t="str">
        <f t="shared" si="7"/>
        <v/>
      </c>
      <c r="AY124" s="95" t="str">
        <f>IFERROR((TP_DATA[[#This Row],[D, bottom '[m']]]+TP_DATA[[#This Row],[D, top '[m']]])/(2*TP_DATA[[#This Row],[t '[mm']]]/1000),"")</f>
        <v/>
      </c>
      <c r="BA124" s="230"/>
      <c r="BB124" s="220"/>
      <c r="BC124" s="220"/>
      <c r="BD124" s="220"/>
      <c r="BE124" s="220"/>
      <c r="BF124" s="220"/>
      <c r="BG124" s="220"/>
      <c r="BH124" s="220"/>
      <c r="BI124" s="229"/>
      <c r="CB124" s="226">
        <v>12</v>
      </c>
      <c r="CC124" s="227">
        <v>125.74000000000001</v>
      </c>
      <c r="CD124" s="227">
        <v>123.667</v>
      </c>
      <c r="CE124" s="227">
        <v>6.2229999999999999</v>
      </c>
      <c r="CF124" s="227">
        <v>6.2229999999999999</v>
      </c>
      <c r="CG124" s="228">
        <v>23</v>
      </c>
      <c r="CH124" s="116">
        <f>IFERROR(TOWER_DATA[[#This Row],[Top '[m']]]-TOWER_DATA[[#This Row],[Bottom '[m']]], "")</f>
        <v>2.0730000000000075</v>
      </c>
      <c r="CI124" s="116">
        <f>IFERROR(-(TOWER_DATA[[#This Row],[D, bottom '[m']]]-TOWER_DATA[[#This Row],[D, top '[m']]])/(TOWER_DATA[[#This Row],[Bottom '[m']]]-TOWER_DATA[[#This Row],[Top '[m']]]),"")</f>
        <v>0</v>
      </c>
      <c r="CJ124" s="116">
        <f t="shared" si="8"/>
        <v>7.2901817716719197</v>
      </c>
      <c r="CK124" s="119">
        <f>IFERROR((TOWER_DATA[[#This Row],[D, bottom '[m']]]+TOWER_DATA[[#This Row],[D, top '[m']]])/(2*TOWER_DATA[[#This Row],[t '[mm']]]/1000),"")</f>
        <v>270.56521739130437</v>
      </c>
      <c r="CM124" s="220" t="s">
        <v>410</v>
      </c>
      <c r="CN124" s="220">
        <v>123.66699999999999</v>
      </c>
      <c r="CO124" s="220">
        <v>123.66699999999999</v>
      </c>
      <c r="CP124" s="220">
        <v>147</v>
      </c>
      <c r="CQ124" s="220"/>
      <c r="CR124" s="220"/>
      <c r="CS124" s="220"/>
      <c r="CT124" s="220"/>
      <c r="CU124" s="229"/>
      <c r="DU124" s="75" t="str">
        <f t="shared" si="3"/>
        <v/>
      </c>
      <c r="DV124" s="75"/>
    </row>
    <row r="125" spans="4:126" ht="18" customHeight="1">
      <c r="D125" s="126"/>
      <c r="E125" s="108">
        <v>13</v>
      </c>
      <c r="F125" s="109">
        <v>-38.200000000000003</v>
      </c>
      <c r="G125" s="109">
        <v>-40.29</v>
      </c>
      <c r="H125" s="109">
        <v>9.8000000000000007</v>
      </c>
      <c r="I125" s="109">
        <v>9.8000000000000007</v>
      </c>
      <c r="J125" s="110">
        <v>108</v>
      </c>
      <c r="K125" s="53">
        <f>IFERROR(MP_DATA[[#This Row],[Top '[m']]]-MP_DATA[[#This Row],[Bottom '[m']]], "")</f>
        <v>2.0899999999999963</v>
      </c>
      <c r="L125" s="53">
        <f>IFERROR(-(MP_DATA[[#This Row],[D, bottom '[m']]]-MP_DATA[[#This Row],[D, top '[m']]])/(MP_DATA[[#This Row],[Bottom '[m']]]-MP_DATA[[#This Row],[Top '[m']]]),"")</f>
        <v>0</v>
      </c>
      <c r="M125" s="53">
        <f t="shared" si="6"/>
        <v>53.951432014537446</v>
      </c>
      <c r="N125" s="95">
        <f>IFERROR((MP_DATA[[#This Row],[D, bottom '[m']]]+MP_DATA[[#This Row],[D, top '[m']]])/(2*MP_DATA[[#This Row],[t '[mm']]]/1000),"")</f>
        <v>90.740740740740748</v>
      </c>
      <c r="AP125" s="108"/>
      <c r="AQ125" s="109"/>
      <c r="AR125" s="109"/>
      <c r="AS125" s="109"/>
      <c r="AT125" s="109"/>
      <c r="AU125" s="110"/>
      <c r="AV125" s="53" t="str">
        <f>IFERROR(TP_DATA[[#This Row],[Top '[m']]]-TP_DATA[[#This Row],[Bottom '[m']]], "")</f>
        <v/>
      </c>
      <c r="AW125" s="53" t="str">
        <f>IFERROR(-(TP_DATA[[#This Row],[D, bottom '[m']]]-TP_DATA[[#This Row],[D, top '[m']]])/(TP_DATA[[#This Row],[Bottom '[m']]]-TP_DATA[[#This Row],[Top '[m']]]),"")</f>
        <v/>
      </c>
      <c r="AX125" s="53" t="str">
        <f t="shared" si="7"/>
        <v/>
      </c>
      <c r="AY125" s="95" t="str">
        <f>IFERROR((TP_DATA[[#This Row],[D, bottom '[m']]]+TP_DATA[[#This Row],[D, top '[m']]])/(2*TP_DATA[[#This Row],[t '[mm']]]/1000),"")</f>
        <v/>
      </c>
      <c r="BA125" s="51"/>
      <c r="BB125" s="51"/>
      <c r="BC125" s="51"/>
      <c r="BD125" s="51"/>
      <c r="BE125" s="51"/>
      <c r="BF125" s="51"/>
      <c r="BG125" s="51"/>
      <c r="BH125" s="51"/>
      <c r="BI125" s="106"/>
      <c r="CB125" s="226">
        <v>13</v>
      </c>
      <c r="CC125" s="227">
        <v>123.667</v>
      </c>
      <c r="CD125" s="227">
        <v>122.81</v>
      </c>
      <c r="CE125" s="227">
        <v>6.2229999999999999</v>
      </c>
      <c r="CF125" s="227">
        <v>6.2229999999999999</v>
      </c>
      <c r="CG125" s="228">
        <v>23</v>
      </c>
      <c r="CH125" s="116">
        <f>IFERROR(TOWER_DATA[[#This Row],[Top '[m']]]-TOWER_DATA[[#This Row],[Bottom '[m']]], "")</f>
        <v>0.85699999999999932</v>
      </c>
      <c r="CI125" s="116">
        <f>IFERROR(-(TOWER_DATA[[#This Row],[D, bottom '[m']]]-TOWER_DATA[[#This Row],[D, top '[m']]])/(TOWER_DATA[[#This Row],[Bottom '[m']]]-TOWER_DATA[[#This Row],[Top '[m']]]),"")</f>
        <v>0</v>
      </c>
      <c r="CJ125" s="116">
        <f t="shared" si="8"/>
        <v>3.0138378091282236</v>
      </c>
      <c r="CK125" s="119">
        <f>IFERROR((TOWER_DATA[[#This Row],[D, bottom '[m']]]+TOWER_DATA[[#This Row],[D, top '[m']]])/(2*TOWER_DATA[[#This Row],[t '[mm']]]/1000),"")</f>
        <v>270.56521739130437</v>
      </c>
      <c r="CM125" s="220" t="s">
        <v>410</v>
      </c>
      <c r="CN125" s="220">
        <v>120.89999999999999</v>
      </c>
      <c r="CO125" s="220">
        <v>120.89999999999999</v>
      </c>
      <c r="CP125" s="220">
        <v>147</v>
      </c>
      <c r="CQ125" s="220"/>
      <c r="CR125" s="220"/>
      <c r="CS125" s="220"/>
      <c r="CT125" s="220"/>
      <c r="CU125" s="229"/>
      <c r="DU125" s="75" t="str">
        <f t="shared" ref="DU125:DU134" si="9">IF(7850/1000*(1/3)*PI()*ABS(DO125-DP125)*((DQ125/2)^2+(DQ125/2)*(DR125/2)+(DR125/2)^2-(DQ125/2-DT125/1000)^2-(DQ125/2-DT125/1000)*(DR125/2-DT125/1000)-(DR125/2-DT125/1000)^2)=0,"",7850/1000*(1/3)*PI()*ABS(DO125-DP125)*((DQ125/2)^2+(DQ125/2)*(DR125/2)+(DR125/2)^2-(DQ125/2-DT125/1000)^2-(DQ125/2-DT125/1000)*(DR125/2-DT125/1000)-(DR125/2-DT125/1000)^2))</f>
        <v/>
      </c>
      <c r="DV125" s="75"/>
    </row>
    <row r="126" spans="4:126" ht="18" customHeight="1">
      <c r="D126" s="126"/>
      <c r="E126" s="108">
        <v>14</v>
      </c>
      <c r="F126" s="109">
        <v>-40.29</v>
      </c>
      <c r="G126" s="109">
        <v>-42.2</v>
      </c>
      <c r="H126" s="109">
        <v>9.8000000000000007</v>
      </c>
      <c r="I126" s="109">
        <v>9.8000000000000007</v>
      </c>
      <c r="J126" s="110">
        <v>108</v>
      </c>
      <c r="K126" s="53">
        <f>IFERROR(MP_DATA[[#This Row],[Top '[m']]]-MP_DATA[[#This Row],[Bottom '[m']]], "")</f>
        <v>1.9100000000000037</v>
      </c>
      <c r="L126" s="53">
        <f>IFERROR(-(MP_DATA[[#This Row],[D, bottom '[m']]]-MP_DATA[[#This Row],[D, top '[m']]])/(MP_DATA[[#This Row],[Bottom '[m']]]-MP_DATA[[#This Row],[Top '[m']]]),"")</f>
        <v>0</v>
      </c>
      <c r="M126" s="53">
        <f t="shared" si="6"/>
        <v>49.304897199888472</v>
      </c>
      <c r="N126" s="95">
        <f>IFERROR((MP_DATA[[#This Row],[D, bottom '[m']]]+MP_DATA[[#This Row],[D, top '[m']]])/(2*MP_DATA[[#This Row],[t '[mm']]]/1000),"")</f>
        <v>90.740740740740748</v>
      </c>
      <c r="AP126" s="108"/>
      <c r="AQ126" s="109"/>
      <c r="AR126" s="109"/>
      <c r="AS126" s="109"/>
      <c r="AT126" s="109"/>
      <c r="AU126" s="110"/>
      <c r="AV126" s="53" t="str">
        <f>IFERROR(TP_DATA[[#This Row],[Top '[m']]]-TP_DATA[[#This Row],[Bottom '[m']]], "")</f>
        <v/>
      </c>
      <c r="AW126" s="53" t="str">
        <f>IFERROR(-(TP_DATA[[#This Row],[D, bottom '[m']]]-TP_DATA[[#This Row],[D, top '[m']]])/(TP_DATA[[#This Row],[Bottom '[m']]]-TP_DATA[[#This Row],[Top '[m']]]),"")</f>
        <v/>
      </c>
      <c r="AX126" s="53" t="str">
        <f t="shared" si="7"/>
        <v/>
      </c>
      <c r="AY126" s="95" t="str">
        <f>IFERROR((TP_DATA[[#This Row],[D, bottom '[m']]]+TP_DATA[[#This Row],[D, top '[m']]])/(2*TP_DATA[[#This Row],[t '[mm']]]/1000),"")</f>
        <v/>
      </c>
      <c r="BA126" s="51"/>
      <c r="BB126" s="51"/>
      <c r="BC126" s="51"/>
      <c r="BD126" s="51"/>
      <c r="BE126" s="51"/>
      <c r="BF126" s="51"/>
      <c r="BG126" s="51"/>
      <c r="BH126" s="51"/>
      <c r="BI126" s="106"/>
      <c r="CB126" s="226">
        <v>14</v>
      </c>
      <c r="CC126" s="227">
        <v>122.81</v>
      </c>
      <c r="CD126" s="227">
        <v>120.9</v>
      </c>
      <c r="CE126" s="227">
        <v>6.2229999999999999</v>
      </c>
      <c r="CF126" s="227">
        <v>6.2229999999999999</v>
      </c>
      <c r="CG126" s="228">
        <v>23</v>
      </c>
      <c r="CH126" s="116">
        <f>IFERROR(TOWER_DATA[[#This Row],[Top '[m']]]-TOWER_DATA[[#This Row],[Bottom '[m']]], "")</f>
        <v>1.9099999999999966</v>
      </c>
      <c r="CI126" s="116">
        <f>IFERROR(-(TOWER_DATA[[#This Row],[D, bottom '[m']]]-TOWER_DATA[[#This Row],[D, top '[m']]])/(TOWER_DATA[[#This Row],[Bottom '[m']]]-TOWER_DATA[[#This Row],[Top '[m']]]),"")</f>
        <v>0</v>
      </c>
      <c r="CJ126" s="116">
        <f t="shared" si="8"/>
        <v>6.7169547437980182</v>
      </c>
      <c r="CK126" s="119">
        <f>IFERROR((TOWER_DATA[[#This Row],[D, bottom '[m']]]+TOWER_DATA[[#This Row],[D, top '[m']]])/(2*TOWER_DATA[[#This Row],[t '[mm']]]/1000),"")</f>
        <v>270.56521739130437</v>
      </c>
      <c r="CM126" s="220" t="s">
        <v>410</v>
      </c>
      <c r="CN126" s="220">
        <v>119.88</v>
      </c>
      <c r="CO126" s="220">
        <v>119.88</v>
      </c>
      <c r="CP126" s="220">
        <v>1060</v>
      </c>
      <c r="CQ126" s="220"/>
      <c r="CR126" s="220"/>
      <c r="CS126" s="220"/>
      <c r="CT126" s="220"/>
      <c r="CU126" s="229"/>
      <c r="DU126" s="75" t="str">
        <f t="shared" si="9"/>
        <v/>
      </c>
      <c r="DV126" s="75"/>
    </row>
    <row r="127" spans="4:126" ht="18" customHeight="1">
      <c r="D127" s="126"/>
      <c r="E127" s="108">
        <v>15</v>
      </c>
      <c r="F127" s="109">
        <v>-42.2</v>
      </c>
      <c r="G127" s="109">
        <v>-46.2</v>
      </c>
      <c r="H127" s="109">
        <v>9.8000000000000007</v>
      </c>
      <c r="I127" s="109">
        <v>9.8000000000000007</v>
      </c>
      <c r="J127" s="110">
        <v>98</v>
      </c>
      <c r="K127" s="53">
        <f>IFERROR(MP_DATA[[#This Row],[Top '[m']]]-MP_DATA[[#This Row],[Bottom '[m']]], "")</f>
        <v>4</v>
      </c>
      <c r="L127" s="53">
        <f>IFERROR(-(MP_DATA[[#This Row],[D, bottom '[m']]]-MP_DATA[[#This Row],[D, top '[m']]])/(MP_DATA[[#This Row],[Bottom '[m']]]-MP_DATA[[#This Row],[Top '[m']]]),"")</f>
        <v>0</v>
      </c>
      <c r="M127" s="53">
        <f t="shared" si="6"/>
        <v>93.792231080004328</v>
      </c>
      <c r="N127" s="95">
        <f>IFERROR((MP_DATA[[#This Row],[D, bottom '[m']]]+MP_DATA[[#This Row],[D, top '[m']]])/(2*MP_DATA[[#This Row],[t '[mm']]]/1000),"")</f>
        <v>100</v>
      </c>
      <c r="AP127" s="108"/>
      <c r="AQ127" s="109"/>
      <c r="AR127" s="109"/>
      <c r="AS127" s="109"/>
      <c r="AT127" s="109"/>
      <c r="AU127" s="110"/>
      <c r="AV127" s="53" t="str">
        <f>IFERROR(TP_DATA[[#This Row],[Top '[m']]]-TP_DATA[[#This Row],[Bottom '[m']]], "")</f>
        <v/>
      </c>
      <c r="AW127" s="53" t="str">
        <f>IFERROR(-(TP_DATA[[#This Row],[D, bottom '[m']]]-TP_DATA[[#This Row],[D, top '[m']]])/(TP_DATA[[#This Row],[Bottom '[m']]]-TP_DATA[[#This Row],[Top '[m']]]),"")</f>
        <v/>
      </c>
      <c r="AX127" s="53" t="str">
        <f t="shared" si="7"/>
        <v/>
      </c>
      <c r="AY127" s="95" t="str">
        <f>IFERROR((TP_DATA[[#This Row],[D, bottom '[m']]]+TP_DATA[[#This Row],[D, top '[m']]])/(2*TP_DATA[[#This Row],[t '[mm']]]/1000),"")</f>
        <v/>
      </c>
      <c r="BA127" s="51"/>
      <c r="BB127" s="51"/>
      <c r="BC127" s="51"/>
      <c r="BD127" s="51"/>
      <c r="BE127" s="51"/>
      <c r="BF127" s="51"/>
      <c r="BG127" s="51"/>
      <c r="BH127" s="51"/>
      <c r="BI127" s="106"/>
      <c r="CB127" s="226">
        <v>15</v>
      </c>
      <c r="CC127" s="227">
        <v>120.9</v>
      </c>
      <c r="CD127" s="227">
        <v>119.88000000000001</v>
      </c>
      <c r="CE127" s="227">
        <v>6.2229999999999999</v>
      </c>
      <c r="CF127" s="227">
        <v>6.2229999999999999</v>
      </c>
      <c r="CG127" s="228">
        <v>23</v>
      </c>
      <c r="CH127" s="116">
        <f>IFERROR(TOWER_DATA[[#This Row],[Top '[m']]]-TOWER_DATA[[#This Row],[Bottom '[m']]], "")</f>
        <v>1.019999999999996</v>
      </c>
      <c r="CI127" s="116">
        <f>IFERROR(-(TOWER_DATA[[#This Row],[D, bottom '[m']]]-TOWER_DATA[[#This Row],[D, top '[m']]])/(TOWER_DATA[[#This Row],[Bottom '[m']]]-TOWER_DATA[[#This Row],[Top '[m']]]),"")</f>
        <v>0</v>
      </c>
      <c r="CJ127" s="116">
        <f t="shared" si="8"/>
        <v>3.587064837002075</v>
      </c>
      <c r="CK127" s="119">
        <f>IFERROR((TOWER_DATA[[#This Row],[D, bottom '[m']]]+TOWER_DATA[[#This Row],[D, top '[m']]])/(2*TOWER_DATA[[#This Row],[t '[mm']]]/1000),"")</f>
        <v>270.56521739130437</v>
      </c>
      <c r="CM127" s="220" t="s">
        <v>410</v>
      </c>
      <c r="CN127" s="220">
        <v>116.94999999999999</v>
      </c>
      <c r="CO127" s="220">
        <v>116.94999999999999</v>
      </c>
      <c r="CP127" s="220">
        <v>147</v>
      </c>
      <c r="CQ127" s="220"/>
      <c r="CR127" s="220"/>
      <c r="CS127" s="220"/>
      <c r="CT127" s="220"/>
      <c r="CU127" s="229"/>
      <c r="DU127" s="75" t="str">
        <f t="shared" si="9"/>
        <v/>
      </c>
      <c r="DV127" s="75"/>
    </row>
    <row r="128" spans="4:126" ht="18" customHeight="1">
      <c r="D128" s="126"/>
      <c r="E128" s="108">
        <v>16</v>
      </c>
      <c r="F128" s="109">
        <v>-46.2</v>
      </c>
      <c r="G128" s="109">
        <v>-50.2</v>
      </c>
      <c r="H128" s="109">
        <v>9.8000000000000007</v>
      </c>
      <c r="I128" s="109">
        <v>9.8000000000000007</v>
      </c>
      <c r="J128" s="110">
        <v>98</v>
      </c>
      <c r="K128" s="53">
        <f>IFERROR(MP_DATA[[#This Row],[Top '[m']]]-MP_DATA[[#This Row],[Bottom '[m']]], "")</f>
        <v>4</v>
      </c>
      <c r="L128" s="53">
        <f>IFERROR(-(MP_DATA[[#This Row],[D, bottom '[m']]]-MP_DATA[[#This Row],[D, top '[m']]])/(MP_DATA[[#This Row],[Bottom '[m']]]-MP_DATA[[#This Row],[Top '[m']]]),"")</f>
        <v>0</v>
      </c>
      <c r="M128" s="53">
        <f t="shared" si="6"/>
        <v>93.792231080004328</v>
      </c>
      <c r="N128" s="95">
        <f>IFERROR((MP_DATA[[#This Row],[D, bottom '[m']]]+MP_DATA[[#This Row],[D, top '[m']]])/(2*MP_DATA[[#This Row],[t '[mm']]]/1000),"")</f>
        <v>100</v>
      </c>
      <c r="AP128" s="108"/>
      <c r="AQ128" s="109"/>
      <c r="AR128" s="109"/>
      <c r="AS128" s="109"/>
      <c r="AT128" s="109"/>
      <c r="AU128" s="110"/>
      <c r="AV128" s="53" t="str">
        <f>IFERROR(TP_DATA[[#This Row],[Top '[m']]]-TP_DATA[[#This Row],[Bottom '[m']]], "")</f>
        <v/>
      </c>
      <c r="AW128" s="53" t="str">
        <f>IFERROR(-(TP_DATA[[#This Row],[D, bottom '[m']]]-TP_DATA[[#This Row],[D, top '[m']]])/(TP_DATA[[#This Row],[Bottom '[m']]]-TP_DATA[[#This Row],[Top '[m']]]),"")</f>
        <v/>
      </c>
      <c r="AX128" s="53" t="str">
        <f t="shared" si="7"/>
        <v/>
      </c>
      <c r="AY128" s="95" t="str">
        <f>IFERROR((TP_DATA[[#This Row],[D, bottom '[m']]]+TP_DATA[[#This Row],[D, top '[m']]])/(2*TP_DATA[[#This Row],[t '[mm']]]/1000),"")</f>
        <v/>
      </c>
      <c r="BA128" s="51"/>
      <c r="BB128" s="51"/>
      <c r="BC128" s="51"/>
      <c r="BD128" s="51"/>
      <c r="BE128" s="51"/>
      <c r="BF128" s="51"/>
      <c r="BG128" s="51"/>
      <c r="BH128" s="51"/>
      <c r="BI128" s="106"/>
      <c r="CB128" s="226">
        <v>16</v>
      </c>
      <c r="CC128" s="227">
        <v>119.88000000000001</v>
      </c>
      <c r="CD128" s="227">
        <v>116.95</v>
      </c>
      <c r="CE128" s="227">
        <v>6.2229999999999999</v>
      </c>
      <c r="CF128" s="227">
        <v>6.2229999999999999</v>
      </c>
      <c r="CG128" s="228">
        <v>23</v>
      </c>
      <c r="CH128" s="116">
        <f>IFERROR(TOWER_DATA[[#This Row],[Top '[m']]]-TOWER_DATA[[#This Row],[Bottom '[m']]], "")</f>
        <v>2.9300000000000068</v>
      </c>
      <c r="CI128" s="116">
        <f>IFERROR(-(TOWER_DATA[[#This Row],[D, bottom '[m']]]-TOWER_DATA[[#This Row],[D, top '[m']]])/(TOWER_DATA[[#This Row],[Bottom '[m']]]-TOWER_DATA[[#This Row],[Top '[m']]]),"")</f>
        <v>0</v>
      </c>
      <c r="CJ128" s="116">
        <f t="shared" si="8"/>
        <v>10.304019580800142</v>
      </c>
      <c r="CK128" s="119">
        <f>IFERROR((TOWER_DATA[[#This Row],[D, bottom '[m']]]+TOWER_DATA[[#This Row],[D, top '[m']]])/(2*TOWER_DATA[[#This Row],[t '[mm']]]/1000),"")</f>
        <v>270.56521739130437</v>
      </c>
      <c r="CM128" s="220" t="s">
        <v>410</v>
      </c>
      <c r="CN128" s="220">
        <v>115.446</v>
      </c>
      <c r="CO128" s="220">
        <v>115.446</v>
      </c>
      <c r="CP128" s="220">
        <v>147</v>
      </c>
      <c r="CQ128" s="220"/>
      <c r="CR128" s="220"/>
      <c r="CS128" s="220"/>
      <c r="CT128" s="220"/>
      <c r="CU128" s="229"/>
      <c r="DU128" s="75" t="str">
        <f t="shared" si="9"/>
        <v/>
      </c>
      <c r="DV128" s="75"/>
    </row>
    <row r="129" spans="4:126" ht="18" customHeight="1">
      <c r="D129" s="126"/>
      <c r="E129" s="108">
        <v>17</v>
      </c>
      <c r="F129" s="109">
        <v>-50.2</v>
      </c>
      <c r="G129" s="109">
        <v>-54.2</v>
      </c>
      <c r="H129" s="109">
        <v>9.8000000000000007</v>
      </c>
      <c r="I129" s="109">
        <v>9.8000000000000007</v>
      </c>
      <c r="J129" s="110">
        <v>98</v>
      </c>
      <c r="K129" s="53">
        <f>IFERROR(MP_DATA[[#This Row],[Top '[m']]]-MP_DATA[[#This Row],[Bottom '[m']]], "")</f>
        <v>4</v>
      </c>
      <c r="L129" s="53">
        <f>IFERROR(-(MP_DATA[[#This Row],[D, bottom '[m']]]-MP_DATA[[#This Row],[D, top '[m']]])/(MP_DATA[[#This Row],[Bottom '[m']]]-MP_DATA[[#This Row],[Top '[m']]]),"")</f>
        <v>0</v>
      </c>
      <c r="M129" s="53">
        <f t="shared" si="6"/>
        <v>93.792231080004328</v>
      </c>
      <c r="N129" s="95">
        <f>IFERROR((MP_DATA[[#This Row],[D, bottom '[m']]]+MP_DATA[[#This Row],[D, top '[m']]])/(2*MP_DATA[[#This Row],[t '[mm']]]/1000),"")</f>
        <v>100</v>
      </c>
      <c r="AP129" s="108"/>
      <c r="AQ129" s="109"/>
      <c r="AR129" s="109"/>
      <c r="AS129" s="109"/>
      <c r="AT129" s="109"/>
      <c r="AU129" s="110"/>
      <c r="AV129" s="53" t="str">
        <f>IFERROR(TP_DATA[[#This Row],[Top '[m']]]-TP_DATA[[#This Row],[Bottom '[m']]], "")</f>
        <v/>
      </c>
      <c r="AW129" s="53" t="str">
        <f>IFERROR(-(TP_DATA[[#This Row],[D, bottom '[m']]]-TP_DATA[[#This Row],[D, top '[m']]])/(TP_DATA[[#This Row],[Bottom '[m']]]-TP_DATA[[#This Row],[Top '[m']]]),"")</f>
        <v/>
      </c>
      <c r="AX129" s="53" t="str">
        <f t="shared" si="7"/>
        <v/>
      </c>
      <c r="AY129" s="95" t="str">
        <f>IFERROR((TP_DATA[[#This Row],[D, bottom '[m']]]+TP_DATA[[#This Row],[D, top '[m']]])/(2*TP_DATA[[#This Row],[t '[mm']]]/1000),"")</f>
        <v/>
      </c>
      <c r="CB129" s="226">
        <v>17</v>
      </c>
      <c r="CC129" s="227">
        <v>116.95</v>
      </c>
      <c r="CD129" s="227">
        <v>115.44600000000001</v>
      </c>
      <c r="CE129" s="227">
        <v>6.2229999999999999</v>
      </c>
      <c r="CF129" s="227">
        <v>6.2229999999999999</v>
      </c>
      <c r="CG129" s="228">
        <v>23</v>
      </c>
      <c r="CH129" s="116">
        <f>IFERROR(TOWER_DATA[[#This Row],[Top '[m']]]-TOWER_DATA[[#This Row],[Bottom '[m']]], "")</f>
        <v>1.5039999999999907</v>
      </c>
      <c r="CI129" s="116">
        <f>IFERROR(-(TOWER_DATA[[#This Row],[D, bottom '[m']]]-TOWER_DATA[[#This Row],[D, top '[m']]])/(TOWER_DATA[[#This Row],[Bottom '[m']]]-TOWER_DATA[[#This Row],[Top '[m']]]),"")</f>
        <v>0</v>
      </c>
      <c r="CJ129" s="116">
        <f t="shared" si="8"/>
        <v>5.2891622694618716</v>
      </c>
      <c r="CK129" s="119">
        <f>IFERROR((TOWER_DATA[[#This Row],[D, bottom '[m']]]+TOWER_DATA[[#This Row],[D, top '[m']]])/(2*TOWER_DATA[[#This Row],[t '[mm']]]/1000),"")</f>
        <v>270.56521739130437</v>
      </c>
      <c r="CM129" s="220" t="s">
        <v>410</v>
      </c>
      <c r="CN129" s="220">
        <v>111.08999999999999</v>
      </c>
      <c r="CO129" s="220">
        <v>111.08999999999999</v>
      </c>
      <c r="CP129" s="220">
        <v>147</v>
      </c>
      <c r="CQ129" s="220"/>
      <c r="CR129" s="220"/>
      <c r="CS129" s="220"/>
      <c r="CT129" s="220"/>
      <c r="CU129" s="229"/>
      <c r="DU129" s="75" t="str">
        <f t="shared" si="9"/>
        <v/>
      </c>
      <c r="DV129" s="75"/>
    </row>
    <row r="130" spans="4:126" ht="18" customHeight="1">
      <c r="D130" s="126"/>
      <c r="E130" s="108">
        <v>18</v>
      </c>
      <c r="F130" s="109">
        <v>-54.2</v>
      </c>
      <c r="G130" s="109">
        <v>-58.2</v>
      </c>
      <c r="H130" s="109">
        <v>9.8000000000000007</v>
      </c>
      <c r="I130" s="109">
        <v>9.8000000000000007</v>
      </c>
      <c r="J130" s="110">
        <v>98</v>
      </c>
      <c r="K130" s="53">
        <f>IFERROR(MP_DATA[[#This Row],[Top '[m']]]-MP_DATA[[#This Row],[Bottom '[m']]], "")</f>
        <v>4</v>
      </c>
      <c r="L130" s="53">
        <f>IFERROR(-(MP_DATA[[#This Row],[D, bottom '[m']]]-MP_DATA[[#This Row],[D, top '[m']]])/(MP_DATA[[#This Row],[Bottom '[m']]]-MP_DATA[[#This Row],[Top '[m']]]),"")</f>
        <v>0</v>
      </c>
      <c r="M130" s="53">
        <f t="shared" si="6"/>
        <v>93.792231080004328</v>
      </c>
      <c r="N130" s="95">
        <f>IFERROR((MP_DATA[[#This Row],[D, bottom '[m']]]+MP_DATA[[#This Row],[D, top '[m']]])/(2*MP_DATA[[#This Row],[t '[mm']]]/1000),"")</f>
        <v>100</v>
      </c>
      <c r="AP130" s="108"/>
      <c r="AQ130" s="109"/>
      <c r="AR130" s="109"/>
      <c r="AS130" s="109"/>
      <c r="AT130" s="109"/>
      <c r="AU130" s="110"/>
      <c r="AV130" s="53" t="str">
        <f>IFERROR(TP_DATA[[#This Row],[Top '[m']]]-TP_DATA[[#This Row],[Bottom '[m']]], "")</f>
        <v/>
      </c>
      <c r="AW130" s="53" t="str">
        <f>IFERROR(-(TP_DATA[[#This Row],[D, bottom '[m']]]-TP_DATA[[#This Row],[D, top '[m']]])/(TP_DATA[[#This Row],[Bottom '[m']]]-TP_DATA[[#This Row],[Top '[m']]]),"")</f>
        <v/>
      </c>
      <c r="AX130" s="53" t="str">
        <f t="shared" si="7"/>
        <v/>
      </c>
      <c r="AY130" s="95" t="str">
        <f>IFERROR((TP_DATA[[#This Row],[D, bottom '[m']]]+TP_DATA[[#This Row],[D, top '[m']]])/(2*TP_DATA[[#This Row],[t '[mm']]]/1000),"")</f>
        <v/>
      </c>
      <c r="CB130" s="226">
        <v>18</v>
      </c>
      <c r="CC130" s="227">
        <v>115.44600000000001</v>
      </c>
      <c r="CD130" s="227">
        <v>114.02000000000001</v>
      </c>
      <c r="CE130" s="227">
        <v>6.2229999999999999</v>
      </c>
      <c r="CF130" s="227">
        <v>6.2240000000000002</v>
      </c>
      <c r="CG130" s="228">
        <v>23</v>
      </c>
      <c r="CH130" s="116">
        <f>IFERROR(TOWER_DATA[[#This Row],[Top '[m']]]-TOWER_DATA[[#This Row],[Bottom '[m']]], "")</f>
        <v>1.4260000000000019</v>
      </c>
      <c r="CI130" s="116">
        <f>IFERROR(-(TOWER_DATA[[#This Row],[D, bottom '[m']]]-TOWER_DATA[[#This Row],[D, top '[m']]])/(TOWER_DATA[[#This Row],[Bottom '[m']]]-TOWER_DATA[[#This Row],[Top '[m']]]),"")</f>
        <v>7.0126227208999476E-4</v>
      </c>
      <c r="CJ130" s="116">
        <f t="shared" si="8"/>
        <v>5.0152617353149624</v>
      </c>
      <c r="CK130" s="119">
        <f>IFERROR((TOWER_DATA[[#This Row],[D, bottom '[m']]]+TOWER_DATA[[#This Row],[D, top '[m']]])/(2*TOWER_DATA[[#This Row],[t '[mm']]]/1000),"")</f>
        <v>270.58695652173913</v>
      </c>
      <c r="CM130" s="220" t="s">
        <v>410</v>
      </c>
      <c r="CN130" s="220">
        <v>110.89999999999999</v>
      </c>
      <c r="CO130" s="220">
        <v>110.89999999999999</v>
      </c>
      <c r="CP130" s="220">
        <v>147</v>
      </c>
      <c r="CQ130" s="220"/>
      <c r="CR130" s="220"/>
      <c r="CS130" s="220"/>
      <c r="CT130" s="220"/>
      <c r="CU130" s="229"/>
      <c r="DU130" s="75" t="str">
        <f t="shared" si="9"/>
        <v/>
      </c>
      <c r="DV130" s="75"/>
    </row>
    <row r="131" spans="4:126" ht="18" customHeight="1">
      <c r="D131" s="126"/>
      <c r="E131" s="108">
        <v>19</v>
      </c>
      <c r="F131" s="109">
        <v>-58.2</v>
      </c>
      <c r="G131" s="109">
        <v>-62.2</v>
      </c>
      <c r="H131" s="109">
        <v>9.8000000000000007</v>
      </c>
      <c r="I131" s="109">
        <v>9.8000000000000007</v>
      </c>
      <c r="J131" s="110">
        <v>91</v>
      </c>
      <c r="K131" s="53">
        <f>IFERROR(MP_DATA[[#This Row],[Top '[m']]]-MP_DATA[[#This Row],[Bottom '[m']]], "")</f>
        <v>4</v>
      </c>
      <c r="L131" s="53">
        <f>IFERROR(-(MP_DATA[[#This Row],[D, bottom '[m']]]-MP_DATA[[#This Row],[D, top '[m']]])/(MP_DATA[[#This Row],[Bottom '[m']]]-MP_DATA[[#This Row],[Top '[m']]]),"")</f>
        <v>0</v>
      </c>
      <c r="M131" s="53">
        <f t="shared" si="6"/>
        <v>87.15562351080024</v>
      </c>
      <c r="N131" s="95">
        <f>IFERROR((MP_DATA[[#This Row],[D, bottom '[m']]]+MP_DATA[[#This Row],[D, top '[m']]])/(2*MP_DATA[[#This Row],[t '[mm']]]/1000),"")</f>
        <v>107.69230769230771</v>
      </c>
      <c r="AP131" s="108"/>
      <c r="AQ131" s="109"/>
      <c r="AR131" s="109"/>
      <c r="AS131" s="109"/>
      <c r="AT131" s="109"/>
      <c r="AU131" s="110"/>
      <c r="AV131" s="53" t="str">
        <f>IFERROR(TP_DATA[[#This Row],[Top '[m']]]-TP_DATA[[#This Row],[Bottom '[m']]], "")</f>
        <v/>
      </c>
      <c r="AW131" s="53" t="str">
        <f>IFERROR(-(TP_DATA[[#This Row],[D, bottom '[m']]]-TP_DATA[[#This Row],[D, top '[m']]])/(TP_DATA[[#This Row],[Bottom '[m']]]-TP_DATA[[#This Row],[Top '[m']]]),"")</f>
        <v/>
      </c>
      <c r="AX131" s="53" t="str">
        <f t="shared" si="7"/>
        <v/>
      </c>
      <c r="AY131" s="95" t="str">
        <f>IFERROR((TP_DATA[[#This Row],[D, bottom '[m']]]+TP_DATA[[#This Row],[D, top '[m']]])/(2*TP_DATA[[#This Row],[t '[mm']]]/1000),"")</f>
        <v/>
      </c>
      <c r="CB131" s="226">
        <v>19</v>
      </c>
      <c r="CC131" s="227">
        <v>114.02000000000001</v>
      </c>
      <c r="CD131" s="227">
        <v>111.09</v>
      </c>
      <c r="CE131" s="227">
        <v>6.2240000000000002</v>
      </c>
      <c r="CF131" s="227">
        <v>6.2249999999999996</v>
      </c>
      <c r="CG131" s="228">
        <v>24</v>
      </c>
      <c r="CH131" s="116">
        <f>IFERROR(TOWER_DATA[[#This Row],[Top '[m']]]-TOWER_DATA[[#This Row],[Bottom '[m']]], "")</f>
        <v>2.9300000000000068</v>
      </c>
      <c r="CI131" s="116">
        <f>IFERROR(-(TOWER_DATA[[#This Row],[D, bottom '[m']]]-TOWER_DATA[[#This Row],[D, top '[m']]])/(TOWER_DATA[[#This Row],[Bottom '[m']]]-TOWER_DATA[[#This Row],[Top '[m']]]),"")</f>
        <v>3.412969283274551E-4</v>
      </c>
      <c r="CJ131" s="116">
        <f t="shared" si="8"/>
        <v>10.752887530560983</v>
      </c>
      <c r="CK131" s="119">
        <f>IFERROR((TOWER_DATA[[#This Row],[D, bottom '[m']]]+TOWER_DATA[[#This Row],[D, top '[m']]])/(2*TOWER_DATA[[#This Row],[t '[mm']]]/1000),"")</f>
        <v>259.35416666666669</v>
      </c>
      <c r="CM131" s="220" t="s">
        <v>410</v>
      </c>
      <c r="CN131" s="220">
        <v>107.22399999999999</v>
      </c>
      <c r="CO131" s="220">
        <v>107.22399999999999</v>
      </c>
      <c r="CP131" s="220">
        <v>147</v>
      </c>
      <c r="CQ131" s="220"/>
      <c r="CR131" s="220"/>
      <c r="CS131" s="220"/>
      <c r="CT131" s="220"/>
      <c r="CU131" s="229"/>
      <c r="DU131" s="75" t="str">
        <f t="shared" si="9"/>
        <v/>
      </c>
      <c r="DV131" s="75"/>
    </row>
    <row r="132" spans="4:126" ht="18" customHeight="1">
      <c r="D132" s="126"/>
      <c r="E132" s="108">
        <v>20</v>
      </c>
      <c r="F132" s="109">
        <v>-62.2</v>
      </c>
      <c r="G132" s="109">
        <v>-65.650000000000006</v>
      </c>
      <c r="H132" s="109">
        <v>9.8000000000000007</v>
      </c>
      <c r="I132" s="109">
        <v>9.8000000000000007</v>
      </c>
      <c r="J132" s="110">
        <v>88</v>
      </c>
      <c r="K132" s="53">
        <f>IFERROR(MP_DATA[[#This Row],[Top '[m']]]-MP_DATA[[#This Row],[Bottom '[m']]], "")</f>
        <v>3.4500000000000028</v>
      </c>
      <c r="L132" s="53">
        <f>IFERROR(-(MP_DATA[[#This Row],[D, bottom '[m']]]-MP_DATA[[#This Row],[D, top '[m']]])/(MP_DATA[[#This Row],[Bottom '[m']]]-MP_DATA[[#This Row],[Top '[m']]]),"")</f>
        <v>0</v>
      </c>
      <c r="M132" s="53">
        <f t="shared" si="6"/>
        <v>72.715998228957233</v>
      </c>
      <c r="N132" s="95">
        <f>IFERROR((MP_DATA[[#This Row],[D, bottom '[m']]]+MP_DATA[[#This Row],[D, top '[m']]])/(2*MP_DATA[[#This Row],[t '[mm']]]/1000),"")</f>
        <v>111.36363636363637</v>
      </c>
      <c r="AP132" s="108"/>
      <c r="AQ132" s="109"/>
      <c r="AR132" s="109"/>
      <c r="AS132" s="109"/>
      <c r="AT132" s="109"/>
      <c r="AU132" s="110"/>
      <c r="AV132" s="53" t="str">
        <f>IFERROR(TP_DATA[[#This Row],[Top '[m']]]-TP_DATA[[#This Row],[Bottom '[m']]], "")</f>
        <v/>
      </c>
      <c r="AW132" s="53" t="str">
        <f>IFERROR(-(TP_DATA[[#This Row],[D, bottom '[m']]]-TP_DATA[[#This Row],[D, top '[m']]])/(TP_DATA[[#This Row],[Bottom '[m']]]-TP_DATA[[#This Row],[Top '[m']]]),"")</f>
        <v/>
      </c>
      <c r="AX132" s="53" t="str">
        <f t="shared" si="7"/>
        <v/>
      </c>
      <c r="AY132" s="95" t="str">
        <f>IFERROR((TP_DATA[[#This Row],[D, bottom '[m']]]+TP_DATA[[#This Row],[D, top '[m']]])/(2*TP_DATA[[#This Row],[t '[mm']]]/1000),"")</f>
        <v/>
      </c>
      <c r="CB132" s="226">
        <v>20</v>
      </c>
      <c r="CC132" s="227">
        <v>111.09</v>
      </c>
      <c r="CD132" s="227">
        <v>110.9</v>
      </c>
      <c r="CE132" s="227">
        <v>6.2249999999999996</v>
      </c>
      <c r="CF132" s="227">
        <v>6.2249999999999996</v>
      </c>
      <c r="CG132" s="228">
        <v>25</v>
      </c>
      <c r="CH132" s="116">
        <f>IFERROR(TOWER_DATA[[#This Row],[Top '[m']]]-TOWER_DATA[[#This Row],[Bottom '[m']]], "")</f>
        <v>0.18999999999999773</v>
      </c>
      <c r="CI132" s="116">
        <f>IFERROR(-(TOWER_DATA[[#This Row],[D, bottom '[m']]]-TOWER_DATA[[#This Row],[D, top '[m']]])/(TOWER_DATA[[#This Row],[Bottom '[m']]]-TOWER_DATA[[#This Row],[Top '[m']]]),"")</f>
        <v>0</v>
      </c>
      <c r="CJ132" s="116">
        <f t="shared" si="8"/>
        <v>0.72628124363851332</v>
      </c>
      <c r="CK132" s="119">
        <f>IFERROR((TOWER_DATA[[#This Row],[D, bottom '[m']]]+TOWER_DATA[[#This Row],[D, top '[m']]])/(2*TOWER_DATA[[#This Row],[t '[mm']]]/1000),"")</f>
        <v>248.99999999999997</v>
      </c>
      <c r="CM132" s="220" t="s">
        <v>410</v>
      </c>
      <c r="CN132" s="220">
        <v>102.3</v>
      </c>
      <c r="CO132" s="220">
        <v>102.3</v>
      </c>
      <c r="CP132" s="220">
        <v>147</v>
      </c>
      <c r="CQ132" s="220"/>
      <c r="CR132" s="220"/>
      <c r="CS132" s="220"/>
      <c r="CT132" s="220"/>
      <c r="CU132" s="229"/>
      <c r="DU132" s="75" t="str">
        <f t="shared" si="9"/>
        <v/>
      </c>
      <c r="DV132" s="75"/>
    </row>
    <row r="133" spans="4:126" ht="18" customHeight="1">
      <c r="D133" s="126"/>
      <c r="E133" s="108">
        <v>21</v>
      </c>
      <c r="F133" s="109">
        <v>-65.650000000000006</v>
      </c>
      <c r="G133" s="109">
        <v>-69.349999999999994</v>
      </c>
      <c r="H133" s="109">
        <v>9.8000000000000007</v>
      </c>
      <c r="I133" s="109">
        <v>9.8000000000000007</v>
      </c>
      <c r="J133" s="110">
        <v>86</v>
      </c>
      <c r="K133" s="53">
        <f>IFERROR(MP_DATA[[#This Row],[Top '[m']]]-MP_DATA[[#This Row],[Bottom '[m']]], "")</f>
        <v>3.6999999999999886</v>
      </c>
      <c r="L133" s="53">
        <f>IFERROR(-(MP_DATA[[#This Row],[D, bottom '[m']]]-MP_DATA[[#This Row],[D, top '[m']]])/(MP_DATA[[#This Row],[Bottom '[m']]]-MP_DATA[[#This Row],[Top '[m']]]),"")</f>
        <v>0</v>
      </c>
      <c r="M133" s="53">
        <f t="shared" si="6"/>
        <v>76.228575464319491</v>
      </c>
      <c r="N133" s="95">
        <f>IFERROR((MP_DATA[[#This Row],[D, bottom '[m']]]+MP_DATA[[#This Row],[D, top '[m']]])/(2*MP_DATA[[#This Row],[t '[mm']]]/1000),"")</f>
        <v>113.95348837209303</v>
      </c>
      <c r="AP133" s="108"/>
      <c r="AQ133" s="109"/>
      <c r="AR133" s="109"/>
      <c r="AS133" s="109"/>
      <c r="AT133" s="109"/>
      <c r="AU133" s="110"/>
      <c r="AV133" s="53" t="str">
        <f>IFERROR(TP_DATA[[#This Row],[Top '[m']]]-TP_DATA[[#This Row],[Bottom '[m']]], "")</f>
        <v/>
      </c>
      <c r="AW133" s="53" t="str">
        <f>IFERROR(-(TP_DATA[[#This Row],[D, bottom '[m']]]-TP_DATA[[#This Row],[D, top '[m']]])/(TP_DATA[[#This Row],[Bottom '[m']]]-TP_DATA[[#This Row],[Top '[m']]]),"")</f>
        <v/>
      </c>
      <c r="AX133" s="53" t="str">
        <f t="shared" si="7"/>
        <v/>
      </c>
      <c r="AY133" s="95" t="str">
        <f>IFERROR((TP_DATA[[#This Row],[D, bottom '[m']]]+TP_DATA[[#This Row],[D, top '[m']]])/(2*TP_DATA[[#This Row],[t '[mm']]]/1000),"")</f>
        <v/>
      </c>
      <c r="CB133" s="226">
        <v>21</v>
      </c>
      <c r="CC133" s="227">
        <v>110.9</v>
      </c>
      <c r="CD133" s="227">
        <v>108.16000000000001</v>
      </c>
      <c r="CE133" s="227">
        <v>6.2249999999999996</v>
      </c>
      <c r="CF133" s="227">
        <v>6.226</v>
      </c>
      <c r="CG133" s="228">
        <v>25</v>
      </c>
      <c r="CH133" s="116">
        <f>IFERROR(TOWER_DATA[[#This Row],[Top '[m']]]-TOWER_DATA[[#This Row],[Bottom '[m']]], "")</f>
        <v>2.7399999999999949</v>
      </c>
      <c r="CI133" s="116">
        <f>IFERROR(-(TOWER_DATA[[#This Row],[D, bottom '[m']]]-TOWER_DATA[[#This Row],[D, top '[m']]])/(TOWER_DATA[[#This Row],[Bottom '[m']]]-TOWER_DATA[[#This Row],[Top '[m']]]),"")</f>
        <v>3.6496350364975758E-4</v>
      </c>
      <c r="CJ133" s="116">
        <f t="shared" si="8"/>
        <v>10.474584696294533</v>
      </c>
      <c r="CK133" s="119">
        <f>IFERROR((TOWER_DATA[[#This Row],[D, bottom '[m']]]+TOWER_DATA[[#This Row],[D, top '[m']]])/(2*TOWER_DATA[[#This Row],[t '[mm']]]/1000),"")</f>
        <v>249.02</v>
      </c>
      <c r="CM133" s="220" t="s">
        <v>410</v>
      </c>
      <c r="CN133" s="220">
        <v>102.25999999999999</v>
      </c>
      <c r="CO133" s="220">
        <v>102.25999999999999</v>
      </c>
      <c r="CP133" s="220">
        <v>5610</v>
      </c>
      <c r="CQ133" s="220"/>
      <c r="CR133" s="220"/>
      <c r="CS133" s="220"/>
      <c r="CT133" s="220"/>
      <c r="CU133" s="229"/>
      <c r="DU133" s="75" t="str">
        <f t="shared" si="9"/>
        <v/>
      </c>
      <c r="DV133" s="75"/>
    </row>
    <row r="134" spans="4:126" ht="18" customHeight="1">
      <c r="D134" s="126"/>
      <c r="E134" s="108">
        <v>22</v>
      </c>
      <c r="F134" s="109">
        <v>-69.349999999999994</v>
      </c>
      <c r="G134" s="109">
        <v>-73.05</v>
      </c>
      <c r="H134" s="109">
        <v>9.8000000000000007</v>
      </c>
      <c r="I134" s="109">
        <v>9.8000000000000007</v>
      </c>
      <c r="J134" s="110">
        <v>95</v>
      </c>
      <c r="K134" s="53">
        <f>IFERROR(MP_DATA[[#This Row],[Top '[m']]]-MP_DATA[[#This Row],[Bottom '[m']]], "")</f>
        <v>3.7000000000000028</v>
      </c>
      <c r="L134" s="53">
        <f>IFERROR(-(MP_DATA[[#This Row],[D, bottom '[m']]]-MP_DATA[[#This Row],[D, top '[m']]])/(MP_DATA[[#This Row],[Bottom '[m']]]-MP_DATA[[#This Row],[Top '[m']]]),"")</f>
        <v>0</v>
      </c>
      <c r="M134" s="53">
        <f t="shared" si="6"/>
        <v>84.127967861915877</v>
      </c>
      <c r="N134" s="95">
        <f>IFERROR((MP_DATA[[#This Row],[D, bottom '[m']]]+MP_DATA[[#This Row],[D, top '[m']]])/(2*MP_DATA[[#This Row],[t '[mm']]]/1000),"")</f>
        <v>103.15789473684211</v>
      </c>
      <c r="AP134" s="108"/>
      <c r="AQ134" s="109"/>
      <c r="AR134" s="109"/>
      <c r="AS134" s="109"/>
      <c r="AT134" s="109"/>
      <c r="AU134" s="110"/>
      <c r="AV134" s="53" t="str">
        <f>IFERROR(TP_DATA[[#This Row],[Top '[m']]]-TP_DATA[[#This Row],[Bottom '[m']]], "")</f>
        <v/>
      </c>
      <c r="AW134" s="53" t="str">
        <f>IFERROR(-(TP_DATA[[#This Row],[D, bottom '[m']]]-TP_DATA[[#This Row],[D, top '[m']]])/(TP_DATA[[#This Row],[Bottom '[m']]]-TP_DATA[[#This Row],[Top '[m']]]),"")</f>
        <v/>
      </c>
      <c r="AX134" s="53" t="str">
        <f t="shared" si="7"/>
        <v/>
      </c>
      <c r="AY134" s="95" t="str">
        <f>IFERROR((TP_DATA[[#This Row],[D, bottom '[m']]]+TP_DATA[[#This Row],[D, top '[m']]])/(2*TP_DATA[[#This Row],[t '[mm']]]/1000),"")</f>
        <v/>
      </c>
      <c r="CB134" s="226">
        <v>22</v>
      </c>
      <c r="CC134" s="227">
        <v>108.16000000000001</v>
      </c>
      <c r="CD134" s="227">
        <v>107.224</v>
      </c>
      <c r="CE134" s="227">
        <v>6.226</v>
      </c>
      <c r="CF134" s="227">
        <v>6.226</v>
      </c>
      <c r="CG134" s="228">
        <v>26</v>
      </c>
      <c r="CH134" s="116">
        <f>IFERROR(TOWER_DATA[[#This Row],[Top '[m']]]-TOWER_DATA[[#This Row],[Bottom '[m']]], "")</f>
        <v>0.93600000000000705</v>
      </c>
      <c r="CI134" s="116">
        <f>IFERROR(-(TOWER_DATA[[#This Row],[D, bottom '[m']]]-TOWER_DATA[[#This Row],[D, top '[m']]])/(TOWER_DATA[[#This Row],[Bottom '[m']]]-TOWER_DATA[[#This Row],[Top '[m']]]),"")</f>
        <v>0</v>
      </c>
      <c r="CJ134" s="116">
        <f t="shared" si="8"/>
        <v>3.7210063884604585</v>
      </c>
      <c r="CK134" s="119">
        <f>IFERROR((TOWER_DATA[[#This Row],[D, bottom '[m']]]+TOWER_DATA[[#This Row],[D, top '[m']]])/(2*TOWER_DATA[[#This Row],[t '[mm']]]/1000),"")</f>
        <v>239.46153846153848</v>
      </c>
      <c r="CM134" s="220" t="s">
        <v>410</v>
      </c>
      <c r="CN134" s="220">
        <v>102.1</v>
      </c>
      <c r="CO134" s="220">
        <v>102.1</v>
      </c>
      <c r="CP134" s="220">
        <v>8160</v>
      </c>
      <c r="CQ134" s="220"/>
      <c r="CR134" s="220"/>
      <c r="CS134" s="220"/>
      <c r="CT134" s="220"/>
      <c r="CU134" s="229"/>
      <c r="DU134" s="75" t="str">
        <f t="shared" si="9"/>
        <v/>
      </c>
      <c r="DV134" s="75"/>
    </row>
    <row r="135" spans="4:126" ht="18" customHeight="1">
      <c r="D135" s="126"/>
      <c r="E135" s="108">
        <v>23</v>
      </c>
      <c r="F135" s="109">
        <v>-73.05</v>
      </c>
      <c r="G135" s="109">
        <v>-76.05</v>
      </c>
      <c r="H135" s="109">
        <v>9.8000000000000007</v>
      </c>
      <c r="I135" s="109">
        <v>9.8000000000000007</v>
      </c>
      <c r="J135" s="110">
        <v>105</v>
      </c>
      <c r="K135" s="53">
        <f>IFERROR(MP_DATA[[#This Row],[Top '[m']]]-MP_DATA[[#This Row],[Bottom '[m']]], "")</f>
        <v>3</v>
      </c>
      <c r="L135" s="51">
        <f>IFERROR(-(MP_DATA[[#This Row],[D, bottom '[m']]]-MP_DATA[[#This Row],[D, top '[m']]])/(MP_DATA[[#This Row],[Bottom '[m']]]-MP_DATA[[#This Row],[Top '[m']]]),"")</f>
        <v>0</v>
      </c>
      <c r="M135" s="53">
        <f t="shared" si="6"/>
        <v>75.314378505222052</v>
      </c>
      <c r="N135" s="103">
        <f>IFERROR((MP_DATA[[#This Row],[D, bottom '[m']]]+MP_DATA[[#This Row],[D, top '[m']]])/(2*MP_DATA[[#This Row],[t '[mm']]]/1000),"")</f>
        <v>93.333333333333343</v>
      </c>
      <c r="AP135" s="108"/>
      <c r="AQ135" s="109"/>
      <c r="AR135" s="109"/>
      <c r="AS135" s="109"/>
      <c r="AT135" s="109"/>
      <c r="AU135" s="110"/>
      <c r="AV135" s="53" t="str">
        <f>IFERROR(TP_DATA[[#This Row],[Top '[m']]]-TP_DATA[[#This Row],[Bottom '[m']]], "")</f>
        <v/>
      </c>
      <c r="AW135" s="51" t="str">
        <f>IFERROR(-(TP_DATA[[#This Row],[D, bottom '[m']]]-TP_DATA[[#This Row],[D, top '[m']]])/(TP_DATA[[#This Row],[Bottom '[m']]]-TP_DATA[[#This Row],[Top '[m']]]),"")</f>
        <v/>
      </c>
      <c r="AX135" s="53" t="str">
        <f t="shared" si="7"/>
        <v/>
      </c>
      <c r="AY135" s="103" t="str">
        <f>IFERROR((TP_DATA[[#This Row],[D, bottom '[m']]]+TP_DATA[[#This Row],[D, top '[m']]])/(2*TP_DATA[[#This Row],[t '[mm']]]/1000),"")</f>
        <v/>
      </c>
      <c r="CB135" s="226">
        <v>23</v>
      </c>
      <c r="CC135" s="227">
        <v>107.224</v>
      </c>
      <c r="CD135" s="227">
        <v>105.23</v>
      </c>
      <c r="CE135" s="227">
        <v>6.226</v>
      </c>
      <c r="CF135" s="227">
        <v>6.226</v>
      </c>
      <c r="CG135" s="228">
        <v>26</v>
      </c>
      <c r="CH135" s="116">
        <f>IFERROR(TOWER_DATA[[#This Row],[Top '[m']]]-TOWER_DATA[[#This Row],[Bottom '[m']]], "")</f>
        <v>1.9939999999999998</v>
      </c>
      <c r="CI135">
        <f>IFERROR(-(TOWER_DATA[[#This Row],[D, bottom '[m']]]-TOWER_DATA[[#This Row],[D, top '[m']]])/(TOWER_DATA[[#This Row],[Bottom '[m']]]-TOWER_DATA[[#This Row],[Top '[m']]]),"")</f>
        <v>0</v>
      </c>
      <c r="CJ135" s="116">
        <f t="shared" si="8"/>
        <v>7.9270157463569424</v>
      </c>
      <c r="CK135" s="96">
        <f>IFERROR((TOWER_DATA[[#This Row],[D, bottom '[m']]]+TOWER_DATA[[#This Row],[D, top '[m']]])/(2*TOWER_DATA[[#This Row],[t '[mm']]]/1000),"")</f>
        <v>239.46153846153848</v>
      </c>
      <c r="CM135" s="220" t="s">
        <v>410</v>
      </c>
      <c r="CN135" s="220">
        <v>101.94</v>
      </c>
      <c r="CO135" s="220">
        <v>101.94</v>
      </c>
      <c r="CP135" s="220">
        <v>5</v>
      </c>
      <c r="CQ135" s="220"/>
      <c r="CR135" s="220"/>
      <c r="CS135" s="220"/>
      <c r="CT135" s="220"/>
      <c r="CU135" s="229"/>
    </row>
    <row r="136" spans="4:126" ht="18" customHeight="1">
      <c r="D136" s="126"/>
      <c r="K136" s="53" t="str">
        <f>IFERROR(MP_DATA[[#This Row],[Top '[m']]]-MP_DATA[[#This Row],[Bottom '[m']]], "")</f>
        <v/>
      </c>
      <c r="L136" s="75" t="str">
        <f>IFERROR(-(MP_DATA[[#This Row],[D, bottom '[m']]]-MP_DATA[[#This Row],[D, top '[m']]])/(MP_DATA[[#This Row],[Bottom '[m']]]-MP_DATA[[#This Row],[Top '[m']]]),"")</f>
        <v/>
      </c>
      <c r="M136" s="53" t="str">
        <f t="shared" si="6"/>
        <v/>
      </c>
      <c r="N136" s="96" t="str">
        <f>IFERROR((MP_DATA[[#This Row],[D, bottom '[m']]]+MP_DATA[[#This Row],[D, top '[m']]])/(2*MP_DATA[[#This Row],[t '[mm']]]/1000),"")</f>
        <v/>
      </c>
      <c r="AV136" s="53" t="str">
        <f>IFERROR(TP_DATA[[#This Row],[Top '[m']]]-TP_DATA[[#This Row],[Bottom '[m']]], "")</f>
        <v/>
      </c>
      <c r="AW136" s="75" t="str">
        <f>IFERROR(-(TP_DATA[[#This Row],[D, bottom '[m']]]-TP_DATA[[#This Row],[D, top '[m']]])/(TP_DATA[[#This Row],[Bottom '[m']]]-TP_DATA[[#This Row],[Top '[m']]]),"")</f>
        <v/>
      </c>
      <c r="AX136" s="53" t="str">
        <f t="shared" si="7"/>
        <v/>
      </c>
      <c r="AY136" s="96" t="str">
        <f>IFERROR((TP_DATA[[#This Row],[D, bottom '[m']]]+TP_DATA[[#This Row],[D, top '[m']]])/(2*TP_DATA[[#This Row],[t '[mm']]]/1000),"")</f>
        <v/>
      </c>
      <c r="CB136" s="226">
        <v>24</v>
      </c>
      <c r="CC136" s="227">
        <v>105.23</v>
      </c>
      <c r="CD136" s="227">
        <v>102.30000000000001</v>
      </c>
      <c r="CE136" s="227">
        <v>6.226</v>
      </c>
      <c r="CF136" s="227">
        <v>6.2279999999999998</v>
      </c>
      <c r="CG136" s="228">
        <v>26</v>
      </c>
      <c r="CH136" s="116">
        <f>IFERROR(TOWER_DATA[[#This Row],[Top '[m']]]-TOWER_DATA[[#This Row],[Bottom '[m']]], "")</f>
        <v>2.9299999999999926</v>
      </c>
      <c r="CI136" s="75">
        <f>IFERROR(-(TOWER_DATA[[#This Row],[D, bottom '[m']]]-TOWER_DATA[[#This Row],[D, top '[m']]])/(TOWER_DATA[[#This Row],[Bottom '[m']]]-TOWER_DATA[[#This Row],[Top '[m']]]),"")</f>
        <v>6.825938566552166E-4</v>
      </c>
      <c r="CJ136" s="116">
        <f t="shared" si="8"/>
        <v>11.64990084806473</v>
      </c>
      <c r="CK136" s="96">
        <f>IFERROR((TOWER_DATA[[#This Row],[D, bottom '[m']]]+TOWER_DATA[[#This Row],[D, top '[m']]])/(2*TOWER_DATA[[#This Row],[t '[mm']]]/1000),"")</f>
        <v>239.50000000000003</v>
      </c>
      <c r="CM136" s="220" t="s">
        <v>410</v>
      </c>
      <c r="CN136" s="220">
        <v>101.89999999999999</v>
      </c>
      <c r="CO136" s="220">
        <v>101.89999999999999</v>
      </c>
      <c r="CP136" s="220">
        <v>1</v>
      </c>
      <c r="CQ136" s="220"/>
      <c r="CR136" s="220"/>
      <c r="CS136" s="220"/>
      <c r="CT136" s="220"/>
      <c r="CU136" s="229"/>
    </row>
    <row r="137" spans="4:126" ht="18" customHeight="1">
      <c r="D137" s="126"/>
      <c r="K137" s="53" t="str">
        <f>IFERROR(MP_DATA[[#This Row],[Top '[m']]]-MP_DATA[[#This Row],[Bottom '[m']]], "")</f>
        <v/>
      </c>
      <c r="L137" s="75" t="str">
        <f>IFERROR(-(MP_DATA[[#This Row],[D, bottom '[m']]]-MP_DATA[[#This Row],[D, top '[m']]])/(MP_DATA[[#This Row],[Bottom '[m']]]-MP_DATA[[#This Row],[Top '[m']]]),"")</f>
        <v/>
      </c>
      <c r="M137" s="53" t="str">
        <f t="shared" si="6"/>
        <v/>
      </c>
      <c r="N137" s="96" t="str">
        <f>IFERROR((MP_DATA[[#This Row],[D, bottom '[m']]]+MP_DATA[[#This Row],[D, top '[m']]])/(2*MP_DATA[[#This Row],[t '[mm']]]/1000),"")</f>
        <v/>
      </c>
      <c r="AV137" s="53" t="str">
        <f>IFERROR(TP_DATA[[#This Row],[Top '[m']]]-TP_DATA[[#This Row],[Bottom '[m']]], "")</f>
        <v/>
      </c>
      <c r="AW137" s="75" t="str">
        <f>IFERROR(-(TP_DATA[[#This Row],[D, bottom '[m']]]-TP_DATA[[#This Row],[D, top '[m']]])/(TP_DATA[[#This Row],[Bottom '[m']]]-TP_DATA[[#This Row],[Top '[m']]]),"")</f>
        <v/>
      </c>
      <c r="AX137" s="53" t="str">
        <f t="shared" si="7"/>
        <v/>
      </c>
      <c r="AY137" s="96" t="str">
        <f>IFERROR((TP_DATA[[#This Row],[D, bottom '[m']]]+TP_DATA[[#This Row],[D, top '[m']]])/(2*TP_DATA[[#This Row],[t '[mm']]]/1000),"")</f>
        <v/>
      </c>
      <c r="CB137" s="226">
        <v>25</v>
      </c>
      <c r="CC137" s="227">
        <v>102.30000000000001</v>
      </c>
      <c r="CD137" s="227">
        <v>102.26</v>
      </c>
      <c r="CE137" s="227">
        <v>6.2279999999999998</v>
      </c>
      <c r="CF137" s="227">
        <v>6.2279999999999998</v>
      </c>
      <c r="CG137" s="228">
        <v>28</v>
      </c>
      <c r="CH137" s="116">
        <f>IFERROR(TOWER_DATA[[#This Row],[Top '[m']]]-TOWER_DATA[[#This Row],[Bottom '[m']]], "")</f>
        <v>4.0000000000006253E-2</v>
      </c>
      <c r="CI137" s="75">
        <f>IFERROR(-(TOWER_DATA[[#This Row],[D, bottom '[m']]]-TOWER_DATA[[#This Row],[D, top '[m']]])/(TOWER_DATA[[#This Row],[Bottom '[m']]]-TOWER_DATA[[#This Row],[Top '[m']]]),"")</f>
        <v>0</v>
      </c>
      <c r="CJ137" s="116">
        <f t="shared" si="8"/>
        <v>0.17124947218426703</v>
      </c>
      <c r="CK137" s="96">
        <f>IFERROR((TOWER_DATA[[#This Row],[D, bottom '[m']]]+TOWER_DATA[[#This Row],[D, top '[m']]])/(2*TOWER_DATA[[#This Row],[t '[mm']]]/1000),"")</f>
        <v>222.42857142857142</v>
      </c>
      <c r="CM137" s="220" t="s">
        <v>410</v>
      </c>
      <c r="CN137" s="220">
        <v>100.89999999999999</v>
      </c>
      <c r="CO137" s="220">
        <v>100.89999999999999</v>
      </c>
      <c r="CP137" s="220">
        <v>1003</v>
      </c>
      <c r="CQ137" s="220"/>
      <c r="CR137" s="220"/>
      <c r="CS137" s="220"/>
      <c r="CT137" s="220"/>
      <c r="CU137" s="229"/>
    </row>
    <row r="138" spans="4:126" ht="18" customHeight="1">
      <c r="D138" s="126"/>
      <c r="K138" s="53" t="str">
        <f>IFERROR(MP_DATA[[#This Row],[Top '[m']]]-MP_DATA[[#This Row],[Bottom '[m']]], "")</f>
        <v/>
      </c>
      <c r="M138" s="53" t="str">
        <f t="shared" si="6"/>
        <v/>
      </c>
      <c r="N138" s="96" t="str">
        <f>IFERROR((MP_DATA[[#This Row],[D, bottom '[m']]]+MP_DATA[[#This Row],[D, top '[m']]])/(2*MP_DATA[[#This Row],[t '[mm']]]/1000),"")</f>
        <v/>
      </c>
      <c r="AV138" s="53" t="str">
        <f>IFERROR(TP_DATA[[#This Row],[Top '[m']]]-TP_DATA[[#This Row],[Bottom '[m']]], "")</f>
        <v/>
      </c>
      <c r="AX138" s="53" t="str">
        <f t="shared" si="7"/>
        <v/>
      </c>
      <c r="AY138" s="96" t="str">
        <f>IFERROR((TP_DATA[[#This Row],[D, bottom '[m']]]+TP_DATA[[#This Row],[D, top '[m']]])/(2*TP_DATA[[#This Row],[t '[mm']]]/1000),"")</f>
        <v/>
      </c>
      <c r="CB138" s="226">
        <v>26</v>
      </c>
      <c r="CC138" s="227">
        <v>102.26</v>
      </c>
      <c r="CD138" s="227">
        <v>102.10000000000001</v>
      </c>
      <c r="CE138" s="227">
        <v>6.2279999999999998</v>
      </c>
      <c r="CF138" s="227">
        <v>6.2279999999999998</v>
      </c>
      <c r="CG138" s="228">
        <v>28</v>
      </c>
      <c r="CH138" s="116">
        <f>IFERROR(TOWER_DATA[[#This Row],[Top '[m']]]-TOWER_DATA[[#This Row],[Bottom '[m']]], "")</f>
        <v>0.15999999999999659</v>
      </c>
      <c r="CJ138" s="116">
        <f t="shared" si="8"/>
        <v>0.68499788873694645</v>
      </c>
      <c r="CK138" s="96">
        <f>IFERROR((TOWER_DATA[[#This Row],[D, bottom '[m']]]+TOWER_DATA[[#This Row],[D, top '[m']]])/(2*TOWER_DATA[[#This Row],[t '[mm']]]/1000),"")</f>
        <v>222.42857142857142</v>
      </c>
      <c r="CM138" s="220" t="s">
        <v>410</v>
      </c>
      <c r="CN138" s="220">
        <v>99.002999999999986</v>
      </c>
      <c r="CO138" s="220">
        <v>99.002999999999986</v>
      </c>
      <c r="CP138" s="220">
        <v>137</v>
      </c>
      <c r="CQ138" s="220"/>
      <c r="CR138" s="220"/>
      <c r="CS138" s="220"/>
      <c r="CT138" s="220"/>
      <c r="CU138" s="229"/>
    </row>
    <row r="139" spans="4:126" ht="18" customHeight="1">
      <c r="D139" s="126"/>
      <c r="K139" s="53" t="str">
        <f>IFERROR(MP_DATA[[#This Row],[Top '[m']]]-MP_DATA[[#This Row],[Bottom '[m']]], "")</f>
        <v/>
      </c>
      <c r="AV139" s="53" t="str">
        <f>IFERROR(TP_DATA[[#This Row],[Top '[m']]]-TP_DATA[[#This Row],[Bottom '[m']]], "")</f>
        <v/>
      </c>
      <c r="CB139" s="226">
        <v>27</v>
      </c>
      <c r="CC139" s="227">
        <v>102.10000000000001</v>
      </c>
      <c r="CD139" s="227">
        <v>101.94000000000001</v>
      </c>
      <c r="CE139" s="227">
        <v>6.2279999999999998</v>
      </c>
      <c r="CF139" s="227">
        <v>6.2279999999999998</v>
      </c>
      <c r="CG139" s="228">
        <v>28</v>
      </c>
      <c r="CH139" s="116">
        <f>IFERROR(TOWER_DATA[[#This Row],[Top '[m']]]-TOWER_DATA[[#This Row],[Bottom '[m']]], "")</f>
        <v>0.15999999999999659</v>
      </c>
      <c r="CM139" s="220" t="s">
        <v>410</v>
      </c>
      <c r="CN139" s="220">
        <v>94.891999999999996</v>
      </c>
      <c r="CO139" s="220">
        <v>94.891999999999996</v>
      </c>
      <c r="CP139" s="220">
        <v>138</v>
      </c>
      <c r="CQ139" s="220"/>
      <c r="CR139" s="220"/>
      <c r="CS139" s="220"/>
      <c r="CT139" s="220"/>
      <c r="CU139" s="229"/>
    </row>
    <row r="140" spans="4:126" ht="18" customHeight="1">
      <c r="D140" s="126"/>
      <c r="K140" s="53" t="str">
        <f>IFERROR(MP_DATA[[#This Row],[Top '[m']]]-MP_DATA[[#This Row],[Bottom '[m']]], "")</f>
        <v/>
      </c>
      <c r="AV140" s="53" t="str">
        <f>IFERROR(TP_DATA[[#This Row],[Top '[m']]]-TP_DATA[[#This Row],[Bottom '[m']]], "")</f>
        <v/>
      </c>
      <c r="CB140" s="226">
        <v>28</v>
      </c>
      <c r="CC140" s="227">
        <v>101.94000000000001</v>
      </c>
      <c r="CD140" s="227">
        <v>101.9</v>
      </c>
      <c r="CE140" s="227">
        <v>6.2279999999999998</v>
      </c>
      <c r="CF140" s="227">
        <v>6.23</v>
      </c>
      <c r="CG140" s="228">
        <v>28</v>
      </c>
      <c r="CH140" s="116">
        <f>IFERROR(TOWER_DATA[[#This Row],[Top '[m']]]-TOWER_DATA[[#This Row],[Bottom '[m']]], "")</f>
        <v>4.0000000000006253E-2</v>
      </c>
      <c r="CM140" s="220" t="s">
        <v>410</v>
      </c>
      <c r="CN140" s="220">
        <v>91.005999999999986</v>
      </c>
      <c r="CO140" s="220">
        <v>91.005999999999986</v>
      </c>
      <c r="CP140" s="220">
        <v>138</v>
      </c>
      <c r="CQ140" s="220"/>
      <c r="CR140" s="220"/>
      <c r="CS140" s="220"/>
      <c r="CT140" s="220"/>
      <c r="CU140" s="229"/>
    </row>
    <row r="141" spans="4:126" ht="18" customHeight="1">
      <c r="D141" s="126"/>
      <c r="K141" s="53" t="str">
        <f>IFERROR(MP_DATA[[#This Row],[Top '[m']]]-MP_DATA[[#This Row],[Bottom '[m']]], "")</f>
        <v/>
      </c>
      <c r="AV141" s="53" t="str">
        <f>IFERROR(TP_DATA[[#This Row],[Top '[m']]]-TP_DATA[[#This Row],[Bottom '[m']]], "")</f>
        <v/>
      </c>
      <c r="CB141" s="226">
        <v>29</v>
      </c>
      <c r="CC141" s="227">
        <v>101.9</v>
      </c>
      <c r="CD141" s="227">
        <v>100.9</v>
      </c>
      <c r="CE141" s="227">
        <v>6.23</v>
      </c>
      <c r="CF141" s="227">
        <v>6.2530000000000001</v>
      </c>
      <c r="CG141" s="228">
        <v>30.099999999999998</v>
      </c>
      <c r="CH141" s="116">
        <f>IFERROR(TOWER_DATA[[#This Row],[Top '[m']]]-TOWER_DATA[[#This Row],[Bottom '[m']]], "")</f>
        <v>1</v>
      </c>
      <c r="CM141" s="220" t="s">
        <v>410</v>
      </c>
      <c r="CN141" s="220">
        <v>90.899999999999991</v>
      </c>
      <c r="CO141" s="220">
        <v>90.899999999999991</v>
      </c>
      <c r="CP141" s="220">
        <v>139</v>
      </c>
      <c r="CQ141" s="220"/>
      <c r="CR141" s="220"/>
      <c r="CS141" s="220"/>
      <c r="CT141" s="220"/>
      <c r="CU141" s="229"/>
    </row>
    <row r="142" spans="4:126" ht="18" customHeight="1">
      <c r="D142" s="126"/>
      <c r="K142" s="53" t="str">
        <f>IFERROR(MP_DATA[[#This Row],[Top '[m']]]-MP_DATA[[#This Row],[Bottom '[m']]], "")</f>
        <v/>
      </c>
      <c r="AV142" s="53" t="str">
        <f>IFERROR(TP_DATA[[#This Row],[Top '[m']]]-TP_DATA[[#This Row],[Bottom '[m']]], "")</f>
        <v/>
      </c>
      <c r="CB142" s="226">
        <v>30</v>
      </c>
      <c r="CC142" s="227">
        <v>100.9</v>
      </c>
      <c r="CD142" s="227">
        <v>99.172000000000011</v>
      </c>
      <c r="CE142" s="227">
        <v>6.2530000000000001</v>
      </c>
      <c r="CF142" s="227">
        <v>6.2889999999999997</v>
      </c>
      <c r="CG142" s="228">
        <v>30.099999999999998</v>
      </c>
      <c r="CH142" s="116">
        <f>IFERROR(TOWER_DATA[[#This Row],[Top '[m']]]-TOWER_DATA[[#This Row],[Bottom '[m']]], "")</f>
        <v>1.7279999999999944</v>
      </c>
      <c r="CM142" s="220" t="s">
        <v>410</v>
      </c>
      <c r="CN142" s="220">
        <v>86.670999999999992</v>
      </c>
      <c r="CO142" s="220">
        <v>86.670999999999992</v>
      </c>
      <c r="CP142" s="220">
        <v>139</v>
      </c>
      <c r="CQ142" s="220"/>
      <c r="CR142" s="220"/>
      <c r="CS142" s="220"/>
      <c r="CT142" s="220"/>
      <c r="CU142" s="229"/>
    </row>
    <row r="143" spans="4:126" ht="18" customHeight="1">
      <c r="D143" s="126"/>
      <c r="K143" s="53" t="str">
        <f>IFERROR(MP_DATA[[#This Row],[Top '[m']]]-MP_DATA[[#This Row],[Bottom '[m']]], "")</f>
        <v/>
      </c>
      <c r="AV143" s="53" t="str">
        <f>IFERROR(TP_DATA[[#This Row],[Top '[m']]]-TP_DATA[[#This Row],[Bottom '[m']]], "")</f>
        <v/>
      </c>
      <c r="CB143" s="226">
        <v>31</v>
      </c>
      <c r="CC143" s="227">
        <v>99.172000000000011</v>
      </c>
      <c r="CD143" s="227">
        <v>99.003</v>
      </c>
      <c r="CE143" s="227">
        <v>6.2889999999999997</v>
      </c>
      <c r="CF143" s="227">
        <v>6.2919999999999998</v>
      </c>
      <c r="CG143" s="228">
        <v>26.5</v>
      </c>
      <c r="CH143" s="116">
        <f>IFERROR(TOWER_DATA[[#This Row],[Top '[m']]]-TOWER_DATA[[#This Row],[Bottom '[m']]], "")</f>
        <v>0.16900000000001114</v>
      </c>
      <c r="CM143" s="220" t="s">
        <v>410</v>
      </c>
      <c r="CN143" s="220">
        <v>82.839999999999989</v>
      </c>
      <c r="CO143" s="220">
        <v>82.839999999999989</v>
      </c>
      <c r="CP143" s="220">
        <v>140</v>
      </c>
      <c r="CQ143" s="220"/>
      <c r="CR143" s="220"/>
      <c r="CS143" s="220"/>
      <c r="CT143" s="220"/>
      <c r="CU143" s="229"/>
    </row>
    <row r="144" spans="4:126" ht="18" customHeight="1">
      <c r="D144" s="126"/>
      <c r="K144" s="53" t="str">
        <f>IFERROR(MP_DATA[[#This Row],[Top '[m']]]-MP_DATA[[#This Row],[Bottom '[m']]], "")</f>
        <v/>
      </c>
      <c r="AV144" s="53" t="str">
        <f>IFERROR(TP_DATA[[#This Row],[Top '[m']]]-TP_DATA[[#This Row],[Bottom '[m']]], "")</f>
        <v/>
      </c>
      <c r="CB144" s="226">
        <v>32</v>
      </c>
      <c r="CC144" s="227">
        <v>99.003</v>
      </c>
      <c r="CD144" s="227">
        <v>96.45</v>
      </c>
      <c r="CE144" s="227">
        <v>6.2919999999999998</v>
      </c>
      <c r="CF144" s="227">
        <v>6.351</v>
      </c>
      <c r="CG144" s="228">
        <v>26.5</v>
      </c>
      <c r="CH144" s="116">
        <f>IFERROR(TOWER_DATA[[#This Row],[Top '[m']]]-TOWER_DATA[[#This Row],[Bottom '[m']]], "")</f>
        <v>2.5529999999999973</v>
      </c>
      <c r="CM144" s="220" t="s">
        <v>410</v>
      </c>
      <c r="CN144" s="220">
        <v>80.899999999999991</v>
      </c>
      <c r="CO144" s="220">
        <v>80.899999999999991</v>
      </c>
      <c r="CP144" s="220">
        <v>140</v>
      </c>
      <c r="CQ144" s="220"/>
      <c r="CR144" s="220"/>
      <c r="CS144" s="220"/>
      <c r="CT144" s="220"/>
      <c r="CU144" s="229"/>
    </row>
    <row r="145" spans="4:99" ht="18" customHeight="1">
      <c r="D145" s="126"/>
      <c r="K145" s="53" t="str">
        <f>IFERROR(MP_DATA[[#This Row],[Top '[m']]]-MP_DATA[[#This Row],[Bottom '[m']]], "")</f>
        <v/>
      </c>
      <c r="AV145" s="53" t="str">
        <f>IFERROR(TP_DATA[[#This Row],[Top '[m']]]-TP_DATA[[#This Row],[Bottom '[m']]], "")</f>
        <v/>
      </c>
      <c r="CB145" s="226">
        <v>33</v>
      </c>
      <c r="CC145" s="227">
        <v>96.45</v>
      </c>
      <c r="CD145" s="227">
        <v>94.89200000000001</v>
      </c>
      <c r="CE145" s="227">
        <v>6.351</v>
      </c>
      <c r="CF145" s="227">
        <v>6.3869999999999996</v>
      </c>
      <c r="CG145" s="228">
        <v>28</v>
      </c>
      <c r="CH145" s="116">
        <f>IFERROR(TOWER_DATA[[#This Row],[Top '[m']]]-TOWER_DATA[[#This Row],[Bottom '[m']]], "")</f>
        <v>1.5579999999999927</v>
      </c>
      <c r="CM145" s="220" t="s">
        <v>410</v>
      </c>
      <c r="CN145" s="220">
        <v>78.449999999999989</v>
      </c>
      <c r="CO145" s="220">
        <v>78.449999999999989</v>
      </c>
      <c r="CP145" s="220">
        <v>141</v>
      </c>
      <c r="CQ145" s="220"/>
      <c r="CR145" s="220"/>
      <c r="CS145" s="220"/>
      <c r="CT145" s="220"/>
      <c r="CU145" s="229"/>
    </row>
    <row r="146" spans="4:99" ht="18" customHeight="1">
      <c r="D146" s="126"/>
      <c r="K146" s="53" t="str">
        <f>IFERROR(MP_DATA[[#This Row],[Top '[m']]]-MP_DATA[[#This Row],[Bottom '[m']]], "")</f>
        <v/>
      </c>
      <c r="AV146" s="53" t="str">
        <f>IFERROR(TP_DATA[[#This Row],[Top '[m']]]-TP_DATA[[#This Row],[Bottom '[m']]], "")</f>
        <v/>
      </c>
      <c r="CB146" s="226">
        <v>34</v>
      </c>
      <c r="CC146" s="227">
        <v>94.89200000000001</v>
      </c>
      <c r="CD146" s="227">
        <v>93.728000000000009</v>
      </c>
      <c r="CE146" s="227">
        <v>6.3869999999999996</v>
      </c>
      <c r="CF146" s="227">
        <v>6.4139999999999997</v>
      </c>
      <c r="CG146" s="228">
        <v>28</v>
      </c>
      <c r="CH146" s="116">
        <f>IFERROR(TOWER_DATA[[#This Row],[Top '[m']]]-TOWER_DATA[[#This Row],[Bottom '[m']]], "")</f>
        <v>1.1640000000000015</v>
      </c>
      <c r="CM146" s="220" t="s">
        <v>410</v>
      </c>
      <c r="CN146" s="220">
        <v>74.673999999999992</v>
      </c>
      <c r="CO146" s="220">
        <v>74.673999999999992</v>
      </c>
      <c r="CP146" s="220">
        <v>141</v>
      </c>
      <c r="CQ146" s="220"/>
      <c r="CR146" s="220"/>
      <c r="CS146" s="220"/>
      <c r="CT146" s="220"/>
      <c r="CU146" s="229"/>
    </row>
    <row r="147" spans="4:99" ht="18" customHeight="1">
      <c r="D147" s="126"/>
      <c r="K147" s="53" t="str">
        <f>IFERROR(MP_DATA[[#This Row],[Top '[m']]]-MP_DATA[[#This Row],[Bottom '[m']]], "")</f>
        <v/>
      </c>
      <c r="AV147" s="53" t="str">
        <f>IFERROR(TP_DATA[[#This Row],[Top '[m']]]-TP_DATA[[#This Row],[Bottom '[m']]], "")</f>
        <v/>
      </c>
      <c r="CB147" s="226">
        <v>35</v>
      </c>
      <c r="CC147" s="227">
        <v>93.728000000000009</v>
      </c>
      <c r="CD147" s="227">
        <v>91.006</v>
      </c>
      <c r="CE147" s="227">
        <v>6.4139999999999997</v>
      </c>
      <c r="CF147" s="227">
        <v>6.4749999999999996</v>
      </c>
      <c r="CG147" s="228">
        <v>28.6</v>
      </c>
      <c r="CH147" s="116">
        <f>IFERROR(TOWER_DATA[[#This Row],[Top '[m']]]-TOWER_DATA[[#This Row],[Bottom '[m']]], "")</f>
        <v>2.7220000000000084</v>
      </c>
      <c r="CM147" s="220" t="s">
        <v>410</v>
      </c>
      <c r="CN147" s="220">
        <v>71.951999999999984</v>
      </c>
      <c r="CO147" s="220">
        <v>71.951999999999984</v>
      </c>
      <c r="CP147" s="220">
        <v>142</v>
      </c>
      <c r="CQ147" s="220"/>
      <c r="CR147" s="220"/>
      <c r="CS147" s="220"/>
      <c r="CT147" s="220"/>
      <c r="CU147" s="229"/>
    </row>
    <row r="148" spans="4:99" ht="18" customHeight="1">
      <c r="D148" s="126"/>
      <c r="K148" s="53" t="str">
        <f>IFERROR(MP_DATA[[#This Row],[Top '[m']]]-MP_DATA[[#This Row],[Bottom '[m']]], "")</f>
        <v/>
      </c>
      <c r="AV148" s="53" t="str">
        <f>IFERROR(TP_DATA[[#This Row],[Top '[m']]]-TP_DATA[[#This Row],[Bottom '[m']]], "")</f>
        <v/>
      </c>
      <c r="CB148" s="226">
        <v>36</v>
      </c>
      <c r="CC148" s="227">
        <v>91.006</v>
      </c>
      <c r="CD148" s="227">
        <v>90.9</v>
      </c>
      <c r="CE148" s="227">
        <v>6.4749999999999996</v>
      </c>
      <c r="CF148" s="227">
        <v>6.4779999999999998</v>
      </c>
      <c r="CG148" s="228">
        <v>29.4</v>
      </c>
      <c r="CH148" s="116">
        <f>IFERROR(TOWER_DATA[[#This Row],[Top '[m']]]-TOWER_DATA[[#This Row],[Bottom '[m']]], "")</f>
        <v>0.10599999999999454</v>
      </c>
      <c r="CM148" s="220" t="s">
        <v>410</v>
      </c>
      <c r="CN148" s="220">
        <v>70.899999999999991</v>
      </c>
      <c r="CO148" s="220">
        <v>70.899999999999991</v>
      </c>
      <c r="CP148" s="220">
        <v>143</v>
      </c>
      <c r="CQ148" s="220"/>
      <c r="CR148" s="220"/>
      <c r="CS148" s="220"/>
      <c r="CT148" s="220"/>
      <c r="CU148" s="229"/>
    </row>
    <row r="149" spans="4:99" ht="18" customHeight="1">
      <c r="D149" s="126"/>
      <c r="K149" s="53" t="str">
        <f>IFERROR(MP_DATA[[#This Row],[Top '[m']]]-MP_DATA[[#This Row],[Bottom '[m']]], "")</f>
        <v/>
      </c>
      <c r="AV149" s="53" t="str">
        <f>IFERROR(TP_DATA[[#This Row],[Top '[m']]]-TP_DATA[[#This Row],[Bottom '[m']]], "")</f>
        <v/>
      </c>
      <c r="CB149" s="226">
        <v>37</v>
      </c>
      <c r="CC149" s="227">
        <v>90.9</v>
      </c>
      <c r="CD149" s="227">
        <v>88.284000000000006</v>
      </c>
      <c r="CE149" s="227">
        <v>6.4779999999999998</v>
      </c>
      <c r="CF149" s="227">
        <v>6.5380000000000003</v>
      </c>
      <c r="CG149" s="228">
        <v>29.4</v>
      </c>
      <c r="CH149" s="116">
        <f>IFERROR(TOWER_DATA[[#This Row],[Top '[m']]]-TOWER_DATA[[#This Row],[Bottom '[m']]], "")</f>
        <v>2.6159999999999997</v>
      </c>
      <c r="CM149" s="220" t="s">
        <v>410</v>
      </c>
      <c r="CN149" s="220">
        <v>66.489999999999995</v>
      </c>
      <c r="CO149" s="220">
        <v>66.489999999999995</v>
      </c>
      <c r="CP149" s="220">
        <v>144</v>
      </c>
      <c r="CQ149" s="220"/>
      <c r="CR149" s="220"/>
      <c r="CS149" s="220"/>
      <c r="CT149" s="220"/>
      <c r="CU149" s="229"/>
    </row>
    <row r="150" spans="4:99" ht="18" customHeight="1">
      <c r="D150" s="126"/>
      <c r="K150" s="53" t="str">
        <f>IFERROR(MP_DATA[[#This Row],[Top '[m']]]-MP_DATA[[#This Row],[Bottom '[m']]], "")</f>
        <v/>
      </c>
      <c r="AV150" s="53" t="str">
        <f>IFERROR(TP_DATA[[#This Row],[Top '[m']]]-TP_DATA[[#This Row],[Bottom '[m']]], "")</f>
        <v/>
      </c>
      <c r="CB150" s="226">
        <v>38</v>
      </c>
      <c r="CC150" s="227">
        <v>88.284000000000006</v>
      </c>
      <c r="CD150" s="227">
        <v>86.671000000000006</v>
      </c>
      <c r="CE150" s="227">
        <v>6.5380000000000003</v>
      </c>
      <c r="CF150" s="227">
        <v>6.5739999999999998</v>
      </c>
      <c r="CG150" s="228">
        <v>29.5</v>
      </c>
      <c r="CH150" s="116">
        <f>IFERROR(TOWER_DATA[[#This Row],[Top '[m']]]-TOWER_DATA[[#This Row],[Bottom '[m']]], "")</f>
        <v>1.6129999999999995</v>
      </c>
      <c r="CM150" s="220" t="s">
        <v>410</v>
      </c>
      <c r="CN150" s="220">
        <v>66.444999999999993</v>
      </c>
      <c r="CO150" s="220">
        <v>66.444999999999993</v>
      </c>
      <c r="CP150" s="220">
        <v>7316</v>
      </c>
      <c r="CQ150" s="220"/>
      <c r="CR150" s="220"/>
      <c r="CS150" s="220"/>
      <c r="CT150" s="220"/>
      <c r="CU150" s="229"/>
    </row>
    <row r="151" spans="4:99" ht="18" customHeight="1">
      <c r="D151" s="126"/>
      <c r="K151" s="53" t="str">
        <f>IFERROR(MP_DATA[[#This Row],[Top '[m']]]-MP_DATA[[#This Row],[Bottom '[m']]], "")</f>
        <v/>
      </c>
      <c r="AV151" s="53" t="str">
        <f>IFERROR(TP_DATA[[#This Row],[Top '[m']]]-TP_DATA[[#This Row],[Bottom '[m']]], "")</f>
        <v/>
      </c>
      <c r="CB151" s="226">
        <v>39</v>
      </c>
      <c r="CC151" s="227">
        <v>86.671000000000006</v>
      </c>
      <c r="CD151" s="227">
        <v>85.562000000000012</v>
      </c>
      <c r="CE151" s="227">
        <v>6.5739999999999998</v>
      </c>
      <c r="CF151" s="227">
        <v>6.601</v>
      </c>
      <c r="CG151" s="228">
        <v>29.5</v>
      </c>
      <c r="CH151" s="116">
        <f>IFERROR(TOWER_DATA[[#This Row],[Top '[m']]]-TOWER_DATA[[#This Row],[Bottom '[m']]], "")</f>
        <v>1.1089999999999947</v>
      </c>
      <c r="CM151" s="220" t="s">
        <v>410</v>
      </c>
      <c r="CN151" s="220">
        <v>66.259999999999991</v>
      </c>
      <c r="CO151" s="220">
        <v>66.259999999999991</v>
      </c>
      <c r="CP151" s="220">
        <v>10048</v>
      </c>
      <c r="CQ151" s="220"/>
      <c r="CR151" s="220"/>
      <c r="CS151" s="220"/>
      <c r="CT151" s="220"/>
      <c r="CU151" s="229"/>
    </row>
    <row r="152" spans="4:99" ht="18" customHeight="1">
      <c r="D152" s="126"/>
      <c r="K152" s="53" t="str">
        <f>IFERROR(MP_DATA[[#This Row],[Top '[m']]]-MP_DATA[[#This Row],[Bottom '[m']]], "")</f>
        <v/>
      </c>
      <c r="AV152" s="53" t="str">
        <f>IFERROR(TP_DATA[[#This Row],[Top '[m']]]-TP_DATA[[#This Row],[Bottom '[m']]], "")</f>
        <v/>
      </c>
      <c r="CB152" s="226">
        <v>40</v>
      </c>
      <c r="CC152" s="227">
        <v>85.562000000000012</v>
      </c>
      <c r="CD152" s="227">
        <v>82.84</v>
      </c>
      <c r="CE152" s="227">
        <v>6.601</v>
      </c>
      <c r="CF152" s="227">
        <v>6.6619999999999999</v>
      </c>
      <c r="CG152" s="228">
        <v>31.5</v>
      </c>
      <c r="CH152" s="116">
        <f>IFERROR(TOWER_DATA[[#This Row],[Top '[m']]]-TOWER_DATA[[#This Row],[Bottom '[m']]], "")</f>
        <v>2.7220000000000084</v>
      </c>
      <c r="CM152" s="220" t="s">
        <v>410</v>
      </c>
      <c r="CN152" s="220">
        <v>66.074999999999989</v>
      </c>
      <c r="CO152" s="220">
        <v>66.074999999999989</v>
      </c>
      <c r="CP152" s="220">
        <v>6</v>
      </c>
      <c r="CQ152" s="220"/>
      <c r="CR152" s="220"/>
      <c r="CS152" s="220"/>
      <c r="CT152" s="220"/>
      <c r="CU152" s="229"/>
    </row>
    <row r="153" spans="4:99" ht="18" customHeight="1">
      <c r="D153" s="126"/>
      <c r="K153" s="53" t="str">
        <f>IFERROR(MP_DATA[[#This Row],[Top '[m']]]-MP_DATA[[#This Row],[Bottom '[m']]], "")</f>
        <v/>
      </c>
      <c r="AV153" s="53" t="str">
        <f>IFERROR(TP_DATA[[#This Row],[Top '[m']]]-TP_DATA[[#This Row],[Bottom '[m']]], "")</f>
        <v/>
      </c>
      <c r="CB153" s="226">
        <v>41</v>
      </c>
      <c r="CC153" s="227">
        <v>82.84</v>
      </c>
      <c r="CD153" s="227">
        <v>82.56</v>
      </c>
      <c r="CE153" s="227">
        <v>6.6619999999999999</v>
      </c>
      <c r="CF153" s="227">
        <v>6.6689999999999996</v>
      </c>
      <c r="CG153" s="228">
        <v>31.2</v>
      </c>
      <c r="CH153" s="116">
        <f>IFERROR(TOWER_DATA[[#This Row],[Top '[m']]]-TOWER_DATA[[#This Row],[Bottom '[m']]], "")</f>
        <v>0.28000000000000114</v>
      </c>
      <c r="CM153" s="220" t="s">
        <v>410</v>
      </c>
      <c r="CN153" s="220">
        <v>66.029999999999987</v>
      </c>
      <c r="CO153" s="220">
        <v>66.029999999999987</v>
      </c>
      <c r="CP153" s="220">
        <v>1061</v>
      </c>
      <c r="CQ153" s="220"/>
      <c r="CR153" s="220"/>
      <c r="CS153" s="220"/>
      <c r="CT153" s="220"/>
      <c r="CU153" s="229"/>
    </row>
    <row r="154" spans="4:99" ht="18" customHeight="1">
      <c r="D154" s="126"/>
      <c r="K154" s="53" t="str">
        <f>IFERROR(MP_DATA[[#This Row],[Top '[m']]]-MP_DATA[[#This Row],[Bottom '[m']]], "")</f>
        <v/>
      </c>
      <c r="AV154" s="53" t="str">
        <f>IFERROR(TP_DATA[[#This Row],[Top '[m']]]-TP_DATA[[#This Row],[Bottom '[m']]], "")</f>
        <v/>
      </c>
      <c r="CB154" s="226">
        <v>42</v>
      </c>
      <c r="CC154" s="227">
        <v>82.56</v>
      </c>
      <c r="CD154" s="227">
        <v>80.900000000000006</v>
      </c>
      <c r="CE154" s="227">
        <v>6.6689999999999996</v>
      </c>
      <c r="CF154" s="227">
        <v>6.7060000000000004</v>
      </c>
      <c r="CG154" s="228">
        <v>31.2</v>
      </c>
      <c r="CH154" s="116">
        <f>IFERROR(TOWER_DATA[[#This Row],[Top '[m']]]-TOWER_DATA[[#This Row],[Bottom '[m']]], "")</f>
        <v>1.6599999999999966</v>
      </c>
      <c r="CM154" s="220" t="s">
        <v>410</v>
      </c>
      <c r="CN154" s="220">
        <v>63.308000000000007</v>
      </c>
      <c r="CO154" s="220">
        <v>63.308000000000007</v>
      </c>
      <c r="CP154" s="220">
        <v>143</v>
      </c>
      <c r="CQ154" s="220"/>
      <c r="CR154" s="220"/>
      <c r="CS154" s="220"/>
      <c r="CT154" s="220"/>
      <c r="CU154" s="229"/>
    </row>
    <row r="155" spans="4:99" ht="18" customHeight="1">
      <c r="D155" s="126"/>
      <c r="K155" s="53" t="str">
        <f>IFERROR(MP_DATA[[#This Row],[Top '[m']]]-MP_DATA[[#This Row],[Bottom '[m']]], "")</f>
        <v/>
      </c>
      <c r="AV155" s="53" t="str">
        <f>IFERROR(TP_DATA[[#This Row],[Top '[m']]]-TP_DATA[[#This Row],[Bottom '[m']]], "")</f>
        <v/>
      </c>
      <c r="CB155" s="226">
        <v>43</v>
      </c>
      <c r="CC155" s="227">
        <v>80.900000000000006</v>
      </c>
      <c r="CD155" s="227">
        <v>80.118000000000009</v>
      </c>
      <c r="CE155" s="227">
        <v>6.7060000000000004</v>
      </c>
      <c r="CF155" s="227">
        <v>6.7240000000000002</v>
      </c>
      <c r="CG155" s="228">
        <v>31.2</v>
      </c>
      <c r="CH155" s="116">
        <f>IFERROR(TOWER_DATA[[#This Row],[Top '[m']]]-TOWER_DATA[[#This Row],[Bottom '[m']]], "")</f>
        <v>0.78199999999999648</v>
      </c>
      <c r="CM155" s="220" t="s">
        <v>410</v>
      </c>
      <c r="CN155" s="220">
        <v>62.007000000000005</v>
      </c>
      <c r="CO155" s="220">
        <v>62.007000000000005</v>
      </c>
      <c r="CP155" s="220">
        <v>144</v>
      </c>
      <c r="CQ155" s="220"/>
      <c r="CR155" s="220"/>
      <c r="CS155" s="220"/>
      <c r="CT155" s="220"/>
      <c r="CU155" s="229"/>
    </row>
    <row r="156" spans="4:99" ht="18" customHeight="1">
      <c r="D156" s="126"/>
      <c r="K156" s="53" t="str">
        <f>IFERROR(MP_DATA[[#This Row],[Top '[m']]]-MP_DATA[[#This Row],[Bottom '[m']]], "")</f>
        <v/>
      </c>
      <c r="AV156" s="53" t="str">
        <f>IFERROR(TP_DATA[[#This Row],[Top '[m']]]-TP_DATA[[#This Row],[Bottom '[m']]], "")</f>
        <v/>
      </c>
      <c r="CB156" s="226">
        <v>44</v>
      </c>
      <c r="CC156" s="227">
        <v>80.118000000000009</v>
      </c>
      <c r="CD156" s="227">
        <v>78.45</v>
      </c>
      <c r="CE156" s="227">
        <v>6.7240000000000002</v>
      </c>
      <c r="CF156" s="227">
        <v>6.7619999999999996</v>
      </c>
      <c r="CG156" s="228">
        <v>31.7</v>
      </c>
      <c r="CH156" s="116">
        <f>IFERROR(TOWER_DATA[[#This Row],[Top '[m']]]-TOWER_DATA[[#This Row],[Bottom '[m']]], "")</f>
        <v>1.6680000000000064</v>
      </c>
      <c r="CM156" s="220" t="s">
        <v>410</v>
      </c>
      <c r="CN156" s="220">
        <v>57.896000000000001</v>
      </c>
      <c r="CO156" s="220">
        <v>57.896000000000001</v>
      </c>
      <c r="CP156" s="220">
        <v>144</v>
      </c>
      <c r="CQ156" s="220"/>
      <c r="CR156" s="220"/>
      <c r="CS156" s="220"/>
      <c r="CT156" s="220"/>
      <c r="CU156" s="229"/>
    </row>
    <row r="157" spans="4:99" ht="18" customHeight="1">
      <c r="D157" s="126"/>
      <c r="K157" s="53" t="str">
        <f>IFERROR(MP_DATA[[#This Row],[Top '[m']]]-MP_DATA[[#This Row],[Bottom '[m']]], "")</f>
        <v/>
      </c>
      <c r="AV157" s="53" t="str">
        <f>IFERROR(TP_DATA[[#This Row],[Top '[m']]]-TP_DATA[[#This Row],[Bottom '[m']]], "")</f>
        <v/>
      </c>
      <c r="CB157" s="226">
        <v>45</v>
      </c>
      <c r="CC157" s="227">
        <v>78.45</v>
      </c>
      <c r="CD157" s="227">
        <v>77.396000000000001</v>
      </c>
      <c r="CE157" s="227">
        <v>6.7619999999999996</v>
      </c>
      <c r="CF157" s="227">
        <v>6.7859999999999996</v>
      </c>
      <c r="CG157" s="228">
        <v>31.7</v>
      </c>
      <c r="CH157" s="116">
        <f>IFERROR(TOWER_DATA[[#This Row],[Top '[m']]]-TOWER_DATA[[#This Row],[Bottom '[m']]], "")</f>
        <v>1.054000000000002</v>
      </c>
      <c r="CM157" s="220" t="s">
        <v>410</v>
      </c>
      <c r="CN157" s="220">
        <v>55.153999999999996</v>
      </c>
      <c r="CO157" s="220">
        <v>55.153999999999996</v>
      </c>
      <c r="CP157" s="220">
        <v>144</v>
      </c>
      <c r="CQ157" s="220"/>
      <c r="CR157" s="220"/>
      <c r="CS157" s="220"/>
      <c r="CT157" s="220"/>
      <c r="CU157" s="229"/>
    </row>
    <row r="158" spans="4:99" ht="18" customHeight="1">
      <c r="D158" s="126"/>
      <c r="K158" s="53" t="str">
        <f>IFERROR(MP_DATA[[#This Row],[Top '[m']]]-MP_DATA[[#This Row],[Bottom '[m']]], "")</f>
        <v/>
      </c>
      <c r="AV158" s="53" t="str">
        <f>IFERROR(TP_DATA[[#This Row],[Top '[m']]]-TP_DATA[[#This Row],[Bottom '[m']]], "")</f>
        <v/>
      </c>
      <c r="CB158" s="226">
        <v>46</v>
      </c>
      <c r="CC158" s="227">
        <v>77.396000000000001</v>
      </c>
      <c r="CD158" s="227">
        <v>74.674000000000007</v>
      </c>
      <c r="CE158" s="227">
        <v>6.7859999999999996</v>
      </c>
      <c r="CF158" s="227">
        <v>6.8479999999999999</v>
      </c>
      <c r="CG158" s="228">
        <v>32.200000000000003</v>
      </c>
      <c r="CH158" s="116">
        <f>IFERROR(TOWER_DATA[[#This Row],[Top '[m']]]-TOWER_DATA[[#This Row],[Bottom '[m']]], "")</f>
        <v>2.7219999999999942</v>
      </c>
      <c r="CM158" s="220" t="s">
        <v>410</v>
      </c>
      <c r="CN158" s="220">
        <v>53.786000000000001</v>
      </c>
      <c r="CO158" s="220">
        <v>53.786000000000001</v>
      </c>
      <c r="CP158" s="220">
        <v>145</v>
      </c>
      <c r="CQ158" s="220"/>
      <c r="CR158" s="220"/>
      <c r="CS158" s="220"/>
      <c r="CT158" s="220"/>
      <c r="CU158" s="229"/>
    </row>
    <row r="159" spans="4:99" ht="18" customHeight="1">
      <c r="D159" s="126"/>
      <c r="K159" s="53" t="str">
        <f>IFERROR(MP_DATA[[#This Row],[Top '[m']]]-MP_DATA[[#This Row],[Bottom '[m']]], "")</f>
        <v/>
      </c>
      <c r="AV159" s="53" t="str">
        <f>IFERROR(TP_DATA[[#This Row],[Top '[m']]]-TP_DATA[[#This Row],[Bottom '[m']]], "")</f>
        <v/>
      </c>
      <c r="CB159" s="226">
        <v>47</v>
      </c>
      <c r="CC159" s="227">
        <v>74.674000000000007</v>
      </c>
      <c r="CD159" s="227">
        <v>71.951999999999998</v>
      </c>
      <c r="CE159" s="227">
        <v>6.8479999999999999</v>
      </c>
      <c r="CF159" s="227">
        <v>6.9109999999999996</v>
      </c>
      <c r="CG159" s="228">
        <v>32.5</v>
      </c>
      <c r="CH159" s="116">
        <f>IFERROR(TOWER_DATA[[#This Row],[Top '[m']]]-TOWER_DATA[[#This Row],[Bottom '[m']]], "")</f>
        <v>2.7220000000000084</v>
      </c>
      <c r="CM159" s="220" t="s">
        <v>410</v>
      </c>
      <c r="CN159" s="220">
        <v>50.900000000000006</v>
      </c>
      <c r="CO159" s="220">
        <v>50.900000000000006</v>
      </c>
      <c r="CP159" s="220">
        <v>145</v>
      </c>
      <c r="CQ159" s="220"/>
      <c r="CR159" s="220"/>
      <c r="CS159" s="220"/>
      <c r="CT159" s="220"/>
      <c r="CU159" s="229"/>
    </row>
    <row r="160" spans="4:99" ht="18" customHeight="1">
      <c r="D160" s="126"/>
      <c r="K160" s="53" t="str">
        <f>IFERROR(MP_DATA[[#This Row],[Top '[m']]]-MP_DATA[[#This Row],[Bottom '[m']]], "")</f>
        <v/>
      </c>
      <c r="AV160" s="53" t="str">
        <f>IFERROR(TP_DATA[[#This Row],[Top '[m']]]-TP_DATA[[#This Row],[Bottom '[m']]], "")</f>
        <v/>
      </c>
      <c r="CB160" s="226">
        <v>48</v>
      </c>
      <c r="CC160" s="227">
        <v>71.951999999999998</v>
      </c>
      <c r="CD160" s="227">
        <v>70.900000000000006</v>
      </c>
      <c r="CE160" s="227">
        <v>6.9109999999999996</v>
      </c>
      <c r="CF160" s="227">
        <v>6.9340000000000002</v>
      </c>
      <c r="CG160" s="228">
        <v>33.5</v>
      </c>
      <c r="CH160" s="116">
        <f>IFERROR(TOWER_DATA[[#This Row],[Top '[m']]]-TOWER_DATA[[#This Row],[Bottom '[m']]], "")</f>
        <v>1.0519999999999925</v>
      </c>
      <c r="CM160" s="220" t="s">
        <v>410</v>
      </c>
      <c r="CN160" s="220">
        <v>49.674999999999997</v>
      </c>
      <c r="CO160" s="220">
        <v>49.674999999999997</v>
      </c>
      <c r="CP160" s="220">
        <v>145</v>
      </c>
      <c r="CQ160" s="220"/>
      <c r="CR160" s="220"/>
      <c r="CS160" s="220"/>
      <c r="CT160" s="220"/>
      <c r="CU160" s="229"/>
    </row>
    <row r="161" spans="4:99" ht="18" customHeight="1">
      <c r="D161" s="126"/>
      <c r="K161" s="53" t="str">
        <f>IFERROR(MP_DATA[[#This Row],[Top '[m']]]-MP_DATA[[#This Row],[Bottom '[m']]], "")</f>
        <v/>
      </c>
      <c r="AV161" s="53" t="str">
        <f>IFERROR(TP_DATA[[#This Row],[Top '[m']]]-TP_DATA[[#This Row],[Bottom '[m']]], "")</f>
        <v/>
      </c>
      <c r="CB161" s="226">
        <v>49</v>
      </c>
      <c r="CC161" s="227">
        <v>70.900000000000006</v>
      </c>
      <c r="CD161" s="227">
        <v>69.225000000000009</v>
      </c>
      <c r="CE161" s="227">
        <v>6.9340000000000002</v>
      </c>
      <c r="CF161" s="227">
        <v>6.9720000000000004</v>
      </c>
      <c r="CG161" s="228">
        <v>33.5</v>
      </c>
      <c r="CH161" s="116">
        <f>IFERROR(TOWER_DATA[[#This Row],[Top '[m']]]-TOWER_DATA[[#This Row],[Bottom '[m']]], "")</f>
        <v>1.6749999999999972</v>
      </c>
      <c r="CM161" s="220" t="s">
        <v>410</v>
      </c>
      <c r="CN161" s="220">
        <v>45.564000000000007</v>
      </c>
      <c r="CO161" s="220">
        <v>45.564000000000007</v>
      </c>
      <c r="CP161" s="220">
        <v>146</v>
      </c>
      <c r="CQ161" s="220"/>
      <c r="CR161" s="220"/>
      <c r="CS161" s="220"/>
      <c r="CT161" s="220"/>
      <c r="CU161" s="229"/>
    </row>
    <row r="162" spans="4:99" ht="18" customHeight="1">
      <c r="D162" s="126"/>
      <c r="K162" s="53" t="str">
        <f>IFERROR(MP_DATA[[#This Row],[Top '[m']]]-MP_DATA[[#This Row],[Bottom '[m']]], "")</f>
        <v/>
      </c>
      <c r="AV162" s="53" t="str">
        <f>IFERROR(TP_DATA[[#This Row],[Top '[m']]]-TP_DATA[[#This Row],[Bottom '[m']]], "")</f>
        <v/>
      </c>
      <c r="CB162" s="226">
        <v>50</v>
      </c>
      <c r="CC162" s="227">
        <v>69.225000000000009</v>
      </c>
      <c r="CD162" s="227">
        <v>66.490000000000009</v>
      </c>
      <c r="CE162" s="227">
        <v>6.9720000000000004</v>
      </c>
      <c r="CF162" s="227">
        <v>7.0380000000000003</v>
      </c>
      <c r="CG162" s="228">
        <v>34</v>
      </c>
      <c r="CH162" s="116">
        <f>IFERROR(TOWER_DATA[[#This Row],[Top '[m']]]-TOWER_DATA[[#This Row],[Bottom '[m']]], "")</f>
        <v>2.7349999999999994</v>
      </c>
      <c r="CM162" s="220" t="s">
        <v>410</v>
      </c>
      <c r="CN162" s="220">
        <v>41.561000000000007</v>
      </c>
      <c r="CO162" s="220">
        <v>41.561000000000007</v>
      </c>
      <c r="CP162" s="220">
        <v>146</v>
      </c>
      <c r="CQ162" s="220"/>
      <c r="CR162" s="220"/>
      <c r="CS162" s="220"/>
      <c r="CT162" s="220"/>
      <c r="CU162" s="229"/>
    </row>
    <row r="163" spans="4:99" ht="18" customHeight="1">
      <c r="D163" s="126"/>
      <c r="K163" s="53" t="str">
        <f>IFERROR(MP_DATA[[#This Row],[Top '[m']]]-MP_DATA[[#This Row],[Bottom '[m']]], "")</f>
        <v/>
      </c>
      <c r="AV163" s="53" t="str">
        <f>IFERROR(TP_DATA[[#This Row],[Top '[m']]]-TP_DATA[[#This Row],[Bottom '[m']]], "")</f>
        <v/>
      </c>
      <c r="CB163" s="226">
        <v>51</v>
      </c>
      <c r="CC163" s="227">
        <v>66.490000000000009</v>
      </c>
      <c r="CD163" s="227">
        <v>66.445000000000007</v>
      </c>
      <c r="CE163" s="227">
        <v>7.0380000000000003</v>
      </c>
      <c r="CF163" s="227">
        <v>7.0380000000000003</v>
      </c>
      <c r="CG163" s="228">
        <v>38</v>
      </c>
      <c r="CH163" s="116">
        <f>IFERROR(TOWER_DATA[[#This Row],[Top '[m']]]-TOWER_DATA[[#This Row],[Bottom '[m']]], "")</f>
        <v>4.5000000000001705E-2</v>
      </c>
      <c r="CM163" s="220" t="s">
        <v>410</v>
      </c>
      <c r="CN163" s="220">
        <v>40.900000000000006</v>
      </c>
      <c r="CO163" s="220">
        <v>40.900000000000006</v>
      </c>
      <c r="CP163" s="220">
        <v>150</v>
      </c>
      <c r="CQ163" s="220"/>
      <c r="CR163" s="220"/>
      <c r="CS163" s="220"/>
      <c r="CT163" s="220"/>
      <c r="CU163" s="229"/>
    </row>
    <row r="164" spans="4:99" ht="18" customHeight="1">
      <c r="D164" s="126"/>
      <c r="K164" s="53" t="str">
        <f>IFERROR(MP_DATA[[#This Row],[Top '[m']]]-MP_DATA[[#This Row],[Bottom '[m']]], "")</f>
        <v/>
      </c>
      <c r="AV164" s="53" t="str">
        <f>IFERROR(TP_DATA[[#This Row],[Top '[m']]]-TP_DATA[[#This Row],[Bottom '[m']]], "")</f>
        <v/>
      </c>
      <c r="CB164" s="226">
        <v>52</v>
      </c>
      <c r="CC164" s="227">
        <v>66.445000000000007</v>
      </c>
      <c r="CD164" s="227">
        <v>66.260000000000005</v>
      </c>
      <c r="CE164" s="227">
        <v>7.0380000000000003</v>
      </c>
      <c r="CF164" s="227">
        <v>7.0380000000000003</v>
      </c>
      <c r="CG164" s="228">
        <v>38</v>
      </c>
      <c r="CH164" s="116">
        <f>IFERROR(TOWER_DATA[[#This Row],[Top '[m']]]-TOWER_DATA[[#This Row],[Bottom '[m']]], "")</f>
        <v>0.18500000000000227</v>
      </c>
      <c r="CM164" s="220" t="s">
        <v>410</v>
      </c>
      <c r="CN164" s="220">
        <v>38.725000000000001</v>
      </c>
      <c r="CO164" s="220">
        <v>38.725000000000001</v>
      </c>
      <c r="CP164" s="220">
        <v>7072</v>
      </c>
      <c r="CQ164" s="220"/>
      <c r="CR164" s="220"/>
      <c r="CS164" s="220"/>
      <c r="CT164" s="220"/>
      <c r="CU164" s="229"/>
    </row>
    <row r="165" spans="4:99" ht="18" customHeight="1">
      <c r="D165" s="126"/>
      <c r="K165" s="53" t="str">
        <f>IFERROR(MP_DATA[[#This Row],[Top '[m']]]-MP_DATA[[#This Row],[Bottom '[m']]], "")</f>
        <v/>
      </c>
      <c r="AV165" s="53" t="str">
        <f>IFERROR(TP_DATA[[#This Row],[Top '[m']]]-TP_DATA[[#This Row],[Bottom '[m']]], "")</f>
        <v/>
      </c>
      <c r="CB165" s="226">
        <v>53</v>
      </c>
      <c r="CC165" s="227">
        <v>66.260000000000005</v>
      </c>
      <c r="CD165" s="227">
        <v>66.075000000000003</v>
      </c>
      <c r="CE165" s="227">
        <v>7.0380000000000003</v>
      </c>
      <c r="CF165" s="227">
        <v>7.0380000000000003</v>
      </c>
      <c r="CG165" s="228">
        <v>38</v>
      </c>
      <c r="CH165" s="116">
        <f>IFERROR(TOWER_DATA[[#This Row],[Top '[m']]]-TOWER_DATA[[#This Row],[Bottom '[m']]], "")</f>
        <v>0.18500000000000227</v>
      </c>
      <c r="CM165" s="220" t="s">
        <v>410</v>
      </c>
      <c r="CN165" s="220">
        <v>38.540000000000006</v>
      </c>
      <c r="CO165" s="220">
        <v>38.540000000000006</v>
      </c>
      <c r="CP165" s="220">
        <v>11176</v>
      </c>
      <c r="CQ165" s="220"/>
      <c r="CR165" s="220"/>
      <c r="CS165" s="220"/>
      <c r="CT165" s="220"/>
      <c r="CU165" s="229"/>
    </row>
    <row r="166" spans="4:99" ht="18" customHeight="1">
      <c r="D166" s="126"/>
      <c r="K166" s="53" t="str">
        <f>IFERROR(MP_DATA[[#This Row],[Top '[m']]]-MP_DATA[[#This Row],[Bottom '[m']]], "")</f>
        <v/>
      </c>
      <c r="AV166" s="53" t="str">
        <f>IFERROR(TP_DATA[[#This Row],[Top '[m']]]-TP_DATA[[#This Row],[Bottom '[m']]], "")</f>
        <v/>
      </c>
      <c r="CB166" s="226">
        <v>54</v>
      </c>
      <c r="CC166" s="227">
        <v>66.075000000000003</v>
      </c>
      <c r="CD166" s="227">
        <v>66.03</v>
      </c>
      <c r="CE166" s="227">
        <v>7.0380000000000003</v>
      </c>
      <c r="CF166" s="227">
        <v>7.032</v>
      </c>
      <c r="CG166" s="228">
        <v>38</v>
      </c>
      <c r="CH166" s="116">
        <f>IFERROR(TOWER_DATA[[#This Row],[Top '[m']]]-TOWER_DATA[[#This Row],[Bottom '[m']]], "")</f>
        <v>4.5000000000001705E-2</v>
      </c>
      <c r="CM166" s="220" t="s">
        <v>410</v>
      </c>
      <c r="CN166" s="220">
        <v>38.355000000000004</v>
      </c>
      <c r="CO166" s="220">
        <v>38.355000000000004</v>
      </c>
      <c r="CP166" s="220">
        <v>6</v>
      </c>
      <c r="CQ166" s="220"/>
      <c r="CR166" s="220"/>
      <c r="CS166" s="220"/>
      <c r="CT166" s="220"/>
      <c r="CU166" s="229"/>
    </row>
    <row r="167" spans="4:99" ht="18" customHeight="1">
      <c r="D167" s="126"/>
      <c r="K167" s="53" t="str">
        <f>IFERROR(MP_DATA[[#This Row],[Top '[m']]]-MP_DATA[[#This Row],[Bottom '[m']]], "")</f>
        <v/>
      </c>
      <c r="AV167" s="53" t="str">
        <f>IFERROR(TP_DATA[[#This Row],[Top '[m']]]-TP_DATA[[#This Row],[Bottom '[m']]], "")</f>
        <v/>
      </c>
      <c r="CB167" s="226">
        <v>55</v>
      </c>
      <c r="CC167" s="227">
        <v>66.03</v>
      </c>
      <c r="CD167" s="227">
        <v>63.308000000000007</v>
      </c>
      <c r="CE167" s="227">
        <v>7.032</v>
      </c>
      <c r="CF167" s="227">
        <v>7.0759999999999996</v>
      </c>
      <c r="CG167" s="228">
        <v>32</v>
      </c>
      <c r="CH167" s="116">
        <f>IFERROR(TOWER_DATA[[#This Row],[Top '[m']]]-TOWER_DATA[[#This Row],[Bottom '[m']]], "")</f>
        <v>2.7219999999999942</v>
      </c>
      <c r="CM167" s="220" t="s">
        <v>410</v>
      </c>
      <c r="CN167" s="220">
        <v>38.305000000000007</v>
      </c>
      <c r="CO167" s="220">
        <v>38.305000000000007</v>
      </c>
      <c r="CP167" s="220">
        <v>2</v>
      </c>
      <c r="CQ167" s="220"/>
      <c r="CR167" s="220"/>
      <c r="CS167" s="220"/>
      <c r="CT167" s="220"/>
      <c r="CU167" s="229"/>
    </row>
    <row r="168" spans="4:99" ht="18" customHeight="1">
      <c r="D168" s="126"/>
      <c r="K168" s="53" t="str">
        <f>IFERROR(MP_DATA[[#This Row],[Top '[m']]]-MP_DATA[[#This Row],[Bottom '[m']]], "")</f>
        <v/>
      </c>
      <c r="AV168" s="53" t="str">
        <f>IFERROR(TP_DATA[[#This Row],[Top '[m']]]-TP_DATA[[#This Row],[Bottom '[m']]], "")</f>
        <v/>
      </c>
      <c r="CB168" s="226">
        <v>56</v>
      </c>
      <c r="CC168" s="227">
        <v>63.308000000000007</v>
      </c>
      <c r="CD168" s="227">
        <v>62.007000000000005</v>
      </c>
      <c r="CE168" s="227">
        <v>7.0759999999999996</v>
      </c>
      <c r="CF168" s="227">
        <v>7.0970000000000004</v>
      </c>
      <c r="CG168" s="228">
        <v>33</v>
      </c>
      <c r="CH168" s="116">
        <f>IFERROR(TOWER_DATA[[#This Row],[Top '[m']]]-TOWER_DATA[[#This Row],[Bottom '[m']]], "")</f>
        <v>1.3010000000000019</v>
      </c>
      <c r="CM168" s="220" t="s">
        <v>410</v>
      </c>
      <c r="CN168" s="220">
        <v>37.343000000000004</v>
      </c>
      <c r="CO168" s="220">
        <v>37.343000000000004</v>
      </c>
      <c r="CP168" s="220">
        <v>1318</v>
      </c>
      <c r="CQ168" s="220"/>
      <c r="CR168" s="220"/>
      <c r="CS168" s="220"/>
      <c r="CT168" s="220"/>
      <c r="CU168" s="229"/>
    </row>
    <row r="169" spans="4:99" ht="18" customHeight="1">
      <c r="D169" s="126"/>
      <c r="K169" s="53" t="str">
        <f>IFERROR(MP_DATA[[#This Row],[Top '[m']]]-MP_DATA[[#This Row],[Bottom '[m']]], "")</f>
        <v/>
      </c>
      <c r="AV169" s="53" t="str">
        <f>IFERROR(TP_DATA[[#This Row],[Top '[m']]]-TP_DATA[[#This Row],[Bottom '[m']]], "")</f>
        <v/>
      </c>
      <c r="CB169" s="226">
        <v>57</v>
      </c>
      <c r="CC169" s="227">
        <v>62.007000000000005</v>
      </c>
      <c r="CD169" s="227">
        <v>60.900000000000006</v>
      </c>
      <c r="CE169" s="227">
        <v>7.0970000000000004</v>
      </c>
      <c r="CF169" s="227">
        <v>7.1139999999999999</v>
      </c>
      <c r="CG169" s="228">
        <v>33</v>
      </c>
      <c r="CH169" s="116">
        <f>IFERROR(TOWER_DATA[[#This Row],[Top '[m']]]-TOWER_DATA[[#This Row],[Bottom '[m']]], "")</f>
        <v>1.1069999999999993</v>
      </c>
      <c r="CM169" s="220" t="s">
        <v>410</v>
      </c>
      <c r="CN169" s="220">
        <v>33.231999999999999</v>
      </c>
      <c r="CO169" s="220">
        <v>33.231999999999999</v>
      </c>
      <c r="CP169" s="220">
        <v>158</v>
      </c>
      <c r="CQ169" s="220"/>
      <c r="CR169" s="220"/>
      <c r="CS169" s="220"/>
      <c r="CT169" s="220"/>
      <c r="CU169" s="229"/>
    </row>
    <row r="170" spans="4:99" ht="18" customHeight="1">
      <c r="D170" s="126"/>
      <c r="K170" s="53" t="str">
        <f>IFERROR(MP_DATA[[#This Row],[Top '[m']]]-MP_DATA[[#This Row],[Bottom '[m']]], "")</f>
        <v/>
      </c>
      <c r="AV170" s="53" t="str">
        <f>IFERROR(TP_DATA[[#This Row],[Top '[m']]]-TP_DATA[[#This Row],[Bottom '[m']]], "")</f>
        <v/>
      </c>
      <c r="CB170" s="226">
        <v>58</v>
      </c>
      <c r="CC170" s="227">
        <v>60.900000000000006</v>
      </c>
      <c r="CD170" s="227">
        <v>60.59</v>
      </c>
      <c r="CE170" s="227">
        <v>7.1139999999999999</v>
      </c>
      <c r="CF170" s="227">
        <v>7.1189999999999998</v>
      </c>
      <c r="CG170" s="228">
        <v>33</v>
      </c>
      <c r="CH170" s="116">
        <f>IFERROR(TOWER_DATA[[#This Row],[Top '[m']]]-TOWER_DATA[[#This Row],[Bottom '[m']]], "")</f>
        <v>0.31000000000000227</v>
      </c>
      <c r="CM170" s="220" t="s">
        <v>410</v>
      </c>
      <c r="CN170" s="220">
        <v>30.900000000000002</v>
      </c>
      <c r="CO170" s="220">
        <v>30.900000000000002</v>
      </c>
      <c r="CP170" s="220">
        <v>158</v>
      </c>
      <c r="CQ170" s="220"/>
      <c r="CR170" s="220"/>
      <c r="CS170" s="220"/>
      <c r="CT170" s="220"/>
      <c r="CU170" s="229"/>
    </row>
    <row r="171" spans="4:99" ht="18" customHeight="1">
      <c r="D171" s="126"/>
      <c r="K171" s="53" t="str">
        <f>IFERROR(MP_DATA[[#This Row],[Top '[m']]]-MP_DATA[[#This Row],[Bottom '[m']]], "")</f>
        <v/>
      </c>
      <c r="AV171" s="53" t="str">
        <f>IFERROR(TP_DATA[[#This Row],[Top '[m']]]-TP_DATA[[#This Row],[Bottom '[m']]], "")</f>
        <v/>
      </c>
      <c r="CB171" s="226">
        <v>59</v>
      </c>
      <c r="CC171" s="227">
        <v>60.59</v>
      </c>
      <c r="CD171" s="227">
        <v>57.896000000000001</v>
      </c>
      <c r="CE171" s="227">
        <v>7.1189999999999998</v>
      </c>
      <c r="CF171" s="227">
        <v>7.1619999999999999</v>
      </c>
      <c r="CG171" s="228">
        <v>33</v>
      </c>
      <c r="CH171" s="116">
        <f>IFERROR(TOWER_DATA[[#This Row],[Top '[m']]]-TOWER_DATA[[#This Row],[Bottom '[m']]], "")</f>
        <v>2.6940000000000026</v>
      </c>
      <c r="CM171" s="220" t="s">
        <v>410</v>
      </c>
      <c r="CN171" s="220">
        <v>29.121000000000002</v>
      </c>
      <c r="CO171" s="220">
        <v>29.121000000000002</v>
      </c>
      <c r="CP171" s="220">
        <v>158</v>
      </c>
      <c r="CQ171" s="220"/>
      <c r="CR171" s="220"/>
      <c r="CS171" s="220"/>
      <c r="CT171" s="220"/>
      <c r="CU171" s="229"/>
    </row>
    <row r="172" spans="4:99" ht="18" customHeight="1">
      <c r="D172" s="126"/>
      <c r="K172" s="53" t="str">
        <f>IFERROR(MP_DATA[[#This Row],[Top '[m']]]-MP_DATA[[#This Row],[Bottom '[m']]], "")</f>
        <v/>
      </c>
      <c r="AV172" s="53" t="str">
        <f>IFERROR(TP_DATA[[#This Row],[Top '[m']]]-TP_DATA[[#This Row],[Bottom '[m']]], "")</f>
        <v/>
      </c>
      <c r="CB172" s="226">
        <v>60</v>
      </c>
      <c r="CC172" s="227">
        <v>57.896000000000001</v>
      </c>
      <c r="CD172" s="227">
        <v>57.872</v>
      </c>
      <c r="CE172" s="227">
        <v>7.1619999999999999</v>
      </c>
      <c r="CF172" s="227">
        <v>7.1630000000000003</v>
      </c>
      <c r="CG172" s="228">
        <v>33</v>
      </c>
      <c r="CH172" s="116">
        <f>IFERROR(TOWER_DATA[[#This Row],[Top '[m']]]-TOWER_DATA[[#This Row],[Bottom '[m']]], "")</f>
        <v>2.4000000000000909E-2</v>
      </c>
      <c r="CM172" s="220" t="s">
        <v>410</v>
      </c>
      <c r="CN172" s="220">
        <v>25.050000000000004</v>
      </c>
      <c r="CO172" s="220">
        <v>25.050000000000004</v>
      </c>
      <c r="CP172" s="220">
        <v>86</v>
      </c>
      <c r="CQ172" s="220"/>
      <c r="CR172" s="220"/>
      <c r="CS172" s="220"/>
      <c r="CT172" s="220"/>
      <c r="CU172" s="229"/>
    </row>
    <row r="173" spans="4:99" ht="18" customHeight="1">
      <c r="D173" s="126"/>
      <c r="K173" s="53" t="str">
        <f>IFERROR(MP_DATA[[#This Row],[Top '[m']]]-MP_DATA[[#This Row],[Bottom '[m']]], "")</f>
        <v/>
      </c>
      <c r="AV173" s="53" t="str">
        <f>IFERROR(TP_DATA[[#This Row],[Top '[m']]]-TP_DATA[[#This Row],[Bottom '[m']]], "")</f>
        <v/>
      </c>
      <c r="CB173" s="226">
        <v>61</v>
      </c>
      <c r="CC173" s="227">
        <v>57.872</v>
      </c>
      <c r="CD173" s="227">
        <v>55.153999999999996</v>
      </c>
      <c r="CE173" s="227">
        <v>7.1630000000000003</v>
      </c>
      <c r="CF173" s="227">
        <v>7.21</v>
      </c>
      <c r="CG173" s="228">
        <v>34</v>
      </c>
      <c r="CH173" s="116">
        <f>IFERROR(TOWER_DATA[[#This Row],[Top '[m']]]-TOWER_DATA[[#This Row],[Bottom '[m']]], "")</f>
        <v>2.7180000000000035</v>
      </c>
      <c r="CM173" s="220" t="s">
        <v>410</v>
      </c>
      <c r="CN173" s="220">
        <v>25.011000000000003</v>
      </c>
      <c r="CO173" s="220">
        <v>25.011000000000003</v>
      </c>
      <c r="CP173" s="220">
        <v>688</v>
      </c>
      <c r="CQ173" s="220"/>
      <c r="CR173" s="220"/>
      <c r="CS173" s="220"/>
      <c r="CT173" s="220"/>
      <c r="CU173" s="229"/>
    </row>
    <row r="174" spans="4:99" ht="18" customHeight="1">
      <c r="D174" s="126"/>
      <c r="K174" s="53" t="str">
        <f>IFERROR(MP_DATA[[#This Row],[Top '[m']]]-MP_DATA[[#This Row],[Bottom '[m']]], "")</f>
        <v/>
      </c>
      <c r="AV174" s="53" t="str">
        <f>IFERROR(TP_DATA[[#This Row],[Top '[m']]]-TP_DATA[[#This Row],[Bottom '[m']]], "")</f>
        <v/>
      </c>
      <c r="CB174" s="226">
        <v>62</v>
      </c>
      <c r="CC174" s="227">
        <v>55.153999999999996</v>
      </c>
      <c r="CD174" s="227">
        <v>53.786000000000001</v>
      </c>
      <c r="CE174" s="227">
        <v>7.21</v>
      </c>
      <c r="CF174" s="227">
        <v>7.2309999999999999</v>
      </c>
      <c r="CG174" s="228">
        <v>38.199999999999996</v>
      </c>
      <c r="CH174" s="116">
        <f>IFERROR(TOWER_DATA[[#This Row],[Top '[m']]]-TOWER_DATA[[#This Row],[Bottom '[m']]], "")</f>
        <v>1.367999999999995</v>
      </c>
      <c r="CM174" s="220" t="s">
        <v>410</v>
      </c>
      <c r="CN174" s="220">
        <v>22.12</v>
      </c>
      <c r="CO174" s="220">
        <v>22.12</v>
      </c>
      <c r="CP174" s="220">
        <v>13900</v>
      </c>
      <c r="CQ174" s="220"/>
      <c r="CR174" s="220"/>
      <c r="CS174" s="220"/>
      <c r="CT174" s="220"/>
      <c r="CU174" s="229"/>
    </row>
    <row r="175" spans="4:99" ht="18" customHeight="1">
      <c r="D175" s="126"/>
      <c r="K175" s="53" t="str">
        <f>IFERROR(MP_DATA[[#This Row],[Top '[m']]]-MP_DATA[[#This Row],[Bottom '[m']]], "")</f>
        <v/>
      </c>
      <c r="AV175" s="53" t="str">
        <f>IFERROR(TP_DATA[[#This Row],[Top '[m']]]-TP_DATA[[#This Row],[Bottom '[m']]], "")</f>
        <v/>
      </c>
      <c r="CB175" s="226">
        <v>63</v>
      </c>
      <c r="CC175" s="227">
        <v>53.786000000000001</v>
      </c>
      <c r="CD175" s="227">
        <v>52.436000000000007</v>
      </c>
      <c r="CE175" s="227">
        <v>7.2309999999999999</v>
      </c>
      <c r="CF175" s="227">
        <v>7.2519999999999998</v>
      </c>
      <c r="CG175" s="228">
        <v>38.199999999999996</v>
      </c>
      <c r="CH175" s="116">
        <f>IFERROR(TOWER_DATA[[#This Row],[Top '[m']]]-TOWER_DATA[[#This Row],[Bottom '[m']]], "")</f>
        <v>1.3499999999999943</v>
      </c>
      <c r="CM175" s="220" t="s">
        <v>410</v>
      </c>
      <c r="CN175" s="220">
        <v>21.14</v>
      </c>
      <c r="CO175" s="220">
        <v>21.14</v>
      </c>
      <c r="CP175" s="220">
        <v>53</v>
      </c>
      <c r="CQ175" s="220"/>
      <c r="CR175" s="220"/>
      <c r="CS175" s="220"/>
      <c r="CT175" s="220"/>
      <c r="CU175" s="229"/>
    </row>
    <row r="176" spans="4:99" ht="18" customHeight="1">
      <c r="D176" s="126"/>
      <c r="K176" s="53" t="str">
        <f>IFERROR(MP_DATA[[#This Row],[Top '[m']]]-MP_DATA[[#This Row],[Bottom '[m']]], "")</f>
        <v/>
      </c>
      <c r="AV176" s="53" t="str">
        <f>IFERROR(TP_DATA[[#This Row],[Top '[m']]]-TP_DATA[[#This Row],[Bottom '[m']]], "")</f>
        <v/>
      </c>
      <c r="CB176" s="226">
        <v>64</v>
      </c>
      <c r="CC176" s="227">
        <v>52.436000000000007</v>
      </c>
      <c r="CD176" s="227">
        <v>50.900000000000006</v>
      </c>
      <c r="CE176" s="227">
        <v>7.2519999999999998</v>
      </c>
      <c r="CF176" s="227">
        <v>7.2770000000000001</v>
      </c>
      <c r="CG176" s="228">
        <v>38.199999999999996</v>
      </c>
      <c r="CH176" s="116">
        <f>IFERROR(TOWER_DATA[[#This Row],[Top '[m']]]-TOWER_DATA[[#This Row],[Bottom '[m']]], "")</f>
        <v>1.5360000000000014</v>
      </c>
      <c r="CM176" s="220" t="s">
        <v>410</v>
      </c>
      <c r="CN176" s="220">
        <v>21.080000000000002</v>
      </c>
      <c r="CO176" s="220">
        <v>21.080000000000002</v>
      </c>
      <c r="CP176" s="220">
        <v>14132</v>
      </c>
      <c r="CQ176" s="220"/>
      <c r="CR176" s="220"/>
      <c r="CS176" s="220"/>
      <c r="CT176" s="220"/>
      <c r="CU176" s="229"/>
    </row>
    <row r="177" spans="4:86" ht="18" customHeight="1">
      <c r="D177" s="126"/>
      <c r="K177" s="53" t="str">
        <f>IFERROR(MP_DATA[[#This Row],[Top '[m']]]-MP_DATA[[#This Row],[Bottom '[m']]], "")</f>
        <v/>
      </c>
      <c r="AV177" s="53" t="str">
        <f>IFERROR(TP_DATA[[#This Row],[Top '[m']]]-TP_DATA[[#This Row],[Bottom '[m']]], "")</f>
        <v/>
      </c>
      <c r="CB177" s="226">
        <v>65</v>
      </c>
      <c r="CC177" s="227">
        <v>50.900000000000006</v>
      </c>
      <c r="CD177" s="227">
        <v>49.718000000000004</v>
      </c>
      <c r="CE177" s="227">
        <v>7.2770000000000001</v>
      </c>
      <c r="CF177" s="227">
        <v>7.2919999999999998</v>
      </c>
      <c r="CG177" s="228">
        <v>38.199999999999996</v>
      </c>
      <c r="CH177" s="116">
        <f>IFERROR(TOWER_DATA[[#This Row],[Top '[m']]]-TOWER_DATA[[#This Row],[Bottom '[m']]], "")</f>
        <v>1.1820000000000022</v>
      </c>
    </row>
    <row r="178" spans="4:86" ht="18" customHeight="1">
      <c r="D178" s="126"/>
      <c r="K178" s="53" t="str">
        <f>IFERROR(MP_DATA[[#This Row],[Top '[m']]]-MP_DATA[[#This Row],[Bottom '[m']]], "")</f>
        <v/>
      </c>
      <c r="AV178" s="53" t="str">
        <f>IFERROR(TP_DATA[[#This Row],[Top '[m']]]-TP_DATA[[#This Row],[Bottom '[m']]], "")</f>
        <v/>
      </c>
      <c r="CB178" s="226">
        <v>66</v>
      </c>
      <c r="CC178" s="227">
        <v>49.718000000000004</v>
      </c>
      <c r="CD178" s="227">
        <v>49.674999999999997</v>
      </c>
      <c r="CE178" s="227">
        <v>7.2919999999999998</v>
      </c>
      <c r="CF178" s="227">
        <v>7.2919999999999998</v>
      </c>
      <c r="CG178" s="228">
        <v>34.5</v>
      </c>
      <c r="CH178" s="116">
        <f>IFERROR(TOWER_DATA[[#This Row],[Top '[m']]]-TOWER_DATA[[#This Row],[Bottom '[m']]], "")</f>
        <v>4.3000000000006366E-2</v>
      </c>
    </row>
    <row r="179" spans="4:86" ht="18" customHeight="1">
      <c r="D179" s="126"/>
      <c r="K179" s="53" t="str">
        <f>IFERROR(MP_DATA[[#This Row],[Top '[m']]]-MP_DATA[[#This Row],[Bottom '[m']]], "")</f>
        <v/>
      </c>
      <c r="AV179" s="53" t="str">
        <f>IFERROR(TP_DATA[[#This Row],[Top '[m']]]-TP_DATA[[#This Row],[Bottom '[m']]], "")</f>
        <v/>
      </c>
      <c r="CB179" s="226">
        <v>67</v>
      </c>
      <c r="CC179" s="227">
        <v>49.674999999999997</v>
      </c>
      <c r="CD179" s="227">
        <v>47</v>
      </c>
      <c r="CE179" s="227">
        <v>7.2919999999999998</v>
      </c>
      <c r="CF179" s="227">
        <v>7.335</v>
      </c>
      <c r="CG179" s="228">
        <v>34.5</v>
      </c>
      <c r="CH179" s="116">
        <f>IFERROR(TOWER_DATA[[#This Row],[Top '[m']]]-TOWER_DATA[[#This Row],[Bottom '[m']]], "")</f>
        <v>2.6749999999999972</v>
      </c>
    </row>
    <row r="180" spans="4:86" ht="18" customHeight="1">
      <c r="D180" s="126"/>
      <c r="K180" s="53" t="str">
        <f>IFERROR(MP_DATA[[#This Row],[Top '[m']]]-MP_DATA[[#This Row],[Bottom '[m']]], "")</f>
        <v/>
      </c>
      <c r="AV180" s="53" t="str">
        <f>IFERROR(TP_DATA[[#This Row],[Top '[m']]]-TP_DATA[[#This Row],[Bottom '[m']]], "")</f>
        <v/>
      </c>
      <c r="CB180" s="226">
        <v>68</v>
      </c>
      <c r="CC180" s="227">
        <v>47</v>
      </c>
      <c r="CD180" s="227">
        <v>45.564000000000007</v>
      </c>
      <c r="CE180" s="227">
        <v>7.335</v>
      </c>
      <c r="CF180" s="227">
        <v>7.3579999999999997</v>
      </c>
      <c r="CG180" s="228">
        <v>35</v>
      </c>
      <c r="CH180" s="116">
        <f>IFERROR(TOWER_DATA[[#This Row],[Top '[m']]]-TOWER_DATA[[#This Row],[Bottom '[m']]], "")</f>
        <v>1.4359999999999928</v>
      </c>
    </row>
    <row r="181" spans="4:86" ht="18" customHeight="1">
      <c r="D181" s="126"/>
      <c r="K181" s="53" t="str">
        <f>IFERROR(MP_DATA[[#This Row],[Top '[m']]]-MP_DATA[[#This Row],[Bottom '[m']]], "")</f>
        <v/>
      </c>
      <c r="AV181" s="53" t="str">
        <f>IFERROR(TP_DATA[[#This Row],[Top '[m']]]-TP_DATA[[#This Row],[Bottom '[m']]], "")</f>
        <v/>
      </c>
      <c r="CB181" s="226">
        <v>69</v>
      </c>
      <c r="CC181" s="227">
        <v>45.564000000000007</v>
      </c>
      <c r="CD181" s="227">
        <v>44.282000000000004</v>
      </c>
      <c r="CE181" s="227">
        <v>7.3579999999999997</v>
      </c>
      <c r="CF181" s="227">
        <v>7.3789999999999996</v>
      </c>
      <c r="CG181" s="228">
        <v>35</v>
      </c>
      <c r="CH181" s="116">
        <f>IFERROR(TOWER_DATA[[#This Row],[Top '[m']]]-TOWER_DATA[[#This Row],[Bottom '[m']]], "")</f>
        <v>1.2820000000000036</v>
      </c>
    </row>
    <row r="182" spans="4:86" ht="18" customHeight="1">
      <c r="D182" s="126"/>
      <c r="K182" s="53" t="str">
        <f>IFERROR(MP_DATA[[#This Row],[Top '[m']]]-MP_DATA[[#This Row],[Bottom '[m']]], "")</f>
        <v/>
      </c>
      <c r="AV182" s="53" t="str">
        <f>IFERROR(TP_DATA[[#This Row],[Top '[m']]]-TP_DATA[[#This Row],[Bottom '[m']]], "")</f>
        <v/>
      </c>
      <c r="CB182" s="226">
        <v>70</v>
      </c>
      <c r="CC182" s="227">
        <v>44.282000000000004</v>
      </c>
      <c r="CD182" s="227">
        <v>41.561000000000007</v>
      </c>
      <c r="CE182" s="227">
        <v>7.3789999999999996</v>
      </c>
      <c r="CF182" s="227">
        <v>7.4249999999999998</v>
      </c>
      <c r="CG182" s="228">
        <v>35.799999999999997</v>
      </c>
      <c r="CH182" s="116">
        <f>IFERROR(TOWER_DATA[[#This Row],[Top '[m']]]-TOWER_DATA[[#This Row],[Bottom '[m']]], "")</f>
        <v>2.7209999999999965</v>
      </c>
    </row>
    <row r="183" spans="4:86" ht="18" customHeight="1">
      <c r="D183" s="126"/>
      <c r="K183" s="53" t="str">
        <f>IFERROR(MP_DATA[[#This Row],[Top '[m']]]-MP_DATA[[#This Row],[Bottom '[m']]], "")</f>
        <v/>
      </c>
      <c r="AV183" s="53" t="str">
        <f>IFERROR(TP_DATA[[#This Row],[Top '[m']]]-TP_DATA[[#This Row],[Bottom '[m']]], "")</f>
        <v/>
      </c>
      <c r="CB183" s="226">
        <v>71</v>
      </c>
      <c r="CC183" s="227">
        <v>41.561000000000007</v>
      </c>
      <c r="CD183" s="227">
        <v>40.900000000000006</v>
      </c>
      <c r="CE183" s="227">
        <v>7.4249999999999998</v>
      </c>
      <c r="CF183" s="227">
        <v>7.4349999999999996</v>
      </c>
      <c r="CG183" s="228">
        <v>39</v>
      </c>
      <c r="CH183" s="116">
        <f>IFERROR(TOWER_DATA[[#This Row],[Top '[m']]]-TOWER_DATA[[#This Row],[Bottom '[m']]], "")</f>
        <v>0.66100000000000136</v>
      </c>
    </row>
    <row r="184" spans="4:86" ht="18" customHeight="1">
      <c r="D184" s="126"/>
      <c r="K184" s="53" t="str">
        <f>IFERROR(MP_DATA[[#This Row],[Top '[m']]]-MP_DATA[[#This Row],[Bottom '[m']]], "")</f>
        <v/>
      </c>
      <c r="AV184" s="53" t="str">
        <f>IFERROR(TP_DATA[[#This Row],[Top '[m']]]-TP_DATA[[#This Row],[Bottom '[m']]], "")</f>
        <v/>
      </c>
      <c r="CB184" s="226">
        <v>72</v>
      </c>
      <c r="CC184" s="227">
        <v>40.900000000000006</v>
      </c>
      <c r="CD184" s="227">
        <v>38.775000000000006</v>
      </c>
      <c r="CE184" s="227">
        <v>7.4349999999999996</v>
      </c>
      <c r="CF184" s="227">
        <v>7.476</v>
      </c>
      <c r="CG184" s="228">
        <v>39</v>
      </c>
      <c r="CH184" s="116">
        <f>IFERROR(TOWER_DATA[[#This Row],[Top '[m']]]-TOWER_DATA[[#This Row],[Bottom '[m']]], "")</f>
        <v>2.125</v>
      </c>
    </row>
    <row r="185" spans="4:86" ht="18" customHeight="1">
      <c r="D185" s="126"/>
      <c r="K185" s="53" t="str">
        <f>IFERROR(MP_DATA[[#This Row],[Top '[m']]]-MP_DATA[[#This Row],[Bottom '[m']]], "")</f>
        <v/>
      </c>
      <c r="AV185" s="53" t="str">
        <f>IFERROR(TP_DATA[[#This Row],[Top '[m']]]-TP_DATA[[#This Row],[Bottom '[m']]], "")</f>
        <v/>
      </c>
      <c r="CB185" s="226">
        <v>73</v>
      </c>
      <c r="CC185" s="227">
        <v>38.775000000000006</v>
      </c>
      <c r="CD185" s="227">
        <v>38.725000000000001</v>
      </c>
      <c r="CE185" s="227">
        <v>7.476</v>
      </c>
      <c r="CF185" s="227">
        <v>7.476</v>
      </c>
      <c r="CG185" s="228">
        <v>46</v>
      </c>
      <c r="CH185" s="116">
        <f>IFERROR(TOWER_DATA[[#This Row],[Top '[m']]]-TOWER_DATA[[#This Row],[Bottom '[m']]], "")</f>
        <v>5.0000000000004263E-2</v>
      </c>
    </row>
    <row r="186" spans="4:86" ht="18" customHeight="1">
      <c r="D186" s="126"/>
      <c r="K186" s="53" t="str">
        <f>IFERROR(MP_DATA[[#This Row],[Top '[m']]]-MP_DATA[[#This Row],[Bottom '[m']]], "")</f>
        <v/>
      </c>
      <c r="AV186" s="53" t="str">
        <f>IFERROR(TP_DATA[[#This Row],[Top '[m']]]-TP_DATA[[#This Row],[Bottom '[m']]], "")</f>
        <v/>
      </c>
      <c r="CB186" s="226">
        <v>74</v>
      </c>
      <c r="CC186" s="227">
        <v>38.725000000000001</v>
      </c>
      <c r="CD186" s="227">
        <v>38.540000000000006</v>
      </c>
      <c r="CE186" s="227">
        <v>7.476</v>
      </c>
      <c r="CF186" s="227">
        <v>7.476</v>
      </c>
      <c r="CG186" s="228">
        <v>46</v>
      </c>
      <c r="CH186" s="116">
        <f>IFERROR(TOWER_DATA[[#This Row],[Top '[m']]]-TOWER_DATA[[#This Row],[Bottom '[m']]], "")</f>
        <v>0.18499999999999517</v>
      </c>
    </row>
    <row r="187" spans="4:86" ht="18" customHeight="1">
      <c r="D187" s="126"/>
      <c r="K187" s="53" t="str">
        <f>IFERROR(MP_DATA[[#This Row],[Top '[m']]]-MP_DATA[[#This Row],[Bottom '[m']]], "")</f>
        <v/>
      </c>
      <c r="AV187" s="53" t="str">
        <f>IFERROR(TP_DATA[[#This Row],[Top '[m']]]-TP_DATA[[#This Row],[Bottom '[m']]], "")</f>
        <v/>
      </c>
      <c r="CB187" s="226">
        <v>75</v>
      </c>
      <c r="CC187" s="227">
        <v>38.540000000000006</v>
      </c>
      <c r="CD187" s="227">
        <v>38.355000000000004</v>
      </c>
      <c r="CE187" s="227">
        <v>7.476</v>
      </c>
      <c r="CF187" s="227">
        <v>7.476</v>
      </c>
      <c r="CG187" s="228">
        <v>46</v>
      </c>
      <c r="CH187" s="116">
        <f>IFERROR(TOWER_DATA[[#This Row],[Top '[m']]]-TOWER_DATA[[#This Row],[Bottom '[m']]], "")</f>
        <v>0.18500000000000227</v>
      </c>
    </row>
    <row r="188" spans="4:86" ht="18" customHeight="1">
      <c r="D188" s="126"/>
      <c r="K188" s="53" t="str">
        <f>IFERROR(MP_DATA[[#This Row],[Top '[m']]]-MP_DATA[[#This Row],[Bottom '[m']]], "")</f>
        <v/>
      </c>
      <c r="AV188" s="53" t="str">
        <f>IFERROR(TP_DATA[[#This Row],[Top '[m']]]-TP_DATA[[#This Row],[Bottom '[m']]], "")</f>
        <v/>
      </c>
      <c r="CB188" s="226">
        <v>76</v>
      </c>
      <c r="CC188" s="227">
        <v>38.355000000000004</v>
      </c>
      <c r="CD188" s="227">
        <v>38.305000000000007</v>
      </c>
      <c r="CE188" s="227">
        <v>7.476</v>
      </c>
      <c r="CF188" s="227">
        <v>7.4740000000000002</v>
      </c>
      <c r="CG188" s="228">
        <v>46</v>
      </c>
      <c r="CH188" s="116">
        <f>IFERROR(TOWER_DATA[[#This Row],[Top '[m']]]-TOWER_DATA[[#This Row],[Bottom '[m']]], "")</f>
        <v>4.9999999999997158E-2</v>
      </c>
    </row>
    <row r="189" spans="4:86" ht="18" customHeight="1">
      <c r="D189" s="126"/>
      <c r="K189" s="53" t="str">
        <f>IFERROR(MP_DATA[[#This Row],[Top '[m']]]-MP_DATA[[#This Row],[Bottom '[m']]], "")</f>
        <v/>
      </c>
      <c r="AV189" s="53" t="str">
        <f>IFERROR(TP_DATA[[#This Row],[Top '[m']]]-TP_DATA[[#This Row],[Bottom '[m']]], "")</f>
        <v/>
      </c>
      <c r="CB189" s="226">
        <v>77</v>
      </c>
      <c r="CC189" s="227">
        <v>38.305000000000007</v>
      </c>
      <c r="CD189" s="227">
        <v>37.343000000000004</v>
      </c>
      <c r="CE189" s="227">
        <v>7.4740000000000002</v>
      </c>
      <c r="CF189" s="227">
        <v>7.4740000000000002</v>
      </c>
      <c r="CG189" s="228">
        <v>44.1</v>
      </c>
      <c r="CH189" s="116">
        <f>IFERROR(TOWER_DATA[[#This Row],[Top '[m']]]-TOWER_DATA[[#This Row],[Bottom '[m']]], "")</f>
        <v>0.9620000000000033</v>
      </c>
    </row>
    <row r="190" spans="4:86" ht="18" customHeight="1">
      <c r="D190" s="126"/>
      <c r="K190" s="53" t="str">
        <f>IFERROR(MP_DATA[[#This Row],[Top '[m']]]-MP_DATA[[#This Row],[Bottom '[m']]], "")</f>
        <v/>
      </c>
      <c r="AV190" s="53" t="str">
        <f>IFERROR(TP_DATA[[#This Row],[Top '[m']]]-TP_DATA[[#This Row],[Bottom '[m']]], "")</f>
        <v/>
      </c>
      <c r="CB190" s="226">
        <v>78</v>
      </c>
      <c r="CC190" s="227">
        <v>37.343000000000004</v>
      </c>
      <c r="CD190" s="227">
        <v>35.43</v>
      </c>
      <c r="CE190" s="227">
        <v>7.4740000000000002</v>
      </c>
      <c r="CF190" s="227">
        <v>7.476</v>
      </c>
      <c r="CG190" s="228">
        <v>44.1</v>
      </c>
      <c r="CH190" s="116">
        <f>IFERROR(TOWER_DATA[[#This Row],[Top '[m']]]-TOWER_DATA[[#This Row],[Bottom '[m']]], "")</f>
        <v>1.9130000000000038</v>
      </c>
    </row>
    <row r="191" spans="4:86" ht="18" customHeight="1">
      <c r="D191" s="126"/>
      <c r="K191" s="53" t="str">
        <f>IFERROR(MP_DATA[[#This Row],[Top '[m']]]-MP_DATA[[#This Row],[Bottom '[m']]], "")</f>
        <v/>
      </c>
      <c r="AV191" s="53" t="str">
        <f>IFERROR(TP_DATA[[#This Row],[Top '[m']]]-TP_DATA[[#This Row],[Bottom '[m']]], "")</f>
        <v/>
      </c>
      <c r="CB191" s="226">
        <v>79</v>
      </c>
      <c r="CC191" s="227">
        <v>35.43</v>
      </c>
      <c r="CD191" s="227">
        <v>33.231999999999999</v>
      </c>
      <c r="CE191" s="227">
        <v>7.476</v>
      </c>
      <c r="CF191" s="227">
        <v>7.476</v>
      </c>
      <c r="CG191" s="228">
        <v>45.6</v>
      </c>
      <c r="CH191" s="116">
        <f>IFERROR(TOWER_DATA[[#This Row],[Top '[m']]]-TOWER_DATA[[#This Row],[Bottom '[m']]], "")</f>
        <v>2.1980000000000004</v>
      </c>
    </row>
    <row r="192" spans="4:86" ht="18" customHeight="1">
      <c r="D192" s="126"/>
      <c r="K192" s="53" t="str">
        <f>IFERROR(MP_DATA[[#This Row],[Top '[m']]]-MP_DATA[[#This Row],[Bottom '[m']]], "")</f>
        <v/>
      </c>
      <c r="AV192" s="53" t="str">
        <f>IFERROR(TP_DATA[[#This Row],[Top '[m']]]-TP_DATA[[#This Row],[Bottom '[m']]], "")</f>
        <v/>
      </c>
      <c r="CB192" s="226">
        <v>80</v>
      </c>
      <c r="CC192" s="227">
        <v>33.231999999999999</v>
      </c>
      <c r="CD192" s="227">
        <v>32.5</v>
      </c>
      <c r="CE192" s="227">
        <v>7.476</v>
      </c>
      <c r="CF192" s="227">
        <v>7.4770000000000003</v>
      </c>
      <c r="CG192" s="228">
        <v>45.6</v>
      </c>
      <c r="CH192" s="116">
        <f>IFERROR(TOWER_DATA[[#This Row],[Top '[m']]]-TOWER_DATA[[#This Row],[Bottom '[m']]], "")</f>
        <v>0.73199999999999932</v>
      </c>
    </row>
    <row r="193" spans="1:86" ht="18" customHeight="1">
      <c r="D193" s="126"/>
      <c r="K193" s="53" t="str">
        <f>IFERROR(MP_DATA[[#This Row],[Top '[m']]]-MP_DATA[[#This Row],[Bottom '[m']]], "")</f>
        <v/>
      </c>
      <c r="AV193" s="53"/>
      <c r="CB193" s="226">
        <v>81</v>
      </c>
      <c r="CC193" s="227">
        <v>32.5</v>
      </c>
      <c r="CD193" s="227">
        <v>30.9</v>
      </c>
      <c r="CE193" s="227">
        <v>7.4770000000000003</v>
      </c>
      <c r="CF193" s="227">
        <v>7.4770000000000003</v>
      </c>
      <c r="CG193" s="228">
        <v>47.1</v>
      </c>
      <c r="CH193" s="116">
        <f>IFERROR(TOWER_DATA[[#This Row],[Top '[m']]]-TOWER_DATA[[#This Row],[Bottom '[m']]], "")</f>
        <v>1.6000000000000014</v>
      </c>
    </row>
    <row r="194" spans="1:86" ht="18" customHeight="1">
      <c r="D194" s="126"/>
      <c r="K194" s="53" t="str">
        <f>IFERROR(MP_DATA[[#This Row],[Top '[m']]]-MP_DATA[[#This Row],[Bottom '[m']]], "")</f>
        <v/>
      </c>
      <c r="CB194" s="226">
        <v>82</v>
      </c>
      <c r="CC194" s="227">
        <v>30.9</v>
      </c>
      <c r="CD194" s="227">
        <v>29.569999999999997</v>
      </c>
      <c r="CE194" s="227">
        <v>7.4770000000000003</v>
      </c>
      <c r="CF194" s="227">
        <v>7.4790000000000001</v>
      </c>
      <c r="CG194" s="228">
        <v>47.1</v>
      </c>
      <c r="CH194" s="116">
        <f>IFERROR(TOWER_DATA[[#This Row],[Top '[m']]]-TOWER_DATA[[#This Row],[Bottom '[m']]], "")</f>
        <v>1.3300000000000018</v>
      </c>
    </row>
    <row r="195" spans="1:86" ht="18" customHeight="1">
      <c r="D195" s="126"/>
      <c r="K195" s="53" t="str">
        <f>IFERROR(MP_DATA[[#This Row],[Top '[m']]]-MP_DATA[[#This Row],[Bottom '[m']]], "")</f>
        <v/>
      </c>
      <c r="CB195" s="226">
        <v>83</v>
      </c>
      <c r="CC195" s="227">
        <v>29.569999999999997</v>
      </c>
      <c r="CD195" s="227">
        <v>29.120999999999999</v>
      </c>
      <c r="CE195" s="227">
        <v>7.4790000000000001</v>
      </c>
      <c r="CF195" s="227">
        <v>7.4790000000000001</v>
      </c>
      <c r="CG195" s="228">
        <v>49</v>
      </c>
      <c r="CH195" s="116">
        <f>IFERROR(TOWER_DATA[[#This Row],[Top '[m']]]-TOWER_DATA[[#This Row],[Bottom '[m']]], "")</f>
        <v>0.44899999999999807</v>
      </c>
    </row>
    <row r="196" spans="1:86" ht="18" customHeight="1">
      <c r="D196" s="126"/>
      <c r="K196" s="53" t="str">
        <f>IFERROR(MP_DATA[[#This Row],[Top '[m']]]-MP_DATA[[#This Row],[Bottom '[m']]], "")</f>
        <v/>
      </c>
      <c r="CB196" s="226">
        <v>84</v>
      </c>
      <c r="CC196" s="227">
        <v>29.120999999999999</v>
      </c>
      <c r="CD196" s="227">
        <v>26.639999999999997</v>
      </c>
      <c r="CE196" s="227">
        <v>7.4790000000000001</v>
      </c>
      <c r="CF196" s="227">
        <v>7.5</v>
      </c>
      <c r="CG196" s="228">
        <v>49</v>
      </c>
      <c r="CH196" s="116">
        <f>IFERROR(TOWER_DATA[[#This Row],[Top '[m']]]-TOWER_DATA[[#This Row],[Bottom '[m']]], "")</f>
        <v>2.4810000000000016</v>
      </c>
    </row>
    <row r="197" spans="1:86" ht="18" customHeight="1">
      <c r="D197" s="126"/>
      <c r="K197" s="53" t="str">
        <f>IFERROR(MP_DATA[[#This Row],[Top '[m']]]-MP_DATA[[#This Row],[Bottom '[m']]], "")</f>
        <v/>
      </c>
      <c r="CB197" s="226">
        <v>85</v>
      </c>
      <c r="CC197" s="227">
        <v>26.639999999999997</v>
      </c>
      <c r="CD197" s="227">
        <v>25.05</v>
      </c>
      <c r="CE197" s="227">
        <v>7.5</v>
      </c>
      <c r="CF197" s="227">
        <v>7.5</v>
      </c>
      <c r="CG197" s="228">
        <v>70</v>
      </c>
      <c r="CH197" s="116">
        <f>IFERROR(TOWER_DATA[[#This Row],[Top '[m']]]-TOWER_DATA[[#This Row],[Bottom '[m']]], "")</f>
        <v>1.5899999999999963</v>
      </c>
    </row>
    <row r="198" spans="1:86" ht="18" customHeight="1">
      <c r="D198" s="126"/>
      <c r="K198" s="53" t="str">
        <f>IFERROR(MP_DATA[[#This Row],[Top '[m']]]-MP_DATA[[#This Row],[Bottom '[m']]], "")</f>
        <v/>
      </c>
      <c r="CB198" s="226">
        <v>86</v>
      </c>
      <c r="CC198" s="227">
        <v>25.05</v>
      </c>
      <c r="CD198" s="227">
        <v>25.010999999999999</v>
      </c>
      <c r="CE198" s="227">
        <v>7.5</v>
      </c>
      <c r="CF198" s="227">
        <v>7.5</v>
      </c>
      <c r="CG198" s="228">
        <v>70</v>
      </c>
      <c r="CH198" s="116">
        <f>IFERROR(TOWER_DATA[[#This Row],[Top '[m']]]-TOWER_DATA[[#This Row],[Bottom '[m']]], "")</f>
        <v>3.9000000000001478E-2</v>
      </c>
    </row>
    <row r="199" spans="1:86" ht="18" customHeight="1">
      <c r="D199" s="126"/>
      <c r="K199" s="53"/>
      <c r="CB199" s="226">
        <v>87</v>
      </c>
      <c r="CC199" s="227">
        <v>25.010999999999999</v>
      </c>
      <c r="CD199" s="227">
        <v>22.119999999999997</v>
      </c>
      <c r="CE199" s="227">
        <v>7.5</v>
      </c>
      <c r="CF199" s="227">
        <v>7.5</v>
      </c>
      <c r="CG199" s="228">
        <v>70</v>
      </c>
      <c r="CH199" s="116">
        <f>IFERROR(TOWER_DATA[[#This Row],[Top '[m']]]-TOWER_DATA[[#This Row],[Bottom '[m']]], "")</f>
        <v>2.8910000000000018</v>
      </c>
    </row>
    <row r="200" spans="1:86" ht="18" customHeight="1">
      <c r="D200" s="126"/>
      <c r="CB200" s="226">
        <v>88</v>
      </c>
      <c r="CC200" s="227">
        <v>22.119999999999997</v>
      </c>
      <c r="CD200" s="227">
        <v>21.139999999999997</v>
      </c>
      <c r="CE200" s="227">
        <v>7.5</v>
      </c>
      <c r="CF200" s="227">
        <v>7.5</v>
      </c>
      <c r="CG200" s="228">
        <v>70</v>
      </c>
      <c r="CH200" s="116">
        <f>IFERROR(TOWER_DATA[[#This Row],[Top '[m']]]-TOWER_DATA[[#This Row],[Bottom '[m']]], "")</f>
        <v>0.98000000000000043</v>
      </c>
    </row>
    <row r="201" spans="1:86" ht="18" customHeight="1">
      <c r="D201" s="126"/>
      <c r="CB201" s="226">
        <v>89</v>
      </c>
      <c r="CC201" s="227">
        <v>21.139999999999997</v>
      </c>
      <c r="CD201" s="227">
        <v>21.08</v>
      </c>
      <c r="CE201" s="227">
        <v>7.5</v>
      </c>
      <c r="CF201" s="227">
        <v>7.5</v>
      </c>
      <c r="CG201" s="228">
        <v>70</v>
      </c>
      <c r="CH201" s="116">
        <f>IFERROR(TOWER_DATA[[#This Row],[Top '[m']]]-TOWER_DATA[[#This Row],[Bottom '[m']]], "")</f>
        <v>5.9999999999998721E-2</v>
      </c>
    </row>
    <row r="202" spans="1:86" ht="18" customHeight="1" thickBot="1">
      <c r="A202" s="98"/>
      <c r="B202" s="99"/>
      <c r="C202" s="99"/>
      <c r="D202" s="148"/>
      <c r="CB202" s="226">
        <v>90</v>
      </c>
      <c r="CC202" s="227">
        <v>21.08</v>
      </c>
      <c r="CD202" s="227">
        <v>20.9</v>
      </c>
      <c r="CE202" s="227">
        <v>7.5</v>
      </c>
      <c r="CF202" s="227">
        <v>7.5</v>
      </c>
      <c r="CG202" s="228">
        <v>70</v>
      </c>
      <c r="CH202" s="116">
        <f>IFERROR(TOWER_DATA[[#This Row],[Top '[m']]]-TOWER_DATA[[#This Row],[Bottom '[m']]], "")</f>
        <v>0.17999999999999972</v>
      </c>
    </row>
    <row r="203" spans="1:86" ht="18" customHeight="1">
      <c r="CH203" s="116" t="str">
        <f>IFERROR(TOWER_DATA[[#This Row],[Top '[m']]]-TOWER_DATA[[#This Row],[Bottom '[m']]], "")</f>
        <v/>
      </c>
    </row>
    <row r="204" spans="1:86" ht="18" customHeight="1">
      <c r="CH204" s="116" t="str">
        <f>IFERROR(TOWER_DATA[[#This Row],[Top '[m']]]-TOWER_DATA[[#This Row],[Bottom '[m']]], "")</f>
        <v/>
      </c>
    </row>
    <row r="205" spans="1:86" ht="18" customHeight="1">
      <c r="CH205" s="116" t="str">
        <f>IFERROR(TOWER_DATA[[#This Row],[Top '[m']]]-TOWER_DATA[[#This Row],[Bottom '[m']]], "")</f>
        <v/>
      </c>
    </row>
    <row r="206" spans="1:86" ht="18" customHeight="1">
      <c r="CH206" s="116" t="str">
        <f>IFERROR(TOWER_DATA[[#This Row],[Top '[m']]]-TOWER_DATA[[#This Row],[Bottom '[m']]], "")</f>
        <v/>
      </c>
    </row>
    <row r="207" spans="1:86" ht="18" customHeight="1">
      <c r="CH207" s="116" t="str">
        <f>IFERROR(TOWER_DATA[[#This Row],[Top '[m']]]-TOWER_DATA[[#This Row],[Bottom '[m']]], "")</f>
        <v/>
      </c>
    </row>
    <row r="208" spans="1:86" ht="18" customHeight="1">
      <c r="CH208" s="116" t="str">
        <f>IFERROR(TOWER_DATA[[#This Row],[Top '[m']]]-TOWER_DATA[[#This Row],[Bottom '[m']]], "")</f>
        <v/>
      </c>
    </row>
    <row r="209" spans="86:86" ht="18" customHeight="1">
      <c r="CH209" s="116" t="str">
        <f>IFERROR(TOWER_DATA[[#This Row],[Top '[m']]]-TOWER_DATA[[#This Row],[Bottom '[m']]], "")</f>
        <v/>
      </c>
    </row>
    <row r="210" spans="86:86" ht="18" customHeight="1">
      <c r="CH210" s="116" t="str">
        <f>IFERROR(TOWER_DATA[[#This Row],[Top '[m']]]-TOWER_DATA[[#This Row],[Bottom '[m']]], "")</f>
        <v/>
      </c>
    </row>
    <row r="211" spans="86:86" ht="18" customHeight="1">
      <c r="CH211" s="116" t="str">
        <f>IFERROR(TOWER_DATA[[#This Row],[Top '[m']]]-TOWER_DATA[[#This Row],[Bottom '[m']]], "")</f>
        <v/>
      </c>
    </row>
    <row r="212" spans="86:86" ht="18" customHeight="1">
      <c r="CH212" s="116" t="str">
        <f>IFERROR(TOWER_DATA[[#This Row],[Top '[m']]]-TOWER_DATA[[#This Row],[Bottom '[m']]], "")</f>
        <v/>
      </c>
    </row>
    <row r="213" spans="86:86" ht="18" customHeight="1">
      <c r="CH213" s="116" t="str">
        <f>IFERROR(TOWER_DATA[[#This Row],[Top '[m']]]-TOWER_DATA[[#This Row],[Bottom '[m']]], "")</f>
        <v/>
      </c>
    </row>
    <row r="214" spans="86:86" ht="18" customHeight="1">
      <c r="CH214" s="116" t="str">
        <f>IFERROR(TOWER_DATA[[#This Row],[Top '[m']]]-TOWER_DATA[[#This Row],[Bottom '[m']]], "")</f>
        <v/>
      </c>
    </row>
    <row r="215" spans="86:86" ht="18" customHeight="1">
      <c r="CH215" s="116" t="str">
        <f>IFERROR(TOWER_DATA[[#This Row],[Top '[m']]]-TOWER_DATA[[#This Row],[Bottom '[m']]], "")</f>
        <v/>
      </c>
    </row>
    <row r="216" spans="86:86" ht="18" customHeight="1">
      <c r="CH216" s="116" t="str">
        <f>IFERROR(TOWER_DATA[[#This Row],[Top '[m']]]-TOWER_DATA[[#This Row],[Bottom '[m']]], "")</f>
        <v/>
      </c>
    </row>
    <row r="217" spans="86:86" ht="18" customHeight="1">
      <c r="CH217" s="116" t="str">
        <f>IFERROR(TOWER_DATA[[#This Row],[Top '[m']]]-TOWER_DATA[[#This Row],[Bottom '[m']]], "")</f>
        <v/>
      </c>
    </row>
    <row r="218" spans="86:86" ht="18" customHeight="1">
      <c r="CH218" s="116" t="str">
        <f>IFERROR(TOWER_DATA[[#This Row],[Top '[m']]]-TOWER_DATA[[#This Row],[Bottom '[m']]], "")</f>
        <v/>
      </c>
    </row>
    <row r="219" spans="86:86" ht="18" customHeight="1">
      <c r="CH219" s="116" t="str">
        <f>IFERROR(TOWER_DATA[[#This Row],[Top '[m']]]-TOWER_DATA[[#This Row],[Bottom '[m']]], "")</f>
        <v/>
      </c>
    </row>
    <row r="220" spans="86:86" ht="18" customHeight="1">
      <c r="CH220" s="116" t="str">
        <f>IFERROR(TOWER_DATA[[#This Row],[Top '[m']]]-TOWER_DATA[[#This Row],[Bottom '[m']]], "")</f>
        <v/>
      </c>
    </row>
    <row r="221" spans="86:86" ht="18" customHeight="1">
      <c r="CH221" s="116" t="str">
        <f>IFERROR(TOWER_DATA[[#This Row],[Top '[m']]]-TOWER_DATA[[#This Row],[Bottom '[m']]], "")</f>
        <v/>
      </c>
    </row>
    <row r="222" spans="86:86" ht="18" customHeight="1">
      <c r="CH222" s="116" t="str">
        <f>IFERROR(TOWER_DATA[[#This Row],[Top '[m']]]-TOWER_DATA[[#This Row],[Bottom '[m']]], "")</f>
        <v/>
      </c>
    </row>
    <row r="223" spans="86:86" ht="18" customHeight="1">
      <c r="CH223" s="116" t="str">
        <f>IFERROR(TOWER_DATA[[#This Row],[Top '[m']]]-TOWER_DATA[[#This Row],[Bottom '[m']]], "")</f>
        <v/>
      </c>
    </row>
    <row r="224" spans="86:86" ht="18" customHeight="1">
      <c r="CH224" s="116" t="str">
        <f>IFERROR(TOWER_DATA[[#This Row],[Top '[m']]]-TOWER_DATA[[#This Row],[Bottom '[m']]], "")</f>
        <v/>
      </c>
    </row>
    <row r="225" spans="86:86" ht="18" customHeight="1">
      <c r="CH225" s="116" t="str">
        <f>IFERROR(TOWER_DATA[[#This Row],[Top '[m']]]-TOWER_DATA[[#This Row],[Bottom '[m']]], "")</f>
        <v/>
      </c>
    </row>
    <row r="226" spans="86:86" ht="18" customHeight="1">
      <c r="CH226" s="116" t="str">
        <f>IFERROR(TOWER_DATA[[#This Row],[Top '[m']]]-TOWER_DATA[[#This Row],[Bottom '[m']]], "")</f>
        <v/>
      </c>
    </row>
    <row r="227" spans="86:86" ht="18" customHeight="1">
      <c r="CH227" s="116" t="str">
        <f>IFERROR(TOWER_DATA[[#This Row],[Top '[m']]]-TOWER_DATA[[#This Row],[Bottom '[m']]], "")</f>
        <v/>
      </c>
    </row>
    <row r="228" spans="86:86" ht="18" customHeight="1">
      <c r="CH228" s="116" t="str">
        <f>IFERROR(TOWER_DATA[[#This Row],[Top '[m']]]-TOWER_DATA[[#This Row],[Bottom '[m']]], "")</f>
        <v/>
      </c>
    </row>
    <row r="229" spans="86:86" ht="18" customHeight="1">
      <c r="CH229" s="116" t="str">
        <f>IFERROR(TOWER_DATA[[#This Row],[Top '[m']]]-TOWER_DATA[[#This Row],[Bottom '[m']]], "")</f>
        <v/>
      </c>
    </row>
    <row r="230" spans="86:86" ht="18" customHeight="1">
      <c r="CH230" s="116" t="str">
        <f>IFERROR(TOWER_DATA[[#This Row],[Top '[m']]]-TOWER_DATA[[#This Row],[Bottom '[m']]], "")</f>
        <v/>
      </c>
    </row>
    <row r="231" spans="86:86" ht="18" customHeight="1">
      <c r="CH231" s="116" t="str">
        <f>IFERROR(TOWER_DATA[[#This Row],[Top '[m']]]-TOWER_DATA[[#This Row],[Bottom '[m']]], "")</f>
        <v/>
      </c>
    </row>
    <row r="232" spans="86:86" ht="18" customHeight="1">
      <c r="CH232" s="116" t="str">
        <f>IFERROR(TOWER_DATA[[#This Row],[Top '[m']]]-TOWER_DATA[[#This Row],[Bottom '[m']]], "")</f>
        <v/>
      </c>
    </row>
    <row r="233" spans="86:86" ht="18" customHeight="1">
      <c r="CH233" s="116" t="str">
        <f>IFERROR(TOWER_DATA[[#This Row],[Top '[m']]]-TOWER_DATA[[#This Row],[Bottom '[m']]], "")</f>
        <v/>
      </c>
    </row>
    <row r="234" spans="86:86" ht="18" customHeight="1">
      <c r="CH234" s="116" t="str">
        <f>IFERROR(TOWER_DATA[[#This Row],[Top '[m']]]-TOWER_DATA[[#This Row],[Bottom '[m']]], "")</f>
        <v/>
      </c>
    </row>
    <row r="235" spans="86:86" ht="18" customHeight="1">
      <c r="CH235" s="116" t="str">
        <f>IFERROR(TOWER_DATA[[#This Row],[Top '[m']]]-TOWER_DATA[[#This Row],[Bottom '[m']]], "")</f>
        <v/>
      </c>
    </row>
    <row r="236" spans="86:86" ht="18" customHeight="1">
      <c r="CH236" s="116" t="str">
        <f>IFERROR(TOWER_DATA[[#This Row],[Top '[m']]]-TOWER_DATA[[#This Row],[Bottom '[m']]], "")</f>
        <v/>
      </c>
    </row>
    <row r="237" spans="86:86" ht="18" customHeight="1">
      <c r="CH237" s="116" t="str">
        <f>IFERROR(TOWER_DATA[[#This Row],[Top '[m']]]-TOWER_DATA[[#This Row],[Bottom '[m']]], "")</f>
        <v/>
      </c>
    </row>
    <row r="238" spans="86:86" ht="18" customHeight="1">
      <c r="CH238" s="116" t="str">
        <f>IFERROR(TOWER_DATA[[#This Row],[Top '[m']]]-TOWER_DATA[[#This Row],[Bottom '[m']]], "")</f>
        <v/>
      </c>
    </row>
    <row r="239" spans="86:86" ht="18" customHeight="1">
      <c r="CH239" s="116" t="str">
        <f>IFERROR(TOWER_DATA[[#This Row],[Top '[m']]]-TOWER_DATA[[#This Row],[Bottom '[m']]], "")</f>
        <v/>
      </c>
    </row>
    <row r="240" spans="86:86" ht="18" customHeight="1">
      <c r="CH240" s="116" t="str">
        <f>IFERROR(TOWER_DATA[[#This Row],[Top '[m']]]-TOWER_DATA[[#This Row],[Bottom '[m']]], "")</f>
        <v/>
      </c>
    </row>
    <row r="241" spans="86:86" ht="18" customHeight="1">
      <c r="CH241" s="116" t="str">
        <f>IFERROR(TOWER_DATA[[#This Row],[Top '[m']]]-TOWER_DATA[[#This Row],[Bottom '[m']]], "")</f>
        <v/>
      </c>
    </row>
    <row r="242" spans="86:86" ht="18" customHeight="1">
      <c r="CH242" s="116" t="str">
        <f>IFERROR(TOWER_DATA[[#This Row],[Top '[m']]]-TOWER_DATA[[#This Row],[Bottom '[m']]], "")</f>
        <v/>
      </c>
    </row>
    <row r="243" spans="86:86" ht="18" customHeight="1">
      <c r="CH243" s="116" t="str">
        <f>IFERROR(TOWER_DATA[[#This Row],[Top '[m']]]-TOWER_DATA[[#This Row],[Bottom '[m']]], "")</f>
        <v/>
      </c>
    </row>
    <row r="244" spans="86:86" ht="18" customHeight="1">
      <c r="CH244" s="116" t="str">
        <f>IFERROR(TOWER_DATA[[#This Row],[Top '[m']]]-TOWER_DATA[[#This Row],[Bottom '[m']]], "")</f>
        <v/>
      </c>
    </row>
    <row r="245" spans="86:86" ht="18" customHeight="1">
      <c r="CH245" s="116" t="str">
        <f>IFERROR(TOWER_DATA[[#This Row],[Top '[m']]]-TOWER_DATA[[#This Row],[Bottom '[m']]], "")</f>
        <v/>
      </c>
    </row>
    <row r="246" spans="86:86" ht="18" customHeight="1">
      <c r="CH246" s="116" t="str">
        <f>IFERROR(TOWER_DATA[[#This Row],[Top '[m']]]-TOWER_DATA[[#This Row],[Bottom '[m']]], "")</f>
        <v/>
      </c>
    </row>
    <row r="247" spans="86:86" ht="18" customHeight="1">
      <c r="CH247" s="116" t="str">
        <f>IFERROR(TOWER_DATA[[#This Row],[Top '[m']]]-TOWER_DATA[[#This Row],[Bottom '[m']]], "")</f>
        <v/>
      </c>
    </row>
    <row r="248" spans="86:86" ht="18" customHeight="1">
      <c r="CH248" s="116" t="str">
        <f>IFERROR(TOWER_DATA[[#This Row],[Top '[m']]]-TOWER_DATA[[#This Row],[Bottom '[m']]], "")</f>
        <v/>
      </c>
    </row>
    <row r="249" spans="86:86" ht="18" customHeight="1">
      <c r="CH249" s="116" t="str">
        <f>IFERROR(TOWER_DATA[[#This Row],[Top '[m']]]-TOWER_DATA[[#This Row],[Bottom '[m']]], "")</f>
        <v/>
      </c>
    </row>
    <row r="250" spans="86:86" ht="18" customHeight="1">
      <c r="CH250" s="116" t="str">
        <f>IFERROR(TOWER_DATA[[#This Row],[Top '[m']]]-TOWER_DATA[[#This Row],[Bottom '[m']]], "")</f>
        <v/>
      </c>
    </row>
    <row r="251" spans="86:86" ht="18" customHeight="1">
      <c r="CH251" s="116" t="str">
        <f>IFERROR(TOWER_DATA[[#This Row],[Top '[m']]]-TOWER_DATA[[#This Row],[Bottom '[m']]], "")</f>
        <v/>
      </c>
    </row>
    <row r="252" spans="86:86" ht="18" customHeight="1">
      <c r="CH252" s="116" t="str">
        <f>IFERROR(TOWER_DATA[[#This Row],[Top '[m']]]-TOWER_DATA[[#This Row],[Bottom '[m']]], "")</f>
        <v/>
      </c>
    </row>
    <row r="253" spans="86:86" ht="18" customHeight="1">
      <c r="CH253" s="116" t="str">
        <f>IFERROR(TOWER_DATA[[#This Row],[Top '[m']]]-TOWER_DATA[[#This Row],[Bottom '[m']]], "")</f>
        <v/>
      </c>
    </row>
    <row r="254" spans="86:86" ht="18" customHeight="1">
      <c r="CH254" s="116" t="str">
        <f>IFERROR(TOWER_DATA[[#This Row],[Top '[m']]]-TOWER_DATA[[#This Row],[Bottom '[m']]], "")</f>
        <v/>
      </c>
    </row>
    <row r="255" spans="86:86" ht="18" customHeight="1">
      <c r="CH255" s="116" t="str">
        <f>IFERROR(TOWER_DATA[[#This Row],[Top '[m']]]-TOWER_DATA[[#This Row],[Bottom '[m']]], "")</f>
        <v/>
      </c>
    </row>
    <row r="256" spans="86:86" ht="18" customHeight="1">
      <c r="CH256" s="116" t="str">
        <f>IFERROR(TOWER_DATA[[#This Row],[Top '[m']]]-TOWER_DATA[[#This Row],[Bottom '[m']]], "")</f>
        <v/>
      </c>
    </row>
    <row r="257" spans="86:86" ht="18" customHeight="1">
      <c r="CH257" s="116" t="str">
        <f>IFERROR(TOWER_DATA[[#This Row],[Top '[m']]]-TOWER_DATA[[#This Row],[Bottom '[m']]], "")</f>
        <v/>
      </c>
    </row>
    <row r="258" spans="86:86" ht="18" customHeight="1">
      <c r="CH258" s="116" t="str">
        <f>IFERROR(TOWER_DATA[[#This Row],[Top '[m']]]-TOWER_DATA[[#This Row],[Bottom '[m']]], "")</f>
        <v/>
      </c>
    </row>
    <row r="259" spans="86:86" ht="18" customHeight="1">
      <c r="CH259" s="116" t="str">
        <f>IFERROR(TOWER_DATA[[#This Row],[Top '[m']]]-TOWER_DATA[[#This Row],[Bottom '[m']]], "")</f>
        <v/>
      </c>
    </row>
    <row r="260" spans="86:86" ht="18" customHeight="1">
      <c r="CH260" s="116" t="str">
        <f>IFERROR(TOWER_DATA[[#This Row],[Top '[m']]]-TOWER_DATA[[#This Row],[Bottom '[m']]], "")</f>
        <v/>
      </c>
    </row>
    <row r="261" spans="86:86" ht="18" customHeight="1">
      <c r="CH261" s="116" t="str">
        <f>IFERROR(TOWER_DATA[[#This Row],[Top '[m']]]-TOWER_DATA[[#This Row],[Bottom '[m']]], "")</f>
        <v/>
      </c>
    </row>
    <row r="262" spans="86:86" ht="18" customHeight="1">
      <c r="CH262" s="116" t="str">
        <f>IFERROR(TOWER_DATA[[#This Row],[Top '[m']]]-TOWER_DATA[[#This Row],[Bottom '[m']]], "")</f>
        <v/>
      </c>
    </row>
    <row r="263" spans="86:86" ht="18" customHeight="1">
      <c r="CH263" s="116" t="str">
        <f>IFERROR(TOWER_DATA[[#This Row],[Top '[m']]]-TOWER_DATA[[#This Row],[Bottom '[m']]], "")</f>
        <v/>
      </c>
    </row>
    <row r="264" spans="86:86" ht="18" customHeight="1">
      <c r="CH264" s="116" t="str">
        <f>IFERROR(TOWER_DATA[[#This Row],[Top '[m']]]-TOWER_DATA[[#This Row],[Bottom '[m']]], "")</f>
        <v/>
      </c>
    </row>
    <row r="265" spans="86:86" ht="18" customHeight="1">
      <c r="CH265" s="116" t="str">
        <f>IFERROR(TOWER_DATA[[#This Row],[Top '[m']]]-TOWER_DATA[[#This Row],[Bottom '[m']]], "")</f>
        <v/>
      </c>
    </row>
    <row r="266" spans="86:86" ht="18" customHeight="1">
      <c r="CH266" s="116" t="str">
        <f>IFERROR(TOWER_DATA[[#This Row],[Top '[m']]]-TOWER_DATA[[#This Row],[Bottom '[m']]], "")</f>
        <v/>
      </c>
    </row>
    <row r="267" spans="86:86" ht="18" customHeight="1">
      <c r="CH267" s="116" t="str">
        <f>IFERROR(TOWER_DATA[[#This Row],[Top '[m']]]-TOWER_DATA[[#This Row],[Bottom '[m']]], "")</f>
        <v/>
      </c>
    </row>
    <row r="268" spans="86:86" ht="18" customHeight="1">
      <c r="CH268" s="116" t="str">
        <f>IFERROR(TOWER_DATA[[#This Row],[Top '[m']]]-TOWER_DATA[[#This Row],[Bottom '[m']]], "")</f>
        <v/>
      </c>
    </row>
    <row r="269" spans="86:86" ht="18" customHeight="1">
      <c r="CH269" s="116" t="str">
        <f>IFERROR(TOWER_DATA[[#This Row],[Top '[m']]]-TOWER_DATA[[#This Row],[Bottom '[m']]], "")</f>
        <v/>
      </c>
    </row>
    <row r="270" spans="86:86" ht="18" customHeight="1">
      <c r="CH270" s="116" t="str">
        <f>IFERROR(TOWER_DATA[[#This Row],[Top '[m']]]-TOWER_DATA[[#This Row],[Bottom '[m']]], "")</f>
        <v/>
      </c>
    </row>
    <row r="271" spans="86:86" ht="18" customHeight="1">
      <c r="CH271" s="116" t="str">
        <f>IFERROR(TOWER_DATA[[#This Row],[Top '[m']]]-TOWER_DATA[[#This Row],[Bottom '[m']]], "")</f>
        <v/>
      </c>
    </row>
    <row r="272" spans="86:86" ht="18" customHeight="1">
      <c r="CH272" s="116" t="str">
        <f>IFERROR(TOWER_DATA[[#This Row],[Top '[m']]]-TOWER_DATA[[#This Row],[Bottom '[m']]], "")</f>
        <v/>
      </c>
    </row>
    <row r="273" spans="86:86" ht="18" customHeight="1">
      <c r="CH273" s="116" t="str">
        <f>IFERROR(TOWER_DATA[[#This Row],[Top '[m']]]-TOWER_DATA[[#This Row],[Bottom '[m']]], "")</f>
        <v/>
      </c>
    </row>
    <row r="274" spans="86:86" ht="18" customHeight="1">
      <c r="CH274" s="116" t="str">
        <f>IFERROR(TOWER_DATA[[#This Row],[Top '[m']]]-TOWER_DATA[[#This Row],[Bottom '[m']]], "")</f>
        <v/>
      </c>
    </row>
    <row r="275" spans="86:86" ht="18" customHeight="1">
      <c r="CH275" s="116" t="str">
        <f>IFERROR(TOWER_DATA[[#This Row],[Top '[m']]]-TOWER_DATA[[#This Row],[Bottom '[m']]], "")</f>
        <v/>
      </c>
    </row>
    <row r="276" spans="86:86" ht="18" customHeight="1">
      <c r="CH276" s="116" t="str">
        <f>IFERROR(TOWER_DATA[[#This Row],[Top '[m']]]-TOWER_DATA[[#This Row],[Bottom '[m']]], "")</f>
        <v/>
      </c>
    </row>
    <row r="277" spans="86:86" ht="18" customHeight="1">
      <c r="CH277" s="116" t="str">
        <f>IFERROR(TOWER_DATA[[#This Row],[Top '[m']]]-TOWER_DATA[[#This Row],[Bottom '[m']]], "")</f>
        <v/>
      </c>
    </row>
    <row r="278" spans="86:86" ht="18" customHeight="1">
      <c r="CH278" s="116" t="str">
        <f>IFERROR(TOWER_DATA[[#This Row],[Top '[m']]]-TOWER_DATA[[#This Row],[Bottom '[m']]], "")</f>
        <v/>
      </c>
    </row>
    <row r="279" spans="86:86" ht="18" customHeight="1">
      <c r="CH279" s="116" t="str">
        <f>IFERROR(TOWER_DATA[[#This Row],[Top '[m']]]-TOWER_DATA[[#This Row],[Bottom '[m']]], "")</f>
        <v/>
      </c>
    </row>
    <row r="280" spans="86:86" ht="18" customHeight="1">
      <c r="CH280" s="116" t="str">
        <f>IFERROR(TOWER_DATA[[#This Row],[Top '[m']]]-TOWER_DATA[[#This Row],[Bottom '[m']]], "")</f>
        <v/>
      </c>
    </row>
    <row r="281" spans="86:86" ht="18" customHeight="1">
      <c r="CH281" s="116" t="str">
        <f>IFERROR(TOWER_DATA[[#This Row],[Top '[m']]]-TOWER_DATA[[#This Row],[Bottom '[m']]], "")</f>
        <v/>
      </c>
    </row>
    <row r="282" spans="86:86" ht="18" customHeight="1">
      <c r="CH282" s="116" t="str">
        <f>IFERROR(TOWER_DATA[[#This Row],[Top '[m']]]-TOWER_DATA[[#This Row],[Bottom '[m']]], "")</f>
        <v/>
      </c>
    </row>
    <row r="283" spans="86:86" ht="18" customHeight="1">
      <c r="CH283" s="116" t="str">
        <f>IFERROR(TOWER_DATA[[#This Row],[Top '[m']]]-TOWER_DATA[[#This Row],[Bottom '[m']]], "")</f>
        <v/>
      </c>
    </row>
    <row r="284" spans="86:86" ht="18" customHeight="1">
      <c r="CH284" s="116" t="str">
        <f>IFERROR(TOWER_DATA[[#This Row],[Top '[m']]]-TOWER_DATA[[#This Row],[Bottom '[m']]], "")</f>
        <v/>
      </c>
    </row>
    <row r="285" spans="86:86" ht="18" customHeight="1">
      <c r="CH285" s="116" t="str">
        <f>IFERROR(TOWER_DATA[[#This Row],[Top '[m']]]-TOWER_DATA[[#This Row],[Bottom '[m']]], "")</f>
        <v/>
      </c>
    </row>
    <row r="286" spans="86:86" ht="18" customHeight="1">
      <c r="CH286" s="116" t="str">
        <f>IFERROR(TOWER_DATA[[#This Row],[Top '[m']]]-TOWER_DATA[[#This Row],[Bottom '[m']]], "")</f>
        <v/>
      </c>
    </row>
    <row r="287" spans="86:86" ht="18" customHeight="1">
      <c r="CH287" s="116" t="str">
        <f>IFERROR(TOWER_DATA[[#This Row],[Top '[m']]]-TOWER_DATA[[#This Row],[Bottom '[m']]], "")</f>
        <v/>
      </c>
    </row>
    <row r="288" spans="86:86" ht="18" customHeight="1">
      <c r="CH288" s="116" t="str">
        <f>IFERROR(TOWER_DATA[[#This Row],[Top '[m']]]-TOWER_DATA[[#This Row],[Bottom '[m']]], "")</f>
        <v/>
      </c>
    </row>
    <row r="289" spans="86:86" ht="18" customHeight="1">
      <c r="CH289" s="116" t="str">
        <f>IFERROR(TOWER_DATA[[#This Row],[Top '[m']]]-TOWER_DATA[[#This Row],[Bottom '[m']]], "")</f>
        <v/>
      </c>
    </row>
    <row r="290" spans="86:86" ht="18" customHeight="1">
      <c r="CH290" s="116" t="str">
        <f>IFERROR(TOWER_DATA[[#This Row],[Top '[m']]]-TOWER_DATA[[#This Row],[Bottom '[m']]], "")</f>
        <v/>
      </c>
    </row>
    <row r="291" spans="86:86" ht="18" customHeight="1">
      <c r="CH291" s="116" t="str">
        <f>IFERROR(TOWER_DATA[[#This Row],[Top '[m']]]-TOWER_DATA[[#This Row],[Bottom '[m']]], "")</f>
        <v/>
      </c>
    </row>
    <row r="292" spans="86:86" ht="18" customHeight="1">
      <c r="CH292" s="116" t="str">
        <f>IFERROR(TOWER_DATA[[#This Row],[Top '[m']]]-TOWER_DATA[[#This Row],[Bottom '[m']]], "")</f>
        <v/>
      </c>
    </row>
    <row r="293" spans="86:86" ht="18" customHeight="1">
      <c r="CH293" s="116" t="str">
        <f>IFERROR(TOWER_DATA[[#This Row],[Top '[m']]]-TOWER_DATA[[#This Row],[Bottom '[m']]], "")</f>
        <v/>
      </c>
    </row>
    <row r="294" spans="86:86" ht="18" customHeight="1">
      <c r="CH294" s="116" t="str">
        <f>IFERROR(TOWER_DATA[[#This Row],[Top '[m']]]-TOWER_DATA[[#This Row],[Bottom '[m']]], "")</f>
        <v/>
      </c>
    </row>
    <row r="295" spans="86:86" ht="18" customHeight="1">
      <c r="CH295" s="116" t="str">
        <f>IFERROR(TOWER_DATA[[#This Row],[Top '[m']]]-TOWER_DATA[[#This Row],[Bottom '[m']]], "")</f>
        <v/>
      </c>
    </row>
    <row r="296" spans="86:86" ht="18" customHeight="1">
      <c r="CH296" s="116" t="str">
        <f>IFERROR(TOWER_DATA[[#This Row],[Top '[m']]]-TOWER_DATA[[#This Row],[Bottom '[m']]], "")</f>
        <v/>
      </c>
    </row>
    <row r="297" spans="86:86" ht="18" customHeight="1">
      <c r="CH297" s="116" t="str">
        <f>IFERROR(TOWER_DATA[[#This Row],[Top '[m']]]-TOWER_DATA[[#This Row],[Bottom '[m']]], "")</f>
        <v/>
      </c>
    </row>
    <row r="298" spans="86:86" ht="18" customHeight="1">
      <c r="CH298" s="116" t="str">
        <f>IFERROR(TOWER_DATA[[#This Row],[Top '[m']]]-TOWER_DATA[[#This Row],[Bottom '[m']]], "")</f>
        <v/>
      </c>
    </row>
    <row r="299" spans="86:86" ht="18" customHeight="1">
      <c r="CH299" s="116" t="str">
        <f>IFERROR(TOWER_DATA[[#This Row],[Top '[m']]]-TOWER_DATA[[#This Row],[Bottom '[m']]], "")</f>
        <v/>
      </c>
    </row>
    <row r="300" spans="86:86" ht="18" customHeight="1">
      <c r="CH300" s="116" t="str">
        <f>IFERROR(TOWER_DATA[[#This Row],[Top '[m']]]-TOWER_DATA[[#This Row],[Bottom '[m']]], "")</f>
        <v/>
      </c>
    </row>
    <row r="301" spans="86:86" ht="18" customHeight="1">
      <c r="CH301" s="116" t="str">
        <f>IFERROR(TOWER_DATA[[#This Row],[Top '[m']]]-TOWER_DATA[[#This Row],[Bottom '[m']]], "")</f>
        <v/>
      </c>
    </row>
    <row r="302" spans="86:86" ht="18" customHeight="1">
      <c r="CH302" s="116" t="str">
        <f>IFERROR(TOWER_DATA[[#This Row],[Top '[m']]]-TOWER_DATA[[#This Row],[Bottom '[m']]], "")</f>
        <v/>
      </c>
    </row>
    <row r="303" spans="86:86" ht="18" customHeight="1">
      <c r="CH303" s="116" t="str">
        <f>IFERROR(TOWER_DATA[[#This Row],[Top '[m']]]-TOWER_DATA[[#This Row],[Bottom '[m']]], "")</f>
        <v/>
      </c>
    </row>
    <row r="304" spans="86:86" ht="18" customHeight="1">
      <c r="CH304" s="116" t="str">
        <f>IFERROR(TOWER_DATA[[#This Row],[Top '[m']]]-TOWER_DATA[[#This Row],[Bottom '[m']]], "")</f>
        <v/>
      </c>
    </row>
    <row r="305" spans="86:86" ht="18" customHeight="1">
      <c r="CH305" s="116" t="str">
        <f>IFERROR(TOWER_DATA[[#This Row],[Top '[m']]]-TOWER_DATA[[#This Row],[Bottom '[m']]], "")</f>
        <v/>
      </c>
    </row>
    <row r="306" spans="86:86" ht="18" customHeight="1">
      <c r="CH306" s="116" t="str">
        <f>IFERROR(TOWER_DATA[[#This Row],[Top '[m']]]-TOWER_DATA[[#This Row],[Bottom '[m']]], "")</f>
        <v/>
      </c>
    </row>
    <row r="307" spans="86:86" ht="18" customHeight="1">
      <c r="CH307" s="116" t="str">
        <f>IFERROR(TOWER_DATA[[#This Row],[Top '[m']]]-TOWER_DATA[[#This Row],[Bottom '[m']]], "")</f>
        <v/>
      </c>
    </row>
    <row r="308" spans="86:86" ht="18" customHeight="1">
      <c r="CH308" s="116" t="str">
        <f>IFERROR(TOWER_DATA[[#This Row],[Top '[m']]]-TOWER_DATA[[#This Row],[Bottom '[m']]], "")</f>
        <v/>
      </c>
    </row>
    <row r="309" spans="86:86" ht="18" customHeight="1">
      <c r="CH309" s="116" t="str">
        <f>IFERROR(TOWER_DATA[[#This Row],[Top '[m']]]-TOWER_DATA[[#This Row],[Bottom '[m']]], "")</f>
        <v/>
      </c>
    </row>
    <row r="310" spans="86:86" ht="18" customHeight="1">
      <c r="CH310" s="116" t="str">
        <f>IFERROR(TOWER_DATA[[#This Row],[Top '[m']]]-TOWER_DATA[[#This Row],[Bottom '[m']]], "")</f>
        <v/>
      </c>
    </row>
    <row r="311" spans="86:86" ht="18" customHeight="1">
      <c r="CH311" s="116" t="str">
        <f>IFERROR(TOWER_DATA[[#This Row],[Top '[m']]]-TOWER_DATA[[#This Row],[Bottom '[m']]], "")</f>
        <v/>
      </c>
    </row>
    <row r="312" spans="86:86" ht="18" customHeight="1">
      <c r="CH312" s="116" t="str">
        <f>IFERROR(TOWER_DATA[[#This Row],[Top '[m']]]-TOWER_DATA[[#This Row],[Bottom '[m']]], "")</f>
        <v/>
      </c>
    </row>
    <row r="313" spans="86:86" ht="18" customHeight="1">
      <c r="CH313" s="116" t="str">
        <f>IFERROR(TOWER_DATA[[#This Row],[Top '[m']]]-TOWER_DATA[[#This Row],[Bottom '[m']]], "")</f>
        <v/>
      </c>
    </row>
    <row r="314" spans="86:86" ht="18" customHeight="1">
      <c r="CH314" s="116" t="str">
        <f>IFERROR(TOWER_DATA[[#This Row],[Top '[m']]]-TOWER_DATA[[#This Row],[Bottom '[m']]], "")</f>
        <v/>
      </c>
    </row>
    <row r="315" spans="86:86" ht="18" customHeight="1">
      <c r="CH315" s="116" t="str">
        <f>IFERROR(TOWER_DATA[[#This Row],[Top '[m']]]-TOWER_DATA[[#This Row],[Bottom '[m']]], "")</f>
        <v/>
      </c>
    </row>
    <row r="316" spans="86:86" ht="18" customHeight="1">
      <c r="CH316" s="116" t="str">
        <f>IFERROR(TOWER_DATA[[#This Row],[Top '[m']]]-TOWER_DATA[[#This Row],[Bottom '[m']]], "")</f>
        <v/>
      </c>
    </row>
    <row r="317" spans="86:86" ht="18" customHeight="1">
      <c r="CH317" s="116" t="str">
        <f>IFERROR(TOWER_DATA[[#This Row],[Top '[m']]]-TOWER_DATA[[#This Row],[Bottom '[m']]], "")</f>
        <v/>
      </c>
    </row>
    <row r="318" spans="86:86" ht="18" customHeight="1">
      <c r="CH318" s="116" t="str">
        <f>IFERROR(TOWER_DATA[[#This Row],[Top '[m']]]-TOWER_DATA[[#This Row],[Bottom '[m']]], "")</f>
        <v/>
      </c>
    </row>
    <row r="319" spans="86:86" ht="18" customHeight="1">
      <c r="CH319" s="116" t="str">
        <f>IFERROR(TOWER_DATA[[#This Row],[Top '[m']]]-TOWER_DATA[[#This Row],[Bottom '[m']]], "")</f>
        <v/>
      </c>
    </row>
    <row r="320" spans="86:86" ht="18" customHeight="1">
      <c r="CH320" s="116" t="str">
        <f>IFERROR(TOWER_DATA[[#This Row],[Top '[m']]]-TOWER_DATA[[#This Row],[Bottom '[m']]], "")</f>
        <v/>
      </c>
    </row>
    <row r="321" spans="86:86" ht="18" customHeight="1">
      <c r="CH321" s="116" t="str">
        <f>IFERROR(TOWER_DATA[[#This Row],[Top '[m']]]-TOWER_DATA[[#This Row],[Bottom '[m']]], "")</f>
        <v/>
      </c>
    </row>
    <row r="322" spans="86:86" ht="18" customHeight="1">
      <c r="CH322" s="116" t="str">
        <f>IFERROR(TOWER_DATA[[#This Row],[Top '[m']]]-TOWER_DATA[[#This Row],[Bottom '[m']]], "")</f>
        <v/>
      </c>
    </row>
    <row r="323" spans="86:86" ht="18" customHeight="1">
      <c r="CH323" s="116" t="str">
        <f>IFERROR(TOWER_DATA[[#This Row],[Top '[m']]]-TOWER_DATA[[#This Row],[Bottom '[m']]], "")</f>
        <v/>
      </c>
    </row>
    <row r="324" spans="86:86" ht="18" customHeight="1">
      <c r="CH324" s="116" t="str">
        <f>IFERROR(TOWER_DATA[[#This Row],[Top '[m']]]-TOWER_DATA[[#This Row],[Bottom '[m']]], "")</f>
        <v/>
      </c>
    </row>
    <row r="325" spans="86:86" ht="18" customHeight="1">
      <c r="CH325" s="116" t="str">
        <f>IFERROR(TOWER_DATA[[#This Row],[Top '[m']]]-TOWER_DATA[[#This Row],[Bottom '[m']]], "")</f>
        <v/>
      </c>
    </row>
    <row r="326" spans="86:86" ht="18" customHeight="1">
      <c r="CH326" s="116" t="str">
        <f>IFERROR(TOWER_DATA[[#This Row],[Top '[m']]]-TOWER_DATA[[#This Row],[Bottom '[m']]], "")</f>
        <v/>
      </c>
    </row>
    <row r="327" spans="86:86" ht="18" customHeight="1">
      <c r="CH327" s="116" t="str">
        <f>IFERROR(TOWER_DATA[[#This Row],[Top '[m']]]-TOWER_DATA[[#This Row],[Bottom '[m']]], "")</f>
        <v/>
      </c>
    </row>
    <row r="328" spans="86:86" ht="18" customHeight="1">
      <c r="CH328" s="116" t="str">
        <f>IFERROR(TOWER_DATA[[#This Row],[Top '[m']]]-TOWER_DATA[[#This Row],[Bottom '[m']]], "")</f>
        <v/>
      </c>
    </row>
    <row r="329" spans="86:86" ht="18" customHeight="1">
      <c r="CH329" s="116" t="str">
        <f>IFERROR(TOWER_DATA[[#This Row],[Top '[m']]]-TOWER_DATA[[#This Row],[Bottom '[m']]], "")</f>
        <v/>
      </c>
    </row>
    <row r="330" spans="86:86" ht="18" customHeight="1">
      <c r="CH330" s="116" t="str">
        <f>IFERROR(TOWER_DATA[[#This Row],[Top '[m']]]-TOWER_DATA[[#This Row],[Bottom '[m']]], "")</f>
        <v/>
      </c>
    </row>
    <row r="331" spans="86:86" ht="18" customHeight="1">
      <c r="CH331" s="116" t="str">
        <f>IFERROR(TOWER_DATA[[#This Row],[Top '[m']]]-TOWER_DATA[[#This Row],[Bottom '[m']]], "")</f>
        <v/>
      </c>
    </row>
    <row r="332" spans="86:86" ht="18" customHeight="1">
      <c r="CH332" s="116" t="str">
        <f>IFERROR(TOWER_DATA[[#This Row],[Top '[m']]]-TOWER_DATA[[#This Row],[Bottom '[m']]], "")</f>
        <v/>
      </c>
    </row>
    <row r="333" spans="86:86" ht="18" customHeight="1">
      <c r="CH333" s="116" t="str">
        <f>IFERROR(TOWER_DATA[[#This Row],[Top '[m']]]-TOWER_DATA[[#This Row],[Bottom '[m']]], "")</f>
        <v/>
      </c>
    </row>
    <row r="334" spans="86:86" ht="18" customHeight="1">
      <c r="CH334" s="116" t="str">
        <f>IFERROR(TOWER_DATA[[#This Row],[Top '[m']]]-TOWER_DATA[[#This Row],[Bottom '[m']]], "")</f>
        <v/>
      </c>
    </row>
    <row r="335" spans="86:86" ht="18" customHeight="1">
      <c r="CH335" s="116" t="str">
        <f>IFERROR(TOWER_DATA[[#This Row],[Top '[m']]]-TOWER_DATA[[#This Row],[Bottom '[m']]], "")</f>
        <v/>
      </c>
    </row>
    <row r="336" spans="86:86" ht="18" customHeight="1">
      <c r="CH336" s="116" t="str">
        <f>IFERROR(TOWER_DATA[[#This Row],[Top '[m']]]-TOWER_DATA[[#This Row],[Bottom '[m']]], "")</f>
        <v/>
      </c>
    </row>
    <row r="337" spans="86:86" ht="18" customHeight="1">
      <c r="CH337" s="116" t="str">
        <f>IFERROR(TOWER_DATA[[#This Row],[Top '[m']]]-TOWER_DATA[[#This Row],[Bottom '[m']]], "")</f>
        <v/>
      </c>
    </row>
    <row r="338" spans="86:86" ht="18" customHeight="1">
      <c r="CH338" s="116" t="str">
        <f>IFERROR(TOWER_DATA[[#This Row],[Top '[m']]]-TOWER_DATA[[#This Row],[Bottom '[m']]], "")</f>
        <v/>
      </c>
    </row>
    <row r="339" spans="86:86" ht="18" customHeight="1">
      <c r="CH339" s="116" t="str">
        <f>IFERROR(TOWER_DATA[[#This Row],[Top '[m']]]-TOWER_DATA[[#This Row],[Bottom '[m']]], "")</f>
        <v/>
      </c>
    </row>
    <row r="340" spans="86:86" ht="18" customHeight="1">
      <c r="CH340" s="116" t="str">
        <f>IFERROR(TOWER_DATA[[#This Row],[Top '[m']]]-TOWER_DATA[[#This Row],[Bottom '[m']]], "")</f>
        <v/>
      </c>
    </row>
    <row r="341" spans="86:86" ht="18" customHeight="1">
      <c r="CH341" s="116" t="str">
        <f>IFERROR(TOWER_DATA[[#This Row],[Top '[m']]]-TOWER_DATA[[#This Row],[Bottom '[m']]], "")</f>
        <v/>
      </c>
    </row>
    <row r="342" spans="86:86" ht="18" customHeight="1">
      <c r="CH342" s="116" t="str">
        <f>IFERROR(TOWER_DATA[[#This Row],[Top '[m']]]-TOWER_DATA[[#This Row],[Bottom '[m']]], "")</f>
        <v/>
      </c>
    </row>
    <row r="343" spans="86:86" ht="18" customHeight="1">
      <c r="CH343" s="116" t="str">
        <f>IFERROR(TOWER_DATA[[#This Row],[Top '[m']]]-TOWER_DATA[[#This Row],[Bottom '[m']]], "")</f>
        <v/>
      </c>
    </row>
    <row r="344" spans="86:86" ht="18" customHeight="1">
      <c r="CH344" s="116" t="str">
        <f>IFERROR(TOWER_DATA[[#This Row],[Top '[m']]]-TOWER_DATA[[#This Row],[Bottom '[m']]], "")</f>
        <v/>
      </c>
    </row>
    <row r="345" spans="86:86" ht="18" customHeight="1">
      <c r="CH345" s="116" t="str">
        <f>IFERROR(TOWER_DATA[[#This Row],[Top '[m']]]-TOWER_DATA[[#This Row],[Bottom '[m']]], "")</f>
        <v/>
      </c>
    </row>
    <row r="346" spans="86:86" ht="18" customHeight="1">
      <c r="CH346" s="116" t="str">
        <f>IFERROR(TOWER_DATA[[#This Row],[Top '[m']]]-TOWER_DATA[[#This Row],[Bottom '[m']]], "")</f>
        <v/>
      </c>
    </row>
    <row r="347" spans="86:86" ht="18" customHeight="1">
      <c r="CH347" s="116" t="str">
        <f>IFERROR(TOWER_DATA[[#This Row],[Top '[m']]]-TOWER_DATA[[#This Row],[Bottom '[m']]], "")</f>
        <v/>
      </c>
    </row>
    <row r="348" spans="86:86" ht="18" customHeight="1">
      <c r="CH348" s="116" t="str">
        <f>IFERROR(TOWER_DATA[[#This Row],[Top '[m']]]-TOWER_DATA[[#This Row],[Bottom '[m']]], "")</f>
        <v/>
      </c>
    </row>
    <row r="349" spans="86:86" ht="18" customHeight="1">
      <c r="CH349" s="116" t="str">
        <f>IFERROR(TOWER_DATA[[#This Row],[Top '[m']]]-TOWER_DATA[[#This Row],[Bottom '[m']]], "")</f>
        <v/>
      </c>
    </row>
    <row r="350" spans="86:86" ht="18" customHeight="1">
      <c r="CH350" s="116" t="str">
        <f>IFERROR(TOWER_DATA[[#This Row],[Top '[m']]]-TOWER_DATA[[#This Row],[Bottom '[m']]], "")</f>
        <v/>
      </c>
    </row>
    <row r="351" spans="86:86" ht="18" customHeight="1">
      <c r="CH351" s="116" t="str">
        <f>IFERROR(TOWER_DATA[[#This Row],[Top '[m']]]-TOWER_DATA[[#This Row],[Bottom '[m']]], "")</f>
        <v/>
      </c>
    </row>
    <row r="352" spans="86:86" ht="18" customHeight="1">
      <c r="CH352" s="116" t="str">
        <f>IFERROR(TOWER_DATA[[#This Row],[Top '[m']]]-TOWER_DATA[[#This Row],[Bottom '[m']]], "")</f>
        <v/>
      </c>
    </row>
    <row r="353" spans="86:86" ht="18" customHeight="1">
      <c r="CH353" s="116" t="str">
        <f>IFERROR(TOWER_DATA[[#This Row],[Top '[m']]]-TOWER_DATA[[#This Row],[Bottom '[m']]], "")</f>
        <v/>
      </c>
    </row>
    <row r="354" spans="86:86" ht="18" customHeight="1">
      <c r="CH354" s="116" t="str">
        <f>IFERROR(TOWER_DATA[[#This Row],[Top '[m']]]-TOWER_DATA[[#This Row],[Bottom '[m']]], "")</f>
        <v/>
      </c>
    </row>
    <row r="355" spans="86:86" ht="18" customHeight="1">
      <c r="CH355" s="116" t="str">
        <f>IFERROR(TOWER_DATA[[#This Row],[Top '[m']]]-TOWER_DATA[[#This Row],[Bottom '[m']]], "")</f>
        <v/>
      </c>
    </row>
    <row r="356" spans="86:86" ht="18" customHeight="1">
      <c r="CH356" s="116" t="str">
        <f>IFERROR(TOWER_DATA[[#This Row],[Top '[m']]]-TOWER_DATA[[#This Row],[Bottom '[m']]], "")</f>
        <v/>
      </c>
    </row>
    <row r="357" spans="86:86" ht="18" customHeight="1">
      <c r="CH357" s="116" t="str">
        <f>IFERROR(TOWER_DATA[[#This Row],[Top '[m']]]-TOWER_DATA[[#This Row],[Bottom '[m']]], "")</f>
        <v/>
      </c>
    </row>
    <row r="358" spans="86:86" ht="18" customHeight="1">
      <c r="CH358" s="116" t="str">
        <f>IFERROR(TOWER_DATA[[#This Row],[Top '[m']]]-TOWER_DATA[[#This Row],[Bottom '[m']]], "")</f>
        <v/>
      </c>
    </row>
    <row r="359" spans="86:86" ht="18" customHeight="1">
      <c r="CH359" s="116" t="str">
        <f>IFERROR(TOWER_DATA[[#This Row],[Top '[m']]]-TOWER_DATA[[#This Row],[Bottom '[m']]], "")</f>
        <v/>
      </c>
    </row>
    <row r="360" spans="86:86" ht="18" customHeight="1">
      <c r="CH360" s="116" t="str">
        <f>IFERROR(TOWER_DATA[[#This Row],[Top '[m']]]-TOWER_DATA[[#This Row],[Bottom '[m']]], "")</f>
        <v/>
      </c>
    </row>
    <row r="361" spans="86:86" ht="18" customHeight="1">
      <c r="CH361" s="116" t="str">
        <f>IFERROR(TOWER_DATA[[#This Row],[Top '[m']]]-TOWER_DATA[[#This Row],[Bottom '[m']]], "")</f>
        <v/>
      </c>
    </row>
    <row r="362" spans="86:86" ht="18" customHeight="1">
      <c r="CH362" s="116" t="str">
        <f>IFERROR(TOWER_DATA[[#This Row],[Top '[m']]]-TOWER_DATA[[#This Row],[Bottom '[m']]], "")</f>
        <v/>
      </c>
    </row>
    <row r="363" spans="86:86" ht="18" customHeight="1">
      <c r="CH363" s="116" t="str">
        <f>IFERROR(TOWER_DATA[[#This Row],[Top '[m']]]-TOWER_DATA[[#This Row],[Bottom '[m']]], "")</f>
        <v/>
      </c>
    </row>
    <row r="364" spans="86:86" ht="18" customHeight="1">
      <c r="CH364" s="116" t="str">
        <f>IFERROR(TOWER_DATA[[#This Row],[Top '[m']]]-TOWER_DATA[[#This Row],[Bottom '[m']]], "")</f>
        <v/>
      </c>
    </row>
    <row r="365" spans="86:86" ht="18" customHeight="1">
      <c r="CH365" s="116" t="str">
        <f>IFERROR(TOWER_DATA[[#This Row],[Top '[m']]]-TOWER_DATA[[#This Row],[Bottom '[m']]], "")</f>
        <v/>
      </c>
    </row>
    <row r="366" spans="86:86" ht="18" customHeight="1">
      <c r="CH366" s="116" t="str">
        <f>IFERROR(TOWER_DATA[[#This Row],[Top '[m']]]-TOWER_DATA[[#This Row],[Bottom '[m']]], "")</f>
        <v/>
      </c>
    </row>
    <row r="367" spans="86:86" ht="18" customHeight="1">
      <c r="CH367" s="116" t="str">
        <f>IFERROR(TOWER_DATA[[#This Row],[Top '[m']]]-TOWER_DATA[[#This Row],[Bottom '[m']]], "")</f>
        <v/>
      </c>
    </row>
    <row r="368" spans="86:86" ht="18" customHeight="1">
      <c r="CH368" s="116" t="str">
        <f>IFERROR(TOWER_DATA[[#This Row],[Top '[m']]]-TOWER_DATA[[#This Row],[Bottom '[m']]], "")</f>
        <v/>
      </c>
    </row>
    <row r="369" spans="86:86" ht="18" customHeight="1">
      <c r="CH369" s="116" t="str">
        <f>IFERROR(TOWER_DATA[[#This Row],[Top '[m']]]-TOWER_DATA[[#This Row],[Bottom '[m']]], "")</f>
        <v/>
      </c>
    </row>
    <row r="370" spans="86:86" ht="18" customHeight="1">
      <c r="CH370" s="116" t="str">
        <f>IFERROR(TOWER_DATA[[#This Row],[Top '[m']]]-TOWER_DATA[[#This Row],[Bottom '[m']]], "")</f>
        <v/>
      </c>
    </row>
    <row r="371" spans="86:86" ht="18" customHeight="1">
      <c r="CH371" s="116" t="str">
        <f>IFERROR(TOWER_DATA[[#This Row],[Top '[m']]]-TOWER_DATA[[#This Row],[Bottom '[m']]], "")</f>
        <v/>
      </c>
    </row>
    <row r="372" spans="86:86" ht="18" customHeight="1">
      <c r="CH372" s="116" t="str">
        <f>IFERROR(TOWER_DATA[[#This Row],[Top '[m']]]-TOWER_DATA[[#This Row],[Bottom '[m']]], "")</f>
        <v/>
      </c>
    </row>
    <row r="373" spans="86:86" ht="18" customHeight="1">
      <c r="CH373" s="116" t="str">
        <f>IFERROR(TOWER_DATA[[#This Row],[Top '[m']]]-TOWER_DATA[[#This Row],[Bottom '[m']]], "")</f>
        <v/>
      </c>
    </row>
    <row r="374" spans="86:86" ht="18" customHeight="1">
      <c r="CH374" s="116" t="str">
        <f>IFERROR(TOWER_DATA[[#This Row],[Top '[m']]]-TOWER_DATA[[#This Row],[Bottom '[m']]], "")</f>
        <v/>
      </c>
    </row>
    <row r="375" spans="86:86" ht="18" customHeight="1">
      <c r="CH375" s="116" t="str">
        <f>IFERROR(TOWER_DATA[[#This Row],[Top '[m']]]-TOWER_DATA[[#This Row],[Bottom '[m']]], "")</f>
        <v/>
      </c>
    </row>
    <row r="376" spans="86:86" ht="18" customHeight="1">
      <c r="CH376" s="116" t="str">
        <f>IFERROR(TOWER_DATA[[#This Row],[Top '[m']]]-TOWER_DATA[[#This Row],[Bottom '[m']]], "")</f>
        <v/>
      </c>
    </row>
    <row r="377" spans="86:86" ht="18" customHeight="1">
      <c r="CH377" s="116" t="str">
        <f>IFERROR(TOWER_DATA[[#This Row],[Top '[m']]]-TOWER_DATA[[#This Row],[Bottom '[m']]], "")</f>
        <v/>
      </c>
    </row>
    <row r="378" spans="86:86" ht="18" customHeight="1">
      <c r="CH378" s="116" t="str">
        <f>IFERROR(TOWER_DATA[[#This Row],[Top '[m']]]-TOWER_DATA[[#This Row],[Bottom '[m']]], "")</f>
        <v/>
      </c>
    </row>
    <row r="379" spans="86:86" ht="18" customHeight="1">
      <c r="CH379" s="116" t="str">
        <f>IFERROR(TOWER_DATA[[#This Row],[Top '[m']]]-TOWER_DATA[[#This Row],[Bottom '[m']]], "")</f>
        <v/>
      </c>
    </row>
    <row r="380" spans="86:86" ht="18" customHeight="1">
      <c r="CH380" s="116" t="str">
        <f>IFERROR(TOWER_DATA[[#This Row],[Top '[m']]]-TOWER_DATA[[#This Row],[Bottom '[m']]], "")</f>
        <v/>
      </c>
    </row>
    <row r="381" spans="86:86" ht="18" customHeight="1">
      <c r="CH381" s="116" t="str">
        <f>IFERROR(TOWER_DATA[[#This Row],[Top '[m']]]-TOWER_DATA[[#This Row],[Bottom '[m']]], "")</f>
        <v/>
      </c>
    </row>
    <row r="382" spans="86:86" ht="18" customHeight="1">
      <c r="CH382" s="116" t="str">
        <f>IFERROR(TOWER_DATA[[#This Row],[Top '[m']]]-TOWER_DATA[[#This Row],[Bottom '[m']]], "")</f>
        <v/>
      </c>
    </row>
    <row r="383" spans="86:86" ht="18" customHeight="1">
      <c r="CH383" s="116" t="str">
        <f>IFERROR(TOWER_DATA[[#This Row],[Top '[m']]]-TOWER_DATA[[#This Row],[Bottom '[m']]], "")</f>
        <v/>
      </c>
    </row>
    <row r="384" spans="86:86" ht="18" customHeight="1">
      <c r="CH384" s="116" t="str">
        <f>IFERROR(TOWER_DATA[[#This Row],[Top '[m']]]-TOWER_DATA[[#This Row],[Bottom '[m']]], "")</f>
        <v/>
      </c>
    </row>
    <row r="385" spans="86:86" ht="18" customHeight="1">
      <c r="CH385" s="116" t="str">
        <f>IFERROR(TOWER_DATA[[#This Row],[Top '[m']]]-TOWER_DATA[[#This Row],[Bottom '[m']]], "")</f>
        <v/>
      </c>
    </row>
    <row r="386" spans="86:86" ht="18" customHeight="1">
      <c r="CH386" s="116" t="str">
        <f>IFERROR(TOWER_DATA[[#This Row],[Top '[m']]]-TOWER_DATA[[#This Row],[Bottom '[m']]], "")</f>
        <v/>
      </c>
    </row>
    <row r="387" spans="86:86" ht="18" customHeight="1">
      <c r="CH387" s="116" t="str">
        <f>IFERROR(TOWER_DATA[[#This Row],[Top '[m']]]-TOWER_DATA[[#This Row],[Bottom '[m']]], "")</f>
        <v/>
      </c>
    </row>
    <row r="388" spans="86:86" ht="18" customHeight="1">
      <c r="CH388" s="116" t="str">
        <f>IFERROR(TOWER_DATA[[#This Row],[Top '[m']]]-TOWER_DATA[[#This Row],[Bottom '[m']]], "")</f>
        <v/>
      </c>
    </row>
    <row r="389" spans="86:86" ht="18" customHeight="1">
      <c r="CH389" s="116" t="str">
        <f>IFERROR(TOWER_DATA[[#This Row],[Top '[m']]]-TOWER_DATA[[#This Row],[Bottom '[m']]], "")</f>
        <v/>
      </c>
    </row>
    <row r="390" spans="86:86" ht="18" customHeight="1">
      <c r="CH390" s="116" t="str">
        <f>IFERROR(TOWER_DATA[[#This Row],[Top '[m']]]-TOWER_DATA[[#This Row],[Bottom '[m']]], "")</f>
        <v/>
      </c>
    </row>
    <row r="391" spans="86:86" ht="18" customHeight="1">
      <c r="CH391" s="116" t="str">
        <f>IFERROR(TOWER_DATA[[#This Row],[Top '[m']]]-TOWER_DATA[[#This Row],[Bottom '[m']]], "")</f>
        <v/>
      </c>
    </row>
    <row r="392" spans="86:86" ht="18" customHeight="1">
      <c r="CH392" s="116" t="str">
        <f>IFERROR(TOWER_DATA[[#This Row],[Top '[m']]]-TOWER_DATA[[#This Row],[Bottom '[m']]], "")</f>
        <v/>
      </c>
    </row>
    <row r="393" spans="86:86" ht="18" customHeight="1">
      <c r="CH393" s="116" t="str">
        <f>IFERROR(TOWER_DATA[[#This Row],[Top '[m']]]-TOWER_DATA[[#This Row],[Bottom '[m']]], "")</f>
        <v/>
      </c>
    </row>
    <row r="394" spans="86:86" ht="18" customHeight="1">
      <c r="CH394" s="116" t="str">
        <f>IFERROR(TOWER_DATA[[#This Row],[Top '[m']]]-TOWER_DATA[[#This Row],[Bottom '[m']]], "")</f>
        <v/>
      </c>
    </row>
    <row r="395" spans="86:86" ht="18" customHeight="1">
      <c r="CH395" s="116" t="str">
        <f>IFERROR(TOWER_DATA[[#This Row],[Top '[m']]]-TOWER_DATA[[#This Row],[Bottom '[m']]], "")</f>
        <v/>
      </c>
    </row>
    <row r="396" spans="86:86" ht="18" customHeight="1">
      <c r="CH396" s="116" t="str">
        <f>IFERROR(TOWER_DATA[[#This Row],[Top '[m']]]-TOWER_DATA[[#This Row],[Bottom '[m']]], "")</f>
        <v/>
      </c>
    </row>
    <row r="397" spans="86:86" ht="18" customHeight="1">
      <c r="CH397" s="116" t="str">
        <f>IFERROR(TOWER_DATA[[#This Row],[Top '[m']]]-TOWER_DATA[[#This Row],[Bottom '[m']]], "")</f>
        <v/>
      </c>
    </row>
    <row r="398" spans="86:86" ht="18" customHeight="1">
      <c r="CH398" s="116" t="str">
        <f>IFERROR(TOWER_DATA[[#This Row],[Top '[m']]]-TOWER_DATA[[#This Row],[Bottom '[m']]], "")</f>
        <v/>
      </c>
    </row>
    <row r="399" spans="86:86" ht="18" customHeight="1">
      <c r="CH399" s="116" t="str">
        <f>IFERROR(TOWER_DATA[[#This Row],[Top '[m']]]-TOWER_DATA[[#This Row],[Bottom '[m']]], "")</f>
        <v/>
      </c>
    </row>
    <row r="400" spans="86:86" ht="18" customHeight="1">
      <c r="CH400" s="116" t="str">
        <f>IFERROR(TOWER_DATA[[#This Row],[Top '[m']]]-TOWER_DATA[[#This Row],[Bottom '[m']]], "")</f>
        <v/>
      </c>
    </row>
    <row r="401" spans="86:86" ht="18" customHeight="1">
      <c r="CH401" s="116" t="str">
        <f>IFERROR(TOWER_DATA[[#This Row],[Top '[m']]]-TOWER_DATA[[#This Row],[Bottom '[m']]], "")</f>
        <v/>
      </c>
    </row>
    <row r="402" spans="86:86" ht="18" customHeight="1">
      <c r="CH402" s="116" t="str">
        <f>IFERROR(TOWER_DATA[[#This Row],[Top '[m']]]-TOWER_DATA[[#This Row],[Bottom '[m']]], "")</f>
        <v/>
      </c>
    </row>
    <row r="403" spans="86:86" ht="18" customHeight="1">
      <c r="CH403" s="116" t="str">
        <f>IFERROR(TOWER_DATA[[#This Row],[Top '[m']]]-TOWER_DATA[[#This Row],[Bottom '[m']]], "")</f>
        <v/>
      </c>
    </row>
    <row r="404" spans="86:86" ht="18" customHeight="1">
      <c r="CH404" s="116" t="str">
        <f>IFERROR(TOWER_DATA[[#This Row],[Top '[m']]]-TOWER_DATA[[#This Row],[Bottom '[m']]], "")</f>
        <v/>
      </c>
    </row>
    <row r="405" spans="86:86" ht="18" customHeight="1">
      <c r="CH405" s="116" t="str">
        <f>IFERROR(TOWER_DATA[[#This Row],[Top '[m']]]-TOWER_DATA[[#This Row],[Bottom '[m']]], "")</f>
        <v/>
      </c>
    </row>
    <row r="406" spans="86:86" ht="18" customHeight="1">
      <c r="CH406" s="116" t="str">
        <f>IFERROR(TOWER_DATA[[#This Row],[Top '[m']]]-TOWER_DATA[[#This Row],[Bottom '[m']]], "")</f>
        <v/>
      </c>
    </row>
    <row r="407" spans="86:86" ht="18" customHeight="1">
      <c r="CH407" s="116" t="str">
        <f>IFERROR(TOWER_DATA[[#This Row],[Top '[m']]]-TOWER_DATA[[#This Row],[Bottom '[m']]], "")</f>
        <v/>
      </c>
    </row>
    <row r="408" spans="86:86" ht="18" customHeight="1">
      <c r="CH408" s="116" t="str">
        <f>IFERROR(TOWER_DATA[[#This Row],[Top '[m']]]-TOWER_DATA[[#This Row],[Bottom '[m']]], "")</f>
        <v/>
      </c>
    </row>
    <row r="409" spans="86:86" ht="18" customHeight="1">
      <c r="CH409" s="116" t="str">
        <f>IFERROR(TOWER_DATA[[#This Row],[Top '[m']]]-TOWER_DATA[[#This Row],[Bottom '[m']]], "")</f>
        <v/>
      </c>
    </row>
    <row r="410" spans="86:86" ht="18" customHeight="1">
      <c r="CH410" s="116" t="str">
        <f>IFERROR(TOWER_DATA[[#This Row],[Top '[m']]]-TOWER_DATA[[#This Row],[Bottom '[m']]], "")</f>
        <v/>
      </c>
    </row>
    <row r="411" spans="86:86" ht="18" customHeight="1">
      <c r="CH411" s="116" t="str">
        <f>IFERROR(TOWER_DATA[[#This Row],[Top '[m']]]-TOWER_DATA[[#This Row],[Bottom '[m']]], "")</f>
        <v/>
      </c>
    </row>
    <row r="412" spans="86:86" ht="18" customHeight="1">
      <c r="CH412" s="116" t="str">
        <f>IFERROR(TOWER_DATA[[#This Row],[Top '[m']]]-TOWER_DATA[[#This Row],[Bottom '[m']]], "")</f>
        <v/>
      </c>
    </row>
    <row r="413" spans="86:86" ht="18" customHeight="1">
      <c r="CH413" s="116" t="str">
        <f>IFERROR(TOWER_DATA[[#This Row],[Top '[m']]]-TOWER_DATA[[#This Row],[Bottom '[m']]], "")</f>
        <v/>
      </c>
    </row>
    <row r="414" spans="86:86" ht="18" customHeight="1">
      <c r="CH414" s="116" t="str">
        <f>IFERROR(TOWER_DATA[[#This Row],[Top '[m']]]-TOWER_DATA[[#This Row],[Bottom '[m']]], "")</f>
        <v/>
      </c>
    </row>
    <row r="415" spans="86:86" ht="18" customHeight="1">
      <c r="CH415" s="116" t="str">
        <f>IFERROR(TOWER_DATA[[#This Row],[Top '[m']]]-TOWER_DATA[[#This Row],[Bottom '[m']]], "")</f>
        <v/>
      </c>
    </row>
    <row r="416" spans="86:86" ht="18" customHeight="1">
      <c r="CH416" s="116" t="str">
        <f>IFERROR(TOWER_DATA[[#This Row],[Top '[m']]]-TOWER_DATA[[#This Row],[Bottom '[m']]], "")</f>
        <v/>
      </c>
    </row>
    <row r="417" spans="86:86" ht="18" customHeight="1">
      <c r="CH417" s="116" t="str">
        <f>IFERROR(TOWER_DATA[[#This Row],[Top '[m']]]-TOWER_DATA[[#This Row],[Bottom '[m']]], "")</f>
        <v/>
      </c>
    </row>
    <row r="418" spans="86:86" ht="18" customHeight="1">
      <c r="CH418" s="116" t="str">
        <f>IFERROR(TOWER_DATA[[#This Row],[Top '[m']]]-TOWER_DATA[[#This Row],[Bottom '[m']]], "")</f>
        <v/>
      </c>
    </row>
    <row r="419" spans="86:86" ht="18" customHeight="1">
      <c r="CH419" s="116" t="str">
        <f>IFERROR(TOWER_DATA[[#This Row],[Top '[m']]]-TOWER_DATA[[#This Row],[Bottom '[m']]], "")</f>
        <v/>
      </c>
    </row>
    <row r="420" spans="86:86" ht="18" customHeight="1">
      <c r="CH420" s="116" t="str">
        <f>IFERROR(TOWER_DATA[[#This Row],[Top '[m']]]-TOWER_DATA[[#This Row],[Bottom '[m']]], "")</f>
        <v/>
      </c>
    </row>
    <row r="421" spans="86:86" ht="18" customHeight="1">
      <c r="CH421" s="116" t="str">
        <f>IFERROR(TOWER_DATA[[#This Row],[Top '[m']]]-TOWER_DATA[[#This Row],[Bottom '[m']]], "")</f>
        <v/>
      </c>
    </row>
    <row r="422" spans="86:86" ht="18" customHeight="1">
      <c r="CH422" s="116" t="str">
        <f>IFERROR(TOWER_DATA[[#This Row],[Top '[m']]]-TOWER_DATA[[#This Row],[Bottom '[m']]], "")</f>
        <v/>
      </c>
    </row>
    <row r="423" spans="86:86" ht="18" customHeight="1">
      <c r="CH423" s="116" t="str">
        <f>IFERROR(TOWER_DATA[[#This Row],[Top '[m']]]-TOWER_DATA[[#This Row],[Bottom '[m']]], "")</f>
        <v/>
      </c>
    </row>
    <row r="424" spans="86:86" ht="18" customHeight="1">
      <c r="CH424" s="116" t="str">
        <f>IFERROR(TOWER_DATA[[#This Row],[Top '[m']]]-TOWER_DATA[[#This Row],[Bottom '[m']]], "")</f>
        <v/>
      </c>
    </row>
    <row r="425" spans="86:86" ht="18" customHeight="1">
      <c r="CH425" s="116" t="str">
        <f>IFERROR(TOWER_DATA[[#This Row],[Top '[m']]]-TOWER_DATA[[#This Row],[Bottom '[m']]], "")</f>
        <v/>
      </c>
    </row>
    <row r="426" spans="86:86" ht="18" customHeight="1">
      <c r="CH426" s="116" t="str">
        <f>IFERROR(TOWER_DATA[[#This Row],[Top '[m']]]-TOWER_DATA[[#This Row],[Bottom '[m']]], "")</f>
        <v/>
      </c>
    </row>
    <row r="427" spans="86:86" ht="18" customHeight="1">
      <c r="CH427" s="116" t="str">
        <f>IFERROR(TOWER_DATA[[#This Row],[Top '[m']]]-TOWER_DATA[[#This Row],[Bottom '[m']]], "")</f>
        <v/>
      </c>
    </row>
    <row r="428" spans="86:86" ht="18" customHeight="1">
      <c r="CH428" s="116" t="str">
        <f>IFERROR(TOWER_DATA[[#This Row],[Top '[m']]]-TOWER_DATA[[#This Row],[Bottom '[m']]], "")</f>
        <v/>
      </c>
    </row>
    <row r="429" spans="86:86" ht="18" customHeight="1">
      <c r="CH429" s="116" t="str">
        <f>IFERROR(TOWER_DATA[[#This Row],[Top '[m']]]-TOWER_DATA[[#This Row],[Bottom '[m']]], "")</f>
        <v/>
      </c>
    </row>
    <row r="430" spans="86:86" ht="18" customHeight="1">
      <c r="CH430" s="116" t="str">
        <f>IFERROR(TOWER_DATA[[#This Row],[Top '[m']]]-TOWER_DATA[[#This Row],[Bottom '[m']]], "")</f>
        <v/>
      </c>
    </row>
    <row r="431" spans="86:86" ht="18" customHeight="1">
      <c r="CH431" s="116" t="str">
        <f>IFERROR(TOWER_DATA[[#This Row],[Top '[m']]]-TOWER_DATA[[#This Row],[Bottom '[m']]], "")</f>
        <v/>
      </c>
    </row>
    <row r="432" spans="86:86" ht="18" customHeight="1">
      <c r="CH432" s="116" t="str">
        <f>IFERROR(TOWER_DATA[[#This Row],[Top '[m']]]-TOWER_DATA[[#This Row],[Bottom '[m']]], "")</f>
        <v/>
      </c>
    </row>
    <row r="433" spans="86:86" ht="18" customHeight="1">
      <c r="CH433" s="116" t="str">
        <f>IFERROR(TOWER_DATA[[#This Row],[Top '[m']]]-TOWER_DATA[[#This Row],[Bottom '[m']]], "")</f>
        <v/>
      </c>
    </row>
    <row r="434" spans="86:86" ht="18" customHeight="1">
      <c r="CH434" s="116" t="str">
        <f>IFERROR(TOWER_DATA[[#This Row],[Top '[m']]]-TOWER_DATA[[#This Row],[Bottom '[m']]], "")</f>
        <v/>
      </c>
    </row>
    <row r="435" spans="86:86" ht="18" customHeight="1">
      <c r="CH435" s="116" t="str">
        <f>IFERROR(TOWER_DATA[[#This Row],[Top '[m']]]-TOWER_DATA[[#This Row],[Bottom '[m']]], "")</f>
        <v/>
      </c>
    </row>
    <row r="436" spans="86:86" ht="18" customHeight="1">
      <c r="CH436" s="116" t="str">
        <f>IFERROR(TOWER_DATA[[#This Row],[Top '[m']]]-TOWER_DATA[[#This Row],[Bottom '[m']]], "")</f>
        <v/>
      </c>
    </row>
    <row r="437" spans="86:86" ht="18" customHeight="1">
      <c r="CH437" s="116" t="str">
        <f>IFERROR(TOWER_DATA[[#This Row],[Top '[m']]]-TOWER_DATA[[#This Row],[Bottom '[m']]], "")</f>
        <v/>
      </c>
    </row>
    <row r="438" spans="86:86" ht="18" customHeight="1">
      <c r="CH438" s="116" t="str">
        <f>IFERROR(TOWER_DATA[[#This Row],[Top '[m']]]-TOWER_DATA[[#This Row],[Bottom '[m']]], "")</f>
        <v/>
      </c>
    </row>
    <row r="439" spans="86:86" ht="18" customHeight="1">
      <c r="CH439" s="116" t="str">
        <f>IFERROR(TOWER_DATA[[#This Row],[Top '[m']]]-TOWER_DATA[[#This Row],[Bottom '[m']]], "")</f>
        <v/>
      </c>
    </row>
    <row r="440" spans="86:86" ht="18" customHeight="1">
      <c r="CH440" s="116" t="str">
        <f>IFERROR(TOWER_DATA[[#This Row],[Top '[m']]]-TOWER_DATA[[#This Row],[Bottom '[m']]], "")</f>
        <v/>
      </c>
    </row>
    <row r="441" spans="86:86" ht="18" customHeight="1">
      <c r="CH441" s="116" t="str">
        <f>IFERROR(TOWER_DATA[[#This Row],[Top '[m']]]-TOWER_DATA[[#This Row],[Bottom '[m']]], "")</f>
        <v/>
      </c>
    </row>
    <row r="442" spans="86:86" ht="18" customHeight="1">
      <c r="CH442" s="116" t="str">
        <f>IFERROR(TOWER_DATA[[#This Row],[Top '[m']]]-TOWER_DATA[[#This Row],[Bottom '[m']]], "")</f>
        <v/>
      </c>
    </row>
    <row r="443" spans="86:86" ht="18" customHeight="1">
      <c r="CH443" s="116" t="str">
        <f>IFERROR(TOWER_DATA[[#This Row],[Top '[m']]]-TOWER_DATA[[#This Row],[Bottom '[m']]], "")</f>
        <v/>
      </c>
    </row>
    <row r="444" spans="86:86" ht="18" customHeight="1">
      <c r="CH444" s="116" t="str">
        <f>IFERROR(TOWER_DATA[[#This Row],[Top '[m']]]-TOWER_DATA[[#This Row],[Bottom '[m']]], "")</f>
        <v/>
      </c>
    </row>
    <row r="445" spans="86:86" ht="18" customHeight="1">
      <c r="CH445" s="116" t="str">
        <f>IFERROR(TOWER_DATA[[#This Row],[Top '[m']]]-TOWER_DATA[[#This Row],[Bottom '[m']]], "")</f>
        <v/>
      </c>
    </row>
    <row r="446" spans="86:86" ht="18" customHeight="1">
      <c r="CH446" s="116" t="str">
        <f>IFERROR(TOWER_DATA[[#This Row],[Top '[m']]]-TOWER_DATA[[#This Row],[Bottom '[m']]], "")</f>
        <v/>
      </c>
    </row>
    <row r="447" spans="86:86" ht="18" customHeight="1">
      <c r="CH447" s="116" t="str">
        <f>IFERROR(TOWER_DATA[[#This Row],[Top '[m']]]-TOWER_DATA[[#This Row],[Bottom '[m']]], "")</f>
        <v/>
      </c>
    </row>
    <row r="448" spans="86:86" ht="18" customHeight="1">
      <c r="CH448" s="116" t="str">
        <f>IFERROR(TOWER_DATA[[#This Row],[Top '[m']]]-TOWER_DATA[[#This Row],[Bottom '[m']]], "")</f>
        <v/>
      </c>
    </row>
    <row r="449" spans="86:86" ht="18" customHeight="1">
      <c r="CH449" s="116" t="str">
        <f>IFERROR(TOWER_DATA[[#This Row],[Top '[m']]]-TOWER_DATA[[#This Row],[Bottom '[m']]], "")</f>
        <v/>
      </c>
    </row>
    <row r="450" spans="86:86" ht="18" customHeight="1">
      <c r="CH450" s="116" t="str">
        <f>IFERROR(TOWER_DATA[[#This Row],[Top '[m']]]-TOWER_DATA[[#This Row],[Bottom '[m']]], "")</f>
        <v/>
      </c>
    </row>
    <row r="451" spans="86:86" ht="18" customHeight="1">
      <c r="CH451" s="116" t="str">
        <f>IFERROR(TOWER_DATA[[#This Row],[Top '[m']]]-TOWER_DATA[[#This Row],[Bottom '[m']]], "")</f>
        <v/>
      </c>
    </row>
    <row r="452" spans="86:86" ht="18" customHeight="1">
      <c r="CH452" s="116" t="str">
        <f>IFERROR(TOWER_DATA[[#This Row],[Top '[m']]]-TOWER_DATA[[#This Row],[Bottom '[m']]], "")</f>
        <v/>
      </c>
    </row>
    <row r="453" spans="86:86" ht="18" customHeight="1">
      <c r="CH453" s="116" t="str">
        <f>IFERROR(TOWER_DATA[[#This Row],[Top '[m']]]-TOWER_DATA[[#This Row],[Bottom '[m']]], "")</f>
        <v/>
      </c>
    </row>
    <row r="454" spans="86:86" ht="18" customHeight="1">
      <c r="CH454" s="116" t="str">
        <f>IFERROR(TOWER_DATA[[#This Row],[Top '[m']]]-TOWER_DATA[[#This Row],[Bottom '[m']]], "")</f>
        <v/>
      </c>
    </row>
    <row r="455" spans="86:86" ht="18" customHeight="1">
      <c r="CH455" s="116" t="str">
        <f>IFERROR(TOWER_DATA[[#This Row],[Top '[m']]]-TOWER_DATA[[#This Row],[Bottom '[m']]], "")</f>
        <v/>
      </c>
    </row>
    <row r="456" spans="86:86" ht="18" customHeight="1">
      <c r="CH456" s="116" t="str">
        <f>IFERROR(TOWER_DATA[[#This Row],[Top '[m']]]-TOWER_DATA[[#This Row],[Bottom '[m']]], "")</f>
        <v/>
      </c>
    </row>
    <row r="457" spans="86:86" ht="18" customHeight="1">
      <c r="CH457" s="116" t="str">
        <f>IFERROR(TOWER_DATA[[#This Row],[Top '[m']]]-TOWER_DATA[[#This Row],[Bottom '[m']]], "")</f>
        <v/>
      </c>
    </row>
    <row r="458" spans="86:86" ht="18" customHeight="1">
      <c r="CH458" s="116" t="str">
        <f>IFERROR(TOWER_DATA[[#This Row],[Top '[m']]]-TOWER_DATA[[#This Row],[Bottom '[m']]], "")</f>
        <v/>
      </c>
    </row>
    <row r="459" spans="86:86" ht="18" customHeight="1">
      <c r="CH459" s="116" t="str">
        <f>IFERROR(TOWER_DATA[[#This Row],[Top '[m']]]-TOWER_DATA[[#This Row],[Bottom '[m']]], "")</f>
        <v/>
      </c>
    </row>
    <row r="460" spans="86:86" ht="18" customHeight="1">
      <c r="CH460" s="116" t="str">
        <f>IFERROR(TOWER_DATA[[#This Row],[Top '[m']]]-TOWER_DATA[[#This Row],[Bottom '[m']]], "")</f>
        <v/>
      </c>
    </row>
    <row r="461" spans="86:86" ht="18" customHeight="1">
      <c r="CH461" s="116" t="str">
        <f>IFERROR(TOWER_DATA[[#This Row],[Top '[m']]]-TOWER_DATA[[#This Row],[Bottom '[m']]], "")</f>
        <v/>
      </c>
    </row>
    <row r="462" spans="86:86" ht="18" customHeight="1">
      <c r="CH462" s="116" t="str">
        <f>IFERROR(TOWER_DATA[[#This Row],[Top '[m']]]-TOWER_DATA[[#This Row],[Bottom '[m']]], "")</f>
        <v/>
      </c>
    </row>
    <row r="463" spans="86:86" ht="18" customHeight="1">
      <c r="CH463" s="116" t="str">
        <f>IFERROR(TOWER_DATA[[#This Row],[Top '[m']]]-TOWER_DATA[[#This Row],[Bottom '[m']]], "")</f>
        <v/>
      </c>
    </row>
    <row r="464" spans="86:86" ht="18" customHeight="1">
      <c r="CH464" s="116" t="str">
        <f>IFERROR(TOWER_DATA[[#This Row],[Top '[m']]]-TOWER_DATA[[#This Row],[Bottom '[m']]], "")</f>
        <v/>
      </c>
    </row>
    <row r="465" spans="86:86" ht="18" customHeight="1">
      <c r="CH465" s="116" t="str">
        <f>IFERROR(TOWER_DATA[[#This Row],[Top '[m']]]-TOWER_DATA[[#This Row],[Bottom '[m']]], "")</f>
        <v/>
      </c>
    </row>
    <row r="466" spans="86:86" ht="18" customHeight="1">
      <c r="CH466" s="116" t="str">
        <f>IFERROR(TOWER_DATA[[#This Row],[Top '[m']]]-TOWER_DATA[[#This Row],[Bottom '[m']]], "")</f>
        <v/>
      </c>
    </row>
    <row r="467" spans="86:86" ht="18" customHeight="1">
      <c r="CH467" s="116" t="str">
        <f>IFERROR(TOWER_DATA[[#This Row],[Top '[m']]]-TOWER_DATA[[#This Row],[Bottom '[m']]], "")</f>
        <v/>
      </c>
    </row>
    <row r="468" spans="86:86" ht="18" customHeight="1">
      <c r="CH468" s="116" t="str">
        <f>IFERROR(TOWER_DATA[[#This Row],[Top '[m']]]-TOWER_DATA[[#This Row],[Bottom '[m']]], "")</f>
        <v/>
      </c>
    </row>
    <row r="469" spans="86:86" ht="18" customHeight="1">
      <c r="CH469" s="116" t="str">
        <f>IFERROR(TOWER_DATA[[#This Row],[Top '[m']]]-TOWER_DATA[[#This Row],[Bottom '[m']]], "")</f>
        <v/>
      </c>
    </row>
    <row r="470" spans="86:86" ht="18" customHeight="1">
      <c r="CH470" s="116" t="str">
        <f>IFERROR(TOWER_DATA[[#This Row],[Top '[m']]]-TOWER_DATA[[#This Row],[Bottom '[m']]], "")</f>
        <v/>
      </c>
    </row>
    <row r="471" spans="86:86" ht="18" customHeight="1">
      <c r="CH471" s="116" t="str">
        <f>IFERROR(TOWER_DATA[[#This Row],[Top '[m']]]-TOWER_DATA[[#This Row],[Bottom '[m']]], "")</f>
        <v/>
      </c>
    </row>
    <row r="472" spans="86:86" ht="18" customHeight="1">
      <c r="CH472" s="116" t="str">
        <f>IFERROR(TOWER_DATA[[#This Row],[Top '[m']]]-TOWER_DATA[[#This Row],[Bottom '[m']]], "")</f>
        <v/>
      </c>
    </row>
    <row r="473" spans="86:86" ht="18" customHeight="1">
      <c r="CH473" s="116" t="str">
        <f>IFERROR(TOWER_DATA[[#This Row],[Top '[m']]]-TOWER_DATA[[#This Row],[Bottom '[m']]], "")</f>
        <v/>
      </c>
    </row>
    <row r="474" spans="86:86" ht="18" customHeight="1">
      <c r="CH474" s="116" t="str">
        <f>IFERROR(TOWER_DATA[[#This Row],[Top '[m']]]-TOWER_DATA[[#This Row],[Bottom '[m']]], "")</f>
        <v/>
      </c>
    </row>
    <row r="475" spans="86:86" ht="18" customHeight="1">
      <c r="CH475" s="116" t="str">
        <f>IFERROR(TOWER_DATA[[#This Row],[Top '[m']]]-TOWER_DATA[[#This Row],[Bottom '[m']]], "")</f>
        <v/>
      </c>
    </row>
    <row r="476" spans="86:86" ht="18" customHeight="1">
      <c r="CH476" s="116" t="str">
        <f>IFERROR(TOWER_DATA[[#This Row],[Top '[m']]]-TOWER_DATA[[#This Row],[Bottom '[m']]], "")</f>
        <v/>
      </c>
    </row>
    <row r="477" spans="86:86" ht="18" customHeight="1">
      <c r="CH477" s="116" t="str">
        <f>IFERROR(TOWER_DATA[[#This Row],[Top '[m']]]-TOWER_DATA[[#This Row],[Bottom '[m']]], "")</f>
        <v/>
      </c>
    </row>
    <row r="478" spans="86:86" ht="18" customHeight="1">
      <c r="CH478" s="116" t="str">
        <f>IFERROR(TOWER_DATA[[#This Row],[Top '[m']]]-TOWER_DATA[[#This Row],[Bottom '[m']]], "")</f>
        <v/>
      </c>
    </row>
    <row r="479" spans="86:86" ht="18" customHeight="1">
      <c r="CH479" s="116" t="str">
        <f>IFERROR(TOWER_DATA[[#This Row],[Top '[m']]]-TOWER_DATA[[#This Row],[Bottom '[m']]], "")</f>
        <v/>
      </c>
    </row>
    <row r="480" spans="86:86" ht="18" customHeight="1">
      <c r="CH480" s="116" t="str">
        <f>IFERROR(TOWER_DATA[[#This Row],[Top '[m']]]-TOWER_DATA[[#This Row],[Bottom '[m']]], "")</f>
        <v/>
      </c>
    </row>
    <row r="481" spans="86:86" ht="18" customHeight="1">
      <c r="CH481" s="116" t="str">
        <f>IFERROR(TOWER_DATA[[#This Row],[Top '[m']]]-TOWER_DATA[[#This Row],[Bottom '[m']]], "")</f>
        <v/>
      </c>
    </row>
    <row r="482" spans="86:86" ht="18" customHeight="1">
      <c r="CH482" s="116" t="str">
        <f>IFERROR(TOWER_DATA[[#This Row],[Top '[m']]]-TOWER_DATA[[#This Row],[Bottom '[m']]], "")</f>
        <v/>
      </c>
    </row>
    <row r="483" spans="86:86" ht="18" customHeight="1">
      <c r="CH483" s="116" t="str">
        <f>IFERROR(TOWER_DATA[[#This Row],[Top '[m']]]-TOWER_DATA[[#This Row],[Bottom '[m']]], "")</f>
        <v/>
      </c>
    </row>
    <row r="484" spans="86:86" ht="18" customHeight="1">
      <c r="CH484" s="116" t="str">
        <f>IFERROR(TOWER_DATA[[#This Row],[Top '[m']]]-TOWER_DATA[[#This Row],[Bottom '[m']]], "")</f>
        <v/>
      </c>
    </row>
    <row r="485" spans="86:86" ht="18" customHeight="1">
      <c r="CH485" s="116" t="str">
        <f>IFERROR(TOWER_DATA[[#This Row],[Top '[m']]]-TOWER_DATA[[#This Row],[Bottom '[m']]], "")</f>
        <v/>
      </c>
    </row>
    <row r="486" spans="86:86" ht="18" customHeight="1">
      <c r="CH486" s="116" t="str">
        <f>IFERROR(TOWER_DATA[[#This Row],[Top '[m']]]-TOWER_DATA[[#This Row],[Bottom '[m']]], "")</f>
        <v/>
      </c>
    </row>
    <row r="487" spans="86:86" ht="18" customHeight="1">
      <c r="CH487" s="116" t="str">
        <f>IFERROR(TOWER_DATA[[#This Row],[Top '[m']]]-TOWER_DATA[[#This Row],[Bottom '[m']]], "")</f>
        <v/>
      </c>
    </row>
    <row r="488" spans="86:86" ht="18" customHeight="1">
      <c r="CH488" s="116" t="str">
        <f>IFERROR(TOWER_DATA[[#This Row],[Top '[m']]]-TOWER_DATA[[#This Row],[Bottom '[m']]], "")</f>
        <v/>
      </c>
    </row>
    <row r="489" spans="86:86" ht="18" customHeight="1">
      <c r="CH489" s="116" t="str">
        <f>IFERROR(TOWER_DATA[[#This Row],[Top '[m']]]-TOWER_DATA[[#This Row],[Bottom '[m']]], "")</f>
        <v/>
      </c>
    </row>
    <row r="490" spans="86:86" ht="18" customHeight="1">
      <c r="CH490" s="116" t="str">
        <f>IFERROR(TOWER_DATA[[#This Row],[Top '[m']]]-TOWER_DATA[[#This Row],[Bottom '[m']]], "")</f>
        <v/>
      </c>
    </row>
    <row r="491" spans="86:86" ht="18" customHeight="1">
      <c r="CH491" s="116" t="str">
        <f>IFERROR(TOWER_DATA[[#This Row],[Top '[m']]]-TOWER_DATA[[#This Row],[Bottom '[m']]], "")</f>
        <v/>
      </c>
    </row>
    <row r="492" spans="86:86" ht="18" customHeight="1">
      <c r="CH492" s="116" t="str">
        <f>IFERROR(TOWER_DATA[[#This Row],[Top '[m']]]-TOWER_DATA[[#This Row],[Bottom '[m']]], "")</f>
        <v/>
      </c>
    </row>
    <row r="493" spans="86:86" ht="18" customHeight="1">
      <c r="CH493" s="116" t="str">
        <f>IFERROR(TOWER_DATA[[#This Row],[Top '[m']]]-TOWER_DATA[[#This Row],[Bottom '[m']]], "")</f>
        <v/>
      </c>
    </row>
    <row r="494" spans="86:86" ht="18" customHeight="1">
      <c r="CH494" s="116" t="str">
        <f>IFERROR(TOWER_DATA[[#This Row],[Top '[m']]]-TOWER_DATA[[#This Row],[Bottom '[m']]], "")</f>
        <v/>
      </c>
    </row>
    <row r="495" spans="86:86" ht="18" customHeight="1">
      <c r="CH495" s="116" t="str">
        <f>IFERROR(TOWER_DATA[[#This Row],[Top '[m']]]-TOWER_DATA[[#This Row],[Bottom '[m']]], "")</f>
        <v/>
      </c>
    </row>
    <row r="496" spans="86:86" ht="18" customHeight="1">
      <c r="CH496" s="116" t="str">
        <f>IFERROR(TOWER_DATA[[#This Row],[Top '[m']]]-TOWER_DATA[[#This Row],[Bottom '[m']]], "")</f>
        <v/>
      </c>
    </row>
    <row r="497" spans="86:86" ht="18" customHeight="1">
      <c r="CH497" s="116" t="str">
        <f>IFERROR(TOWER_DATA[[#This Row],[Top '[m']]]-TOWER_DATA[[#This Row],[Bottom '[m']]], "")</f>
        <v/>
      </c>
    </row>
    <row r="498" spans="86:86" ht="18" customHeight="1">
      <c r="CH498" s="116" t="str">
        <f>IFERROR(TOWER_DATA[[#This Row],[Top '[m']]]-TOWER_DATA[[#This Row],[Bottom '[m']]], "")</f>
        <v/>
      </c>
    </row>
    <row r="499" spans="86:86" ht="18" customHeight="1">
      <c r="CH499" s="116" t="str">
        <f>IFERROR(TOWER_DATA[[#This Row],[Top '[m']]]-TOWER_DATA[[#This Row],[Bottom '[m']]], "")</f>
        <v/>
      </c>
    </row>
    <row r="500" spans="86:86" ht="18" customHeight="1">
      <c r="CH500" s="116" t="str">
        <f>IFERROR(TOWER_DATA[[#This Row],[Top '[m']]]-TOWER_DATA[[#This Row],[Bottom '[m']]], "")</f>
        <v/>
      </c>
    </row>
    <row r="501" spans="86:86" ht="18" customHeight="1">
      <c r="CH501" s="116" t="str">
        <f>IFERROR(TOWER_DATA[[#This Row],[Top '[m']]]-TOWER_DATA[[#This Row],[Bottom '[m']]], "")</f>
        <v/>
      </c>
    </row>
    <row r="502" spans="86:86" ht="18" customHeight="1">
      <c r="CH502" s="116" t="str">
        <f>IFERROR(TOWER_DATA[[#This Row],[Top '[m']]]-TOWER_DATA[[#This Row],[Bottom '[m']]], "")</f>
        <v/>
      </c>
    </row>
    <row r="503" spans="86:86" ht="18" customHeight="1">
      <c r="CH503" s="116" t="str">
        <f>IFERROR(TOWER_DATA[[#This Row],[Top '[m']]]-TOWER_DATA[[#This Row],[Bottom '[m']]], "")</f>
        <v/>
      </c>
    </row>
    <row r="504" spans="86:86" ht="18" customHeight="1">
      <c r="CH504" s="116" t="str">
        <f>IFERROR(TOWER_DATA[[#This Row],[Top '[m']]]-TOWER_DATA[[#This Row],[Bottom '[m']]], "")</f>
        <v/>
      </c>
    </row>
    <row r="505" spans="86:86" ht="18" customHeight="1">
      <c r="CH505" s="116" t="str">
        <f>IFERROR(TOWER_DATA[[#This Row],[Top '[m']]]-TOWER_DATA[[#This Row],[Bottom '[m']]], "")</f>
        <v/>
      </c>
    </row>
    <row r="506" spans="86:86" ht="18" customHeight="1">
      <c r="CH506" s="116" t="str">
        <f>IFERROR(TOWER_DATA[[#This Row],[Top '[m']]]-TOWER_DATA[[#This Row],[Bottom '[m']]], "")</f>
        <v/>
      </c>
    </row>
    <row r="507" spans="86:86" ht="18" customHeight="1">
      <c r="CH507" s="116" t="str">
        <f>IFERROR(TOWER_DATA[[#This Row],[Top '[m']]]-TOWER_DATA[[#This Row],[Bottom '[m']]], "")</f>
        <v/>
      </c>
    </row>
    <row r="508" spans="86:86" ht="18" customHeight="1">
      <c r="CH508" s="116" t="str">
        <f>IFERROR(TOWER_DATA[[#This Row],[Top '[m']]]-TOWER_DATA[[#This Row],[Bottom '[m']]], "")</f>
        <v/>
      </c>
    </row>
    <row r="509" spans="86:86" ht="18" customHeight="1">
      <c r="CH509" s="116" t="str">
        <f>IFERROR(TOWER_DATA[[#This Row],[Top '[m']]]-TOWER_DATA[[#This Row],[Bottom '[m']]], "")</f>
        <v/>
      </c>
    </row>
    <row r="510" spans="86:86" ht="18" customHeight="1">
      <c r="CH510" s="116" t="str">
        <f>IFERROR(TOWER_DATA[[#This Row],[Top '[m']]]-TOWER_DATA[[#This Row],[Bottom '[m']]], "")</f>
        <v/>
      </c>
    </row>
    <row r="511" spans="86:86" ht="18" customHeight="1">
      <c r="CH511" s="116" t="str">
        <f>IFERROR(TOWER_DATA[[#This Row],[Top '[m']]]-TOWER_DATA[[#This Row],[Bottom '[m']]], "")</f>
        <v/>
      </c>
    </row>
    <row r="512" spans="86:86" ht="18" customHeight="1">
      <c r="CH512" s="116" t="str">
        <f>IFERROR(TOWER_DATA[[#This Row],[Top '[m']]]-TOWER_DATA[[#This Row],[Bottom '[m']]], "")</f>
        <v/>
      </c>
    </row>
    <row r="513" spans="86:86" ht="18" customHeight="1">
      <c r="CH513" s="116" t="str">
        <f>IFERROR(TOWER_DATA[[#This Row],[Top '[m']]]-TOWER_DATA[[#This Row],[Bottom '[m']]], "")</f>
        <v/>
      </c>
    </row>
    <row r="514" spans="86:86" ht="18" customHeight="1">
      <c r="CH514" s="116" t="str">
        <f>IFERROR(TOWER_DATA[[#This Row],[Top '[m']]]-TOWER_DATA[[#This Row],[Bottom '[m']]], "")</f>
        <v/>
      </c>
    </row>
    <row r="515" spans="86:86" ht="18" customHeight="1">
      <c r="CH515" s="116" t="str">
        <f>IFERROR(TOWER_DATA[[#This Row],[Top '[m']]]-TOWER_DATA[[#This Row],[Bottom '[m']]], "")</f>
        <v/>
      </c>
    </row>
    <row r="516" spans="86:86" ht="18" customHeight="1">
      <c r="CH516" s="116" t="str">
        <f>IFERROR(TOWER_DATA[[#This Row],[Top '[m']]]-TOWER_DATA[[#This Row],[Bottom '[m']]], "")</f>
        <v/>
      </c>
    </row>
    <row r="517" spans="86:86" ht="18" customHeight="1">
      <c r="CH517" s="116" t="str">
        <f>IFERROR(TOWER_DATA[[#This Row],[Top '[m']]]-TOWER_DATA[[#This Row],[Bottom '[m']]], "")</f>
        <v/>
      </c>
    </row>
    <row r="518" spans="86:86" ht="18" customHeight="1">
      <c r="CH518" s="116" t="str">
        <f>IFERROR(TOWER_DATA[[#This Row],[Top '[m']]]-TOWER_DATA[[#This Row],[Bottom '[m']]], "")</f>
        <v/>
      </c>
    </row>
    <row r="519" spans="86:86" ht="18" customHeight="1">
      <c r="CH519" s="116" t="str">
        <f>IFERROR(TOWER_DATA[[#This Row],[Top '[m']]]-TOWER_DATA[[#This Row],[Bottom '[m']]], "")</f>
        <v/>
      </c>
    </row>
    <row r="520" spans="86:86" ht="18" customHeight="1">
      <c r="CH520" s="116" t="str">
        <f>IFERROR(TOWER_DATA[[#This Row],[Top '[m']]]-TOWER_DATA[[#This Row],[Bottom '[m']]], "")</f>
        <v/>
      </c>
    </row>
    <row r="521" spans="86:86" ht="18" customHeight="1">
      <c r="CH521" s="116" t="str">
        <f>IFERROR(TOWER_DATA[[#This Row],[Top '[m']]]-TOWER_DATA[[#This Row],[Bottom '[m']]], "")</f>
        <v/>
      </c>
    </row>
    <row r="522" spans="86:86" ht="18" customHeight="1">
      <c r="CH522" s="116" t="str">
        <f>IFERROR(TOWER_DATA[[#This Row],[Top '[m']]]-TOWER_DATA[[#This Row],[Bottom '[m']]], "")</f>
        <v/>
      </c>
    </row>
    <row r="523" spans="86:86" ht="18" customHeight="1">
      <c r="CH523" s="116" t="str">
        <f>IFERROR(TOWER_DATA[[#This Row],[Top '[m']]]-TOWER_DATA[[#This Row],[Bottom '[m']]], "")</f>
        <v/>
      </c>
    </row>
    <row r="524" spans="86:86" ht="18" customHeight="1">
      <c r="CH524" s="116" t="str">
        <f>IFERROR(TOWER_DATA[[#This Row],[Top '[m']]]-TOWER_DATA[[#This Row],[Bottom '[m']]], "")</f>
        <v/>
      </c>
    </row>
    <row r="525" spans="86:86" ht="18" customHeight="1">
      <c r="CH525" s="116" t="str">
        <f>IFERROR(TOWER_DATA[[#This Row],[Top '[m']]]-TOWER_DATA[[#This Row],[Bottom '[m']]], "")</f>
        <v/>
      </c>
    </row>
    <row r="526" spans="86:86" ht="18" customHeight="1">
      <c r="CH526" s="116" t="str">
        <f>IFERROR(TOWER_DATA[[#This Row],[Top '[m']]]-TOWER_DATA[[#This Row],[Bottom '[m']]], "")</f>
        <v/>
      </c>
    </row>
    <row r="527" spans="86:86" ht="18" customHeight="1">
      <c r="CH527" s="116" t="str">
        <f>IFERROR(TOWER_DATA[[#This Row],[Top '[m']]]-TOWER_DATA[[#This Row],[Bottom '[m']]], "")</f>
        <v/>
      </c>
    </row>
    <row r="528" spans="86:86" ht="18" customHeight="1">
      <c r="CH528" s="116" t="str">
        <f>IFERROR(TOWER_DATA[[#This Row],[Top '[m']]]-TOWER_DATA[[#This Row],[Bottom '[m']]], "")</f>
        <v/>
      </c>
    </row>
    <row r="529" spans="86:86" ht="18" customHeight="1">
      <c r="CH529" s="116" t="str">
        <f>IFERROR(TOWER_DATA[[#This Row],[Top '[m']]]-TOWER_DATA[[#This Row],[Bottom '[m']]], "")</f>
        <v/>
      </c>
    </row>
    <row r="530" spans="86:86" ht="18" customHeight="1">
      <c r="CH530" s="116" t="str">
        <f>IFERROR(TOWER_DATA[[#This Row],[Top '[m']]]-TOWER_DATA[[#This Row],[Bottom '[m']]], "")</f>
        <v/>
      </c>
    </row>
    <row r="531" spans="86:86" ht="18" customHeight="1">
      <c r="CH531" s="116" t="str">
        <f>IFERROR(TOWER_DATA[[#This Row],[Top '[m']]]-TOWER_DATA[[#This Row],[Bottom '[m']]], "")</f>
        <v/>
      </c>
    </row>
    <row r="532" spans="86:86" ht="18" customHeight="1">
      <c r="CH532" s="116" t="str">
        <f>IFERROR(TOWER_DATA[[#This Row],[Top '[m']]]-TOWER_DATA[[#This Row],[Bottom '[m']]], "")</f>
        <v/>
      </c>
    </row>
    <row r="533" spans="86:86" ht="18" customHeight="1">
      <c r="CH533" s="116" t="str">
        <f>IFERROR(TOWER_DATA[[#This Row],[Top '[m']]]-TOWER_DATA[[#This Row],[Bottom '[m']]], "")</f>
        <v/>
      </c>
    </row>
    <row r="534" spans="86:86" ht="18" customHeight="1">
      <c r="CH534" s="116" t="str">
        <f>IFERROR(TOWER_DATA[[#This Row],[Top '[m']]]-TOWER_DATA[[#This Row],[Bottom '[m']]], "")</f>
        <v/>
      </c>
    </row>
    <row r="535" spans="86:86" ht="18" customHeight="1">
      <c r="CH535" s="116" t="str">
        <f>IFERROR(TOWER_DATA[[#This Row],[Top '[m']]]-TOWER_DATA[[#This Row],[Bottom '[m']]], "")</f>
        <v/>
      </c>
    </row>
    <row r="536" spans="86:86" ht="18" customHeight="1">
      <c r="CH536" s="116" t="str">
        <f>IFERROR(TOWER_DATA[[#This Row],[Top '[m']]]-TOWER_DATA[[#This Row],[Bottom '[m']]], "")</f>
        <v/>
      </c>
    </row>
    <row r="537" spans="86:86" ht="18" customHeight="1">
      <c r="CH537" s="116" t="str">
        <f>IFERROR(TOWER_DATA[[#This Row],[Top '[m']]]-TOWER_DATA[[#This Row],[Bottom '[m']]], "")</f>
        <v/>
      </c>
    </row>
    <row r="538" spans="86:86" ht="18" customHeight="1">
      <c r="CH538" s="116" t="str">
        <f>IFERROR(TOWER_DATA[[#This Row],[Top '[m']]]-TOWER_DATA[[#This Row],[Bottom '[m']]], "")</f>
        <v/>
      </c>
    </row>
    <row r="539" spans="86:86" ht="18" customHeight="1">
      <c r="CH539" s="116" t="str">
        <f>IFERROR(TOWER_DATA[[#This Row],[Top '[m']]]-TOWER_DATA[[#This Row],[Bottom '[m']]], "")</f>
        <v/>
      </c>
    </row>
    <row r="540" spans="86:86" ht="18" customHeight="1">
      <c r="CH540" s="116" t="str">
        <f>IFERROR(TOWER_DATA[[#This Row],[Top '[m']]]-TOWER_DATA[[#This Row],[Bottom '[m']]], "")</f>
        <v/>
      </c>
    </row>
    <row r="541" spans="86:86" ht="18" customHeight="1">
      <c r="CH541" s="116" t="str">
        <f>IFERROR(TOWER_DATA[[#This Row],[Top '[m']]]-TOWER_DATA[[#This Row],[Bottom '[m']]], "")</f>
        <v/>
      </c>
    </row>
    <row r="542" spans="86:86" ht="18" customHeight="1">
      <c r="CH542" s="116" t="str">
        <f>IFERROR(TOWER_DATA[[#This Row],[Top '[m']]]-TOWER_DATA[[#This Row],[Bottom '[m']]], "")</f>
        <v/>
      </c>
    </row>
    <row r="543" spans="86:86" ht="18" customHeight="1">
      <c r="CH543" s="116" t="str">
        <f>IFERROR(TOWER_DATA[[#This Row],[Top '[m']]]-TOWER_DATA[[#This Row],[Bottom '[m']]], "")</f>
        <v/>
      </c>
    </row>
    <row r="544" spans="86:86" ht="18" customHeight="1">
      <c r="CH544" s="116" t="str">
        <f>IFERROR(TOWER_DATA[[#This Row],[Top '[m']]]-TOWER_DATA[[#This Row],[Bottom '[m']]], "")</f>
        <v/>
      </c>
    </row>
    <row r="545" spans="86:86" ht="18" customHeight="1">
      <c r="CH545" s="116" t="str">
        <f>IFERROR(TOWER_DATA[[#This Row],[Top '[m']]]-TOWER_DATA[[#This Row],[Bottom '[m']]], "")</f>
        <v/>
      </c>
    </row>
    <row r="546" spans="86:86" ht="18" customHeight="1">
      <c r="CH546" s="116" t="str">
        <f>IFERROR(TOWER_DATA[[#This Row],[Top '[m']]]-TOWER_DATA[[#This Row],[Bottom '[m']]], "")</f>
        <v/>
      </c>
    </row>
    <row r="547" spans="86:86" ht="18" customHeight="1">
      <c r="CH547" s="116" t="str">
        <f>IFERROR(TOWER_DATA[[#This Row],[Top '[m']]]-TOWER_DATA[[#This Row],[Bottom '[m']]], "")</f>
        <v/>
      </c>
    </row>
    <row r="548" spans="86:86" ht="18" customHeight="1">
      <c r="CH548" s="116" t="str">
        <f>IFERROR(TOWER_DATA[[#This Row],[Top '[m']]]-TOWER_DATA[[#This Row],[Bottom '[m']]], "")</f>
        <v/>
      </c>
    </row>
    <row r="549" spans="86:86" ht="18" customHeight="1">
      <c r="CH549" s="116" t="str">
        <f>IFERROR(TOWER_DATA[[#This Row],[Top '[m']]]-TOWER_DATA[[#This Row],[Bottom '[m']]], "")</f>
        <v/>
      </c>
    </row>
    <row r="550" spans="86:86" ht="18" customHeight="1">
      <c r="CH550" s="116" t="str">
        <f>IFERROR(TOWER_DATA[[#This Row],[Top '[m']]]-TOWER_DATA[[#This Row],[Bottom '[m']]], "")</f>
        <v/>
      </c>
    </row>
    <row r="551" spans="86:86" ht="18" customHeight="1">
      <c r="CH551" s="116" t="str">
        <f>IFERROR(TOWER_DATA[[#This Row],[Top '[m']]]-TOWER_DATA[[#This Row],[Bottom '[m']]], "")</f>
        <v/>
      </c>
    </row>
    <row r="552" spans="86:86" ht="18" customHeight="1">
      <c r="CH552" s="116" t="str">
        <f>IFERROR(TOWER_DATA[[#This Row],[Top '[m']]]-TOWER_DATA[[#This Row],[Bottom '[m']]], "")</f>
        <v/>
      </c>
    </row>
    <row r="553" spans="86:86" ht="18" customHeight="1">
      <c r="CH553" s="116" t="str">
        <f>IFERROR(TOWER_DATA[[#This Row],[Top '[m']]]-TOWER_DATA[[#This Row],[Bottom '[m']]], "")</f>
        <v/>
      </c>
    </row>
    <row r="554" spans="86:86" ht="18" customHeight="1">
      <c r="CH554" s="116" t="str">
        <f>IFERROR(TOWER_DATA[[#This Row],[Top '[m']]]-TOWER_DATA[[#This Row],[Bottom '[m']]], "")</f>
        <v/>
      </c>
    </row>
    <row r="555" spans="86:86" ht="18" customHeight="1">
      <c r="CH555" s="116" t="str">
        <f>IFERROR(TOWER_DATA[[#This Row],[Top '[m']]]-TOWER_DATA[[#This Row],[Bottom '[m']]], "")</f>
        <v/>
      </c>
    </row>
    <row r="556" spans="86:86" ht="18" customHeight="1">
      <c r="CH556" s="116" t="str">
        <f>IFERROR(TOWER_DATA[[#This Row],[Top '[m']]]-TOWER_DATA[[#This Row],[Bottom '[m']]], "")</f>
        <v/>
      </c>
    </row>
    <row r="557" spans="86:86" ht="18" customHeight="1">
      <c r="CH557" s="116" t="str">
        <f>IFERROR(TOWER_DATA[[#This Row],[Top '[m']]]-TOWER_DATA[[#This Row],[Bottom '[m']]], "")</f>
        <v/>
      </c>
    </row>
    <row r="558" spans="86:86" ht="18" customHeight="1">
      <c r="CH558" s="116" t="str">
        <f>IFERROR(TOWER_DATA[[#This Row],[Top '[m']]]-TOWER_DATA[[#This Row],[Bottom '[m']]], "")</f>
        <v/>
      </c>
    </row>
    <row r="559" spans="86:86" ht="18" customHeight="1">
      <c r="CH559" s="116" t="str">
        <f>IFERROR(TOWER_DATA[[#This Row],[Top '[m']]]-TOWER_DATA[[#This Row],[Bottom '[m']]], "")</f>
        <v/>
      </c>
    </row>
    <row r="560" spans="86:86" ht="18" customHeight="1">
      <c r="CH560" s="116" t="str">
        <f>IFERROR(TOWER_DATA[[#This Row],[Top '[m']]]-TOWER_DATA[[#This Row],[Bottom '[m']]], "")</f>
        <v/>
      </c>
    </row>
    <row r="561" spans="86:86" ht="18" customHeight="1">
      <c r="CH561" s="116" t="str">
        <f>IFERROR(TOWER_DATA[[#This Row],[Top '[m']]]-TOWER_DATA[[#This Row],[Bottom '[m']]], "")</f>
        <v/>
      </c>
    </row>
    <row r="562" spans="86:86" ht="18" customHeight="1">
      <c r="CH562" s="116" t="str">
        <f>IFERROR(TOWER_DATA[[#This Row],[Top '[m']]]-TOWER_DATA[[#This Row],[Bottom '[m']]], "")</f>
        <v/>
      </c>
    </row>
    <row r="563" spans="86:86" ht="18" customHeight="1">
      <c r="CH563" s="116" t="str">
        <f>IFERROR(TOWER_DATA[[#This Row],[Top '[m']]]-TOWER_DATA[[#This Row],[Bottom '[m']]], "")</f>
        <v/>
      </c>
    </row>
    <row r="564" spans="86:86" ht="18" customHeight="1">
      <c r="CH564" s="116" t="str">
        <f>IFERROR(TOWER_DATA[[#This Row],[Top '[m']]]-TOWER_DATA[[#This Row],[Bottom '[m']]], "")</f>
        <v/>
      </c>
    </row>
    <row r="565" spans="86:86" ht="18" customHeight="1">
      <c r="CH565" s="116" t="str">
        <f>IFERROR(TOWER_DATA[[#This Row],[Top '[m']]]-TOWER_DATA[[#This Row],[Bottom '[m']]], "")</f>
        <v/>
      </c>
    </row>
    <row r="566" spans="86:86" ht="18" customHeight="1">
      <c r="CH566" s="116" t="str">
        <f>IFERROR(TOWER_DATA[[#This Row],[Top '[m']]]-TOWER_DATA[[#This Row],[Bottom '[m']]], "")</f>
        <v/>
      </c>
    </row>
    <row r="567" spans="86:86" ht="18" customHeight="1">
      <c r="CH567" s="116" t="str">
        <f>IFERROR(TOWER_DATA[[#This Row],[Top '[m']]]-TOWER_DATA[[#This Row],[Bottom '[m']]], "")</f>
        <v/>
      </c>
    </row>
    <row r="568" spans="86:86" ht="18" customHeight="1">
      <c r="CH568" s="116" t="str">
        <f>IFERROR(TOWER_DATA[[#This Row],[Top '[m']]]-TOWER_DATA[[#This Row],[Bottom '[m']]], "")</f>
        <v/>
      </c>
    </row>
    <row r="569" spans="86:86" ht="18" customHeight="1">
      <c r="CH569" s="116" t="str">
        <f>IFERROR(TOWER_DATA[[#This Row],[Top '[m']]]-TOWER_DATA[[#This Row],[Bottom '[m']]], "")</f>
        <v/>
      </c>
    </row>
    <row r="570" spans="86:86" ht="18" customHeight="1">
      <c r="CH570" s="116" t="str">
        <f>IFERROR(TOWER_DATA[[#This Row],[Top '[m']]]-TOWER_DATA[[#This Row],[Bottom '[m']]], "")</f>
        <v/>
      </c>
    </row>
    <row r="571" spans="86:86" ht="18" customHeight="1">
      <c r="CH571" s="116" t="str">
        <f>IFERROR(TOWER_DATA[[#This Row],[Top '[m']]]-TOWER_DATA[[#This Row],[Bottom '[m']]], "")</f>
        <v/>
      </c>
    </row>
    <row r="572" spans="86:86" ht="18" customHeight="1">
      <c r="CH572" s="116" t="str">
        <f>IFERROR(TOWER_DATA[[#This Row],[Top '[m']]]-TOWER_DATA[[#This Row],[Bottom '[m']]], "")</f>
        <v/>
      </c>
    </row>
    <row r="573" spans="86:86" ht="18" customHeight="1">
      <c r="CH573" s="116" t="str">
        <f>IFERROR(TOWER_DATA[[#This Row],[Top '[m']]]-TOWER_DATA[[#This Row],[Bottom '[m']]], "")</f>
        <v/>
      </c>
    </row>
    <row r="574" spans="86:86" ht="18" customHeight="1">
      <c r="CH574" s="116" t="str">
        <f>IFERROR(TOWER_DATA[[#This Row],[Top '[m']]]-TOWER_DATA[[#This Row],[Bottom '[m']]], "")</f>
        <v/>
      </c>
    </row>
    <row r="575" spans="86:86" ht="18" customHeight="1">
      <c r="CH575" s="116" t="str">
        <f>IFERROR(TOWER_DATA[[#This Row],[Top '[m']]]-TOWER_DATA[[#This Row],[Bottom '[m']]], "")</f>
        <v/>
      </c>
    </row>
    <row r="576" spans="86:86" ht="18" customHeight="1">
      <c r="CH576" s="116" t="str">
        <f>IFERROR(TOWER_DATA[[#This Row],[Top '[m']]]-TOWER_DATA[[#This Row],[Bottom '[m']]], "")</f>
        <v/>
      </c>
    </row>
    <row r="577" spans="86:86" ht="18" customHeight="1">
      <c r="CH577" s="116" t="str">
        <f>IFERROR(TOWER_DATA[[#This Row],[Top '[m']]]-TOWER_DATA[[#This Row],[Bottom '[m']]], "")</f>
        <v/>
      </c>
    </row>
    <row r="578" spans="86:86" ht="18" customHeight="1">
      <c r="CH578" s="116" t="str">
        <f>IFERROR(TOWER_DATA[[#This Row],[Top '[m']]]-TOWER_DATA[[#This Row],[Bottom '[m']]], "")</f>
        <v/>
      </c>
    </row>
    <row r="579" spans="86:86" ht="18" customHeight="1">
      <c r="CH579" s="116" t="str">
        <f>IFERROR(TOWER_DATA[[#This Row],[Top '[m']]]-TOWER_DATA[[#This Row],[Bottom '[m']]], "")</f>
        <v/>
      </c>
    </row>
    <row r="580" spans="86:86" ht="18" customHeight="1">
      <c r="CH580" s="116" t="str">
        <f>IFERROR(TOWER_DATA[[#This Row],[Top '[m']]]-TOWER_DATA[[#This Row],[Bottom '[m']]], "")</f>
        <v/>
      </c>
    </row>
    <row r="581" spans="86:86" ht="18" customHeight="1">
      <c r="CH581" s="116" t="str">
        <f>IFERROR(TOWER_DATA[[#This Row],[Top '[m']]]-TOWER_DATA[[#This Row],[Bottom '[m']]], "")</f>
        <v/>
      </c>
    </row>
    <row r="582" spans="86:86" ht="18" customHeight="1">
      <c r="CH582" s="116" t="str">
        <f>IFERROR(TOWER_DATA[[#This Row],[Top '[m']]]-TOWER_DATA[[#This Row],[Bottom '[m']]], "")</f>
        <v/>
      </c>
    </row>
    <row r="583" spans="86:86" ht="18" customHeight="1">
      <c r="CH583" s="116" t="str">
        <f>IFERROR(TOWER_DATA[[#This Row],[Top '[m']]]-TOWER_DATA[[#This Row],[Bottom '[m']]], "")</f>
        <v/>
      </c>
    </row>
    <row r="584" spans="86:86" ht="18" customHeight="1">
      <c r="CH584" s="116" t="str">
        <f>IFERROR(TOWER_DATA[[#This Row],[Top '[m']]]-TOWER_DATA[[#This Row],[Bottom '[m']]], "")</f>
        <v/>
      </c>
    </row>
    <row r="585" spans="86:86" ht="18" customHeight="1">
      <c r="CH585" s="116" t="str">
        <f>IFERROR(TOWER_DATA[[#This Row],[Top '[m']]]-TOWER_DATA[[#This Row],[Bottom '[m']]], "")</f>
        <v/>
      </c>
    </row>
    <row r="586" spans="86:86" ht="18" customHeight="1">
      <c r="CH586" s="116" t="str">
        <f>IFERROR(TOWER_DATA[[#This Row],[Top '[m']]]-TOWER_DATA[[#This Row],[Bottom '[m']]], "")</f>
        <v/>
      </c>
    </row>
    <row r="587" spans="86:86" ht="18" customHeight="1">
      <c r="CH587" s="116" t="str">
        <f>IFERROR(TOWER_DATA[[#This Row],[Top '[m']]]-TOWER_DATA[[#This Row],[Bottom '[m']]], "")</f>
        <v/>
      </c>
    </row>
    <row r="588" spans="86:86" ht="18" customHeight="1">
      <c r="CH588" s="116" t="str">
        <f>IFERROR(TOWER_DATA[[#This Row],[Top '[m']]]-TOWER_DATA[[#This Row],[Bottom '[m']]], "")</f>
        <v/>
      </c>
    </row>
    <row r="589" spans="86:86" ht="18" customHeight="1">
      <c r="CH589" s="116" t="str">
        <f>IFERROR(TOWER_DATA[[#This Row],[Top '[m']]]-TOWER_DATA[[#This Row],[Bottom '[m']]], "")</f>
        <v/>
      </c>
    </row>
    <row r="590" spans="86:86" ht="18" customHeight="1">
      <c r="CH590" s="116" t="str">
        <f>IFERROR(TOWER_DATA[[#This Row],[Top '[m']]]-TOWER_DATA[[#This Row],[Bottom '[m']]], "")</f>
        <v/>
      </c>
    </row>
    <row r="591" spans="86:86" ht="18" customHeight="1">
      <c r="CH591" s="116" t="str">
        <f>IFERROR(TOWER_DATA[[#This Row],[Top '[m']]]-TOWER_DATA[[#This Row],[Bottom '[m']]], "")</f>
        <v/>
      </c>
    </row>
    <row r="592" spans="86:86" ht="18" customHeight="1">
      <c r="CH592" s="116" t="str">
        <f>IFERROR(TOWER_DATA[[#This Row],[Top '[m']]]-TOWER_DATA[[#This Row],[Bottom '[m']]], "")</f>
        <v/>
      </c>
    </row>
    <row r="593" spans="86:86" ht="18" customHeight="1">
      <c r="CH593" s="116" t="str">
        <f>IFERROR(TOWER_DATA[[#This Row],[Top '[m']]]-TOWER_DATA[[#This Row],[Bottom '[m']]], "")</f>
        <v/>
      </c>
    </row>
    <row r="594" spans="86:86" ht="18" customHeight="1">
      <c r="CH594" s="116" t="str">
        <f>IFERROR(TOWER_DATA[[#This Row],[Top '[m']]]-TOWER_DATA[[#This Row],[Bottom '[m']]], "")</f>
        <v/>
      </c>
    </row>
    <row r="595" spans="86:86" ht="18" customHeight="1">
      <c r="CH595" s="116" t="str">
        <f>IFERROR(TOWER_DATA[[#This Row],[Top '[m']]]-TOWER_DATA[[#This Row],[Bottom '[m']]], "")</f>
        <v/>
      </c>
    </row>
    <row r="596" spans="86:86" ht="18" customHeight="1">
      <c r="CH596" s="116" t="str">
        <f>IFERROR(TOWER_DATA[[#This Row],[Top '[m']]]-TOWER_DATA[[#This Row],[Bottom '[m']]], "")</f>
        <v/>
      </c>
    </row>
    <row r="597" spans="86:86" ht="18" customHeight="1">
      <c r="CH597" s="116" t="str">
        <f>IFERROR(TOWER_DATA[[#This Row],[Top '[m']]]-TOWER_DATA[[#This Row],[Bottom '[m']]], "")</f>
        <v/>
      </c>
    </row>
    <row r="598" spans="86:86" ht="18" customHeight="1">
      <c r="CH598" s="116" t="str">
        <f>IFERROR(TOWER_DATA[[#This Row],[Top '[m']]]-TOWER_DATA[[#This Row],[Bottom '[m']]], "")</f>
        <v/>
      </c>
    </row>
    <row r="599" spans="86:86" ht="18" customHeight="1">
      <c r="CH599" s="116" t="str">
        <f>IFERROR(TOWER_DATA[[#This Row],[Top '[m']]]-TOWER_DATA[[#This Row],[Bottom '[m']]], "")</f>
        <v/>
      </c>
    </row>
    <row r="600" spans="86:86" ht="18" customHeight="1">
      <c r="CH600" s="116" t="str">
        <f>IFERROR(TOWER_DATA[[#This Row],[Top '[m']]]-TOWER_DATA[[#This Row],[Bottom '[m']]], "")</f>
        <v/>
      </c>
    </row>
    <row r="601" spans="86:86" ht="18" customHeight="1">
      <c r="CH601" s="116" t="str">
        <f>IFERROR(TOWER_DATA[[#This Row],[Top '[m']]]-TOWER_DATA[[#This Row],[Bottom '[m']]], "")</f>
        <v/>
      </c>
    </row>
    <row r="602" spans="86:86" ht="18" customHeight="1">
      <c r="CH602" s="116" t="str">
        <f>IFERROR(TOWER_DATA[[#This Row],[Top '[m']]]-TOWER_DATA[[#This Row],[Bottom '[m']]], "")</f>
        <v/>
      </c>
    </row>
    <row r="603" spans="86:86" ht="18" customHeight="1">
      <c r="CH603" s="116" t="str">
        <f>IFERROR(TOWER_DATA[[#This Row],[Top '[m']]]-TOWER_DATA[[#This Row],[Bottom '[m']]], "")</f>
        <v/>
      </c>
    </row>
    <row r="604" spans="86:86" ht="18" customHeight="1">
      <c r="CH604" s="116" t="str">
        <f>IFERROR(TOWER_DATA[[#This Row],[Top '[m']]]-TOWER_DATA[[#This Row],[Bottom '[m']]], "")</f>
        <v/>
      </c>
    </row>
    <row r="605" spans="86:86" ht="18" customHeight="1">
      <c r="CH605" s="116" t="str">
        <f>IFERROR(TOWER_DATA[[#This Row],[Top '[m']]]-TOWER_DATA[[#This Row],[Bottom '[m']]], "")</f>
        <v/>
      </c>
    </row>
    <row r="606" spans="86:86" ht="18" customHeight="1">
      <c r="CH606" s="116" t="str">
        <f>IFERROR(TOWER_DATA[[#This Row],[Top '[m']]]-TOWER_DATA[[#This Row],[Bottom '[m']]], "")</f>
        <v/>
      </c>
    </row>
    <row r="607" spans="86:86" ht="18" customHeight="1">
      <c r="CH607" s="116" t="str">
        <f>IFERROR(TOWER_DATA[[#This Row],[Top '[m']]]-TOWER_DATA[[#This Row],[Bottom '[m']]], "")</f>
        <v/>
      </c>
    </row>
    <row r="608" spans="86:86" ht="18" customHeight="1">
      <c r="CH608" s="116" t="str">
        <f>IFERROR(TOWER_DATA[[#This Row],[Top '[m']]]-TOWER_DATA[[#This Row],[Bottom '[m']]], "")</f>
        <v/>
      </c>
    </row>
    <row r="609" spans="86:86" ht="18" customHeight="1">
      <c r="CH609" s="116" t="str">
        <f>IFERROR(TOWER_DATA[[#This Row],[Top '[m']]]-TOWER_DATA[[#This Row],[Bottom '[m']]], "")</f>
        <v/>
      </c>
    </row>
    <row r="610" spans="86:86" ht="18" customHeight="1">
      <c r="CH610" s="116" t="str">
        <f>IFERROR(TOWER_DATA[[#This Row],[Top '[m']]]-TOWER_DATA[[#This Row],[Bottom '[m']]], "")</f>
        <v/>
      </c>
    </row>
    <row r="611" spans="86:86" ht="18" customHeight="1">
      <c r="CH611" s="116" t="str">
        <f>IFERROR(TOWER_DATA[[#This Row],[Top '[m']]]-TOWER_DATA[[#This Row],[Bottom '[m']]], "")</f>
        <v/>
      </c>
    </row>
    <row r="612" spans="86:86" ht="18" customHeight="1">
      <c r="CH612" s="116" t="str">
        <f>IFERROR(TOWER_DATA[[#This Row],[Top '[m']]]-TOWER_DATA[[#This Row],[Bottom '[m']]], "")</f>
        <v/>
      </c>
    </row>
    <row r="613" spans="86:86" ht="18" customHeight="1">
      <c r="CH613" s="116" t="str">
        <f>IFERROR(TOWER_DATA[[#This Row],[Top '[m']]]-TOWER_DATA[[#This Row],[Bottom '[m']]], "")</f>
        <v/>
      </c>
    </row>
    <row r="614" spans="86:86" ht="18" customHeight="1">
      <c r="CH614" s="116" t="str">
        <f>IFERROR(TOWER_DATA[[#This Row],[Top '[m']]]-TOWER_DATA[[#This Row],[Bottom '[m']]], "")</f>
        <v/>
      </c>
    </row>
    <row r="615" spans="86:86" ht="18" customHeight="1">
      <c r="CH615" s="116" t="str">
        <f>IFERROR(TOWER_DATA[[#This Row],[Top '[m']]]-TOWER_DATA[[#This Row],[Bottom '[m']]], "")</f>
        <v/>
      </c>
    </row>
    <row r="616" spans="86:86" ht="18" customHeight="1">
      <c r="CH616" s="116" t="str">
        <f>IFERROR(TOWER_DATA[[#This Row],[Top '[m']]]-TOWER_DATA[[#This Row],[Bottom '[m']]], "")</f>
        <v/>
      </c>
    </row>
    <row r="617" spans="86:86" ht="18" customHeight="1">
      <c r="CH617" s="116" t="str">
        <f>IFERROR(TOWER_DATA[[#This Row],[Top '[m']]]-TOWER_DATA[[#This Row],[Bottom '[m']]], "")</f>
        <v/>
      </c>
    </row>
    <row r="618" spans="86:86" ht="18" customHeight="1">
      <c r="CH618" s="116" t="str">
        <f>IFERROR(TOWER_DATA[[#This Row],[Top '[m']]]-TOWER_DATA[[#This Row],[Bottom '[m']]], "")</f>
        <v/>
      </c>
    </row>
    <row r="619" spans="86:86" ht="18" customHeight="1">
      <c r="CH619" s="116" t="str">
        <f>IFERROR(TOWER_DATA[[#This Row],[Top '[m']]]-TOWER_DATA[[#This Row],[Bottom '[m']]], "")</f>
        <v/>
      </c>
    </row>
    <row r="620" spans="86:86" ht="18" customHeight="1">
      <c r="CH620" s="116" t="str">
        <f>IFERROR(TOWER_DATA[[#This Row],[Top '[m']]]-TOWER_DATA[[#This Row],[Bottom '[m']]], "")</f>
        <v/>
      </c>
    </row>
    <row r="621" spans="86:86" ht="18" customHeight="1">
      <c r="CH621" s="116" t="str">
        <f>IFERROR(TOWER_DATA[[#This Row],[Top '[m']]]-TOWER_DATA[[#This Row],[Bottom '[m']]], "")</f>
        <v/>
      </c>
    </row>
    <row r="622" spans="86:86" ht="18" customHeight="1">
      <c r="CH622" s="116" t="str">
        <f>IFERROR(TOWER_DATA[[#This Row],[Top '[m']]]-TOWER_DATA[[#This Row],[Bottom '[m']]], "")</f>
        <v/>
      </c>
    </row>
    <row r="623" spans="86:86" ht="18" customHeight="1">
      <c r="CH623" s="116" t="str">
        <f>IFERROR(TOWER_DATA[[#This Row],[Top '[m']]]-TOWER_DATA[[#This Row],[Bottom '[m']]], "")</f>
        <v/>
      </c>
    </row>
    <row r="624" spans="86:86" ht="18" customHeight="1">
      <c r="CH624" s="116" t="str">
        <f>IFERROR(TOWER_DATA[[#This Row],[Top '[m']]]-TOWER_DATA[[#This Row],[Bottom '[m']]], "")</f>
        <v/>
      </c>
    </row>
    <row r="625" spans="86:86" ht="18" customHeight="1">
      <c r="CH625" s="116" t="str">
        <f>IFERROR(TOWER_DATA[[#This Row],[Top '[m']]]-TOWER_DATA[[#This Row],[Bottom '[m']]], "")</f>
        <v/>
      </c>
    </row>
    <row r="626" spans="86:86" ht="18" customHeight="1">
      <c r="CH626" s="116" t="str">
        <f>IFERROR(TOWER_DATA[[#This Row],[Top '[m']]]-TOWER_DATA[[#This Row],[Bottom '[m']]], "")</f>
        <v/>
      </c>
    </row>
    <row r="627" spans="86:86" ht="18" customHeight="1">
      <c r="CH627" s="116" t="str">
        <f>IFERROR(TOWER_DATA[[#This Row],[Top '[m']]]-TOWER_DATA[[#This Row],[Bottom '[m']]], "")</f>
        <v/>
      </c>
    </row>
    <row r="628" spans="86:86" ht="18" customHeight="1">
      <c r="CH628" s="116" t="str">
        <f>IFERROR(TOWER_DATA[[#This Row],[Top '[m']]]-TOWER_DATA[[#This Row],[Bottom '[m']]], "")</f>
        <v/>
      </c>
    </row>
    <row r="629" spans="86:86" ht="18" customHeight="1">
      <c r="CH629" s="116" t="str">
        <f>IFERROR(TOWER_DATA[[#This Row],[Top '[m']]]-TOWER_DATA[[#This Row],[Bottom '[m']]], "")</f>
        <v/>
      </c>
    </row>
    <row r="630" spans="86:86" ht="18" customHeight="1">
      <c r="CH630" s="116" t="str">
        <f>IFERROR(TOWER_DATA[[#This Row],[Top '[m']]]-TOWER_DATA[[#This Row],[Bottom '[m']]], "")</f>
        <v/>
      </c>
    </row>
    <row r="631" spans="86:86" ht="18" customHeight="1">
      <c r="CH631" s="116" t="str">
        <f>IFERROR(TOWER_DATA[[#This Row],[Top '[m']]]-TOWER_DATA[[#This Row],[Bottom '[m']]], "")</f>
        <v/>
      </c>
    </row>
    <row r="632" spans="86:86" ht="18" customHeight="1">
      <c r="CH632" s="116" t="str">
        <f>IFERROR(TOWER_DATA[[#This Row],[Top '[m']]]-TOWER_DATA[[#This Row],[Bottom '[m']]], "")</f>
        <v/>
      </c>
    </row>
    <row r="633" spans="86:86" ht="18" customHeight="1">
      <c r="CH633" s="116" t="str">
        <f>IFERROR(TOWER_DATA[[#This Row],[Top '[m']]]-TOWER_DATA[[#This Row],[Bottom '[m']]], "")</f>
        <v/>
      </c>
    </row>
    <row r="634" spans="86:86" ht="18" customHeight="1">
      <c r="CH634" s="116" t="str">
        <f>IFERROR(TOWER_DATA[[#This Row],[Top '[m']]]-TOWER_DATA[[#This Row],[Bottom '[m']]], "")</f>
        <v/>
      </c>
    </row>
    <row r="635" spans="86:86" ht="18" customHeight="1">
      <c r="CH635" s="116" t="str">
        <f>IFERROR(TOWER_DATA[[#This Row],[Top '[m']]]-TOWER_DATA[[#This Row],[Bottom '[m']]], "")</f>
        <v/>
      </c>
    </row>
    <row r="636" spans="86:86" ht="18" customHeight="1">
      <c r="CH636" s="116" t="str">
        <f>IFERROR(TOWER_DATA[[#This Row],[Top '[m']]]-TOWER_DATA[[#This Row],[Bottom '[m']]], "")</f>
        <v/>
      </c>
    </row>
    <row r="637" spans="86:86" ht="18" customHeight="1">
      <c r="CH637" s="116" t="str">
        <f>IFERROR(TOWER_DATA[[#This Row],[Top '[m']]]-TOWER_DATA[[#This Row],[Bottom '[m']]], "")</f>
        <v/>
      </c>
    </row>
    <row r="638" spans="86:86" ht="18" customHeight="1">
      <c r="CH638" s="116" t="str">
        <f>IFERROR(TOWER_DATA[[#This Row],[Top '[m']]]-TOWER_DATA[[#This Row],[Bottom '[m']]], "")</f>
        <v/>
      </c>
    </row>
    <row r="639" spans="86:86" ht="18" customHeight="1">
      <c r="CH639" s="116" t="str">
        <f>IFERROR(TOWER_DATA[[#This Row],[Top '[m']]]-TOWER_DATA[[#This Row],[Bottom '[m']]], "")</f>
        <v/>
      </c>
    </row>
    <row r="640" spans="86:86" ht="18" customHeight="1">
      <c r="CH640" s="116" t="str">
        <f>IFERROR(TOWER_DATA[[#This Row],[Top '[m']]]-TOWER_DATA[[#This Row],[Bottom '[m']]], "")</f>
        <v/>
      </c>
    </row>
    <row r="641" spans="86:86" ht="18" customHeight="1">
      <c r="CH641" s="116" t="str">
        <f>IFERROR(TOWER_DATA[[#This Row],[Top '[m']]]-TOWER_DATA[[#This Row],[Bottom '[m']]], "")</f>
        <v/>
      </c>
    </row>
    <row r="642" spans="86:86" ht="18" customHeight="1">
      <c r="CH642" s="116" t="str">
        <f>IFERROR(TOWER_DATA[[#This Row],[Top '[m']]]-TOWER_DATA[[#This Row],[Bottom '[m']]], "")</f>
        <v/>
      </c>
    </row>
    <row r="643" spans="86:86" ht="18" customHeight="1">
      <c r="CH643" s="116" t="str">
        <f>IFERROR(TOWER_DATA[[#This Row],[Top '[m']]]-TOWER_DATA[[#This Row],[Bottom '[m']]], "")</f>
        <v/>
      </c>
    </row>
    <row r="644" spans="86:86" ht="18" customHeight="1">
      <c r="CH644" s="116" t="str">
        <f>IFERROR(TOWER_DATA[[#This Row],[Top '[m']]]-TOWER_DATA[[#This Row],[Bottom '[m']]], "")</f>
        <v/>
      </c>
    </row>
    <row r="645" spans="86:86" ht="18" customHeight="1">
      <c r="CH645" s="116" t="str">
        <f>IFERROR(TOWER_DATA[[#This Row],[Top '[m']]]-TOWER_DATA[[#This Row],[Bottom '[m']]], "")</f>
        <v/>
      </c>
    </row>
    <row r="646" spans="86:86" ht="18" customHeight="1">
      <c r="CH646" s="116" t="str">
        <f>IFERROR(TOWER_DATA[[#This Row],[Top '[m']]]-TOWER_DATA[[#This Row],[Bottom '[m']]], "")</f>
        <v/>
      </c>
    </row>
    <row r="647" spans="86:86" ht="18" customHeight="1">
      <c r="CH647" s="116" t="str">
        <f>IFERROR(TOWER_DATA[[#This Row],[Top '[m']]]-TOWER_DATA[[#This Row],[Bottom '[m']]], "")</f>
        <v/>
      </c>
    </row>
    <row r="648" spans="86:86" ht="18" customHeight="1">
      <c r="CH648" s="116" t="str">
        <f>IFERROR(TOWER_DATA[[#This Row],[Top '[m']]]-TOWER_DATA[[#This Row],[Bottom '[m']]], "")</f>
        <v/>
      </c>
    </row>
    <row r="649" spans="86:86" ht="18" customHeight="1">
      <c r="CH649" s="116" t="str">
        <f>IFERROR(TOWER_DATA[[#This Row],[Top '[m']]]-TOWER_DATA[[#This Row],[Bottom '[m']]], "")</f>
        <v/>
      </c>
    </row>
    <row r="650" spans="86:86" ht="18" customHeight="1">
      <c r="CH650" s="116" t="str">
        <f>IFERROR(TOWER_DATA[[#This Row],[Top '[m']]]-TOWER_DATA[[#This Row],[Bottom '[m']]], "")</f>
        <v/>
      </c>
    </row>
    <row r="651" spans="86:86" ht="18" customHeight="1">
      <c r="CH651" s="116" t="str">
        <f>IFERROR(TOWER_DATA[[#This Row],[Top '[m']]]-TOWER_DATA[[#This Row],[Bottom '[m']]], "")</f>
        <v/>
      </c>
    </row>
    <row r="652" spans="86:86" ht="18" customHeight="1">
      <c r="CH652" s="116" t="str">
        <f>IFERROR(TOWER_DATA[[#This Row],[Top '[m']]]-TOWER_DATA[[#This Row],[Bottom '[m']]], "")</f>
        <v/>
      </c>
    </row>
    <row r="653" spans="86:86" ht="18" customHeight="1">
      <c r="CH653" s="116" t="str">
        <f>IFERROR(TOWER_DATA[[#This Row],[Top '[m']]]-TOWER_DATA[[#This Row],[Bottom '[m']]], "")</f>
        <v/>
      </c>
    </row>
    <row r="654" spans="86:86" ht="18" customHeight="1">
      <c r="CH654" s="116" t="str">
        <f>IFERROR(TOWER_DATA[[#This Row],[Top '[m']]]-TOWER_DATA[[#This Row],[Bottom '[m']]], "")</f>
        <v/>
      </c>
    </row>
    <row r="655" spans="86:86" ht="18" customHeight="1">
      <c r="CH655" s="116" t="str">
        <f>IFERROR(TOWER_DATA[[#This Row],[Top '[m']]]-TOWER_DATA[[#This Row],[Bottom '[m']]], "")</f>
        <v/>
      </c>
    </row>
    <row r="656" spans="86:86" ht="18" customHeight="1">
      <c r="CH656" s="116" t="str">
        <f>IFERROR(TOWER_DATA[[#This Row],[Top '[m']]]-TOWER_DATA[[#This Row],[Bottom '[m']]], "")</f>
        <v/>
      </c>
    </row>
    <row r="657" spans="86:86" ht="18" customHeight="1">
      <c r="CH657" s="116" t="str">
        <f>IFERROR(TOWER_DATA[[#This Row],[Top '[m']]]-TOWER_DATA[[#This Row],[Bottom '[m']]], "")</f>
        <v/>
      </c>
    </row>
    <row r="658" spans="86:86" ht="18" customHeight="1">
      <c r="CH658" s="116" t="str">
        <f>IFERROR(TOWER_DATA[[#This Row],[Top '[m']]]-TOWER_DATA[[#This Row],[Bottom '[m']]], "")</f>
        <v/>
      </c>
    </row>
    <row r="659" spans="86:86" ht="18" customHeight="1">
      <c r="CH659" s="116" t="str">
        <f>IFERROR(TOWER_DATA[[#This Row],[Top '[m']]]-TOWER_DATA[[#This Row],[Bottom '[m']]], "")</f>
        <v/>
      </c>
    </row>
    <row r="660" spans="86:86" ht="18" customHeight="1">
      <c r="CH660" s="116" t="str">
        <f>IFERROR(TOWER_DATA[[#This Row],[Top '[m']]]-TOWER_DATA[[#This Row],[Bottom '[m']]], "")</f>
        <v/>
      </c>
    </row>
    <row r="661" spans="86:86" ht="18" customHeight="1">
      <c r="CH661" s="116" t="str">
        <f>IFERROR(TOWER_DATA[[#This Row],[Top '[m']]]-TOWER_DATA[[#This Row],[Bottom '[m']]], "")</f>
        <v/>
      </c>
    </row>
    <row r="662" spans="86:86" ht="18" customHeight="1">
      <c r="CH662" s="116" t="str">
        <f>IFERROR(TOWER_DATA[[#This Row],[Top '[m']]]-TOWER_DATA[[#This Row],[Bottom '[m']]], "")</f>
        <v/>
      </c>
    </row>
    <row r="663" spans="86:86" ht="18" customHeight="1">
      <c r="CH663" s="116" t="str">
        <f>IFERROR(TOWER_DATA[[#This Row],[Top '[m']]]-TOWER_DATA[[#This Row],[Bottom '[m']]], "")</f>
        <v/>
      </c>
    </row>
    <row r="664" spans="86:86" ht="18" customHeight="1">
      <c r="CH664" s="116" t="str">
        <f>IFERROR(TOWER_DATA[[#This Row],[Top '[m']]]-TOWER_DATA[[#This Row],[Bottom '[m']]], "")</f>
        <v/>
      </c>
    </row>
    <row r="665" spans="86:86" ht="18" customHeight="1">
      <c r="CH665" s="116" t="str">
        <f>IFERROR(TOWER_DATA[[#This Row],[Top '[m']]]-TOWER_DATA[[#This Row],[Bottom '[m']]], "")</f>
        <v/>
      </c>
    </row>
    <row r="666" spans="86:86" ht="18" customHeight="1">
      <c r="CH666" s="116" t="str">
        <f>IFERROR(TOWER_DATA[[#This Row],[Top '[m']]]-TOWER_DATA[[#This Row],[Bottom '[m']]], "")</f>
        <v/>
      </c>
    </row>
    <row r="667" spans="86:86" ht="18" customHeight="1">
      <c r="CH667" s="116" t="str">
        <f>IFERROR(TOWER_DATA[[#This Row],[Top '[m']]]-TOWER_DATA[[#This Row],[Bottom '[m']]], "")</f>
        <v/>
      </c>
    </row>
    <row r="668" spans="86:86" ht="18" customHeight="1">
      <c r="CH668" s="116" t="str">
        <f>IFERROR(TOWER_DATA[[#This Row],[Top '[m']]]-TOWER_DATA[[#This Row],[Bottom '[m']]], "")</f>
        <v/>
      </c>
    </row>
    <row r="669" spans="86:86" ht="18" customHeight="1">
      <c r="CH669" s="116" t="str">
        <f>IFERROR(TOWER_DATA[[#This Row],[Top '[m']]]-TOWER_DATA[[#This Row],[Bottom '[m']]], "")</f>
        <v/>
      </c>
    </row>
    <row r="670" spans="86:86" ht="18" customHeight="1">
      <c r="CH670" s="116" t="str">
        <f>IFERROR(TOWER_DATA[[#This Row],[Top '[m']]]-TOWER_DATA[[#This Row],[Bottom '[m']]], "")</f>
        <v/>
      </c>
    </row>
    <row r="671" spans="86:86" ht="18" customHeight="1">
      <c r="CH671" s="116" t="str">
        <f>IFERROR(TOWER_DATA[[#This Row],[Top '[m']]]-TOWER_DATA[[#This Row],[Bottom '[m']]], "")</f>
        <v/>
      </c>
    </row>
    <row r="672" spans="86:86" ht="18" customHeight="1">
      <c r="CH672" s="116" t="str">
        <f>IFERROR(TOWER_DATA[[#This Row],[Top '[m']]]-TOWER_DATA[[#This Row],[Bottom '[m']]], "")</f>
        <v/>
      </c>
    </row>
    <row r="673" spans="86:86" ht="18" customHeight="1">
      <c r="CH673" s="116" t="str">
        <f>IFERROR(TOWER_DATA[[#This Row],[Top '[m']]]-TOWER_DATA[[#This Row],[Bottom '[m']]], "")</f>
        <v/>
      </c>
    </row>
    <row r="674" spans="86:86" ht="18" customHeight="1">
      <c r="CH674" s="116" t="str">
        <f>IFERROR(TOWER_DATA[[#This Row],[Top '[m']]]-TOWER_DATA[[#This Row],[Bottom '[m']]], "")</f>
        <v/>
      </c>
    </row>
    <row r="675" spans="86:86" ht="18" customHeight="1">
      <c r="CH675" s="116" t="str">
        <f>IFERROR(TOWER_DATA[[#This Row],[Top '[m']]]-TOWER_DATA[[#This Row],[Bottom '[m']]], "")</f>
        <v/>
      </c>
    </row>
    <row r="676" spans="86:86" ht="18" customHeight="1">
      <c r="CH676" s="116" t="str">
        <f>IFERROR(TOWER_DATA[[#This Row],[Top '[m']]]-TOWER_DATA[[#This Row],[Bottom '[m']]], "")</f>
        <v/>
      </c>
    </row>
    <row r="677" spans="86:86" ht="18" customHeight="1">
      <c r="CH677" s="116" t="str">
        <f>IFERROR(TOWER_DATA[[#This Row],[Top '[m']]]-TOWER_DATA[[#This Row],[Bottom '[m']]], "")</f>
        <v/>
      </c>
    </row>
    <row r="678" spans="86:86" ht="18" customHeight="1">
      <c r="CH678" s="116" t="str">
        <f>IFERROR(TOWER_DATA[[#This Row],[Top '[m']]]-TOWER_DATA[[#This Row],[Bottom '[m']]], "")</f>
        <v/>
      </c>
    </row>
    <row r="679" spans="86:86" ht="18" customHeight="1">
      <c r="CH679" s="116" t="str">
        <f>IFERROR(TOWER_DATA[[#This Row],[Top '[m']]]-TOWER_DATA[[#This Row],[Bottom '[m']]], "")</f>
        <v/>
      </c>
    </row>
    <row r="680" spans="86:86" ht="18" customHeight="1">
      <c r="CH680" s="116" t="str">
        <f>IFERROR(TOWER_DATA[[#This Row],[Top '[m']]]-TOWER_DATA[[#This Row],[Bottom '[m']]], "")</f>
        <v/>
      </c>
    </row>
    <row r="681" spans="86:86" ht="18" customHeight="1">
      <c r="CH681" s="116" t="str">
        <f>IFERROR(TOWER_DATA[[#This Row],[Top '[m']]]-TOWER_DATA[[#This Row],[Bottom '[m']]], "")</f>
        <v/>
      </c>
    </row>
    <row r="682" spans="86:86" ht="18" customHeight="1">
      <c r="CH682" s="116" t="str">
        <f>IFERROR(TOWER_DATA[[#This Row],[Top '[m']]]-TOWER_DATA[[#This Row],[Bottom '[m']]], "")</f>
        <v/>
      </c>
    </row>
    <row r="683" spans="86:86" ht="18" customHeight="1">
      <c r="CH683" s="116" t="str">
        <f>IFERROR(TOWER_DATA[[#This Row],[Top '[m']]]-TOWER_DATA[[#This Row],[Bottom '[m']]], "")</f>
        <v/>
      </c>
    </row>
    <row r="684" spans="86:86" ht="18" customHeight="1">
      <c r="CH684" s="116" t="str">
        <f>IFERROR(TOWER_DATA[[#This Row],[Top '[m']]]-TOWER_DATA[[#This Row],[Bottom '[m']]], "")</f>
        <v/>
      </c>
    </row>
    <row r="685" spans="86:86" ht="18" customHeight="1">
      <c r="CH685" s="116" t="str">
        <f>IFERROR(TOWER_DATA[[#This Row],[Top '[m']]]-TOWER_DATA[[#This Row],[Bottom '[m']]], "")</f>
        <v/>
      </c>
    </row>
    <row r="686" spans="86:86" ht="18" customHeight="1">
      <c r="CH686" s="116" t="str">
        <f>IFERROR(TOWER_DATA[[#This Row],[Top '[m']]]-TOWER_DATA[[#This Row],[Bottom '[m']]], "")</f>
        <v/>
      </c>
    </row>
    <row r="687" spans="86:86" ht="18" customHeight="1">
      <c r="CH687" s="116" t="str">
        <f>IFERROR(TOWER_DATA[[#This Row],[Top '[m']]]-TOWER_DATA[[#This Row],[Bottom '[m']]], "")</f>
        <v/>
      </c>
    </row>
    <row r="688" spans="86:86" ht="18" customHeight="1">
      <c r="CH688" s="116" t="str">
        <f>IFERROR(TOWER_DATA[[#This Row],[Top '[m']]]-TOWER_DATA[[#This Row],[Bottom '[m']]], "")</f>
        <v/>
      </c>
    </row>
    <row r="689" spans="86:86" ht="18" customHeight="1">
      <c r="CH689" s="116" t="str">
        <f>IFERROR(TOWER_DATA[[#This Row],[Top '[m']]]-TOWER_DATA[[#This Row],[Bottom '[m']]], "")</f>
        <v/>
      </c>
    </row>
    <row r="690" spans="86:86" ht="18" customHeight="1">
      <c r="CH690" s="116" t="str">
        <f>IFERROR(TOWER_DATA[[#This Row],[Top '[m']]]-TOWER_DATA[[#This Row],[Bottom '[m']]], "")</f>
        <v/>
      </c>
    </row>
    <row r="691" spans="86:86" ht="18" customHeight="1">
      <c r="CH691" s="116" t="str">
        <f>IFERROR(TOWER_DATA[[#This Row],[Top '[m']]]-TOWER_DATA[[#This Row],[Bottom '[m']]], "")</f>
        <v/>
      </c>
    </row>
    <row r="692" spans="86:86" ht="18" customHeight="1">
      <c r="CH692" s="116" t="str">
        <f>IFERROR(TOWER_DATA[[#This Row],[Top '[m']]]-TOWER_DATA[[#This Row],[Bottom '[m']]], "")</f>
        <v/>
      </c>
    </row>
    <row r="693" spans="86:86" ht="18" customHeight="1">
      <c r="CH693" s="116" t="str">
        <f>IFERROR(TOWER_DATA[[#This Row],[Top '[m']]]-TOWER_DATA[[#This Row],[Bottom '[m']]], "")</f>
        <v/>
      </c>
    </row>
    <row r="694" spans="86:86" ht="18" customHeight="1">
      <c r="CH694" s="116" t="str">
        <f>IFERROR(TOWER_DATA[[#This Row],[Top '[m']]]-TOWER_DATA[[#This Row],[Bottom '[m']]], "")</f>
        <v/>
      </c>
    </row>
    <row r="695" spans="86:86" ht="18" customHeight="1">
      <c r="CH695" s="116" t="str">
        <f>IFERROR(TOWER_DATA[[#This Row],[Top '[m']]]-TOWER_DATA[[#This Row],[Bottom '[m']]], "")</f>
        <v/>
      </c>
    </row>
    <row r="696" spans="86:86" ht="18" customHeight="1">
      <c r="CH696" s="116" t="str">
        <f>IFERROR(TOWER_DATA[[#This Row],[Top '[m']]]-TOWER_DATA[[#This Row],[Bottom '[m']]], "")</f>
        <v/>
      </c>
    </row>
    <row r="697" spans="86:86" ht="18" customHeight="1">
      <c r="CH697" s="116" t="str">
        <f>IFERROR(TOWER_DATA[[#This Row],[Top '[m']]]-TOWER_DATA[[#This Row],[Bottom '[m']]], "")</f>
        <v/>
      </c>
    </row>
    <row r="698" spans="86:86" ht="18" customHeight="1">
      <c r="CH698" s="116" t="str">
        <f>IFERROR(TOWER_DATA[[#This Row],[Top '[m']]]-TOWER_DATA[[#This Row],[Bottom '[m']]], "")</f>
        <v/>
      </c>
    </row>
    <row r="699" spans="86:86" ht="18" customHeight="1">
      <c r="CH699" s="116" t="str">
        <f>IFERROR(TOWER_DATA[[#This Row],[Top '[m']]]-TOWER_DATA[[#This Row],[Bottom '[m']]], "")</f>
        <v/>
      </c>
    </row>
    <row r="700" spans="86:86" ht="18" customHeight="1">
      <c r="CH700" s="116" t="str">
        <f>IFERROR(TOWER_DATA[[#This Row],[Top '[m']]]-TOWER_DATA[[#This Row],[Bottom '[m']]], "")</f>
        <v/>
      </c>
    </row>
    <row r="701" spans="86:86" ht="18" customHeight="1">
      <c r="CH701" s="116" t="str">
        <f>IFERROR(TOWER_DATA[[#This Row],[Top '[m']]]-TOWER_DATA[[#This Row],[Bottom '[m']]], "")</f>
        <v/>
      </c>
    </row>
    <row r="702" spans="86:86" ht="18" customHeight="1">
      <c r="CH702" s="116" t="str">
        <f>IFERROR(TOWER_DATA[[#This Row],[Top '[m']]]-TOWER_DATA[[#This Row],[Bottom '[m']]], "")</f>
        <v/>
      </c>
    </row>
    <row r="703" spans="86:86" ht="18" customHeight="1">
      <c r="CH703" s="116" t="str">
        <f>IFERROR(TOWER_DATA[[#This Row],[Top '[m']]]-TOWER_DATA[[#This Row],[Bottom '[m']]], "")</f>
        <v/>
      </c>
    </row>
    <row r="704" spans="86:86" ht="18" customHeight="1">
      <c r="CH704" s="116" t="str">
        <f>IFERROR(TOWER_DATA[[#This Row],[Top '[m']]]-TOWER_DATA[[#This Row],[Bottom '[m']]], "")</f>
        <v/>
      </c>
    </row>
    <row r="705" spans="86:86" ht="18" customHeight="1">
      <c r="CH705" s="116" t="str">
        <f>IFERROR(TOWER_DATA[[#This Row],[Top '[m']]]-TOWER_DATA[[#This Row],[Bottom '[m']]], "")</f>
        <v/>
      </c>
    </row>
    <row r="706" spans="86:86" ht="18" customHeight="1">
      <c r="CH706" s="116" t="str">
        <f>IFERROR(TOWER_DATA[[#This Row],[Top '[m']]]-TOWER_DATA[[#This Row],[Bottom '[m']]], "")</f>
        <v/>
      </c>
    </row>
    <row r="707" spans="86:86" ht="18" customHeight="1">
      <c r="CH707" s="116" t="str">
        <f>IFERROR(TOWER_DATA[[#This Row],[Top '[m']]]-TOWER_DATA[[#This Row],[Bottom '[m']]], "")</f>
        <v/>
      </c>
    </row>
    <row r="708" spans="86:86" ht="18" customHeight="1">
      <c r="CH708" s="116" t="str">
        <f>IFERROR(TOWER_DATA[[#This Row],[Top '[m']]]-TOWER_DATA[[#This Row],[Bottom '[m']]], "")</f>
        <v/>
      </c>
    </row>
    <row r="709" spans="86:86" ht="18" customHeight="1">
      <c r="CH709" s="116" t="str">
        <f>IFERROR(TOWER_DATA[[#This Row],[Top '[m']]]-TOWER_DATA[[#This Row],[Bottom '[m']]], "")</f>
        <v/>
      </c>
    </row>
    <row r="710" spans="86:86" ht="18" customHeight="1">
      <c r="CH710" s="116" t="str">
        <f>IFERROR(TOWER_DATA[[#This Row],[Top '[m']]]-TOWER_DATA[[#This Row],[Bottom '[m']]], "")</f>
        <v/>
      </c>
    </row>
    <row r="711" spans="86:86" ht="18" customHeight="1">
      <c r="CH711" s="116" t="str">
        <f>IFERROR(TOWER_DATA[[#This Row],[Top '[m']]]-TOWER_DATA[[#This Row],[Bottom '[m']]], "")</f>
        <v/>
      </c>
    </row>
    <row r="712" spans="86:86" ht="18" customHeight="1">
      <c r="CH712" s="116" t="str">
        <f>IFERROR(TOWER_DATA[[#This Row],[Top '[m']]]-TOWER_DATA[[#This Row],[Bottom '[m']]], "")</f>
        <v/>
      </c>
    </row>
    <row r="713" spans="86:86" ht="18" customHeight="1">
      <c r="CH713" s="116" t="str">
        <f>IFERROR(TOWER_DATA[[#This Row],[Top '[m']]]-TOWER_DATA[[#This Row],[Bottom '[m']]], "")</f>
        <v/>
      </c>
    </row>
    <row r="714" spans="86:86" ht="18" customHeight="1">
      <c r="CH714" s="116" t="str">
        <f>IFERROR(TOWER_DATA[[#This Row],[Top '[m']]]-TOWER_DATA[[#This Row],[Bottom '[m']]], "")</f>
        <v/>
      </c>
    </row>
    <row r="715" spans="86:86" ht="18" customHeight="1">
      <c r="CH715" s="116" t="str">
        <f>IFERROR(TOWER_DATA[[#This Row],[Top '[m']]]-TOWER_DATA[[#This Row],[Bottom '[m']]], "")</f>
        <v/>
      </c>
    </row>
    <row r="716" spans="86:86" ht="18" customHeight="1">
      <c r="CH716" s="116" t="str">
        <f>IFERROR(TOWER_DATA[[#This Row],[Top '[m']]]-TOWER_DATA[[#This Row],[Bottom '[m']]], "")</f>
        <v/>
      </c>
    </row>
    <row r="717" spans="86:86" ht="18" customHeight="1">
      <c r="CH717" s="116" t="str">
        <f>IFERROR(TOWER_DATA[[#This Row],[Top '[m']]]-TOWER_DATA[[#This Row],[Bottom '[m']]], "")</f>
        <v/>
      </c>
    </row>
    <row r="718" spans="86:86" ht="18" customHeight="1">
      <c r="CH718" s="116" t="str">
        <f>IFERROR(TOWER_DATA[[#This Row],[Top '[m']]]-TOWER_DATA[[#This Row],[Bottom '[m']]], "")</f>
        <v/>
      </c>
    </row>
    <row r="719" spans="86:86" ht="18" customHeight="1">
      <c r="CH719" s="116" t="str">
        <f>IFERROR(TOWER_DATA[[#This Row],[Top '[m']]]-TOWER_DATA[[#This Row],[Bottom '[m']]], "")</f>
        <v/>
      </c>
    </row>
    <row r="720" spans="86:86" ht="18" customHeight="1">
      <c r="CH720" s="116" t="str">
        <f>IFERROR(TOWER_DATA[[#This Row],[Top '[m']]]-TOWER_DATA[[#This Row],[Bottom '[m']]], "")</f>
        <v/>
      </c>
    </row>
    <row r="721" spans="86:86" ht="18" customHeight="1">
      <c r="CH721" s="116" t="str">
        <f>IFERROR(TOWER_DATA[[#This Row],[Top '[m']]]-TOWER_DATA[[#This Row],[Bottom '[m']]], "")</f>
        <v/>
      </c>
    </row>
    <row r="722" spans="86:86" ht="18" customHeight="1">
      <c r="CH722" s="116" t="str">
        <f>IFERROR(TOWER_DATA[[#This Row],[Top '[m']]]-TOWER_DATA[[#This Row],[Bottom '[m']]], "")</f>
        <v/>
      </c>
    </row>
    <row r="723" spans="86:86" ht="18" customHeight="1">
      <c r="CH723" s="116" t="str">
        <f>IFERROR(TOWER_DATA[[#This Row],[Top '[m']]]-TOWER_DATA[[#This Row],[Bottom '[m']]], "")</f>
        <v/>
      </c>
    </row>
    <row r="724" spans="86:86" ht="18" customHeight="1">
      <c r="CH724" s="116" t="str">
        <f>IFERROR(TOWER_DATA[[#This Row],[Top '[m']]]-TOWER_DATA[[#This Row],[Bottom '[m']]], "")</f>
        <v/>
      </c>
    </row>
    <row r="725" spans="86:86" ht="18" customHeight="1">
      <c r="CH725" s="116" t="str">
        <f>IFERROR(TOWER_DATA[[#This Row],[Top '[m']]]-TOWER_DATA[[#This Row],[Bottom '[m']]], "")</f>
        <v/>
      </c>
    </row>
    <row r="726" spans="86:86" ht="18" customHeight="1">
      <c r="CH726" s="116" t="str">
        <f>IFERROR(TOWER_DATA[[#This Row],[Top '[m']]]-TOWER_DATA[[#This Row],[Bottom '[m']]], "")</f>
        <v/>
      </c>
    </row>
    <row r="727" spans="86:86" ht="18" customHeight="1">
      <c r="CH727" s="116" t="str">
        <f>IFERROR(TOWER_DATA[[#This Row],[Top '[m']]]-TOWER_DATA[[#This Row],[Bottom '[m']]], "")</f>
        <v/>
      </c>
    </row>
    <row r="728" spans="86:86" ht="18" customHeight="1">
      <c r="CH728" s="116" t="str">
        <f>IFERROR(TOWER_DATA[[#This Row],[Top '[m']]]-TOWER_DATA[[#This Row],[Bottom '[m']]], "")</f>
        <v/>
      </c>
    </row>
    <row r="729" spans="86:86" ht="18" customHeight="1">
      <c r="CH729" s="116" t="str">
        <f>IFERROR(TOWER_DATA[[#This Row],[Top '[m']]]-TOWER_DATA[[#This Row],[Bottom '[m']]], "")</f>
        <v/>
      </c>
    </row>
    <row r="730" spans="86:86" ht="18" customHeight="1">
      <c r="CH730" s="116" t="str">
        <f>IFERROR(TOWER_DATA[[#This Row],[Top '[m']]]-TOWER_DATA[[#This Row],[Bottom '[m']]], "")</f>
        <v/>
      </c>
    </row>
    <row r="731" spans="86:86" ht="18" customHeight="1">
      <c r="CH731" s="116" t="str">
        <f>IFERROR(TOWER_DATA[[#This Row],[Top '[m']]]-TOWER_DATA[[#This Row],[Bottom '[m']]], "")</f>
        <v/>
      </c>
    </row>
    <row r="732" spans="86:86" ht="18" customHeight="1">
      <c r="CH732" s="116" t="str">
        <f>IFERROR(TOWER_DATA[[#This Row],[Top '[m']]]-TOWER_DATA[[#This Row],[Bottom '[m']]], "")</f>
        <v/>
      </c>
    </row>
    <row r="733" spans="86:86" ht="18" customHeight="1">
      <c r="CH733" s="116" t="str">
        <f>IFERROR(TOWER_DATA[[#This Row],[Top '[m']]]-TOWER_DATA[[#This Row],[Bottom '[m']]], "")</f>
        <v/>
      </c>
    </row>
    <row r="734" spans="86:86" ht="18" customHeight="1">
      <c r="CH734" s="116" t="str">
        <f>IFERROR(TOWER_DATA[[#This Row],[Top '[m']]]-TOWER_DATA[[#This Row],[Bottom '[m']]], "")</f>
        <v/>
      </c>
    </row>
    <row r="735" spans="86:86" ht="18" customHeight="1">
      <c r="CH735" s="116" t="str">
        <f>IFERROR(TOWER_DATA[[#This Row],[Top '[m']]]-TOWER_DATA[[#This Row],[Bottom '[m']]], "")</f>
        <v/>
      </c>
    </row>
    <row r="736" spans="86:86" ht="18" customHeight="1">
      <c r="CH736" s="116" t="str">
        <f>IFERROR(TOWER_DATA[[#This Row],[Top '[m']]]-TOWER_DATA[[#This Row],[Bottom '[m']]], "")</f>
        <v/>
      </c>
    </row>
    <row r="737" spans="86:86" ht="18" customHeight="1">
      <c r="CH737" s="116" t="str">
        <f>IFERROR(TOWER_DATA[[#This Row],[Top '[m']]]-TOWER_DATA[[#This Row],[Bottom '[m']]], "")</f>
        <v/>
      </c>
    </row>
    <row r="738" spans="86:86" ht="18" customHeight="1">
      <c r="CH738" s="116" t="str">
        <f>IFERROR(TOWER_DATA[[#This Row],[Top '[m']]]-TOWER_DATA[[#This Row],[Bottom '[m']]], "")</f>
        <v/>
      </c>
    </row>
    <row r="739" spans="86:86" ht="18" customHeight="1">
      <c r="CH739" s="116" t="str">
        <f>IFERROR(TOWER_DATA[[#This Row],[Top '[m']]]-TOWER_DATA[[#This Row],[Bottom '[m']]], "")</f>
        <v/>
      </c>
    </row>
    <row r="740" spans="86:86" ht="18" customHeight="1">
      <c r="CH740" s="116" t="str">
        <f>IFERROR(TOWER_DATA[[#This Row],[Top '[m']]]-TOWER_DATA[[#This Row],[Bottom '[m']]], "")</f>
        <v/>
      </c>
    </row>
    <row r="741" spans="86:86" ht="18" customHeight="1">
      <c r="CH741" s="116" t="str">
        <f>IFERROR(TOWER_DATA[[#This Row],[Top '[m']]]-TOWER_DATA[[#This Row],[Bottom '[m']]], "")</f>
        <v/>
      </c>
    </row>
    <row r="742" spans="86:86" ht="18" customHeight="1">
      <c r="CH742" s="116" t="str">
        <f>IFERROR(TOWER_DATA[[#This Row],[Top '[m']]]-TOWER_DATA[[#This Row],[Bottom '[m']]], "")</f>
        <v/>
      </c>
    </row>
    <row r="743" spans="86:86" ht="18" customHeight="1">
      <c r="CH743" s="116" t="str">
        <f>IFERROR(TOWER_DATA[[#This Row],[Top '[m']]]-TOWER_DATA[[#This Row],[Bottom '[m']]], "")</f>
        <v/>
      </c>
    </row>
    <row r="744" spans="86:86" ht="18" customHeight="1">
      <c r="CH744" s="116" t="str">
        <f>IFERROR(TOWER_DATA[[#This Row],[Top '[m']]]-TOWER_DATA[[#This Row],[Bottom '[m']]], "")</f>
        <v/>
      </c>
    </row>
    <row r="745" spans="86:86" ht="18" customHeight="1">
      <c r="CH745" s="116" t="str">
        <f>IFERROR(TOWER_DATA[[#This Row],[Top '[m']]]-TOWER_DATA[[#This Row],[Bottom '[m']]], "")</f>
        <v/>
      </c>
    </row>
    <row r="746" spans="86:86" ht="18" customHeight="1">
      <c r="CH746" s="116" t="str">
        <f>IFERROR(TOWER_DATA[[#This Row],[Top '[m']]]-TOWER_DATA[[#This Row],[Bottom '[m']]], "")</f>
        <v/>
      </c>
    </row>
    <row r="747" spans="86:86" ht="18" customHeight="1">
      <c r="CH747" s="116" t="str">
        <f>IFERROR(TOWER_DATA[[#This Row],[Top '[m']]]-TOWER_DATA[[#This Row],[Bottom '[m']]], "")</f>
        <v/>
      </c>
    </row>
    <row r="748" spans="86:86" ht="18" customHeight="1">
      <c r="CH748" s="116" t="str">
        <f>IFERROR(TOWER_DATA[[#This Row],[Top '[m']]]-TOWER_DATA[[#This Row],[Bottom '[m']]], "")</f>
        <v/>
      </c>
    </row>
    <row r="749" spans="86:86" ht="18" customHeight="1">
      <c r="CH749" s="116" t="str">
        <f>IFERROR(TOWER_DATA[[#This Row],[Top '[m']]]-TOWER_DATA[[#This Row],[Bottom '[m']]], "")</f>
        <v/>
      </c>
    </row>
    <row r="750" spans="86:86" ht="18" customHeight="1">
      <c r="CH750" s="116" t="str">
        <f>IFERROR(TOWER_DATA[[#This Row],[Top '[m']]]-TOWER_DATA[[#This Row],[Bottom '[m']]], "")</f>
        <v/>
      </c>
    </row>
    <row r="751" spans="86:86" ht="18" customHeight="1">
      <c r="CH751" s="116" t="str">
        <f>IFERROR(TOWER_DATA[[#This Row],[Top '[m']]]-TOWER_DATA[[#This Row],[Bottom '[m']]], "")</f>
        <v/>
      </c>
    </row>
    <row r="752" spans="86:86" ht="18" customHeight="1">
      <c r="CH752" s="116" t="str">
        <f>IFERROR(TOWER_DATA[[#This Row],[Top '[m']]]-TOWER_DATA[[#This Row],[Bottom '[m']]], "")</f>
        <v/>
      </c>
    </row>
    <row r="753" spans="86:86" ht="18" customHeight="1">
      <c r="CH753" s="116" t="str">
        <f>IFERROR(TOWER_DATA[[#This Row],[Top '[m']]]-TOWER_DATA[[#This Row],[Bottom '[m']]], "")</f>
        <v/>
      </c>
    </row>
    <row r="754" spans="86:86" ht="18" customHeight="1">
      <c r="CH754" s="116" t="str">
        <f>IFERROR(TOWER_DATA[[#This Row],[Top '[m']]]-TOWER_DATA[[#This Row],[Bottom '[m']]], "")</f>
        <v/>
      </c>
    </row>
    <row r="755" spans="86:86" ht="18" customHeight="1">
      <c r="CH755" s="116" t="str">
        <f>IFERROR(TOWER_DATA[[#This Row],[Top '[m']]]-TOWER_DATA[[#This Row],[Bottom '[m']]], "")</f>
        <v/>
      </c>
    </row>
    <row r="756" spans="86:86" ht="18" customHeight="1">
      <c r="CH756" s="116" t="str">
        <f>IFERROR(TOWER_DATA[[#This Row],[Top '[m']]]-TOWER_DATA[[#This Row],[Bottom '[m']]], "")</f>
        <v/>
      </c>
    </row>
    <row r="757" spans="86:86" ht="18" customHeight="1">
      <c r="CH757" s="116" t="str">
        <f>IFERROR(TOWER_DATA[[#This Row],[Top '[m']]]-TOWER_DATA[[#This Row],[Bottom '[m']]], "")</f>
        <v/>
      </c>
    </row>
    <row r="758" spans="86:86" ht="18" customHeight="1">
      <c r="CH758" s="116" t="str">
        <f>IFERROR(TOWER_DATA[[#This Row],[Top '[m']]]-TOWER_DATA[[#This Row],[Bottom '[m']]], "")</f>
        <v/>
      </c>
    </row>
    <row r="759" spans="86:86" ht="18" customHeight="1">
      <c r="CH759" s="116" t="str">
        <f>IFERROR(TOWER_DATA[[#This Row],[Top '[m']]]-TOWER_DATA[[#This Row],[Bottom '[m']]], "")</f>
        <v/>
      </c>
    </row>
    <row r="760" spans="86:86" ht="18" customHeight="1">
      <c r="CH760" s="116" t="str">
        <f>IFERROR(TOWER_DATA[[#This Row],[Top '[m']]]-TOWER_DATA[[#This Row],[Bottom '[m']]], "")</f>
        <v/>
      </c>
    </row>
    <row r="761" spans="86:86" ht="18" customHeight="1">
      <c r="CH761" s="116" t="str">
        <f>IFERROR(TOWER_DATA[[#This Row],[Top '[m']]]-TOWER_DATA[[#This Row],[Bottom '[m']]], "")</f>
        <v/>
      </c>
    </row>
    <row r="762" spans="86:86" ht="18" customHeight="1">
      <c r="CH762" s="116" t="str">
        <f>IFERROR(TOWER_DATA[[#This Row],[Top '[m']]]-TOWER_DATA[[#This Row],[Bottom '[m']]], "")</f>
        <v/>
      </c>
    </row>
    <row r="763" spans="86:86" ht="18" customHeight="1">
      <c r="CH763" s="116" t="str">
        <f>IFERROR(TOWER_DATA[[#This Row],[Top '[m']]]-TOWER_DATA[[#This Row],[Bottom '[m']]], "")</f>
        <v/>
      </c>
    </row>
    <row r="764" spans="86:86" ht="18" customHeight="1">
      <c r="CH764" s="116" t="str">
        <f>IFERROR(TOWER_DATA[[#This Row],[Top '[m']]]-TOWER_DATA[[#This Row],[Bottom '[m']]], "")</f>
        <v/>
      </c>
    </row>
    <row r="765" spans="86:86" ht="18" customHeight="1">
      <c r="CH765" s="116" t="str">
        <f>IFERROR(TOWER_DATA[[#This Row],[Top '[m']]]-TOWER_DATA[[#This Row],[Bottom '[m']]], "")</f>
        <v/>
      </c>
    </row>
    <row r="766" spans="86:86" ht="18" customHeight="1">
      <c r="CH766" s="116" t="str">
        <f>IFERROR(TOWER_DATA[[#This Row],[Top '[m']]]-TOWER_DATA[[#This Row],[Bottom '[m']]], "")</f>
        <v/>
      </c>
    </row>
    <row r="767" spans="86:86" ht="18" customHeight="1">
      <c r="CH767" s="116" t="str">
        <f>IFERROR(TOWER_DATA[[#This Row],[Top '[m']]]-TOWER_DATA[[#This Row],[Bottom '[m']]], "")</f>
        <v/>
      </c>
    </row>
    <row r="768" spans="86:86" ht="18" customHeight="1">
      <c r="CH768" s="116" t="str">
        <f>IFERROR(TOWER_DATA[[#This Row],[Top '[m']]]-TOWER_DATA[[#This Row],[Bottom '[m']]], "")</f>
        <v/>
      </c>
    </row>
    <row r="769" spans="86:86" ht="18" customHeight="1">
      <c r="CH769" s="116" t="str">
        <f>IFERROR(TOWER_DATA[[#This Row],[Top '[m']]]-TOWER_DATA[[#This Row],[Bottom '[m']]], "")</f>
        <v/>
      </c>
    </row>
    <row r="770" spans="86:86" ht="18" customHeight="1">
      <c r="CH770" s="116" t="str">
        <f>IFERROR(TOWER_DATA[[#This Row],[Top '[m']]]-TOWER_DATA[[#This Row],[Bottom '[m']]], "")</f>
        <v/>
      </c>
    </row>
    <row r="771" spans="86:86" ht="18" customHeight="1">
      <c r="CH771" s="116" t="str">
        <f>IFERROR(TOWER_DATA[[#This Row],[Top '[m']]]-TOWER_DATA[[#This Row],[Bottom '[m']]], "")</f>
        <v/>
      </c>
    </row>
    <row r="772" spans="86:86" ht="18" customHeight="1">
      <c r="CH772" s="116" t="str">
        <f>IFERROR(TOWER_DATA[[#This Row],[Top '[m']]]-TOWER_DATA[[#This Row],[Bottom '[m']]], "")</f>
        <v/>
      </c>
    </row>
    <row r="773" spans="86:86" ht="18" customHeight="1">
      <c r="CH773" s="116" t="str">
        <f>IFERROR(TOWER_DATA[[#This Row],[Top '[m']]]-TOWER_DATA[[#This Row],[Bottom '[m']]], "")</f>
        <v/>
      </c>
    </row>
    <row r="774" spans="86:86" ht="18" customHeight="1">
      <c r="CH774" s="116" t="str">
        <f>IFERROR(TOWER_DATA[[#This Row],[Top '[m']]]-TOWER_DATA[[#This Row],[Bottom '[m']]], "")</f>
        <v/>
      </c>
    </row>
    <row r="775" spans="86:86" ht="18" customHeight="1">
      <c r="CH775" s="116" t="str">
        <f>IFERROR(TOWER_DATA[[#This Row],[Top '[m']]]-TOWER_DATA[[#This Row],[Bottom '[m']]], "")</f>
        <v/>
      </c>
    </row>
    <row r="776" spans="86:86" ht="18" customHeight="1">
      <c r="CH776" s="116" t="str">
        <f>IFERROR(TOWER_DATA[[#This Row],[Top '[m']]]-TOWER_DATA[[#This Row],[Bottom '[m']]], "")</f>
        <v/>
      </c>
    </row>
    <row r="777" spans="86:86" ht="18" customHeight="1">
      <c r="CH777" s="116" t="str">
        <f>IFERROR(TOWER_DATA[[#This Row],[Top '[m']]]-TOWER_DATA[[#This Row],[Bottom '[m']]], "")</f>
        <v/>
      </c>
    </row>
    <row r="778" spans="86:86" ht="18" customHeight="1">
      <c r="CH778" s="116" t="str">
        <f>IFERROR(TOWER_DATA[[#This Row],[Top '[m']]]-TOWER_DATA[[#This Row],[Bottom '[m']]], "")</f>
        <v/>
      </c>
    </row>
    <row r="779" spans="86:86" ht="18" customHeight="1">
      <c r="CH779" s="116" t="str">
        <f>IFERROR(TOWER_DATA[[#This Row],[Top '[m']]]-TOWER_DATA[[#This Row],[Bottom '[m']]], "")</f>
        <v/>
      </c>
    </row>
    <row r="780" spans="86:86" ht="18" customHeight="1">
      <c r="CH780" s="116" t="str">
        <f>IFERROR(TOWER_DATA[[#This Row],[Top '[m']]]-TOWER_DATA[[#This Row],[Bottom '[m']]], "")</f>
        <v/>
      </c>
    </row>
    <row r="781" spans="86:86" ht="18" customHeight="1">
      <c r="CH781" s="116" t="str">
        <f>IFERROR(TOWER_DATA[[#This Row],[Top '[m']]]-TOWER_DATA[[#This Row],[Bottom '[m']]], "")</f>
        <v/>
      </c>
    </row>
    <row r="782" spans="86:86" ht="18" customHeight="1">
      <c r="CH782" s="116" t="str">
        <f>IFERROR(TOWER_DATA[[#This Row],[Top '[m']]]-TOWER_DATA[[#This Row],[Bottom '[m']]], "")</f>
        <v/>
      </c>
    </row>
    <row r="783" spans="86:86" ht="18" customHeight="1">
      <c r="CH783" s="116" t="str">
        <f>IFERROR(TOWER_DATA[[#This Row],[Top '[m']]]-TOWER_DATA[[#This Row],[Bottom '[m']]], "")</f>
        <v/>
      </c>
    </row>
    <row r="784" spans="86:86" ht="18" customHeight="1">
      <c r="CH784" s="116" t="str">
        <f>IFERROR(TOWER_DATA[[#This Row],[Top '[m']]]-TOWER_DATA[[#This Row],[Bottom '[m']]], "")</f>
        <v/>
      </c>
    </row>
    <row r="785" spans="86:86" ht="18" customHeight="1">
      <c r="CH785" s="116" t="str">
        <f>IFERROR(TOWER_DATA[[#This Row],[Top '[m']]]-TOWER_DATA[[#This Row],[Bottom '[m']]], "")</f>
        <v/>
      </c>
    </row>
    <row r="786" spans="86:86" ht="18" customHeight="1">
      <c r="CH786" s="116" t="str">
        <f>IFERROR(TOWER_DATA[[#This Row],[Top '[m']]]-TOWER_DATA[[#This Row],[Bottom '[m']]], "")</f>
        <v/>
      </c>
    </row>
    <row r="787" spans="86:86" ht="18" customHeight="1">
      <c r="CH787" s="116" t="str">
        <f>IFERROR(TOWER_DATA[[#This Row],[Top '[m']]]-TOWER_DATA[[#This Row],[Bottom '[m']]], "")</f>
        <v/>
      </c>
    </row>
    <row r="788" spans="86:86" ht="18" customHeight="1">
      <c r="CH788" s="116" t="str">
        <f>IFERROR(TOWER_DATA[[#This Row],[Top '[m']]]-TOWER_DATA[[#This Row],[Bottom '[m']]], "")</f>
        <v/>
      </c>
    </row>
    <row r="789" spans="86:86" ht="18" customHeight="1">
      <c r="CH789" s="116" t="str">
        <f>IFERROR(TOWER_DATA[[#This Row],[Top '[m']]]-TOWER_DATA[[#This Row],[Bottom '[m']]], "")</f>
        <v/>
      </c>
    </row>
    <row r="790" spans="86:86" ht="18" customHeight="1">
      <c r="CH790" s="116" t="str">
        <f>IFERROR(TOWER_DATA[[#This Row],[Top '[m']]]-TOWER_DATA[[#This Row],[Bottom '[m']]], "")</f>
        <v/>
      </c>
    </row>
    <row r="791" spans="86:86" ht="18" customHeight="1">
      <c r="CH791" s="116" t="str">
        <f>IFERROR(TOWER_DATA[[#This Row],[Top '[m']]]-TOWER_DATA[[#This Row],[Bottom '[m']]], "")</f>
        <v/>
      </c>
    </row>
    <row r="792" spans="86:86" ht="18" customHeight="1">
      <c r="CH792" s="116" t="str">
        <f>IFERROR(TOWER_DATA[[#This Row],[Top '[m']]]-TOWER_DATA[[#This Row],[Bottom '[m']]], "")</f>
        <v/>
      </c>
    </row>
    <row r="793" spans="86:86" ht="18" customHeight="1">
      <c r="CH793" s="116" t="str">
        <f>IFERROR(TOWER_DATA[[#This Row],[Top '[m']]]-TOWER_DATA[[#This Row],[Bottom '[m']]], "")</f>
        <v/>
      </c>
    </row>
    <row r="794" spans="86:86" ht="18" customHeight="1">
      <c r="CH794" s="116" t="str">
        <f>IFERROR(TOWER_DATA[[#This Row],[Top '[m']]]-TOWER_DATA[[#This Row],[Bottom '[m']]], "")</f>
        <v/>
      </c>
    </row>
    <row r="795" spans="86:86" ht="18" customHeight="1">
      <c r="CH795" s="116" t="str">
        <f>IFERROR(TOWER_DATA[[#This Row],[Top '[m']]]-TOWER_DATA[[#This Row],[Bottom '[m']]], "")</f>
        <v/>
      </c>
    </row>
    <row r="796" spans="86:86" ht="18" customHeight="1">
      <c r="CH796" s="116" t="str">
        <f>IFERROR(TOWER_DATA[[#This Row],[Top '[m']]]-TOWER_DATA[[#This Row],[Bottom '[m']]], "")</f>
        <v/>
      </c>
    </row>
    <row r="797" spans="86:86" ht="18" customHeight="1">
      <c r="CH797" s="116" t="str">
        <f>IFERROR(TOWER_DATA[[#This Row],[Top '[m']]]-TOWER_DATA[[#This Row],[Bottom '[m']]], "")</f>
        <v/>
      </c>
    </row>
    <row r="798" spans="86:86" ht="18" customHeight="1">
      <c r="CH798" s="116" t="str">
        <f>IFERROR(TOWER_DATA[[#This Row],[Top '[m']]]-TOWER_DATA[[#This Row],[Bottom '[m']]], "")</f>
        <v/>
      </c>
    </row>
    <row r="799" spans="86:86" ht="18" customHeight="1">
      <c r="CH799" s="116" t="str">
        <f>IFERROR(TOWER_DATA[[#This Row],[Top '[m']]]-TOWER_DATA[[#This Row],[Bottom '[m']]], "")</f>
        <v/>
      </c>
    </row>
    <row r="800" spans="86:86" ht="18" customHeight="1">
      <c r="CH800" s="116" t="str">
        <f>IFERROR(TOWER_DATA[[#This Row],[Top '[m']]]-TOWER_DATA[[#This Row],[Bottom '[m']]], "")</f>
        <v/>
      </c>
    </row>
    <row r="801" spans="86:86" ht="18" customHeight="1">
      <c r="CH801" s="116" t="str">
        <f>IFERROR(TOWER_DATA[[#This Row],[Top '[m']]]-TOWER_DATA[[#This Row],[Bottom '[m']]], "")</f>
        <v/>
      </c>
    </row>
    <row r="802" spans="86:86" ht="18" customHeight="1">
      <c r="CH802" s="116" t="str">
        <f>IFERROR(TOWER_DATA[[#This Row],[Top '[m']]]-TOWER_DATA[[#This Row],[Bottom '[m']]], "")</f>
        <v/>
      </c>
    </row>
    <row r="803" spans="86:86" ht="18" customHeight="1">
      <c r="CH803" s="116" t="str">
        <f>IFERROR(TOWER_DATA[[#This Row],[Top '[m']]]-TOWER_DATA[[#This Row],[Bottom '[m']]], "")</f>
        <v/>
      </c>
    </row>
    <row r="804" spans="86:86" ht="18" customHeight="1">
      <c r="CH804" s="116" t="str">
        <f>IFERROR(TOWER_DATA[[#This Row],[Top '[m']]]-TOWER_DATA[[#This Row],[Bottom '[m']]], "")</f>
        <v/>
      </c>
    </row>
    <row r="805" spans="86:86" ht="18" customHeight="1">
      <c r="CH805" s="116" t="str">
        <f>IFERROR(TOWER_DATA[[#This Row],[Top '[m']]]-TOWER_DATA[[#This Row],[Bottom '[m']]], "")</f>
        <v/>
      </c>
    </row>
    <row r="806" spans="86:86" ht="18" customHeight="1">
      <c r="CH806" s="116" t="str">
        <f>IFERROR(TOWER_DATA[[#This Row],[Top '[m']]]-TOWER_DATA[[#This Row],[Bottom '[m']]], "")</f>
        <v/>
      </c>
    </row>
    <row r="807" spans="86:86" ht="18" customHeight="1">
      <c r="CH807" s="116" t="str">
        <f>IFERROR(TOWER_DATA[[#This Row],[Top '[m']]]-TOWER_DATA[[#This Row],[Bottom '[m']]], "")</f>
        <v/>
      </c>
    </row>
    <row r="808" spans="86:86" ht="18" customHeight="1">
      <c r="CH808" s="116" t="str">
        <f>IFERROR(TOWER_DATA[[#This Row],[Top '[m']]]-TOWER_DATA[[#This Row],[Bottom '[m']]], "")</f>
        <v/>
      </c>
    </row>
    <row r="809" spans="86:86" ht="18" customHeight="1">
      <c r="CH809" s="116" t="str">
        <f>IFERROR(TOWER_DATA[[#This Row],[Top '[m']]]-TOWER_DATA[[#This Row],[Bottom '[m']]], "")</f>
        <v/>
      </c>
    </row>
    <row r="810" spans="86:86" ht="18" customHeight="1">
      <c r="CH810" s="116" t="str">
        <f>IFERROR(TOWER_DATA[[#This Row],[Top '[m']]]-TOWER_DATA[[#This Row],[Bottom '[m']]], "")</f>
        <v/>
      </c>
    </row>
    <row r="811" spans="86:86" ht="18" customHeight="1">
      <c r="CH811" s="116" t="str">
        <f>IFERROR(TOWER_DATA[[#This Row],[Top '[m']]]-TOWER_DATA[[#This Row],[Bottom '[m']]], "")</f>
        <v/>
      </c>
    </row>
    <row r="812" spans="86:86" ht="18" customHeight="1">
      <c r="CH812" s="116" t="str">
        <f>IFERROR(TOWER_DATA[[#This Row],[Top '[m']]]-TOWER_DATA[[#This Row],[Bottom '[m']]], "")</f>
        <v/>
      </c>
    </row>
    <row r="813" spans="86:86" ht="18" customHeight="1">
      <c r="CH813" s="116" t="str">
        <f>IFERROR(TOWER_DATA[[#This Row],[Top '[m']]]-TOWER_DATA[[#This Row],[Bottom '[m']]], "")</f>
        <v/>
      </c>
    </row>
    <row r="814" spans="86:86" ht="18" customHeight="1">
      <c r="CH814" s="116" t="str">
        <f>IFERROR(TOWER_DATA[[#This Row],[Top '[m']]]-TOWER_DATA[[#This Row],[Bottom '[m']]], "")</f>
        <v/>
      </c>
    </row>
    <row r="815" spans="86:86" ht="18" customHeight="1">
      <c r="CH815" s="116" t="str">
        <f>IFERROR(TOWER_DATA[[#This Row],[Top '[m']]]-TOWER_DATA[[#This Row],[Bottom '[m']]], "")</f>
        <v/>
      </c>
    </row>
    <row r="816" spans="86:86" ht="18" customHeight="1">
      <c r="CH816" s="116" t="str">
        <f>IFERROR(TOWER_DATA[[#This Row],[Top '[m']]]-TOWER_DATA[[#This Row],[Bottom '[m']]], "")</f>
        <v/>
      </c>
    </row>
    <row r="817" spans="86:86" ht="18" customHeight="1">
      <c r="CH817" s="116" t="str">
        <f>IFERROR(TOWER_DATA[[#This Row],[Top '[m']]]-TOWER_DATA[[#This Row],[Bottom '[m']]], "")</f>
        <v/>
      </c>
    </row>
    <row r="818" spans="86:86" ht="18" customHeight="1">
      <c r="CH818" s="116" t="str">
        <f>IFERROR(TOWER_DATA[[#This Row],[Top '[m']]]-TOWER_DATA[[#This Row],[Bottom '[m']]], "")</f>
        <v/>
      </c>
    </row>
    <row r="819" spans="86:86" ht="18" customHeight="1">
      <c r="CH819" s="116" t="str">
        <f>IFERROR(TOWER_DATA[[#This Row],[Top '[m']]]-TOWER_DATA[[#This Row],[Bottom '[m']]], "")</f>
        <v/>
      </c>
    </row>
    <row r="820" spans="86:86" ht="18" customHeight="1">
      <c r="CH820" s="116" t="str">
        <f>IFERROR(TOWER_DATA[[#This Row],[Top '[m']]]-TOWER_DATA[[#This Row],[Bottom '[m']]], "")</f>
        <v/>
      </c>
    </row>
    <row r="821" spans="86:86" ht="18" customHeight="1">
      <c r="CH821" s="116" t="str">
        <f>IFERROR(TOWER_DATA[[#This Row],[Top '[m']]]-TOWER_DATA[[#This Row],[Bottom '[m']]], "")</f>
        <v/>
      </c>
    </row>
    <row r="822" spans="86:86" ht="18" customHeight="1">
      <c r="CH822" s="116" t="str">
        <f>IFERROR(TOWER_DATA[[#This Row],[Top '[m']]]-TOWER_DATA[[#This Row],[Bottom '[m']]], "")</f>
        <v/>
      </c>
    </row>
    <row r="823" spans="86:86" ht="18" customHeight="1">
      <c r="CH823" s="116" t="str">
        <f>IFERROR(TOWER_DATA[[#This Row],[Top '[m']]]-TOWER_DATA[[#This Row],[Bottom '[m']]], "")</f>
        <v/>
      </c>
    </row>
    <row r="824" spans="86:86" ht="18" customHeight="1">
      <c r="CH824" s="116" t="str">
        <f>IFERROR(TOWER_DATA[[#This Row],[Top '[m']]]-TOWER_DATA[[#This Row],[Bottom '[m']]], "")</f>
        <v/>
      </c>
    </row>
    <row r="825" spans="86:86" ht="18" customHeight="1">
      <c r="CH825" s="116" t="str">
        <f>IFERROR(TOWER_DATA[[#This Row],[Top '[m']]]-TOWER_DATA[[#This Row],[Bottom '[m']]], "")</f>
        <v/>
      </c>
    </row>
    <row r="826" spans="86:86" ht="18" customHeight="1">
      <c r="CH826" s="116" t="str">
        <f>IFERROR(TOWER_DATA[[#This Row],[Top '[m']]]-TOWER_DATA[[#This Row],[Bottom '[m']]], "")</f>
        <v/>
      </c>
    </row>
    <row r="827" spans="86:86" ht="18" customHeight="1">
      <c r="CH827" s="116" t="str">
        <f>IFERROR(TOWER_DATA[[#This Row],[Top '[m']]]-TOWER_DATA[[#This Row],[Bottom '[m']]], "")</f>
        <v/>
      </c>
    </row>
    <row r="828" spans="86:86" ht="18" customHeight="1">
      <c r="CH828" s="116" t="str">
        <f>IFERROR(TOWER_DATA[[#This Row],[Top '[m']]]-TOWER_DATA[[#This Row],[Bottom '[m']]], "")</f>
        <v/>
      </c>
    </row>
    <row r="829" spans="86:86" ht="18" customHeight="1">
      <c r="CH829" s="116" t="str">
        <f>IFERROR(TOWER_DATA[[#This Row],[Top '[m']]]-TOWER_DATA[[#This Row],[Bottom '[m']]], "")</f>
        <v/>
      </c>
    </row>
    <row r="830" spans="86:86" ht="18" customHeight="1">
      <c r="CH830" s="116" t="str">
        <f>IFERROR(TOWER_DATA[[#This Row],[Top '[m']]]-TOWER_DATA[[#This Row],[Bottom '[m']]], "")</f>
        <v/>
      </c>
    </row>
    <row r="831" spans="86:86" ht="18" customHeight="1">
      <c r="CH831" s="116" t="str">
        <f>IFERROR(TOWER_DATA[[#This Row],[Top '[m']]]-TOWER_DATA[[#This Row],[Bottom '[m']]], "")</f>
        <v/>
      </c>
    </row>
    <row r="832" spans="86:86" ht="18" customHeight="1">
      <c r="CH832" s="116" t="str">
        <f>IFERROR(TOWER_DATA[[#This Row],[Top '[m']]]-TOWER_DATA[[#This Row],[Bottom '[m']]], "")</f>
        <v/>
      </c>
    </row>
    <row r="833" spans="86:86" ht="18" customHeight="1">
      <c r="CH833" s="116" t="str">
        <f>IFERROR(TOWER_DATA[[#This Row],[Top '[m']]]-TOWER_DATA[[#This Row],[Bottom '[m']]], "")</f>
        <v/>
      </c>
    </row>
    <row r="834" spans="86:86" ht="18" customHeight="1">
      <c r="CH834" s="116" t="str">
        <f>IFERROR(TOWER_DATA[[#This Row],[Top '[m']]]-TOWER_DATA[[#This Row],[Bottom '[m']]], "")</f>
        <v/>
      </c>
    </row>
    <row r="835" spans="86:86" ht="18" customHeight="1">
      <c r="CH835" s="116" t="str">
        <f>IFERROR(TOWER_DATA[[#This Row],[Top '[m']]]-TOWER_DATA[[#This Row],[Bottom '[m']]], "")</f>
        <v/>
      </c>
    </row>
    <row r="836" spans="86:86" ht="18" customHeight="1">
      <c r="CH836" s="116" t="str">
        <f>IFERROR(TOWER_DATA[[#This Row],[Top '[m']]]-TOWER_DATA[[#This Row],[Bottom '[m']]], "")</f>
        <v/>
      </c>
    </row>
    <row r="837" spans="86:86" ht="18" customHeight="1">
      <c r="CH837" s="116" t="str">
        <f>IFERROR(TOWER_DATA[[#This Row],[Top '[m']]]-TOWER_DATA[[#This Row],[Bottom '[m']]], "")</f>
        <v/>
      </c>
    </row>
    <row r="838" spans="86:86" ht="18" customHeight="1">
      <c r="CH838" s="116" t="str">
        <f>IFERROR(TOWER_DATA[[#This Row],[Top '[m']]]-TOWER_DATA[[#This Row],[Bottom '[m']]], "")</f>
        <v/>
      </c>
    </row>
    <row r="839" spans="86:86" ht="18" customHeight="1">
      <c r="CH839" s="116" t="str">
        <f>IFERROR(TOWER_DATA[[#This Row],[Top '[m']]]-TOWER_DATA[[#This Row],[Bottom '[m']]], "")</f>
        <v/>
      </c>
    </row>
    <row r="840" spans="86:86" ht="18" customHeight="1">
      <c r="CH840" s="116" t="str">
        <f>IFERROR(TOWER_DATA[[#This Row],[Top '[m']]]-TOWER_DATA[[#This Row],[Bottom '[m']]], "")</f>
        <v/>
      </c>
    </row>
    <row r="841" spans="86:86" ht="18" customHeight="1">
      <c r="CH841" s="116" t="str">
        <f>IFERROR(TOWER_DATA[[#This Row],[Top '[m']]]-TOWER_DATA[[#This Row],[Bottom '[m']]], "")</f>
        <v/>
      </c>
    </row>
    <row r="842" spans="86:86" ht="18" customHeight="1">
      <c r="CH842" s="116" t="str">
        <f>IFERROR(TOWER_DATA[[#This Row],[Top '[m']]]-TOWER_DATA[[#This Row],[Bottom '[m']]], "")</f>
        <v/>
      </c>
    </row>
    <row r="843" spans="86:86" ht="18" customHeight="1">
      <c r="CH843" s="116" t="str">
        <f>IFERROR(TOWER_DATA[[#This Row],[Top '[m']]]-TOWER_DATA[[#This Row],[Bottom '[m']]], "")</f>
        <v/>
      </c>
    </row>
    <row r="844" spans="86:86" ht="18" customHeight="1">
      <c r="CH844" s="116" t="str">
        <f>IFERROR(TOWER_DATA[[#This Row],[Top '[m']]]-TOWER_DATA[[#This Row],[Bottom '[m']]], "")</f>
        <v/>
      </c>
    </row>
    <row r="845" spans="86:86" ht="18" customHeight="1">
      <c r="CH845" s="116" t="str">
        <f>IFERROR(TOWER_DATA[[#This Row],[Top '[m']]]-TOWER_DATA[[#This Row],[Bottom '[m']]], "")</f>
        <v/>
      </c>
    </row>
    <row r="846" spans="86:86" ht="18" customHeight="1">
      <c r="CH846" s="116" t="str">
        <f>IFERROR(TOWER_DATA[[#This Row],[Top '[m']]]-TOWER_DATA[[#This Row],[Bottom '[m']]], "")</f>
        <v/>
      </c>
    </row>
    <row r="847" spans="86:86" ht="18" customHeight="1">
      <c r="CH847" s="116" t="str">
        <f>IFERROR(TOWER_DATA[[#This Row],[Top '[m']]]-TOWER_DATA[[#This Row],[Bottom '[m']]], "")</f>
        <v/>
      </c>
    </row>
    <row r="848" spans="86:86" ht="18" customHeight="1">
      <c r="CH848" s="116" t="str">
        <f>IFERROR(TOWER_DATA[[#This Row],[Top '[m']]]-TOWER_DATA[[#This Row],[Bottom '[m']]], "")</f>
        <v/>
      </c>
    </row>
    <row r="849" spans="86:86" ht="18" customHeight="1">
      <c r="CH849" s="116" t="str">
        <f>IFERROR(TOWER_DATA[[#This Row],[Top '[m']]]-TOWER_DATA[[#This Row],[Bottom '[m']]], "")</f>
        <v/>
      </c>
    </row>
    <row r="850" spans="86:86" ht="18" customHeight="1">
      <c r="CH850" s="116" t="str">
        <f>IFERROR(TOWER_DATA[[#This Row],[Top '[m']]]-TOWER_DATA[[#This Row],[Bottom '[m']]], "")</f>
        <v/>
      </c>
    </row>
    <row r="851" spans="86:86" ht="18" customHeight="1">
      <c r="CH851" s="116" t="str">
        <f>IFERROR(TOWER_DATA[[#This Row],[Top '[m']]]-TOWER_DATA[[#This Row],[Bottom '[m']]], "")</f>
        <v/>
      </c>
    </row>
    <row r="852" spans="86:86" ht="18" customHeight="1">
      <c r="CH852" s="116" t="str">
        <f>IFERROR(TOWER_DATA[[#This Row],[Top '[m']]]-TOWER_DATA[[#This Row],[Bottom '[m']]], "")</f>
        <v/>
      </c>
    </row>
    <row r="853" spans="86:86" ht="18" customHeight="1">
      <c r="CH853" s="116" t="str">
        <f>IFERROR(TOWER_DATA[[#This Row],[Top '[m']]]-TOWER_DATA[[#This Row],[Bottom '[m']]], "")</f>
        <v/>
      </c>
    </row>
    <row r="854" spans="86:86" ht="18" customHeight="1">
      <c r="CH854" s="116" t="str">
        <f>IFERROR(TOWER_DATA[[#This Row],[Top '[m']]]-TOWER_DATA[[#This Row],[Bottom '[m']]], "")</f>
        <v/>
      </c>
    </row>
    <row r="855" spans="86:86" ht="18" customHeight="1">
      <c r="CH855" s="116" t="str">
        <f>IFERROR(TOWER_DATA[[#This Row],[Top '[m']]]-TOWER_DATA[[#This Row],[Bottom '[m']]], "")</f>
        <v/>
      </c>
    </row>
    <row r="856" spans="86:86" ht="18" customHeight="1">
      <c r="CH856" s="116" t="str">
        <f>IFERROR(TOWER_DATA[[#This Row],[Top '[m']]]-TOWER_DATA[[#This Row],[Bottom '[m']]], "")</f>
        <v/>
      </c>
    </row>
    <row r="857" spans="86:86" ht="18" customHeight="1">
      <c r="CH857" s="116" t="str">
        <f>IFERROR(TOWER_DATA[[#This Row],[Top '[m']]]-TOWER_DATA[[#This Row],[Bottom '[m']]], "")</f>
        <v/>
      </c>
    </row>
    <row r="858" spans="86:86" ht="18" customHeight="1">
      <c r="CH858" s="116" t="str">
        <f>IFERROR(TOWER_DATA[[#This Row],[Top '[m']]]-TOWER_DATA[[#This Row],[Bottom '[m']]], "")</f>
        <v/>
      </c>
    </row>
    <row r="859" spans="86:86" ht="18" customHeight="1">
      <c r="CH859" s="116" t="str">
        <f>IFERROR(TOWER_DATA[[#This Row],[Top '[m']]]-TOWER_DATA[[#This Row],[Bottom '[m']]], "")</f>
        <v/>
      </c>
    </row>
    <row r="860" spans="86:86" ht="18" customHeight="1">
      <c r="CH860" s="116" t="str">
        <f>IFERROR(TOWER_DATA[[#This Row],[Top '[m']]]-TOWER_DATA[[#This Row],[Bottom '[m']]], "")</f>
        <v/>
      </c>
    </row>
    <row r="861" spans="86:86" ht="18" customHeight="1">
      <c r="CH861" s="116" t="str">
        <f>IFERROR(TOWER_DATA[[#This Row],[Top '[m']]]-TOWER_DATA[[#This Row],[Bottom '[m']]], "")</f>
        <v/>
      </c>
    </row>
    <row r="862" spans="86:86" ht="18" customHeight="1">
      <c r="CH862" s="116" t="str">
        <f>IFERROR(TOWER_DATA[[#This Row],[Top '[m']]]-TOWER_DATA[[#This Row],[Bottom '[m']]], "")</f>
        <v/>
      </c>
    </row>
    <row r="863" spans="86:86" ht="18" customHeight="1">
      <c r="CH863" s="116" t="str">
        <f>IFERROR(TOWER_DATA[[#This Row],[Top '[m']]]-TOWER_DATA[[#This Row],[Bottom '[m']]], "")</f>
        <v/>
      </c>
    </row>
    <row r="864" spans="86:86" ht="18" customHeight="1">
      <c r="CH864" s="116" t="str">
        <f>IFERROR(TOWER_DATA[[#This Row],[Top '[m']]]-TOWER_DATA[[#This Row],[Bottom '[m']]], "")</f>
        <v/>
      </c>
    </row>
    <row r="865" spans="86:86" ht="18" customHeight="1">
      <c r="CH865" s="116" t="str">
        <f>IFERROR(TOWER_DATA[[#This Row],[Top '[m']]]-TOWER_DATA[[#This Row],[Bottom '[m']]], "")</f>
        <v/>
      </c>
    </row>
    <row r="866" spans="86:86" ht="18" customHeight="1">
      <c r="CH866" s="116" t="str">
        <f>IFERROR(TOWER_DATA[[#This Row],[Top '[m']]]-TOWER_DATA[[#This Row],[Bottom '[m']]], "")</f>
        <v/>
      </c>
    </row>
    <row r="867" spans="86:86" ht="18" customHeight="1">
      <c r="CH867" s="116" t="str">
        <f>IFERROR(TOWER_DATA[[#This Row],[Top '[m']]]-TOWER_DATA[[#This Row],[Bottom '[m']]], "")</f>
        <v/>
      </c>
    </row>
    <row r="868" spans="86:86" ht="18" customHeight="1">
      <c r="CH868" s="116" t="str">
        <f>IFERROR(TOWER_DATA[[#This Row],[Top '[m']]]-TOWER_DATA[[#This Row],[Bottom '[m']]], "")</f>
        <v/>
      </c>
    </row>
    <row r="869" spans="86:86" ht="18" customHeight="1">
      <c r="CH869" s="116" t="str">
        <f>IFERROR(TOWER_DATA[[#This Row],[Top '[m']]]-TOWER_DATA[[#This Row],[Bottom '[m']]], "")</f>
        <v/>
      </c>
    </row>
    <row r="870" spans="86:86" ht="18" customHeight="1">
      <c r="CH870" s="116" t="str">
        <f>IFERROR(TOWER_DATA[[#This Row],[Top '[m']]]-TOWER_DATA[[#This Row],[Bottom '[m']]], "")</f>
        <v/>
      </c>
    </row>
    <row r="871" spans="86:86" ht="18" customHeight="1">
      <c r="CH871" s="116" t="str">
        <f>IFERROR(TOWER_DATA[[#This Row],[Top '[m']]]-TOWER_DATA[[#This Row],[Bottom '[m']]], "")</f>
        <v/>
      </c>
    </row>
    <row r="872" spans="86:86" ht="18" customHeight="1">
      <c r="CH872" s="116" t="str">
        <f>IFERROR(TOWER_DATA[[#This Row],[Top '[m']]]-TOWER_DATA[[#This Row],[Bottom '[m']]], "")</f>
        <v/>
      </c>
    </row>
    <row r="873" spans="86:86" ht="18" customHeight="1">
      <c r="CH873" s="116" t="str">
        <f>IFERROR(TOWER_DATA[[#This Row],[Top '[m']]]-TOWER_DATA[[#This Row],[Bottom '[m']]], "")</f>
        <v/>
      </c>
    </row>
    <row r="874" spans="86:86" ht="18" customHeight="1">
      <c r="CH874" s="116" t="str">
        <f>IFERROR(TOWER_DATA[[#This Row],[Top '[m']]]-TOWER_DATA[[#This Row],[Bottom '[m']]], "")</f>
        <v/>
      </c>
    </row>
    <row r="875" spans="86:86" ht="18" customHeight="1">
      <c r="CH875" s="116" t="str">
        <f>IFERROR(TOWER_DATA[[#This Row],[Top '[m']]]-TOWER_DATA[[#This Row],[Bottom '[m']]], "")</f>
        <v/>
      </c>
    </row>
    <row r="876" spans="86:86" ht="18" customHeight="1">
      <c r="CH876" s="116" t="str">
        <f>IFERROR(TOWER_DATA[[#This Row],[Top '[m']]]-TOWER_DATA[[#This Row],[Bottom '[m']]], "")</f>
        <v/>
      </c>
    </row>
    <row r="877" spans="86:86" ht="18" customHeight="1">
      <c r="CH877" s="116" t="str">
        <f>IFERROR(TOWER_DATA[[#This Row],[Top '[m']]]-TOWER_DATA[[#This Row],[Bottom '[m']]], "")</f>
        <v/>
      </c>
    </row>
    <row r="878" spans="86:86" ht="18" customHeight="1">
      <c r="CH878" s="116" t="str">
        <f>IFERROR(TOWER_DATA[[#This Row],[Top '[m']]]-TOWER_DATA[[#This Row],[Bottom '[m']]], "")</f>
        <v/>
      </c>
    </row>
    <row r="879" spans="86:86" ht="18" customHeight="1">
      <c r="CH879" s="116" t="str">
        <f>IFERROR(TOWER_DATA[[#This Row],[Top '[m']]]-TOWER_DATA[[#This Row],[Bottom '[m']]], "")</f>
        <v/>
      </c>
    </row>
    <row r="880" spans="86:86" ht="18" customHeight="1">
      <c r="CH880" s="116" t="str">
        <f>IFERROR(TOWER_DATA[[#This Row],[Top '[m']]]-TOWER_DATA[[#This Row],[Bottom '[m']]], "")</f>
        <v/>
      </c>
    </row>
    <row r="881" spans="86:86" ht="18" customHeight="1">
      <c r="CH881" s="116" t="str">
        <f>IFERROR(TOWER_DATA[[#This Row],[Top '[m']]]-TOWER_DATA[[#This Row],[Bottom '[m']]], "")</f>
        <v/>
      </c>
    </row>
    <row r="882" spans="86:86" ht="18" customHeight="1">
      <c r="CH882" s="116" t="str">
        <f>IFERROR(TOWER_DATA[[#This Row],[Top '[m']]]-TOWER_DATA[[#This Row],[Bottom '[m']]], "")</f>
        <v/>
      </c>
    </row>
    <row r="883" spans="86:86" ht="18" customHeight="1">
      <c r="CH883" s="116" t="str">
        <f>IFERROR(TOWER_DATA[[#This Row],[Top '[m']]]-TOWER_DATA[[#This Row],[Bottom '[m']]], "")</f>
        <v/>
      </c>
    </row>
    <row r="884" spans="86:86" ht="18" customHeight="1">
      <c r="CH884" s="116" t="str">
        <f>IFERROR(TOWER_DATA[[#This Row],[Top '[m']]]-TOWER_DATA[[#This Row],[Bottom '[m']]], "")</f>
        <v/>
      </c>
    </row>
    <row r="885" spans="86:86" ht="18" customHeight="1">
      <c r="CH885" s="116" t="str">
        <f>IFERROR(TOWER_DATA[[#This Row],[Top '[m']]]-TOWER_DATA[[#This Row],[Bottom '[m']]], "")</f>
        <v/>
      </c>
    </row>
    <row r="886" spans="86:86" ht="18" customHeight="1">
      <c r="CH886" s="116" t="str">
        <f>IFERROR(TOWER_DATA[[#This Row],[Top '[m']]]-TOWER_DATA[[#This Row],[Bottom '[m']]], "")</f>
        <v/>
      </c>
    </row>
    <row r="887" spans="86:86" ht="18" customHeight="1">
      <c r="CH887" s="116" t="str">
        <f>IFERROR(TOWER_DATA[[#This Row],[Top '[m']]]-TOWER_DATA[[#This Row],[Bottom '[m']]], "")</f>
        <v/>
      </c>
    </row>
    <row r="888" spans="86:86" ht="18" customHeight="1">
      <c r="CH888" s="116" t="str">
        <f>IFERROR(TOWER_DATA[[#This Row],[Top '[m']]]-TOWER_DATA[[#This Row],[Bottom '[m']]], "")</f>
        <v/>
      </c>
    </row>
    <row r="889" spans="86:86" ht="18" customHeight="1">
      <c r="CH889" s="116" t="str">
        <f>IFERROR(TOWER_DATA[[#This Row],[Top '[m']]]-TOWER_DATA[[#This Row],[Bottom '[m']]], "")</f>
        <v/>
      </c>
    </row>
    <row r="890" spans="86:86" ht="18" customHeight="1">
      <c r="CH890" s="116" t="str">
        <f>IFERROR(TOWER_DATA[[#This Row],[Top '[m']]]-TOWER_DATA[[#This Row],[Bottom '[m']]], "")</f>
        <v/>
      </c>
    </row>
  </sheetData>
  <protectedRanges>
    <protectedRange sqref="DX13:DY13 EB13:ED13 DR15:DT15 DN15:DO15" name="Bereich1_1"/>
    <protectedRange sqref="F113:G134 F82:G84 AQ113:AR134 AQ82:AR84 CC113:CD134 CC82:CD84" name="Eingaben2"/>
    <protectedRange sqref="H82:J84 AS82:AU84 CE82:CG84" name="Eingaben2_2"/>
    <protectedRange sqref="H113:J134 AS113:AU134 CE113:CG134" name="Eingaben2_4"/>
  </protectedRanges>
  <dataConsolidate/>
  <phoneticPr fontId="10" type="noConversion"/>
  <conditionalFormatting sqref="E2011">
    <cfRule type="expression" dxfId="390" priority="41">
      <formula>E2010&lt;&gt;_xludf.INDIRECT("B" &amp; _xludf.ROW() + 200)</formula>
    </cfRule>
  </conditionalFormatting>
  <conditionalFormatting sqref="L138 O115:O138 L139:O162 E136:J221 DN88:DT175">
    <cfRule type="expression" dxfId="389" priority="43">
      <formula>#REF!&lt;&gt;_xludf.INDIRECT(_xludf.ADDRESS(_xludf.ROW()-200,_xludf.COLUMN()))</formula>
    </cfRule>
  </conditionalFormatting>
  <conditionalFormatting sqref="G223">
    <cfRule type="expression" dxfId="388" priority="48">
      <formula>#REF!&lt;&gt;_xludf.INDIRECT(_xludf.ADDRESS(_xludf.ROW()-200,_xludf.COLUMN()))</formula>
    </cfRule>
  </conditionalFormatting>
  <conditionalFormatting sqref="E222:E226">
    <cfRule type="expression" dxfId="387" priority="66">
      <formula>#REF!&lt;&gt;_xludf.INDIRECT(_xludf.ADDRESS(_xludf.ROW()-200,_xludf.COLUMN()))</formula>
    </cfRule>
  </conditionalFormatting>
  <conditionalFormatting sqref="DU135:DV138">
    <cfRule type="expression" dxfId="386" priority="29">
      <formula>#REF!&lt;&gt;_xludf.INDIRECT(_xludf.ADDRESS(_xludf.ROW()-200,_xludf.COLUMN()))</formula>
    </cfRule>
  </conditionalFormatting>
  <conditionalFormatting sqref="O168:O182">
    <cfRule type="expression" dxfId="385" priority="72">
      <formula>O23&lt;&gt;_xludf.INDIRECT(_xludf.ADDRESS(_xludf.ROW()-200,_xludf.COLUMN()))</formula>
    </cfRule>
  </conditionalFormatting>
  <conditionalFormatting sqref="N185 O183:O185">
    <cfRule type="expression" dxfId="384" priority="123">
      <formula>#REF!&lt;&gt;_xludf.INDIRECT(_xludf.ADDRESS(_xludf.ROW()-200,_xludf.COLUMN()))</formula>
    </cfRule>
  </conditionalFormatting>
  <conditionalFormatting sqref="N168:N184">
    <cfRule type="expression" dxfId="383" priority="168">
      <formula>N118&lt;&gt;_xludf.INDIRECT(_xludf.ADDRESS(_xludf.ROW()-200,_xludf.COLUMN()))</formula>
    </cfRule>
  </conditionalFormatting>
  <conditionalFormatting sqref="L168:M185">
    <cfRule type="expression" dxfId="382" priority="169">
      <formula>L117&lt;&gt;_xludf.INDIRECT(_xludf.ADDRESS(_xludf.ROW()-200,_xludf.COLUMN()))</formula>
    </cfRule>
  </conditionalFormatting>
  <conditionalFormatting sqref="J237">
    <cfRule type="expression" dxfId="381" priority="172">
      <formula>K126&lt;&gt;_xludf.INDIRECT(_xludf.ADDRESS(_xludf.ROW()-200,_xludf.COLUMN()))</formula>
    </cfRule>
  </conditionalFormatting>
  <conditionalFormatting sqref="L163:O167">
    <cfRule type="expression" dxfId="380" priority="173">
      <formula>K112&lt;&gt;_xludf.INDIRECT(_xludf.ADDRESS(_xludf.ROW()-200,_xludf.COLUMN()))</formula>
    </cfRule>
  </conditionalFormatting>
  <conditionalFormatting sqref="H223">
    <cfRule type="expression" dxfId="379" priority="174">
      <formula>F113&lt;&gt;_xludf.INDIRECT(_xludf.ADDRESS(_xludf.ROW()-200,_xludf.COLUMN()))</formula>
    </cfRule>
  </conditionalFormatting>
  <conditionalFormatting sqref="J227:J236 E227:I244 J238:J244">
    <cfRule type="expression" dxfId="378" priority="175">
      <formula>E117&lt;&gt;_xludf.INDIRECT(_xludf.ADDRESS(_xludf.ROW()-200,_xludf.COLUMN()))</formula>
    </cfRule>
  </conditionalFormatting>
  <conditionalFormatting sqref="F223:F226 G224:H226 F222:J222 I223:J226">
    <cfRule type="expression" dxfId="377" priority="178">
      <formula>E112&lt;&gt;_xludf.INDIRECT(_xludf.ADDRESS(_xludf.ROW()-200,_xludf.COLUMN()))</formula>
    </cfRule>
  </conditionalFormatting>
  <conditionalFormatting sqref="AP2011">
    <cfRule type="expression" dxfId="376" priority="15">
      <formula>AP2010&lt;&gt;_xludf.INDIRECT("B" &amp; _xludf.ROW() + 200)</formula>
    </cfRule>
  </conditionalFormatting>
  <conditionalFormatting sqref="AW138 AZ115:AZ138 AW139:AZ162 AP136:AU221">
    <cfRule type="expression" dxfId="375" priority="16">
      <formula>#REF!&lt;&gt;_xludf.INDIRECT(_xludf.ADDRESS(_xludf.ROW()-200,_xludf.COLUMN()))</formula>
    </cfRule>
  </conditionalFormatting>
  <conditionalFormatting sqref="AR223">
    <cfRule type="expression" dxfId="374" priority="18">
      <formula>#REF!&lt;&gt;_xludf.INDIRECT(_xludf.ADDRESS(_xludf.ROW()-200,_xludf.COLUMN()))</formula>
    </cfRule>
  </conditionalFormatting>
  <conditionalFormatting sqref="AP222:AP226">
    <cfRule type="expression" dxfId="373" priority="19">
      <formula>#REF!&lt;&gt;_xludf.INDIRECT(_xludf.ADDRESS(_xludf.ROW()-200,_xludf.COLUMN()))</formula>
    </cfRule>
  </conditionalFormatting>
  <conditionalFormatting sqref="AZ168:AZ182">
    <cfRule type="expression" dxfId="372" priority="20">
      <formula>AZ23&lt;&gt;_xludf.INDIRECT(_xludf.ADDRESS(_xludf.ROW()-200,_xludf.COLUMN()))</formula>
    </cfRule>
  </conditionalFormatting>
  <conditionalFormatting sqref="AY185 AZ183:AZ185">
    <cfRule type="expression" dxfId="371" priority="21">
      <formula>#REF!&lt;&gt;_xludf.INDIRECT(_xludf.ADDRESS(_xludf.ROW()-200,_xludf.COLUMN()))</formula>
    </cfRule>
  </conditionalFormatting>
  <conditionalFormatting sqref="AY168:AY184">
    <cfRule type="expression" dxfId="370" priority="22">
      <formula>AY118&lt;&gt;_xludf.INDIRECT(_xludf.ADDRESS(_xludf.ROW()-200,_xludf.COLUMN()))</formula>
    </cfRule>
  </conditionalFormatting>
  <conditionalFormatting sqref="AW168:AX185">
    <cfRule type="expression" dxfId="369" priority="23">
      <formula>AW117&lt;&gt;_xludf.INDIRECT(_xludf.ADDRESS(_xludf.ROW()-200,_xludf.COLUMN()))</formula>
    </cfRule>
  </conditionalFormatting>
  <conditionalFormatting sqref="AU237">
    <cfRule type="expression" dxfId="368" priority="24">
      <formula>AV126&lt;&gt;_xludf.INDIRECT(_xludf.ADDRESS(_xludf.ROW()-200,_xludf.COLUMN()))</formula>
    </cfRule>
  </conditionalFormatting>
  <conditionalFormatting sqref="AW163:AZ167">
    <cfRule type="expression" dxfId="367" priority="25">
      <formula>AV112&lt;&gt;_xludf.INDIRECT(_xludf.ADDRESS(_xludf.ROW()-200,_xludf.COLUMN()))</formula>
    </cfRule>
  </conditionalFormatting>
  <conditionalFormatting sqref="AS223">
    <cfRule type="expression" dxfId="366" priority="26">
      <formula>AQ113&lt;&gt;_xludf.INDIRECT(_xludf.ADDRESS(_xludf.ROW()-200,_xludf.COLUMN()))</formula>
    </cfRule>
  </conditionalFormatting>
  <conditionalFormatting sqref="AU227:AU236 AP227:AT244 AU238:AU244">
    <cfRule type="expression" dxfId="365" priority="27">
      <formula>AP117&lt;&gt;_xludf.INDIRECT(_xludf.ADDRESS(_xludf.ROW()-200,_xludf.COLUMN()))</formula>
    </cfRule>
  </conditionalFormatting>
  <conditionalFormatting sqref="AQ223:AQ226 AR224:AS226 AQ222:AU222 AT223:AU226">
    <cfRule type="expression" dxfId="364" priority="28">
      <formula>AP112&lt;&gt;_xludf.INDIRECT(_xludf.ADDRESS(_xludf.ROW()-200,_xludf.COLUMN()))</formula>
    </cfRule>
  </conditionalFormatting>
  <conditionalFormatting sqref="CB2011">
    <cfRule type="expression" dxfId="363" priority="1">
      <formula>CB2010&lt;&gt;_xludf.INDIRECT("B" &amp; _xludf.ROW() + 200)</formula>
    </cfRule>
  </conditionalFormatting>
  <conditionalFormatting sqref="CI138 CL115:CL138 CI139:CL162 CB136:CG221">
    <cfRule type="expression" dxfId="362" priority="2">
      <formula>#REF!&lt;&gt;_xludf.INDIRECT(_xludf.ADDRESS(_xludf.ROW()-200,_xludf.COLUMN()))</formula>
    </cfRule>
  </conditionalFormatting>
  <conditionalFormatting sqref="CD223">
    <cfRule type="expression" dxfId="361" priority="4">
      <formula>#REF!&lt;&gt;_xludf.INDIRECT(_xludf.ADDRESS(_xludf.ROW()-200,_xludf.COLUMN()))</formula>
    </cfRule>
  </conditionalFormatting>
  <conditionalFormatting sqref="CB222:CB226">
    <cfRule type="expression" dxfId="360" priority="5">
      <formula>#REF!&lt;&gt;_xludf.INDIRECT(_xludf.ADDRESS(_xludf.ROW()-200,_xludf.COLUMN()))</formula>
    </cfRule>
  </conditionalFormatting>
  <conditionalFormatting sqref="CL168:CL182">
    <cfRule type="expression" dxfId="359" priority="6">
      <formula>CL23&lt;&gt;_xludf.INDIRECT(_xludf.ADDRESS(_xludf.ROW()-200,_xludf.COLUMN()))</formula>
    </cfRule>
  </conditionalFormatting>
  <conditionalFormatting sqref="CK185 CL183:CL185">
    <cfRule type="expression" dxfId="358" priority="7">
      <formula>#REF!&lt;&gt;_xludf.INDIRECT(_xludf.ADDRESS(_xludf.ROW()-200,_xludf.COLUMN()))</formula>
    </cfRule>
  </conditionalFormatting>
  <conditionalFormatting sqref="CK168:CK184">
    <cfRule type="expression" dxfId="357" priority="8">
      <formula>CK118&lt;&gt;_xludf.INDIRECT(_xludf.ADDRESS(_xludf.ROW()-200,_xludf.COLUMN()))</formula>
    </cfRule>
  </conditionalFormatting>
  <conditionalFormatting sqref="CI168:CJ185">
    <cfRule type="expression" dxfId="356" priority="9">
      <formula>CI117&lt;&gt;_xludf.INDIRECT(_xludf.ADDRESS(_xludf.ROW()-200,_xludf.COLUMN()))</formula>
    </cfRule>
  </conditionalFormatting>
  <conditionalFormatting sqref="CG237">
    <cfRule type="expression" dxfId="355" priority="10">
      <formula>CH126&lt;&gt;_xludf.INDIRECT(_xludf.ADDRESS(_xludf.ROW()-200,_xludf.COLUMN()))</formula>
    </cfRule>
  </conditionalFormatting>
  <conditionalFormatting sqref="CI163:CL167">
    <cfRule type="expression" dxfId="354" priority="11">
      <formula>CH112&lt;&gt;_xludf.INDIRECT(_xludf.ADDRESS(_xludf.ROW()-200,_xludf.COLUMN()))</formula>
    </cfRule>
  </conditionalFormatting>
  <conditionalFormatting sqref="CE223">
    <cfRule type="expression" dxfId="353" priority="12">
      <formula>CC113&lt;&gt;_xludf.INDIRECT(_xludf.ADDRESS(_xludf.ROW()-200,_xludf.COLUMN()))</formula>
    </cfRule>
  </conditionalFormatting>
  <conditionalFormatting sqref="CG227:CG236 CB227:CF244 CG238:CG244">
    <cfRule type="expression" dxfId="352" priority="13">
      <formula>CB117&lt;&gt;_xludf.INDIRECT(_xludf.ADDRESS(_xludf.ROW()-200,_xludf.COLUMN()))</formula>
    </cfRule>
  </conditionalFormatting>
  <conditionalFormatting sqref="CC223:CC226 CD224:CE226 CC222:CG222 CF223:CG226">
    <cfRule type="expression" dxfId="351" priority="14">
      <formula>CB112&lt;&gt;_xludf.INDIRECT(_xludf.ADDRESS(_xludf.ROW()-200,_xludf.COLUMN()))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137160</xdr:rowOff>
                  </from>
                  <to>
                    <xdr:col>3</xdr:col>
                    <xdr:colOff>1463040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4</xdr:col>
                    <xdr:colOff>45720</xdr:colOff>
                    <xdr:row>5</xdr:row>
                    <xdr:rowOff>22860</xdr:rowOff>
                  </from>
                  <to>
                    <xdr:col>4</xdr:col>
                    <xdr:colOff>3413760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30480</xdr:colOff>
                    <xdr:row>21</xdr:row>
                    <xdr:rowOff>160020</xdr:rowOff>
                  </from>
                  <to>
                    <xdr:col>8</xdr:col>
                    <xdr:colOff>1447800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1470660</xdr:colOff>
                    <xdr:row>21</xdr:row>
                    <xdr:rowOff>160020</xdr:rowOff>
                  </from>
                  <to>
                    <xdr:col>10</xdr:col>
                    <xdr:colOff>1417320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60960</xdr:colOff>
                    <xdr:row>18</xdr:row>
                    <xdr:rowOff>68580</xdr:rowOff>
                  </from>
                  <to>
                    <xdr:col>1</xdr:col>
                    <xdr:colOff>1630680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0" name="Button 31">
              <controlPr defaultSize="0" print="0" autoFill="0" autoPict="0" macro="[0]!reload_MP_DB">
                <anchor moveWithCells="1" sizeWithCells="1">
                  <from>
                    <xdr:col>4</xdr:col>
                    <xdr:colOff>30480</xdr:colOff>
                    <xdr:row>7</xdr:row>
                    <xdr:rowOff>22860</xdr:rowOff>
                  </from>
                  <to>
                    <xdr:col>4</xdr:col>
                    <xdr:colOff>3413760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1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822960</xdr:colOff>
                    <xdr:row>6</xdr:row>
                    <xdr:rowOff>22860</xdr:rowOff>
                  </from>
                  <to>
                    <xdr:col>64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2" name="Import_MP_use_TP">
              <controlPr defaultSize="0" autoFill="0" autoLine="0" autoPict="0">
                <anchor moveWithCells="1">
                  <from>
                    <xdr:col>0</xdr:col>
                    <xdr:colOff>1607820</xdr:colOff>
                    <xdr:row>20</xdr:row>
                    <xdr:rowOff>99060</xdr:rowOff>
                  </from>
                  <to>
                    <xdr:col>1</xdr:col>
                    <xdr:colOff>807720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3" name="Import_MP_use_MP">
              <controlPr defaultSize="0" autoFill="0" autoLine="0" autoPict="0">
                <anchor moveWithCells="1">
                  <from>
                    <xdr:col>0</xdr:col>
                    <xdr:colOff>99060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4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30480</xdr:colOff>
                    <xdr:row>22</xdr:row>
                    <xdr:rowOff>22860</xdr:rowOff>
                  </from>
                  <to>
                    <xdr:col>4</xdr:col>
                    <xdr:colOff>3406140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5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22860</xdr:colOff>
                    <xdr:row>10</xdr:row>
                    <xdr:rowOff>22860</xdr:rowOff>
                  </from>
                  <to>
                    <xdr:col>119</xdr:col>
                    <xdr:colOff>723900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6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76200</xdr:rowOff>
                  </from>
                  <to>
                    <xdr:col>3</xdr:col>
                    <xdr:colOff>1524000</xdr:colOff>
                    <xdr:row>20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7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99060</xdr:colOff>
                    <xdr:row>4</xdr:row>
                    <xdr:rowOff>99060</xdr:rowOff>
                  </from>
                  <to>
                    <xdr:col>3</xdr:col>
                    <xdr:colOff>1470660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8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99060</xdr:colOff>
                    <xdr:row>7</xdr:row>
                    <xdr:rowOff>182880</xdr:rowOff>
                  </from>
                  <to>
                    <xdr:col>3</xdr:col>
                    <xdr:colOff>1470660</xdr:colOff>
                    <xdr:row>10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9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99060</xdr:colOff>
                    <xdr:row>11</xdr:row>
                    <xdr:rowOff>30480</xdr:rowOff>
                  </from>
                  <to>
                    <xdr:col>3</xdr:col>
                    <xdr:colOff>1478280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0" name="Import_GeomConv_useMP">
              <controlPr defaultSize="0" autoFill="0" autoLine="0" autoPict="0">
                <anchor moveWithCells="1">
                  <from>
                    <xdr:col>2</xdr:col>
                    <xdr:colOff>7620</xdr:colOff>
                    <xdr:row>20</xdr:row>
                    <xdr:rowOff>106680</xdr:rowOff>
                  </from>
                  <to>
                    <xdr:col>2</xdr:col>
                    <xdr:colOff>914400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1" name="Import_GeomConv_useTP">
              <controlPr defaultSize="0" autoFill="0" autoLine="0" autoPict="0">
                <anchor moveWithCells="1">
                  <from>
                    <xdr:col>2</xdr:col>
                    <xdr:colOff>1112520</xdr:colOff>
                    <xdr:row>20</xdr:row>
                    <xdr:rowOff>83820</xdr:rowOff>
                  </from>
                  <to>
                    <xdr:col>3</xdr:col>
                    <xdr:colOff>533400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2" name="Import_GeomConv_useTOWER">
              <controlPr defaultSize="0" autoFill="0" autoLine="0" autoPict="0">
                <anchor moveWithCells="1">
                  <from>
                    <xdr:col>3</xdr:col>
                    <xdr:colOff>678180</xdr:colOff>
                    <xdr:row>20</xdr:row>
                    <xdr:rowOff>76200</xdr:rowOff>
                  </from>
                  <to>
                    <xdr:col>3</xdr:col>
                    <xdr:colOff>1516380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3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99060</xdr:colOff>
                    <xdr:row>14</xdr:row>
                    <xdr:rowOff>106680</xdr:rowOff>
                  </from>
                  <to>
                    <xdr:col>3</xdr:col>
                    <xdr:colOff>1485900</xdr:colOff>
                    <xdr:row>17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24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22860</xdr:rowOff>
                  </from>
                  <to>
                    <xdr:col>117</xdr:col>
                    <xdr:colOff>2971800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5" name="Dropdown_TOWER_Structures">
              <controlPr defaultSize="0" autoLine="0" autoPict="0" macro="[0]!load_TOWER_Data">
                <anchor moveWithCells="1">
                  <from>
                    <xdr:col>63</xdr:col>
                    <xdr:colOff>22860</xdr:colOff>
                    <xdr:row>8</xdr:row>
                    <xdr:rowOff>22860</xdr:rowOff>
                  </from>
                  <to>
                    <xdr:col>117</xdr:col>
                    <xdr:colOff>3017520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6" name="Button 61">
              <controlPr defaultSize="0" print="0" autoFill="0" autoPict="0" macro="[0]!plot_MP">
                <anchor moveWithCells="1" sizeWithCells="1">
                  <from>
                    <xdr:col>11</xdr:col>
                    <xdr:colOff>152400</xdr:colOff>
                    <xdr:row>2</xdr:row>
                    <xdr:rowOff>7620</xdr:rowOff>
                  </from>
                  <to>
                    <xdr:col>11</xdr:col>
                    <xdr:colOff>1371600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7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30480</xdr:colOff>
                    <xdr:row>21</xdr:row>
                    <xdr:rowOff>160020</xdr:rowOff>
                  </from>
                  <to>
                    <xdr:col>45</xdr:col>
                    <xdr:colOff>1447800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8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1470660</xdr:colOff>
                    <xdr:row>21</xdr:row>
                    <xdr:rowOff>160020</xdr:rowOff>
                  </from>
                  <to>
                    <xdr:col>47</xdr:col>
                    <xdr:colOff>1417320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9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30480</xdr:colOff>
                    <xdr:row>22</xdr:row>
                    <xdr:rowOff>22860</xdr:rowOff>
                  </from>
                  <to>
                    <xdr:col>41</xdr:col>
                    <xdr:colOff>3406140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30" name="Button 68">
              <controlPr defaultSize="0" print="0" autoFill="0" autoPict="0" macro="[0]!plot_TP">
                <anchor moveWithCells="1" sizeWithCells="1">
                  <from>
                    <xdr:col>48</xdr:col>
                    <xdr:colOff>152400</xdr:colOff>
                    <xdr:row>2</xdr:row>
                    <xdr:rowOff>7620</xdr:rowOff>
                  </from>
                  <to>
                    <xdr:col>48</xdr:col>
                    <xdr:colOff>1371600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31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32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822960</xdr:colOff>
                    <xdr:row>6</xdr:row>
                    <xdr:rowOff>22860</xdr:rowOff>
                  </from>
                  <to>
                    <xdr:col>102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33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22860</xdr:rowOff>
                  </from>
                  <to>
                    <xdr:col>117</xdr:col>
                    <xdr:colOff>3017520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34" name="Drop Down 73">
              <controlPr defaultSize="0" autoLine="0" autoPict="0" macro="[0]!load_TOWER_Data">
                <anchor moveWithCells="1">
                  <from>
                    <xdr:col>101</xdr:col>
                    <xdr:colOff>22860</xdr:colOff>
                    <xdr:row>8</xdr:row>
                    <xdr:rowOff>22860</xdr:rowOff>
                  </from>
                  <to>
                    <xdr:col>117</xdr:col>
                    <xdr:colOff>3063240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5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30480</xdr:colOff>
                    <xdr:row>21</xdr:row>
                    <xdr:rowOff>160020</xdr:rowOff>
                  </from>
                  <to>
                    <xdr:col>83</xdr:col>
                    <xdr:colOff>1447800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6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1470660</xdr:colOff>
                    <xdr:row>21</xdr:row>
                    <xdr:rowOff>160020</xdr:rowOff>
                  </from>
                  <to>
                    <xdr:col>85</xdr:col>
                    <xdr:colOff>1417320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7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30480</xdr:colOff>
                    <xdr:row>22</xdr:row>
                    <xdr:rowOff>22860</xdr:rowOff>
                  </from>
                  <to>
                    <xdr:col>79</xdr:col>
                    <xdr:colOff>3406140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8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152400</xdr:colOff>
                    <xdr:row>2</xdr:row>
                    <xdr:rowOff>7620</xdr:rowOff>
                  </from>
                  <to>
                    <xdr:col>86</xdr:col>
                    <xdr:colOff>1371600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9" name="Dropdown_TOWER_Structures2">
              <controlPr defaultSize="0" autoLine="0" autoPict="0" macro="[0]!load_TOWER_Data">
                <anchor moveWithCells="1">
                  <from>
                    <xdr:col>80</xdr:col>
                    <xdr:colOff>22860</xdr:colOff>
                    <xdr:row>7</xdr:row>
                    <xdr:rowOff>45720</xdr:rowOff>
                  </from>
                  <to>
                    <xdr:col>118</xdr:col>
                    <xdr:colOff>1234440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40" name="Button 75">
              <controlPr defaultSize="0" print="0" autoFill="0" autoPict="0" macro="[0]!load_TOWER_DB">
                <anchor moveWithCells="1" sizeWithCells="1">
                  <from>
                    <xdr:col>79</xdr:col>
                    <xdr:colOff>15240</xdr:colOff>
                    <xdr:row>5</xdr:row>
                    <xdr:rowOff>30480</xdr:rowOff>
                  </from>
                  <to>
                    <xdr:col>79</xdr:col>
                    <xdr:colOff>3421380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41" name="Button 78">
              <controlPr defaultSize="0" print="0" autoFill="0" autoPict="0" macro="[0]!reload_TOWER_DB">
                <anchor moveWithCells="1" sizeWithCells="1">
                  <from>
                    <xdr:col>79</xdr:col>
                    <xdr:colOff>15240</xdr:colOff>
                    <xdr:row>7</xdr:row>
                    <xdr:rowOff>15240</xdr:rowOff>
                  </from>
                  <to>
                    <xdr:col>79</xdr:col>
                    <xdr:colOff>3421380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42" name="Dropdown_RNA_Structures2">
              <controlPr defaultSize="0" autoLine="0" autoPict="0">
                <anchor moveWithCells="1">
                  <from>
                    <xdr:col>118</xdr:col>
                    <xdr:colOff>0</xdr:colOff>
                    <xdr:row>7</xdr:row>
                    <xdr:rowOff>45720</xdr:rowOff>
                  </from>
                  <to>
                    <xdr:col>120</xdr:col>
                    <xdr:colOff>1493520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43" name="Button 85">
              <controlPr defaultSize="0" print="0" autoFill="0" autoPict="0" macro="[0]!load_RNA_DB">
                <anchor moveWithCells="1" sizeWithCells="1">
                  <from>
                    <xdr:col>117</xdr:col>
                    <xdr:colOff>30480</xdr:colOff>
                    <xdr:row>5</xdr:row>
                    <xdr:rowOff>22860</xdr:rowOff>
                  </from>
                  <to>
                    <xdr:col>117</xdr:col>
                    <xdr:colOff>3459480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44" name="Button 86">
              <controlPr defaultSize="0" print="0" autoFill="0" autoPict="0" macro="[0]!reload_RNA_DB">
                <anchor moveWithCells="1" sizeWithCells="1">
                  <from>
                    <xdr:col>117</xdr:col>
                    <xdr:colOff>30480</xdr:colOff>
                    <xdr:row>7</xdr:row>
                    <xdr:rowOff>22860</xdr:rowOff>
                  </from>
                  <to>
                    <xdr:col>117</xdr:col>
                    <xdr:colOff>3459480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45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1478280</xdr:colOff>
                    <xdr:row>113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6" name="Dropdown_MP_Structures2">
              <controlPr defaultSize="0" autoLine="0" autoPict="0" macro="[0]!load_MP_Data">
                <anchor moveWithCells="1">
                  <from>
                    <xdr:col>5</xdr:col>
                    <xdr:colOff>30480</xdr:colOff>
                    <xdr:row>7</xdr:row>
                    <xdr:rowOff>38100</xdr:rowOff>
                  </from>
                  <to>
                    <xdr:col>118</xdr:col>
                    <xdr:colOff>1181100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47" name="Dropdown_TP_Structures2">
              <controlPr defaultSize="0" autoLine="0" autoPict="0" macro="[0]!load_TP_Data">
                <anchor moveWithCells="1">
                  <from>
                    <xdr:col>42</xdr:col>
                    <xdr:colOff>0</xdr:colOff>
                    <xdr:row>7</xdr:row>
                    <xdr:rowOff>30480</xdr:rowOff>
                  </from>
                  <to>
                    <xdr:col>118</xdr:col>
                    <xdr:colOff>1203960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8" name="Button 63">
              <controlPr defaultSize="0" print="0" autoFill="0" autoPict="0" macro="[0]!load_TP_DB">
                <anchor moveWithCells="1" sizeWithCells="1">
                  <from>
                    <xdr:col>41</xdr:col>
                    <xdr:colOff>30480</xdr:colOff>
                    <xdr:row>5</xdr:row>
                    <xdr:rowOff>22860</xdr:rowOff>
                  </from>
                  <to>
                    <xdr:col>41</xdr:col>
                    <xdr:colOff>3413760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49" name="Button 66">
              <controlPr defaultSize="0" print="0" autoFill="0" autoPict="0" macro="[0]!reload_TP_DB">
                <anchor moveWithCells="1" sizeWithCells="1">
                  <from>
                    <xdr:col>41</xdr:col>
                    <xdr:colOff>30480</xdr:colOff>
                    <xdr:row>7</xdr:row>
                    <xdr:rowOff>7620</xdr:rowOff>
                  </from>
                  <to>
                    <xdr:col>41</xdr:col>
                    <xdr:colOff>3413760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6"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455"/>
  <sheetViews>
    <sheetView showGridLines="0" zoomScale="55" zoomScaleNormal="55" workbookViewId="0">
      <selection activeCell="AF50" sqref="AF50"/>
    </sheetView>
  </sheetViews>
  <sheetFormatPr baseColWidth="10" defaultColWidth="14.44140625" defaultRowHeight="14.4"/>
  <cols>
    <col min="1" max="1" width="26.109375" style="123" customWidth="1"/>
    <col min="2" max="2" width="27.6640625" style="171" customWidth="1"/>
    <col min="3" max="3" width="43.6640625" style="124" customWidth="1"/>
    <col min="4" max="4" width="16.6640625" style="51" hidden="1" customWidth="1"/>
    <col min="5" max="5" width="14.44140625" style="51" hidden="1" customWidth="1"/>
    <col min="6" max="6" width="19.6640625" style="51" hidden="1" customWidth="1"/>
    <col min="7" max="7" width="17.44140625" style="51" hidden="1" customWidth="1"/>
    <col min="8" max="8" width="17.33203125" style="51" hidden="1" customWidth="1"/>
    <col min="9" max="9" width="21.6640625" style="51" hidden="1" customWidth="1"/>
    <col min="10" max="10" width="22.33203125" style="51" hidden="1" customWidth="1"/>
    <col min="11" max="11" width="13.44140625" style="51" hidden="1" customWidth="1"/>
    <col min="12" max="15" width="14.44140625" style="51" hidden="1" customWidth="1"/>
    <col min="16" max="16" width="14.77734375" style="51" hidden="1" customWidth="1"/>
    <col min="17" max="17" width="18.6640625" style="55" hidden="1" customWidth="1"/>
    <col min="18" max="18" width="23.88671875" style="55" hidden="1" customWidth="1"/>
    <col min="19" max="19" width="14.88671875" style="55" hidden="1" customWidth="1"/>
    <col min="20" max="20" width="20.44140625" style="55" hidden="1" customWidth="1"/>
    <col min="21" max="21" width="16.6640625" style="55" hidden="1" customWidth="1"/>
    <col min="22" max="22" width="23" style="55" hidden="1" customWidth="1"/>
    <col min="23" max="23" width="21.88671875" style="55" hidden="1" customWidth="1"/>
    <col min="24" max="24" width="34" style="55" hidden="1" customWidth="1"/>
    <col min="25" max="25" width="34.44140625" style="55" hidden="1" customWidth="1"/>
    <col min="26" max="26" width="32.44140625" style="55" hidden="1" customWidth="1"/>
    <col min="27" max="27" width="15.33203125" style="55" hidden="1" customWidth="1"/>
    <col min="28" max="28" width="28.6640625" style="51" customWidth="1"/>
    <col min="29" max="29" width="21.109375" style="51" customWidth="1"/>
    <col min="30" max="30" width="27.109375" style="51" customWidth="1"/>
    <col min="31" max="31" width="25.88671875" style="51" customWidth="1"/>
    <col min="32" max="32" width="50.44140625" style="51" customWidth="1"/>
    <col min="33" max="33" width="51.6640625" style="51" customWidth="1"/>
    <col min="34" max="34" width="38.88671875" style="51" customWidth="1"/>
    <col min="35" max="35" width="35" customWidth="1"/>
    <col min="36" max="36" width="18.44140625" customWidth="1"/>
    <col min="37" max="37" width="14.44140625" hidden="1" customWidth="1"/>
    <col min="38" max="38" width="22.6640625" hidden="1" customWidth="1"/>
    <col min="39" max="39" width="14.44140625" hidden="1" customWidth="1"/>
    <col min="40" max="40" width="20.44140625" hidden="1" customWidth="1"/>
    <col min="41" max="43" width="14.44140625" hidden="1" customWidth="1"/>
    <col min="44" max="45" width="14.44140625" style="51" hidden="1" customWidth="1"/>
    <col min="46" max="46" width="20.44140625" style="51" hidden="1" customWidth="1"/>
    <col min="47" max="47" width="26.6640625" style="51" hidden="1" customWidth="1"/>
    <col min="48" max="48" width="17.44140625" style="51" hidden="1" customWidth="1"/>
    <col min="49" max="57" width="14.44140625" style="51" hidden="1" customWidth="1"/>
    <col min="58" max="58" width="14.44140625" style="85" customWidth="1"/>
    <col min="59" max="75" width="14.44140625" style="51" customWidth="1"/>
    <col min="76" max="82" width="14.44140625" style="51"/>
    <col min="83" max="83" width="14.44140625" style="106"/>
    <col min="84" max="16384" width="14.44140625" style="51"/>
  </cols>
  <sheetData>
    <row r="1" spans="1:84" s="163" customFormat="1" ht="196.8" customHeight="1" thickBot="1">
      <c r="A1" s="149"/>
      <c r="B1" s="150"/>
      <c r="C1" s="151"/>
      <c r="D1" s="187" t="s">
        <v>372</v>
      </c>
      <c r="E1" s="162"/>
      <c r="F1" s="162"/>
      <c r="G1" s="162"/>
      <c r="H1" s="162"/>
      <c r="I1" s="161"/>
      <c r="Q1" s="169" t="s">
        <v>373</v>
      </c>
      <c r="AB1" s="169" t="s">
        <v>374</v>
      </c>
      <c r="AO1" s="161"/>
      <c r="AP1" s="162"/>
      <c r="AQ1" s="162"/>
      <c r="AR1" s="162"/>
      <c r="AS1" s="162"/>
      <c r="AT1" s="161"/>
      <c r="BF1" s="165"/>
      <c r="CA1" s="170"/>
      <c r="CB1" s="162"/>
      <c r="CC1" s="162"/>
      <c r="CD1" s="162"/>
      <c r="CE1" s="191"/>
      <c r="CF1" s="161"/>
    </row>
    <row r="2" spans="1:84" ht="33" customHeight="1">
      <c r="D2" s="189"/>
      <c r="E2" s="189"/>
      <c r="F2" s="189"/>
      <c r="G2" s="194"/>
      <c r="H2" s="194"/>
      <c r="I2" s="194"/>
      <c r="J2" s="194"/>
      <c r="K2" s="189"/>
      <c r="L2" s="189"/>
      <c r="M2" s="189"/>
      <c r="N2" s="189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B2" s="189"/>
      <c r="AC2" s="189"/>
      <c r="AD2" s="189"/>
      <c r="AE2" s="189"/>
      <c r="AF2" s="189"/>
      <c r="AG2" s="189"/>
      <c r="AH2" s="189"/>
      <c r="AI2" s="189"/>
      <c r="AJ2" s="189"/>
      <c r="AK2" s="51"/>
      <c r="AL2" s="51"/>
      <c r="AM2" s="51"/>
      <c r="AN2" s="51"/>
      <c r="AO2" s="51"/>
      <c r="AP2" s="51"/>
      <c r="AQ2" s="51"/>
    </row>
    <row r="3" spans="1:84" ht="33.6">
      <c r="D3" s="193" t="s">
        <v>92</v>
      </c>
      <c r="E3" s="189"/>
      <c r="F3" s="189"/>
      <c r="G3" s="194"/>
      <c r="H3" s="189"/>
      <c r="I3" s="189"/>
      <c r="J3" s="189"/>
      <c r="K3" s="189"/>
      <c r="L3" s="189"/>
      <c r="M3" s="189"/>
      <c r="N3" s="189"/>
      <c r="O3" s="194"/>
      <c r="P3" s="194"/>
      <c r="Q3" s="195" t="s">
        <v>93</v>
      </c>
      <c r="R3" s="189"/>
      <c r="S3" s="194"/>
      <c r="T3" s="194"/>
      <c r="U3" s="194"/>
      <c r="V3" s="194"/>
      <c r="W3" s="194"/>
      <c r="X3" s="194"/>
      <c r="Y3" s="194"/>
      <c r="Z3" s="194"/>
      <c r="AB3" s="195" t="s">
        <v>271</v>
      </c>
      <c r="AC3" s="189"/>
      <c r="AD3" s="189"/>
      <c r="AE3" s="189"/>
      <c r="AF3" s="189"/>
      <c r="AG3" s="189"/>
      <c r="AH3" s="189"/>
      <c r="AI3" s="189"/>
      <c r="AJ3" s="189"/>
      <c r="AK3" s="51"/>
      <c r="AL3" s="51"/>
      <c r="AM3" s="51"/>
      <c r="AN3" s="51"/>
      <c r="AO3" s="51"/>
      <c r="AP3" s="51"/>
      <c r="AQ3" s="51"/>
    </row>
    <row r="4" spans="1:84" ht="15" customHeight="1">
      <c r="A4" s="176" t="s">
        <v>366</v>
      </c>
      <c r="D4" s="189"/>
      <c r="E4" s="189"/>
      <c r="F4" s="189"/>
      <c r="G4" s="189"/>
      <c r="H4" s="189"/>
      <c r="I4" s="189"/>
      <c r="J4" s="189"/>
      <c r="K4" s="189"/>
      <c r="L4" s="189"/>
      <c r="M4" s="189"/>
      <c r="N4" s="194"/>
      <c r="O4" s="194"/>
      <c r="P4" s="194"/>
      <c r="Q4" s="194"/>
      <c r="R4" s="189"/>
      <c r="S4" s="194"/>
      <c r="T4" s="194"/>
      <c r="U4" s="194"/>
      <c r="V4" s="194"/>
      <c r="W4" s="194"/>
      <c r="X4" s="194"/>
      <c r="Y4" s="194"/>
      <c r="Z4" s="194"/>
      <c r="AB4" s="189"/>
      <c r="AC4" s="189"/>
      <c r="AD4" s="189"/>
      <c r="AE4" s="189"/>
      <c r="AF4" s="189"/>
      <c r="AG4" s="189"/>
      <c r="AH4" s="189"/>
      <c r="AI4" s="189"/>
      <c r="AJ4" s="189"/>
      <c r="AK4" s="51"/>
      <c r="AL4" s="51"/>
      <c r="AM4" s="51"/>
      <c r="AN4" s="51"/>
      <c r="AO4" s="51"/>
      <c r="AP4" s="51"/>
      <c r="AQ4" s="51"/>
    </row>
    <row r="5" spans="1:84" ht="15" customHeight="1">
      <c r="A5" s="85" t="s">
        <v>27</v>
      </c>
      <c r="B5" s="51" t="s">
        <v>99</v>
      </c>
      <c r="C5" s="106" t="s">
        <v>100</v>
      </c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94"/>
      <c r="P5" s="194"/>
      <c r="Q5" s="194"/>
      <c r="R5" s="189"/>
      <c r="S5" s="194"/>
      <c r="T5" s="194"/>
      <c r="U5" s="194"/>
      <c r="V5" s="194"/>
      <c r="W5" s="194"/>
      <c r="X5" s="194"/>
      <c r="Y5" s="194"/>
      <c r="Z5" s="194"/>
      <c r="AK5" s="51"/>
      <c r="AL5" s="51"/>
      <c r="AM5" s="51"/>
      <c r="AN5" s="51"/>
      <c r="AO5" s="51"/>
      <c r="AP5" s="51"/>
      <c r="AQ5" s="51"/>
    </row>
    <row r="6" spans="1:84">
      <c r="A6" s="85" t="s">
        <v>114</v>
      </c>
      <c r="B6" s="51"/>
      <c r="C6" s="106" t="s">
        <v>77</v>
      </c>
      <c r="D6" s="51" t="s">
        <v>1</v>
      </c>
      <c r="E6" s="51" t="s">
        <v>85</v>
      </c>
      <c r="F6" s="51" t="s">
        <v>82</v>
      </c>
      <c r="G6" s="51" t="s">
        <v>90</v>
      </c>
      <c r="H6" s="51" t="s">
        <v>89</v>
      </c>
      <c r="I6" s="51" t="s">
        <v>78</v>
      </c>
      <c r="J6" s="51" t="s">
        <v>79</v>
      </c>
      <c r="K6" s="51" t="s">
        <v>80</v>
      </c>
      <c r="L6" s="135" t="s">
        <v>84</v>
      </c>
      <c r="M6" s="135" t="s">
        <v>270</v>
      </c>
      <c r="N6" s="135" t="s">
        <v>247</v>
      </c>
      <c r="O6" s="135" t="s">
        <v>248</v>
      </c>
      <c r="P6" s="55"/>
      <c r="Q6" s="51" t="s">
        <v>85</v>
      </c>
      <c r="R6" s="51" t="s">
        <v>234</v>
      </c>
      <c r="S6" s="51" t="s">
        <v>90</v>
      </c>
      <c r="T6" s="51" t="s">
        <v>89</v>
      </c>
      <c r="U6" s="51" t="s">
        <v>86</v>
      </c>
      <c r="V6" s="51" t="s">
        <v>218</v>
      </c>
      <c r="W6" s="51" t="s">
        <v>219</v>
      </c>
      <c r="X6" s="51" t="s">
        <v>220</v>
      </c>
      <c r="Y6" s="51" t="s">
        <v>222</v>
      </c>
      <c r="Z6" s="51" t="s">
        <v>221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5" t="s">
        <v>113</v>
      </c>
      <c r="B7" s="51" t="s">
        <v>49</v>
      </c>
      <c r="C7" s="106" t="s">
        <v>77</v>
      </c>
      <c r="L7" s="54" t="str">
        <f t="shared" ref="L7:L38" si="0"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/>
      </c>
      <c r="M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" s="54" t="str">
        <f>IFERROR(-(WHOLE_STRUCTURE[[#This Row],[D, bottom '[m']]]-WHOLE_STRUCTURE[[#This Row],[D, top '[m']]])/(WHOLE_STRUCTURE[[#This Row],[Bottom '[m']]]-WHOLE_STRUCTURE[[#This Row],[Top '[m']]]),"")</f>
        <v/>
      </c>
      <c r="O7" s="52" t="str">
        <f>IFERROR((WHOLE_STRUCTURE[[#This Row],[D, bottom '[m']]]+WHOLE_STRUCTURE[[#This Row],[D, top '[m']]])/(2*WHOLE_STRUCTURE[[#This Row],[t '[mm']]]/1000),"")</f>
        <v/>
      </c>
      <c r="P7" s="55"/>
      <c r="Q7" s="51"/>
      <c r="R7" s="51"/>
      <c r="S7" s="51"/>
      <c r="T7" s="51"/>
      <c r="U7" s="51"/>
      <c r="V7" s="51"/>
      <c r="W7" s="51"/>
      <c r="X7" s="51"/>
      <c r="Y7" s="51"/>
      <c r="Z7" s="51"/>
      <c r="AB7" s="120" t="s">
        <v>109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226</v>
      </c>
      <c r="BG7" s="192"/>
    </row>
    <row r="8" spans="1:84" ht="15" customHeight="1">
      <c r="A8" s="85" t="s">
        <v>195</v>
      </c>
      <c r="B8" s="51">
        <v>0</v>
      </c>
      <c r="C8" s="106" t="s">
        <v>115</v>
      </c>
      <c r="L8" s="54" t="str">
        <f t="shared" si="0"/>
        <v/>
      </c>
      <c r="M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" s="54" t="str">
        <f>IFERROR(-(WHOLE_STRUCTURE[[#This Row],[D, bottom '[m']]]-WHOLE_STRUCTURE[[#This Row],[D, top '[m']]])/(WHOLE_STRUCTURE[[#This Row],[Bottom '[m']]]-WHOLE_STRUCTURE[[#This Row],[Top '[m']]]),"")</f>
        <v/>
      </c>
      <c r="O8" s="52" t="str">
        <f>IFERROR((WHOLE_STRUCTURE[[#This Row],[D, bottom '[m']]]+WHOLE_STRUCTURE[[#This Row],[D, top '[m']]])/(2*WHOLE_STRUCTURE[[#This Row],[t '[mm']]]/1000),"")</f>
        <v/>
      </c>
      <c r="P8" s="55"/>
      <c r="Q8" s="51"/>
      <c r="R8" s="51"/>
      <c r="S8" s="51"/>
      <c r="T8" s="51"/>
      <c r="U8" s="51"/>
      <c r="V8" s="51"/>
      <c r="W8" s="51"/>
      <c r="X8" s="51"/>
      <c r="Y8" s="51"/>
      <c r="Z8" s="51"/>
      <c r="AB8" s="51" t="s">
        <v>73</v>
      </c>
      <c r="AC8" s="51" t="s">
        <v>122</v>
      </c>
      <c r="AD8" s="51" t="s">
        <v>123</v>
      </c>
      <c r="AE8" s="51" t="s">
        <v>197</v>
      </c>
      <c r="AF8" s="51" t="s">
        <v>206</v>
      </c>
      <c r="AG8" s="51" t="s">
        <v>207</v>
      </c>
      <c r="AH8" s="51" t="s">
        <v>216</v>
      </c>
      <c r="AI8" s="51" t="s">
        <v>215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5" t="s">
        <v>116</v>
      </c>
      <c r="B9" s="51">
        <v>-38.9</v>
      </c>
      <c r="C9" s="106" t="s">
        <v>115</v>
      </c>
      <c r="L9" s="54" t="str">
        <f t="shared" si="0"/>
        <v/>
      </c>
      <c r="M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" s="54" t="str">
        <f>IFERROR(-(WHOLE_STRUCTURE[[#This Row],[D, bottom '[m']]]-WHOLE_STRUCTURE[[#This Row],[D, top '[m']]])/(WHOLE_STRUCTURE[[#This Row],[Bottom '[m']]]-WHOLE_STRUCTURE[[#This Row],[Top '[m']]]),"")</f>
        <v/>
      </c>
      <c r="O9" s="52" t="str">
        <f>IFERROR((WHOLE_STRUCTURE[[#This Row],[D, bottom '[m']]]+WHOLE_STRUCTURE[[#This Row],[D, top '[m']]])/(2*WHOLE_STRUCTURE[[#This Row],[t '[mm']]]/1000),"")</f>
        <v/>
      </c>
      <c r="P9" s="55"/>
      <c r="Q9" s="51"/>
      <c r="R9" s="51"/>
      <c r="S9" s="51"/>
      <c r="T9" s="51"/>
      <c r="U9" s="51"/>
      <c r="V9" s="51"/>
      <c r="W9" s="51"/>
      <c r="X9" s="51"/>
      <c r="Y9" s="51"/>
      <c r="Z9" s="51"/>
      <c r="AB9" s="51" t="s">
        <v>110</v>
      </c>
      <c r="AC9" s="51">
        <v>13</v>
      </c>
      <c r="AD9" s="51">
        <v>210</v>
      </c>
      <c r="AE9" s="51">
        <v>777534</v>
      </c>
      <c r="AF9" s="51">
        <v>197394400</v>
      </c>
      <c r="AG9" s="51">
        <v>197394400</v>
      </c>
      <c r="AH9" s="51">
        <v>3.4</v>
      </c>
      <c r="AI9" s="51">
        <v>3.4</v>
      </c>
      <c r="AJ9" s="51" t="s">
        <v>138</v>
      </c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72"/>
      <c r="B10" s="173"/>
      <c r="C10" s="174"/>
      <c r="L10" s="54" t="str">
        <f t="shared" si="0"/>
        <v/>
      </c>
      <c r="M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" s="54" t="str">
        <f>IFERROR(-(WHOLE_STRUCTURE[[#This Row],[D, bottom '[m']]]-WHOLE_STRUCTURE[[#This Row],[D, top '[m']]])/(WHOLE_STRUCTURE[[#This Row],[Bottom '[m']]]-WHOLE_STRUCTURE[[#This Row],[Top '[m']]]),"")</f>
        <v/>
      </c>
      <c r="O10" s="52" t="str">
        <f>IFERROR((WHOLE_STRUCTURE[[#This Row],[D, bottom '[m']]]+WHOLE_STRUCTURE[[#This Row],[D, top '[m']]])/(2*WHOLE_STRUCTURE[[#This Row],[t '[mm']]]/1000),"")</f>
        <v/>
      </c>
      <c r="P10"/>
      <c r="Q10" s="51"/>
      <c r="R10" s="51"/>
      <c r="S10" s="51"/>
      <c r="T10" s="51"/>
      <c r="U10" s="51"/>
      <c r="V10" s="51"/>
      <c r="W10" s="51"/>
      <c r="X10" s="51"/>
      <c r="Y10" s="51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95" customHeight="1" thickBot="1">
      <c r="A11" s="132" t="s">
        <v>186</v>
      </c>
      <c r="B11" s="133">
        <f xml:space="preserve"> INDEX(WHOLE_STRUCTURE[Top '[m']], 1) + INDEX(RNA[Vertical Offset TT to HH '[m']],1)</f>
        <v>3.4</v>
      </c>
      <c r="C11" s="134" t="s">
        <v>115</v>
      </c>
      <c r="L11" s="54" t="str">
        <f t="shared" si="0"/>
        <v/>
      </c>
      <c r="M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" s="54" t="str">
        <f>IFERROR(-(WHOLE_STRUCTURE[[#This Row],[D, bottom '[m']]]-WHOLE_STRUCTURE[[#This Row],[D, top '[m']]])/(WHOLE_STRUCTURE[[#This Row],[Bottom '[m']]]-WHOLE_STRUCTURE[[#This Row],[Top '[m']]]),"")</f>
        <v/>
      </c>
      <c r="O11" s="52" t="str">
        <f>IFERROR((WHOLE_STRUCTURE[[#This Row],[D, bottom '[m']]]+WHOLE_STRUCTURE[[#This Row],[D, top '[m']]])/(2*WHOLE_STRUCTURE[[#This Row],[t '[mm']]]/1000),"")</f>
        <v/>
      </c>
      <c r="Q11" s="51"/>
      <c r="R11" s="51"/>
      <c r="S11" s="51"/>
      <c r="T11" s="51"/>
      <c r="U11" s="51"/>
      <c r="V11" s="51"/>
      <c r="W11" s="51"/>
      <c r="X11" s="51"/>
      <c r="Y11" s="51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6">
      <c r="L12" s="54" t="str">
        <f t="shared" si="0"/>
        <v/>
      </c>
      <c r="M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" s="54" t="str">
        <f>IFERROR(-(WHOLE_STRUCTURE[[#This Row],[D, bottom '[m']]]-WHOLE_STRUCTURE[[#This Row],[D, top '[m']]])/(WHOLE_STRUCTURE[[#This Row],[Bottom '[m']]]-WHOLE_STRUCTURE[[#This Row],[Top '[m']]]),"")</f>
        <v/>
      </c>
      <c r="O12" s="52" t="str">
        <f>IFERROR((WHOLE_STRUCTURE[[#This Row],[D, bottom '[m']]]+WHOLE_STRUCTURE[[#This Row],[D, top '[m']]])/(2*WHOLE_STRUCTURE[[#This Row],[t '[mm']]]/1000),"")</f>
        <v/>
      </c>
      <c r="Q12" s="51"/>
      <c r="R12" s="51"/>
      <c r="S12" s="51"/>
      <c r="T12" s="51"/>
      <c r="U12" s="51"/>
      <c r="V12" s="51"/>
      <c r="W12" s="51"/>
      <c r="X12" s="51"/>
      <c r="Y12" s="51"/>
      <c r="Z12" s="51"/>
      <c r="AB12" s="122" t="s">
        <v>88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77"/>
      <c r="B13" s="178"/>
      <c r="C13" s="179"/>
      <c r="L13" s="54" t="str">
        <f t="shared" si="0"/>
        <v/>
      </c>
      <c r="M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" s="54" t="str">
        <f>IFERROR(-(WHOLE_STRUCTURE[[#This Row],[D, bottom '[m']]]-WHOLE_STRUCTURE[[#This Row],[D, top '[m']]])/(WHOLE_STRUCTURE[[#This Row],[Bottom '[m']]]-WHOLE_STRUCTURE[[#This Row],[Top '[m']]]),"")</f>
        <v/>
      </c>
      <c r="O13" s="52" t="str">
        <f>IFERROR((WHOLE_STRUCTURE[[#This Row],[D, bottom '[m']]]+WHOLE_STRUCTURE[[#This Row],[D, top '[m']]])/(2*WHOLE_STRUCTURE[[#This Row],[t '[mm']]]/1000),"")</f>
        <v/>
      </c>
      <c r="Q13" s="51"/>
      <c r="R13" s="51"/>
      <c r="S13" s="51"/>
      <c r="T13" s="51"/>
      <c r="U13" s="51"/>
      <c r="V13" s="51"/>
      <c r="W13" s="51"/>
      <c r="X13" s="51"/>
      <c r="Y13" s="51"/>
      <c r="Z13" s="51"/>
      <c r="AB13" s="51" t="s">
        <v>85</v>
      </c>
      <c r="AC13" s="51" t="s">
        <v>91</v>
      </c>
      <c r="AD13" s="51" t="s">
        <v>111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77"/>
      <c r="B14" s="178"/>
      <c r="C14" s="179"/>
      <c r="L14" s="54" t="str">
        <f t="shared" si="0"/>
        <v/>
      </c>
      <c r="M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" s="54" t="str">
        <f>IFERROR(-(WHOLE_STRUCTURE[[#This Row],[D, bottom '[m']]]-WHOLE_STRUCTURE[[#This Row],[D, top '[m']]])/(WHOLE_STRUCTURE[[#This Row],[Bottom '[m']]]-WHOLE_STRUCTURE[[#This Row],[Top '[m']]]),"")</f>
        <v/>
      </c>
      <c r="O14" s="52" t="str">
        <f>IFERROR((WHOLE_STRUCTURE[[#This Row],[D, bottom '[m']]]+WHOLE_STRUCTURE[[#This Row],[D, top '[m']]])/(2*WHOLE_STRUCTURE[[#This Row],[t '[mm']]]/1000),"")</f>
        <v/>
      </c>
      <c r="Q14" s="51"/>
      <c r="R14" s="51"/>
      <c r="S14" s="51"/>
      <c r="T14" s="51"/>
      <c r="U14" s="51"/>
      <c r="V14" s="51"/>
      <c r="W14" s="51"/>
      <c r="X14" s="51"/>
      <c r="Y14" s="51"/>
      <c r="Z14" s="51"/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77"/>
      <c r="B15" s="178"/>
      <c r="C15" s="179"/>
      <c r="L15" s="54" t="str">
        <f t="shared" si="0"/>
        <v/>
      </c>
      <c r="M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" s="54" t="str">
        <f>IFERROR(-(WHOLE_STRUCTURE[[#This Row],[D, bottom '[m']]]-WHOLE_STRUCTURE[[#This Row],[D, top '[m']]])/(WHOLE_STRUCTURE[[#This Row],[Bottom '[m']]]-WHOLE_STRUCTURE[[#This Row],[Top '[m']]]),"")</f>
        <v/>
      </c>
      <c r="O15" s="52" t="str">
        <f>IFERROR((WHOLE_STRUCTURE[[#This Row],[D, bottom '[m']]]+WHOLE_STRUCTURE[[#This Row],[D, top '[m']]])/(2*WHOLE_STRUCTURE[[#This Row],[t '[mm']]]/1000),"")</f>
        <v/>
      </c>
      <c r="Q15" s="51"/>
      <c r="R15" s="51"/>
      <c r="S15" s="51"/>
      <c r="T15" s="51"/>
      <c r="U15" s="51"/>
      <c r="V15" s="51"/>
      <c r="W15" s="51"/>
      <c r="X15" s="51"/>
      <c r="Y15" s="51"/>
      <c r="Z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77"/>
      <c r="B16" s="178"/>
      <c r="C16" s="179"/>
      <c r="L16" s="54" t="str">
        <f t="shared" si="0"/>
        <v/>
      </c>
      <c r="M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" s="54" t="str">
        <f>IFERROR(-(WHOLE_STRUCTURE[[#This Row],[D, bottom '[m']]]-WHOLE_STRUCTURE[[#This Row],[D, top '[m']]])/(WHOLE_STRUCTURE[[#This Row],[Bottom '[m']]]-WHOLE_STRUCTURE[[#This Row],[Top '[m']]]),"")</f>
        <v/>
      </c>
      <c r="O16" s="52" t="str">
        <f>IFERROR((WHOLE_STRUCTURE[[#This Row],[D, bottom '[m']]]+WHOLE_STRUCTURE[[#This Row],[D, top '[m']]])/(2*WHOLE_STRUCTURE[[#This Row],[t '[mm']]]/1000),"")</f>
        <v/>
      </c>
      <c r="Q16" s="51"/>
      <c r="R16" s="51"/>
      <c r="S16" s="51"/>
      <c r="T16" s="51"/>
      <c r="U16" s="51"/>
      <c r="V16" s="51"/>
      <c r="W16" s="51"/>
      <c r="X16" s="51"/>
      <c r="Y16" s="51"/>
      <c r="Z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77"/>
      <c r="B17" s="178"/>
      <c r="C17" s="179"/>
      <c r="L17" s="54" t="str">
        <f t="shared" si="0"/>
        <v/>
      </c>
      <c r="M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" s="54" t="str">
        <f>IFERROR(-(WHOLE_STRUCTURE[[#This Row],[D, bottom '[m']]]-WHOLE_STRUCTURE[[#This Row],[D, top '[m']]])/(WHOLE_STRUCTURE[[#This Row],[Bottom '[m']]]-WHOLE_STRUCTURE[[#This Row],[Top '[m']]]),"")</f>
        <v/>
      </c>
      <c r="O17" s="52" t="str">
        <f>IFERROR((WHOLE_STRUCTURE[[#This Row],[D, bottom '[m']]]+WHOLE_STRUCTURE[[#This Row],[D, top '[m']]])/(2*WHOLE_STRUCTURE[[#This Row],[t '[mm']]]/1000),"")</f>
        <v/>
      </c>
      <c r="Q17" s="51"/>
      <c r="R17" s="51"/>
      <c r="S17" s="51"/>
      <c r="T17" s="51"/>
      <c r="U17" s="51"/>
      <c r="V17" s="51"/>
      <c r="W17" s="51"/>
      <c r="X17" s="51"/>
      <c r="Y17" s="51"/>
      <c r="Z17" s="51"/>
      <c r="AB17" s="51" t="s">
        <v>85</v>
      </c>
      <c r="AC17" s="51" t="s">
        <v>90</v>
      </c>
      <c r="AD17" s="51" t="s">
        <v>89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77"/>
      <c r="B18" s="178"/>
      <c r="C18" s="179"/>
      <c r="L18" s="54" t="str">
        <f t="shared" si="0"/>
        <v/>
      </c>
      <c r="M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" s="54" t="str">
        <f>IFERROR(-(WHOLE_STRUCTURE[[#This Row],[D, bottom '[m']]]-WHOLE_STRUCTURE[[#This Row],[D, top '[m']]])/(WHOLE_STRUCTURE[[#This Row],[Bottom '[m']]]-WHOLE_STRUCTURE[[#This Row],[Top '[m']]]),"")</f>
        <v/>
      </c>
      <c r="O18" s="52" t="str">
        <f>IFERROR((WHOLE_STRUCTURE[[#This Row],[D, bottom '[m']]]+WHOLE_STRUCTURE[[#This Row],[D, top '[m']]])/(2*WHOLE_STRUCTURE[[#This Row],[t '[mm']]]/1000),"")</f>
        <v/>
      </c>
      <c r="Q18" s="51"/>
      <c r="R18" s="51"/>
      <c r="S18" s="51"/>
      <c r="T18" s="51"/>
      <c r="U18" s="51"/>
      <c r="V18" s="51"/>
      <c r="W18" s="51"/>
      <c r="X18" s="51"/>
      <c r="Y18" s="51"/>
      <c r="Z18" s="51"/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77"/>
      <c r="B19" s="178"/>
      <c r="C19" s="179"/>
      <c r="L19" s="54" t="str">
        <f t="shared" si="0"/>
        <v/>
      </c>
      <c r="M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" s="54" t="str">
        <f>IFERROR(-(WHOLE_STRUCTURE[[#This Row],[D, bottom '[m']]]-WHOLE_STRUCTURE[[#This Row],[D, top '[m']]])/(WHOLE_STRUCTURE[[#This Row],[Bottom '[m']]]-WHOLE_STRUCTURE[[#This Row],[Top '[m']]]),"")</f>
        <v/>
      </c>
      <c r="O19" s="52" t="str">
        <f>IFERROR((WHOLE_STRUCTURE[[#This Row],[D, bottom '[m']]]+WHOLE_STRUCTURE[[#This Row],[D, top '[m']]])/(2*WHOLE_STRUCTURE[[#This Row],[t '[mm']]]/1000),"")</f>
        <v/>
      </c>
      <c r="Q19" s="51"/>
      <c r="R19" s="51"/>
      <c r="S19" s="51"/>
      <c r="T19" s="51"/>
      <c r="U19" s="51"/>
      <c r="V19" s="51"/>
      <c r="W19" s="51"/>
      <c r="X19" s="51"/>
      <c r="Y19" s="51"/>
      <c r="Z19" s="51"/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77"/>
      <c r="B20" s="178"/>
      <c r="C20" s="179"/>
      <c r="L20" s="54" t="str">
        <f t="shared" si="0"/>
        <v/>
      </c>
      <c r="M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" s="54" t="str">
        <f>IFERROR(-(WHOLE_STRUCTURE[[#This Row],[D, bottom '[m']]]-WHOLE_STRUCTURE[[#This Row],[D, top '[m']]])/(WHOLE_STRUCTURE[[#This Row],[Bottom '[m']]]-WHOLE_STRUCTURE[[#This Row],[Top '[m']]]),"")</f>
        <v/>
      </c>
      <c r="O20" s="52" t="str">
        <f>IFERROR((WHOLE_STRUCTURE[[#This Row],[D, bottom '[m']]]+WHOLE_STRUCTURE[[#This Row],[D, top '[m']]])/(2*WHOLE_STRUCTURE[[#This Row],[t '[mm']]]/1000),"")</f>
        <v/>
      </c>
      <c r="Q20" s="51"/>
      <c r="R20" s="51"/>
      <c r="S20" s="51"/>
      <c r="T20" s="51"/>
      <c r="U20" s="51"/>
      <c r="V20" s="51"/>
      <c r="W20" s="51"/>
      <c r="X20" s="51"/>
      <c r="Y20" s="51"/>
      <c r="Z20" s="51"/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77"/>
      <c r="B21" s="178"/>
      <c r="C21" s="179"/>
      <c r="L21" s="54" t="str">
        <f t="shared" si="0"/>
        <v/>
      </c>
      <c r="M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" s="54" t="str">
        <f>IFERROR(-(WHOLE_STRUCTURE[[#This Row],[D, bottom '[m']]]-WHOLE_STRUCTURE[[#This Row],[D, top '[m']]])/(WHOLE_STRUCTURE[[#This Row],[Bottom '[m']]]-WHOLE_STRUCTURE[[#This Row],[Top '[m']]]),"")</f>
        <v/>
      </c>
      <c r="O21" s="52" t="str">
        <f>IFERROR((WHOLE_STRUCTURE[[#This Row],[D, bottom '[m']]]+WHOLE_STRUCTURE[[#This Row],[D, top '[m']]])/(2*WHOLE_STRUCTURE[[#This Row],[t '[mm']]]/1000),"")</f>
        <v/>
      </c>
      <c r="Q21" s="220"/>
      <c r="R21" s="220"/>
      <c r="S21" s="220"/>
      <c r="T21" s="220"/>
      <c r="U21" s="220"/>
      <c r="V21" s="220"/>
      <c r="W21" s="220"/>
      <c r="X21" s="220"/>
      <c r="Y21" s="220"/>
      <c r="Z21" s="220"/>
      <c r="AI21" s="51"/>
      <c r="AJ21" s="51"/>
      <c r="AK21" s="51"/>
      <c r="AL21" s="51"/>
      <c r="AM21" s="51"/>
      <c r="AN21" s="51"/>
      <c r="AO21" s="51"/>
      <c r="AP21" s="51"/>
      <c r="AQ21" s="51"/>
      <c r="BF21" s="85" t="s">
        <v>371</v>
      </c>
    </row>
    <row r="22" spans="1:58" ht="15.6">
      <c r="A22" s="177"/>
      <c r="B22" s="178"/>
      <c r="C22" s="179"/>
      <c r="L22" s="54" t="str">
        <f t="shared" si="0"/>
        <v/>
      </c>
      <c r="M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" s="54" t="str">
        <f>IFERROR(-(WHOLE_STRUCTURE[[#This Row],[D, bottom '[m']]]-WHOLE_STRUCTURE[[#This Row],[D, top '[m']]])/(WHOLE_STRUCTURE[[#This Row],[Bottom '[m']]]-WHOLE_STRUCTURE[[#This Row],[Top '[m']]]),"")</f>
        <v/>
      </c>
      <c r="O22" s="52" t="str">
        <f>IFERROR((WHOLE_STRUCTURE[[#This Row],[D, bottom '[m']]]+WHOLE_STRUCTURE[[#This Row],[D, top '[m']]])/(2*WHOLE_STRUCTURE[[#This Row],[t '[mm']]]/1000),"")</f>
        <v/>
      </c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B22" s="120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77"/>
      <c r="B23" s="178"/>
      <c r="C23" s="179"/>
      <c r="L23" s="54" t="str">
        <f t="shared" si="0"/>
        <v/>
      </c>
      <c r="M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" s="54" t="str">
        <f>IFERROR(-(WHOLE_STRUCTURE[[#This Row],[D, bottom '[m']]]-WHOLE_STRUCTURE[[#This Row],[D, top '[m']]])/(WHOLE_STRUCTURE[[#This Row],[Bottom '[m']]]-WHOLE_STRUCTURE[[#This Row],[Top '[m']]]),"")</f>
        <v/>
      </c>
      <c r="O23" s="52" t="str">
        <f>IFERROR((WHOLE_STRUCTURE[[#This Row],[D, bottom '[m']]]+WHOLE_STRUCTURE[[#This Row],[D, top '[m']]])/(2*WHOLE_STRUCTURE[[#This Row],[t '[mm']]]/1000),"")</f>
        <v/>
      </c>
      <c r="Q23" s="220"/>
      <c r="R23" s="220"/>
      <c r="S23" s="220"/>
      <c r="T23" s="220"/>
      <c r="U23" s="220"/>
      <c r="V23" s="220"/>
      <c r="W23" s="220"/>
      <c r="X23" s="220"/>
      <c r="Y23" s="220"/>
      <c r="Z23" s="220"/>
      <c r="AB23" s="51" t="s">
        <v>89</v>
      </c>
      <c r="AC23" s="51" t="s">
        <v>90</v>
      </c>
      <c r="AD23" s="51" t="s">
        <v>95</v>
      </c>
      <c r="AE23" s="51" t="s">
        <v>225</v>
      </c>
      <c r="AF23" s="51" t="s">
        <v>224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77"/>
      <c r="B24" s="178"/>
      <c r="C24" s="179"/>
      <c r="L24" s="54" t="str">
        <f t="shared" si="0"/>
        <v/>
      </c>
      <c r="M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" s="54" t="str">
        <f>IFERROR(-(WHOLE_STRUCTURE[[#This Row],[D, bottom '[m']]]-WHOLE_STRUCTURE[[#This Row],[D, top '[m']]])/(WHOLE_STRUCTURE[[#This Row],[Bottom '[m']]]-WHOLE_STRUCTURE[[#This Row],[Top '[m']]]),"")</f>
        <v/>
      </c>
      <c r="O24" s="52" t="str">
        <f>IFERROR((WHOLE_STRUCTURE[[#This Row],[D, bottom '[m']]]+WHOLE_STRUCTURE[[#This Row],[D, top '[m']]])/(2*WHOLE_STRUCTURE[[#This Row],[t '[mm']]]/1000),"")</f>
        <v/>
      </c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77"/>
      <c r="B25" s="178"/>
      <c r="C25" s="179"/>
      <c r="L25" s="54" t="str">
        <f t="shared" si="0"/>
        <v/>
      </c>
      <c r="M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" s="54" t="str">
        <f>IFERROR(-(WHOLE_STRUCTURE[[#This Row],[D, bottom '[m']]]-WHOLE_STRUCTURE[[#This Row],[D, top '[m']]])/(WHOLE_STRUCTURE[[#This Row],[Bottom '[m']]]-WHOLE_STRUCTURE[[#This Row],[Top '[m']]]),"")</f>
        <v/>
      </c>
      <c r="O25" s="52" t="str">
        <f>IFERROR((WHOLE_STRUCTURE[[#This Row],[D, bottom '[m']]]+WHOLE_STRUCTURE[[#This Row],[D, top '[m']]])/(2*WHOLE_STRUCTURE[[#This Row],[t '[mm']]]/1000),"")</f>
        <v/>
      </c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88"/>
      <c r="B26" s="189"/>
      <c r="C26" s="190"/>
      <c r="L26" s="54" t="str">
        <f t="shared" si="0"/>
        <v/>
      </c>
      <c r="M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" s="54" t="str">
        <f>IFERROR(-(WHOLE_STRUCTURE[[#This Row],[D, bottom '[m']]]-WHOLE_STRUCTURE[[#This Row],[D, top '[m']]])/(WHOLE_STRUCTURE[[#This Row],[Bottom '[m']]]-WHOLE_STRUCTURE[[#This Row],[Top '[m']]]),"")</f>
        <v/>
      </c>
      <c r="O26" s="52" t="str">
        <f>IFERROR((WHOLE_STRUCTURE[[#This Row],[D, bottom '[m']]]+WHOLE_STRUCTURE[[#This Row],[D, top '[m']]])/(2*WHOLE_STRUCTURE[[#This Row],[t '[mm']]]/1000),"")</f>
        <v/>
      </c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25" t="s">
        <v>272</v>
      </c>
      <c r="L27" s="54" t="str">
        <f t="shared" si="0"/>
        <v/>
      </c>
      <c r="M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" s="54" t="str">
        <f>IFERROR(-(WHOLE_STRUCTURE[[#This Row],[D, bottom '[m']]]-WHOLE_STRUCTURE[[#This Row],[D, top '[m']]])/(WHOLE_STRUCTURE[[#This Row],[Bottom '[m']]]-WHOLE_STRUCTURE[[#This Row],[Top '[m']]]),"")</f>
        <v/>
      </c>
      <c r="O27" s="52" t="str">
        <f>IFERROR((WHOLE_STRUCTURE[[#This Row],[D, bottom '[m']]]+WHOLE_STRUCTURE[[#This Row],[D, top '[m']]])/(2*WHOLE_STRUCTURE[[#This Row],[t '[mm']]]/1000),"")</f>
        <v/>
      </c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21" t="s">
        <v>121</v>
      </c>
      <c r="B28" s="51" t="s">
        <v>99</v>
      </c>
      <c r="C28" s="106" t="s">
        <v>100</v>
      </c>
      <c r="L28" s="54" t="str">
        <f t="shared" si="0"/>
        <v/>
      </c>
      <c r="M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" s="54" t="str">
        <f>IFERROR(-(WHOLE_STRUCTURE[[#This Row],[D, bottom '[m']]]-WHOLE_STRUCTURE[[#This Row],[D, top '[m']]])/(WHOLE_STRUCTURE[[#This Row],[Bottom '[m']]]-WHOLE_STRUCTURE[[#This Row],[Top '[m']]]),"")</f>
        <v/>
      </c>
      <c r="O28" s="52" t="str">
        <f>IFERROR((WHOLE_STRUCTURE[[#This Row],[D, bottom '[m']]]+WHOLE_STRUCTURE[[#This Row],[D, top '[m']]])/(2*WHOLE_STRUCTURE[[#This Row],[t '[mm']]]/1000),"")</f>
        <v/>
      </c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75">
        <f>SUMIF(WHOLE_STRUCTURE[Affiliation], "TOWER", L6:L2252)</f>
        <v>0</v>
      </c>
      <c r="C29" s="106" t="s">
        <v>6</v>
      </c>
      <c r="L29" s="54" t="str">
        <f t="shared" si="0"/>
        <v/>
      </c>
      <c r="M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" s="54" t="str">
        <f>IFERROR(-(WHOLE_STRUCTURE[[#This Row],[D, bottom '[m']]]-WHOLE_STRUCTURE[[#This Row],[D, top '[m']]])/(WHOLE_STRUCTURE[[#This Row],[Bottom '[m']]]-WHOLE_STRUCTURE[[#This Row],[Top '[m']]]),"")</f>
        <v/>
      </c>
      <c r="O29" s="52" t="str">
        <f>IFERROR((WHOLE_STRUCTURE[[#This Row],[D, bottom '[m']]]+WHOLE_STRUCTURE[[#This Row],[D, top '[m']]])/(2*WHOLE_STRUCTURE[[#This Row],[t '[mm']]]/1000),"")</f>
        <v/>
      </c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6">
      <c r="A30" s="56" t="s">
        <v>83</v>
      </c>
      <c r="B30" s="175">
        <f>SUMIF(WHOLE_STRUCTURE[Affiliation], "TP", L6:L2252)</f>
        <v>0</v>
      </c>
      <c r="C30" s="106" t="s">
        <v>6</v>
      </c>
      <c r="L30" s="54" t="str">
        <f t="shared" si="0"/>
        <v/>
      </c>
      <c r="M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" s="54" t="str">
        <f>IFERROR(-(WHOLE_STRUCTURE[[#This Row],[D, bottom '[m']]]-WHOLE_STRUCTURE[[#This Row],[D, top '[m']]])/(WHOLE_STRUCTURE[[#This Row],[Bottom '[m']]]-WHOLE_STRUCTURE[[#This Row],[Top '[m']]]),"")</f>
        <v/>
      </c>
      <c r="O30" s="52" t="str">
        <f>IFERROR((WHOLE_STRUCTURE[[#This Row],[D, bottom '[m']]]+WHOLE_STRUCTURE[[#This Row],[D, top '[m']]])/(2*WHOLE_STRUCTURE[[#This Row],[t '[mm']]]/1000),"")</f>
        <v/>
      </c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B30" s="120" t="s">
        <v>94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75">
        <f>SUMIF(WHOLE_STRUCTURE[Affiliation], "MP", L6:L2252)</f>
        <v>0</v>
      </c>
      <c r="C31" s="106" t="s">
        <v>6</v>
      </c>
      <c r="L31" s="54" t="str">
        <f t="shared" si="0"/>
        <v/>
      </c>
      <c r="M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" s="54" t="str">
        <f>IFERROR(-(WHOLE_STRUCTURE[[#This Row],[D, bottom '[m']]]-WHOLE_STRUCTURE[[#This Row],[D, top '[m']]])/(WHOLE_STRUCTURE[[#This Row],[Bottom '[m']]]-WHOLE_STRUCTURE[[#This Row],[Top '[m']]]),"")</f>
        <v/>
      </c>
      <c r="O31" s="52" t="str">
        <f>IFERROR((WHOLE_STRUCTURE[[#This Row],[D, bottom '[m']]]+WHOLE_STRUCTURE[[#This Row],[D, top '[m']]])/(2*WHOLE_STRUCTURE[[#This Row],[t '[mm']]]/1000),"")</f>
        <v/>
      </c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B31" s="51" t="s">
        <v>89</v>
      </c>
      <c r="AC31" s="51" t="s">
        <v>90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109</v>
      </c>
      <c r="B32" s="175" cm="1">
        <f t="array" ref="B32">RNA[Power '[MW']]</f>
        <v>13</v>
      </c>
      <c r="C32" s="106" t="s">
        <v>6</v>
      </c>
      <c r="L32" s="54" t="str">
        <f t="shared" si="0"/>
        <v/>
      </c>
      <c r="M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" s="54" t="str">
        <f>IFERROR(-(WHOLE_STRUCTURE[[#This Row],[D, bottom '[m']]]-WHOLE_STRUCTURE[[#This Row],[D, top '[m']]])/(WHOLE_STRUCTURE[[#This Row],[Bottom '[m']]]-WHOLE_STRUCTURE[[#This Row],[Top '[m']]]),"")</f>
        <v/>
      </c>
      <c r="O32" s="52" t="str">
        <f>IFERROR((WHOLE_STRUCTURE[[#This Row],[D, bottom '[m']]]+WHOLE_STRUCTURE[[#This Row],[D, top '[m']]])/(2*WHOLE_STRUCTURE[[#This Row],[t '[mm']]]/1000),"")</f>
        <v/>
      </c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112</v>
      </c>
      <c r="B33" s="175">
        <f>SUM(S6:S1048576)</f>
        <v>0</v>
      </c>
      <c r="C33" s="106" t="s">
        <v>6</v>
      </c>
      <c r="L33" s="54" t="str">
        <f t="shared" si="0"/>
        <v/>
      </c>
      <c r="M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" s="54" t="str">
        <f>IFERROR(-(WHOLE_STRUCTURE[[#This Row],[D, bottom '[m']]]-WHOLE_STRUCTURE[[#This Row],[D, top '[m']]])/(WHOLE_STRUCTURE[[#This Row],[Bottom '[m']]]-WHOLE_STRUCTURE[[#This Row],[Top '[m']]]),"")</f>
        <v/>
      </c>
      <c r="O33" s="52" t="str">
        <f>IFERROR((WHOLE_STRUCTURE[[#This Row],[D, bottom '[m']]]+WHOLE_STRUCTURE[[#This Row],[D, top '[m']]])/(2*WHOLE_STRUCTURE[[#This Row],[t '[mm']]]/1000),"")</f>
        <v/>
      </c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" customHeight="1">
      <c r="A34" s="56" t="s">
        <v>120</v>
      </c>
      <c r="B34" s="175">
        <f>SUM(B29:B33)</f>
        <v>13</v>
      </c>
      <c r="C34" s="106" t="s">
        <v>6</v>
      </c>
      <c r="L34" s="54" t="str">
        <f t="shared" si="0"/>
        <v/>
      </c>
      <c r="M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" s="54" t="str">
        <f>IFERROR(-(WHOLE_STRUCTURE[[#This Row],[D, bottom '[m']]]-WHOLE_STRUCTURE[[#This Row],[D, top '[m']]])/(WHOLE_STRUCTURE[[#This Row],[Bottom '[m']]]-WHOLE_STRUCTURE[[#This Row],[Top '[m']]]),"")</f>
        <v/>
      </c>
      <c r="O34" s="52" t="str">
        <f>IFERROR((WHOLE_STRUCTURE[[#This Row],[D, bottom '[m']]]+WHOLE_STRUCTURE[[#This Row],[D, top '[m']]])/(2*WHOLE_STRUCTURE[[#This Row],[t '[mm']]]/1000),"")</f>
        <v/>
      </c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L35" s="54" t="str">
        <f t="shared" si="0"/>
        <v/>
      </c>
      <c r="M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" s="54" t="str">
        <f>IFERROR(-(WHOLE_STRUCTURE[[#This Row],[D, bottom '[m']]]-WHOLE_STRUCTURE[[#This Row],[D, top '[m']]])/(WHOLE_STRUCTURE[[#This Row],[Bottom '[m']]]-WHOLE_STRUCTURE[[#This Row],[Top '[m']]]),"")</f>
        <v/>
      </c>
      <c r="O35" s="52" t="str">
        <f>IFERROR((WHOLE_STRUCTURE[[#This Row],[D, bottom '[m']]]+WHOLE_STRUCTURE[[#This Row],[D, top '[m']]])/(2*WHOLE_STRUCTURE[[#This Row],[t '[mm']]]/1000),"")</f>
        <v/>
      </c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L36" s="54" t="str">
        <f t="shared" si="0"/>
        <v/>
      </c>
      <c r="M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" s="54" t="str">
        <f>IFERROR(-(WHOLE_STRUCTURE[[#This Row],[D, bottom '[m']]]-WHOLE_STRUCTURE[[#This Row],[D, top '[m']]])/(WHOLE_STRUCTURE[[#This Row],[Bottom '[m']]]-WHOLE_STRUCTURE[[#This Row],[Top '[m']]]),"")</f>
        <v/>
      </c>
      <c r="O36" s="52" t="str">
        <f>IFERROR((WHOLE_STRUCTURE[[#This Row],[D, bottom '[m']]]+WHOLE_STRUCTURE[[#This Row],[D, top '[m']]])/(2*WHOLE_STRUCTURE[[#This Row],[t '[mm']]]/1000),"")</f>
        <v/>
      </c>
      <c r="Q36" s="220"/>
      <c r="R36" s="220"/>
      <c r="S36" s="220"/>
      <c r="T36" s="220"/>
      <c r="U36" s="220"/>
      <c r="V36" s="220"/>
      <c r="W36" s="220"/>
      <c r="X36" s="220"/>
      <c r="Y36" s="220"/>
      <c r="Z36" s="220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L37" s="54" t="str">
        <f t="shared" si="0"/>
        <v/>
      </c>
      <c r="M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" s="54" t="str">
        <f>IFERROR(-(WHOLE_STRUCTURE[[#This Row],[D, bottom '[m']]]-WHOLE_STRUCTURE[[#This Row],[D, top '[m']]])/(WHOLE_STRUCTURE[[#This Row],[Bottom '[m']]]-WHOLE_STRUCTURE[[#This Row],[Top '[m']]]),"")</f>
        <v/>
      </c>
      <c r="O37" s="52" t="str">
        <f>IFERROR((WHOLE_STRUCTURE[[#This Row],[D, bottom '[m']]]+WHOLE_STRUCTURE[[#This Row],[D, top '[m']]])/(2*WHOLE_STRUCTURE[[#This Row],[t '[mm']]]/1000),"")</f>
        <v/>
      </c>
      <c r="Q37" s="220"/>
      <c r="R37" s="220"/>
      <c r="S37" s="220"/>
      <c r="T37" s="220"/>
      <c r="U37" s="220"/>
      <c r="V37" s="220"/>
      <c r="W37" s="220"/>
      <c r="X37" s="220"/>
      <c r="Y37" s="220"/>
      <c r="Z37" s="220"/>
    </row>
    <row r="38" spans="1:43">
      <c r="L38" s="54" t="str">
        <f t="shared" si="0"/>
        <v/>
      </c>
      <c r="M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" s="54" t="str">
        <f>IFERROR(-(WHOLE_STRUCTURE[[#This Row],[D, bottom '[m']]]-WHOLE_STRUCTURE[[#This Row],[D, top '[m']]])/(WHOLE_STRUCTURE[[#This Row],[Bottom '[m']]]-WHOLE_STRUCTURE[[#This Row],[Top '[m']]]),"")</f>
        <v/>
      </c>
      <c r="O38" s="52" t="str">
        <f>IFERROR((WHOLE_STRUCTURE[[#This Row],[D, bottom '[m']]]+WHOLE_STRUCTURE[[#This Row],[D, top '[m']]])/(2*WHOLE_STRUCTURE[[#This Row],[t '[mm']]]/1000),"")</f>
        <v/>
      </c>
      <c r="Q38" s="220"/>
      <c r="R38" s="220"/>
      <c r="S38" s="220"/>
      <c r="T38" s="220"/>
      <c r="U38" s="220"/>
      <c r="V38" s="220"/>
      <c r="W38" s="220"/>
      <c r="X38" s="220"/>
      <c r="Y38" s="220"/>
      <c r="Z38" s="220"/>
    </row>
    <row r="39" spans="1:43">
      <c r="L39" s="54" t="str">
        <f t="shared" ref="L39:L70" si="1"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/>
      </c>
      <c r="M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" s="54" t="str">
        <f>IFERROR(-(WHOLE_STRUCTURE[[#This Row],[D, bottom '[m']]]-WHOLE_STRUCTURE[[#This Row],[D, top '[m']]])/(WHOLE_STRUCTURE[[#This Row],[Bottom '[m']]]-WHOLE_STRUCTURE[[#This Row],[Top '[m']]]),"")</f>
        <v/>
      </c>
      <c r="O39" s="52" t="str">
        <f>IFERROR((WHOLE_STRUCTURE[[#This Row],[D, bottom '[m']]]+WHOLE_STRUCTURE[[#This Row],[D, top '[m']]])/(2*WHOLE_STRUCTURE[[#This Row],[t '[mm']]]/1000),"")</f>
        <v/>
      </c>
      <c r="Q39" s="220"/>
      <c r="R39" s="220"/>
      <c r="S39" s="220"/>
      <c r="T39" s="220"/>
      <c r="U39" s="220"/>
      <c r="V39" s="220"/>
      <c r="W39" s="220"/>
      <c r="X39" s="220"/>
      <c r="Y39" s="220"/>
      <c r="Z39" s="220"/>
    </row>
    <row r="40" spans="1:43">
      <c r="L40" s="54" t="str">
        <f t="shared" si="1"/>
        <v/>
      </c>
      <c r="M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" s="54" t="str">
        <f>IFERROR(-(WHOLE_STRUCTURE[[#This Row],[D, bottom '[m']]]-WHOLE_STRUCTURE[[#This Row],[D, top '[m']]])/(WHOLE_STRUCTURE[[#This Row],[Bottom '[m']]]-WHOLE_STRUCTURE[[#This Row],[Top '[m']]]),"")</f>
        <v/>
      </c>
      <c r="O40" s="52" t="str">
        <f>IFERROR((WHOLE_STRUCTURE[[#This Row],[D, bottom '[m']]]+WHOLE_STRUCTURE[[#This Row],[D, top '[m']]])/(2*WHOLE_STRUCTURE[[#This Row],[t '[mm']]]/1000),"")</f>
        <v/>
      </c>
      <c r="Q40" s="220"/>
      <c r="R40" s="220"/>
      <c r="S40" s="220"/>
      <c r="T40" s="220"/>
      <c r="U40" s="220"/>
      <c r="V40" s="220"/>
      <c r="W40" s="220"/>
      <c r="X40" s="220"/>
      <c r="Y40" s="220"/>
      <c r="Z40" s="220"/>
    </row>
    <row r="41" spans="1:43">
      <c r="L41" s="54" t="str">
        <f t="shared" si="1"/>
        <v/>
      </c>
      <c r="M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" s="54" t="str">
        <f>IFERROR(-(WHOLE_STRUCTURE[[#This Row],[D, bottom '[m']]]-WHOLE_STRUCTURE[[#This Row],[D, top '[m']]])/(WHOLE_STRUCTURE[[#This Row],[Bottom '[m']]]-WHOLE_STRUCTURE[[#This Row],[Top '[m']]]),"")</f>
        <v/>
      </c>
      <c r="O41" s="52" t="str">
        <f>IFERROR((WHOLE_STRUCTURE[[#This Row],[D, bottom '[m']]]+WHOLE_STRUCTURE[[#This Row],[D, top '[m']]])/(2*WHOLE_STRUCTURE[[#This Row],[t '[mm']]]/1000),"")</f>
        <v/>
      </c>
      <c r="Q41" s="220"/>
      <c r="R41" s="220"/>
      <c r="S41" s="220"/>
      <c r="T41" s="220"/>
      <c r="U41" s="220"/>
      <c r="V41" s="220"/>
      <c r="W41" s="220"/>
      <c r="X41" s="220"/>
      <c r="Y41" s="220"/>
      <c r="Z41" s="220"/>
    </row>
    <row r="42" spans="1:43">
      <c r="L42" s="54" t="str">
        <f t="shared" si="1"/>
        <v/>
      </c>
      <c r="M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" s="54" t="str">
        <f>IFERROR(-(WHOLE_STRUCTURE[[#This Row],[D, bottom '[m']]]-WHOLE_STRUCTURE[[#This Row],[D, top '[m']]])/(WHOLE_STRUCTURE[[#This Row],[Bottom '[m']]]-WHOLE_STRUCTURE[[#This Row],[Top '[m']]]),"")</f>
        <v/>
      </c>
      <c r="O42" s="52" t="str">
        <f>IFERROR((WHOLE_STRUCTURE[[#This Row],[D, bottom '[m']]]+WHOLE_STRUCTURE[[#This Row],[D, top '[m']]])/(2*WHOLE_STRUCTURE[[#This Row],[t '[mm']]]/1000),"")</f>
        <v/>
      </c>
      <c r="Q42" s="220"/>
      <c r="R42" s="220"/>
      <c r="S42" s="220"/>
      <c r="T42" s="220"/>
      <c r="U42" s="220"/>
      <c r="V42" s="220"/>
      <c r="W42" s="220"/>
      <c r="X42" s="220"/>
      <c r="Y42" s="220"/>
      <c r="Z42" s="220"/>
    </row>
    <row r="43" spans="1:43">
      <c r="L43" s="54" t="str">
        <f t="shared" si="1"/>
        <v/>
      </c>
      <c r="M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" s="54" t="str">
        <f>IFERROR(-(WHOLE_STRUCTURE[[#This Row],[D, bottom '[m']]]-WHOLE_STRUCTURE[[#This Row],[D, top '[m']]])/(WHOLE_STRUCTURE[[#This Row],[Bottom '[m']]]-WHOLE_STRUCTURE[[#This Row],[Top '[m']]]),"")</f>
        <v/>
      </c>
      <c r="O43" s="52" t="str">
        <f>IFERROR((WHOLE_STRUCTURE[[#This Row],[D, bottom '[m']]]+WHOLE_STRUCTURE[[#This Row],[D, top '[m']]])/(2*WHOLE_STRUCTURE[[#This Row],[t '[mm']]]/1000),"")</f>
        <v/>
      </c>
      <c r="Q43" s="220"/>
      <c r="R43" s="220"/>
      <c r="S43" s="220"/>
      <c r="T43" s="220"/>
      <c r="U43" s="220"/>
      <c r="V43" s="220"/>
      <c r="W43" s="220"/>
      <c r="X43" s="220"/>
      <c r="Y43" s="220"/>
      <c r="Z43" s="220"/>
    </row>
    <row r="44" spans="1:43">
      <c r="L44" s="54" t="str">
        <f t="shared" si="1"/>
        <v/>
      </c>
      <c r="M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" s="54" t="str">
        <f>IFERROR(-(WHOLE_STRUCTURE[[#This Row],[D, bottom '[m']]]-WHOLE_STRUCTURE[[#This Row],[D, top '[m']]])/(WHOLE_STRUCTURE[[#This Row],[Bottom '[m']]]-WHOLE_STRUCTURE[[#This Row],[Top '[m']]]),"")</f>
        <v/>
      </c>
      <c r="O44" s="52" t="str">
        <f>IFERROR((WHOLE_STRUCTURE[[#This Row],[D, bottom '[m']]]+WHOLE_STRUCTURE[[#This Row],[D, top '[m']]])/(2*WHOLE_STRUCTURE[[#This Row],[t '[mm']]]/1000),"")</f>
        <v/>
      </c>
      <c r="Q44" s="220"/>
      <c r="R44" s="220"/>
      <c r="S44" s="220"/>
      <c r="T44" s="220"/>
      <c r="U44" s="220"/>
      <c r="V44" s="220"/>
      <c r="W44" s="220"/>
      <c r="X44" s="220"/>
      <c r="Y44" s="220"/>
      <c r="Z44" s="220"/>
    </row>
    <row r="45" spans="1:43">
      <c r="L45" s="54" t="str">
        <f t="shared" si="1"/>
        <v/>
      </c>
      <c r="M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" s="54" t="str">
        <f>IFERROR(-(WHOLE_STRUCTURE[[#This Row],[D, bottom '[m']]]-WHOLE_STRUCTURE[[#This Row],[D, top '[m']]])/(WHOLE_STRUCTURE[[#This Row],[Bottom '[m']]]-WHOLE_STRUCTURE[[#This Row],[Top '[m']]]),"")</f>
        <v/>
      </c>
      <c r="O45" s="52" t="str">
        <f>IFERROR((WHOLE_STRUCTURE[[#This Row],[D, bottom '[m']]]+WHOLE_STRUCTURE[[#This Row],[D, top '[m']]])/(2*WHOLE_STRUCTURE[[#This Row],[t '[mm']]]/1000),"")</f>
        <v/>
      </c>
      <c r="Q45" s="220"/>
      <c r="R45" s="220"/>
      <c r="S45" s="220"/>
      <c r="T45" s="220"/>
      <c r="U45" s="220"/>
      <c r="V45" s="220"/>
      <c r="W45" s="220"/>
      <c r="X45" s="220"/>
      <c r="Y45" s="220"/>
      <c r="Z45" s="220"/>
    </row>
    <row r="46" spans="1:43">
      <c r="L46" s="54" t="str">
        <f t="shared" si="1"/>
        <v/>
      </c>
      <c r="M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6" s="54" t="str">
        <f>IFERROR(-(WHOLE_STRUCTURE[[#This Row],[D, bottom '[m']]]-WHOLE_STRUCTURE[[#This Row],[D, top '[m']]])/(WHOLE_STRUCTURE[[#This Row],[Bottom '[m']]]-WHOLE_STRUCTURE[[#This Row],[Top '[m']]]),"")</f>
        <v/>
      </c>
      <c r="O46" s="52" t="str">
        <f>IFERROR((WHOLE_STRUCTURE[[#This Row],[D, bottom '[m']]]+WHOLE_STRUCTURE[[#This Row],[D, top '[m']]])/(2*WHOLE_STRUCTURE[[#This Row],[t '[mm']]]/1000),"")</f>
        <v/>
      </c>
      <c r="Q46" s="220"/>
      <c r="R46" s="220"/>
      <c r="S46" s="220"/>
      <c r="T46" s="220"/>
      <c r="U46" s="220"/>
      <c r="V46" s="220"/>
      <c r="W46" s="220"/>
      <c r="X46" s="220"/>
      <c r="Y46" s="220"/>
      <c r="Z46" s="220"/>
    </row>
    <row r="47" spans="1:43">
      <c r="L47" s="54" t="str">
        <f t="shared" si="1"/>
        <v/>
      </c>
      <c r="M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7" s="54" t="str">
        <f>IFERROR(-(WHOLE_STRUCTURE[[#This Row],[D, bottom '[m']]]-WHOLE_STRUCTURE[[#This Row],[D, top '[m']]])/(WHOLE_STRUCTURE[[#This Row],[Bottom '[m']]]-WHOLE_STRUCTURE[[#This Row],[Top '[m']]]),"")</f>
        <v/>
      </c>
      <c r="O47" s="52" t="str">
        <f>IFERROR((WHOLE_STRUCTURE[[#This Row],[D, bottom '[m']]]+WHOLE_STRUCTURE[[#This Row],[D, top '[m']]])/(2*WHOLE_STRUCTURE[[#This Row],[t '[mm']]]/1000),"")</f>
        <v/>
      </c>
      <c r="Q47" s="220"/>
      <c r="R47" s="220"/>
      <c r="S47" s="220"/>
      <c r="T47" s="220"/>
      <c r="U47" s="220"/>
      <c r="V47" s="220"/>
      <c r="W47" s="220"/>
      <c r="X47" s="220"/>
      <c r="Y47" s="220"/>
      <c r="Z47" s="220"/>
    </row>
    <row r="48" spans="1:43">
      <c r="L48" s="54" t="str">
        <f t="shared" si="1"/>
        <v/>
      </c>
      <c r="M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8" s="54" t="str">
        <f>IFERROR(-(WHOLE_STRUCTURE[[#This Row],[D, bottom '[m']]]-WHOLE_STRUCTURE[[#This Row],[D, top '[m']]])/(WHOLE_STRUCTURE[[#This Row],[Bottom '[m']]]-WHOLE_STRUCTURE[[#This Row],[Top '[m']]]),"")</f>
        <v/>
      </c>
      <c r="O48" s="52" t="str">
        <f>IFERROR((WHOLE_STRUCTURE[[#This Row],[D, bottom '[m']]]+WHOLE_STRUCTURE[[#This Row],[D, top '[m']]])/(2*WHOLE_STRUCTURE[[#This Row],[t '[mm']]]/1000),"")</f>
        <v/>
      </c>
      <c r="Q48" s="220"/>
      <c r="R48" s="220"/>
      <c r="S48" s="220"/>
      <c r="T48" s="220"/>
      <c r="U48" s="220"/>
      <c r="V48" s="220"/>
      <c r="W48" s="220"/>
      <c r="X48" s="220"/>
      <c r="Y48" s="220"/>
      <c r="Z48" s="220"/>
    </row>
    <row r="49" spans="12:26">
      <c r="L49" s="54" t="str">
        <f t="shared" si="1"/>
        <v/>
      </c>
      <c r="M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9" s="54" t="str">
        <f>IFERROR(-(WHOLE_STRUCTURE[[#This Row],[D, bottom '[m']]]-WHOLE_STRUCTURE[[#This Row],[D, top '[m']]])/(WHOLE_STRUCTURE[[#This Row],[Bottom '[m']]]-WHOLE_STRUCTURE[[#This Row],[Top '[m']]]),"")</f>
        <v/>
      </c>
      <c r="O49" s="52" t="str">
        <f>IFERROR((WHOLE_STRUCTURE[[#This Row],[D, bottom '[m']]]+WHOLE_STRUCTURE[[#This Row],[D, top '[m']]])/(2*WHOLE_STRUCTURE[[#This Row],[t '[mm']]]/1000),"")</f>
        <v/>
      </c>
      <c r="Q49" s="220"/>
      <c r="R49" s="220"/>
      <c r="S49" s="220"/>
      <c r="T49" s="220"/>
      <c r="U49" s="220"/>
      <c r="V49" s="220"/>
      <c r="W49" s="220"/>
      <c r="X49" s="220"/>
      <c r="Y49" s="220"/>
      <c r="Z49" s="220"/>
    </row>
    <row r="50" spans="12:26">
      <c r="L50" s="54" t="str">
        <f t="shared" si="1"/>
        <v/>
      </c>
      <c r="M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0" s="54" t="str">
        <f>IFERROR(-(WHOLE_STRUCTURE[[#This Row],[D, bottom '[m']]]-WHOLE_STRUCTURE[[#This Row],[D, top '[m']]])/(WHOLE_STRUCTURE[[#This Row],[Bottom '[m']]]-WHOLE_STRUCTURE[[#This Row],[Top '[m']]]),"")</f>
        <v/>
      </c>
      <c r="O50" s="52" t="str">
        <f>IFERROR((WHOLE_STRUCTURE[[#This Row],[D, bottom '[m']]]+WHOLE_STRUCTURE[[#This Row],[D, top '[m']]])/(2*WHOLE_STRUCTURE[[#This Row],[t '[mm']]]/1000),"")</f>
        <v/>
      </c>
      <c r="Q50" s="220"/>
      <c r="R50" s="220"/>
      <c r="S50" s="220"/>
      <c r="T50" s="220"/>
      <c r="U50" s="220"/>
      <c r="V50" s="220"/>
      <c r="W50" s="220"/>
      <c r="X50" s="220"/>
      <c r="Y50" s="220"/>
      <c r="Z50" s="220"/>
    </row>
    <row r="51" spans="12:26">
      <c r="L51" s="54" t="str">
        <f t="shared" si="1"/>
        <v/>
      </c>
      <c r="M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1" s="54" t="str">
        <f>IFERROR(-(WHOLE_STRUCTURE[[#This Row],[D, bottom '[m']]]-WHOLE_STRUCTURE[[#This Row],[D, top '[m']]])/(WHOLE_STRUCTURE[[#This Row],[Bottom '[m']]]-WHOLE_STRUCTURE[[#This Row],[Top '[m']]]),"")</f>
        <v/>
      </c>
      <c r="O51" s="52" t="str">
        <f>IFERROR((WHOLE_STRUCTURE[[#This Row],[D, bottom '[m']]]+WHOLE_STRUCTURE[[#This Row],[D, top '[m']]])/(2*WHOLE_STRUCTURE[[#This Row],[t '[mm']]]/1000),"")</f>
        <v/>
      </c>
      <c r="Q51" s="220"/>
      <c r="R51" s="220"/>
      <c r="S51" s="220"/>
      <c r="T51" s="220"/>
      <c r="U51" s="220"/>
      <c r="V51" s="220"/>
      <c r="W51" s="220"/>
      <c r="X51" s="220"/>
      <c r="Y51" s="220"/>
      <c r="Z51" s="220"/>
    </row>
    <row r="52" spans="12:26">
      <c r="L52" s="54" t="str">
        <f t="shared" si="1"/>
        <v/>
      </c>
      <c r="M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2" s="54" t="str">
        <f>IFERROR(-(WHOLE_STRUCTURE[[#This Row],[D, bottom '[m']]]-WHOLE_STRUCTURE[[#This Row],[D, top '[m']]])/(WHOLE_STRUCTURE[[#This Row],[Bottom '[m']]]-WHOLE_STRUCTURE[[#This Row],[Top '[m']]]),"")</f>
        <v/>
      </c>
      <c r="O52" s="52" t="str">
        <f>IFERROR((WHOLE_STRUCTURE[[#This Row],[D, bottom '[m']]]+WHOLE_STRUCTURE[[#This Row],[D, top '[m']]])/(2*WHOLE_STRUCTURE[[#This Row],[t '[mm']]]/1000),"")</f>
        <v/>
      </c>
      <c r="Q52" s="220"/>
      <c r="R52" s="220"/>
      <c r="S52" s="220"/>
      <c r="T52" s="220"/>
      <c r="U52" s="220"/>
      <c r="V52" s="220"/>
      <c r="W52" s="220"/>
      <c r="X52" s="220"/>
      <c r="Y52" s="220"/>
      <c r="Z52" s="220"/>
    </row>
    <row r="53" spans="12:26">
      <c r="L53" s="54" t="str">
        <f t="shared" si="1"/>
        <v/>
      </c>
      <c r="M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3" s="54" t="str">
        <f>IFERROR(-(WHOLE_STRUCTURE[[#This Row],[D, bottom '[m']]]-WHOLE_STRUCTURE[[#This Row],[D, top '[m']]])/(WHOLE_STRUCTURE[[#This Row],[Bottom '[m']]]-WHOLE_STRUCTURE[[#This Row],[Top '[m']]]),"")</f>
        <v/>
      </c>
      <c r="O53" s="52" t="str">
        <f>IFERROR((WHOLE_STRUCTURE[[#This Row],[D, bottom '[m']]]+WHOLE_STRUCTURE[[#This Row],[D, top '[m']]])/(2*WHOLE_STRUCTURE[[#This Row],[t '[mm']]]/1000),"")</f>
        <v/>
      </c>
      <c r="Q53" s="220"/>
      <c r="R53" s="220"/>
      <c r="S53" s="220"/>
      <c r="T53" s="220"/>
      <c r="U53" s="220"/>
      <c r="V53" s="220"/>
      <c r="W53" s="220"/>
      <c r="X53" s="220"/>
      <c r="Y53" s="220"/>
      <c r="Z53" s="220"/>
    </row>
    <row r="54" spans="12:26">
      <c r="L54" s="54" t="str">
        <f t="shared" si="1"/>
        <v/>
      </c>
      <c r="M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4" s="54" t="str">
        <f>IFERROR(-(WHOLE_STRUCTURE[[#This Row],[D, bottom '[m']]]-WHOLE_STRUCTURE[[#This Row],[D, top '[m']]])/(WHOLE_STRUCTURE[[#This Row],[Bottom '[m']]]-WHOLE_STRUCTURE[[#This Row],[Top '[m']]]),"")</f>
        <v/>
      </c>
      <c r="O54" s="52" t="str">
        <f>IFERROR((WHOLE_STRUCTURE[[#This Row],[D, bottom '[m']]]+WHOLE_STRUCTURE[[#This Row],[D, top '[m']]])/(2*WHOLE_STRUCTURE[[#This Row],[t '[mm']]]/1000),"")</f>
        <v/>
      </c>
      <c r="Q54" s="220"/>
      <c r="R54" s="220"/>
      <c r="S54" s="220"/>
      <c r="T54" s="220"/>
      <c r="U54" s="220"/>
      <c r="V54" s="220"/>
      <c r="W54" s="220"/>
      <c r="X54" s="220"/>
      <c r="Y54" s="220"/>
      <c r="Z54" s="220"/>
    </row>
    <row r="55" spans="12:26">
      <c r="L55" s="54" t="str">
        <f t="shared" si="1"/>
        <v/>
      </c>
      <c r="M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5" s="54" t="str">
        <f>IFERROR(-(WHOLE_STRUCTURE[[#This Row],[D, bottom '[m']]]-WHOLE_STRUCTURE[[#This Row],[D, top '[m']]])/(WHOLE_STRUCTURE[[#This Row],[Bottom '[m']]]-WHOLE_STRUCTURE[[#This Row],[Top '[m']]]),"")</f>
        <v/>
      </c>
      <c r="O55" s="52" t="str">
        <f>IFERROR((WHOLE_STRUCTURE[[#This Row],[D, bottom '[m']]]+WHOLE_STRUCTURE[[#This Row],[D, top '[m']]])/(2*WHOLE_STRUCTURE[[#This Row],[t '[mm']]]/1000),"")</f>
        <v/>
      </c>
      <c r="Q55" s="220"/>
      <c r="R55" s="220"/>
      <c r="S55" s="220"/>
      <c r="T55" s="220"/>
      <c r="U55" s="220"/>
      <c r="V55" s="220"/>
      <c r="W55" s="220"/>
      <c r="X55" s="220"/>
      <c r="Y55" s="220"/>
      <c r="Z55" s="220"/>
    </row>
    <row r="56" spans="12:26">
      <c r="L56" s="54" t="str">
        <f t="shared" si="1"/>
        <v/>
      </c>
      <c r="M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6" s="54" t="str">
        <f>IFERROR(-(WHOLE_STRUCTURE[[#This Row],[D, bottom '[m']]]-WHOLE_STRUCTURE[[#This Row],[D, top '[m']]])/(WHOLE_STRUCTURE[[#This Row],[Bottom '[m']]]-WHOLE_STRUCTURE[[#This Row],[Top '[m']]]),"")</f>
        <v/>
      </c>
      <c r="O56" s="52" t="str">
        <f>IFERROR((WHOLE_STRUCTURE[[#This Row],[D, bottom '[m']]]+WHOLE_STRUCTURE[[#This Row],[D, top '[m']]])/(2*WHOLE_STRUCTURE[[#This Row],[t '[mm']]]/1000),"")</f>
        <v/>
      </c>
      <c r="Q56" s="220"/>
      <c r="R56" s="220"/>
      <c r="S56" s="220"/>
      <c r="T56" s="220"/>
      <c r="U56" s="220"/>
      <c r="V56" s="220"/>
      <c r="W56" s="220"/>
      <c r="X56" s="220"/>
      <c r="Y56" s="220"/>
      <c r="Z56" s="220"/>
    </row>
    <row r="57" spans="12:26">
      <c r="L57" s="54" t="str">
        <f t="shared" si="1"/>
        <v/>
      </c>
      <c r="M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7" s="54" t="str">
        <f>IFERROR(-(WHOLE_STRUCTURE[[#This Row],[D, bottom '[m']]]-WHOLE_STRUCTURE[[#This Row],[D, top '[m']]])/(WHOLE_STRUCTURE[[#This Row],[Bottom '[m']]]-WHOLE_STRUCTURE[[#This Row],[Top '[m']]]),"")</f>
        <v/>
      </c>
      <c r="O57" s="54" t="str">
        <f>IFERROR((WHOLE_STRUCTURE[[#This Row],[D, bottom '[m']]]+WHOLE_STRUCTURE[[#This Row],[D, top '[m']]])/(2*WHOLE_STRUCTURE[[#This Row],[t '[mm']]]/1000),"")</f>
        <v/>
      </c>
      <c r="Q57" s="220"/>
      <c r="R57" s="220"/>
      <c r="S57" s="220"/>
      <c r="T57" s="220"/>
      <c r="U57" s="220"/>
      <c r="V57" s="220"/>
      <c r="W57" s="220"/>
      <c r="X57" s="220"/>
      <c r="Y57" s="220"/>
      <c r="Z57" s="220"/>
    </row>
    <row r="58" spans="12:26">
      <c r="L58" s="54" t="str">
        <f t="shared" si="1"/>
        <v/>
      </c>
      <c r="M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8" s="54" t="str">
        <f>IFERROR(-(WHOLE_STRUCTURE[[#This Row],[D, bottom '[m']]]-WHOLE_STRUCTURE[[#This Row],[D, top '[m']]])/(WHOLE_STRUCTURE[[#This Row],[Bottom '[m']]]-WHOLE_STRUCTURE[[#This Row],[Top '[m']]]),"")</f>
        <v/>
      </c>
      <c r="O58" s="54" t="str">
        <f>IFERROR((WHOLE_STRUCTURE[[#This Row],[D, bottom '[m']]]+WHOLE_STRUCTURE[[#This Row],[D, top '[m']]])/(2*WHOLE_STRUCTURE[[#This Row],[t '[mm']]]/1000),"")</f>
        <v/>
      </c>
      <c r="Q58" s="220"/>
      <c r="R58" s="220"/>
      <c r="S58" s="220"/>
      <c r="T58" s="220"/>
      <c r="U58" s="220"/>
      <c r="V58" s="220"/>
      <c r="W58" s="220"/>
      <c r="X58" s="220"/>
      <c r="Y58" s="220"/>
      <c r="Z58" s="220"/>
    </row>
    <row r="59" spans="12:26">
      <c r="L59" s="54" t="str">
        <f t="shared" si="1"/>
        <v/>
      </c>
      <c r="M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9" s="54" t="str">
        <f>IFERROR(-(WHOLE_STRUCTURE[[#This Row],[D, bottom '[m']]]-WHOLE_STRUCTURE[[#This Row],[D, top '[m']]])/(WHOLE_STRUCTURE[[#This Row],[Bottom '[m']]]-WHOLE_STRUCTURE[[#This Row],[Top '[m']]]),"")</f>
        <v/>
      </c>
      <c r="O59" s="54" t="str">
        <f>IFERROR((WHOLE_STRUCTURE[[#This Row],[D, bottom '[m']]]+WHOLE_STRUCTURE[[#This Row],[D, top '[m']]])/(2*WHOLE_STRUCTURE[[#This Row],[t '[mm']]]/1000),"")</f>
        <v/>
      </c>
      <c r="Q59" s="220"/>
      <c r="R59" s="220"/>
      <c r="S59" s="220"/>
      <c r="T59" s="220"/>
      <c r="U59" s="220"/>
      <c r="V59" s="220"/>
      <c r="W59" s="220"/>
      <c r="X59" s="220"/>
      <c r="Y59" s="220"/>
      <c r="Z59" s="220"/>
    </row>
    <row r="60" spans="12:26">
      <c r="L60" s="54" t="str">
        <f t="shared" si="1"/>
        <v/>
      </c>
      <c r="M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0" s="54" t="str">
        <f>IFERROR(-(WHOLE_STRUCTURE[[#This Row],[D, bottom '[m']]]-WHOLE_STRUCTURE[[#This Row],[D, top '[m']]])/(WHOLE_STRUCTURE[[#This Row],[Bottom '[m']]]-WHOLE_STRUCTURE[[#This Row],[Top '[m']]]),"")</f>
        <v/>
      </c>
      <c r="O60" s="54" t="str">
        <f>IFERROR((WHOLE_STRUCTURE[[#This Row],[D, bottom '[m']]]+WHOLE_STRUCTURE[[#This Row],[D, top '[m']]])/(2*WHOLE_STRUCTURE[[#This Row],[t '[mm']]]/1000),"")</f>
        <v/>
      </c>
      <c r="Q60" s="220"/>
      <c r="R60" s="220"/>
      <c r="S60" s="220"/>
      <c r="T60" s="220"/>
      <c r="U60" s="220"/>
      <c r="V60" s="220"/>
      <c r="W60" s="220"/>
      <c r="X60" s="220"/>
      <c r="Y60" s="220"/>
      <c r="Z60" s="220"/>
    </row>
    <row r="61" spans="12:26">
      <c r="L61" s="54" t="str">
        <f t="shared" si="1"/>
        <v/>
      </c>
      <c r="M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1" s="54" t="str">
        <f>IFERROR(-(WHOLE_STRUCTURE[[#This Row],[D, bottom '[m']]]-WHOLE_STRUCTURE[[#This Row],[D, top '[m']]])/(WHOLE_STRUCTURE[[#This Row],[Bottom '[m']]]-WHOLE_STRUCTURE[[#This Row],[Top '[m']]]),"")</f>
        <v/>
      </c>
      <c r="O61" s="54" t="str">
        <f>IFERROR((WHOLE_STRUCTURE[[#This Row],[D, bottom '[m']]]+WHOLE_STRUCTURE[[#This Row],[D, top '[m']]])/(2*WHOLE_STRUCTURE[[#This Row],[t '[mm']]]/1000),"")</f>
        <v/>
      </c>
      <c r="Q61" s="220"/>
      <c r="R61" s="220"/>
      <c r="S61" s="220"/>
      <c r="T61" s="220"/>
      <c r="U61" s="220"/>
      <c r="V61" s="220"/>
      <c r="W61" s="220"/>
      <c r="X61" s="220"/>
      <c r="Y61" s="220"/>
      <c r="Z61" s="220"/>
    </row>
    <row r="62" spans="12:26">
      <c r="L62" s="54" t="str">
        <f t="shared" si="1"/>
        <v/>
      </c>
      <c r="M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2" s="54" t="str">
        <f>IFERROR(-(WHOLE_STRUCTURE[[#This Row],[D, bottom '[m']]]-WHOLE_STRUCTURE[[#This Row],[D, top '[m']]])/(WHOLE_STRUCTURE[[#This Row],[Bottom '[m']]]-WHOLE_STRUCTURE[[#This Row],[Top '[m']]]),"")</f>
        <v/>
      </c>
      <c r="O62" s="54" t="str">
        <f>IFERROR((WHOLE_STRUCTURE[[#This Row],[D, bottom '[m']]]+WHOLE_STRUCTURE[[#This Row],[D, top '[m']]])/(2*WHOLE_STRUCTURE[[#This Row],[t '[mm']]]/1000),"")</f>
        <v/>
      </c>
      <c r="Q62" s="220"/>
      <c r="R62" s="220"/>
      <c r="S62" s="220"/>
      <c r="T62" s="220"/>
      <c r="U62" s="220"/>
      <c r="V62" s="220"/>
      <c r="W62" s="220"/>
      <c r="X62" s="220"/>
      <c r="Y62" s="220"/>
      <c r="Z62" s="220"/>
    </row>
    <row r="63" spans="12:26">
      <c r="L63" s="54" t="str">
        <f t="shared" si="1"/>
        <v/>
      </c>
      <c r="M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3" s="54" t="str">
        <f>IFERROR(-(WHOLE_STRUCTURE[[#This Row],[D, bottom '[m']]]-WHOLE_STRUCTURE[[#This Row],[D, top '[m']]])/(WHOLE_STRUCTURE[[#This Row],[Bottom '[m']]]-WHOLE_STRUCTURE[[#This Row],[Top '[m']]]),"")</f>
        <v/>
      </c>
      <c r="O63" s="54" t="str">
        <f>IFERROR((WHOLE_STRUCTURE[[#This Row],[D, bottom '[m']]]+WHOLE_STRUCTURE[[#This Row],[D, top '[m']]])/(2*WHOLE_STRUCTURE[[#This Row],[t '[mm']]]/1000),"")</f>
        <v/>
      </c>
      <c r="Q63" s="220"/>
      <c r="R63" s="220"/>
      <c r="S63" s="220"/>
      <c r="T63" s="220"/>
      <c r="U63" s="220"/>
      <c r="V63" s="220"/>
      <c r="W63" s="220"/>
      <c r="X63" s="220"/>
      <c r="Y63" s="220"/>
      <c r="Z63" s="220"/>
    </row>
    <row r="64" spans="12:26">
      <c r="L64" s="54" t="str">
        <f t="shared" si="1"/>
        <v/>
      </c>
      <c r="M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4" s="54" t="str">
        <f>IFERROR(-(WHOLE_STRUCTURE[[#This Row],[D, bottom '[m']]]-WHOLE_STRUCTURE[[#This Row],[D, top '[m']]])/(WHOLE_STRUCTURE[[#This Row],[Bottom '[m']]]-WHOLE_STRUCTURE[[#This Row],[Top '[m']]]),"")</f>
        <v/>
      </c>
      <c r="O64" s="54" t="str">
        <f>IFERROR((WHOLE_STRUCTURE[[#This Row],[D, bottom '[m']]]+WHOLE_STRUCTURE[[#This Row],[D, top '[m']]])/(2*WHOLE_STRUCTURE[[#This Row],[t '[mm']]]/1000),"")</f>
        <v/>
      </c>
      <c r="Q64" s="220"/>
      <c r="R64" s="220"/>
      <c r="S64" s="220"/>
      <c r="T64" s="220"/>
      <c r="U64" s="220"/>
      <c r="V64" s="220"/>
      <c r="W64" s="220"/>
      <c r="X64" s="220"/>
      <c r="Y64" s="220"/>
      <c r="Z64" s="220"/>
    </row>
    <row r="65" spans="12:26">
      <c r="L65" s="54" t="str">
        <f t="shared" si="1"/>
        <v/>
      </c>
      <c r="M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5" s="54" t="str">
        <f>IFERROR(-(WHOLE_STRUCTURE[[#This Row],[D, bottom '[m']]]-WHOLE_STRUCTURE[[#This Row],[D, top '[m']]])/(WHOLE_STRUCTURE[[#This Row],[Bottom '[m']]]-WHOLE_STRUCTURE[[#This Row],[Top '[m']]]),"")</f>
        <v/>
      </c>
      <c r="O65" s="54" t="str">
        <f>IFERROR((WHOLE_STRUCTURE[[#This Row],[D, bottom '[m']]]+WHOLE_STRUCTURE[[#This Row],[D, top '[m']]])/(2*WHOLE_STRUCTURE[[#This Row],[t '[mm']]]/1000),"")</f>
        <v/>
      </c>
      <c r="Q65" s="220"/>
      <c r="R65" s="220"/>
      <c r="S65" s="220"/>
      <c r="T65" s="220"/>
      <c r="U65" s="220"/>
      <c r="V65" s="220"/>
      <c r="W65" s="220"/>
      <c r="X65" s="220"/>
      <c r="Y65" s="220"/>
      <c r="Z65" s="220"/>
    </row>
    <row r="66" spans="12:26">
      <c r="L66" s="54" t="str">
        <f t="shared" si="1"/>
        <v/>
      </c>
      <c r="M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6" s="54" t="str">
        <f>IFERROR(-(WHOLE_STRUCTURE[[#This Row],[D, bottom '[m']]]-WHOLE_STRUCTURE[[#This Row],[D, top '[m']]])/(WHOLE_STRUCTURE[[#This Row],[Bottom '[m']]]-WHOLE_STRUCTURE[[#This Row],[Top '[m']]]),"")</f>
        <v/>
      </c>
      <c r="O66" s="54" t="str">
        <f>IFERROR((WHOLE_STRUCTURE[[#This Row],[D, bottom '[m']]]+WHOLE_STRUCTURE[[#This Row],[D, top '[m']]])/(2*WHOLE_STRUCTURE[[#This Row],[t '[mm']]]/1000),"")</f>
        <v/>
      </c>
      <c r="Q66" s="220"/>
      <c r="R66" s="220"/>
      <c r="S66" s="220"/>
      <c r="T66" s="220"/>
      <c r="U66" s="220"/>
      <c r="V66" s="220"/>
      <c r="W66" s="220"/>
      <c r="X66" s="220"/>
      <c r="Y66" s="220"/>
      <c r="Z66" s="220"/>
    </row>
    <row r="67" spans="12:26">
      <c r="L67" s="54" t="str">
        <f t="shared" si="1"/>
        <v/>
      </c>
      <c r="M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7" s="54" t="str">
        <f>IFERROR(-(WHOLE_STRUCTURE[[#This Row],[D, bottom '[m']]]-WHOLE_STRUCTURE[[#This Row],[D, top '[m']]])/(WHOLE_STRUCTURE[[#This Row],[Bottom '[m']]]-WHOLE_STRUCTURE[[#This Row],[Top '[m']]]),"")</f>
        <v/>
      </c>
      <c r="O67" s="54" t="str">
        <f>IFERROR((WHOLE_STRUCTURE[[#This Row],[D, bottom '[m']]]+WHOLE_STRUCTURE[[#This Row],[D, top '[m']]])/(2*WHOLE_STRUCTURE[[#This Row],[t '[mm']]]/1000),"")</f>
        <v/>
      </c>
      <c r="Q67" s="220"/>
      <c r="R67" s="220"/>
      <c r="S67" s="220"/>
      <c r="T67" s="220"/>
      <c r="U67" s="220"/>
      <c r="V67" s="220"/>
      <c r="W67" s="220"/>
      <c r="X67" s="220"/>
      <c r="Y67" s="220"/>
      <c r="Z67" s="220"/>
    </row>
    <row r="68" spans="12:26">
      <c r="L68" s="54" t="str">
        <f t="shared" si="1"/>
        <v/>
      </c>
      <c r="M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8" s="54" t="str">
        <f>IFERROR(-(WHOLE_STRUCTURE[[#This Row],[D, bottom '[m']]]-WHOLE_STRUCTURE[[#This Row],[D, top '[m']]])/(WHOLE_STRUCTURE[[#This Row],[Bottom '[m']]]-WHOLE_STRUCTURE[[#This Row],[Top '[m']]]),"")</f>
        <v/>
      </c>
      <c r="O68" s="54" t="str">
        <f>IFERROR((WHOLE_STRUCTURE[[#This Row],[D, bottom '[m']]]+WHOLE_STRUCTURE[[#This Row],[D, top '[m']]])/(2*WHOLE_STRUCTURE[[#This Row],[t '[mm']]]/1000),"")</f>
        <v/>
      </c>
      <c r="Q68" s="220"/>
      <c r="R68" s="220"/>
      <c r="S68" s="220"/>
      <c r="T68" s="220"/>
      <c r="U68" s="220"/>
      <c r="V68" s="220"/>
      <c r="W68" s="220"/>
      <c r="X68" s="220"/>
      <c r="Y68" s="220"/>
      <c r="Z68" s="220"/>
    </row>
    <row r="69" spans="12:26">
      <c r="L69" s="54" t="str">
        <f t="shared" si="1"/>
        <v/>
      </c>
      <c r="M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9" s="54" t="str">
        <f>IFERROR(-(WHOLE_STRUCTURE[[#This Row],[D, bottom '[m']]]-WHOLE_STRUCTURE[[#This Row],[D, top '[m']]])/(WHOLE_STRUCTURE[[#This Row],[Bottom '[m']]]-WHOLE_STRUCTURE[[#This Row],[Top '[m']]]),"")</f>
        <v/>
      </c>
      <c r="O69" s="54" t="str">
        <f>IFERROR((WHOLE_STRUCTURE[[#This Row],[D, bottom '[m']]]+WHOLE_STRUCTURE[[#This Row],[D, top '[m']]])/(2*WHOLE_STRUCTURE[[#This Row],[t '[mm']]]/1000),"")</f>
        <v/>
      </c>
      <c r="Q69" s="220"/>
      <c r="R69" s="220"/>
      <c r="S69" s="220"/>
      <c r="T69" s="220"/>
      <c r="U69" s="220"/>
      <c r="V69" s="220"/>
      <c r="W69" s="220"/>
      <c r="X69" s="220"/>
      <c r="Y69" s="220"/>
      <c r="Z69" s="220"/>
    </row>
    <row r="70" spans="12:26">
      <c r="L70" s="54" t="str">
        <f t="shared" si="1"/>
        <v/>
      </c>
      <c r="M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0" s="54" t="str">
        <f>IFERROR(-(WHOLE_STRUCTURE[[#This Row],[D, bottom '[m']]]-WHOLE_STRUCTURE[[#This Row],[D, top '[m']]])/(WHOLE_STRUCTURE[[#This Row],[Bottom '[m']]]-WHOLE_STRUCTURE[[#This Row],[Top '[m']]]),"")</f>
        <v/>
      </c>
      <c r="O70" s="54" t="str">
        <f>IFERROR((WHOLE_STRUCTURE[[#This Row],[D, bottom '[m']]]+WHOLE_STRUCTURE[[#This Row],[D, top '[m']]])/(2*WHOLE_STRUCTURE[[#This Row],[t '[mm']]]/1000),"")</f>
        <v/>
      </c>
      <c r="Q70" s="220"/>
      <c r="R70" s="220"/>
      <c r="S70" s="220"/>
      <c r="T70" s="220"/>
      <c r="U70" s="220"/>
      <c r="V70" s="220"/>
      <c r="W70" s="220"/>
      <c r="X70" s="220"/>
      <c r="Y70" s="220"/>
      <c r="Z70" s="220"/>
    </row>
    <row r="71" spans="12:26">
      <c r="L71" s="54" t="str">
        <f t="shared" ref="L71:L102" si="2"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/>
      </c>
      <c r="M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1" s="54" t="str">
        <f>IFERROR(-(WHOLE_STRUCTURE[[#This Row],[D, bottom '[m']]]-WHOLE_STRUCTURE[[#This Row],[D, top '[m']]])/(WHOLE_STRUCTURE[[#This Row],[Bottom '[m']]]-WHOLE_STRUCTURE[[#This Row],[Top '[m']]]),"")</f>
        <v/>
      </c>
      <c r="O71" s="54" t="str">
        <f>IFERROR((WHOLE_STRUCTURE[[#This Row],[D, bottom '[m']]]+WHOLE_STRUCTURE[[#This Row],[D, top '[m']]])/(2*WHOLE_STRUCTURE[[#This Row],[t '[mm']]]/1000),"")</f>
        <v/>
      </c>
      <c r="Q71" s="220"/>
      <c r="R71" s="220"/>
      <c r="S71" s="220"/>
      <c r="T71" s="220"/>
      <c r="U71" s="220"/>
      <c r="V71" s="220"/>
      <c r="W71" s="220"/>
      <c r="X71" s="220"/>
      <c r="Y71" s="220"/>
      <c r="Z71" s="220"/>
    </row>
    <row r="72" spans="12:26">
      <c r="L72" s="54" t="str">
        <f t="shared" si="2"/>
        <v/>
      </c>
      <c r="M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2" s="54" t="str">
        <f>IFERROR(-(WHOLE_STRUCTURE[[#This Row],[D, bottom '[m']]]-WHOLE_STRUCTURE[[#This Row],[D, top '[m']]])/(WHOLE_STRUCTURE[[#This Row],[Bottom '[m']]]-WHOLE_STRUCTURE[[#This Row],[Top '[m']]]),"")</f>
        <v/>
      </c>
      <c r="O72" s="54" t="str">
        <f>IFERROR((WHOLE_STRUCTURE[[#This Row],[D, bottom '[m']]]+WHOLE_STRUCTURE[[#This Row],[D, top '[m']]])/(2*WHOLE_STRUCTURE[[#This Row],[t '[mm']]]/1000),"")</f>
        <v/>
      </c>
      <c r="Q72" s="220"/>
      <c r="R72" s="220"/>
      <c r="S72" s="220"/>
      <c r="T72" s="220"/>
      <c r="U72" s="220"/>
      <c r="V72" s="220"/>
      <c r="W72" s="220"/>
      <c r="X72" s="220"/>
      <c r="Y72" s="220"/>
      <c r="Z72" s="220"/>
    </row>
    <row r="73" spans="12:26">
      <c r="L73" s="54" t="str">
        <f t="shared" si="2"/>
        <v/>
      </c>
      <c r="M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3" s="54" t="str">
        <f>IFERROR(-(WHOLE_STRUCTURE[[#This Row],[D, bottom '[m']]]-WHOLE_STRUCTURE[[#This Row],[D, top '[m']]])/(WHOLE_STRUCTURE[[#This Row],[Bottom '[m']]]-WHOLE_STRUCTURE[[#This Row],[Top '[m']]]),"")</f>
        <v/>
      </c>
      <c r="O73" s="54" t="str">
        <f>IFERROR((WHOLE_STRUCTURE[[#This Row],[D, bottom '[m']]]+WHOLE_STRUCTURE[[#This Row],[D, top '[m']]])/(2*WHOLE_STRUCTURE[[#This Row],[t '[mm']]]/1000),"")</f>
        <v/>
      </c>
      <c r="Q73" s="220"/>
      <c r="R73" s="220"/>
      <c r="S73" s="220"/>
      <c r="T73" s="220"/>
      <c r="U73" s="220"/>
      <c r="V73" s="220"/>
      <c r="W73" s="220"/>
      <c r="X73" s="220"/>
      <c r="Y73" s="220"/>
      <c r="Z73" s="220"/>
    </row>
    <row r="74" spans="12:26">
      <c r="L74" s="54" t="str">
        <f t="shared" si="2"/>
        <v/>
      </c>
      <c r="M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4" s="54" t="str">
        <f>IFERROR(-(WHOLE_STRUCTURE[[#This Row],[D, bottom '[m']]]-WHOLE_STRUCTURE[[#This Row],[D, top '[m']]])/(WHOLE_STRUCTURE[[#This Row],[Bottom '[m']]]-WHOLE_STRUCTURE[[#This Row],[Top '[m']]]),"")</f>
        <v/>
      </c>
      <c r="O74" s="54" t="str">
        <f>IFERROR((WHOLE_STRUCTURE[[#This Row],[D, bottom '[m']]]+WHOLE_STRUCTURE[[#This Row],[D, top '[m']]])/(2*WHOLE_STRUCTURE[[#This Row],[t '[mm']]]/1000),"")</f>
        <v/>
      </c>
      <c r="Q74" s="220"/>
      <c r="R74" s="220"/>
      <c r="S74" s="220"/>
      <c r="T74" s="220"/>
      <c r="U74" s="220"/>
      <c r="V74" s="220"/>
      <c r="W74" s="220"/>
      <c r="X74" s="220"/>
      <c r="Y74" s="220"/>
      <c r="Z74" s="220"/>
    </row>
    <row r="75" spans="12:26">
      <c r="L75" s="54" t="str">
        <f t="shared" si="2"/>
        <v/>
      </c>
      <c r="M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5" s="54" t="str">
        <f>IFERROR(-(WHOLE_STRUCTURE[[#This Row],[D, bottom '[m']]]-WHOLE_STRUCTURE[[#This Row],[D, top '[m']]])/(WHOLE_STRUCTURE[[#This Row],[Bottom '[m']]]-WHOLE_STRUCTURE[[#This Row],[Top '[m']]]),"")</f>
        <v/>
      </c>
      <c r="O75" s="54" t="str">
        <f>IFERROR((WHOLE_STRUCTURE[[#This Row],[D, bottom '[m']]]+WHOLE_STRUCTURE[[#This Row],[D, top '[m']]])/(2*WHOLE_STRUCTURE[[#This Row],[t '[mm']]]/1000),"")</f>
        <v/>
      </c>
      <c r="Q75" s="220"/>
      <c r="R75" s="220"/>
      <c r="S75" s="220"/>
      <c r="T75" s="220"/>
      <c r="U75" s="220"/>
      <c r="V75" s="220"/>
      <c r="W75" s="220"/>
      <c r="X75" s="220"/>
      <c r="Y75" s="220"/>
      <c r="Z75" s="220"/>
    </row>
    <row r="76" spans="12:26">
      <c r="L76" s="54" t="str">
        <f t="shared" si="2"/>
        <v/>
      </c>
      <c r="M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6" s="54" t="str">
        <f>IFERROR(-(WHOLE_STRUCTURE[[#This Row],[D, bottom '[m']]]-WHOLE_STRUCTURE[[#This Row],[D, top '[m']]])/(WHOLE_STRUCTURE[[#This Row],[Bottom '[m']]]-WHOLE_STRUCTURE[[#This Row],[Top '[m']]]),"")</f>
        <v/>
      </c>
      <c r="O76" s="54" t="str">
        <f>IFERROR((WHOLE_STRUCTURE[[#This Row],[D, bottom '[m']]]+WHOLE_STRUCTURE[[#This Row],[D, top '[m']]])/(2*WHOLE_STRUCTURE[[#This Row],[t '[mm']]]/1000),"")</f>
        <v/>
      </c>
      <c r="Q76" s="220"/>
      <c r="R76" s="220"/>
      <c r="S76" s="220"/>
      <c r="T76" s="220"/>
      <c r="U76" s="220"/>
      <c r="V76" s="220"/>
      <c r="W76" s="220"/>
      <c r="X76" s="220"/>
      <c r="Y76" s="220"/>
      <c r="Z76" s="220"/>
    </row>
    <row r="77" spans="12:26">
      <c r="L77" s="54" t="str">
        <f t="shared" si="2"/>
        <v/>
      </c>
      <c r="M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7" s="54" t="str">
        <f>IFERROR(-(WHOLE_STRUCTURE[[#This Row],[D, bottom '[m']]]-WHOLE_STRUCTURE[[#This Row],[D, top '[m']]])/(WHOLE_STRUCTURE[[#This Row],[Bottom '[m']]]-WHOLE_STRUCTURE[[#This Row],[Top '[m']]]),"")</f>
        <v/>
      </c>
      <c r="O77" s="54" t="str">
        <f>IFERROR((WHOLE_STRUCTURE[[#This Row],[D, bottom '[m']]]+WHOLE_STRUCTURE[[#This Row],[D, top '[m']]])/(2*WHOLE_STRUCTURE[[#This Row],[t '[mm']]]/1000),"")</f>
        <v/>
      </c>
      <c r="Q77" s="220"/>
      <c r="R77" s="220"/>
      <c r="S77" s="220"/>
      <c r="T77" s="220"/>
      <c r="U77" s="220"/>
      <c r="V77" s="220"/>
      <c r="W77" s="220"/>
      <c r="X77" s="220"/>
      <c r="Y77" s="220"/>
      <c r="Z77" s="220"/>
    </row>
    <row r="78" spans="12:26">
      <c r="L78" s="54" t="str">
        <f t="shared" si="2"/>
        <v/>
      </c>
      <c r="M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8" s="54" t="str">
        <f>IFERROR(-(WHOLE_STRUCTURE[[#This Row],[D, bottom '[m']]]-WHOLE_STRUCTURE[[#This Row],[D, top '[m']]])/(WHOLE_STRUCTURE[[#This Row],[Bottom '[m']]]-WHOLE_STRUCTURE[[#This Row],[Top '[m']]]),"")</f>
        <v/>
      </c>
      <c r="O78" s="54" t="str">
        <f>IFERROR((WHOLE_STRUCTURE[[#This Row],[D, bottom '[m']]]+WHOLE_STRUCTURE[[#This Row],[D, top '[m']]])/(2*WHOLE_STRUCTURE[[#This Row],[t '[mm']]]/1000),"")</f>
        <v/>
      </c>
      <c r="Q78" s="220"/>
      <c r="R78" s="220"/>
      <c r="S78" s="220"/>
      <c r="T78" s="220"/>
      <c r="U78" s="220"/>
      <c r="V78" s="220"/>
      <c r="W78" s="220"/>
      <c r="X78" s="220"/>
      <c r="Y78" s="220"/>
      <c r="Z78" s="220"/>
    </row>
    <row r="79" spans="12:26">
      <c r="L79" s="54" t="str">
        <f t="shared" si="2"/>
        <v/>
      </c>
      <c r="M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9" s="54" t="str">
        <f>IFERROR(-(WHOLE_STRUCTURE[[#This Row],[D, bottom '[m']]]-WHOLE_STRUCTURE[[#This Row],[D, top '[m']]])/(WHOLE_STRUCTURE[[#This Row],[Bottom '[m']]]-WHOLE_STRUCTURE[[#This Row],[Top '[m']]]),"")</f>
        <v/>
      </c>
      <c r="O79" s="54" t="str">
        <f>IFERROR((WHOLE_STRUCTURE[[#This Row],[D, bottom '[m']]]+WHOLE_STRUCTURE[[#This Row],[D, top '[m']]])/(2*WHOLE_STRUCTURE[[#This Row],[t '[mm']]]/1000),"")</f>
        <v/>
      </c>
      <c r="Q79" s="220"/>
      <c r="R79" s="220"/>
      <c r="S79" s="220"/>
      <c r="T79" s="220"/>
      <c r="U79" s="220"/>
      <c r="V79" s="220"/>
      <c r="W79" s="220"/>
      <c r="X79" s="220"/>
      <c r="Y79" s="220"/>
      <c r="Z79" s="220"/>
    </row>
    <row r="80" spans="12:26">
      <c r="L80" s="54" t="str">
        <f t="shared" si="2"/>
        <v/>
      </c>
      <c r="M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0" s="54" t="str">
        <f>IFERROR(-(WHOLE_STRUCTURE[[#This Row],[D, bottom '[m']]]-WHOLE_STRUCTURE[[#This Row],[D, top '[m']]])/(WHOLE_STRUCTURE[[#This Row],[Bottom '[m']]]-WHOLE_STRUCTURE[[#This Row],[Top '[m']]]),"")</f>
        <v/>
      </c>
      <c r="O80" s="54" t="str">
        <f>IFERROR((WHOLE_STRUCTURE[[#This Row],[D, bottom '[m']]]+WHOLE_STRUCTURE[[#This Row],[D, top '[m']]])/(2*WHOLE_STRUCTURE[[#This Row],[t '[mm']]]/1000),"")</f>
        <v/>
      </c>
      <c r="Q80" s="220"/>
      <c r="R80" s="220"/>
      <c r="S80" s="220"/>
      <c r="T80" s="220"/>
      <c r="U80" s="220"/>
      <c r="V80" s="220"/>
      <c r="W80" s="220"/>
      <c r="X80" s="220"/>
      <c r="Y80" s="220"/>
      <c r="Z80" s="220"/>
    </row>
    <row r="81" spans="12:26">
      <c r="L81" s="54" t="str">
        <f t="shared" si="2"/>
        <v/>
      </c>
      <c r="M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1" s="54" t="str">
        <f>IFERROR(-(WHOLE_STRUCTURE[[#This Row],[D, bottom '[m']]]-WHOLE_STRUCTURE[[#This Row],[D, top '[m']]])/(WHOLE_STRUCTURE[[#This Row],[Bottom '[m']]]-WHOLE_STRUCTURE[[#This Row],[Top '[m']]]),"")</f>
        <v/>
      </c>
      <c r="O81" s="54" t="str">
        <f>IFERROR((WHOLE_STRUCTURE[[#This Row],[D, bottom '[m']]]+WHOLE_STRUCTURE[[#This Row],[D, top '[m']]])/(2*WHOLE_STRUCTURE[[#This Row],[t '[mm']]]/1000),"")</f>
        <v/>
      </c>
      <c r="Q81" s="220"/>
      <c r="R81" s="220"/>
      <c r="S81" s="220"/>
      <c r="T81" s="220"/>
      <c r="U81" s="220"/>
      <c r="V81" s="220"/>
      <c r="W81" s="220"/>
      <c r="X81" s="220"/>
      <c r="Y81" s="220"/>
      <c r="Z81" s="220"/>
    </row>
    <row r="82" spans="12:26">
      <c r="L82" s="54" t="str">
        <f t="shared" si="2"/>
        <v/>
      </c>
      <c r="M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2" s="54" t="str">
        <f>IFERROR(-(WHOLE_STRUCTURE[[#This Row],[D, bottom '[m']]]-WHOLE_STRUCTURE[[#This Row],[D, top '[m']]])/(WHOLE_STRUCTURE[[#This Row],[Bottom '[m']]]-WHOLE_STRUCTURE[[#This Row],[Top '[m']]]),"")</f>
        <v/>
      </c>
      <c r="O82" s="54" t="str">
        <f>IFERROR((WHOLE_STRUCTURE[[#This Row],[D, bottom '[m']]]+WHOLE_STRUCTURE[[#This Row],[D, top '[m']]])/(2*WHOLE_STRUCTURE[[#This Row],[t '[mm']]]/1000),"")</f>
        <v/>
      </c>
      <c r="Q82" s="220"/>
      <c r="R82" s="220"/>
      <c r="S82" s="220"/>
      <c r="T82" s="220"/>
      <c r="U82" s="220"/>
      <c r="V82" s="220"/>
      <c r="W82" s="220"/>
      <c r="X82" s="220"/>
      <c r="Y82" s="220"/>
      <c r="Z82" s="220"/>
    </row>
    <row r="83" spans="12:26">
      <c r="L83" s="54" t="str">
        <f t="shared" si="2"/>
        <v/>
      </c>
      <c r="M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3" s="54" t="str">
        <f>IFERROR(-(WHOLE_STRUCTURE[[#This Row],[D, bottom '[m']]]-WHOLE_STRUCTURE[[#This Row],[D, top '[m']]])/(WHOLE_STRUCTURE[[#This Row],[Bottom '[m']]]-WHOLE_STRUCTURE[[#This Row],[Top '[m']]]),"")</f>
        <v/>
      </c>
      <c r="O83" s="54" t="str">
        <f>IFERROR((WHOLE_STRUCTURE[[#This Row],[D, bottom '[m']]]+WHOLE_STRUCTURE[[#This Row],[D, top '[m']]])/(2*WHOLE_STRUCTURE[[#This Row],[t '[mm']]]/1000),"")</f>
        <v/>
      </c>
      <c r="Q83" s="220"/>
      <c r="R83" s="220"/>
      <c r="S83" s="220"/>
      <c r="T83" s="220"/>
      <c r="U83" s="220"/>
      <c r="V83" s="220"/>
      <c r="W83" s="220"/>
      <c r="X83" s="220"/>
      <c r="Y83" s="220"/>
      <c r="Z83" s="220"/>
    </row>
    <row r="84" spans="12:26">
      <c r="L84" s="54" t="str">
        <f t="shared" si="2"/>
        <v/>
      </c>
      <c r="M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4" s="54" t="str">
        <f>IFERROR(-(WHOLE_STRUCTURE[[#This Row],[D, bottom '[m']]]-WHOLE_STRUCTURE[[#This Row],[D, top '[m']]])/(WHOLE_STRUCTURE[[#This Row],[Bottom '[m']]]-WHOLE_STRUCTURE[[#This Row],[Top '[m']]]),"")</f>
        <v/>
      </c>
      <c r="O84" s="54" t="str">
        <f>IFERROR((WHOLE_STRUCTURE[[#This Row],[D, bottom '[m']]]+WHOLE_STRUCTURE[[#This Row],[D, top '[m']]])/(2*WHOLE_STRUCTURE[[#This Row],[t '[mm']]]/1000),"")</f>
        <v/>
      </c>
      <c r="Q84" s="220"/>
      <c r="R84" s="220"/>
      <c r="S84" s="220"/>
      <c r="T84" s="220"/>
      <c r="U84" s="220"/>
      <c r="V84" s="220"/>
      <c r="W84" s="220"/>
      <c r="X84" s="220"/>
      <c r="Y84" s="220"/>
      <c r="Z84" s="220"/>
    </row>
    <row r="85" spans="12:26">
      <c r="L85" s="54" t="str">
        <f t="shared" si="2"/>
        <v/>
      </c>
      <c r="M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5" s="54" t="str">
        <f>IFERROR(-(WHOLE_STRUCTURE[[#This Row],[D, bottom '[m']]]-WHOLE_STRUCTURE[[#This Row],[D, top '[m']]])/(WHOLE_STRUCTURE[[#This Row],[Bottom '[m']]]-WHOLE_STRUCTURE[[#This Row],[Top '[m']]]),"")</f>
        <v/>
      </c>
      <c r="O85" s="54" t="str">
        <f>IFERROR((WHOLE_STRUCTURE[[#This Row],[D, bottom '[m']]]+WHOLE_STRUCTURE[[#This Row],[D, top '[m']]])/(2*WHOLE_STRUCTURE[[#This Row],[t '[mm']]]/1000),"")</f>
        <v/>
      </c>
      <c r="U85" s="51"/>
      <c r="V85" s="51"/>
      <c r="W85" s="51"/>
      <c r="X85" s="51"/>
      <c r="Y85" s="51"/>
      <c r="Z85" s="51"/>
    </row>
    <row r="86" spans="12:26">
      <c r="L86" s="54" t="str">
        <f t="shared" si="2"/>
        <v/>
      </c>
      <c r="M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6" s="54" t="str">
        <f>IFERROR(-(WHOLE_STRUCTURE[[#This Row],[D, bottom '[m']]]-WHOLE_STRUCTURE[[#This Row],[D, top '[m']]])/(WHOLE_STRUCTURE[[#This Row],[Bottom '[m']]]-WHOLE_STRUCTURE[[#This Row],[Top '[m']]]),"")</f>
        <v/>
      </c>
      <c r="O86" s="54" t="str">
        <f>IFERROR((WHOLE_STRUCTURE[[#This Row],[D, bottom '[m']]]+WHOLE_STRUCTURE[[#This Row],[D, top '[m']]])/(2*WHOLE_STRUCTURE[[#This Row],[t '[mm']]]/1000),"")</f>
        <v/>
      </c>
      <c r="U86" s="51"/>
      <c r="V86" s="51"/>
      <c r="W86" s="51"/>
      <c r="X86" s="51"/>
      <c r="Y86" s="51"/>
      <c r="Z86" s="51"/>
    </row>
    <row r="87" spans="12:26">
      <c r="L87" s="54" t="str">
        <f t="shared" si="2"/>
        <v/>
      </c>
      <c r="M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7" s="54" t="str">
        <f>IFERROR(-(WHOLE_STRUCTURE[[#This Row],[D, bottom '[m']]]-WHOLE_STRUCTURE[[#This Row],[D, top '[m']]])/(WHOLE_STRUCTURE[[#This Row],[Bottom '[m']]]-WHOLE_STRUCTURE[[#This Row],[Top '[m']]]),"")</f>
        <v/>
      </c>
      <c r="O87" s="54" t="str">
        <f>IFERROR((WHOLE_STRUCTURE[[#This Row],[D, bottom '[m']]]+WHOLE_STRUCTURE[[#This Row],[D, top '[m']]])/(2*WHOLE_STRUCTURE[[#This Row],[t '[mm']]]/1000),"")</f>
        <v/>
      </c>
      <c r="U87" s="51"/>
      <c r="V87" s="51"/>
      <c r="W87" s="51"/>
      <c r="X87" s="51"/>
      <c r="Y87" s="51"/>
      <c r="Z87" s="51"/>
    </row>
    <row r="88" spans="12:26">
      <c r="L88" s="54" t="str">
        <f t="shared" si="2"/>
        <v/>
      </c>
      <c r="M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8" s="54" t="str">
        <f>IFERROR(-(WHOLE_STRUCTURE[[#This Row],[D, bottom '[m']]]-WHOLE_STRUCTURE[[#This Row],[D, top '[m']]])/(WHOLE_STRUCTURE[[#This Row],[Bottom '[m']]]-WHOLE_STRUCTURE[[#This Row],[Top '[m']]]),"")</f>
        <v/>
      </c>
      <c r="O88" s="54" t="str">
        <f>IFERROR((WHOLE_STRUCTURE[[#This Row],[D, bottom '[m']]]+WHOLE_STRUCTURE[[#This Row],[D, top '[m']]])/(2*WHOLE_STRUCTURE[[#This Row],[t '[mm']]]/1000),"")</f>
        <v/>
      </c>
      <c r="U88" s="51"/>
      <c r="V88" s="51"/>
      <c r="W88" s="51"/>
      <c r="X88" s="51"/>
      <c r="Y88" s="51"/>
      <c r="Z88" s="51"/>
    </row>
    <row r="89" spans="12:26">
      <c r="L89" s="54" t="str">
        <f t="shared" si="2"/>
        <v/>
      </c>
      <c r="M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9" s="54" t="str">
        <f>IFERROR(-(WHOLE_STRUCTURE[[#This Row],[D, bottom '[m']]]-WHOLE_STRUCTURE[[#This Row],[D, top '[m']]])/(WHOLE_STRUCTURE[[#This Row],[Bottom '[m']]]-WHOLE_STRUCTURE[[#This Row],[Top '[m']]]),"")</f>
        <v/>
      </c>
      <c r="O89" s="54" t="str">
        <f>IFERROR((WHOLE_STRUCTURE[[#This Row],[D, bottom '[m']]]+WHOLE_STRUCTURE[[#This Row],[D, top '[m']]])/(2*WHOLE_STRUCTURE[[#This Row],[t '[mm']]]/1000),"")</f>
        <v/>
      </c>
      <c r="U89" s="51"/>
      <c r="V89" s="51"/>
      <c r="W89" s="51"/>
      <c r="X89" s="51"/>
      <c r="Y89" s="51"/>
      <c r="Z89" s="51"/>
    </row>
    <row r="90" spans="12:26">
      <c r="L90" s="54" t="str">
        <f t="shared" si="2"/>
        <v/>
      </c>
      <c r="M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0" s="54" t="str">
        <f>IFERROR(-(WHOLE_STRUCTURE[[#This Row],[D, bottom '[m']]]-WHOLE_STRUCTURE[[#This Row],[D, top '[m']]])/(WHOLE_STRUCTURE[[#This Row],[Bottom '[m']]]-WHOLE_STRUCTURE[[#This Row],[Top '[m']]]),"")</f>
        <v/>
      </c>
      <c r="O90" s="54" t="str">
        <f>IFERROR((WHOLE_STRUCTURE[[#This Row],[D, bottom '[m']]]+WHOLE_STRUCTURE[[#This Row],[D, top '[m']]])/(2*WHOLE_STRUCTURE[[#This Row],[t '[mm']]]/1000),"")</f>
        <v/>
      </c>
      <c r="U90" s="51"/>
      <c r="V90" s="51"/>
      <c r="W90" s="51"/>
      <c r="X90" s="51"/>
      <c r="Y90" s="51"/>
      <c r="Z90" s="51"/>
    </row>
    <row r="91" spans="12:26">
      <c r="L91" s="54" t="str">
        <f t="shared" si="2"/>
        <v/>
      </c>
      <c r="M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1" s="54" t="str">
        <f>IFERROR(-(WHOLE_STRUCTURE[[#This Row],[D, bottom '[m']]]-WHOLE_STRUCTURE[[#This Row],[D, top '[m']]])/(WHOLE_STRUCTURE[[#This Row],[Bottom '[m']]]-WHOLE_STRUCTURE[[#This Row],[Top '[m']]]),"")</f>
        <v/>
      </c>
      <c r="O91" s="54" t="str">
        <f>IFERROR((WHOLE_STRUCTURE[[#This Row],[D, bottom '[m']]]+WHOLE_STRUCTURE[[#This Row],[D, top '[m']]])/(2*WHOLE_STRUCTURE[[#This Row],[t '[mm']]]/1000),"")</f>
        <v/>
      </c>
      <c r="U91" s="51"/>
      <c r="V91" s="51"/>
      <c r="W91" s="51"/>
      <c r="X91" s="51"/>
      <c r="Y91" s="51"/>
      <c r="Z91" s="51"/>
    </row>
    <row r="92" spans="12:26">
      <c r="L92" s="54" t="str">
        <f t="shared" si="2"/>
        <v/>
      </c>
      <c r="M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2" s="54" t="str">
        <f>IFERROR(-(WHOLE_STRUCTURE[[#This Row],[D, bottom '[m']]]-WHOLE_STRUCTURE[[#This Row],[D, top '[m']]])/(WHOLE_STRUCTURE[[#This Row],[Bottom '[m']]]-WHOLE_STRUCTURE[[#This Row],[Top '[m']]]),"")</f>
        <v/>
      </c>
      <c r="O92" s="54" t="str">
        <f>IFERROR((WHOLE_STRUCTURE[[#This Row],[D, bottom '[m']]]+WHOLE_STRUCTURE[[#This Row],[D, top '[m']]])/(2*WHOLE_STRUCTURE[[#This Row],[t '[mm']]]/1000),"")</f>
        <v/>
      </c>
      <c r="U92" s="51"/>
      <c r="V92" s="51"/>
      <c r="W92" s="51"/>
      <c r="X92" s="51"/>
      <c r="Y92" s="51"/>
      <c r="Z92" s="51"/>
    </row>
    <row r="93" spans="12:26">
      <c r="L93" s="54" t="str">
        <f t="shared" si="2"/>
        <v/>
      </c>
      <c r="M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3" s="54" t="str">
        <f>IFERROR(-(WHOLE_STRUCTURE[[#This Row],[D, bottom '[m']]]-WHOLE_STRUCTURE[[#This Row],[D, top '[m']]])/(WHOLE_STRUCTURE[[#This Row],[Bottom '[m']]]-WHOLE_STRUCTURE[[#This Row],[Top '[m']]]),"")</f>
        <v/>
      </c>
      <c r="O93" s="54" t="str">
        <f>IFERROR((WHOLE_STRUCTURE[[#This Row],[D, bottom '[m']]]+WHOLE_STRUCTURE[[#This Row],[D, top '[m']]])/(2*WHOLE_STRUCTURE[[#This Row],[t '[mm']]]/1000),"")</f>
        <v/>
      </c>
      <c r="U93" s="51"/>
      <c r="V93" s="51"/>
      <c r="W93" s="51"/>
      <c r="X93" s="51"/>
      <c r="Y93" s="51"/>
      <c r="Z93" s="51"/>
    </row>
    <row r="94" spans="12:26">
      <c r="L94" s="54" t="str">
        <f t="shared" si="2"/>
        <v/>
      </c>
      <c r="M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4" s="54" t="str">
        <f>IFERROR(-(WHOLE_STRUCTURE[[#This Row],[D, bottom '[m']]]-WHOLE_STRUCTURE[[#This Row],[D, top '[m']]])/(WHOLE_STRUCTURE[[#This Row],[Bottom '[m']]]-WHOLE_STRUCTURE[[#This Row],[Top '[m']]]),"")</f>
        <v/>
      </c>
      <c r="O94" s="54" t="str">
        <f>IFERROR((WHOLE_STRUCTURE[[#This Row],[D, bottom '[m']]]+WHOLE_STRUCTURE[[#This Row],[D, top '[m']]])/(2*WHOLE_STRUCTURE[[#This Row],[t '[mm']]]/1000),"")</f>
        <v/>
      </c>
      <c r="U94" s="51"/>
      <c r="V94" s="51"/>
      <c r="W94" s="51"/>
      <c r="X94" s="51"/>
      <c r="Y94" s="51"/>
      <c r="Z94" s="51"/>
    </row>
    <row r="95" spans="12:26">
      <c r="L95" s="54" t="str">
        <f t="shared" si="2"/>
        <v/>
      </c>
      <c r="M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5" s="54" t="str">
        <f>IFERROR(-(WHOLE_STRUCTURE[[#This Row],[D, bottom '[m']]]-WHOLE_STRUCTURE[[#This Row],[D, top '[m']]])/(WHOLE_STRUCTURE[[#This Row],[Bottom '[m']]]-WHOLE_STRUCTURE[[#This Row],[Top '[m']]]),"")</f>
        <v/>
      </c>
      <c r="O95" s="54" t="str">
        <f>IFERROR((WHOLE_STRUCTURE[[#This Row],[D, bottom '[m']]]+WHOLE_STRUCTURE[[#This Row],[D, top '[m']]])/(2*WHOLE_STRUCTURE[[#This Row],[t '[mm']]]/1000),"")</f>
        <v/>
      </c>
      <c r="U95" s="51"/>
      <c r="V95" s="51"/>
      <c r="W95" s="51"/>
      <c r="X95" s="51"/>
      <c r="Y95" s="51"/>
      <c r="Z95" s="51"/>
    </row>
    <row r="96" spans="12:26">
      <c r="L96" s="54" t="str">
        <f t="shared" si="2"/>
        <v/>
      </c>
      <c r="M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6" s="54" t="str">
        <f>IFERROR(-(WHOLE_STRUCTURE[[#This Row],[D, bottom '[m']]]-WHOLE_STRUCTURE[[#This Row],[D, top '[m']]])/(WHOLE_STRUCTURE[[#This Row],[Bottom '[m']]]-WHOLE_STRUCTURE[[#This Row],[Top '[m']]]),"")</f>
        <v/>
      </c>
      <c r="O96" s="54" t="str">
        <f>IFERROR((WHOLE_STRUCTURE[[#This Row],[D, bottom '[m']]]+WHOLE_STRUCTURE[[#This Row],[D, top '[m']]])/(2*WHOLE_STRUCTURE[[#This Row],[t '[mm']]]/1000),"")</f>
        <v/>
      </c>
      <c r="U96" s="51"/>
      <c r="V96" s="51"/>
      <c r="W96" s="51"/>
      <c r="X96" s="51"/>
      <c r="Y96" s="51"/>
      <c r="Z96" s="51"/>
    </row>
    <row r="97" spans="12:26">
      <c r="L97" s="54" t="str">
        <f t="shared" si="2"/>
        <v/>
      </c>
      <c r="M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7" s="54" t="str">
        <f>IFERROR(-(WHOLE_STRUCTURE[[#This Row],[D, bottom '[m']]]-WHOLE_STRUCTURE[[#This Row],[D, top '[m']]])/(WHOLE_STRUCTURE[[#This Row],[Bottom '[m']]]-WHOLE_STRUCTURE[[#This Row],[Top '[m']]]),"")</f>
        <v/>
      </c>
      <c r="O97" s="54" t="str">
        <f>IFERROR((WHOLE_STRUCTURE[[#This Row],[D, bottom '[m']]]+WHOLE_STRUCTURE[[#This Row],[D, top '[m']]])/(2*WHOLE_STRUCTURE[[#This Row],[t '[mm']]]/1000),"")</f>
        <v/>
      </c>
      <c r="U97" s="51"/>
      <c r="V97" s="51"/>
      <c r="W97" s="51"/>
      <c r="X97" s="51"/>
      <c r="Y97" s="51"/>
      <c r="Z97" s="51"/>
    </row>
    <row r="98" spans="12:26">
      <c r="L98" s="54" t="str">
        <f t="shared" si="2"/>
        <v/>
      </c>
      <c r="M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8" s="54" t="str">
        <f>IFERROR(-(WHOLE_STRUCTURE[[#This Row],[D, bottom '[m']]]-WHOLE_STRUCTURE[[#This Row],[D, top '[m']]])/(WHOLE_STRUCTURE[[#This Row],[Bottom '[m']]]-WHOLE_STRUCTURE[[#This Row],[Top '[m']]]),"")</f>
        <v/>
      </c>
      <c r="O98" s="54" t="str">
        <f>IFERROR((WHOLE_STRUCTURE[[#This Row],[D, bottom '[m']]]+WHOLE_STRUCTURE[[#This Row],[D, top '[m']]])/(2*WHOLE_STRUCTURE[[#This Row],[t '[mm']]]/1000),"")</f>
        <v/>
      </c>
      <c r="U98" s="51"/>
      <c r="V98" s="51"/>
      <c r="W98" s="51"/>
      <c r="X98" s="51"/>
      <c r="Y98" s="51"/>
      <c r="Z98" s="51"/>
    </row>
    <row r="99" spans="12:26">
      <c r="L99" s="54" t="str">
        <f t="shared" si="2"/>
        <v/>
      </c>
      <c r="M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9" s="54" t="str">
        <f>IFERROR(-(WHOLE_STRUCTURE[[#This Row],[D, bottom '[m']]]-WHOLE_STRUCTURE[[#This Row],[D, top '[m']]])/(WHOLE_STRUCTURE[[#This Row],[Bottom '[m']]]-WHOLE_STRUCTURE[[#This Row],[Top '[m']]]),"")</f>
        <v/>
      </c>
      <c r="O99" s="54" t="str">
        <f>IFERROR((WHOLE_STRUCTURE[[#This Row],[D, bottom '[m']]]+WHOLE_STRUCTURE[[#This Row],[D, top '[m']]])/(2*WHOLE_STRUCTURE[[#This Row],[t '[mm']]]/1000),"")</f>
        <v/>
      </c>
      <c r="U99" s="51"/>
      <c r="V99" s="51"/>
      <c r="W99" s="51"/>
      <c r="X99" s="51"/>
      <c r="Y99" s="51"/>
      <c r="Z99" s="51"/>
    </row>
    <row r="100" spans="12:26">
      <c r="L100" s="54" t="str">
        <f t="shared" si="2"/>
        <v/>
      </c>
      <c r="M1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0" s="54" t="str">
        <f>IFERROR(-(WHOLE_STRUCTURE[[#This Row],[D, bottom '[m']]]-WHOLE_STRUCTURE[[#This Row],[D, top '[m']]])/(WHOLE_STRUCTURE[[#This Row],[Bottom '[m']]]-WHOLE_STRUCTURE[[#This Row],[Top '[m']]]),"")</f>
        <v/>
      </c>
      <c r="O100" s="54" t="str">
        <f>IFERROR((WHOLE_STRUCTURE[[#This Row],[D, bottom '[m']]]+WHOLE_STRUCTURE[[#This Row],[D, top '[m']]])/(2*WHOLE_STRUCTURE[[#This Row],[t '[mm']]]/1000),"")</f>
        <v/>
      </c>
      <c r="U100" s="51"/>
      <c r="V100" s="51"/>
      <c r="W100" s="51"/>
      <c r="X100" s="51"/>
      <c r="Y100" s="51"/>
      <c r="Z100" s="51"/>
    </row>
    <row r="101" spans="12:26">
      <c r="L101" s="54" t="str">
        <f t="shared" si="2"/>
        <v/>
      </c>
      <c r="M1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1" s="54" t="str">
        <f>IFERROR(-(WHOLE_STRUCTURE[[#This Row],[D, bottom '[m']]]-WHOLE_STRUCTURE[[#This Row],[D, top '[m']]])/(WHOLE_STRUCTURE[[#This Row],[Bottom '[m']]]-WHOLE_STRUCTURE[[#This Row],[Top '[m']]]),"")</f>
        <v/>
      </c>
      <c r="O101" s="54" t="str">
        <f>IFERROR((WHOLE_STRUCTURE[[#This Row],[D, bottom '[m']]]+WHOLE_STRUCTURE[[#This Row],[D, top '[m']]])/(2*WHOLE_STRUCTURE[[#This Row],[t '[mm']]]/1000),"")</f>
        <v/>
      </c>
      <c r="U101" s="51"/>
      <c r="V101" s="51"/>
      <c r="W101" s="51"/>
      <c r="X101" s="51"/>
      <c r="Y101" s="51"/>
      <c r="Z101" s="51"/>
    </row>
    <row r="102" spans="12:26">
      <c r="L102" s="54" t="str">
        <f t="shared" si="2"/>
        <v/>
      </c>
      <c r="M1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2" s="54" t="str">
        <f>IFERROR(-(WHOLE_STRUCTURE[[#This Row],[D, bottom '[m']]]-WHOLE_STRUCTURE[[#This Row],[D, top '[m']]])/(WHOLE_STRUCTURE[[#This Row],[Bottom '[m']]]-WHOLE_STRUCTURE[[#This Row],[Top '[m']]]),"")</f>
        <v/>
      </c>
      <c r="O102" s="54" t="str">
        <f>IFERROR((WHOLE_STRUCTURE[[#This Row],[D, bottom '[m']]]+WHOLE_STRUCTURE[[#This Row],[D, top '[m']]])/(2*WHOLE_STRUCTURE[[#This Row],[t '[mm']]]/1000),"")</f>
        <v/>
      </c>
      <c r="U102" s="51"/>
      <c r="V102" s="51"/>
      <c r="W102" s="51"/>
      <c r="X102" s="51"/>
      <c r="Y102" s="51"/>
      <c r="Z102" s="51"/>
    </row>
    <row r="103" spans="12:26">
      <c r="L103" s="54" t="str">
        <f t="shared" ref="L103:L113" si="3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/>
      </c>
      <c r="M1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3" s="54" t="str">
        <f>IFERROR(-(WHOLE_STRUCTURE[[#This Row],[D, bottom '[m']]]-WHOLE_STRUCTURE[[#This Row],[D, top '[m']]])/(WHOLE_STRUCTURE[[#This Row],[Bottom '[m']]]-WHOLE_STRUCTURE[[#This Row],[Top '[m']]]),"")</f>
        <v/>
      </c>
      <c r="O103" s="54" t="str">
        <f>IFERROR((WHOLE_STRUCTURE[[#This Row],[D, bottom '[m']]]+WHOLE_STRUCTURE[[#This Row],[D, top '[m']]])/(2*WHOLE_STRUCTURE[[#This Row],[t '[mm']]]/1000),"")</f>
        <v/>
      </c>
      <c r="U103" s="51"/>
      <c r="V103" s="51"/>
      <c r="W103" s="51"/>
      <c r="X103" s="51"/>
      <c r="Y103" s="51"/>
      <c r="Z103" s="51"/>
    </row>
    <row r="104" spans="12:26">
      <c r="L104" s="54" t="str">
        <f t="shared" si="3"/>
        <v/>
      </c>
      <c r="M1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4" s="54" t="str">
        <f>IFERROR(-(WHOLE_STRUCTURE[[#This Row],[D, bottom '[m']]]-WHOLE_STRUCTURE[[#This Row],[D, top '[m']]])/(WHOLE_STRUCTURE[[#This Row],[Bottom '[m']]]-WHOLE_STRUCTURE[[#This Row],[Top '[m']]]),"")</f>
        <v/>
      </c>
      <c r="O104" s="54" t="str">
        <f>IFERROR((WHOLE_STRUCTURE[[#This Row],[D, bottom '[m']]]+WHOLE_STRUCTURE[[#This Row],[D, top '[m']]])/(2*WHOLE_STRUCTURE[[#This Row],[t '[mm']]]/1000),"")</f>
        <v/>
      </c>
      <c r="U104" s="51"/>
      <c r="V104" s="51"/>
      <c r="W104" s="51"/>
      <c r="X104" s="51"/>
      <c r="Y104" s="51"/>
      <c r="Z104" s="51"/>
    </row>
    <row r="105" spans="12:26">
      <c r="L105" s="54" t="str">
        <f t="shared" si="3"/>
        <v/>
      </c>
      <c r="M1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5" s="54" t="str">
        <f>IFERROR(-(WHOLE_STRUCTURE[[#This Row],[D, bottom '[m']]]-WHOLE_STRUCTURE[[#This Row],[D, top '[m']]])/(WHOLE_STRUCTURE[[#This Row],[Bottom '[m']]]-WHOLE_STRUCTURE[[#This Row],[Top '[m']]]),"")</f>
        <v/>
      </c>
      <c r="O105" s="54" t="str">
        <f>IFERROR((WHOLE_STRUCTURE[[#This Row],[D, bottom '[m']]]+WHOLE_STRUCTURE[[#This Row],[D, top '[m']]])/(2*WHOLE_STRUCTURE[[#This Row],[t '[mm']]]/1000),"")</f>
        <v/>
      </c>
      <c r="U105" s="51"/>
      <c r="V105" s="51"/>
      <c r="W105" s="51"/>
      <c r="X105" s="51"/>
      <c r="Y105" s="51"/>
      <c r="Z105" s="51"/>
    </row>
    <row r="106" spans="12:26">
      <c r="L106" s="54" t="str">
        <f t="shared" si="3"/>
        <v/>
      </c>
      <c r="M1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6" s="54" t="str">
        <f>IFERROR(-(WHOLE_STRUCTURE[[#This Row],[D, bottom '[m']]]-WHOLE_STRUCTURE[[#This Row],[D, top '[m']]])/(WHOLE_STRUCTURE[[#This Row],[Bottom '[m']]]-WHOLE_STRUCTURE[[#This Row],[Top '[m']]]),"")</f>
        <v/>
      </c>
      <c r="O106" s="54" t="str">
        <f>IFERROR((WHOLE_STRUCTURE[[#This Row],[D, bottom '[m']]]+WHOLE_STRUCTURE[[#This Row],[D, top '[m']]])/(2*WHOLE_STRUCTURE[[#This Row],[t '[mm']]]/1000),"")</f>
        <v/>
      </c>
      <c r="U106" s="51"/>
      <c r="V106" s="51"/>
      <c r="W106" s="51"/>
      <c r="X106" s="51"/>
      <c r="Y106" s="51"/>
      <c r="Z106" s="51"/>
    </row>
    <row r="107" spans="12:26">
      <c r="L107" s="54" t="str">
        <f t="shared" si="3"/>
        <v/>
      </c>
      <c r="M1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7" s="54" t="str">
        <f>IFERROR(-(WHOLE_STRUCTURE[[#This Row],[D, bottom '[m']]]-WHOLE_STRUCTURE[[#This Row],[D, top '[m']]])/(WHOLE_STRUCTURE[[#This Row],[Bottom '[m']]]-WHOLE_STRUCTURE[[#This Row],[Top '[m']]]),"")</f>
        <v/>
      </c>
      <c r="O107" s="54" t="str">
        <f>IFERROR((WHOLE_STRUCTURE[[#This Row],[D, bottom '[m']]]+WHOLE_STRUCTURE[[#This Row],[D, top '[m']]])/(2*WHOLE_STRUCTURE[[#This Row],[t '[mm']]]/1000),"")</f>
        <v/>
      </c>
      <c r="U107" s="51"/>
      <c r="V107" s="51"/>
      <c r="W107" s="51"/>
      <c r="X107" s="51"/>
      <c r="Y107" s="51"/>
      <c r="Z107" s="51"/>
    </row>
    <row r="108" spans="12:26">
      <c r="L108" s="54" t="str">
        <f t="shared" si="3"/>
        <v/>
      </c>
      <c r="M1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8" s="54" t="str">
        <f>IFERROR(-(WHOLE_STRUCTURE[[#This Row],[D, bottom '[m']]]-WHOLE_STRUCTURE[[#This Row],[D, top '[m']]])/(WHOLE_STRUCTURE[[#This Row],[Bottom '[m']]]-WHOLE_STRUCTURE[[#This Row],[Top '[m']]]),"")</f>
        <v/>
      </c>
      <c r="O108" s="54" t="str">
        <f>IFERROR((WHOLE_STRUCTURE[[#This Row],[D, bottom '[m']]]+WHOLE_STRUCTURE[[#This Row],[D, top '[m']]])/(2*WHOLE_STRUCTURE[[#This Row],[t '[mm']]]/1000),"")</f>
        <v/>
      </c>
      <c r="U108" s="51"/>
      <c r="V108" s="51"/>
      <c r="W108" s="51"/>
      <c r="X108" s="51"/>
      <c r="Y108" s="51"/>
      <c r="Z108" s="51"/>
    </row>
    <row r="109" spans="12:26">
      <c r="L109" s="54" t="str">
        <f t="shared" si="3"/>
        <v/>
      </c>
      <c r="M1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9" s="54" t="str">
        <f>IFERROR(-(WHOLE_STRUCTURE[[#This Row],[D, bottom '[m']]]-WHOLE_STRUCTURE[[#This Row],[D, top '[m']]])/(WHOLE_STRUCTURE[[#This Row],[Bottom '[m']]]-WHOLE_STRUCTURE[[#This Row],[Top '[m']]]),"")</f>
        <v/>
      </c>
      <c r="O109" s="54" t="str">
        <f>IFERROR((WHOLE_STRUCTURE[[#This Row],[D, bottom '[m']]]+WHOLE_STRUCTURE[[#This Row],[D, top '[m']]])/(2*WHOLE_STRUCTURE[[#This Row],[t '[mm']]]/1000),"")</f>
        <v/>
      </c>
      <c r="U109" s="51"/>
      <c r="V109" s="51"/>
      <c r="W109" s="51"/>
      <c r="X109" s="51"/>
      <c r="Y109" s="51"/>
      <c r="Z109" s="51"/>
    </row>
    <row r="110" spans="12:26">
      <c r="L110" s="54" t="str">
        <f t="shared" si="3"/>
        <v/>
      </c>
      <c r="M1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0" s="54" t="str">
        <f>IFERROR(-(WHOLE_STRUCTURE[[#This Row],[D, bottom '[m']]]-WHOLE_STRUCTURE[[#This Row],[D, top '[m']]])/(WHOLE_STRUCTURE[[#This Row],[Bottom '[m']]]-WHOLE_STRUCTURE[[#This Row],[Top '[m']]]),"")</f>
        <v/>
      </c>
      <c r="O110" s="54" t="str">
        <f>IFERROR((WHOLE_STRUCTURE[[#This Row],[D, bottom '[m']]]+WHOLE_STRUCTURE[[#This Row],[D, top '[m']]])/(2*WHOLE_STRUCTURE[[#This Row],[t '[mm']]]/1000),"")</f>
        <v/>
      </c>
      <c r="U110" s="51"/>
      <c r="V110" s="51"/>
      <c r="W110" s="51"/>
      <c r="X110" s="51"/>
      <c r="Y110" s="51"/>
      <c r="Z110" s="51"/>
    </row>
    <row r="111" spans="12:26">
      <c r="L111" s="54" t="str">
        <f t="shared" si="3"/>
        <v/>
      </c>
      <c r="M1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1" s="54" t="str">
        <f>IFERROR(-(WHOLE_STRUCTURE[[#This Row],[D, bottom '[m']]]-WHOLE_STRUCTURE[[#This Row],[D, top '[m']]])/(WHOLE_STRUCTURE[[#This Row],[Bottom '[m']]]-WHOLE_STRUCTURE[[#This Row],[Top '[m']]]),"")</f>
        <v/>
      </c>
      <c r="O111" s="54" t="str">
        <f>IFERROR((WHOLE_STRUCTURE[[#This Row],[D, bottom '[m']]]+WHOLE_STRUCTURE[[#This Row],[D, top '[m']]])/(2*WHOLE_STRUCTURE[[#This Row],[t '[mm']]]/1000),"")</f>
        <v/>
      </c>
      <c r="U111" s="51"/>
      <c r="V111" s="51"/>
      <c r="W111" s="51"/>
      <c r="X111" s="51"/>
      <c r="Y111" s="51"/>
      <c r="Z111" s="51"/>
    </row>
    <row r="112" spans="12:26">
      <c r="L112" s="54" t="str">
        <f t="shared" si="3"/>
        <v/>
      </c>
      <c r="M1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2" s="54" t="str">
        <f>IFERROR(-(WHOLE_STRUCTURE[[#This Row],[D, bottom '[m']]]-WHOLE_STRUCTURE[[#This Row],[D, top '[m']]])/(WHOLE_STRUCTURE[[#This Row],[Bottom '[m']]]-WHOLE_STRUCTURE[[#This Row],[Top '[m']]]),"")</f>
        <v/>
      </c>
      <c r="O112" s="54" t="str">
        <f>IFERROR((WHOLE_STRUCTURE[[#This Row],[D, bottom '[m']]]+WHOLE_STRUCTURE[[#This Row],[D, top '[m']]])/(2*WHOLE_STRUCTURE[[#This Row],[t '[mm']]]/1000),"")</f>
        <v/>
      </c>
      <c r="U112" s="51"/>
      <c r="V112" s="51"/>
      <c r="W112" s="51"/>
      <c r="X112" s="51"/>
      <c r="Y112" s="51"/>
      <c r="Z112" s="51"/>
    </row>
    <row r="113" spans="12:26">
      <c r="L113" s="54" t="str">
        <f t="shared" si="3"/>
        <v/>
      </c>
      <c r="M1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3" s="54" t="str">
        <f>IFERROR(-(WHOLE_STRUCTURE[[#This Row],[D, bottom '[m']]]-WHOLE_STRUCTURE[[#This Row],[D, top '[m']]])/(WHOLE_STRUCTURE[[#This Row],[Bottom '[m']]]-WHOLE_STRUCTURE[[#This Row],[Top '[m']]]),"")</f>
        <v/>
      </c>
      <c r="O113" s="54" t="str">
        <f>IFERROR((WHOLE_STRUCTURE[[#This Row],[D, bottom '[m']]]+WHOLE_STRUCTURE[[#This Row],[D, top '[m']]])/(2*WHOLE_STRUCTURE[[#This Row],[t '[mm']]]/1000),"")</f>
        <v/>
      </c>
      <c r="U113" s="51"/>
      <c r="V113" s="51"/>
      <c r="W113" s="51"/>
      <c r="X113" s="51"/>
      <c r="Y113" s="51"/>
      <c r="Z113" s="51"/>
    </row>
    <row r="114" spans="12:26">
      <c r="L114" s="54" t="str">
        <f t="shared" ref="L114:L123" si="4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/>
      </c>
      <c r="M1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4" s="54" t="str">
        <f>IFERROR(-(WHOLE_STRUCTURE[[#This Row],[D, bottom '[m']]]-WHOLE_STRUCTURE[[#This Row],[D, top '[m']]])/(WHOLE_STRUCTURE[[#This Row],[Bottom '[m']]]-WHOLE_STRUCTURE[[#This Row],[Top '[m']]]),"")</f>
        <v/>
      </c>
      <c r="O114" s="54" t="str">
        <f>IFERROR((WHOLE_STRUCTURE[[#This Row],[D, bottom '[m']]]+WHOLE_STRUCTURE[[#This Row],[D, top '[m']]])/(2*WHOLE_STRUCTURE[[#This Row],[t '[mm']]]/1000),"")</f>
        <v/>
      </c>
      <c r="U114" s="51"/>
      <c r="V114" s="51"/>
      <c r="W114" s="51"/>
      <c r="X114" s="51"/>
      <c r="Y114" s="51"/>
      <c r="Z114" s="51"/>
    </row>
    <row r="115" spans="12:26">
      <c r="L115" s="54" t="str">
        <f t="shared" si="4"/>
        <v/>
      </c>
      <c r="M1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5" s="54" t="str">
        <f>IFERROR(-(WHOLE_STRUCTURE[[#This Row],[D, bottom '[m']]]-WHOLE_STRUCTURE[[#This Row],[D, top '[m']]])/(WHOLE_STRUCTURE[[#This Row],[Bottom '[m']]]-WHOLE_STRUCTURE[[#This Row],[Top '[m']]]),"")</f>
        <v/>
      </c>
      <c r="O115" s="54" t="str">
        <f>IFERROR((WHOLE_STRUCTURE[[#This Row],[D, bottom '[m']]]+WHOLE_STRUCTURE[[#This Row],[D, top '[m']]])/(2*WHOLE_STRUCTURE[[#This Row],[t '[mm']]]/1000),"")</f>
        <v/>
      </c>
      <c r="U115" s="51"/>
      <c r="V115" s="51"/>
      <c r="W115" s="51"/>
      <c r="X115" s="51"/>
      <c r="Y115" s="51"/>
      <c r="Z115" s="51"/>
    </row>
    <row r="116" spans="12:26">
      <c r="L116" s="54" t="str">
        <f t="shared" si="4"/>
        <v/>
      </c>
      <c r="M1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6" s="54" t="str">
        <f>IFERROR(-(WHOLE_STRUCTURE[[#This Row],[D, bottom '[m']]]-WHOLE_STRUCTURE[[#This Row],[D, top '[m']]])/(WHOLE_STRUCTURE[[#This Row],[Bottom '[m']]]-WHOLE_STRUCTURE[[#This Row],[Top '[m']]]),"")</f>
        <v/>
      </c>
      <c r="O116" s="54" t="str">
        <f>IFERROR((WHOLE_STRUCTURE[[#This Row],[D, bottom '[m']]]+WHOLE_STRUCTURE[[#This Row],[D, top '[m']]])/(2*WHOLE_STRUCTURE[[#This Row],[t '[mm']]]/1000),"")</f>
        <v/>
      </c>
      <c r="U116" s="51"/>
      <c r="V116" s="51"/>
      <c r="W116" s="51"/>
      <c r="X116" s="51"/>
      <c r="Y116" s="51"/>
      <c r="Z116" s="51"/>
    </row>
    <row r="117" spans="12:26">
      <c r="L117" s="54" t="str">
        <f t="shared" si="4"/>
        <v/>
      </c>
      <c r="M1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7" s="54" t="str">
        <f>IFERROR(-(WHOLE_STRUCTURE[[#This Row],[D, bottom '[m']]]-WHOLE_STRUCTURE[[#This Row],[D, top '[m']]])/(WHOLE_STRUCTURE[[#This Row],[Bottom '[m']]]-WHOLE_STRUCTURE[[#This Row],[Top '[m']]]),"")</f>
        <v/>
      </c>
      <c r="O117" s="54" t="str">
        <f>IFERROR((WHOLE_STRUCTURE[[#This Row],[D, bottom '[m']]]+WHOLE_STRUCTURE[[#This Row],[D, top '[m']]])/(2*WHOLE_STRUCTURE[[#This Row],[t '[mm']]]/1000),"")</f>
        <v/>
      </c>
      <c r="U117" s="51"/>
      <c r="V117" s="51"/>
      <c r="W117" s="51"/>
      <c r="X117" s="51"/>
      <c r="Y117" s="51"/>
      <c r="Z117" s="51"/>
    </row>
    <row r="118" spans="12:26">
      <c r="L118" s="54" t="str">
        <f t="shared" si="4"/>
        <v/>
      </c>
      <c r="M1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8" s="54" t="str">
        <f>IFERROR(-(WHOLE_STRUCTURE[[#This Row],[D, bottom '[m']]]-WHOLE_STRUCTURE[[#This Row],[D, top '[m']]])/(WHOLE_STRUCTURE[[#This Row],[Bottom '[m']]]-WHOLE_STRUCTURE[[#This Row],[Top '[m']]]),"")</f>
        <v/>
      </c>
      <c r="O118" s="54" t="str">
        <f>IFERROR((WHOLE_STRUCTURE[[#This Row],[D, bottom '[m']]]+WHOLE_STRUCTURE[[#This Row],[D, top '[m']]])/(2*WHOLE_STRUCTURE[[#This Row],[t '[mm']]]/1000),"")</f>
        <v/>
      </c>
      <c r="U118" s="51"/>
      <c r="V118" s="51"/>
      <c r="W118" s="51"/>
      <c r="X118" s="51"/>
      <c r="Y118" s="51"/>
      <c r="Z118" s="51"/>
    </row>
    <row r="119" spans="12:26">
      <c r="L119" s="54" t="str">
        <f t="shared" si="4"/>
        <v/>
      </c>
      <c r="M1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9" s="54" t="str">
        <f>IFERROR(-(WHOLE_STRUCTURE[[#This Row],[D, bottom '[m']]]-WHOLE_STRUCTURE[[#This Row],[D, top '[m']]])/(WHOLE_STRUCTURE[[#This Row],[Bottom '[m']]]-WHOLE_STRUCTURE[[#This Row],[Top '[m']]]),"")</f>
        <v/>
      </c>
      <c r="O119" s="54" t="str">
        <f>IFERROR((WHOLE_STRUCTURE[[#This Row],[D, bottom '[m']]]+WHOLE_STRUCTURE[[#This Row],[D, top '[m']]])/(2*WHOLE_STRUCTURE[[#This Row],[t '[mm']]]/1000),"")</f>
        <v/>
      </c>
      <c r="U119" s="51"/>
      <c r="V119" s="51"/>
      <c r="W119" s="51"/>
      <c r="X119" s="51"/>
      <c r="Y119" s="51"/>
      <c r="Z119" s="51"/>
    </row>
    <row r="120" spans="12:26">
      <c r="L120" s="54" t="str">
        <f t="shared" si="4"/>
        <v/>
      </c>
      <c r="M1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0" s="54" t="str">
        <f>IFERROR(-(WHOLE_STRUCTURE[[#This Row],[D, bottom '[m']]]-WHOLE_STRUCTURE[[#This Row],[D, top '[m']]])/(WHOLE_STRUCTURE[[#This Row],[Bottom '[m']]]-WHOLE_STRUCTURE[[#This Row],[Top '[m']]]),"")</f>
        <v/>
      </c>
      <c r="O120" s="54" t="str">
        <f>IFERROR((WHOLE_STRUCTURE[[#This Row],[D, bottom '[m']]]+WHOLE_STRUCTURE[[#This Row],[D, top '[m']]])/(2*WHOLE_STRUCTURE[[#This Row],[t '[mm']]]/1000),"")</f>
        <v/>
      </c>
      <c r="U120" s="51"/>
      <c r="V120" s="51"/>
      <c r="W120" s="51"/>
      <c r="X120" s="51"/>
      <c r="Y120" s="51"/>
      <c r="Z120" s="51"/>
    </row>
    <row r="121" spans="12:26">
      <c r="L121" s="54" t="str">
        <f t="shared" si="4"/>
        <v/>
      </c>
      <c r="M1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1" s="54" t="str">
        <f>IFERROR(-(WHOLE_STRUCTURE[[#This Row],[D, bottom '[m']]]-WHOLE_STRUCTURE[[#This Row],[D, top '[m']]])/(WHOLE_STRUCTURE[[#This Row],[Bottom '[m']]]-WHOLE_STRUCTURE[[#This Row],[Top '[m']]]),"")</f>
        <v/>
      </c>
      <c r="O121" s="54" t="str">
        <f>IFERROR((WHOLE_STRUCTURE[[#This Row],[D, bottom '[m']]]+WHOLE_STRUCTURE[[#This Row],[D, top '[m']]])/(2*WHOLE_STRUCTURE[[#This Row],[t '[mm']]]/1000),"")</f>
        <v/>
      </c>
      <c r="U121" s="51"/>
      <c r="V121" s="51"/>
      <c r="W121" s="51"/>
      <c r="X121" s="51"/>
      <c r="Y121" s="51"/>
      <c r="Z121" s="51"/>
    </row>
    <row r="122" spans="12:26">
      <c r="L122" s="54" t="str">
        <f t="shared" si="4"/>
        <v/>
      </c>
      <c r="M1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2" s="54" t="str">
        <f>IFERROR(-(WHOLE_STRUCTURE[[#This Row],[D, bottom '[m']]]-WHOLE_STRUCTURE[[#This Row],[D, top '[m']]])/(WHOLE_STRUCTURE[[#This Row],[Bottom '[m']]]-WHOLE_STRUCTURE[[#This Row],[Top '[m']]]),"")</f>
        <v/>
      </c>
      <c r="O122" s="54" t="str">
        <f>IFERROR((WHOLE_STRUCTURE[[#This Row],[D, bottom '[m']]]+WHOLE_STRUCTURE[[#This Row],[D, top '[m']]])/(2*WHOLE_STRUCTURE[[#This Row],[t '[mm']]]/1000),"")</f>
        <v/>
      </c>
      <c r="U122" s="51"/>
      <c r="V122" s="51"/>
      <c r="W122" s="51"/>
      <c r="X122" s="51"/>
      <c r="Y122" s="51"/>
      <c r="Z122" s="51"/>
    </row>
    <row r="123" spans="12:26">
      <c r="L123" s="54" t="str">
        <f t="shared" si="4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4" t="str">
        <f>IFERROR((WHOLE_STRUCTURE[[#This Row],[D, bottom '[m']]]+WHOLE_STRUCTURE[[#This Row],[D, top '[m']]])/(2*WHOLE_STRUCTURE[[#This Row],[t '[mm']]]/1000),"")</f>
        <v/>
      </c>
      <c r="U123" s="51"/>
      <c r="V123" s="51"/>
      <c r="W123" s="51"/>
      <c r="X123" s="51"/>
      <c r="Y123" s="51"/>
      <c r="Z123" s="51"/>
    </row>
    <row r="124" spans="12:26">
      <c r="U124" s="51"/>
      <c r="V124" s="51"/>
      <c r="W124" s="51"/>
      <c r="X124" s="51"/>
      <c r="Y124" s="51"/>
      <c r="Z124" s="51"/>
    </row>
    <row r="125" spans="12:26">
      <c r="U125" s="51"/>
      <c r="V125" s="51"/>
      <c r="W125" s="51"/>
      <c r="X125" s="51"/>
      <c r="Y125" s="51"/>
      <c r="Z125" s="51"/>
    </row>
    <row r="126" spans="12:26">
      <c r="U126" s="51"/>
      <c r="V126" s="51"/>
      <c r="W126" s="51"/>
      <c r="X126" s="51"/>
      <c r="Y126" s="51"/>
      <c r="Z126" s="51"/>
    </row>
    <row r="127" spans="12:26">
      <c r="U127" s="51"/>
      <c r="V127" s="51"/>
      <c r="W127" s="51"/>
      <c r="X127" s="51"/>
      <c r="Y127" s="51"/>
      <c r="Z127" s="51"/>
    </row>
    <row r="128" spans="12:26">
      <c r="U128" s="51"/>
      <c r="V128" s="51"/>
      <c r="W128" s="51"/>
      <c r="X128" s="51"/>
      <c r="Y128" s="51"/>
      <c r="Z128" s="51"/>
    </row>
    <row r="129" spans="12:26">
      <c r="U129" s="51"/>
      <c r="V129" s="51"/>
      <c r="W129" s="51"/>
      <c r="X129" s="51"/>
      <c r="Y129" s="51"/>
      <c r="Z129" s="51"/>
    </row>
    <row r="130" spans="12:26">
      <c r="U130" s="51"/>
      <c r="V130" s="51"/>
      <c r="W130" s="51"/>
      <c r="X130" s="51"/>
      <c r="Y130" s="51"/>
      <c r="Z130" s="51"/>
    </row>
    <row r="131" spans="12:26">
      <c r="U131" s="51"/>
      <c r="V131" s="51"/>
      <c r="W131" s="51"/>
      <c r="X131" s="51"/>
      <c r="Y131" s="51"/>
      <c r="Z131" s="51"/>
    </row>
    <row r="132" spans="12:26">
      <c r="L132" s="54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4" t="str">
        <f>IFERROR((WHOLE_STRUCTURE[[#This Row],[D, bottom '[m']]]+WHOLE_STRUCTURE[[#This Row],[D, top '[m']]])/(2*WHOLE_STRUCTURE[[#This Row],[t '[mm']]]/1000),"")</f>
        <v/>
      </c>
      <c r="U132" s="51"/>
      <c r="V132" s="51"/>
      <c r="W132" s="51"/>
      <c r="X132" s="51"/>
      <c r="Y132" s="51"/>
      <c r="Z132" s="51"/>
    </row>
    <row r="133" spans="12:26">
      <c r="L133" s="54" t="str">
        <f t="shared" ref="L133:L196" si="5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4" t="str">
        <f>IFERROR((WHOLE_STRUCTURE[[#This Row],[D, bottom '[m']]]+WHOLE_STRUCTURE[[#This Row],[D, top '[m']]])/(2*WHOLE_STRUCTURE[[#This Row],[t '[mm']]]/1000),"")</f>
        <v/>
      </c>
      <c r="U133" s="51"/>
      <c r="V133" s="51"/>
      <c r="W133" s="51"/>
      <c r="X133" s="51"/>
      <c r="Y133" s="51"/>
      <c r="Z133" s="51"/>
    </row>
    <row r="134" spans="12:26">
      <c r="L134" s="54" t="str">
        <f t="shared" si="5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4" t="str">
        <f>IFERROR((WHOLE_STRUCTURE[[#This Row],[D, bottom '[m']]]+WHOLE_STRUCTURE[[#This Row],[D, top '[m']]])/(2*WHOLE_STRUCTURE[[#This Row],[t '[mm']]]/1000),"")</f>
        <v/>
      </c>
      <c r="U134" s="51"/>
      <c r="V134" s="51"/>
      <c r="W134" s="51"/>
      <c r="X134" s="51"/>
      <c r="Y134" s="51"/>
      <c r="Z134" s="51"/>
    </row>
    <row r="135" spans="12:26">
      <c r="L135" s="54" t="str">
        <f t="shared" si="5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4" t="str">
        <f>IFERROR((WHOLE_STRUCTURE[[#This Row],[D, bottom '[m']]]+WHOLE_STRUCTURE[[#This Row],[D, top '[m']]])/(2*WHOLE_STRUCTURE[[#This Row],[t '[mm']]]/1000),"")</f>
        <v/>
      </c>
      <c r="U135" s="51"/>
      <c r="V135" s="51"/>
      <c r="W135" s="51"/>
      <c r="X135" s="51"/>
      <c r="Y135" s="51"/>
      <c r="Z135" s="51"/>
    </row>
    <row r="136" spans="12:26">
      <c r="L136" s="54" t="str">
        <f t="shared" si="5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4" t="str">
        <f>IFERROR((WHOLE_STRUCTURE[[#This Row],[D, bottom '[m']]]+WHOLE_STRUCTURE[[#This Row],[D, top '[m']]])/(2*WHOLE_STRUCTURE[[#This Row],[t '[mm']]]/1000),"")</f>
        <v/>
      </c>
    </row>
    <row r="137" spans="12:26">
      <c r="L137" s="54" t="str">
        <f t="shared" si="5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4" t="str">
        <f>IFERROR((WHOLE_STRUCTURE[[#This Row],[D, bottom '[m']]]+WHOLE_STRUCTURE[[#This Row],[D, top '[m']]])/(2*WHOLE_STRUCTURE[[#This Row],[t '[mm']]]/1000),"")</f>
        <v/>
      </c>
    </row>
    <row r="138" spans="12:26">
      <c r="L138" s="54" t="str">
        <f t="shared" si="5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4" t="str">
        <f>IFERROR((WHOLE_STRUCTURE[[#This Row],[D, bottom '[m']]]+WHOLE_STRUCTURE[[#This Row],[D, top '[m']]])/(2*WHOLE_STRUCTURE[[#This Row],[t '[mm']]]/1000),"")</f>
        <v/>
      </c>
    </row>
    <row r="139" spans="12:26">
      <c r="L139" s="54" t="str">
        <f t="shared" si="5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4" t="str">
        <f>IFERROR((WHOLE_STRUCTURE[[#This Row],[D, bottom '[m']]]+WHOLE_STRUCTURE[[#This Row],[D, top '[m']]])/(2*WHOLE_STRUCTURE[[#This Row],[t '[mm']]]/1000),"")</f>
        <v/>
      </c>
    </row>
    <row r="140" spans="12:26">
      <c r="L140" s="54" t="str">
        <f t="shared" si="5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4" t="str">
        <f>IFERROR((WHOLE_STRUCTURE[[#This Row],[D, bottom '[m']]]+WHOLE_STRUCTURE[[#This Row],[D, top '[m']]])/(2*WHOLE_STRUCTURE[[#This Row],[t '[mm']]]/1000),"")</f>
        <v/>
      </c>
    </row>
    <row r="141" spans="12:26">
      <c r="L141" s="54" t="str">
        <f t="shared" si="5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4" t="str">
        <f>IFERROR((WHOLE_STRUCTURE[[#This Row],[D, bottom '[m']]]+WHOLE_STRUCTURE[[#This Row],[D, top '[m']]])/(2*WHOLE_STRUCTURE[[#This Row],[t '[mm']]]/1000),"")</f>
        <v/>
      </c>
    </row>
    <row r="142" spans="12:26">
      <c r="L142" s="54" t="str">
        <f t="shared" si="5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4" t="str">
        <f>IFERROR((WHOLE_STRUCTURE[[#This Row],[D, bottom '[m']]]+WHOLE_STRUCTURE[[#This Row],[D, top '[m']]])/(2*WHOLE_STRUCTURE[[#This Row],[t '[mm']]]/1000),"")</f>
        <v/>
      </c>
    </row>
    <row r="143" spans="12:26">
      <c r="L143" s="54" t="str">
        <f t="shared" si="5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4" t="str">
        <f>IFERROR((WHOLE_STRUCTURE[[#This Row],[D, bottom '[m']]]+WHOLE_STRUCTURE[[#This Row],[D, top '[m']]])/(2*WHOLE_STRUCTURE[[#This Row],[t '[mm']]]/1000),"")</f>
        <v/>
      </c>
    </row>
    <row r="144" spans="12:26">
      <c r="L144" s="54" t="str">
        <f t="shared" si="5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4" t="str">
        <f>IFERROR((WHOLE_STRUCTURE[[#This Row],[D, bottom '[m']]]+WHOLE_STRUCTURE[[#This Row],[D, top '[m']]])/(2*WHOLE_STRUCTURE[[#This Row],[t '[mm']]]/1000),"")</f>
        <v/>
      </c>
    </row>
    <row r="145" spans="12:15">
      <c r="L145" s="54" t="str">
        <f t="shared" si="5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4" t="str">
        <f>IFERROR((WHOLE_STRUCTURE[[#This Row],[D, bottom '[m']]]+WHOLE_STRUCTURE[[#This Row],[D, top '[m']]])/(2*WHOLE_STRUCTURE[[#This Row],[t '[mm']]]/1000),"")</f>
        <v/>
      </c>
    </row>
    <row r="146" spans="12:15">
      <c r="L146" s="54" t="str">
        <f t="shared" si="5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4" t="str">
        <f>IFERROR((WHOLE_STRUCTURE[[#This Row],[D, bottom '[m']]]+WHOLE_STRUCTURE[[#This Row],[D, top '[m']]])/(2*WHOLE_STRUCTURE[[#This Row],[t '[mm']]]/1000),"")</f>
        <v/>
      </c>
    </row>
    <row r="147" spans="12:15">
      <c r="L147" s="54" t="str">
        <f t="shared" si="5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4" t="str">
        <f>IFERROR((WHOLE_STRUCTURE[[#This Row],[D, bottom '[m']]]+WHOLE_STRUCTURE[[#This Row],[D, top '[m']]])/(2*WHOLE_STRUCTURE[[#This Row],[t '[mm']]]/1000),"")</f>
        <v/>
      </c>
    </row>
    <row r="148" spans="12:15">
      <c r="L148" s="54" t="str">
        <f t="shared" si="5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4" t="str">
        <f>IFERROR((WHOLE_STRUCTURE[[#This Row],[D, bottom '[m']]]+WHOLE_STRUCTURE[[#This Row],[D, top '[m']]])/(2*WHOLE_STRUCTURE[[#This Row],[t '[mm']]]/1000),"")</f>
        <v/>
      </c>
    </row>
    <row r="149" spans="12:15">
      <c r="L149" s="54" t="str">
        <f t="shared" si="5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4" t="str">
        <f>IFERROR((WHOLE_STRUCTURE[[#This Row],[D, bottom '[m']]]+WHOLE_STRUCTURE[[#This Row],[D, top '[m']]])/(2*WHOLE_STRUCTURE[[#This Row],[t '[mm']]]/1000),"")</f>
        <v/>
      </c>
    </row>
    <row r="150" spans="12:15">
      <c r="L150" s="54" t="str">
        <f t="shared" si="5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4" t="str">
        <f>IFERROR((WHOLE_STRUCTURE[[#This Row],[D, bottom '[m']]]+WHOLE_STRUCTURE[[#This Row],[D, top '[m']]])/(2*WHOLE_STRUCTURE[[#This Row],[t '[mm']]]/1000),"")</f>
        <v/>
      </c>
    </row>
    <row r="151" spans="12:15">
      <c r="L151" s="54" t="str">
        <f t="shared" si="5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4" t="str">
        <f>IFERROR((WHOLE_STRUCTURE[[#This Row],[D, bottom '[m']]]+WHOLE_STRUCTURE[[#This Row],[D, top '[m']]])/(2*WHOLE_STRUCTURE[[#This Row],[t '[mm']]]/1000),"")</f>
        <v/>
      </c>
    </row>
    <row r="152" spans="12:15">
      <c r="L152" s="54" t="str">
        <f t="shared" si="5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4" t="str">
        <f>IFERROR((WHOLE_STRUCTURE[[#This Row],[D, bottom '[m']]]+WHOLE_STRUCTURE[[#This Row],[D, top '[m']]])/(2*WHOLE_STRUCTURE[[#This Row],[t '[mm']]]/1000),"")</f>
        <v/>
      </c>
    </row>
    <row r="153" spans="12:15">
      <c r="L153" s="54" t="str">
        <f t="shared" si="5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4" t="str">
        <f>IFERROR((WHOLE_STRUCTURE[[#This Row],[D, bottom '[m']]]+WHOLE_STRUCTURE[[#This Row],[D, top '[m']]])/(2*WHOLE_STRUCTURE[[#This Row],[t '[mm']]]/1000),"")</f>
        <v/>
      </c>
    </row>
    <row r="154" spans="12:15">
      <c r="L154" s="54" t="str">
        <f t="shared" si="5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4" t="str">
        <f>IFERROR((WHOLE_STRUCTURE[[#This Row],[D, bottom '[m']]]+WHOLE_STRUCTURE[[#This Row],[D, top '[m']]])/(2*WHOLE_STRUCTURE[[#This Row],[t '[mm']]]/1000),"")</f>
        <v/>
      </c>
    </row>
    <row r="155" spans="12:15">
      <c r="L155" s="54" t="str">
        <f t="shared" si="5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4" t="str">
        <f>IFERROR((WHOLE_STRUCTURE[[#This Row],[D, bottom '[m']]]+WHOLE_STRUCTURE[[#This Row],[D, top '[m']]])/(2*WHOLE_STRUCTURE[[#This Row],[t '[mm']]]/1000),"")</f>
        <v/>
      </c>
    </row>
    <row r="156" spans="12:15">
      <c r="L156" s="54" t="str">
        <f t="shared" si="5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4" t="str">
        <f>IFERROR((WHOLE_STRUCTURE[[#This Row],[D, bottom '[m']]]+WHOLE_STRUCTURE[[#This Row],[D, top '[m']]])/(2*WHOLE_STRUCTURE[[#This Row],[t '[mm']]]/1000),"")</f>
        <v/>
      </c>
    </row>
    <row r="157" spans="12:15">
      <c r="L157" s="54" t="str">
        <f t="shared" si="5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4" t="str">
        <f>IFERROR((WHOLE_STRUCTURE[[#This Row],[D, bottom '[m']]]+WHOLE_STRUCTURE[[#This Row],[D, top '[m']]])/(2*WHOLE_STRUCTURE[[#This Row],[t '[mm']]]/1000),"")</f>
        <v/>
      </c>
    </row>
    <row r="158" spans="12:15">
      <c r="L158" s="54" t="str">
        <f t="shared" si="5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4" t="str">
        <f>IFERROR((WHOLE_STRUCTURE[[#This Row],[D, bottom '[m']]]+WHOLE_STRUCTURE[[#This Row],[D, top '[m']]])/(2*WHOLE_STRUCTURE[[#This Row],[t '[mm']]]/1000),"")</f>
        <v/>
      </c>
    </row>
    <row r="159" spans="12:15">
      <c r="L159" s="54" t="str">
        <f t="shared" si="5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4" t="str">
        <f>IFERROR((WHOLE_STRUCTURE[[#This Row],[D, bottom '[m']]]+WHOLE_STRUCTURE[[#This Row],[D, top '[m']]])/(2*WHOLE_STRUCTURE[[#This Row],[t '[mm']]]/1000),"")</f>
        <v/>
      </c>
    </row>
    <row r="160" spans="12:15">
      <c r="L160" s="54" t="str">
        <f t="shared" si="5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4" t="str">
        <f>IFERROR((WHOLE_STRUCTURE[[#This Row],[D, bottom '[m']]]+WHOLE_STRUCTURE[[#This Row],[D, top '[m']]])/(2*WHOLE_STRUCTURE[[#This Row],[t '[mm']]]/1000),"")</f>
        <v/>
      </c>
    </row>
    <row r="161" spans="12:15">
      <c r="L161" s="54" t="str">
        <f t="shared" si="5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4" t="str">
        <f>IFERROR((WHOLE_STRUCTURE[[#This Row],[D, bottom '[m']]]+WHOLE_STRUCTURE[[#This Row],[D, top '[m']]])/(2*WHOLE_STRUCTURE[[#This Row],[t '[mm']]]/1000),"")</f>
        <v/>
      </c>
    </row>
    <row r="162" spans="12:15">
      <c r="L162" s="54" t="str">
        <f t="shared" si="5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4" t="str">
        <f>IFERROR((WHOLE_STRUCTURE[[#This Row],[D, bottom '[m']]]+WHOLE_STRUCTURE[[#This Row],[D, top '[m']]])/(2*WHOLE_STRUCTURE[[#This Row],[t '[mm']]]/1000),"")</f>
        <v/>
      </c>
    </row>
    <row r="163" spans="12:15">
      <c r="L163" s="54" t="str">
        <f t="shared" si="5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4" t="str">
        <f>IFERROR((WHOLE_STRUCTURE[[#This Row],[D, bottom '[m']]]+WHOLE_STRUCTURE[[#This Row],[D, top '[m']]])/(2*WHOLE_STRUCTURE[[#This Row],[t '[mm']]]/1000),"")</f>
        <v/>
      </c>
    </row>
    <row r="164" spans="12:15">
      <c r="L164" s="54" t="str">
        <f t="shared" si="5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4" t="str">
        <f>IFERROR((WHOLE_STRUCTURE[[#This Row],[D, bottom '[m']]]+WHOLE_STRUCTURE[[#This Row],[D, top '[m']]])/(2*WHOLE_STRUCTURE[[#This Row],[t '[mm']]]/1000),"")</f>
        <v/>
      </c>
    </row>
    <row r="165" spans="12:15">
      <c r="L165" s="54" t="str">
        <f t="shared" si="5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4" t="str">
        <f>IFERROR((WHOLE_STRUCTURE[[#This Row],[D, bottom '[m']]]+WHOLE_STRUCTURE[[#This Row],[D, top '[m']]])/(2*WHOLE_STRUCTURE[[#This Row],[t '[mm']]]/1000),"")</f>
        <v/>
      </c>
    </row>
    <row r="166" spans="12:15">
      <c r="L166" s="54" t="str">
        <f t="shared" si="5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4" t="str">
        <f>IFERROR((WHOLE_STRUCTURE[[#This Row],[D, bottom '[m']]]+WHOLE_STRUCTURE[[#This Row],[D, top '[m']]])/(2*WHOLE_STRUCTURE[[#This Row],[t '[mm']]]/1000),"")</f>
        <v/>
      </c>
    </row>
    <row r="167" spans="12:15">
      <c r="L167" s="54" t="str">
        <f t="shared" si="5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4" t="str">
        <f>IFERROR((WHOLE_STRUCTURE[[#This Row],[D, bottom '[m']]]+WHOLE_STRUCTURE[[#This Row],[D, top '[m']]])/(2*WHOLE_STRUCTURE[[#This Row],[t '[mm']]]/1000),"")</f>
        <v/>
      </c>
    </row>
    <row r="168" spans="12:15">
      <c r="L168" s="54" t="str">
        <f t="shared" si="5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4" t="str">
        <f>IFERROR((WHOLE_STRUCTURE[[#This Row],[D, bottom '[m']]]+WHOLE_STRUCTURE[[#This Row],[D, top '[m']]])/(2*WHOLE_STRUCTURE[[#This Row],[t '[mm']]]/1000),"")</f>
        <v/>
      </c>
    </row>
    <row r="169" spans="12:15">
      <c r="L169" s="54" t="str">
        <f t="shared" si="5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4" t="str">
        <f>IFERROR((WHOLE_STRUCTURE[[#This Row],[D, bottom '[m']]]+WHOLE_STRUCTURE[[#This Row],[D, top '[m']]])/(2*WHOLE_STRUCTURE[[#This Row],[t '[mm']]]/1000),"")</f>
        <v/>
      </c>
    </row>
    <row r="170" spans="12:15">
      <c r="L170" s="54" t="str">
        <f t="shared" si="5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4" t="str">
        <f>IFERROR((WHOLE_STRUCTURE[[#This Row],[D, bottom '[m']]]+WHOLE_STRUCTURE[[#This Row],[D, top '[m']]])/(2*WHOLE_STRUCTURE[[#This Row],[t '[mm']]]/1000),"")</f>
        <v/>
      </c>
    </row>
    <row r="171" spans="12:15">
      <c r="L171" s="54" t="str">
        <f t="shared" si="5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4" t="str">
        <f>IFERROR((WHOLE_STRUCTURE[[#This Row],[D, bottom '[m']]]+WHOLE_STRUCTURE[[#This Row],[D, top '[m']]])/(2*WHOLE_STRUCTURE[[#This Row],[t '[mm']]]/1000),"")</f>
        <v/>
      </c>
    </row>
    <row r="172" spans="12:15">
      <c r="L172" s="54" t="str">
        <f t="shared" si="5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4" t="str">
        <f>IFERROR((WHOLE_STRUCTURE[[#This Row],[D, bottom '[m']]]+WHOLE_STRUCTURE[[#This Row],[D, top '[m']]])/(2*WHOLE_STRUCTURE[[#This Row],[t '[mm']]]/1000),"")</f>
        <v/>
      </c>
    </row>
    <row r="173" spans="12:15">
      <c r="L173" s="54" t="str">
        <f t="shared" si="5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4" t="str">
        <f>IFERROR((WHOLE_STRUCTURE[[#This Row],[D, bottom '[m']]]+WHOLE_STRUCTURE[[#This Row],[D, top '[m']]])/(2*WHOLE_STRUCTURE[[#This Row],[t '[mm']]]/1000),"")</f>
        <v/>
      </c>
    </row>
    <row r="174" spans="12:15">
      <c r="L174" s="54" t="str">
        <f t="shared" si="5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4" t="str">
        <f>IFERROR((WHOLE_STRUCTURE[[#This Row],[D, bottom '[m']]]+WHOLE_STRUCTURE[[#This Row],[D, top '[m']]])/(2*WHOLE_STRUCTURE[[#This Row],[t '[mm']]]/1000),"")</f>
        <v/>
      </c>
    </row>
    <row r="175" spans="12:15">
      <c r="L175" s="54" t="str">
        <f t="shared" si="5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4" t="str">
        <f>IFERROR((WHOLE_STRUCTURE[[#This Row],[D, bottom '[m']]]+WHOLE_STRUCTURE[[#This Row],[D, top '[m']]])/(2*WHOLE_STRUCTURE[[#This Row],[t '[mm']]]/1000),"")</f>
        <v/>
      </c>
    </row>
    <row r="176" spans="12:15">
      <c r="L176" s="54" t="str">
        <f t="shared" si="5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4" t="str">
        <f>IFERROR((WHOLE_STRUCTURE[[#This Row],[D, bottom '[m']]]+WHOLE_STRUCTURE[[#This Row],[D, top '[m']]])/(2*WHOLE_STRUCTURE[[#This Row],[t '[mm']]]/1000),"")</f>
        <v/>
      </c>
    </row>
    <row r="177" spans="12:15">
      <c r="L177" s="54" t="str">
        <f t="shared" si="5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4" t="str">
        <f>IFERROR((WHOLE_STRUCTURE[[#This Row],[D, bottom '[m']]]+WHOLE_STRUCTURE[[#This Row],[D, top '[m']]])/(2*WHOLE_STRUCTURE[[#This Row],[t '[mm']]]/1000),"")</f>
        <v/>
      </c>
    </row>
    <row r="178" spans="12:15">
      <c r="L178" s="54" t="str">
        <f t="shared" si="5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4" t="str">
        <f>IFERROR((WHOLE_STRUCTURE[[#This Row],[D, bottom '[m']]]+WHOLE_STRUCTURE[[#This Row],[D, top '[m']]])/(2*WHOLE_STRUCTURE[[#This Row],[t '[mm']]]/1000),"")</f>
        <v/>
      </c>
    </row>
    <row r="179" spans="12:15">
      <c r="L179" s="54" t="str">
        <f t="shared" si="5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4" t="str">
        <f>IFERROR((WHOLE_STRUCTURE[[#This Row],[D, bottom '[m']]]+WHOLE_STRUCTURE[[#This Row],[D, top '[m']]])/(2*WHOLE_STRUCTURE[[#This Row],[t '[mm']]]/1000),"")</f>
        <v/>
      </c>
    </row>
    <row r="180" spans="12:15">
      <c r="L180" s="54" t="str">
        <f t="shared" si="5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4" t="str">
        <f>IFERROR((WHOLE_STRUCTURE[[#This Row],[D, bottom '[m']]]+WHOLE_STRUCTURE[[#This Row],[D, top '[m']]])/(2*WHOLE_STRUCTURE[[#This Row],[t '[mm']]]/1000),"")</f>
        <v/>
      </c>
    </row>
    <row r="181" spans="12:15">
      <c r="L181" s="54" t="str">
        <f t="shared" si="5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4" t="str">
        <f>IFERROR((WHOLE_STRUCTURE[[#This Row],[D, bottom '[m']]]+WHOLE_STRUCTURE[[#This Row],[D, top '[m']]])/(2*WHOLE_STRUCTURE[[#This Row],[t '[mm']]]/1000),"")</f>
        <v/>
      </c>
    </row>
    <row r="182" spans="12:15">
      <c r="L182" s="54" t="str">
        <f t="shared" si="5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4" t="str">
        <f>IFERROR((WHOLE_STRUCTURE[[#This Row],[D, bottom '[m']]]+WHOLE_STRUCTURE[[#This Row],[D, top '[m']]])/(2*WHOLE_STRUCTURE[[#This Row],[t '[mm']]]/1000),"")</f>
        <v/>
      </c>
    </row>
    <row r="183" spans="12:15">
      <c r="L183" s="54" t="str">
        <f t="shared" si="5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4" t="str">
        <f>IFERROR((WHOLE_STRUCTURE[[#This Row],[D, bottom '[m']]]+WHOLE_STRUCTURE[[#This Row],[D, top '[m']]])/(2*WHOLE_STRUCTURE[[#This Row],[t '[mm']]]/1000),"")</f>
        <v/>
      </c>
    </row>
    <row r="184" spans="12:15">
      <c r="L184" s="54" t="str">
        <f t="shared" si="5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4" t="str">
        <f>IFERROR((WHOLE_STRUCTURE[[#This Row],[D, bottom '[m']]]+WHOLE_STRUCTURE[[#This Row],[D, top '[m']]])/(2*WHOLE_STRUCTURE[[#This Row],[t '[mm']]]/1000),"")</f>
        <v/>
      </c>
    </row>
    <row r="185" spans="12:15">
      <c r="L185" s="54" t="str">
        <f t="shared" si="5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4" t="str">
        <f>IFERROR((WHOLE_STRUCTURE[[#This Row],[D, bottom '[m']]]+WHOLE_STRUCTURE[[#This Row],[D, top '[m']]])/(2*WHOLE_STRUCTURE[[#This Row],[t '[mm']]]/1000),"")</f>
        <v/>
      </c>
    </row>
    <row r="186" spans="12:15">
      <c r="L186" s="54" t="str">
        <f t="shared" si="5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4" t="str">
        <f>IFERROR((WHOLE_STRUCTURE[[#This Row],[D, bottom '[m']]]+WHOLE_STRUCTURE[[#This Row],[D, top '[m']]])/(2*WHOLE_STRUCTURE[[#This Row],[t '[mm']]]/1000),"")</f>
        <v/>
      </c>
    </row>
    <row r="187" spans="12:15">
      <c r="L187" s="54" t="str">
        <f t="shared" si="5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4" t="str">
        <f>IFERROR((WHOLE_STRUCTURE[[#This Row],[D, bottom '[m']]]+WHOLE_STRUCTURE[[#This Row],[D, top '[m']]])/(2*WHOLE_STRUCTURE[[#This Row],[t '[mm']]]/1000),"")</f>
        <v/>
      </c>
    </row>
    <row r="188" spans="12:15">
      <c r="L188" s="54" t="str">
        <f t="shared" si="5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4" t="str">
        <f>IFERROR((WHOLE_STRUCTURE[[#This Row],[D, bottom '[m']]]+WHOLE_STRUCTURE[[#This Row],[D, top '[m']]])/(2*WHOLE_STRUCTURE[[#This Row],[t '[mm']]]/1000),"")</f>
        <v/>
      </c>
    </row>
    <row r="189" spans="12:15">
      <c r="L189" s="54" t="str">
        <f t="shared" si="5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4" t="str">
        <f>IFERROR((WHOLE_STRUCTURE[[#This Row],[D, bottom '[m']]]+WHOLE_STRUCTURE[[#This Row],[D, top '[m']]])/(2*WHOLE_STRUCTURE[[#This Row],[t '[mm']]]/1000),"")</f>
        <v/>
      </c>
    </row>
    <row r="190" spans="12:15">
      <c r="L190" s="54" t="str">
        <f t="shared" si="5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4" t="str">
        <f>IFERROR((WHOLE_STRUCTURE[[#This Row],[D, bottom '[m']]]+WHOLE_STRUCTURE[[#This Row],[D, top '[m']]])/(2*WHOLE_STRUCTURE[[#This Row],[t '[mm']]]/1000),"")</f>
        <v/>
      </c>
    </row>
    <row r="191" spans="12:15">
      <c r="L191" s="54" t="str">
        <f t="shared" si="5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4" t="str">
        <f>IFERROR((WHOLE_STRUCTURE[[#This Row],[D, bottom '[m']]]+WHOLE_STRUCTURE[[#This Row],[D, top '[m']]])/(2*WHOLE_STRUCTURE[[#This Row],[t '[mm']]]/1000),"")</f>
        <v/>
      </c>
    </row>
    <row r="192" spans="12:15">
      <c r="L192" s="54" t="str">
        <f t="shared" si="5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4" t="str">
        <f>IFERROR((WHOLE_STRUCTURE[[#This Row],[D, bottom '[m']]]+WHOLE_STRUCTURE[[#This Row],[D, top '[m']]])/(2*WHOLE_STRUCTURE[[#This Row],[t '[mm']]]/1000),"")</f>
        <v/>
      </c>
    </row>
    <row r="193" spans="12:15">
      <c r="L193" s="54" t="str">
        <f t="shared" si="5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4" t="str">
        <f>IFERROR((WHOLE_STRUCTURE[[#This Row],[D, bottom '[m']]]+WHOLE_STRUCTURE[[#This Row],[D, top '[m']]])/(2*WHOLE_STRUCTURE[[#This Row],[t '[mm']]]/1000),"")</f>
        <v/>
      </c>
    </row>
    <row r="194" spans="12:15">
      <c r="L194" s="54" t="str">
        <f t="shared" si="5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4" t="str">
        <f>IFERROR((WHOLE_STRUCTURE[[#This Row],[D, bottom '[m']]]+WHOLE_STRUCTURE[[#This Row],[D, top '[m']]])/(2*WHOLE_STRUCTURE[[#This Row],[t '[mm']]]/1000),"")</f>
        <v/>
      </c>
    </row>
    <row r="195" spans="12:15">
      <c r="L195" s="54" t="str">
        <f t="shared" si="5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4" t="str">
        <f>IFERROR((WHOLE_STRUCTURE[[#This Row],[D, bottom '[m']]]+WHOLE_STRUCTURE[[#This Row],[D, top '[m']]])/(2*WHOLE_STRUCTURE[[#This Row],[t '[mm']]]/1000),"")</f>
        <v/>
      </c>
    </row>
    <row r="196" spans="12:15">
      <c r="L196" s="54" t="str">
        <f t="shared" si="5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4" t="str">
        <f>IFERROR((WHOLE_STRUCTURE[[#This Row],[D, bottom '[m']]]+WHOLE_STRUCTURE[[#This Row],[D, top '[m']]])/(2*WHOLE_STRUCTURE[[#This Row],[t '[mm']]]/1000),"")</f>
        <v/>
      </c>
    </row>
    <row r="197" spans="12:15">
      <c r="L197" s="54" t="str">
        <f t="shared" ref="L197:L260" si="6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4" t="str">
        <f>IFERROR((WHOLE_STRUCTURE[[#This Row],[D, bottom '[m']]]+WHOLE_STRUCTURE[[#This Row],[D, top '[m']]])/(2*WHOLE_STRUCTURE[[#This Row],[t '[mm']]]/1000),"")</f>
        <v/>
      </c>
    </row>
    <row r="198" spans="12:15">
      <c r="L198" s="54" t="str">
        <f t="shared" si="6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4" t="str">
        <f>IFERROR((WHOLE_STRUCTURE[[#This Row],[D, bottom '[m']]]+WHOLE_STRUCTURE[[#This Row],[D, top '[m']]])/(2*WHOLE_STRUCTURE[[#This Row],[t '[mm']]]/1000),"")</f>
        <v/>
      </c>
    </row>
    <row r="199" spans="12:15">
      <c r="L199" s="54" t="str">
        <f t="shared" si="6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4" t="str">
        <f>IFERROR((WHOLE_STRUCTURE[[#This Row],[D, bottom '[m']]]+WHOLE_STRUCTURE[[#This Row],[D, top '[m']]])/(2*WHOLE_STRUCTURE[[#This Row],[t '[mm']]]/1000),"")</f>
        <v/>
      </c>
    </row>
    <row r="200" spans="12:15">
      <c r="L200" s="54" t="str">
        <f t="shared" si="6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4" t="str">
        <f>IFERROR((WHOLE_STRUCTURE[[#This Row],[D, bottom '[m']]]+WHOLE_STRUCTURE[[#This Row],[D, top '[m']]])/(2*WHOLE_STRUCTURE[[#This Row],[t '[mm']]]/1000),"")</f>
        <v/>
      </c>
    </row>
    <row r="201" spans="12:15">
      <c r="L201" s="54" t="str">
        <f t="shared" si="6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4" t="str">
        <f>IFERROR((WHOLE_STRUCTURE[[#This Row],[D, bottom '[m']]]+WHOLE_STRUCTURE[[#This Row],[D, top '[m']]])/(2*WHOLE_STRUCTURE[[#This Row],[t '[mm']]]/1000),"")</f>
        <v/>
      </c>
    </row>
    <row r="202" spans="12:15">
      <c r="L202" s="54" t="str">
        <f t="shared" si="6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4" t="str">
        <f>IFERROR((WHOLE_STRUCTURE[[#This Row],[D, bottom '[m']]]+WHOLE_STRUCTURE[[#This Row],[D, top '[m']]])/(2*WHOLE_STRUCTURE[[#This Row],[t '[mm']]]/1000),"")</f>
        <v/>
      </c>
    </row>
    <row r="203" spans="12:15">
      <c r="L203" s="54" t="str">
        <f t="shared" si="6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4" t="str">
        <f>IFERROR((WHOLE_STRUCTURE[[#This Row],[D, bottom '[m']]]+WHOLE_STRUCTURE[[#This Row],[D, top '[m']]])/(2*WHOLE_STRUCTURE[[#This Row],[t '[mm']]]/1000),"")</f>
        <v/>
      </c>
    </row>
    <row r="204" spans="12:15">
      <c r="L204" s="54" t="str">
        <f t="shared" si="6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4" t="str">
        <f>IFERROR((WHOLE_STRUCTURE[[#This Row],[D, bottom '[m']]]+WHOLE_STRUCTURE[[#This Row],[D, top '[m']]])/(2*WHOLE_STRUCTURE[[#This Row],[t '[mm']]]/1000),"")</f>
        <v/>
      </c>
    </row>
    <row r="205" spans="12:15">
      <c r="L205" s="54" t="str">
        <f t="shared" si="6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4" t="str">
        <f>IFERROR((WHOLE_STRUCTURE[[#This Row],[D, bottom '[m']]]+WHOLE_STRUCTURE[[#This Row],[D, top '[m']]])/(2*WHOLE_STRUCTURE[[#This Row],[t '[mm']]]/1000),"")</f>
        <v/>
      </c>
    </row>
    <row r="206" spans="12:15">
      <c r="L206" s="54" t="str">
        <f t="shared" si="6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4" t="str">
        <f>IFERROR((WHOLE_STRUCTURE[[#This Row],[D, bottom '[m']]]+WHOLE_STRUCTURE[[#This Row],[D, top '[m']]])/(2*WHOLE_STRUCTURE[[#This Row],[t '[mm']]]/1000),"")</f>
        <v/>
      </c>
    </row>
    <row r="207" spans="12:15">
      <c r="L207" s="54" t="str">
        <f t="shared" si="6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4" t="str">
        <f>IFERROR((WHOLE_STRUCTURE[[#This Row],[D, bottom '[m']]]+WHOLE_STRUCTURE[[#This Row],[D, top '[m']]])/(2*WHOLE_STRUCTURE[[#This Row],[t '[mm']]]/1000),"")</f>
        <v/>
      </c>
    </row>
    <row r="208" spans="12:15">
      <c r="L208" s="54" t="str">
        <f t="shared" si="6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4" t="str">
        <f>IFERROR((WHOLE_STRUCTURE[[#This Row],[D, bottom '[m']]]+WHOLE_STRUCTURE[[#This Row],[D, top '[m']]])/(2*WHOLE_STRUCTURE[[#This Row],[t '[mm']]]/1000),"")</f>
        <v/>
      </c>
    </row>
    <row r="209" spans="12:15">
      <c r="L209" s="54" t="str">
        <f t="shared" si="6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4" t="str">
        <f>IFERROR((WHOLE_STRUCTURE[[#This Row],[D, bottom '[m']]]+WHOLE_STRUCTURE[[#This Row],[D, top '[m']]])/(2*WHOLE_STRUCTURE[[#This Row],[t '[mm']]]/1000),"")</f>
        <v/>
      </c>
    </row>
    <row r="210" spans="12:15">
      <c r="L210" s="54" t="str">
        <f t="shared" si="6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4" t="str">
        <f>IFERROR((WHOLE_STRUCTURE[[#This Row],[D, bottom '[m']]]+WHOLE_STRUCTURE[[#This Row],[D, top '[m']]])/(2*WHOLE_STRUCTURE[[#This Row],[t '[mm']]]/1000),"")</f>
        <v/>
      </c>
    </row>
    <row r="211" spans="12:15">
      <c r="L211" s="54" t="str">
        <f t="shared" si="6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4" t="str">
        <f>IFERROR((WHOLE_STRUCTURE[[#This Row],[D, bottom '[m']]]+WHOLE_STRUCTURE[[#This Row],[D, top '[m']]])/(2*WHOLE_STRUCTURE[[#This Row],[t '[mm']]]/1000),"")</f>
        <v/>
      </c>
    </row>
    <row r="212" spans="12:15">
      <c r="L212" s="54" t="str">
        <f t="shared" si="6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4" t="str">
        <f>IFERROR((WHOLE_STRUCTURE[[#This Row],[D, bottom '[m']]]+WHOLE_STRUCTURE[[#This Row],[D, top '[m']]])/(2*WHOLE_STRUCTURE[[#This Row],[t '[mm']]]/1000),"")</f>
        <v/>
      </c>
    </row>
    <row r="213" spans="12:15">
      <c r="L213" s="54" t="str">
        <f t="shared" si="6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4" t="str">
        <f>IFERROR((WHOLE_STRUCTURE[[#This Row],[D, bottom '[m']]]+WHOLE_STRUCTURE[[#This Row],[D, top '[m']]])/(2*WHOLE_STRUCTURE[[#This Row],[t '[mm']]]/1000),"")</f>
        <v/>
      </c>
    </row>
    <row r="214" spans="12:15">
      <c r="L214" s="54" t="str">
        <f t="shared" si="6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4" t="str">
        <f>IFERROR((WHOLE_STRUCTURE[[#This Row],[D, bottom '[m']]]+WHOLE_STRUCTURE[[#This Row],[D, top '[m']]])/(2*WHOLE_STRUCTURE[[#This Row],[t '[mm']]]/1000),"")</f>
        <v/>
      </c>
    </row>
    <row r="215" spans="12:15">
      <c r="L215" s="54" t="str">
        <f t="shared" si="6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4" t="str">
        <f>IFERROR((WHOLE_STRUCTURE[[#This Row],[D, bottom '[m']]]+WHOLE_STRUCTURE[[#This Row],[D, top '[m']]])/(2*WHOLE_STRUCTURE[[#This Row],[t '[mm']]]/1000),"")</f>
        <v/>
      </c>
    </row>
    <row r="216" spans="12:15">
      <c r="L216" s="54" t="str">
        <f t="shared" si="6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4" t="str">
        <f>IFERROR((WHOLE_STRUCTURE[[#This Row],[D, bottom '[m']]]+WHOLE_STRUCTURE[[#This Row],[D, top '[m']]])/(2*WHOLE_STRUCTURE[[#This Row],[t '[mm']]]/1000),"")</f>
        <v/>
      </c>
    </row>
    <row r="217" spans="12:15">
      <c r="L217" s="54" t="str">
        <f t="shared" si="6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4" t="str">
        <f>IFERROR((WHOLE_STRUCTURE[[#This Row],[D, bottom '[m']]]+WHOLE_STRUCTURE[[#This Row],[D, top '[m']]])/(2*WHOLE_STRUCTURE[[#This Row],[t '[mm']]]/1000),"")</f>
        <v/>
      </c>
    </row>
    <row r="218" spans="12:15">
      <c r="L218" s="54" t="str">
        <f t="shared" si="6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4" t="str">
        <f>IFERROR((WHOLE_STRUCTURE[[#This Row],[D, bottom '[m']]]+WHOLE_STRUCTURE[[#This Row],[D, top '[m']]])/(2*WHOLE_STRUCTURE[[#This Row],[t '[mm']]]/1000),"")</f>
        <v/>
      </c>
    </row>
    <row r="219" spans="12:15">
      <c r="L219" s="54" t="str">
        <f t="shared" si="6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4" t="str">
        <f>IFERROR((WHOLE_STRUCTURE[[#This Row],[D, bottom '[m']]]+WHOLE_STRUCTURE[[#This Row],[D, top '[m']]])/(2*WHOLE_STRUCTURE[[#This Row],[t '[mm']]]/1000),"")</f>
        <v/>
      </c>
    </row>
    <row r="220" spans="12:15">
      <c r="L220" s="54" t="str">
        <f t="shared" si="6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4" t="str">
        <f>IFERROR((WHOLE_STRUCTURE[[#This Row],[D, bottom '[m']]]+WHOLE_STRUCTURE[[#This Row],[D, top '[m']]])/(2*WHOLE_STRUCTURE[[#This Row],[t '[mm']]]/1000),"")</f>
        <v/>
      </c>
    </row>
    <row r="221" spans="12:15">
      <c r="L221" s="54" t="str">
        <f t="shared" si="6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4" t="str">
        <f>IFERROR((WHOLE_STRUCTURE[[#This Row],[D, bottom '[m']]]+WHOLE_STRUCTURE[[#This Row],[D, top '[m']]])/(2*WHOLE_STRUCTURE[[#This Row],[t '[mm']]]/1000),"")</f>
        <v/>
      </c>
    </row>
    <row r="222" spans="12:15">
      <c r="L222" s="54" t="str">
        <f t="shared" si="6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4" t="str">
        <f>IFERROR((WHOLE_STRUCTURE[[#This Row],[D, bottom '[m']]]+WHOLE_STRUCTURE[[#This Row],[D, top '[m']]])/(2*WHOLE_STRUCTURE[[#This Row],[t '[mm']]]/1000),"")</f>
        <v/>
      </c>
    </row>
    <row r="223" spans="12:15">
      <c r="L223" s="54" t="str">
        <f t="shared" si="6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4" t="str">
        <f>IFERROR((WHOLE_STRUCTURE[[#This Row],[D, bottom '[m']]]+WHOLE_STRUCTURE[[#This Row],[D, top '[m']]])/(2*WHOLE_STRUCTURE[[#This Row],[t '[mm']]]/1000),"")</f>
        <v/>
      </c>
    </row>
    <row r="224" spans="12:15">
      <c r="L224" s="54" t="str">
        <f t="shared" si="6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4" t="str">
        <f>IFERROR((WHOLE_STRUCTURE[[#This Row],[D, bottom '[m']]]+WHOLE_STRUCTURE[[#This Row],[D, top '[m']]])/(2*WHOLE_STRUCTURE[[#This Row],[t '[mm']]]/1000),"")</f>
        <v/>
      </c>
    </row>
    <row r="225" spans="12:15">
      <c r="L225" s="54" t="str">
        <f t="shared" si="6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4" t="str">
        <f>IFERROR((WHOLE_STRUCTURE[[#This Row],[D, bottom '[m']]]+WHOLE_STRUCTURE[[#This Row],[D, top '[m']]])/(2*WHOLE_STRUCTURE[[#This Row],[t '[mm']]]/1000),"")</f>
        <v/>
      </c>
    </row>
    <row r="226" spans="12:15">
      <c r="L226" s="54" t="str">
        <f t="shared" si="6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4" t="str">
        <f>IFERROR((WHOLE_STRUCTURE[[#This Row],[D, bottom '[m']]]+WHOLE_STRUCTURE[[#This Row],[D, top '[m']]])/(2*WHOLE_STRUCTURE[[#This Row],[t '[mm']]]/1000),"")</f>
        <v/>
      </c>
    </row>
    <row r="227" spans="12:15">
      <c r="L227" s="54" t="str">
        <f t="shared" si="6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4" t="str">
        <f>IFERROR((WHOLE_STRUCTURE[[#This Row],[D, bottom '[m']]]+WHOLE_STRUCTURE[[#This Row],[D, top '[m']]])/(2*WHOLE_STRUCTURE[[#This Row],[t '[mm']]]/1000),"")</f>
        <v/>
      </c>
    </row>
    <row r="228" spans="12:15">
      <c r="L228" s="54" t="str">
        <f t="shared" si="6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4" t="str">
        <f>IFERROR((WHOLE_STRUCTURE[[#This Row],[D, bottom '[m']]]+WHOLE_STRUCTURE[[#This Row],[D, top '[m']]])/(2*WHOLE_STRUCTURE[[#This Row],[t '[mm']]]/1000),"")</f>
        <v/>
      </c>
    </row>
    <row r="229" spans="12:15">
      <c r="L229" s="54" t="str">
        <f t="shared" si="6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4" t="str">
        <f>IFERROR((WHOLE_STRUCTURE[[#This Row],[D, bottom '[m']]]+WHOLE_STRUCTURE[[#This Row],[D, top '[m']]])/(2*WHOLE_STRUCTURE[[#This Row],[t '[mm']]]/1000),"")</f>
        <v/>
      </c>
    </row>
    <row r="230" spans="12:15">
      <c r="L230" s="54" t="str">
        <f t="shared" si="6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4" t="str">
        <f>IFERROR((WHOLE_STRUCTURE[[#This Row],[D, bottom '[m']]]+WHOLE_STRUCTURE[[#This Row],[D, top '[m']]])/(2*WHOLE_STRUCTURE[[#This Row],[t '[mm']]]/1000),"")</f>
        <v/>
      </c>
    </row>
    <row r="231" spans="12:15">
      <c r="L231" s="54" t="str">
        <f t="shared" si="6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4" t="str">
        <f>IFERROR((WHOLE_STRUCTURE[[#This Row],[D, bottom '[m']]]+WHOLE_STRUCTURE[[#This Row],[D, top '[m']]])/(2*WHOLE_STRUCTURE[[#This Row],[t '[mm']]]/1000),"")</f>
        <v/>
      </c>
    </row>
    <row r="232" spans="12:15">
      <c r="L232" s="54" t="str">
        <f t="shared" si="6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4" t="str">
        <f>IFERROR((WHOLE_STRUCTURE[[#This Row],[D, bottom '[m']]]+WHOLE_STRUCTURE[[#This Row],[D, top '[m']]])/(2*WHOLE_STRUCTURE[[#This Row],[t '[mm']]]/1000),"")</f>
        <v/>
      </c>
    </row>
    <row r="233" spans="12:15">
      <c r="L233" s="54" t="str">
        <f t="shared" si="6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4" t="str">
        <f>IFERROR((WHOLE_STRUCTURE[[#This Row],[D, bottom '[m']]]+WHOLE_STRUCTURE[[#This Row],[D, top '[m']]])/(2*WHOLE_STRUCTURE[[#This Row],[t '[mm']]]/1000),"")</f>
        <v/>
      </c>
    </row>
    <row r="234" spans="12:15">
      <c r="L234" s="54" t="str">
        <f t="shared" si="6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4" t="str">
        <f>IFERROR((WHOLE_STRUCTURE[[#This Row],[D, bottom '[m']]]+WHOLE_STRUCTURE[[#This Row],[D, top '[m']]])/(2*WHOLE_STRUCTURE[[#This Row],[t '[mm']]]/1000),"")</f>
        <v/>
      </c>
    </row>
    <row r="235" spans="12:15">
      <c r="L235" s="54" t="str">
        <f t="shared" si="6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4" t="str">
        <f>IFERROR((WHOLE_STRUCTURE[[#This Row],[D, bottom '[m']]]+WHOLE_STRUCTURE[[#This Row],[D, top '[m']]])/(2*WHOLE_STRUCTURE[[#This Row],[t '[mm']]]/1000),"")</f>
        <v/>
      </c>
    </row>
    <row r="236" spans="12:15">
      <c r="L236" s="54" t="str">
        <f t="shared" si="6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4" t="str">
        <f>IFERROR((WHOLE_STRUCTURE[[#This Row],[D, bottom '[m']]]+WHOLE_STRUCTURE[[#This Row],[D, top '[m']]])/(2*WHOLE_STRUCTURE[[#This Row],[t '[mm']]]/1000),"")</f>
        <v/>
      </c>
    </row>
    <row r="237" spans="12:15">
      <c r="L237" s="54" t="str">
        <f t="shared" si="6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4" t="str">
        <f>IFERROR((WHOLE_STRUCTURE[[#This Row],[D, bottom '[m']]]+WHOLE_STRUCTURE[[#This Row],[D, top '[m']]])/(2*WHOLE_STRUCTURE[[#This Row],[t '[mm']]]/1000),"")</f>
        <v/>
      </c>
    </row>
    <row r="238" spans="12:15">
      <c r="L238" s="54" t="str">
        <f t="shared" si="6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4" t="str">
        <f>IFERROR((WHOLE_STRUCTURE[[#This Row],[D, bottom '[m']]]+WHOLE_STRUCTURE[[#This Row],[D, top '[m']]])/(2*WHOLE_STRUCTURE[[#This Row],[t '[mm']]]/1000),"")</f>
        <v/>
      </c>
    </row>
    <row r="239" spans="12:15">
      <c r="L239" s="54" t="str">
        <f t="shared" si="6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4" t="str">
        <f>IFERROR((WHOLE_STRUCTURE[[#This Row],[D, bottom '[m']]]+WHOLE_STRUCTURE[[#This Row],[D, top '[m']]])/(2*WHOLE_STRUCTURE[[#This Row],[t '[mm']]]/1000),"")</f>
        <v/>
      </c>
    </row>
    <row r="240" spans="12:15">
      <c r="L240" s="54" t="str">
        <f t="shared" si="6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4" t="str">
        <f>IFERROR((WHOLE_STRUCTURE[[#This Row],[D, bottom '[m']]]+WHOLE_STRUCTURE[[#This Row],[D, top '[m']]])/(2*WHOLE_STRUCTURE[[#This Row],[t '[mm']]]/1000),"")</f>
        <v/>
      </c>
    </row>
    <row r="241" spans="12:15">
      <c r="L241" s="54" t="str">
        <f t="shared" si="6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4" t="str">
        <f>IFERROR((WHOLE_STRUCTURE[[#This Row],[D, bottom '[m']]]+WHOLE_STRUCTURE[[#This Row],[D, top '[m']]])/(2*WHOLE_STRUCTURE[[#This Row],[t '[mm']]]/1000),"")</f>
        <v/>
      </c>
    </row>
    <row r="242" spans="12:15">
      <c r="L242" s="54" t="str">
        <f t="shared" si="6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4" t="str">
        <f>IFERROR((WHOLE_STRUCTURE[[#This Row],[D, bottom '[m']]]+WHOLE_STRUCTURE[[#This Row],[D, top '[m']]])/(2*WHOLE_STRUCTURE[[#This Row],[t '[mm']]]/1000),"")</f>
        <v/>
      </c>
    </row>
    <row r="243" spans="12:15">
      <c r="L243" s="54" t="str">
        <f t="shared" si="6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4" t="str">
        <f>IFERROR((WHOLE_STRUCTURE[[#This Row],[D, bottom '[m']]]+WHOLE_STRUCTURE[[#This Row],[D, top '[m']]])/(2*WHOLE_STRUCTURE[[#This Row],[t '[mm']]]/1000),"")</f>
        <v/>
      </c>
    </row>
    <row r="244" spans="12:15">
      <c r="L244" s="54" t="str">
        <f t="shared" si="6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4" t="str">
        <f>IFERROR((WHOLE_STRUCTURE[[#This Row],[D, bottom '[m']]]+WHOLE_STRUCTURE[[#This Row],[D, top '[m']]])/(2*WHOLE_STRUCTURE[[#This Row],[t '[mm']]]/1000),"")</f>
        <v/>
      </c>
    </row>
    <row r="245" spans="12:15">
      <c r="L245" s="54" t="str">
        <f t="shared" si="6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4" t="str">
        <f>IFERROR((WHOLE_STRUCTURE[[#This Row],[D, bottom '[m']]]+WHOLE_STRUCTURE[[#This Row],[D, top '[m']]])/(2*WHOLE_STRUCTURE[[#This Row],[t '[mm']]]/1000),"")</f>
        <v/>
      </c>
    </row>
    <row r="246" spans="12:15">
      <c r="L246" s="54" t="str">
        <f t="shared" si="6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4" t="str">
        <f>IFERROR((WHOLE_STRUCTURE[[#This Row],[D, bottom '[m']]]+WHOLE_STRUCTURE[[#This Row],[D, top '[m']]])/(2*WHOLE_STRUCTURE[[#This Row],[t '[mm']]]/1000),"")</f>
        <v/>
      </c>
    </row>
    <row r="247" spans="12:15">
      <c r="L247" s="54" t="str">
        <f t="shared" si="6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4" t="str">
        <f>IFERROR((WHOLE_STRUCTURE[[#This Row],[D, bottom '[m']]]+WHOLE_STRUCTURE[[#This Row],[D, top '[m']]])/(2*WHOLE_STRUCTURE[[#This Row],[t '[mm']]]/1000),"")</f>
        <v/>
      </c>
    </row>
    <row r="248" spans="12:15">
      <c r="L248" s="54" t="str">
        <f t="shared" si="6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4" t="str">
        <f>IFERROR((WHOLE_STRUCTURE[[#This Row],[D, bottom '[m']]]+WHOLE_STRUCTURE[[#This Row],[D, top '[m']]])/(2*WHOLE_STRUCTURE[[#This Row],[t '[mm']]]/1000),"")</f>
        <v/>
      </c>
    </row>
    <row r="249" spans="12:15">
      <c r="L249" s="54" t="str">
        <f t="shared" si="6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4" t="str">
        <f>IFERROR((WHOLE_STRUCTURE[[#This Row],[D, bottom '[m']]]+WHOLE_STRUCTURE[[#This Row],[D, top '[m']]])/(2*WHOLE_STRUCTURE[[#This Row],[t '[mm']]]/1000),"")</f>
        <v/>
      </c>
    </row>
    <row r="250" spans="12:15">
      <c r="L250" s="54" t="str">
        <f t="shared" si="6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4" t="str">
        <f>IFERROR((WHOLE_STRUCTURE[[#This Row],[D, bottom '[m']]]+WHOLE_STRUCTURE[[#This Row],[D, top '[m']]])/(2*WHOLE_STRUCTURE[[#This Row],[t '[mm']]]/1000),"")</f>
        <v/>
      </c>
    </row>
    <row r="251" spans="12:15">
      <c r="L251" s="54" t="str">
        <f t="shared" si="6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4" t="str">
        <f>IFERROR((WHOLE_STRUCTURE[[#This Row],[D, bottom '[m']]]+WHOLE_STRUCTURE[[#This Row],[D, top '[m']]])/(2*WHOLE_STRUCTURE[[#This Row],[t '[mm']]]/1000),"")</f>
        <v/>
      </c>
    </row>
    <row r="252" spans="12:15">
      <c r="L252" s="54" t="str">
        <f t="shared" si="6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4" t="str">
        <f>IFERROR((WHOLE_STRUCTURE[[#This Row],[D, bottom '[m']]]+WHOLE_STRUCTURE[[#This Row],[D, top '[m']]])/(2*WHOLE_STRUCTURE[[#This Row],[t '[mm']]]/1000),"")</f>
        <v/>
      </c>
    </row>
    <row r="253" spans="12:15">
      <c r="L253" s="54" t="str">
        <f t="shared" si="6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4" t="str">
        <f>IFERROR((WHOLE_STRUCTURE[[#This Row],[D, bottom '[m']]]+WHOLE_STRUCTURE[[#This Row],[D, top '[m']]])/(2*WHOLE_STRUCTURE[[#This Row],[t '[mm']]]/1000),"")</f>
        <v/>
      </c>
    </row>
    <row r="254" spans="12:15">
      <c r="L254" s="54" t="str">
        <f t="shared" si="6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4" t="str">
        <f>IFERROR((WHOLE_STRUCTURE[[#This Row],[D, bottom '[m']]]+WHOLE_STRUCTURE[[#This Row],[D, top '[m']]])/(2*WHOLE_STRUCTURE[[#This Row],[t '[mm']]]/1000),"")</f>
        <v/>
      </c>
    </row>
    <row r="255" spans="12:15">
      <c r="L255" s="54" t="str">
        <f t="shared" si="6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4" t="str">
        <f>IFERROR((WHOLE_STRUCTURE[[#This Row],[D, bottom '[m']]]+WHOLE_STRUCTURE[[#This Row],[D, top '[m']]])/(2*WHOLE_STRUCTURE[[#This Row],[t '[mm']]]/1000),"")</f>
        <v/>
      </c>
    </row>
    <row r="256" spans="12:15">
      <c r="L256" s="54" t="str">
        <f t="shared" si="6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4" t="str">
        <f>IFERROR((WHOLE_STRUCTURE[[#This Row],[D, bottom '[m']]]+WHOLE_STRUCTURE[[#This Row],[D, top '[m']]])/(2*WHOLE_STRUCTURE[[#This Row],[t '[mm']]]/1000),"")</f>
        <v/>
      </c>
    </row>
    <row r="257" spans="12:15">
      <c r="L257" s="54" t="str">
        <f t="shared" si="6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4" t="str">
        <f>IFERROR((WHOLE_STRUCTURE[[#This Row],[D, bottom '[m']]]+WHOLE_STRUCTURE[[#This Row],[D, top '[m']]])/(2*WHOLE_STRUCTURE[[#This Row],[t '[mm']]]/1000),"")</f>
        <v/>
      </c>
    </row>
    <row r="258" spans="12:15">
      <c r="L258" s="54" t="str">
        <f t="shared" si="6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4" t="str">
        <f>IFERROR((WHOLE_STRUCTURE[[#This Row],[D, bottom '[m']]]+WHOLE_STRUCTURE[[#This Row],[D, top '[m']]])/(2*WHOLE_STRUCTURE[[#This Row],[t '[mm']]]/1000),"")</f>
        <v/>
      </c>
    </row>
    <row r="259" spans="12:15">
      <c r="L259" s="54" t="str">
        <f t="shared" si="6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4" t="str">
        <f>IFERROR((WHOLE_STRUCTURE[[#This Row],[D, bottom '[m']]]+WHOLE_STRUCTURE[[#This Row],[D, top '[m']]])/(2*WHOLE_STRUCTURE[[#This Row],[t '[mm']]]/1000),"")</f>
        <v/>
      </c>
    </row>
    <row r="260" spans="12:15">
      <c r="L260" s="54" t="str">
        <f t="shared" si="6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4" t="str">
        <f>IFERROR((WHOLE_STRUCTURE[[#This Row],[D, bottom '[m']]]+WHOLE_STRUCTURE[[#This Row],[D, top '[m']]])/(2*WHOLE_STRUCTURE[[#This Row],[t '[mm']]]/1000),"")</f>
        <v/>
      </c>
    </row>
    <row r="261" spans="12:15">
      <c r="L261" s="54" t="str">
        <f t="shared" ref="L261:L324" si="7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4" t="str">
        <f>IFERROR((WHOLE_STRUCTURE[[#This Row],[D, bottom '[m']]]+WHOLE_STRUCTURE[[#This Row],[D, top '[m']]])/(2*WHOLE_STRUCTURE[[#This Row],[t '[mm']]]/1000),"")</f>
        <v/>
      </c>
    </row>
    <row r="262" spans="12:15">
      <c r="L262" s="54" t="str">
        <f t="shared" si="7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4" t="str">
        <f>IFERROR((WHOLE_STRUCTURE[[#This Row],[D, bottom '[m']]]+WHOLE_STRUCTURE[[#This Row],[D, top '[m']]])/(2*WHOLE_STRUCTURE[[#This Row],[t '[mm']]]/1000),"")</f>
        <v/>
      </c>
    </row>
    <row r="263" spans="12:15">
      <c r="L263" s="54" t="str">
        <f t="shared" si="7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4" t="str">
        <f>IFERROR((WHOLE_STRUCTURE[[#This Row],[D, bottom '[m']]]+WHOLE_STRUCTURE[[#This Row],[D, top '[m']]])/(2*WHOLE_STRUCTURE[[#This Row],[t '[mm']]]/1000),"")</f>
        <v/>
      </c>
    </row>
    <row r="264" spans="12:15">
      <c r="L264" s="54" t="str">
        <f t="shared" si="7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4" t="str">
        <f>IFERROR((WHOLE_STRUCTURE[[#This Row],[D, bottom '[m']]]+WHOLE_STRUCTURE[[#This Row],[D, top '[m']]])/(2*WHOLE_STRUCTURE[[#This Row],[t '[mm']]]/1000),"")</f>
        <v/>
      </c>
    </row>
    <row r="265" spans="12:15">
      <c r="L265" s="54" t="str">
        <f t="shared" si="7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4" t="str">
        <f>IFERROR((WHOLE_STRUCTURE[[#This Row],[D, bottom '[m']]]+WHOLE_STRUCTURE[[#This Row],[D, top '[m']]])/(2*WHOLE_STRUCTURE[[#This Row],[t '[mm']]]/1000),"")</f>
        <v/>
      </c>
    </row>
    <row r="266" spans="12:15">
      <c r="L266" s="54" t="str">
        <f t="shared" si="7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4" t="str">
        <f>IFERROR((WHOLE_STRUCTURE[[#This Row],[D, bottom '[m']]]+WHOLE_STRUCTURE[[#This Row],[D, top '[m']]])/(2*WHOLE_STRUCTURE[[#This Row],[t '[mm']]]/1000),"")</f>
        <v/>
      </c>
    </row>
    <row r="267" spans="12:15">
      <c r="L267" s="54" t="str">
        <f t="shared" si="7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4" t="str">
        <f>IFERROR((WHOLE_STRUCTURE[[#This Row],[D, bottom '[m']]]+WHOLE_STRUCTURE[[#This Row],[D, top '[m']]])/(2*WHOLE_STRUCTURE[[#This Row],[t '[mm']]]/1000),"")</f>
        <v/>
      </c>
    </row>
    <row r="268" spans="12:15">
      <c r="L268" s="54" t="str">
        <f t="shared" si="7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4" t="str">
        <f>IFERROR((WHOLE_STRUCTURE[[#This Row],[D, bottom '[m']]]+WHOLE_STRUCTURE[[#This Row],[D, top '[m']]])/(2*WHOLE_STRUCTURE[[#This Row],[t '[mm']]]/1000),"")</f>
        <v/>
      </c>
    </row>
    <row r="269" spans="12:15">
      <c r="L269" s="54" t="str">
        <f t="shared" si="7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4" t="str">
        <f>IFERROR((WHOLE_STRUCTURE[[#This Row],[D, bottom '[m']]]+WHOLE_STRUCTURE[[#This Row],[D, top '[m']]])/(2*WHOLE_STRUCTURE[[#This Row],[t '[mm']]]/1000),"")</f>
        <v/>
      </c>
    </row>
    <row r="270" spans="12:15">
      <c r="L270" s="54" t="str">
        <f t="shared" si="7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4" t="str">
        <f>IFERROR((WHOLE_STRUCTURE[[#This Row],[D, bottom '[m']]]+WHOLE_STRUCTURE[[#This Row],[D, top '[m']]])/(2*WHOLE_STRUCTURE[[#This Row],[t '[mm']]]/1000),"")</f>
        <v/>
      </c>
    </row>
    <row r="271" spans="12:15">
      <c r="L271" s="54" t="str">
        <f t="shared" si="7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4" t="str">
        <f>IFERROR((WHOLE_STRUCTURE[[#This Row],[D, bottom '[m']]]+WHOLE_STRUCTURE[[#This Row],[D, top '[m']]])/(2*WHOLE_STRUCTURE[[#This Row],[t '[mm']]]/1000),"")</f>
        <v/>
      </c>
    </row>
    <row r="272" spans="12:15">
      <c r="L272" s="54" t="str">
        <f t="shared" si="7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4" t="str">
        <f>IFERROR((WHOLE_STRUCTURE[[#This Row],[D, bottom '[m']]]+WHOLE_STRUCTURE[[#This Row],[D, top '[m']]])/(2*WHOLE_STRUCTURE[[#This Row],[t '[mm']]]/1000),"")</f>
        <v/>
      </c>
    </row>
    <row r="273" spans="12:15">
      <c r="L273" s="54" t="str">
        <f t="shared" si="7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4" t="str">
        <f>IFERROR((WHOLE_STRUCTURE[[#This Row],[D, bottom '[m']]]+WHOLE_STRUCTURE[[#This Row],[D, top '[m']]])/(2*WHOLE_STRUCTURE[[#This Row],[t '[mm']]]/1000),"")</f>
        <v/>
      </c>
    </row>
    <row r="274" spans="12:15">
      <c r="L274" s="54" t="str">
        <f t="shared" si="7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4" t="str">
        <f>IFERROR((WHOLE_STRUCTURE[[#This Row],[D, bottom '[m']]]+WHOLE_STRUCTURE[[#This Row],[D, top '[m']]])/(2*WHOLE_STRUCTURE[[#This Row],[t '[mm']]]/1000),"")</f>
        <v/>
      </c>
    </row>
    <row r="275" spans="12:15">
      <c r="L275" s="54" t="str">
        <f t="shared" si="7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4" t="str">
        <f>IFERROR((WHOLE_STRUCTURE[[#This Row],[D, bottom '[m']]]+WHOLE_STRUCTURE[[#This Row],[D, top '[m']]])/(2*WHOLE_STRUCTURE[[#This Row],[t '[mm']]]/1000),"")</f>
        <v/>
      </c>
    </row>
    <row r="276" spans="12:15">
      <c r="L276" s="54" t="str">
        <f t="shared" si="7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4" t="str">
        <f>IFERROR((WHOLE_STRUCTURE[[#This Row],[D, bottom '[m']]]+WHOLE_STRUCTURE[[#This Row],[D, top '[m']]])/(2*WHOLE_STRUCTURE[[#This Row],[t '[mm']]]/1000),"")</f>
        <v/>
      </c>
    </row>
    <row r="277" spans="12:15">
      <c r="L277" s="54" t="str">
        <f t="shared" si="7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4" t="str">
        <f>IFERROR((WHOLE_STRUCTURE[[#This Row],[D, bottom '[m']]]+WHOLE_STRUCTURE[[#This Row],[D, top '[m']]])/(2*WHOLE_STRUCTURE[[#This Row],[t '[mm']]]/1000),"")</f>
        <v/>
      </c>
    </row>
    <row r="278" spans="12:15">
      <c r="L278" s="54" t="str">
        <f t="shared" si="7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4" t="str">
        <f>IFERROR((WHOLE_STRUCTURE[[#This Row],[D, bottom '[m']]]+WHOLE_STRUCTURE[[#This Row],[D, top '[m']]])/(2*WHOLE_STRUCTURE[[#This Row],[t '[mm']]]/1000),"")</f>
        <v/>
      </c>
    </row>
    <row r="279" spans="12:15">
      <c r="L279" s="54" t="str">
        <f t="shared" si="7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4" t="str">
        <f>IFERROR((WHOLE_STRUCTURE[[#This Row],[D, bottom '[m']]]+WHOLE_STRUCTURE[[#This Row],[D, top '[m']]])/(2*WHOLE_STRUCTURE[[#This Row],[t '[mm']]]/1000),"")</f>
        <v/>
      </c>
    </row>
    <row r="280" spans="12:15">
      <c r="L280" s="54" t="str">
        <f t="shared" si="7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4" t="str">
        <f>IFERROR((WHOLE_STRUCTURE[[#This Row],[D, bottom '[m']]]+WHOLE_STRUCTURE[[#This Row],[D, top '[m']]])/(2*WHOLE_STRUCTURE[[#This Row],[t '[mm']]]/1000),"")</f>
        <v/>
      </c>
    </row>
    <row r="281" spans="12:15">
      <c r="L281" s="54" t="str">
        <f t="shared" si="7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4" t="str">
        <f>IFERROR((WHOLE_STRUCTURE[[#This Row],[D, bottom '[m']]]+WHOLE_STRUCTURE[[#This Row],[D, top '[m']]])/(2*WHOLE_STRUCTURE[[#This Row],[t '[mm']]]/1000),"")</f>
        <v/>
      </c>
    </row>
    <row r="282" spans="12:15">
      <c r="L282" s="54" t="str">
        <f t="shared" si="7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4" t="str">
        <f>IFERROR((WHOLE_STRUCTURE[[#This Row],[D, bottom '[m']]]+WHOLE_STRUCTURE[[#This Row],[D, top '[m']]])/(2*WHOLE_STRUCTURE[[#This Row],[t '[mm']]]/1000),"")</f>
        <v/>
      </c>
    </row>
    <row r="283" spans="12:15">
      <c r="L283" s="54" t="str">
        <f t="shared" si="7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4" t="str">
        <f>IFERROR((WHOLE_STRUCTURE[[#This Row],[D, bottom '[m']]]+WHOLE_STRUCTURE[[#This Row],[D, top '[m']]])/(2*WHOLE_STRUCTURE[[#This Row],[t '[mm']]]/1000),"")</f>
        <v/>
      </c>
    </row>
    <row r="284" spans="12:15">
      <c r="L284" s="54" t="str">
        <f t="shared" si="7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4" t="str">
        <f>IFERROR((WHOLE_STRUCTURE[[#This Row],[D, bottom '[m']]]+WHOLE_STRUCTURE[[#This Row],[D, top '[m']]])/(2*WHOLE_STRUCTURE[[#This Row],[t '[mm']]]/1000),"")</f>
        <v/>
      </c>
    </row>
    <row r="285" spans="12:15">
      <c r="L285" s="54" t="str">
        <f t="shared" si="7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4" t="str">
        <f>IFERROR((WHOLE_STRUCTURE[[#This Row],[D, bottom '[m']]]+WHOLE_STRUCTURE[[#This Row],[D, top '[m']]])/(2*WHOLE_STRUCTURE[[#This Row],[t '[mm']]]/1000),"")</f>
        <v/>
      </c>
    </row>
    <row r="286" spans="12:15">
      <c r="L286" s="54" t="str">
        <f t="shared" si="7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4" t="str">
        <f>IFERROR((WHOLE_STRUCTURE[[#This Row],[D, bottom '[m']]]+WHOLE_STRUCTURE[[#This Row],[D, top '[m']]])/(2*WHOLE_STRUCTURE[[#This Row],[t '[mm']]]/1000),"")</f>
        <v/>
      </c>
    </row>
    <row r="287" spans="12:15">
      <c r="L287" s="54" t="str">
        <f t="shared" si="7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4" t="str">
        <f>IFERROR((WHOLE_STRUCTURE[[#This Row],[D, bottom '[m']]]+WHOLE_STRUCTURE[[#This Row],[D, top '[m']]])/(2*WHOLE_STRUCTURE[[#This Row],[t '[mm']]]/1000),"")</f>
        <v/>
      </c>
    </row>
    <row r="288" spans="12:15">
      <c r="L288" s="54" t="str">
        <f t="shared" si="7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4" t="str">
        <f>IFERROR((WHOLE_STRUCTURE[[#This Row],[D, bottom '[m']]]+WHOLE_STRUCTURE[[#This Row],[D, top '[m']]])/(2*WHOLE_STRUCTURE[[#This Row],[t '[mm']]]/1000),"")</f>
        <v/>
      </c>
    </row>
    <row r="289" spans="12:15">
      <c r="L289" s="54" t="str">
        <f t="shared" si="7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4" t="str">
        <f>IFERROR((WHOLE_STRUCTURE[[#This Row],[D, bottom '[m']]]+WHOLE_STRUCTURE[[#This Row],[D, top '[m']]])/(2*WHOLE_STRUCTURE[[#This Row],[t '[mm']]]/1000),"")</f>
        <v/>
      </c>
    </row>
    <row r="290" spans="12:15">
      <c r="L290" s="54" t="str">
        <f t="shared" si="7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4" t="str">
        <f>IFERROR((WHOLE_STRUCTURE[[#This Row],[D, bottom '[m']]]+WHOLE_STRUCTURE[[#This Row],[D, top '[m']]])/(2*WHOLE_STRUCTURE[[#This Row],[t '[mm']]]/1000),"")</f>
        <v/>
      </c>
    </row>
    <row r="291" spans="12:15">
      <c r="L291" s="54" t="str">
        <f t="shared" si="7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4" t="str">
        <f>IFERROR((WHOLE_STRUCTURE[[#This Row],[D, bottom '[m']]]+WHOLE_STRUCTURE[[#This Row],[D, top '[m']]])/(2*WHOLE_STRUCTURE[[#This Row],[t '[mm']]]/1000),"")</f>
        <v/>
      </c>
    </row>
    <row r="292" spans="12:15">
      <c r="L292" s="54" t="str">
        <f t="shared" si="7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4" t="str">
        <f>IFERROR((WHOLE_STRUCTURE[[#This Row],[D, bottom '[m']]]+WHOLE_STRUCTURE[[#This Row],[D, top '[m']]])/(2*WHOLE_STRUCTURE[[#This Row],[t '[mm']]]/1000),"")</f>
        <v/>
      </c>
    </row>
    <row r="293" spans="12:15">
      <c r="L293" s="54" t="str">
        <f t="shared" si="7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4" t="str">
        <f>IFERROR((WHOLE_STRUCTURE[[#This Row],[D, bottom '[m']]]+WHOLE_STRUCTURE[[#This Row],[D, top '[m']]])/(2*WHOLE_STRUCTURE[[#This Row],[t '[mm']]]/1000),"")</f>
        <v/>
      </c>
    </row>
    <row r="294" spans="12:15">
      <c r="L294" s="54" t="str">
        <f t="shared" si="7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4" t="str">
        <f>IFERROR((WHOLE_STRUCTURE[[#This Row],[D, bottom '[m']]]+WHOLE_STRUCTURE[[#This Row],[D, top '[m']]])/(2*WHOLE_STRUCTURE[[#This Row],[t '[mm']]]/1000),"")</f>
        <v/>
      </c>
    </row>
    <row r="295" spans="12:15">
      <c r="L295" s="54" t="str">
        <f t="shared" si="7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4" t="str">
        <f>IFERROR((WHOLE_STRUCTURE[[#This Row],[D, bottom '[m']]]+WHOLE_STRUCTURE[[#This Row],[D, top '[m']]])/(2*WHOLE_STRUCTURE[[#This Row],[t '[mm']]]/1000),"")</f>
        <v/>
      </c>
    </row>
    <row r="296" spans="12:15">
      <c r="L296" s="54" t="str">
        <f t="shared" si="7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4" t="str">
        <f>IFERROR((WHOLE_STRUCTURE[[#This Row],[D, bottom '[m']]]+WHOLE_STRUCTURE[[#This Row],[D, top '[m']]])/(2*WHOLE_STRUCTURE[[#This Row],[t '[mm']]]/1000),"")</f>
        <v/>
      </c>
    </row>
    <row r="297" spans="12:15">
      <c r="L297" s="54" t="str">
        <f t="shared" si="7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4" t="str">
        <f>IFERROR((WHOLE_STRUCTURE[[#This Row],[D, bottom '[m']]]+WHOLE_STRUCTURE[[#This Row],[D, top '[m']]])/(2*WHOLE_STRUCTURE[[#This Row],[t '[mm']]]/1000),"")</f>
        <v/>
      </c>
    </row>
    <row r="298" spans="12:15">
      <c r="L298" s="54" t="str">
        <f t="shared" si="7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4" t="str">
        <f>IFERROR((WHOLE_STRUCTURE[[#This Row],[D, bottom '[m']]]+WHOLE_STRUCTURE[[#This Row],[D, top '[m']]])/(2*WHOLE_STRUCTURE[[#This Row],[t '[mm']]]/1000),"")</f>
        <v/>
      </c>
    </row>
    <row r="299" spans="12:15">
      <c r="L299" s="54" t="str">
        <f t="shared" si="7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4" t="str">
        <f>IFERROR((WHOLE_STRUCTURE[[#This Row],[D, bottom '[m']]]+WHOLE_STRUCTURE[[#This Row],[D, top '[m']]])/(2*WHOLE_STRUCTURE[[#This Row],[t '[mm']]]/1000),"")</f>
        <v/>
      </c>
    </row>
    <row r="300" spans="12:15">
      <c r="L300" s="54" t="str">
        <f t="shared" si="7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4" t="str">
        <f>IFERROR((WHOLE_STRUCTURE[[#This Row],[D, bottom '[m']]]+WHOLE_STRUCTURE[[#This Row],[D, top '[m']]])/(2*WHOLE_STRUCTURE[[#This Row],[t '[mm']]]/1000),"")</f>
        <v/>
      </c>
    </row>
    <row r="301" spans="12:15">
      <c r="L301" s="54" t="str">
        <f t="shared" si="7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4" t="str">
        <f>IFERROR((WHOLE_STRUCTURE[[#This Row],[D, bottom '[m']]]+WHOLE_STRUCTURE[[#This Row],[D, top '[m']]])/(2*WHOLE_STRUCTURE[[#This Row],[t '[mm']]]/1000),"")</f>
        <v/>
      </c>
    </row>
    <row r="302" spans="12:15">
      <c r="L302" s="54" t="str">
        <f t="shared" si="7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4" t="str">
        <f>IFERROR((WHOLE_STRUCTURE[[#This Row],[D, bottom '[m']]]+WHOLE_STRUCTURE[[#This Row],[D, top '[m']]])/(2*WHOLE_STRUCTURE[[#This Row],[t '[mm']]]/1000),"")</f>
        <v/>
      </c>
    </row>
    <row r="303" spans="12:15">
      <c r="L303" s="54" t="str">
        <f t="shared" si="7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4" t="str">
        <f>IFERROR((WHOLE_STRUCTURE[[#This Row],[D, bottom '[m']]]+WHOLE_STRUCTURE[[#This Row],[D, top '[m']]])/(2*WHOLE_STRUCTURE[[#This Row],[t '[mm']]]/1000),"")</f>
        <v/>
      </c>
    </row>
    <row r="304" spans="12:15">
      <c r="L304" s="54" t="str">
        <f t="shared" si="7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4" t="str">
        <f>IFERROR((WHOLE_STRUCTURE[[#This Row],[D, bottom '[m']]]+WHOLE_STRUCTURE[[#This Row],[D, top '[m']]])/(2*WHOLE_STRUCTURE[[#This Row],[t '[mm']]]/1000),"")</f>
        <v/>
      </c>
    </row>
    <row r="305" spans="12:15">
      <c r="L305" s="54" t="str">
        <f t="shared" si="7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4" t="str">
        <f>IFERROR((WHOLE_STRUCTURE[[#This Row],[D, bottom '[m']]]+WHOLE_STRUCTURE[[#This Row],[D, top '[m']]])/(2*WHOLE_STRUCTURE[[#This Row],[t '[mm']]]/1000),"")</f>
        <v/>
      </c>
    </row>
    <row r="306" spans="12:15">
      <c r="L306" s="54" t="str">
        <f t="shared" si="7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4" t="str">
        <f>IFERROR((WHOLE_STRUCTURE[[#This Row],[D, bottom '[m']]]+WHOLE_STRUCTURE[[#This Row],[D, top '[m']]])/(2*WHOLE_STRUCTURE[[#This Row],[t '[mm']]]/1000),"")</f>
        <v/>
      </c>
    </row>
    <row r="307" spans="12:15">
      <c r="L307" s="54" t="str">
        <f t="shared" si="7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4" t="str">
        <f>IFERROR((WHOLE_STRUCTURE[[#This Row],[D, bottom '[m']]]+WHOLE_STRUCTURE[[#This Row],[D, top '[m']]])/(2*WHOLE_STRUCTURE[[#This Row],[t '[mm']]]/1000),"")</f>
        <v/>
      </c>
    </row>
    <row r="308" spans="12:15">
      <c r="L308" s="54" t="str">
        <f t="shared" si="7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4" t="str">
        <f>IFERROR((WHOLE_STRUCTURE[[#This Row],[D, bottom '[m']]]+WHOLE_STRUCTURE[[#This Row],[D, top '[m']]])/(2*WHOLE_STRUCTURE[[#This Row],[t '[mm']]]/1000),"")</f>
        <v/>
      </c>
    </row>
    <row r="309" spans="12:15">
      <c r="L309" s="54" t="str">
        <f t="shared" si="7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4" t="str">
        <f>IFERROR((WHOLE_STRUCTURE[[#This Row],[D, bottom '[m']]]+WHOLE_STRUCTURE[[#This Row],[D, top '[m']]])/(2*WHOLE_STRUCTURE[[#This Row],[t '[mm']]]/1000),"")</f>
        <v/>
      </c>
    </row>
    <row r="310" spans="12:15">
      <c r="L310" s="54" t="str">
        <f t="shared" si="7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4" t="str">
        <f>IFERROR((WHOLE_STRUCTURE[[#This Row],[D, bottom '[m']]]+WHOLE_STRUCTURE[[#This Row],[D, top '[m']]])/(2*WHOLE_STRUCTURE[[#This Row],[t '[mm']]]/1000),"")</f>
        <v/>
      </c>
    </row>
    <row r="311" spans="12:15">
      <c r="L311" s="54" t="str">
        <f t="shared" si="7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4" t="str">
        <f>IFERROR((WHOLE_STRUCTURE[[#This Row],[D, bottom '[m']]]+WHOLE_STRUCTURE[[#This Row],[D, top '[m']]])/(2*WHOLE_STRUCTURE[[#This Row],[t '[mm']]]/1000),"")</f>
        <v/>
      </c>
    </row>
    <row r="312" spans="12:15">
      <c r="L312" s="54" t="str">
        <f t="shared" si="7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4" t="str">
        <f>IFERROR((WHOLE_STRUCTURE[[#This Row],[D, bottom '[m']]]+WHOLE_STRUCTURE[[#This Row],[D, top '[m']]])/(2*WHOLE_STRUCTURE[[#This Row],[t '[mm']]]/1000),"")</f>
        <v/>
      </c>
    </row>
    <row r="313" spans="12:15">
      <c r="L313" s="54" t="str">
        <f t="shared" si="7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4" t="str">
        <f>IFERROR((WHOLE_STRUCTURE[[#This Row],[D, bottom '[m']]]+WHOLE_STRUCTURE[[#This Row],[D, top '[m']]])/(2*WHOLE_STRUCTURE[[#This Row],[t '[mm']]]/1000),"")</f>
        <v/>
      </c>
    </row>
    <row r="314" spans="12:15">
      <c r="L314" s="54" t="str">
        <f t="shared" si="7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4" t="str">
        <f>IFERROR((WHOLE_STRUCTURE[[#This Row],[D, bottom '[m']]]+WHOLE_STRUCTURE[[#This Row],[D, top '[m']]])/(2*WHOLE_STRUCTURE[[#This Row],[t '[mm']]]/1000),"")</f>
        <v/>
      </c>
    </row>
    <row r="315" spans="12:15">
      <c r="L315" s="54" t="str">
        <f t="shared" si="7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4" t="str">
        <f>IFERROR((WHOLE_STRUCTURE[[#This Row],[D, bottom '[m']]]+WHOLE_STRUCTURE[[#This Row],[D, top '[m']]])/(2*WHOLE_STRUCTURE[[#This Row],[t '[mm']]]/1000),"")</f>
        <v/>
      </c>
    </row>
    <row r="316" spans="12:15">
      <c r="L316" s="54" t="str">
        <f t="shared" si="7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4" t="str">
        <f>IFERROR((WHOLE_STRUCTURE[[#This Row],[D, bottom '[m']]]+WHOLE_STRUCTURE[[#This Row],[D, top '[m']]])/(2*WHOLE_STRUCTURE[[#This Row],[t '[mm']]]/1000),"")</f>
        <v/>
      </c>
    </row>
    <row r="317" spans="12:15">
      <c r="L317" s="54" t="str">
        <f t="shared" si="7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4" t="str">
        <f>IFERROR((WHOLE_STRUCTURE[[#This Row],[D, bottom '[m']]]+WHOLE_STRUCTURE[[#This Row],[D, top '[m']]])/(2*WHOLE_STRUCTURE[[#This Row],[t '[mm']]]/1000),"")</f>
        <v/>
      </c>
    </row>
    <row r="318" spans="12:15">
      <c r="L318" s="54" t="str">
        <f t="shared" si="7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4" t="str">
        <f>IFERROR((WHOLE_STRUCTURE[[#This Row],[D, bottom '[m']]]+WHOLE_STRUCTURE[[#This Row],[D, top '[m']]])/(2*WHOLE_STRUCTURE[[#This Row],[t '[mm']]]/1000),"")</f>
        <v/>
      </c>
    </row>
    <row r="319" spans="12:15">
      <c r="L319" s="54" t="str">
        <f t="shared" si="7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4" t="str">
        <f>IFERROR((WHOLE_STRUCTURE[[#This Row],[D, bottom '[m']]]+WHOLE_STRUCTURE[[#This Row],[D, top '[m']]])/(2*WHOLE_STRUCTURE[[#This Row],[t '[mm']]]/1000),"")</f>
        <v/>
      </c>
    </row>
    <row r="320" spans="12:15">
      <c r="L320" s="54" t="str">
        <f t="shared" si="7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4" t="str">
        <f>IFERROR((WHOLE_STRUCTURE[[#This Row],[D, bottom '[m']]]+WHOLE_STRUCTURE[[#This Row],[D, top '[m']]])/(2*WHOLE_STRUCTURE[[#This Row],[t '[mm']]]/1000),"")</f>
        <v/>
      </c>
    </row>
    <row r="321" spans="12:15">
      <c r="L321" s="54" t="str">
        <f t="shared" si="7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4" t="str">
        <f>IFERROR((WHOLE_STRUCTURE[[#This Row],[D, bottom '[m']]]+WHOLE_STRUCTURE[[#This Row],[D, top '[m']]])/(2*WHOLE_STRUCTURE[[#This Row],[t '[mm']]]/1000),"")</f>
        <v/>
      </c>
    </row>
    <row r="322" spans="12:15">
      <c r="L322" s="54" t="str">
        <f t="shared" si="7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4" t="str">
        <f>IFERROR((WHOLE_STRUCTURE[[#This Row],[D, bottom '[m']]]+WHOLE_STRUCTURE[[#This Row],[D, top '[m']]])/(2*WHOLE_STRUCTURE[[#This Row],[t '[mm']]]/1000),"")</f>
        <v/>
      </c>
    </row>
    <row r="323" spans="12:15">
      <c r="L323" s="54" t="str">
        <f t="shared" si="7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4" t="str">
        <f>IFERROR((WHOLE_STRUCTURE[[#This Row],[D, bottom '[m']]]+WHOLE_STRUCTURE[[#This Row],[D, top '[m']]])/(2*WHOLE_STRUCTURE[[#This Row],[t '[mm']]]/1000),"")</f>
        <v/>
      </c>
    </row>
    <row r="324" spans="12:15">
      <c r="L324" s="54" t="str">
        <f t="shared" si="7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4" t="str">
        <f>IFERROR((WHOLE_STRUCTURE[[#This Row],[D, bottom '[m']]]+WHOLE_STRUCTURE[[#This Row],[D, top '[m']]])/(2*WHOLE_STRUCTURE[[#This Row],[t '[mm']]]/1000),"")</f>
        <v/>
      </c>
    </row>
    <row r="325" spans="12:15">
      <c r="L325" s="54" t="str">
        <f t="shared" ref="L325:L388" si="8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4" t="str">
        <f>IFERROR((WHOLE_STRUCTURE[[#This Row],[D, bottom '[m']]]+WHOLE_STRUCTURE[[#This Row],[D, top '[m']]])/(2*WHOLE_STRUCTURE[[#This Row],[t '[mm']]]/1000),"")</f>
        <v/>
      </c>
    </row>
    <row r="326" spans="12:15">
      <c r="L326" s="54" t="str">
        <f t="shared" si="8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4" t="str">
        <f>IFERROR((WHOLE_STRUCTURE[[#This Row],[D, bottom '[m']]]+WHOLE_STRUCTURE[[#This Row],[D, top '[m']]])/(2*WHOLE_STRUCTURE[[#This Row],[t '[mm']]]/1000),"")</f>
        <v/>
      </c>
    </row>
    <row r="327" spans="12:15">
      <c r="L327" s="54" t="str">
        <f t="shared" si="8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4" t="str">
        <f>IFERROR((WHOLE_STRUCTURE[[#This Row],[D, bottom '[m']]]+WHOLE_STRUCTURE[[#This Row],[D, top '[m']]])/(2*WHOLE_STRUCTURE[[#This Row],[t '[mm']]]/1000),"")</f>
        <v/>
      </c>
    </row>
    <row r="328" spans="12:15">
      <c r="L328" s="54" t="str">
        <f t="shared" si="8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4" t="str">
        <f>IFERROR((WHOLE_STRUCTURE[[#This Row],[D, bottom '[m']]]+WHOLE_STRUCTURE[[#This Row],[D, top '[m']]])/(2*WHOLE_STRUCTURE[[#This Row],[t '[mm']]]/1000),"")</f>
        <v/>
      </c>
    </row>
    <row r="329" spans="12:15">
      <c r="L329" s="54" t="str">
        <f t="shared" si="8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4" t="str">
        <f>IFERROR((WHOLE_STRUCTURE[[#This Row],[D, bottom '[m']]]+WHOLE_STRUCTURE[[#This Row],[D, top '[m']]])/(2*WHOLE_STRUCTURE[[#This Row],[t '[mm']]]/1000),"")</f>
        <v/>
      </c>
    </row>
    <row r="330" spans="12:15">
      <c r="L330" s="54" t="str">
        <f t="shared" si="8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4" t="str">
        <f>IFERROR((WHOLE_STRUCTURE[[#This Row],[D, bottom '[m']]]+WHOLE_STRUCTURE[[#This Row],[D, top '[m']]])/(2*WHOLE_STRUCTURE[[#This Row],[t '[mm']]]/1000),"")</f>
        <v/>
      </c>
    </row>
    <row r="331" spans="12:15">
      <c r="L331" s="54" t="str">
        <f t="shared" si="8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4" t="str">
        <f>IFERROR((WHOLE_STRUCTURE[[#This Row],[D, bottom '[m']]]+WHOLE_STRUCTURE[[#This Row],[D, top '[m']]])/(2*WHOLE_STRUCTURE[[#This Row],[t '[mm']]]/1000),"")</f>
        <v/>
      </c>
    </row>
    <row r="332" spans="12:15">
      <c r="L332" s="54" t="str">
        <f t="shared" si="8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4" t="str">
        <f>IFERROR((WHOLE_STRUCTURE[[#This Row],[D, bottom '[m']]]+WHOLE_STRUCTURE[[#This Row],[D, top '[m']]])/(2*WHOLE_STRUCTURE[[#This Row],[t '[mm']]]/1000),"")</f>
        <v/>
      </c>
    </row>
    <row r="333" spans="12:15">
      <c r="L333" s="54" t="str">
        <f t="shared" si="8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4" t="str">
        <f>IFERROR((WHOLE_STRUCTURE[[#This Row],[D, bottom '[m']]]+WHOLE_STRUCTURE[[#This Row],[D, top '[m']]])/(2*WHOLE_STRUCTURE[[#This Row],[t '[mm']]]/1000),"")</f>
        <v/>
      </c>
    </row>
    <row r="334" spans="12:15">
      <c r="L334" s="54" t="str">
        <f t="shared" si="8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4" t="str">
        <f>IFERROR((WHOLE_STRUCTURE[[#This Row],[D, bottom '[m']]]+WHOLE_STRUCTURE[[#This Row],[D, top '[m']]])/(2*WHOLE_STRUCTURE[[#This Row],[t '[mm']]]/1000),"")</f>
        <v/>
      </c>
    </row>
    <row r="335" spans="12:15">
      <c r="L335" s="54" t="str">
        <f t="shared" si="8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4" t="str">
        <f>IFERROR((WHOLE_STRUCTURE[[#This Row],[D, bottom '[m']]]+WHOLE_STRUCTURE[[#This Row],[D, top '[m']]])/(2*WHOLE_STRUCTURE[[#This Row],[t '[mm']]]/1000),"")</f>
        <v/>
      </c>
    </row>
    <row r="336" spans="12:15">
      <c r="L336" s="54" t="str">
        <f t="shared" si="8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4" t="str">
        <f>IFERROR((WHOLE_STRUCTURE[[#This Row],[D, bottom '[m']]]+WHOLE_STRUCTURE[[#This Row],[D, top '[m']]])/(2*WHOLE_STRUCTURE[[#This Row],[t '[mm']]]/1000),"")</f>
        <v/>
      </c>
    </row>
    <row r="337" spans="12:15">
      <c r="L337" s="54" t="str">
        <f t="shared" si="8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4" t="str">
        <f>IFERROR((WHOLE_STRUCTURE[[#This Row],[D, bottom '[m']]]+WHOLE_STRUCTURE[[#This Row],[D, top '[m']]])/(2*WHOLE_STRUCTURE[[#This Row],[t '[mm']]]/1000),"")</f>
        <v/>
      </c>
    </row>
    <row r="338" spans="12:15">
      <c r="L338" s="54" t="str">
        <f t="shared" si="8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4" t="str">
        <f>IFERROR((WHOLE_STRUCTURE[[#This Row],[D, bottom '[m']]]+WHOLE_STRUCTURE[[#This Row],[D, top '[m']]])/(2*WHOLE_STRUCTURE[[#This Row],[t '[mm']]]/1000),"")</f>
        <v/>
      </c>
    </row>
    <row r="339" spans="12:15">
      <c r="L339" s="54" t="str">
        <f t="shared" si="8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4" t="str">
        <f>IFERROR((WHOLE_STRUCTURE[[#This Row],[D, bottom '[m']]]+WHOLE_STRUCTURE[[#This Row],[D, top '[m']]])/(2*WHOLE_STRUCTURE[[#This Row],[t '[mm']]]/1000),"")</f>
        <v/>
      </c>
    </row>
    <row r="340" spans="12:15">
      <c r="L340" s="54" t="str">
        <f t="shared" si="8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4" t="str">
        <f>IFERROR((WHOLE_STRUCTURE[[#This Row],[D, bottom '[m']]]+WHOLE_STRUCTURE[[#This Row],[D, top '[m']]])/(2*WHOLE_STRUCTURE[[#This Row],[t '[mm']]]/1000),"")</f>
        <v/>
      </c>
    </row>
    <row r="341" spans="12:15">
      <c r="L341" s="54" t="str">
        <f t="shared" si="8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4" t="str">
        <f>IFERROR((WHOLE_STRUCTURE[[#This Row],[D, bottom '[m']]]+WHOLE_STRUCTURE[[#This Row],[D, top '[m']]])/(2*WHOLE_STRUCTURE[[#This Row],[t '[mm']]]/1000),"")</f>
        <v/>
      </c>
    </row>
    <row r="342" spans="12:15">
      <c r="L342" s="54" t="str">
        <f t="shared" si="8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4" t="str">
        <f>IFERROR((WHOLE_STRUCTURE[[#This Row],[D, bottom '[m']]]+WHOLE_STRUCTURE[[#This Row],[D, top '[m']]])/(2*WHOLE_STRUCTURE[[#This Row],[t '[mm']]]/1000),"")</f>
        <v/>
      </c>
    </row>
    <row r="343" spans="12:15">
      <c r="L343" s="54" t="str">
        <f t="shared" si="8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4" t="str">
        <f>IFERROR((WHOLE_STRUCTURE[[#This Row],[D, bottom '[m']]]+WHOLE_STRUCTURE[[#This Row],[D, top '[m']]])/(2*WHOLE_STRUCTURE[[#This Row],[t '[mm']]]/1000),"")</f>
        <v/>
      </c>
    </row>
    <row r="344" spans="12:15">
      <c r="L344" s="54" t="str">
        <f t="shared" si="8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4" t="str">
        <f>IFERROR((WHOLE_STRUCTURE[[#This Row],[D, bottom '[m']]]+WHOLE_STRUCTURE[[#This Row],[D, top '[m']]])/(2*WHOLE_STRUCTURE[[#This Row],[t '[mm']]]/1000),"")</f>
        <v/>
      </c>
    </row>
    <row r="345" spans="12:15">
      <c r="L345" s="54" t="str">
        <f t="shared" si="8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4" t="str">
        <f>IFERROR((WHOLE_STRUCTURE[[#This Row],[D, bottom '[m']]]+WHOLE_STRUCTURE[[#This Row],[D, top '[m']]])/(2*WHOLE_STRUCTURE[[#This Row],[t '[mm']]]/1000),"")</f>
        <v/>
      </c>
    </row>
    <row r="346" spans="12:15">
      <c r="L346" s="54" t="str">
        <f t="shared" si="8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4" t="str">
        <f>IFERROR((WHOLE_STRUCTURE[[#This Row],[D, bottom '[m']]]+WHOLE_STRUCTURE[[#This Row],[D, top '[m']]])/(2*WHOLE_STRUCTURE[[#This Row],[t '[mm']]]/1000),"")</f>
        <v/>
      </c>
    </row>
    <row r="347" spans="12:15">
      <c r="L347" s="54" t="str">
        <f t="shared" si="8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4" t="str">
        <f>IFERROR((WHOLE_STRUCTURE[[#This Row],[D, bottom '[m']]]+WHOLE_STRUCTURE[[#This Row],[D, top '[m']]])/(2*WHOLE_STRUCTURE[[#This Row],[t '[mm']]]/1000),"")</f>
        <v/>
      </c>
    </row>
    <row r="348" spans="12:15">
      <c r="L348" s="54" t="str">
        <f t="shared" si="8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4" t="str">
        <f>IFERROR((WHOLE_STRUCTURE[[#This Row],[D, bottom '[m']]]+WHOLE_STRUCTURE[[#This Row],[D, top '[m']]])/(2*WHOLE_STRUCTURE[[#This Row],[t '[mm']]]/1000),"")</f>
        <v/>
      </c>
    </row>
    <row r="349" spans="12:15">
      <c r="L349" s="54" t="str">
        <f t="shared" si="8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4" t="str">
        <f>IFERROR((WHOLE_STRUCTURE[[#This Row],[D, bottom '[m']]]+WHOLE_STRUCTURE[[#This Row],[D, top '[m']]])/(2*WHOLE_STRUCTURE[[#This Row],[t '[mm']]]/1000),"")</f>
        <v/>
      </c>
    </row>
    <row r="350" spans="12:15">
      <c r="L350" s="54" t="str">
        <f t="shared" si="8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4" t="str">
        <f>IFERROR((WHOLE_STRUCTURE[[#This Row],[D, bottom '[m']]]+WHOLE_STRUCTURE[[#This Row],[D, top '[m']]])/(2*WHOLE_STRUCTURE[[#This Row],[t '[mm']]]/1000),"")</f>
        <v/>
      </c>
    </row>
    <row r="351" spans="12:15">
      <c r="L351" s="54" t="str">
        <f t="shared" si="8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4" t="str">
        <f>IFERROR((WHOLE_STRUCTURE[[#This Row],[D, bottom '[m']]]+WHOLE_STRUCTURE[[#This Row],[D, top '[m']]])/(2*WHOLE_STRUCTURE[[#This Row],[t '[mm']]]/1000),"")</f>
        <v/>
      </c>
    </row>
    <row r="352" spans="12:15">
      <c r="L352" s="54" t="str">
        <f t="shared" si="8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4" t="str">
        <f>IFERROR((WHOLE_STRUCTURE[[#This Row],[D, bottom '[m']]]+WHOLE_STRUCTURE[[#This Row],[D, top '[m']]])/(2*WHOLE_STRUCTURE[[#This Row],[t '[mm']]]/1000),"")</f>
        <v/>
      </c>
    </row>
    <row r="353" spans="12:15">
      <c r="L353" s="54" t="str">
        <f t="shared" si="8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4" t="str">
        <f>IFERROR((WHOLE_STRUCTURE[[#This Row],[D, bottom '[m']]]+WHOLE_STRUCTURE[[#This Row],[D, top '[m']]])/(2*WHOLE_STRUCTURE[[#This Row],[t '[mm']]]/1000),"")</f>
        <v/>
      </c>
    </row>
    <row r="354" spans="12:15">
      <c r="L354" s="54" t="str">
        <f t="shared" si="8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4" t="str">
        <f>IFERROR((WHOLE_STRUCTURE[[#This Row],[D, bottom '[m']]]+WHOLE_STRUCTURE[[#This Row],[D, top '[m']]])/(2*WHOLE_STRUCTURE[[#This Row],[t '[mm']]]/1000),"")</f>
        <v/>
      </c>
    </row>
    <row r="355" spans="12:15">
      <c r="L355" s="54" t="str">
        <f t="shared" si="8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4" t="str">
        <f>IFERROR((WHOLE_STRUCTURE[[#This Row],[D, bottom '[m']]]+WHOLE_STRUCTURE[[#This Row],[D, top '[m']]])/(2*WHOLE_STRUCTURE[[#This Row],[t '[mm']]]/1000),"")</f>
        <v/>
      </c>
    </row>
    <row r="356" spans="12:15">
      <c r="L356" s="54" t="str">
        <f t="shared" si="8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4" t="str">
        <f>IFERROR((WHOLE_STRUCTURE[[#This Row],[D, bottom '[m']]]+WHOLE_STRUCTURE[[#This Row],[D, top '[m']]])/(2*WHOLE_STRUCTURE[[#This Row],[t '[mm']]]/1000),"")</f>
        <v/>
      </c>
    </row>
    <row r="357" spans="12:15">
      <c r="L357" s="54" t="str">
        <f t="shared" si="8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4" t="str">
        <f>IFERROR((WHOLE_STRUCTURE[[#This Row],[D, bottom '[m']]]+WHOLE_STRUCTURE[[#This Row],[D, top '[m']]])/(2*WHOLE_STRUCTURE[[#This Row],[t '[mm']]]/1000),"")</f>
        <v/>
      </c>
    </row>
    <row r="358" spans="12:15">
      <c r="L358" s="54" t="str">
        <f t="shared" si="8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4" t="str">
        <f>IFERROR((WHOLE_STRUCTURE[[#This Row],[D, bottom '[m']]]+WHOLE_STRUCTURE[[#This Row],[D, top '[m']]])/(2*WHOLE_STRUCTURE[[#This Row],[t '[mm']]]/1000),"")</f>
        <v/>
      </c>
    </row>
    <row r="359" spans="12:15">
      <c r="L359" s="54" t="str">
        <f t="shared" si="8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4" t="str">
        <f>IFERROR((WHOLE_STRUCTURE[[#This Row],[D, bottom '[m']]]+WHOLE_STRUCTURE[[#This Row],[D, top '[m']]])/(2*WHOLE_STRUCTURE[[#This Row],[t '[mm']]]/1000),"")</f>
        <v/>
      </c>
    </row>
    <row r="360" spans="12:15">
      <c r="L360" s="54" t="str">
        <f t="shared" si="8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4" t="str">
        <f>IFERROR((WHOLE_STRUCTURE[[#This Row],[D, bottom '[m']]]+WHOLE_STRUCTURE[[#This Row],[D, top '[m']]])/(2*WHOLE_STRUCTURE[[#This Row],[t '[mm']]]/1000),"")</f>
        <v/>
      </c>
    </row>
    <row r="361" spans="12:15">
      <c r="L361" s="54" t="str">
        <f t="shared" si="8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4" t="str">
        <f>IFERROR((WHOLE_STRUCTURE[[#This Row],[D, bottom '[m']]]+WHOLE_STRUCTURE[[#This Row],[D, top '[m']]])/(2*WHOLE_STRUCTURE[[#This Row],[t '[mm']]]/1000),"")</f>
        <v/>
      </c>
    </row>
    <row r="362" spans="12:15">
      <c r="L362" s="54" t="str">
        <f t="shared" si="8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4" t="str">
        <f>IFERROR((WHOLE_STRUCTURE[[#This Row],[D, bottom '[m']]]+WHOLE_STRUCTURE[[#This Row],[D, top '[m']]])/(2*WHOLE_STRUCTURE[[#This Row],[t '[mm']]]/1000),"")</f>
        <v/>
      </c>
    </row>
    <row r="363" spans="12:15">
      <c r="L363" s="54" t="str">
        <f t="shared" si="8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4" t="str">
        <f>IFERROR((WHOLE_STRUCTURE[[#This Row],[D, bottom '[m']]]+WHOLE_STRUCTURE[[#This Row],[D, top '[m']]])/(2*WHOLE_STRUCTURE[[#This Row],[t '[mm']]]/1000),"")</f>
        <v/>
      </c>
    </row>
    <row r="364" spans="12:15">
      <c r="L364" s="54" t="str">
        <f t="shared" si="8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4" t="str">
        <f>IFERROR((WHOLE_STRUCTURE[[#This Row],[D, bottom '[m']]]+WHOLE_STRUCTURE[[#This Row],[D, top '[m']]])/(2*WHOLE_STRUCTURE[[#This Row],[t '[mm']]]/1000),"")</f>
        <v/>
      </c>
    </row>
    <row r="365" spans="12:15">
      <c r="L365" s="54" t="str">
        <f t="shared" si="8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4" t="str">
        <f>IFERROR((WHOLE_STRUCTURE[[#This Row],[D, bottom '[m']]]+WHOLE_STRUCTURE[[#This Row],[D, top '[m']]])/(2*WHOLE_STRUCTURE[[#This Row],[t '[mm']]]/1000),"")</f>
        <v/>
      </c>
    </row>
    <row r="366" spans="12:15">
      <c r="L366" s="54" t="str">
        <f t="shared" si="8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4" t="str">
        <f>IFERROR((WHOLE_STRUCTURE[[#This Row],[D, bottom '[m']]]+WHOLE_STRUCTURE[[#This Row],[D, top '[m']]])/(2*WHOLE_STRUCTURE[[#This Row],[t '[mm']]]/1000),"")</f>
        <v/>
      </c>
    </row>
    <row r="367" spans="12:15">
      <c r="L367" s="54" t="str">
        <f t="shared" si="8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4" t="str">
        <f>IFERROR((WHOLE_STRUCTURE[[#This Row],[D, bottom '[m']]]+WHOLE_STRUCTURE[[#This Row],[D, top '[m']]])/(2*WHOLE_STRUCTURE[[#This Row],[t '[mm']]]/1000),"")</f>
        <v/>
      </c>
    </row>
    <row r="368" spans="12:15">
      <c r="L368" s="54" t="str">
        <f t="shared" si="8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4" t="str">
        <f>IFERROR((WHOLE_STRUCTURE[[#This Row],[D, bottom '[m']]]+WHOLE_STRUCTURE[[#This Row],[D, top '[m']]])/(2*WHOLE_STRUCTURE[[#This Row],[t '[mm']]]/1000),"")</f>
        <v/>
      </c>
    </row>
    <row r="369" spans="12:15">
      <c r="L369" s="54" t="str">
        <f t="shared" si="8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4" t="str">
        <f>IFERROR((WHOLE_STRUCTURE[[#This Row],[D, bottom '[m']]]+WHOLE_STRUCTURE[[#This Row],[D, top '[m']]])/(2*WHOLE_STRUCTURE[[#This Row],[t '[mm']]]/1000),"")</f>
        <v/>
      </c>
    </row>
    <row r="370" spans="12:15">
      <c r="L370" s="54" t="str">
        <f t="shared" si="8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4" t="str">
        <f>IFERROR((WHOLE_STRUCTURE[[#This Row],[D, bottom '[m']]]+WHOLE_STRUCTURE[[#This Row],[D, top '[m']]])/(2*WHOLE_STRUCTURE[[#This Row],[t '[mm']]]/1000),"")</f>
        <v/>
      </c>
    </row>
    <row r="371" spans="12:15">
      <c r="L371" s="54" t="str">
        <f t="shared" si="8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4" t="str">
        <f>IFERROR((WHOLE_STRUCTURE[[#This Row],[D, bottom '[m']]]+WHOLE_STRUCTURE[[#This Row],[D, top '[m']]])/(2*WHOLE_STRUCTURE[[#This Row],[t '[mm']]]/1000),"")</f>
        <v/>
      </c>
    </row>
    <row r="372" spans="12:15">
      <c r="L372" s="54" t="str">
        <f t="shared" si="8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4" t="str">
        <f>IFERROR((WHOLE_STRUCTURE[[#This Row],[D, bottom '[m']]]+WHOLE_STRUCTURE[[#This Row],[D, top '[m']]])/(2*WHOLE_STRUCTURE[[#This Row],[t '[mm']]]/1000),"")</f>
        <v/>
      </c>
    </row>
    <row r="373" spans="12:15">
      <c r="L373" s="54" t="str">
        <f t="shared" si="8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4" t="str">
        <f>IFERROR((WHOLE_STRUCTURE[[#This Row],[D, bottom '[m']]]+WHOLE_STRUCTURE[[#This Row],[D, top '[m']]])/(2*WHOLE_STRUCTURE[[#This Row],[t '[mm']]]/1000),"")</f>
        <v/>
      </c>
    </row>
    <row r="374" spans="12:15">
      <c r="L374" s="54" t="str">
        <f t="shared" si="8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4" t="str">
        <f>IFERROR((WHOLE_STRUCTURE[[#This Row],[D, bottom '[m']]]+WHOLE_STRUCTURE[[#This Row],[D, top '[m']]])/(2*WHOLE_STRUCTURE[[#This Row],[t '[mm']]]/1000),"")</f>
        <v/>
      </c>
    </row>
    <row r="375" spans="12:15">
      <c r="L375" s="54" t="str">
        <f t="shared" si="8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4" t="str">
        <f>IFERROR((WHOLE_STRUCTURE[[#This Row],[D, bottom '[m']]]+WHOLE_STRUCTURE[[#This Row],[D, top '[m']]])/(2*WHOLE_STRUCTURE[[#This Row],[t '[mm']]]/1000),"")</f>
        <v/>
      </c>
    </row>
    <row r="376" spans="12:15">
      <c r="L376" s="54" t="str">
        <f t="shared" si="8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4" t="str">
        <f>IFERROR((WHOLE_STRUCTURE[[#This Row],[D, bottom '[m']]]+WHOLE_STRUCTURE[[#This Row],[D, top '[m']]])/(2*WHOLE_STRUCTURE[[#This Row],[t '[mm']]]/1000),"")</f>
        <v/>
      </c>
    </row>
    <row r="377" spans="12:15">
      <c r="L377" s="54" t="str">
        <f t="shared" si="8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4" t="str">
        <f>IFERROR((WHOLE_STRUCTURE[[#This Row],[D, bottom '[m']]]+WHOLE_STRUCTURE[[#This Row],[D, top '[m']]])/(2*WHOLE_STRUCTURE[[#This Row],[t '[mm']]]/1000),"")</f>
        <v/>
      </c>
    </row>
    <row r="378" spans="12:15">
      <c r="L378" s="54" t="str">
        <f t="shared" si="8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4" t="str">
        <f>IFERROR((WHOLE_STRUCTURE[[#This Row],[D, bottom '[m']]]+WHOLE_STRUCTURE[[#This Row],[D, top '[m']]])/(2*WHOLE_STRUCTURE[[#This Row],[t '[mm']]]/1000),"")</f>
        <v/>
      </c>
    </row>
    <row r="379" spans="12:15">
      <c r="L379" s="54" t="str">
        <f t="shared" si="8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4" t="str">
        <f>IFERROR((WHOLE_STRUCTURE[[#This Row],[D, bottom '[m']]]+WHOLE_STRUCTURE[[#This Row],[D, top '[m']]])/(2*WHOLE_STRUCTURE[[#This Row],[t '[mm']]]/1000),"")</f>
        <v/>
      </c>
    </row>
    <row r="380" spans="12:15">
      <c r="L380" s="54" t="str">
        <f t="shared" si="8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4" t="str">
        <f>IFERROR((WHOLE_STRUCTURE[[#This Row],[D, bottom '[m']]]+WHOLE_STRUCTURE[[#This Row],[D, top '[m']]])/(2*WHOLE_STRUCTURE[[#This Row],[t '[mm']]]/1000),"")</f>
        <v/>
      </c>
    </row>
    <row r="381" spans="12:15">
      <c r="L381" s="54" t="str">
        <f t="shared" si="8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4" t="str">
        <f>IFERROR((WHOLE_STRUCTURE[[#This Row],[D, bottom '[m']]]+WHOLE_STRUCTURE[[#This Row],[D, top '[m']]])/(2*WHOLE_STRUCTURE[[#This Row],[t '[mm']]]/1000),"")</f>
        <v/>
      </c>
    </row>
    <row r="382" spans="12:15">
      <c r="L382" s="54" t="str">
        <f t="shared" si="8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4" t="str">
        <f>IFERROR((WHOLE_STRUCTURE[[#This Row],[D, bottom '[m']]]+WHOLE_STRUCTURE[[#This Row],[D, top '[m']]])/(2*WHOLE_STRUCTURE[[#This Row],[t '[mm']]]/1000),"")</f>
        <v/>
      </c>
    </row>
    <row r="383" spans="12:15">
      <c r="L383" s="54" t="str">
        <f t="shared" si="8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4" t="str">
        <f>IFERROR((WHOLE_STRUCTURE[[#This Row],[D, bottom '[m']]]+WHOLE_STRUCTURE[[#This Row],[D, top '[m']]])/(2*WHOLE_STRUCTURE[[#This Row],[t '[mm']]]/1000),"")</f>
        <v/>
      </c>
    </row>
    <row r="384" spans="12:15">
      <c r="L384" s="54" t="str">
        <f t="shared" si="8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4" t="str">
        <f>IFERROR((WHOLE_STRUCTURE[[#This Row],[D, bottom '[m']]]+WHOLE_STRUCTURE[[#This Row],[D, top '[m']]])/(2*WHOLE_STRUCTURE[[#This Row],[t '[mm']]]/1000),"")</f>
        <v/>
      </c>
    </row>
    <row r="385" spans="12:15">
      <c r="L385" s="54" t="str">
        <f t="shared" si="8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4" t="str">
        <f>IFERROR((WHOLE_STRUCTURE[[#This Row],[D, bottom '[m']]]+WHOLE_STRUCTURE[[#This Row],[D, top '[m']]])/(2*WHOLE_STRUCTURE[[#This Row],[t '[mm']]]/1000),"")</f>
        <v/>
      </c>
    </row>
    <row r="386" spans="12:15">
      <c r="L386" s="54" t="str">
        <f t="shared" si="8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4" t="str">
        <f>IFERROR((WHOLE_STRUCTURE[[#This Row],[D, bottom '[m']]]+WHOLE_STRUCTURE[[#This Row],[D, top '[m']]])/(2*WHOLE_STRUCTURE[[#This Row],[t '[mm']]]/1000),"")</f>
        <v/>
      </c>
    </row>
    <row r="387" spans="12:15">
      <c r="L387" s="54" t="str">
        <f t="shared" si="8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4" t="str">
        <f>IFERROR((WHOLE_STRUCTURE[[#This Row],[D, bottom '[m']]]+WHOLE_STRUCTURE[[#This Row],[D, top '[m']]])/(2*WHOLE_STRUCTURE[[#This Row],[t '[mm']]]/1000),"")</f>
        <v/>
      </c>
    </row>
    <row r="388" spans="12:15">
      <c r="L388" s="54" t="str">
        <f t="shared" si="8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4" t="str">
        <f>IFERROR((WHOLE_STRUCTURE[[#This Row],[D, bottom '[m']]]+WHOLE_STRUCTURE[[#This Row],[D, top '[m']]])/(2*WHOLE_STRUCTURE[[#This Row],[t '[mm']]]/1000),"")</f>
        <v/>
      </c>
    </row>
    <row r="389" spans="12:15">
      <c r="L389" s="54" t="str">
        <f t="shared" ref="L389:L452" si="9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4" t="str">
        <f>IFERROR((WHOLE_STRUCTURE[[#This Row],[D, bottom '[m']]]+WHOLE_STRUCTURE[[#This Row],[D, top '[m']]])/(2*WHOLE_STRUCTURE[[#This Row],[t '[mm']]]/1000),"")</f>
        <v/>
      </c>
    </row>
    <row r="390" spans="12:15">
      <c r="L390" s="54" t="str">
        <f t="shared" si="9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4" t="str">
        <f>IFERROR((WHOLE_STRUCTURE[[#This Row],[D, bottom '[m']]]+WHOLE_STRUCTURE[[#This Row],[D, top '[m']]])/(2*WHOLE_STRUCTURE[[#This Row],[t '[mm']]]/1000),"")</f>
        <v/>
      </c>
    </row>
    <row r="391" spans="12:15">
      <c r="L391" s="54" t="str">
        <f t="shared" si="9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</row>
    <row r="392" spans="12:15">
      <c r="L392" s="54" t="str">
        <f t="shared" si="9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</row>
    <row r="393" spans="12:15">
      <c r="L393" s="54" t="str">
        <f t="shared" si="9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</row>
    <row r="394" spans="12:15">
      <c r="L394" s="54" t="str">
        <f t="shared" si="9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</row>
    <row r="395" spans="12:15">
      <c r="L395" s="54" t="str">
        <f t="shared" si="9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</row>
    <row r="396" spans="12:15">
      <c r="L396" s="54" t="str">
        <f t="shared" si="9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</row>
    <row r="397" spans="12:15">
      <c r="L397" s="54" t="str">
        <f t="shared" si="9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</row>
    <row r="398" spans="12:15">
      <c r="L398" s="54" t="str">
        <f t="shared" si="9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</row>
    <row r="399" spans="12:15">
      <c r="L399" s="54" t="str">
        <f t="shared" si="9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</row>
    <row r="400" spans="12:15">
      <c r="L400" s="54" t="str">
        <f t="shared" si="9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</row>
    <row r="401" spans="12:15">
      <c r="L401" s="54" t="str">
        <f t="shared" si="9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</row>
    <row r="402" spans="12:15">
      <c r="L402" s="54" t="str">
        <f t="shared" si="9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</row>
    <row r="403" spans="12:15">
      <c r="L403" s="54" t="str">
        <f t="shared" si="9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</row>
    <row r="404" spans="12:15">
      <c r="L404" s="54" t="str">
        <f t="shared" si="9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</row>
    <row r="405" spans="12:15">
      <c r="L405" s="54" t="str">
        <f t="shared" si="9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</row>
    <row r="406" spans="12:15">
      <c r="L406" s="54" t="str">
        <f t="shared" si="9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</row>
    <row r="407" spans="12:15">
      <c r="L407" s="54" t="str">
        <f t="shared" si="9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</row>
    <row r="408" spans="12:15">
      <c r="L408" s="54" t="str">
        <f t="shared" si="9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</row>
    <row r="409" spans="12:15">
      <c r="L409" s="54" t="str">
        <f t="shared" si="9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</row>
    <row r="410" spans="12:15">
      <c r="L410" s="54" t="str">
        <f t="shared" si="9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</row>
    <row r="411" spans="12:15">
      <c r="L411" s="54" t="str">
        <f t="shared" si="9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</row>
    <row r="412" spans="12:15">
      <c r="L412" s="54" t="str">
        <f t="shared" si="9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</row>
    <row r="413" spans="12:15">
      <c r="L413" s="54" t="str">
        <f t="shared" si="9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</row>
    <row r="414" spans="12:15">
      <c r="L414" s="54" t="str">
        <f t="shared" si="9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</row>
    <row r="415" spans="12:15">
      <c r="L415" s="54" t="str">
        <f t="shared" si="9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</row>
    <row r="416" spans="12:15">
      <c r="L416" s="54" t="str">
        <f t="shared" si="9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</row>
    <row r="417" spans="12:15">
      <c r="L417" s="54" t="str">
        <f t="shared" si="9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</row>
    <row r="418" spans="12:15">
      <c r="L418" s="54" t="str">
        <f t="shared" si="9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</row>
    <row r="419" spans="12:15">
      <c r="L419" s="54" t="str">
        <f t="shared" si="9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</row>
    <row r="420" spans="12:15">
      <c r="L420" s="54" t="str">
        <f t="shared" si="9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</row>
    <row r="421" spans="12:15">
      <c r="L421" s="54" t="str">
        <f t="shared" si="9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</row>
    <row r="422" spans="12:15">
      <c r="L422" s="54" t="str">
        <f t="shared" si="9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</row>
    <row r="423" spans="12:15">
      <c r="L423" s="54" t="str">
        <f t="shared" si="9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</row>
    <row r="424" spans="12:15">
      <c r="L424" s="54" t="str">
        <f t="shared" si="9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</row>
    <row r="425" spans="12:15">
      <c r="L425" s="54" t="str">
        <f t="shared" si="9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</row>
    <row r="426" spans="12:15">
      <c r="L426" s="54" t="str">
        <f t="shared" si="9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</row>
    <row r="427" spans="12:15">
      <c r="L427" s="54" t="str">
        <f t="shared" si="9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</row>
    <row r="428" spans="12:15">
      <c r="L428" s="54" t="str">
        <f t="shared" si="9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</row>
    <row r="429" spans="12:15">
      <c r="L429" s="54" t="str">
        <f t="shared" si="9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</row>
    <row r="430" spans="12:15">
      <c r="L430" s="54" t="str">
        <f t="shared" si="9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</row>
    <row r="431" spans="12:15">
      <c r="L431" s="54" t="str">
        <f t="shared" si="9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</row>
    <row r="432" spans="12:15">
      <c r="L432" s="54" t="str">
        <f t="shared" si="9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</row>
    <row r="433" spans="12:15">
      <c r="L433" s="54" t="str">
        <f t="shared" si="9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</row>
    <row r="434" spans="12:15">
      <c r="L434" s="54" t="str">
        <f t="shared" si="9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</row>
    <row r="435" spans="12:15">
      <c r="L435" s="54" t="str">
        <f t="shared" si="9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</row>
    <row r="436" spans="12:15">
      <c r="L436" s="54" t="str">
        <f t="shared" si="9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</row>
    <row r="437" spans="12:15">
      <c r="L437" s="54" t="str">
        <f t="shared" si="9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</row>
    <row r="438" spans="12:15">
      <c r="L438" s="54" t="str">
        <f t="shared" si="9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</row>
    <row r="439" spans="12:15">
      <c r="L439" s="54" t="str">
        <f t="shared" si="9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</row>
    <row r="440" spans="12:15">
      <c r="L440" s="54" t="str">
        <f t="shared" si="9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</row>
    <row r="441" spans="12:15">
      <c r="L441" s="54" t="str">
        <f t="shared" si="9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</row>
    <row r="442" spans="12:15">
      <c r="L442" s="54" t="str">
        <f t="shared" si="9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</row>
    <row r="443" spans="12:15">
      <c r="L443" s="54" t="str">
        <f t="shared" si="9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</row>
    <row r="444" spans="12:15">
      <c r="L444" s="54" t="str">
        <f t="shared" si="9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</row>
    <row r="445" spans="12:15">
      <c r="L445" s="54" t="str">
        <f t="shared" si="9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</row>
    <row r="446" spans="12:15">
      <c r="L446" s="54" t="str">
        <f t="shared" si="9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</row>
    <row r="447" spans="12:15">
      <c r="L447" s="54" t="str">
        <f t="shared" si="9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</row>
    <row r="448" spans="12:15">
      <c r="L448" s="54" t="str">
        <f t="shared" si="9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</row>
    <row r="449" spans="12:15">
      <c r="L449" s="54" t="str">
        <f t="shared" si="9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</row>
    <row r="450" spans="12:15">
      <c r="L450" s="54" t="str">
        <f t="shared" si="9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</row>
    <row r="451" spans="12:15">
      <c r="L451" s="54" t="str">
        <f t="shared" si="9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</row>
    <row r="452" spans="12:15">
      <c r="L452" s="54" t="str">
        <f t="shared" si="9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</row>
    <row r="453" spans="12:15">
      <c r="L453" s="54" t="str">
        <f t="shared" ref="L453:L454" si="10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</row>
    <row r="454" spans="12:15">
      <c r="L454" s="54" t="str">
        <f t="shared" si="10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</row>
    <row r="455" spans="12:15"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abelle4.show_GEOMETRY_section">
                <anchor moveWithCells="1" sizeWithCells="1">
                  <from>
                    <xdr:col>0</xdr:col>
                    <xdr:colOff>45720</xdr:colOff>
                    <xdr:row>12</xdr:row>
                    <xdr:rowOff>68580</xdr:rowOff>
                  </from>
                  <to>
                    <xdr:col>2</xdr:col>
                    <xdr:colOff>2933700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abelle4.show_ADDED_MASSES_section">
                <anchor moveWithCells="1" sizeWithCells="1">
                  <from>
                    <xdr:col>0</xdr:col>
                    <xdr:colOff>60960</xdr:colOff>
                    <xdr:row>16</xdr:row>
                    <xdr:rowOff>60960</xdr:rowOff>
                  </from>
                  <to>
                    <xdr:col>2</xdr:col>
                    <xdr:colOff>2933700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elle4.show_MISC_section">
                <anchor moveWithCells="1" sizeWithCells="1">
                  <from>
                    <xdr:col>0</xdr:col>
                    <xdr:colOff>68580</xdr:colOff>
                    <xdr:row>20</xdr:row>
                    <xdr:rowOff>91440</xdr:rowOff>
                  </from>
                  <to>
                    <xdr:col>2</xdr:col>
                    <xdr:colOff>2918460</xdr:colOff>
                    <xdr:row>24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30480</xdr:colOff>
                    <xdr:row>1</xdr:row>
                    <xdr:rowOff>38100</xdr:rowOff>
                  </from>
                  <to>
                    <xdr:col>59</xdr:col>
                    <xdr:colOff>205740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2"/>
  <sheetViews>
    <sheetView showGridLines="0" topLeftCell="A2" zoomScale="85" zoomScaleNormal="85" workbookViewId="0">
      <selection activeCell="R23" sqref="R23"/>
    </sheetView>
  </sheetViews>
  <sheetFormatPr baseColWidth="10" defaultRowHeight="14.4"/>
  <cols>
    <col min="1" max="1" width="15.33203125" style="71" customWidth="1"/>
    <col min="2" max="2" width="15.33203125" style="59" customWidth="1"/>
    <col min="3" max="3" width="13.33203125" style="59" customWidth="1"/>
    <col min="4" max="4" width="50.33203125" style="126" customWidth="1"/>
    <col min="5" max="5" width="41.5546875" hidden="1" customWidth="1"/>
    <col min="6" max="6" width="43" hidden="1" customWidth="1"/>
    <col min="7" max="7" width="14.109375" style="51" hidden="1" customWidth="1"/>
    <col min="8" max="8" width="19.33203125" style="51" hidden="1" customWidth="1"/>
    <col min="9" max="9" width="20.5546875" style="51" hidden="1" customWidth="1"/>
    <col min="10" max="17" width="11.5546875" hidden="1" customWidth="1"/>
    <col min="18" max="18" width="24.5546875" customWidth="1"/>
    <col min="19" max="19" width="17" customWidth="1"/>
    <col min="20" max="20" width="46.44140625" customWidth="1"/>
    <col min="21" max="21" width="14.6640625" customWidth="1"/>
    <col min="22" max="22" width="16.109375" customWidth="1"/>
    <col min="23" max="23" width="15.6640625" customWidth="1"/>
    <col min="24" max="24" width="18.109375" customWidth="1"/>
    <col min="25" max="25" width="21.33203125" customWidth="1"/>
    <col min="26" max="26" width="28" customWidth="1"/>
    <col min="27" max="27" width="30.5546875" customWidth="1"/>
    <col min="28" max="28" width="29.109375" customWidth="1"/>
    <col min="29" max="31" width="11.5546875" customWidth="1"/>
    <col min="32" max="32" width="42.5546875" hidden="1" customWidth="1"/>
    <col min="33" max="33" width="20" hidden="1" customWidth="1"/>
    <col min="34" max="34" width="18.5546875" hidden="1" customWidth="1"/>
    <col min="35" max="35" width="19.5546875" hidden="1" customWidth="1"/>
    <col min="36" max="36" width="20" hidden="1" customWidth="1"/>
    <col min="37" max="37" width="17.88671875" hidden="1" customWidth="1"/>
    <col min="38" max="38" width="50.109375" hidden="1" customWidth="1"/>
    <col min="39" max="40" width="11.5546875" hidden="1" customWidth="1"/>
    <col min="41" max="41" width="13.88671875" hidden="1" customWidth="1"/>
    <col min="42" max="42" width="12.6640625" hidden="1" customWidth="1"/>
    <col min="43" max="43" width="11.5546875" hidden="1" customWidth="1"/>
    <col min="44" max="44" width="14.5546875" hidden="1" customWidth="1"/>
    <col min="45" max="45" width="20.88671875" hidden="1" customWidth="1"/>
    <col min="46" max="47" width="11.5546875" hidden="1" customWidth="1"/>
    <col min="48" max="48" width="20.44140625" hidden="1" customWidth="1"/>
    <col min="49" max="49" width="18.88671875" hidden="1" customWidth="1"/>
    <col min="50" max="50" width="12.5546875" hidden="1" customWidth="1"/>
    <col min="62" max="62" width="11.5546875" customWidth="1"/>
    <col min="82" max="83" width="11.5546875" customWidth="1"/>
    <col min="84" max="84" width="14.44140625" customWidth="1"/>
    <col min="85" max="85" width="12.109375" customWidth="1"/>
    <col min="86" max="110" width="11.5546875" customWidth="1"/>
  </cols>
  <sheetData>
    <row r="1" spans="1:89" s="163" customFormat="1" ht="196.8" customHeight="1" thickBot="1">
      <c r="A1" s="149"/>
      <c r="B1" s="150"/>
      <c r="C1" s="150"/>
      <c r="D1" s="164"/>
      <c r="E1" s="169" t="s">
        <v>408</v>
      </c>
      <c r="F1" s="162"/>
      <c r="G1" s="162"/>
      <c r="H1" s="162"/>
      <c r="I1" s="161"/>
      <c r="R1" s="169" t="s">
        <v>373</v>
      </c>
      <c r="AF1" s="187" t="s">
        <v>394</v>
      </c>
      <c r="CF1" s="170"/>
      <c r="CG1" s="162"/>
      <c r="CH1" s="162"/>
      <c r="CI1" s="162"/>
      <c r="CJ1" s="191"/>
      <c r="CK1" s="161"/>
    </row>
    <row r="2" spans="1:89">
      <c r="E2" s="59"/>
      <c r="F2" s="59"/>
      <c r="G2" s="189"/>
      <c r="H2" s="189"/>
      <c r="I2" s="189"/>
      <c r="J2" s="59"/>
      <c r="K2" s="59"/>
      <c r="L2" s="59"/>
      <c r="M2" s="59"/>
      <c r="N2" s="59"/>
      <c r="O2" s="59"/>
      <c r="P2" s="80"/>
      <c r="Q2" s="80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206"/>
    </row>
    <row r="3" spans="1:89" ht="31.2">
      <c r="E3" s="203" t="s">
        <v>56</v>
      </c>
      <c r="F3" s="195"/>
      <c r="G3" s="189"/>
      <c r="H3" s="189"/>
      <c r="I3" s="189"/>
      <c r="J3" s="59"/>
      <c r="K3" s="59"/>
      <c r="L3" s="59"/>
      <c r="M3" s="59"/>
      <c r="N3" s="59"/>
      <c r="O3" s="59"/>
      <c r="P3" s="80"/>
      <c r="Q3" s="80"/>
      <c r="R3" s="203" t="s">
        <v>217</v>
      </c>
      <c r="S3" s="195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203" t="s">
        <v>340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206"/>
    </row>
    <row r="4" spans="1:89" ht="15" thickBot="1">
      <c r="A4" s="145"/>
      <c r="B4" s="146"/>
      <c r="C4" s="146"/>
      <c r="D4" s="196"/>
      <c r="E4" s="59"/>
      <c r="F4" s="59"/>
      <c r="G4" s="189"/>
      <c r="H4" s="189"/>
      <c r="I4" s="189"/>
      <c r="J4" s="59"/>
      <c r="K4" s="59"/>
      <c r="L4" s="59"/>
      <c r="M4" s="59"/>
      <c r="N4" s="59"/>
      <c r="O4" s="59"/>
      <c r="P4" s="80"/>
      <c r="Q4" s="80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206"/>
    </row>
    <row r="5" spans="1:89">
      <c r="A5" s="145"/>
      <c r="B5" s="146"/>
      <c r="C5" s="146"/>
      <c r="D5" s="196"/>
      <c r="E5" s="64"/>
      <c r="F5" s="201" t="s">
        <v>397</v>
      </c>
      <c r="G5" s="197"/>
      <c r="H5" s="197"/>
      <c r="I5" s="197"/>
      <c r="J5" s="111"/>
      <c r="K5" s="80"/>
      <c r="L5" s="80"/>
      <c r="M5" s="80"/>
      <c r="N5" s="80"/>
      <c r="O5" s="80"/>
      <c r="P5" s="80"/>
      <c r="R5" s="63"/>
      <c r="S5" s="201" t="s">
        <v>400</v>
      </c>
      <c r="T5" s="64"/>
      <c r="U5" s="64"/>
      <c r="V5" s="64"/>
      <c r="W5" s="64"/>
      <c r="X5" s="64"/>
      <c r="Y5" s="64"/>
      <c r="Z5" s="64"/>
      <c r="AA5" s="65"/>
      <c r="BJ5" s="205"/>
    </row>
    <row r="6" spans="1:89" ht="18" customHeight="1">
      <c r="A6" s="145"/>
      <c r="B6" s="146"/>
      <c r="C6" s="146"/>
      <c r="D6" s="196"/>
      <c r="F6" s="69" t="s">
        <v>269</v>
      </c>
      <c r="G6" s="202"/>
      <c r="H6" s="202"/>
      <c r="I6" s="202"/>
      <c r="J6" s="112"/>
      <c r="K6" s="80"/>
      <c r="L6" s="80"/>
      <c r="M6" s="80"/>
      <c r="N6" s="80"/>
      <c r="O6" s="80"/>
      <c r="P6" s="199"/>
      <c r="Q6" s="80"/>
      <c r="R6" s="79"/>
      <c r="S6" s="204" t="s">
        <v>399</v>
      </c>
      <c r="T6" s="69"/>
      <c r="U6" s="69"/>
      <c r="V6" s="69"/>
      <c r="W6" s="69"/>
      <c r="X6" s="69"/>
      <c r="Y6" s="69"/>
      <c r="Z6" s="69"/>
      <c r="AA6" s="112"/>
      <c r="BJ6" s="205"/>
    </row>
    <row r="7" spans="1:89">
      <c r="A7" s="145"/>
      <c r="B7" s="146"/>
      <c r="C7" s="146"/>
      <c r="D7" s="196"/>
      <c r="J7" s="113"/>
      <c r="K7" s="80"/>
      <c r="L7" s="80"/>
      <c r="M7" s="80"/>
      <c r="N7" s="80"/>
      <c r="O7" s="80"/>
      <c r="P7" s="200"/>
      <c r="Q7" s="80"/>
      <c r="R7" s="56"/>
      <c r="S7" s="80"/>
      <c r="T7" s="80"/>
      <c r="U7" s="80"/>
      <c r="AA7" s="57"/>
    </row>
    <row r="8" spans="1:89" ht="15" thickBot="1">
      <c r="A8" s="145"/>
      <c r="B8" s="146"/>
      <c r="C8" s="146"/>
      <c r="D8" s="196"/>
      <c r="E8" s="67"/>
      <c r="F8" s="67"/>
      <c r="G8" s="198"/>
      <c r="H8" s="198"/>
      <c r="I8" s="198"/>
      <c r="J8" s="114"/>
      <c r="K8" s="80"/>
      <c r="L8" s="80"/>
      <c r="M8" s="80"/>
      <c r="N8" s="80"/>
      <c r="O8" s="80"/>
      <c r="P8" s="80"/>
      <c r="Q8" s="80"/>
      <c r="R8" s="81"/>
      <c r="S8" s="82"/>
      <c r="T8" s="82"/>
      <c r="U8" s="82"/>
      <c r="V8" s="67"/>
      <c r="W8" s="67"/>
      <c r="X8" s="67"/>
      <c r="Y8" s="67"/>
      <c r="Z8" s="67"/>
      <c r="AA8" s="68"/>
    </row>
    <row r="9" spans="1:89">
      <c r="A9" s="145"/>
      <c r="B9" s="146"/>
      <c r="C9" s="146"/>
      <c r="D9" s="196"/>
      <c r="P9" s="80"/>
      <c r="Q9" s="80"/>
      <c r="R9" s="80"/>
      <c r="S9" s="80"/>
      <c r="T9" s="80"/>
      <c r="U9" s="80"/>
    </row>
    <row r="10" spans="1:89" ht="18">
      <c r="A10" s="145"/>
      <c r="B10" s="146"/>
      <c r="C10" s="146"/>
      <c r="D10" s="196"/>
      <c r="E10" s="70" t="s">
        <v>395</v>
      </c>
    </row>
    <row r="11" spans="1:89">
      <c r="A11" s="145"/>
      <c r="B11" s="146"/>
      <c r="C11" s="146"/>
      <c r="D11" s="196"/>
      <c r="E11" t="s">
        <v>27</v>
      </c>
      <c r="F11" t="s">
        <v>19</v>
      </c>
      <c r="G11" s="51" t="s">
        <v>100</v>
      </c>
      <c r="H11" s="51" t="s">
        <v>99</v>
      </c>
      <c r="AF11" t="s">
        <v>27</v>
      </c>
      <c r="AG11" t="s">
        <v>99</v>
      </c>
      <c r="AH11" t="s">
        <v>19</v>
      </c>
      <c r="AO11" t="s">
        <v>403</v>
      </c>
      <c r="AP11" t="s">
        <v>404</v>
      </c>
      <c r="AQ11" t="s">
        <v>405</v>
      </c>
      <c r="AR11" t="s">
        <v>406</v>
      </c>
    </row>
    <row r="12" spans="1:89" ht="18">
      <c r="A12" s="145"/>
      <c r="B12" s="146"/>
      <c r="C12" s="146"/>
      <c r="D12" s="196"/>
      <c r="E12" t="s">
        <v>96</v>
      </c>
      <c r="F12" t="s">
        <v>108</v>
      </c>
      <c r="G12" s="51" t="s">
        <v>77</v>
      </c>
      <c r="H12" s="51" t="s">
        <v>97</v>
      </c>
      <c r="R12" s="70" t="s">
        <v>402</v>
      </c>
      <c r="AF12" t="s">
        <v>407</v>
      </c>
      <c r="AG12">
        <v>0.1</v>
      </c>
      <c r="AO12" t="s">
        <v>274</v>
      </c>
      <c r="AP12">
        <v>7850</v>
      </c>
      <c r="AQ12">
        <v>210000000</v>
      </c>
      <c r="AR12">
        <v>81000000000</v>
      </c>
    </row>
    <row r="13" spans="1:89">
      <c r="A13" s="145"/>
      <c r="B13" s="146"/>
      <c r="C13" s="146"/>
      <c r="D13" s="196"/>
      <c r="E13" t="s">
        <v>98</v>
      </c>
      <c r="G13" s="51" t="s">
        <v>101</v>
      </c>
      <c r="H13" s="51">
        <v>210000000</v>
      </c>
      <c r="R13" s="209" t="s">
        <v>401</v>
      </c>
      <c r="S13" s="207" t="s">
        <v>85</v>
      </c>
      <c r="T13" s="207" t="s">
        <v>234</v>
      </c>
      <c r="U13" s="207" t="s">
        <v>90</v>
      </c>
      <c r="V13" s="207" t="s">
        <v>89</v>
      </c>
      <c r="W13" s="207" t="s">
        <v>86</v>
      </c>
      <c r="X13" s="207" t="s">
        <v>218</v>
      </c>
      <c r="Y13" s="207" t="s">
        <v>219</v>
      </c>
      <c r="Z13" s="207" t="s">
        <v>220</v>
      </c>
      <c r="AA13" s="207" t="s">
        <v>222</v>
      </c>
      <c r="AB13" s="208" t="s">
        <v>221</v>
      </c>
      <c r="AF13" s="51"/>
    </row>
    <row r="14" spans="1:89">
      <c r="A14" s="145"/>
      <c r="B14" s="146"/>
      <c r="C14" s="146"/>
      <c r="D14" s="196"/>
      <c r="E14" t="s">
        <v>200</v>
      </c>
      <c r="G14" s="51" t="s">
        <v>102</v>
      </c>
      <c r="H14" s="51">
        <v>7850</v>
      </c>
      <c r="R14" s="51" t="s">
        <v>398</v>
      </c>
      <c r="S14" s="51" t="s">
        <v>83</v>
      </c>
      <c r="T14" s="51" t="s">
        <v>381</v>
      </c>
      <c r="U14" s="51">
        <v>22.5</v>
      </c>
      <c r="V14" s="51">
        <v>10.7</v>
      </c>
      <c r="W14" s="51">
        <v>3000</v>
      </c>
      <c r="X14" s="51">
        <v>0.19400000000000001</v>
      </c>
      <c r="Y14" s="51">
        <v>130.80000000000001</v>
      </c>
      <c r="Z14" s="51">
        <v>4.8</v>
      </c>
      <c r="AA14" s="51"/>
      <c r="AB14" s="51">
        <v>0</v>
      </c>
    </row>
    <row r="15" spans="1:89">
      <c r="A15" s="145"/>
      <c r="B15" s="146"/>
      <c r="C15" s="146"/>
      <c r="D15" s="196"/>
      <c r="E15" t="s">
        <v>103</v>
      </c>
      <c r="F15" t="s">
        <v>125</v>
      </c>
      <c r="G15" s="51" t="s">
        <v>104</v>
      </c>
      <c r="H15" s="51">
        <v>1</v>
      </c>
      <c r="R15" s="51" t="s">
        <v>398</v>
      </c>
      <c r="S15" s="51" t="s">
        <v>83</v>
      </c>
      <c r="T15" s="51" t="s">
        <v>381</v>
      </c>
      <c r="U15" s="51">
        <v>22.5</v>
      </c>
      <c r="V15" s="51">
        <v>10.7</v>
      </c>
      <c r="W15" s="51">
        <v>3000</v>
      </c>
      <c r="X15" s="51">
        <v>0.19400000000000001</v>
      </c>
      <c r="Y15" s="51">
        <v>139.19999999999999</v>
      </c>
      <c r="Z15" s="51">
        <v>4.8</v>
      </c>
      <c r="AA15" s="51"/>
      <c r="AB15" s="51">
        <v>0</v>
      </c>
    </row>
    <row r="16" spans="1:89">
      <c r="A16" s="145"/>
      <c r="B16" s="146"/>
      <c r="C16" s="146"/>
      <c r="D16" s="196"/>
      <c r="E16" t="s">
        <v>105</v>
      </c>
      <c r="F16" t="s">
        <v>124</v>
      </c>
      <c r="G16" s="51" t="s">
        <v>106</v>
      </c>
      <c r="H16" s="51">
        <v>5</v>
      </c>
      <c r="R16" s="51" t="s">
        <v>398</v>
      </c>
      <c r="S16" s="51" t="s">
        <v>83</v>
      </c>
      <c r="T16" s="51" t="s">
        <v>382</v>
      </c>
      <c r="U16" s="51">
        <v>13.2</v>
      </c>
      <c r="V16" s="51">
        <v>-2.6</v>
      </c>
      <c r="W16" s="51">
        <v>3000</v>
      </c>
      <c r="X16" s="51">
        <v>0.19400000000000001</v>
      </c>
      <c r="Y16" s="51">
        <v>124.4</v>
      </c>
      <c r="Z16" s="51">
        <v>4.8</v>
      </c>
      <c r="AA16" s="51"/>
      <c r="AB16" s="51">
        <v>0</v>
      </c>
      <c r="AF16" t="s">
        <v>330</v>
      </c>
      <c r="AG16" t="s">
        <v>91</v>
      </c>
      <c r="AH16" t="s">
        <v>331</v>
      </c>
      <c r="AI16" t="s">
        <v>341</v>
      </c>
      <c r="AJ16" t="s">
        <v>332</v>
      </c>
      <c r="AK16" t="s">
        <v>344</v>
      </c>
      <c r="AL16" s="55" t="s">
        <v>19</v>
      </c>
      <c r="AO16" t="s">
        <v>85</v>
      </c>
      <c r="AP16" t="s">
        <v>333</v>
      </c>
      <c r="AQ16" t="s">
        <v>330</v>
      </c>
      <c r="AR16" t="s">
        <v>218</v>
      </c>
      <c r="AS16" t="s">
        <v>334</v>
      </c>
      <c r="AT16" t="s">
        <v>335</v>
      </c>
      <c r="AU16" t="s">
        <v>336</v>
      </c>
      <c r="AV16" t="s">
        <v>337</v>
      </c>
      <c r="AW16" t="s">
        <v>338</v>
      </c>
      <c r="AX16" t="s">
        <v>339</v>
      </c>
    </row>
    <row r="17" spans="5:50">
      <c r="E17" t="s">
        <v>107</v>
      </c>
      <c r="F17" t="s">
        <v>125</v>
      </c>
      <c r="G17" s="51" t="s">
        <v>104</v>
      </c>
      <c r="H17" s="51">
        <v>1</v>
      </c>
      <c r="R17" s="51" t="s">
        <v>398</v>
      </c>
      <c r="S17" s="51" t="s">
        <v>83</v>
      </c>
      <c r="T17" s="51" t="s">
        <v>382</v>
      </c>
      <c r="U17" s="51">
        <v>13.2</v>
      </c>
      <c r="V17" s="51">
        <v>-2.6</v>
      </c>
      <c r="W17" s="51">
        <v>3000</v>
      </c>
      <c r="X17" s="51">
        <v>0.19400000000000001</v>
      </c>
      <c r="Y17" s="51">
        <v>115.6</v>
      </c>
      <c r="Z17" s="51">
        <v>4.8</v>
      </c>
      <c r="AA17" s="51"/>
      <c r="AB17" s="51">
        <v>0</v>
      </c>
      <c r="AF17" s="51">
        <v>1</v>
      </c>
      <c r="AG17" s="55">
        <v>30.3</v>
      </c>
      <c r="AH17" s="51">
        <v>0</v>
      </c>
      <c r="AI17" s="51">
        <v>0</v>
      </c>
      <c r="AJ17" s="51">
        <v>0</v>
      </c>
      <c r="AK17" s="51" t="b">
        <v>0</v>
      </c>
      <c r="AL17" s="55"/>
      <c r="AO17" t="s">
        <v>71</v>
      </c>
      <c r="AP17" t="s">
        <v>273</v>
      </c>
      <c r="AQ17">
        <v>1</v>
      </c>
      <c r="AR17">
        <v>10</v>
      </c>
      <c r="AS17">
        <v>100</v>
      </c>
      <c r="AT17">
        <v>0.9</v>
      </c>
      <c r="AU17">
        <v>2</v>
      </c>
      <c r="AV17">
        <v>0</v>
      </c>
      <c r="AW17">
        <v>7850</v>
      </c>
      <c r="AX17" t="s">
        <v>274</v>
      </c>
    </row>
    <row r="18" spans="5:50">
      <c r="E18" t="s">
        <v>119</v>
      </c>
      <c r="G18" s="51" t="s">
        <v>115</v>
      </c>
      <c r="H18" s="51">
        <v>0.1</v>
      </c>
      <c r="R18" s="51" t="s">
        <v>398</v>
      </c>
      <c r="S18" s="51" t="s">
        <v>83</v>
      </c>
      <c r="T18" s="51" t="s">
        <v>384</v>
      </c>
      <c r="U18" s="51">
        <v>12</v>
      </c>
      <c r="V18" s="51">
        <v>10.7</v>
      </c>
      <c r="W18" s="51">
        <v>3000</v>
      </c>
      <c r="X18" s="51">
        <v>1.3</v>
      </c>
      <c r="Y18" s="51">
        <v>135</v>
      </c>
      <c r="Z18" s="51">
        <v>5.2</v>
      </c>
      <c r="AA18" s="51"/>
      <c r="AB18" s="51">
        <v>0</v>
      </c>
      <c r="AF18" s="51">
        <v>2</v>
      </c>
      <c r="AG18" s="55">
        <v>20.3</v>
      </c>
      <c r="AH18" s="51">
        <v>0</v>
      </c>
      <c r="AI18" s="51">
        <v>0</v>
      </c>
      <c r="AJ18" s="51">
        <v>0</v>
      </c>
      <c r="AK18" s="51" t="b">
        <v>0</v>
      </c>
      <c r="AL18" s="55"/>
      <c r="AO18" t="s">
        <v>71</v>
      </c>
      <c r="AP18" t="s">
        <v>275</v>
      </c>
      <c r="AQ18">
        <v>2</v>
      </c>
      <c r="AR18">
        <v>10</v>
      </c>
      <c r="AS18">
        <v>100</v>
      </c>
      <c r="AT18">
        <v>0.9</v>
      </c>
      <c r="AU18">
        <v>2</v>
      </c>
      <c r="AV18">
        <v>0</v>
      </c>
      <c r="AW18">
        <v>7850</v>
      </c>
      <c r="AX18" t="s">
        <v>274</v>
      </c>
    </row>
    <row r="19" spans="5:50">
      <c r="R19" s="51" t="s">
        <v>398</v>
      </c>
      <c r="S19" s="51" t="s">
        <v>83</v>
      </c>
      <c r="T19" s="51" t="s">
        <v>383</v>
      </c>
      <c r="U19" s="51">
        <v>10.6</v>
      </c>
      <c r="V19" s="51">
        <v>-2.6</v>
      </c>
      <c r="W19" s="51">
        <v>8000</v>
      </c>
      <c r="X19" s="51">
        <v>0.40600000000000003</v>
      </c>
      <c r="Y19" s="51">
        <v>129.6</v>
      </c>
      <c r="Z19" s="51">
        <v>5.2</v>
      </c>
      <c r="AA19" s="51"/>
      <c r="AB19" s="51">
        <v>0</v>
      </c>
      <c r="AF19" s="51">
        <v>3</v>
      </c>
      <c r="AG19" s="55">
        <v>20.2</v>
      </c>
      <c r="AH19" s="51">
        <v>0</v>
      </c>
      <c r="AI19" s="51">
        <v>0</v>
      </c>
      <c r="AJ19" s="51">
        <v>30000</v>
      </c>
      <c r="AK19" s="51" t="b">
        <v>1</v>
      </c>
      <c r="AL19" s="55" t="s">
        <v>385</v>
      </c>
      <c r="AO19" t="s">
        <v>83</v>
      </c>
      <c r="AP19" t="s">
        <v>276</v>
      </c>
      <c r="AQ19">
        <v>2</v>
      </c>
      <c r="AR19">
        <v>8</v>
      </c>
      <c r="AS19">
        <v>100</v>
      </c>
      <c r="AT19">
        <v>0.9</v>
      </c>
      <c r="AU19">
        <v>2</v>
      </c>
      <c r="AV19">
        <v>0</v>
      </c>
      <c r="AW19">
        <v>7850</v>
      </c>
      <c r="AX19" t="s">
        <v>274</v>
      </c>
    </row>
    <row r="20" spans="5:50">
      <c r="R20" s="51" t="s">
        <v>223</v>
      </c>
      <c r="S20" s="51" t="s">
        <v>83</v>
      </c>
      <c r="T20" s="51" t="s">
        <v>383</v>
      </c>
      <c r="U20" s="51">
        <v>10.6</v>
      </c>
      <c r="V20" s="51">
        <v>-2.6</v>
      </c>
      <c r="W20" s="51">
        <v>8000</v>
      </c>
      <c r="X20" s="51">
        <v>0.40600000000000003</v>
      </c>
      <c r="Y20" s="51">
        <v>110.4</v>
      </c>
      <c r="Z20" s="51">
        <v>5.2</v>
      </c>
      <c r="AA20" s="51"/>
      <c r="AB20" s="51">
        <v>0</v>
      </c>
      <c r="AF20" s="51">
        <v>4</v>
      </c>
      <c r="AG20" s="55">
        <v>19.7</v>
      </c>
      <c r="AH20" s="51">
        <v>0</v>
      </c>
      <c r="AI20" s="51">
        <v>0</v>
      </c>
      <c r="AJ20" s="51">
        <v>26000</v>
      </c>
      <c r="AK20" s="51" t="b">
        <v>1</v>
      </c>
      <c r="AL20" s="55" t="s">
        <v>386</v>
      </c>
      <c r="AO20" t="s">
        <v>83</v>
      </c>
      <c r="AP20" t="s">
        <v>277</v>
      </c>
      <c r="AQ20">
        <v>3</v>
      </c>
      <c r="AR20">
        <v>8</v>
      </c>
      <c r="AS20">
        <v>100</v>
      </c>
      <c r="AT20">
        <v>0.9</v>
      </c>
      <c r="AU20">
        <v>2</v>
      </c>
      <c r="AV20">
        <v>0</v>
      </c>
      <c r="AW20">
        <v>7850</v>
      </c>
      <c r="AX20" t="s">
        <v>274</v>
      </c>
    </row>
    <row r="21" spans="5:50" ht="18">
      <c r="E21" s="70" t="s">
        <v>396</v>
      </c>
      <c r="R21" s="51" t="s">
        <v>223</v>
      </c>
      <c r="S21" s="51" t="s">
        <v>83</v>
      </c>
      <c r="T21" s="51" t="s">
        <v>376</v>
      </c>
      <c r="U21" s="51">
        <v>20.2</v>
      </c>
      <c r="V21" s="51">
        <v>20.2</v>
      </c>
      <c r="W21" s="51">
        <v>30000</v>
      </c>
      <c r="X21" s="51"/>
      <c r="Y21" s="51"/>
      <c r="Z21" s="51"/>
      <c r="AA21" s="51"/>
      <c r="AB21" s="51"/>
      <c r="AF21" s="51">
        <v>5</v>
      </c>
      <c r="AG21" s="55">
        <v>18.899999999999999</v>
      </c>
      <c r="AH21" s="51">
        <v>0</v>
      </c>
      <c r="AI21" s="51">
        <v>0</v>
      </c>
      <c r="AJ21" s="51">
        <v>5000</v>
      </c>
      <c r="AK21" s="51" t="b">
        <v>1</v>
      </c>
      <c r="AL21" s="55" t="s">
        <v>387</v>
      </c>
      <c r="AO21" t="s">
        <v>83</v>
      </c>
      <c r="AP21" t="s">
        <v>278</v>
      </c>
      <c r="AQ21">
        <v>3</v>
      </c>
      <c r="AR21">
        <v>8</v>
      </c>
      <c r="AS21">
        <v>100</v>
      </c>
      <c r="AT21">
        <v>0.9</v>
      </c>
      <c r="AU21">
        <v>2</v>
      </c>
      <c r="AV21">
        <v>0</v>
      </c>
      <c r="AW21">
        <v>7850</v>
      </c>
      <c r="AX21" t="s">
        <v>274</v>
      </c>
    </row>
    <row r="22" spans="5:50">
      <c r="E22" s="58" t="s">
        <v>139</v>
      </c>
      <c r="F22" s="58" t="s">
        <v>19</v>
      </c>
      <c r="G22" s="127" t="s">
        <v>204</v>
      </c>
      <c r="H22" s="127" t="s">
        <v>174</v>
      </c>
      <c r="I22" s="127" t="s">
        <v>203</v>
      </c>
      <c r="R22" s="51" t="s">
        <v>223</v>
      </c>
      <c r="S22" s="51" t="s">
        <v>83</v>
      </c>
      <c r="T22" s="51" t="s">
        <v>377</v>
      </c>
      <c r="U22" s="51">
        <v>19.7</v>
      </c>
      <c r="V22" s="51">
        <v>19.7</v>
      </c>
      <c r="W22" s="51">
        <v>26000</v>
      </c>
      <c r="X22" s="51"/>
      <c r="Y22" s="51"/>
      <c r="Z22" s="51"/>
      <c r="AA22" s="51"/>
      <c r="AB22" s="51"/>
      <c r="AF22" s="51">
        <v>6</v>
      </c>
      <c r="AG22" s="55">
        <v>16.600000000000001</v>
      </c>
      <c r="AH22" s="51">
        <v>0</v>
      </c>
      <c r="AI22" s="51">
        <v>0</v>
      </c>
      <c r="AJ22" s="51">
        <v>6000</v>
      </c>
      <c r="AK22" s="51" t="b">
        <v>1</v>
      </c>
      <c r="AL22" s="55" t="s">
        <v>388</v>
      </c>
      <c r="AO22" t="s">
        <v>83</v>
      </c>
      <c r="AP22" t="s">
        <v>279</v>
      </c>
      <c r="AQ22">
        <v>4</v>
      </c>
      <c r="AR22">
        <v>8</v>
      </c>
      <c r="AS22">
        <v>100</v>
      </c>
      <c r="AT22">
        <v>0.9</v>
      </c>
      <c r="AU22">
        <v>2</v>
      </c>
      <c r="AV22">
        <v>0</v>
      </c>
      <c r="AW22">
        <v>7850</v>
      </c>
      <c r="AX22" t="s">
        <v>274</v>
      </c>
    </row>
    <row r="23" spans="5:50">
      <c r="E23" t="s">
        <v>175</v>
      </c>
      <c r="F23" t="s">
        <v>191</v>
      </c>
      <c r="G23" s="128" t="s">
        <v>77</v>
      </c>
      <c r="H23" s="128" t="s">
        <v>177</v>
      </c>
      <c r="I23" s="128"/>
      <c r="R23" s="51" t="s">
        <v>223</v>
      </c>
      <c r="S23" s="51" t="s">
        <v>83</v>
      </c>
      <c r="T23" s="51" t="s">
        <v>378</v>
      </c>
      <c r="U23" s="51">
        <v>18.899999999999999</v>
      </c>
      <c r="V23" s="51">
        <v>18.899999999999999</v>
      </c>
      <c r="W23" s="51">
        <v>5000</v>
      </c>
      <c r="X23" s="51"/>
      <c r="Y23" s="51"/>
      <c r="Z23" s="51"/>
      <c r="AA23" s="51"/>
      <c r="AB23" s="51"/>
      <c r="AF23" s="51">
        <v>7</v>
      </c>
      <c r="AG23" s="55">
        <v>16.3</v>
      </c>
      <c r="AH23" s="51">
        <v>0</v>
      </c>
      <c r="AI23" s="51">
        <v>0</v>
      </c>
      <c r="AJ23" s="51">
        <v>0</v>
      </c>
      <c r="AK23" s="51" t="b">
        <v>0</v>
      </c>
      <c r="AL23" s="55"/>
      <c r="AO23" t="s">
        <v>83</v>
      </c>
      <c r="AP23" t="s">
        <v>280</v>
      </c>
      <c r="AQ23">
        <v>4</v>
      </c>
      <c r="AR23">
        <v>8</v>
      </c>
      <c r="AS23">
        <v>100</v>
      </c>
      <c r="AT23">
        <v>0.9</v>
      </c>
      <c r="AU23">
        <v>2</v>
      </c>
      <c r="AV23">
        <v>0</v>
      </c>
      <c r="AW23">
        <v>7850</v>
      </c>
      <c r="AX23" t="s">
        <v>274</v>
      </c>
    </row>
    <row r="24" spans="5:50">
      <c r="E24" t="s">
        <v>176</v>
      </c>
      <c r="F24" t="s">
        <v>190</v>
      </c>
      <c r="G24" s="128" t="s">
        <v>77</v>
      </c>
      <c r="H24" s="128" t="s">
        <v>178</v>
      </c>
      <c r="I24" s="128"/>
      <c r="R24" s="51" t="s">
        <v>223</v>
      </c>
      <c r="S24" s="51" t="s">
        <v>83</v>
      </c>
      <c r="T24" s="51" t="s">
        <v>379</v>
      </c>
      <c r="U24" s="51">
        <v>14</v>
      </c>
      <c r="V24" s="51">
        <v>14</v>
      </c>
      <c r="W24" s="51">
        <v>31000</v>
      </c>
      <c r="X24" s="51"/>
      <c r="Y24" s="51"/>
      <c r="Z24" s="51"/>
      <c r="AA24" s="51"/>
      <c r="AB24" s="51"/>
      <c r="AF24" s="51">
        <v>8</v>
      </c>
      <c r="AG24" s="55">
        <v>14</v>
      </c>
      <c r="AH24" s="51">
        <v>0</v>
      </c>
      <c r="AI24" s="51">
        <v>0</v>
      </c>
      <c r="AJ24" s="51">
        <v>31000</v>
      </c>
      <c r="AK24" s="51" t="b">
        <v>1</v>
      </c>
      <c r="AL24" s="55" t="s">
        <v>389</v>
      </c>
      <c r="AO24" t="s">
        <v>83</v>
      </c>
      <c r="AP24" t="s">
        <v>281</v>
      </c>
      <c r="AQ24">
        <v>5</v>
      </c>
      <c r="AR24">
        <v>8</v>
      </c>
      <c r="AS24">
        <v>100</v>
      </c>
      <c r="AT24">
        <v>0.9</v>
      </c>
      <c r="AU24">
        <v>2</v>
      </c>
      <c r="AV24">
        <v>0</v>
      </c>
      <c r="AW24">
        <v>7850</v>
      </c>
      <c r="AX24" t="s">
        <v>274</v>
      </c>
    </row>
    <row r="25" spans="5:50">
      <c r="E25" t="s">
        <v>140</v>
      </c>
      <c r="G25" s="128" t="s">
        <v>77</v>
      </c>
      <c r="H25" s="128" t="s">
        <v>179</v>
      </c>
      <c r="I25" s="128"/>
      <c r="R25" s="51" t="s">
        <v>223</v>
      </c>
      <c r="S25" s="51" t="s">
        <v>83</v>
      </c>
      <c r="T25" s="51" t="s">
        <v>380</v>
      </c>
      <c r="U25" s="51">
        <v>5.5</v>
      </c>
      <c r="V25" s="51">
        <v>5.5</v>
      </c>
      <c r="W25" s="51">
        <v>70000</v>
      </c>
      <c r="X25" s="51"/>
      <c r="Y25" s="51"/>
      <c r="Z25" s="51"/>
      <c r="AA25" s="51"/>
      <c r="AB25" s="51"/>
      <c r="AF25" s="51">
        <v>9</v>
      </c>
      <c r="AG25" s="55">
        <v>12.9</v>
      </c>
      <c r="AH25" s="51">
        <v>0</v>
      </c>
      <c r="AI25" s="51">
        <v>0</v>
      </c>
      <c r="AJ25" s="51">
        <v>0</v>
      </c>
      <c r="AK25" s="51" t="b">
        <v>0</v>
      </c>
      <c r="AL25" s="55"/>
      <c r="AO25" t="s">
        <v>83</v>
      </c>
      <c r="AP25" t="s">
        <v>282</v>
      </c>
      <c r="AQ25">
        <v>5</v>
      </c>
      <c r="AR25">
        <v>8</v>
      </c>
      <c r="AS25">
        <v>100</v>
      </c>
      <c r="AT25">
        <v>0.9</v>
      </c>
      <c r="AU25">
        <v>2</v>
      </c>
      <c r="AV25">
        <v>0</v>
      </c>
      <c r="AW25">
        <v>7850</v>
      </c>
      <c r="AX25" t="s">
        <v>274</v>
      </c>
    </row>
    <row r="26" spans="5:50">
      <c r="E26" t="s">
        <v>141</v>
      </c>
      <c r="G26" s="128" t="s">
        <v>77</v>
      </c>
      <c r="H26" s="128" t="s">
        <v>180</v>
      </c>
      <c r="I26" s="128"/>
      <c r="R26" s="51" t="s">
        <v>223</v>
      </c>
      <c r="S26" s="51" t="s">
        <v>69</v>
      </c>
      <c r="T26" s="51" t="s">
        <v>87</v>
      </c>
      <c r="U26" s="51">
        <v>4.3</v>
      </c>
      <c r="V26" s="51">
        <v>4.3</v>
      </c>
      <c r="W26" s="51">
        <v>14000</v>
      </c>
      <c r="X26" s="51"/>
      <c r="Y26" s="51"/>
      <c r="Z26" s="51"/>
      <c r="AA26" s="51"/>
      <c r="AB26" s="51"/>
      <c r="AF26" s="51">
        <v>10</v>
      </c>
      <c r="AG26" s="55">
        <v>11.35</v>
      </c>
      <c r="AH26" s="51">
        <v>0</v>
      </c>
      <c r="AI26" s="51">
        <v>0</v>
      </c>
      <c r="AJ26" s="51">
        <v>3000</v>
      </c>
      <c r="AK26" s="51" t="b">
        <v>1</v>
      </c>
      <c r="AL26" s="55" t="s">
        <v>390</v>
      </c>
      <c r="AO26" t="s">
        <v>83</v>
      </c>
      <c r="AP26" t="s">
        <v>283</v>
      </c>
      <c r="AQ26">
        <v>6</v>
      </c>
      <c r="AR26">
        <v>8</v>
      </c>
      <c r="AS26">
        <v>100</v>
      </c>
      <c r="AT26">
        <v>0.9</v>
      </c>
      <c r="AU26">
        <v>2</v>
      </c>
      <c r="AV26">
        <v>0</v>
      </c>
      <c r="AW26">
        <v>7850</v>
      </c>
      <c r="AX26" t="s">
        <v>274</v>
      </c>
    </row>
    <row r="27" spans="5:50">
      <c r="E27" t="s">
        <v>142</v>
      </c>
      <c r="G27" s="128" t="s">
        <v>77</v>
      </c>
      <c r="H27" s="128" t="s">
        <v>181</v>
      </c>
      <c r="I27" s="128"/>
      <c r="R27" s="51" t="s">
        <v>223</v>
      </c>
      <c r="S27" s="51" t="s">
        <v>69</v>
      </c>
      <c r="T27" s="51" t="s">
        <v>88</v>
      </c>
      <c r="U27" s="51">
        <v>0.55000000000000004</v>
      </c>
      <c r="V27" s="51">
        <v>0.55000000000000004</v>
      </c>
      <c r="W27" s="51">
        <v>105000</v>
      </c>
      <c r="X27" s="51"/>
      <c r="Y27" s="51"/>
      <c r="Z27" s="51"/>
      <c r="AA27" s="51"/>
      <c r="AB27" s="51"/>
      <c r="AF27" s="51">
        <v>11</v>
      </c>
      <c r="AG27" s="55">
        <v>9.5</v>
      </c>
      <c r="AH27" s="51">
        <v>0</v>
      </c>
      <c r="AI27" s="51">
        <v>0</v>
      </c>
      <c r="AJ27" s="51">
        <v>0</v>
      </c>
      <c r="AK27" s="51" t="b">
        <v>0</v>
      </c>
      <c r="AL27" s="55"/>
      <c r="AO27" t="s">
        <v>83</v>
      </c>
      <c r="AP27" t="s">
        <v>284</v>
      </c>
      <c r="AQ27">
        <v>6</v>
      </c>
      <c r="AR27">
        <v>8</v>
      </c>
      <c r="AS27">
        <v>100</v>
      </c>
      <c r="AT27">
        <v>0.9</v>
      </c>
      <c r="AU27">
        <v>2</v>
      </c>
      <c r="AV27">
        <v>0</v>
      </c>
      <c r="AW27">
        <v>7850</v>
      </c>
      <c r="AX27" t="s">
        <v>274</v>
      </c>
    </row>
    <row r="28" spans="5:50">
      <c r="E28" t="s">
        <v>143</v>
      </c>
      <c r="G28" s="128" t="s">
        <v>77</v>
      </c>
      <c r="H28" s="128" t="s">
        <v>182</v>
      </c>
      <c r="I28" s="128"/>
      <c r="AF28" s="51">
        <v>12</v>
      </c>
      <c r="AG28" s="55">
        <v>5.5</v>
      </c>
      <c r="AH28" s="51">
        <v>0</v>
      </c>
      <c r="AI28" s="51">
        <v>0</v>
      </c>
      <c r="AJ28" s="51">
        <v>70000</v>
      </c>
      <c r="AK28" s="51" t="b">
        <v>0</v>
      </c>
      <c r="AL28" s="55" t="s">
        <v>391</v>
      </c>
      <c r="AO28" t="s">
        <v>83</v>
      </c>
      <c r="AP28" t="s">
        <v>285</v>
      </c>
      <c r="AQ28">
        <v>7</v>
      </c>
      <c r="AR28">
        <v>8</v>
      </c>
      <c r="AS28">
        <v>100</v>
      </c>
      <c r="AT28">
        <v>0.9</v>
      </c>
      <c r="AU28">
        <v>2</v>
      </c>
      <c r="AV28">
        <v>0</v>
      </c>
      <c r="AW28">
        <v>7850</v>
      </c>
      <c r="AX28" t="s">
        <v>274</v>
      </c>
    </row>
    <row r="29" spans="5:50">
      <c r="E29" t="s">
        <v>144</v>
      </c>
      <c r="G29" s="128" t="s">
        <v>77</v>
      </c>
      <c r="H29" s="128" t="s">
        <v>183</v>
      </c>
      <c r="I29" s="128"/>
      <c r="AF29" s="51">
        <v>13</v>
      </c>
      <c r="AG29" s="55">
        <v>5.3</v>
      </c>
      <c r="AH29" s="51">
        <v>0</v>
      </c>
      <c r="AI29" s="51">
        <v>0</v>
      </c>
      <c r="AJ29" s="51">
        <v>6000</v>
      </c>
      <c r="AK29" s="51" t="b">
        <v>1</v>
      </c>
      <c r="AL29" s="55" t="s">
        <v>392</v>
      </c>
      <c r="AO29" t="s">
        <v>83</v>
      </c>
      <c r="AP29" t="s">
        <v>286</v>
      </c>
      <c r="AQ29">
        <v>7</v>
      </c>
      <c r="AR29">
        <v>8</v>
      </c>
      <c r="AS29">
        <v>105</v>
      </c>
      <c r="AT29">
        <v>0.9</v>
      </c>
      <c r="AU29">
        <v>2</v>
      </c>
      <c r="AV29">
        <v>0</v>
      </c>
      <c r="AW29">
        <v>7850</v>
      </c>
      <c r="AX29" t="s">
        <v>274</v>
      </c>
    </row>
    <row r="30" spans="5:50">
      <c r="E30" t="s">
        <v>145</v>
      </c>
      <c r="G30" s="128" t="s">
        <v>77</v>
      </c>
      <c r="H30" s="128" t="s">
        <v>184</v>
      </c>
      <c r="I30" s="128"/>
      <c r="AF30" s="51">
        <v>14</v>
      </c>
      <c r="AG30" s="55">
        <v>4.3</v>
      </c>
      <c r="AH30" s="51">
        <v>0</v>
      </c>
      <c r="AI30" s="51">
        <v>0</v>
      </c>
      <c r="AJ30" s="51">
        <v>14000</v>
      </c>
      <c r="AK30" s="51" t="b">
        <v>1</v>
      </c>
      <c r="AL30" s="55" t="s">
        <v>342</v>
      </c>
      <c r="AO30" t="s">
        <v>83</v>
      </c>
      <c r="AP30" t="s">
        <v>287</v>
      </c>
      <c r="AQ30">
        <v>8</v>
      </c>
      <c r="AR30">
        <v>8</v>
      </c>
      <c r="AS30">
        <v>105</v>
      </c>
      <c r="AT30">
        <v>0.9</v>
      </c>
      <c r="AU30">
        <v>2</v>
      </c>
      <c r="AV30">
        <v>0</v>
      </c>
      <c r="AW30">
        <v>7850</v>
      </c>
      <c r="AX30" t="s">
        <v>274</v>
      </c>
    </row>
    <row r="31" spans="5:50">
      <c r="E31" t="s">
        <v>146</v>
      </c>
      <c r="G31" s="128" t="s">
        <v>77</v>
      </c>
      <c r="H31" s="128">
        <v>501</v>
      </c>
      <c r="I31" s="128"/>
      <c r="AF31" s="51">
        <v>15</v>
      </c>
      <c r="AG31" s="55">
        <v>4</v>
      </c>
      <c r="AH31" s="51">
        <v>0</v>
      </c>
      <c r="AI31" s="51">
        <v>0</v>
      </c>
      <c r="AJ31" s="51">
        <v>16000</v>
      </c>
      <c r="AK31" s="51" t="b">
        <v>1</v>
      </c>
      <c r="AL31" s="55" t="s">
        <v>393</v>
      </c>
      <c r="AO31" t="s">
        <v>83</v>
      </c>
      <c r="AP31" t="s">
        <v>288</v>
      </c>
      <c r="AQ31">
        <v>8</v>
      </c>
      <c r="AR31">
        <v>8</v>
      </c>
      <c r="AS31">
        <v>105</v>
      </c>
      <c r="AT31">
        <v>0.9</v>
      </c>
      <c r="AU31">
        <v>2</v>
      </c>
      <c r="AV31">
        <v>0</v>
      </c>
      <c r="AW31">
        <v>7850</v>
      </c>
      <c r="AX31" t="s">
        <v>274</v>
      </c>
    </row>
    <row r="32" spans="5:50">
      <c r="E32" t="s">
        <v>147</v>
      </c>
      <c r="G32" s="51" t="s">
        <v>208</v>
      </c>
      <c r="H32" s="128">
        <v>4630000000</v>
      </c>
      <c r="I32" s="128"/>
      <c r="AF32" s="51">
        <v>16</v>
      </c>
      <c r="AG32" s="55">
        <v>1.7</v>
      </c>
      <c r="AH32" s="51">
        <v>0</v>
      </c>
      <c r="AI32" s="51">
        <v>0</v>
      </c>
      <c r="AJ32" s="51">
        <v>0</v>
      </c>
      <c r="AK32" s="51" t="b">
        <v>0</v>
      </c>
      <c r="AL32" s="55"/>
      <c r="AO32" t="s">
        <v>83</v>
      </c>
      <c r="AP32" t="s">
        <v>289</v>
      </c>
      <c r="AQ32">
        <v>9</v>
      </c>
      <c r="AR32">
        <v>8</v>
      </c>
      <c r="AS32">
        <v>105</v>
      </c>
      <c r="AT32">
        <v>0.9</v>
      </c>
      <c r="AU32">
        <v>2</v>
      </c>
      <c r="AV32">
        <v>0</v>
      </c>
      <c r="AW32">
        <v>7850</v>
      </c>
      <c r="AX32" t="s">
        <v>274</v>
      </c>
    </row>
    <row r="33" spans="5:50">
      <c r="E33" t="s">
        <v>148</v>
      </c>
      <c r="G33" s="51" t="s">
        <v>208</v>
      </c>
      <c r="H33" s="128">
        <v>900000000000</v>
      </c>
      <c r="I33" s="128"/>
      <c r="AF33" s="51">
        <v>17</v>
      </c>
      <c r="AG33" s="55">
        <v>0.55000000000000004</v>
      </c>
      <c r="AH33" s="51">
        <v>0</v>
      </c>
      <c r="AI33" s="51">
        <v>0</v>
      </c>
      <c r="AJ33" s="51">
        <v>105000</v>
      </c>
      <c r="AK33" s="51" t="b">
        <v>1</v>
      </c>
      <c r="AL33" s="55" t="s">
        <v>343</v>
      </c>
      <c r="AO33" t="s">
        <v>83</v>
      </c>
      <c r="AP33" t="s">
        <v>290</v>
      </c>
      <c r="AQ33">
        <v>9</v>
      </c>
      <c r="AR33">
        <v>8</v>
      </c>
      <c r="AS33">
        <v>110</v>
      </c>
      <c r="AT33">
        <v>0.9</v>
      </c>
      <c r="AU33">
        <v>2</v>
      </c>
      <c r="AV33">
        <v>0</v>
      </c>
      <c r="AW33">
        <v>7850</v>
      </c>
      <c r="AX33" t="s">
        <v>274</v>
      </c>
    </row>
    <row r="34" spans="5:50">
      <c r="E34" t="s">
        <v>149</v>
      </c>
      <c r="G34" s="51" t="s">
        <v>208</v>
      </c>
      <c r="H34" s="128">
        <v>-46200000000</v>
      </c>
      <c r="I34" s="128"/>
      <c r="AF34" s="51">
        <v>18</v>
      </c>
      <c r="AG34" s="55">
        <v>-1.8</v>
      </c>
      <c r="AH34" s="51">
        <v>0</v>
      </c>
      <c r="AI34" s="51">
        <v>0</v>
      </c>
      <c r="AJ34" s="51">
        <v>0</v>
      </c>
      <c r="AK34" s="51" t="b">
        <v>0</v>
      </c>
      <c r="AL34" s="55"/>
      <c r="AO34" t="s">
        <v>83</v>
      </c>
      <c r="AP34" t="s">
        <v>291</v>
      </c>
      <c r="AQ34">
        <v>10</v>
      </c>
      <c r="AR34">
        <v>8</v>
      </c>
      <c r="AS34">
        <v>110</v>
      </c>
      <c r="AT34">
        <v>0.9</v>
      </c>
      <c r="AU34">
        <v>2</v>
      </c>
      <c r="AV34">
        <v>0</v>
      </c>
      <c r="AW34">
        <v>7850</v>
      </c>
      <c r="AX34" t="s">
        <v>274</v>
      </c>
    </row>
    <row r="35" spans="5:50">
      <c r="E35" t="s">
        <v>150</v>
      </c>
      <c r="G35" s="51" t="s">
        <v>209</v>
      </c>
      <c r="H35" s="128">
        <v>170000</v>
      </c>
      <c r="I35" s="128"/>
      <c r="AF35" s="51">
        <v>19</v>
      </c>
      <c r="AG35" s="55">
        <v>-5.3</v>
      </c>
      <c r="AH35" s="51">
        <v>0</v>
      </c>
      <c r="AI35" s="51">
        <v>0</v>
      </c>
      <c r="AJ35" s="51">
        <v>0</v>
      </c>
      <c r="AK35" s="51" t="b">
        <v>0</v>
      </c>
      <c r="AL35" s="55"/>
      <c r="AO35" t="s">
        <v>83</v>
      </c>
      <c r="AP35" t="s">
        <v>292</v>
      </c>
      <c r="AQ35">
        <v>10</v>
      </c>
      <c r="AR35">
        <v>8</v>
      </c>
      <c r="AS35">
        <v>110</v>
      </c>
      <c r="AT35">
        <v>0.9</v>
      </c>
      <c r="AU35">
        <v>2</v>
      </c>
      <c r="AV35">
        <v>0</v>
      </c>
      <c r="AW35">
        <v>7850</v>
      </c>
      <c r="AX35" t="s">
        <v>274</v>
      </c>
    </row>
    <row r="36" spans="5:50">
      <c r="E36" t="s">
        <v>151</v>
      </c>
      <c r="G36" s="51" t="s">
        <v>209</v>
      </c>
      <c r="H36" s="128">
        <v>360000000</v>
      </c>
      <c r="I36" s="128"/>
      <c r="AF36" s="51">
        <v>20</v>
      </c>
      <c r="AG36" s="55">
        <v>-8.8000000000000007</v>
      </c>
      <c r="AH36" s="51">
        <v>0</v>
      </c>
      <c r="AI36" s="51">
        <v>0</v>
      </c>
      <c r="AJ36" s="51">
        <v>0</v>
      </c>
      <c r="AK36" s="51" t="b">
        <v>0</v>
      </c>
      <c r="AL36" s="55"/>
      <c r="AO36" t="s">
        <v>83</v>
      </c>
      <c r="AP36" t="s">
        <v>293</v>
      </c>
      <c r="AQ36">
        <v>11</v>
      </c>
      <c r="AR36">
        <v>8</v>
      </c>
      <c r="AS36">
        <v>110</v>
      </c>
      <c r="AT36">
        <v>0.9</v>
      </c>
      <c r="AU36">
        <v>2</v>
      </c>
      <c r="AV36">
        <v>0</v>
      </c>
      <c r="AW36">
        <v>7850</v>
      </c>
      <c r="AX36" t="s">
        <v>274</v>
      </c>
    </row>
    <row r="37" spans="5:50">
      <c r="E37" t="s">
        <v>152</v>
      </c>
      <c r="G37" s="51" t="s">
        <v>209</v>
      </c>
      <c r="H37" s="128">
        <v>0</v>
      </c>
      <c r="I37" s="128"/>
      <c r="AF37" s="51">
        <v>21</v>
      </c>
      <c r="AG37" s="55">
        <v>-12.3</v>
      </c>
      <c r="AH37" s="51">
        <v>0</v>
      </c>
      <c r="AI37" s="51">
        <v>0</v>
      </c>
      <c r="AJ37" s="51">
        <v>0</v>
      </c>
      <c r="AK37" s="51" t="b">
        <v>0</v>
      </c>
      <c r="AL37" s="55"/>
      <c r="AO37" t="s">
        <v>83</v>
      </c>
      <c r="AP37" t="s">
        <v>294</v>
      </c>
      <c r="AQ37">
        <v>11</v>
      </c>
      <c r="AR37">
        <v>8</v>
      </c>
      <c r="AS37">
        <v>115</v>
      </c>
      <c r="AT37">
        <v>0.9</v>
      </c>
      <c r="AU37">
        <v>2</v>
      </c>
      <c r="AV37">
        <v>0</v>
      </c>
      <c r="AW37">
        <v>7850</v>
      </c>
      <c r="AX37" t="s">
        <v>274</v>
      </c>
    </row>
    <row r="38" spans="5:50">
      <c r="E38" t="s">
        <v>153</v>
      </c>
      <c r="G38" s="128"/>
      <c r="H38" s="128">
        <v>2</v>
      </c>
      <c r="I38" s="128"/>
      <c r="AF38" s="51">
        <v>22</v>
      </c>
      <c r="AG38" s="55">
        <v>-15.8</v>
      </c>
      <c r="AH38" s="51">
        <v>0</v>
      </c>
      <c r="AI38" s="51">
        <v>0</v>
      </c>
      <c r="AJ38" s="51">
        <v>0</v>
      </c>
      <c r="AK38" s="51" t="b">
        <v>0</v>
      </c>
      <c r="AL38" s="55"/>
      <c r="AO38" t="s">
        <v>83</v>
      </c>
      <c r="AP38" t="s">
        <v>295</v>
      </c>
      <c r="AQ38">
        <v>12</v>
      </c>
      <c r="AR38">
        <v>8</v>
      </c>
      <c r="AS38">
        <v>115</v>
      </c>
      <c r="AT38">
        <v>0.9</v>
      </c>
      <c r="AU38">
        <v>2</v>
      </c>
      <c r="AV38">
        <v>0</v>
      </c>
      <c r="AW38">
        <v>7850</v>
      </c>
      <c r="AX38" t="s">
        <v>274</v>
      </c>
    </row>
    <row r="39" spans="5:50">
      <c r="E39" t="s">
        <v>213</v>
      </c>
      <c r="G39" s="128"/>
      <c r="H39" s="128">
        <v>10</v>
      </c>
      <c r="I39" s="128"/>
      <c r="AF39" s="51">
        <v>23</v>
      </c>
      <c r="AG39" s="55">
        <v>-19.3</v>
      </c>
      <c r="AH39" s="51">
        <v>0</v>
      </c>
      <c r="AI39" s="51">
        <v>0</v>
      </c>
      <c r="AJ39" s="51">
        <v>0</v>
      </c>
      <c r="AK39" s="51" t="b">
        <v>0</v>
      </c>
      <c r="AL39" s="55"/>
      <c r="AO39" t="s">
        <v>69</v>
      </c>
      <c r="AP39" t="s">
        <v>296</v>
      </c>
      <c r="AQ39">
        <v>12</v>
      </c>
      <c r="AR39">
        <v>8</v>
      </c>
      <c r="AS39">
        <v>115</v>
      </c>
      <c r="AT39">
        <v>0.9</v>
      </c>
      <c r="AU39">
        <v>2</v>
      </c>
      <c r="AV39">
        <v>0</v>
      </c>
      <c r="AW39">
        <v>7850</v>
      </c>
      <c r="AX39" t="s">
        <v>274</v>
      </c>
    </row>
    <row r="40" spans="5:50">
      <c r="E40" t="s">
        <v>154</v>
      </c>
      <c r="G40" s="128" t="s">
        <v>209</v>
      </c>
      <c r="H40" s="128">
        <v>1</v>
      </c>
      <c r="I40" s="128"/>
      <c r="AF40" s="51">
        <v>24</v>
      </c>
      <c r="AG40" s="55">
        <v>-22.8</v>
      </c>
      <c r="AH40" s="51">
        <v>0</v>
      </c>
      <c r="AI40" s="51">
        <v>0</v>
      </c>
      <c r="AJ40" s="51">
        <v>0</v>
      </c>
      <c r="AK40" s="51" t="b">
        <v>0</v>
      </c>
      <c r="AL40" s="55"/>
      <c r="AO40" t="s">
        <v>69</v>
      </c>
      <c r="AP40" t="s">
        <v>297</v>
      </c>
      <c r="AQ40">
        <v>13</v>
      </c>
      <c r="AR40">
        <v>8</v>
      </c>
      <c r="AS40">
        <v>115</v>
      </c>
      <c r="AT40">
        <v>0.9</v>
      </c>
      <c r="AU40">
        <v>2</v>
      </c>
      <c r="AV40">
        <v>0</v>
      </c>
      <c r="AW40">
        <v>7850</v>
      </c>
      <c r="AX40" t="s">
        <v>274</v>
      </c>
    </row>
    <row r="41" spans="5:50">
      <c r="E41" t="s">
        <v>155</v>
      </c>
      <c r="G41" s="128" t="s">
        <v>210</v>
      </c>
      <c r="H41" s="128">
        <v>1027</v>
      </c>
      <c r="I41" s="128"/>
      <c r="AF41" s="51">
        <v>25</v>
      </c>
      <c r="AG41" s="55">
        <v>-26.7</v>
      </c>
      <c r="AH41" s="51">
        <v>0</v>
      </c>
      <c r="AI41" s="51">
        <v>0</v>
      </c>
      <c r="AJ41" s="51">
        <v>0</v>
      </c>
      <c r="AK41" s="51" t="b">
        <v>0</v>
      </c>
      <c r="AL41" s="55"/>
      <c r="AO41" t="s">
        <v>69</v>
      </c>
      <c r="AP41" t="s">
        <v>298</v>
      </c>
      <c r="AQ41">
        <v>13</v>
      </c>
      <c r="AR41">
        <v>8</v>
      </c>
      <c r="AS41">
        <v>115</v>
      </c>
      <c r="AT41">
        <v>0.9</v>
      </c>
      <c r="AU41">
        <v>2</v>
      </c>
      <c r="AV41">
        <v>0</v>
      </c>
      <c r="AW41">
        <v>7850</v>
      </c>
      <c r="AX41" t="s">
        <v>274</v>
      </c>
    </row>
    <row r="42" spans="5:50">
      <c r="E42" t="s">
        <v>193</v>
      </c>
      <c r="F42" t="s">
        <v>189</v>
      </c>
      <c r="G42" s="128" t="s">
        <v>115</v>
      </c>
      <c r="H42" s="128" t="s">
        <v>185</v>
      </c>
      <c r="I42" s="128" t="s">
        <v>201</v>
      </c>
      <c r="AF42" s="51">
        <v>26</v>
      </c>
      <c r="AG42" s="55">
        <v>-30.6</v>
      </c>
      <c r="AH42" s="51">
        <v>0</v>
      </c>
      <c r="AI42" s="51">
        <v>0</v>
      </c>
      <c r="AJ42" s="51">
        <v>0</v>
      </c>
      <c r="AK42" s="51" t="b">
        <v>0</v>
      </c>
      <c r="AL42" s="55"/>
      <c r="AO42" t="s">
        <v>69</v>
      </c>
      <c r="AP42" t="s">
        <v>299</v>
      </c>
      <c r="AQ42">
        <v>14</v>
      </c>
      <c r="AR42">
        <v>8</v>
      </c>
      <c r="AS42">
        <v>115</v>
      </c>
      <c r="AT42">
        <v>0.9</v>
      </c>
      <c r="AU42">
        <v>2</v>
      </c>
      <c r="AV42">
        <v>0</v>
      </c>
      <c r="AW42">
        <v>7850</v>
      </c>
      <c r="AX42" t="s">
        <v>274</v>
      </c>
    </row>
    <row r="43" spans="5:50">
      <c r="E43" t="s">
        <v>194</v>
      </c>
      <c r="F43" t="s">
        <v>189</v>
      </c>
      <c r="G43" s="128" t="s">
        <v>115</v>
      </c>
      <c r="H43" s="128" t="s">
        <v>185</v>
      </c>
      <c r="I43" s="128"/>
      <c r="AF43" s="51">
        <v>27</v>
      </c>
      <c r="AG43" s="55">
        <v>-34.5</v>
      </c>
      <c r="AH43" s="51">
        <v>0</v>
      </c>
      <c r="AI43" s="51">
        <v>0</v>
      </c>
      <c r="AJ43" s="51">
        <v>0</v>
      </c>
      <c r="AK43" s="51" t="b">
        <v>0</v>
      </c>
      <c r="AL43" s="55"/>
      <c r="AO43" t="s">
        <v>69</v>
      </c>
      <c r="AP43" t="s">
        <v>300</v>
      </c>
      <c r="AQ43">
        <v>14</v>
      </c>
      <c r="AR43">
        <v>8</v>
      </c>
      <c r="AS43">
        <v>115</v>
      </c>
      <c r="AT43">
        <v>0.9</v>
      </c>
      <c r="AU43">
        <v>2</v>
      </c>
      <c r="AV43">
        <v>0</v>
      </c>
      <c r="AW43">
        <v>7850</v>
      </c>
      <c r="AX43" t="s">
        <v>274</v>
      </c>
    </row>
    <row r="44" spans="5:50">
      <c r="E44" t="s">
        <v>156</v>
      </c>
      <c r="G44" s="128" t="s">
        <v>210</v>
      </c>
      <c r="H44" s="128">
        <v>1325</v>
      </c>
      <c r="I44" s="128"/>
      <c r="AF44" s="51">
        <v>28</v>
      </c>
      <c r="AG44" s="55">
        <v>-38.200000000000003</v>
      </c>
      <c r="AH44" s="51">
        <v>0</v>
      </c>
      <c r="AI44" s="51">
        <v>0</v>
      </c>
      <c r="AJ44" s="51">
        <v>0</v>
      </c>
      <c r="AK44" s="51" t="b">
        <v>0</v>
      </c>
      <c r="AL44" s="55"/>
      <c r="AO44" t="s">
        <v>69</v>
      </c>
      <c r="AP44" t="s">
        <v>301</v>
      </c>
      <c r="AQ44">
        <v>15</v>
      </c>
      <c r="AR44">
        <v>8</v>
      </c>
      <c r="AS44">
        <v>115</v>
      </c>
      <c r="AT44">
        <v>0.9</v>
      </c>
      <c r="AU44">
        <v>2</v>
      </c>
      <c r="AV44">
        <v>0</v>
      </c>
      <c r="AW44">
        <v>7850</v>
      </c>
      <c r="AX44" t="s">
        <v>274</v>
      </c>
    </row>
    <row r="45" spans="5:50">
      <c r="E45" t="s">
        <v>157</v>
      </c>
      <c r="G45" s="128"/>
      <c r="H45" s="128">
        <v>2</v>
      </c>
      <c r="I45" s="128"/>
      <c r="AF45" s="51">
        <v>29</v>
      </c>
      <c r="AG45" s="55">
        <v>-38.9</v>
      </c>
      <c r="AH45" s="51">
        <v>0</v>
      </c>
      <c r="AI45" s="51">
        <v>0</v>
      </c>
      <c r="AJ45" s="51">
        <v>0</v>
      </c>
      <c r="AK45" s="51" t="b">
        <v>0</v>
      </c>
      <c r="AL45" s="55"/>
      <c r="AO45" t="s">
        <v>69</v>
      </c>
      <c r="AP45" t="s">
        <v>302</v>
      </c>
      <c r="AQ45">
        <v>15</v>
      </c>
      <c r="AR45">
        <v>8</v>
      </c>
      <c r="AS45">
        <v>115</v>
      </c>
      <c r="AT45">
        <v>0.9</v>
      </c>
      <c r="AU45">
        <v>2</v>
      </c>
      <c r="AV45">
        <v>0</v>
      </c>
      <c r="AW45">
        <v>7850</v>
      </c>
      <c r="AX45" t="s">
        <v>274</v>
      </c>
    </row>
    <row r="46" spans="5:50">
      <c r="E46" t="s">
        <v>158</v>
      </c>
      <c r="G46" s="128"/>
      <c r="H46" s="128">
        <v>300</v>
      </c>
      <c r="I46" s="128"/>
      <c r="AF46" s="51"/>
      <c r="AG46" s="55"/>
      <c r="AH46" s="51"/>
      <c r="AI46" s="51"/>
      <c r="AJ46" s="51"/>
      <c r="AK46" s="51"/>
      <c r="AL46" s="55"/>
      <c r="AO46" t="s">
        <v>69</v>
      </c>
      <c r="AP46" t="s">
        <v>303</v>
      </c>
      <c r="AQ46">
        <v>16</v>
      </c>
      <c r="AR46">
        <v>8</v>
      </c>
      <c r="AS46">
        <v>115</v>
      </c>
      <c r="AT46">
        <v>0.9</v>
      </c>
      <c r="AU46">
        <v>2</v>
      </c>
      <c r="AV46">
        <v>150</v>
      </c>
      <c r="AW46">
        <v>7850</v>
      </c>
      <c r="AX46" t="s">
        <v>274</v>
      </c>
    </row>
    <row r="47" spans="5:50">
      <c r="E47" t="s">
        <v>159</v>
      </c>
      <c r="G47" s="128"/>
      <c r="H47" s="128">
        <v>10</v>
      </c>
      <c r="I47" s="128"/>
      <c r="AF47" s="51"/>
      <c r="AG47" s="55"/>
      <c r="AH47" s="51"/>
      <c r="AI47" s="51"/>
      <c r="AJ47" s="51"/>
      <c r="AK47" s="51"/>
      <c r="AL47" s="55"/>
      <c r="AO47" t="s">
        <v>69</v>
      </c>
      <c r="AP47" t="s">
        <v>304</v>
      </c>
      <c r="AQ47">
        <v>16</v>
      </c>
      <c r="AR47">
        <v>8</v>
      </c>
      <c r="AS47">
        <v>114</v>
      </c>
      <c r="AT47">
        <v>0.9</v>
      </c>
      <c r="AU47">
        <v>2</v>
      </c>
      <c r="AV47">
        <v>150</v>
      </c>
      <c r="AW47">
        <v>7850</v>
      </c>
      <c r="AX47" t="s">
        <v>274</v>
      </c>
    </row>
    <row r="48" spans="5:50">
      <c r="E48" t="s">
        <v>160</v>
      </c>
      <c r="G48" s="128" t="s">
        <v>201</v>
      </c>
      <c r="H48" s="128">
        <v>7.4999999999999997E-3</v>
      </c>
      <c r="I48" s="128"/>
      <c r="AF48" s="51"/>
      <c r="AG48" s="55"/>
      <c r="AH48" s="51"/>
      <c r="AI48" s="51"/>
      <c r="AJ48" s="51"/>
      <c r="AK48" s="51"/>
      <c r="AL48" s="55"/>
      <c r="AO48" t="s">
        <v>69</v>
      </c>
      <c r="AP48" t="s">
        <v>305</v>
      </c>
      <c r="AQ48">
        <v>17</v>
      </c>
      <c r="AR48">
        <v>8</v>
      </c>
      <c r="AS48">
        <v>114</v>
      </c>
      <c r="AT48">
        <v>0.9</v>
      </c>
      <c r="AU48">
        <v>2</v>
      </c>
      <c r="AV48">
        <v>150</v>
      </c>
      <c r="AW48">
        <v>7850</v>
      </c>
      <c r="AX48" t="s">
        <v>274</v>
      </c>
    </row>
    <row r="49" spans="5:50">
      <c r="E49" t="s">
        <v>161</v>
      </c>
      <c r="G49" s="128" t="s">
        <v>201</v>
      </c>
      <c r="H49" s="128">
        <v>6.4000000000000003E-3</v>
      </c>
      <c r="I49" s="128"/>
      <c r="AF49" s="51"/>
      <c r="AG49" s="55"/>
      <c r="AH49" s="51"/>
      <c r="AI49" s="51"/>
      <c r="AJ49" s="51"/>
      <c r="AK49" s="51"/>
      <c r="AL49" s="55"/>
      <c r="AO49" t="s">
        <v>69</v>
      </c>
      <c r="AP49" t="s">
        <v>306</v>
      </c>
      <c r="AQ49">
        <v>17</v>
      </c>
      <c r="AR49">
        <v>8</v>
      </c>
      <c r="AS49">
        <v>114</v>
      </c>
      <c r="AT49">
        <v>0.9</v>
      </c>
      <c r="AU49">
        <v>2</v>
      </c>
      <c r="AV49">
        <v>150</v>
      </c>
      <c r="AW49">
        <v>7850</v>
      </c>
      <c r="AX49" t="s">
        <v>274</v>
      </c>
    </row>
    <row r="50" spans="5:50">
      <c r="E50" t="s">
        <v>162</v>
      </c>
      <c r="G50" s="128" t="s">
        <v>211</v>
      </c>
      <c r="H50" s="128">
        <v>36</v>
      </c>
      <c r="I50" s="128"/>
      <c r="AF50" s="51"/>
      <c r="AG50" s="55"/>
      <c r="AH50" s="51"/>
      <c r="AI50" s="51"/>
      <c r="AJ50" s="51"/>
      <c r="AK50" s="51"/>
      <c r="AL50" s="55"/>
      <c r="AO50" t="s">
        <v>69</v>
      </c>
      <c r="AP50" t="s">
        <v>307</v>
      </c>
      <c r="AQ50">
        <v>18</v>
      </c>
      <c r="AR50">
        <v>8</v>
      </c>
      <c r="AS50">
        <v>114</v>
      </c>
      <c r="AT50">
        <v>0.9</v>
      </c>
      <c r="AU50">
        <v>2</v>
      </c>
      <c r="AV50">
        <v>150</v>
      </c>
      <c r="AW50">
        <v>7850</v>
      </c>
      <c r="AX50" t="s">
        <v>274</v>
      </c>
    </row>
    <row r="51" spans="5:50">
      <c r="E51" t="s">
        <v>165</v>
      </c>
      <c r="G51" s="128" t="s">
        <v>201</v>
      </c>
      <c r="H51" s="128">
        <v>5</v>
      </c>
      <c r="I51" s="128" t="s">
        <v>202</v>
      </c>
      <c r="AF51" s="51"/>
      <c r="AG51" s="55"/>
      <c r="AH51" s="51"/>
      <c r="AI51" s="51"/>
      <c r="AJ51" s="51"/>
      <c r="AK51" s="51"/>
      <c r="AL51" s="55"/>
      <c r="AO51" t="s">
        <v>69</v>
      </c>
      <c r="AP51" t="s">
        <v>308</v>
      </c>
      <c r="AQ51">
        <v>18</v>
      </c>
      <c r="AR51">
        <v>8</v>
      </c>
      <c r="AS51">
        <v>116</v>
      </c>
      <c r="AT51">
        <v>0.9</v>
      </c>
      <c r="AU51">
        <v>2</v>
      </c>
      <c r="AV51">
        <v>150</v>
      </c>
      <c r="AW51">
        <v>7850</v>
      </c>
      <c r="AX51" t="s">
        <v>274</v>
      </c>
    </row>
    <row r="52" spans="5:50">
      <c r="E52" t="s">
        <v>163</v>
      </c>
      <c r="G52" s="128" t="s">
        <v>201</v>
      </c>
      <c r="H52" s="128">
        <v>10000000</v>
      </c>
      <c r="I52" s="128"/>
      <c r="AF52" s="51"/>
      <c r="AG52" s="55"/>
      <c r="AH52" s="51"/>
      <c r="AI52" s="51"/>
      <c r="AJ52" s="51"/>
      <c r="AK52" s="51"/>
      <c r="AL52" s="55"/>
      <c r="AO52" t="s">
        <v>69</v>
      </c>
      <c r="AP52" t="s">
        <v>309</v>
      </c>
      <c r="AQ52">
        <v>19</v>
      </c>
      <c r="AR52">
        <v>8</v>
      </c>
      <c r="AS52">
        <v>116</v>
      </c>
      <c r="AT52">
        <v>0.9</v>
      </c>
      <c r="AU52">
        <v>2</v>
      </c>
      <c r="AV52">
        <v>150</v>
      </c>
      <c r="AW52">
        <v>7850</v>
      </c>
      <c r="AX52" t="s">
        <v>274</v>
      </c>
    </row>
    <row r="53" spans="5:50">
      <c r="E53" t="s">
        <v>164</v>
      </c>
      <c r="G53" s="128" t="s">
        <v>201</v>
      </c>
      <c r="H53" s="128">
        <v>0.89500000000000002</v>
      </c>
      <c r="I53" s="128"/>
      <c r="AF53" s="51"/>
      <c r="AG53" s="55"/>
      <c r="AH53" s="51"/>
      <c r="AI53" s="51"/>
      <c r="AJ53" s="51"/>
      <c r="AK53" s="51"/>
      <c r="AL53" s="55"/>
      <c r="AO53" t="s">
        <v>69</v>
      </c>
      <c r="AP53" t="s">
        <v>310</v>
      </c>
      <c r="AQ53">
        <v>19</v>
      </c>
      <c r="AR53">
        <v>8</v>
      </c>
      <c r="AS53">
        <v>118</v>
      </c>
      <c r="AT53">
        <v>0.9</v>
      </c>
      <c r="AU53">
        <v>2</v>
      </c>
      <c r="AV53">
        <v>150</v>
      </c>
      <c r="AW53">
        <v>7850</v>
      </c>
      <c r="AX53" t="s">
        <v>274</v>
      </c>
    </row>
    <row r="54" spans="5:50">
      <c r="E54" t="s">
        <v>166</v>
      </c>
      <c r="F54" t="s">
        <v>192</v>
      </c>
      <c r="G54" s="128" t="s">
        <v>115</v>
      </c>
      <c r="H54" s="128" t="s">
        <v>185</v>
      </c>
      <c r="I54" s="128"/>
      <c r="AF54" s="51"/>
      <c r="AG54" s="55"/>
      <c r="AH54" s="51"/>
      <c r="AI54" s="51"/>
      <c r="AJ54" s="51"/>
      <c r="AK54" s="51"/>
      <c r="AL54" s="55"/>
      <c r="AO54" t="s">
        <v>69</v>
      </c>
      <c r="AP54" t="s">
        <v>311</v>
      </c>
      <c r="AQ54">
        <v>20</v>
      </c>
      <c r="AR54">
        <v>8.36</v>
      </c>
      <c r="AS54">
        <v>118</v>
      </c>
      <c r="AT54">
        <v>0.9</v>
      </c>
      <c r="AU54">
        <v>2</v>
      </c>
      <c r="AV54">
        <v>150</v>
      </c>
      <c r="AW54">
        <v>7850</v>
      </c>
      <c r="AX54" t="s">
        <v>274</v>
      </c>
    </row>
    <row r="55" spans="5:50">
      <c r="E55" t="s">
        <v>167</v>
      </c>
      <c r="F55" t="s">
        <v>189</v>
      </c>
      <c r="G55" s="128" t="s">
        <v>115</v>
      </c>
      <c r="H55" s="128" t="s">
        <v>187</v>
      </c>
      <c r="I55" s="128">
        <v>140</v>
      </c>
      <c r="AF55" s="51"/>
      <c r="AG55" s="55"/>
      <c r="AH55" s="51"/>
      <c r="AI55" s="51"/>
      <c r="AJ55" s="51"/>
      <c r="AK55" s="51"/>
      <c r="AL55" s="55"/>
      <c r="AO55" t="s">
        <v>69</v>
      </c>
      <c r="AP55" t="s">
        <v>312</v>
      </c>
      <c r="AQ55">
        <v>20</v>
      </c>
      <c r="AR55">
        <v>8.36</v>
      </c>
      <c r="AS55">
        <v>108</v>
      </c>
      <c r="AT55">
        <v>0.9</v>
      </c>
      <c r="AU55">
        <v>2</v>
      </c>
      <c r="AV55">
        <v>150</v>
      </c>
      <c r="AW55">
        <v>7850</v>
      </c>
      <c r="AX55" t="s">
        <v>274</v>
      </c>
    </row>
    <row r="56" spans="5:50">
      <c r="E56" t="s">
        <v>168</v>
      </c>
      <c r="G56" s="128" t="s">
        <v>201</v>
      </c>
      <c r="H56" s="128">
        <v>0.11</v>
      </c>
      <c r="I56" s="128"/>
      <c r="AF56" s="51"/>
      <c r="AG56" s="55"/>
      <c r="AH56" s="51"/>
      <c r="AI56" s="51"/>
      <c r="AJ56" s="51"/>
      <c r="AK56" s="51"/>
      <c r="AL56" s="55"/>
      <c r="AO56" t="s">
        <v>69</v>
      </c>
      <c r="AP56" t="s">
        <v>313</v>
      </c>
      <c r="AQ56">
        <v>21</v>
      </c>
      <c r="AR56">
        <v>8.7200000000000006</v>
      </c>
      <c r="AS56">
        <v>108</v>
      </c>
      <c r="AT56">
        <v>0.9</v>
      </c>
      <c r="AU56">
        <v>2</v>
      </c>
      <c r="AV56">
        <v>100</v>
      </c>
      <c r="AW56">
        <v>7850</v>
      </c>
      <c r="AX56" t="s">
        <v>274</v>
      </c>
    </row>
    <row r="57" spans="5:50">
      <c r="E57" t="s">
        <v>169</v>
      </c>
      <c r="G57" s="128" t="s">
        <v>212</v>
      </c>
      <c r="H57" s="128">
        <v>0</v>
      </c>
      <c r="I57" s="128"/>
      <c r="AF57" s="51"/>
      <c r="AG57" s="55"/>
      <c r="AH57" s="51"/>
      <c r="AI57" s="51"/>
      <c r="AJ57" s="51"/>
      <c r="AK57" s="51"/>
      <c r="AL57" s="55"/>
      <c r="AO57" t="s">
        <v>69</v>
      </c>
      <c r="AP57" t="s">
        <v>314</v>
      </c>
      <c r="AQ57">
        <v>21</v>
      </c>
      <c r="AR57">
        <v>8.7200000000000006</v>
      </c>
      <c r="AS57">
        <v>100</v>
      </c>
      <c r="AT57">
        <v>0.9</v>
      </c>
      <c r="AU57">
        <v>2</v>
      </c>
      <c r="AV57">
        <v>100</v>
      </c>
      <c r="AW57">
        <v>7850</v>
      </c>
      <c r="AX57" t="s">
        <v>274</v>
      </c>
    </row>
    <row r="58" spans="5:50">
      <c r="E58" t="s">
        <v>170</v>
      </c>
      <c r="G58" s="128" t="s">
        <v>77</v>
      </c>
      <c r="H58" s="128">
        <v>0</v>
      </c>
      <c r="I58" s="128"/>
      <c r="AF58" s="51"/>
      <c r="AG58" s="55"/>
      <c r="AH58" s="51"/>
      <c r="AI58" s="51"/>
      <c r="AJ58" s="51"/>
      <c r="AK58" s="51"/>
      <c r="AL58" s="55"/>
      <c r="AO58" t="s">
        <v>69</v>
      </c>
      <c r="AP58" t="s">
        <v>315</v>
      </c>
      <c r="AQ58">
        <v>22</v>
      </c>
      <c r="AR58">
        <v>9.08</v>
      </c>
      <c r="AS58">
        <v>100</v>
      </c>
      <c r="AT58">
        <v>0.9</v>
      </c>
      <c r="AU58">
        <v>2</v>
      </c>
      <c r="AV58">
        <v>100</v>
      </c>
      <c r="AW58">
        <v>7850</v>
      </c>
      <c r="AX58" t="s">
        <v>274</v>
      </c>
    </row>
    <row r="59" spans="5:50">
      <c r="E59" t="s">
        <v>171</v>
      </c>
      <c r="G59" s="128" t="s">
        <v>77</v>
      </c>
      <c r="H59" s="128">
        <v>1</v>
      </c>
      <c r="I59" s="128"/>
      <c r="AF59" s="51"/>
      <c r="AG59" s="55"/>
      <c r="AH59" s="51"/>
      <c r="AI59" s="51"/>
      <c r="AJ59" s="51"/>
      <c r="AK59" s="51"/>
      <c r="AL59" s="55"/>
      <c r="AO59" t="s">
        <v>69</v>
      </c>
      <c r="AP59" t="s">
        <v>316</v>
      </c>
      <c r="AQ59">
        <v>22</v>
      </c>
      <c r="AR59">
        <v>9.08</v>
      </c>
      <c r="AS59">
        <v>94</v>
      </c>
      <c r="AT59">
        <v>0.9</v>
      </c>
      <c r="AU59">
        <v>2</v>
      </c>
      <c r="AV59">
        <v>100</v>
      </c>
      <c r="AW59">
        <v>7850</v>
      </c>
      <c r="AX59" t="s">
        <v>274</v>
      </c>
    </row>
    <row r="60" spans="5:50">
      <c r="E60" t="s">
        <v>172</v>
      </c>
      <c r="G60" s="128" t="s">
        <v>77</v>
      </c>
      <c r="H60" s="128" t="s">
        <v>188</v>
      </c>
      <c r="I60" s="128"/>
      <c r="AF60" s="51"/>
      <c r="AG60" s="55"/>
      <c r="AH60" s="51"/>
      <c r="AI60" s="51"/>
      <c r="AJ60" s="51"/>
      <c r="AK60" s="51"/>
      <c r="AL60" s="55"/>
      <c r="AO60" t="s">
        <v>69</v>
      </c>
      <c r="AP60" t="s">
        <v>317</v>
      </c>
      <c r="AQ60">
        <v>23</v>
      </c>
      <c r="AR60">
        <v>9.44</v>
      </c>
      <c r="AS60">
        <v>94</v>
      </c>
      <c r="AT60">
        <v>0.9</v>
      </c>
      <c r="AU60">
        <v>2</v>
      </c>
      <c r="AV60">
        <v>100</v>
      </c>
      <c r="AW60">
        <v>7850</v>
      </c>
      <c r="AX60" t="s">
        <v>274</v>
      </c>
    </row>
    <row r="61" spans="5:50">
      <c r="E61" t="s">
        <v>173</v>
      </c>
      <c r="F61" t="s">
        <v>205</v>
      </c>
      <c r="G61" s="128"/>
      <c r="H61" s="128" t="s">
        <v>196</v>
      </c>
      <c r="I61" s="128"/>
      <c r="AF61" s="51"/>
      <c r="AG61" s="55"/>
      <c r="AH61" s="51"/>
      <c r="AI61" s="51"/>
      <c r="AJ61" s="51"/>
      <c r="AK61" s="51"/>
      <c r="AL61" s="55"/>
      <c r="AO61" t="s">
        <v>69</v>
      </c>
      <c r="AP61" t="s">
        <v>318</v>
      </c>
      <c r="AQ61">
        <v>23</v>
      </c>
      <c r="AR61">
        <v>9.44</v>
      </c>
      <c r="AS61">
        <v>93</v>
      </c>
      <c r="AT61">
        <v>0.9</v>
      </c>
      <c r="AU61">
        <v>2</v>
      </c>
      <c r="AV61">
        <v>100</v>
      </c>
      <c r="AW61">
        <v>7850</v>
      </c>
      <c r="AX61" t="s">
        <v>274</v>
      </c>
    </row>
    <row r="62" spans="5:50">
      <c r="AF62" s="51"/>
      <c r="AG62" s="55"/>
      <c r="AH62" s="51"/>
      <c r="AI62" s="51"/>
      <c r="AJ62" s="51"/>
      <c r="AK62" s="51"/>
      <c r="AL62" s="55"/>
      <c r="AO62" t="s">
        <v>69</v>
      </c>
      <c r="AP62" t="s">
        <v>319</v>
      </c>
      <c r="AQ62">
        <v>24</v>
      </c>
      <c r="AR62">
        <v>9.8000000000000007</v>
      </c>
      <c r="AS62">
        <v>93</v>
      </c>
      <c r="AT62">
        <v>0.9</v>
      </c>
      <c r="AU62">
        <v>2</v>
      </c>
      <c r="AV62">
        <v>100</v>
      </c>
      <c r="AW62">
        <v>7850</v>
      </c>
      <c r="AX62" t="s">
        <v>274</v>
      </c>
    </row>
    <row r="63" spans="5:50">
      <c r="AF63" s="51"/>
      <c r="AG63" s="55"/>
      <c r="AH63" s="51"/>
      <c r="AI63" s="51"/>
      <c r="AJ63" s="51"/>
      <c r="AK63" s="51"/>
      <c r="AL63" s="55"/>
      <c r="AO63" t="s">
        <v>69</v>
      </c>
      <c r="AP63" t="s">
        <v>320</v>
      </c>
      <c r="AQ63">
        <v>24</v>
      </c>
      <c r="AR63">
        <v>9.8000000000000007</v>
      </c>
      <c r="AS63">
        <v>93</v>
      </c>
      <c r="AT63">
        <v>0.9</v>
      </c>
      <c r="AU63">
        <v>2</v>
      </c>
      <c r="AV63">
        <v>100</v>
      </c>
      <c r="AW63">
        <v>7850</v>
      </c>
      <c r="AX63" t="s">
        <v>274</v>
      </c>
    </row>
    <row r="64" spans="5:50">
      <c r="AF64" s="51"/>
      <c r="AG64" s="55"/>
      <c r="AH64" s="51"/>
      <c r="AI64" s="51"/>
      <c r="AJ64" s="51"/>
      <c r="AK64" s="51"/>
      <c r="AL64" s="55"/>
      <c r="AO64" t="s">
        <v>69</v>
      </c>
      <c r="AP64" t="s">
        <v>321</v>
      </c>
      <c r="AQ64">
        <v>25</v>
      </c>
      <c r="AR64">
        <v>9.8000000000000007</v>
      </c>
      <c r="AS64">
        <v>93</v>
      </c>
      <c r="AT64">
        <v>0.9</v>
      </c>
      <c r="AU64">
        <v>2</v>
      </c>
      <c r="AV64">
        <v>100</v>
      </c>
      <c r="AW64">
        <v>7850</v>
      </c>
      <c r="AX64" t="s">
        <v>274</v>
      </c>
    </row>
    <row r="65" spans="32:50">
      <c r="AF65" s="51"/>
      <c r="AG65" s="55"/>
      <c r="AH65" s="51"/>
      <c r="AI65" s="51"/>
      <c r="AJ65" s="51"/>
      <c r="AK65" s="51"/>
      <c r="AL65" s="55"/>
      <c r="AO65" t="s">
        <v>69</v>
      </c>
      <c r="AP65" t="s">
        <v>322</v>
      </c>
      <c r="AQ65">
        <v>25</v>
      </c>
      <c r="AR65">
        <v>9.8000000000000007</v>
      </c>
      <c r="AS65">
        <v>102</v>
      </c>
      <c r="AT65">
        <v>0.9</v>
      </c>
      <c r="AU65">
        <v>2</v>
      </c>
      <c r="AV65">
        <v>100</v>
      </c>
      <c r="AW65">
        <v>7850</v>
      </c>
      <c r="AX65" t="s">
        <v>274</v>
      </c>
    </row>
    <row r="66" spans="32:50">
      <c r="AF66" s="51"/>
      <c r="AG66" s="55"/>
      <c r="AH66" s="51"/>
      <c r="AI66" s="51"/>
      <c r="AJ66" s="51"/>
      <c r="AK66" s="51"/>
      <c r="AL66" s="55"/>
      <c r="AO66" t="s">
        <v>69</v>
      </c>
      <c r="AP66" t="s">
        <v>323</v>
      </c>
      <c r="AQ66">
        <v>26</v>
      </c>
      <c r="AR66">
        <v>9.8000000000000007</v>
      </c>
      <c r="AS66">
        <v>102</v>
      </c>
      <c r="AT66">
        <v>0.9</v>
      </c>
      <c r="AU66">
        <v>2</v>
      </c>
      <c r="AV66">
        <v>100</v>
      </c>
      <c r="AW66">
        <v>7850</v>
      </c>
      <c r="AX66" t="s">
        <v>274</v>
      </c>
    </row>
    <row r="67" spans="32:50">
      <c r="AF67" s="51"/>
      <c r="AG67" s="55"/>
      <c r="AH67" s="51"/>
      <c r="AI67" s="51"/>
      <c r="AJ67" s="51"/>
      <c r="AK67" s="51"/>
      <c r="AL67" s="55"/>
      <c r="AO67" t="s">
        <v>69</v>
      </c>
      <c r="AP67" t="s">
        <v>324</v>
      </c>
      <c r="AQ67">
        <v>26</v>
      </c>
      <c r="AR67">
        <v>9.8000000000000007</v>
      </c>
      <c r="AS67">
        <v>112</v>
      </c>
      <c r="AT67">
        <v>0.9</v>
      </c>
      <c r="AU67">
        <v>2</v>
      </c>
      <c r="AV67">
        <v>100</v>
      </c>
      <c r="AW67">
        <v>7850</v>
      </c>
      <c r="AX67" t="s">
        <v>274</v>
      </c>
    </row>
    <row r="68" spans="32:50">
      <c r="AF68" s="51"/>
      <c r="AG68" s="55"/>
      <c r="AH68" s="51"/>
      <c r="AI68" s="51"/>
      <c r="AJ68" s="51"/>
      <c r="AK68" s="51"/>
      <c r="AL68" s="55"/>
      <c r="AO68" t="s">
        <v>69</v>
      </c>
      <c r="AP68" t="s">
        <v>325</v>
      </c>
      <c r="AQ68">
        <v>27</v>
      </c>
      <c r="AR68">
        <v>9.8000000000000007</v>
      </c>
      <c r="AS68">
        <v>112</v>
      </c>
      <c r="AT68">
        <v>0.9</v>
      </c>
      <c r="AU68">
        <v>2</v>
      </c>
      <c r="AV68">
        <v>100</v>
      </c>
      <c r="AW68">
        <v>7850</v>
      </c>
      <c r="AX68" t="s">
        <v>274</v>
      </c>
    </row>
    <row r="69" spans="32:50">
      <c r="AF69" s="51"/>
      <c r="AG69" s="55"/>
      <c r="AH69" s="51"/>
      <c r="AI69" s="51"/>
      <c r="AJ69" s="51"/>
      <c r="AK69" s="51"/>
      <c r="AL69" s="55"/>
      <c r="AO69" t="s">
        <v>69</v>
      </c>
      <c r="AP69" t="s">
        <v>326</v>
      </c>
      <c r="AQ69">
        <v>27</v>
      </c>
      <c r="AR69">
        <v>9.8000000000000007</v>
      </c>
      <c r="AS69">
        <v>116</v>
      </c>
      <c r="AT69">
        <v>0.9</v>
      </c>
      <c r="AU69">
        <v>2</v>
      </c>
      <c r="AV69">
        <v>100</v>
      </c>
      <c r="AW69">
        <v>7850</v>
      </c>
      <c r="AX69" t="s">
        <v>274</v>
      </c>
    </row>
    <row r="70" spans="32:50">
      <c r="AF70" s="51"/>
      <c r="AG70" s="55"/>
      <c r="AH70" s="51"/>
      <c r="AI70" s="51"/>
      <c r="AJ70" s="51"/>
      <c r="AK70" s="51"/>
      <c r="AL70" s="55"/>
      <c r="AO70" t="s">
        <v>69</v>
      </c>
      <c r="AP70" t="s">
        <v>327</v>
      </c>
      <c r="AQ70">
        <v>28</v>
      </c>
      <c r="AR70">
        <v>9.8000000000000007</v>
      </c>
      <c r="AS70">
        <v>116</v>
      </c>
      <c r="AT70">
        <v>0.9</v>
      </c>
      <c r="AU70">
        <v>2</v>
      </c>
      <c r="AV70">
        <v>100</v>
      </c>
      <c r="AW70">
        <v>7850</v>
      </c>
      <c r="AX70" t="s">
        <v>274</v>
      </c>
    </row>
    <row r="71" spans="32:50">
      <c r="AF71" s="51"/>
      <c r="AG71" s="55"/>
      <c r="AH71" s="51"/>
      <c r="AI71" s="51"/>
      <c r="AJ71" s="51"/>
      <c r="AK71" s="51"/>
      <c r="AL71" s="55"/>
      <c r="AO71" t="s">
        <v>69</v>
      </c>
      <c r="AP71" t="s">
        <v>328</v>
      </c>
      <c r="AQ71">
        <v>28</v>
      </c>
      <c r="AR71">
        <v>9.8000000000000007</v>
      </c>
      <c r="AS71">
        <v>108</v>
      </c>
      <c r="AT71">
        <v>0.9</v>
      </c>
      <c r="AU71">
        <v>2</v>
      </c>
      <c r="AV71">
        <v>100</v>
      </c>
      <c r="AW71">
        <v>7850</v>
      </c>
      <c r="AX71" t="s">
        <v>274</v>
      </c>
    </row>
    <row r="72" spans="32:50">
      <c r="AF72" s="51"/>
      <c r="AG72" s="55"/>
      <c r="AH72" s="51"/>
      <c r="AI72" s="51"/>
      <c r="AJ72" s="51"/>
      <c r="AK72" s="51"/>
      <c r="AL72" s="55"/>
      <c r="AO72" t="s">
        <v>69</v>
      </c>
      <c r="AP72" t="s">
        <v>329</v>
      </c>
      <c r="AQ72">
        <v>29</v>
      </c>
      <c r="AR72">
        <v>9.8000000000000007</v>
      </c>
      <c r="AS72">
        <v>108</v>
      </c>
      <c r="AT72">
        <v>0.9</v>
      </c>
      <c r="AU72">
        <v>2</v>
      </c>
      <c r="AV72">
        <v>50</v>
      </c>
      <c r="AW72">
        <v>7850</v>
      </c>
      <c r="AX72" t="s">
        <v>274</v>
      </c>
    </row>
    <row r="73" spans="32:50">
      <c r="AF73" s="51"/>
      <c r="AG73" s="55"/>
      <c r="AH73" s="51"/>
      <c r="AI73" s="51"/>
      <c r="AJ73" s="51"/>
      <c r="AK73" s="51"/>
      <c r="AL73" s="55"/>
    </row>
    <row r="74" spans="32:50">
      <c r="AF74" s="51"/>
      <c r="AG74" s="55"/>
      <c r="AH74" s="51"/>
      <c r="AI74" s="51"/>
      <c r="AJ74" s="51"/>
      <c r="AK74" s="51"/>
      <c r="AL74" s="55"/>
    </row>
    <row r="75" spans="32:50">
      <c r="AF75" s="51"/>
      <c r="AG75" s="55"/>
      <c r="AH75" s="51"/>
      <c r="AI75" s="51"/>
      <c r="AJ75" s="51"/>
      <c r="AK75" s="51"/>
      <c r="AL75" s="55"/>
    </row>
    <row r="76" spans="32:50">
      <c r="AF76" s="51"/>
      <c r="AG76" s="55"/>
      <c r="AH76" s="51"/>
      <c r="AI76" s="51"/>
      <c r="AJ76" s="51"/>
      <c r="AK76" s="51"/>
      <c r="AL76" s="55"/>
    </row>
    <row r="77" spans="32:50">
      <c r="AF77" s="51"/>
      <c r="AG77" s="55"/>
      <c r="AH77" s="51"/>
      <c r="AI77" s="51"/>
      <c r="AJ77" s="51"/>
      <c r="AK77" s="51"/>
      <c r="AL77" s="55"/>
    </row>
    <row r="78" spans="32:50">
      <c r="AF78" s="51"/>
      <c r="AG78" s="55"/>
      <c r="AH78" s="51"/>
      <c r="AI78" s="51"/>
      <c r="AJ78" s="51"/>
      <c r="AK78" s="51"/>
      <c r="AL78" s="55"/>
    </row>
    <row r="79" spans="32:50">
      <c r="AF79" s="51"/>
      <c r="AG79" s="55"/>
      <c r="AH79" s="51"/>
      <c r="AI79" s="51"/>
      <c r="AJ79" s="51"/>
      <c r="AK79" s="51"/>
      <c r="AL79" s="55"/>
    </row>
    <row r="80" spans="32:50">
      <c r="AF80" s="51"/>
      <c r="AG80" s="55"/>
      <c r="AH80" s="51"/>
      <c r="AI80" s="51"/>
      <c r="AJ80" s="51"/>
      <c r="AK80" s="51"/>
      <c r="AL80" s="55"/>
    </row>
    <row r="81" spans="32:38">
      <c r="AF81" s="51"/>
      <c r="AG81" s="55"/>
      <c r="AH81" s="51"/>
      <c r="AI81" s="51"/>
      <c r="AJ81" s="51"/>
      <c r="AK81" s="51"/>
      <c r="AL81" s="55"/>
    </row>
    <row r="82" spans="32:38">
      <c r="AF82" s="51"/>
      <c r="AG82" s="55"/>
      <c r="AH82" s="51"/>
      <c r="AI82" s="51"/>
      <c r="AJ82" s="51"/>
      <c r="AK82" s="51"/>
      <c r="AL82" s="55"/>
    </row>
    <row r="83" spans="32:38">
      <c r="AF83" s="51"/>
      <c r="AG83" s="55"/>
      <c r="AH83" s="51"/>
      <c r="AI83" s="51"/>
      <c r="AJ83" s="51"/>
      <c r="AK83" s="51"/>
      <c r="AL83" s="55"/>
    </row>
    <row r="84" spans="32:38">
      <c r="AF84" s="51"/>
      <c r="AG84" s="55"/>
      <c r="AH84" s="51"/>
      <c r="AI84" s="51"/>
      <c r="AJ84" s="51"/>
      <c r="AK84" s="51"/>
      <c r="AL84" s="55"/>
    </row>
    <row r="85" spans="32:38">
      <c r="AF85" s="51"/>
      <c r="AG85" s="55"/>
      <c r="AH85" s="51"/>
      <c r="AI85" s="51"/>
      <c r="AJ85" s="51"/>
      <c r="AK85" s="51"/>
      <c r="AL85" s="55"/>
    </row>
    <row r="86" spans="32:38">
      <c r="AF86" s="51"/>
      <c r="AG86" s="55"/>
      <c r="AH86" s="51"/>
      <c r="AI86" s="51"/>
      <c r="AJ86" s="51"/>
      <c r="AK86" s="51"/>
      <c r="AL86" s="55"/>
    </row>
    <row r="87" spans="32:38">
      <c r="AF87" s="51"/>
      <c r="AG87" s="55"/>
      <c r="AH87" s="51"/>
      <c r="AI87" s="51"/>
      <c r="AJ87" s="51"/>
      <c r="AK87" s="51"/>
      <c r="AL87" s="55"/>
    </row>
    <row r="88" spans="32:38">
      <c r="AF88" s="51"/>
      <c r="AG88" s="55"/>
      <c r="AH88" s="51"/>
      <c r="AI88" s="51"/>
      <c r="AJ88" s="51"/>
      <c r="AK88" s="51"/>
      <c r="AL88" s="55"/>
    </row>
    <row r="89" spans="32:38">
      <c r="AF89" s="51"/>
      <c r="AG89" s="55"/>
      <c r="AH89" s="51"/>
      <c r="AI89" s="51"/>
      <c r="AJ89" s="51"/>
      <c r="AK89" s="51"/>
      <c r="AL89" s="55"/>
    </row>
    <row r="90" spans="32:38">
      <c r="AF90" s="51"/>
      <c r="AG90" s="55"/>
      <c r="AH90" s="51"/>
      <c r="AI90" s="51"/>
      <c r="AJ90" s="51"/>
      <c r="AK90" s="51"/>
      <c r="AL90" s="55"/>
    </row>
    <row r="91" spans="32:38">
      <c r="AF91" s="51"/>
      <c r="AG91" s="55"/>
      <c r="AH91" s="51"/>
      <c r="AI91" s="51"/>
      <c r="AJ91" s="51"/>
      <c r="AK91" s="51"/>
      <c r="AL91" s="55"/>
    </row>
    <row r="92" spans="32:38">
      <c r="AF92" s="51"/>
      <c r="AG92" s="55"/>
      <c r="AH92" s="51"/>
      <c r="AI92" s="51"/>
      <c r="AJ92" s="51"/>
      <c r="AK92" s="51"/>
      <c r="AL92" s="55"/>
    </row>
    <row r="93" spans="32:38">
      <c r="AF93" s="51"/>
      <c r="AG93" s="55"/>
      <c r="AH93" s="51"/>
      <c r="AI93" s="51"/>
      <c r="AJ93" s="51"/>
      <c r="AK93" s="51"/>
      <c r="AL93" s="55"/>
    </row>
    <row r="94" spans="32:38">
      <c r="AF94" s="51"/>
      <c r="AG94" s="55"/>
      <c r="AH94" s="51"/>
      <c r="AI94" s="51"/>
      <c r="AJ94" s="51"/>
      <c r="AK94" s="51"/>
      <c r="AL94" s="55"/>
    </row>
    <row r="95" spans="32:38">
      <c r="AF95" s="51"/>
      <c r="AG95" s="55"/>
      <c r="AH95" s="51"/>
      <c r="AI95" s="51"/>
      <c r="AJ95" s="51"/>
      <c r="AK95" s="51"/>
      <c r="AL95" s="55"/>
    </row>
    <row r="96" spans="32:38">
      <c r="AF96" s="51"/>
      <c r="AG96" s="55"/>
      <c r="AH96" s="51"/>
      <c r="AI96" s="51"/>
      <c r="AJ96" s="51"/>
      <c r="AK96" s="51"/>
      <c r="AL96" s="55"/>
    </row>
    <row r="97" spans="32:38">
      <c r="AF97" s="51"/>
      <c r="AG97" s="55"/>
      <c r="AH97" s="51"/>
      <c r="AI97" s="51"/>
      <c r="AJ97" s="51"/>
      <c r="AK97" s="51"/>
      <c r="AL97" s="55"/>
    </row>
    <row r="98" spans="32:38">
      <c r="AF98" s="51"/>
      <c r="AG98" s="55"/>
      <c r="AH98" s="51"/>
      <c r="AI98" s="51"/>
      <c r="AJ98" s="51"/>
      <c r="AK98" s="51"/>
      <c r="AL98" s="55"/>
    </row>
    <row r="99" spans="32:38">
      <c r="AF99" s="51"/>
      <c r="AG99" s="55"/>
      <c r="AH99" s="51"/>
      <c r="AI99" s="51"/>
      <c r="AJ99" s="51"/>
      <c r="AK99" s="51"/>
      <c r="AL99" s="55"/>
    </row>
    <row r="100" spans="32:38">
      <c r="AF100" s="51"/>
      <c r="AG100" s="55"/>
      <c r="AH100" s="51"/>
      <c r="AI100" s="51"/>
      <c r="AJ100" s="51"/>
      <c r="AK100" s="51"/>
      <c r="AL100" s="55"/>
    </row>
    <row r="101" spans="32:38">
      <c r="AF101" s="51"/>
      <c r="AG101" s="55"/>
      <c r="AH101" s="51"/>
      <c r="AI101" s="51"/>
      <c r="AJ101" s="51"/>
      <c r="AK101" s="51"/>
      <c r="AL101" s="55"/>
    </row>
    <row r="106" spans="32:38">
      <c r="AF106" s="51"/>
      <c r="AG106" s="55"/>
      <c r="AH106" s="51"/>
      <c r="AI106" s="51"/>
      <c r="AJ106" s="51"/>
      <c r="AK106" s="51"/>
      <c r="AL106" s="55"/>
    </row>
    <row r="107" spans="32:38">
      <c r="AF107" s="51"/>
      <c r="AG107" s="55"/>
      <c r="AH107" s="51"/>
      <c r="AI107" s="51"/>
      <c r="AJ107" s="51"/>
      <c r="AK107" s="51"/>
      <c r="AL107" s="55"/>
    </row>
    <row r="108" spans="32:38">
      <c r="AF108" s="51"/>
      <c r="AG108" s="55"/>
      <c r="AH108" s="51"/>
      <c r="AI108" s="51"/>
      <c r="AJ108" s="51"/>
      <c r="AK108" s="51"/>
      <c r="AL108" s="55"/>
    </row>
    <row r="109" spans="32:38">
      <c r="AF109" s="51"/>
      <c r="AG109" s="55"/>
      <c r="AH109" s="51"/>
      <c r="AI109" s="51"/>
      <c r="AJ109" s="51"/>
      <c r="AK109" s="51"/>
      <c r="AL109" s="55"/>
    </row>
    <row r="110" spans="32:38">
      <c r="AF110" s="51"/>
      <c r="AG110" s="55"/>
      <c r="AH110" s="51"/>
      <c r="AI110" s="51"/>
      <c r="AJ110" s="51"/>
      <c r="AK110" s="51"/>
      <c r="AL110" s="55"/>
    </row>
    <row r="111" spans="32:38">
      <c r="AF111" s="51"/>
      <c r="AG111" s="55"/>
      <c r="AH111" s="51"/>
      <c r="AI111" s="51"/>
      <c r="AJ111" s="51"/>
      <c r="AK111" s="51"/>
      <c r="AL111" s="55"/>
    </row>
    <row r="112" spans="32:38">
      <c r="AF112" s="51"/>
      <c r="AG112" s="55"/>
      <c r="AH112" s="51"/>
      <c r="AI112" s="51"/>
      <c r="AJ112" s="51"/>
      <c r="AK112" s="51"/>
      <c r="AL112" s="55"/>
    </row>
    <row r="113" spans="32:38">
      <c r="AF113" s="51"/>
      <c r="AG113" s="55"/>
      <c r="AH113" s="51"/>
      <c r="AI113" s="51"/>
      <c r="AJ113" s="51"/>
      <c r="AK113" s="51"/>
      <c r="AL113" s="55"/>
    </row>
    <row r="114" spans="32:38">
      <c r="AF114" s="51"/>
      <c r="AG114" s="55"/>
      <c r="AH114" s="51"/>
      <c r="AI114" s="51"/>
      <c r="AJ114" s="51"/>
      <c r="AK114" s="51"/>
      <c r="AL114" s="55"/>
    </row>
    <row r="115" spans="32:38">
      <c r="AF115" s="51"/>
      <c r="AG115" s="55"/>
      <c r="AH115" s="51"/>
      <c r="AI115" s="51"/>
      <c r="AJ115" s="51"/>
      <c r="AK115" s="51"/>
      <c r="AL115" s="55"/>
    </row>
    <row r="116" spans="32:38">
      <c r="AF116" s="51"/>
      <c r="AG116" s="55"/>
      <c r="AH116" s="51"/>
      <c r="AI116" s="51"/>
      <c r="AJ116" s="51"/>
      <c r="AK116" s="51"/>
      <c r="AL116" s="55"/>
    </row>
    <row r="117" spans="32:38">
      <c r="AF117" s="51"/>
      <c r="AG117" s="55"/>
      <c r="AH117" s="51"/>
      <c r="AI117" s="51"/>
      <c r="AJ117" s="51"/>
      <c r="AK117" s="51"/>
      <c r="AL117" s="55"/>
    </row>
    <row r="118" spans="32:38">
      <c r="AF118" s="51"/>
      <c r="AG118" s="55"/>
      <c r="AH118" s="51"/>
      <c r="AI118" s="51"/>
      <c r="AJ118" s="51"/>
      <c r="AK118" s="51"/>
      <c r="AL118" s="55"/>
    </row>
    <row r="119" spans="32:38">
      <c r="AF119" s="51"/>
      <c r="AG119" s="55"/>
      <c r="AH119" s="51"/>
      <c r="AI119" s="51"/>
      <c r="AJ119" s="51"/>
      <c r="AK119" s="51"/>
      <c r="AL119" s="55"/>
    </row>
    <row r="120" spans="32:38">
      <c r="AF120" s="51"/>
      <c r="AG120" s="55"/>
      <c r="AH120" s="51"/>
      <c r="AI120" s="51"/>
      <c r="AJ120" s="51"/>
      <c r="AK120" s="51"/>
      <c r="AL120" s="55"/>
    </row>
    <row r="121" spans="32:38">
      <c r="AF121" s="51"/>
      <c r="AG121" s="55"/>
      <c r="AH121" s="51"/>
      <c r="AI121" s="51"/>
      <c r="AJ121" s="51"/>
      <c r="AK121" s="51"/>
      <c r="AL121" s="55"/>
    </row>
    <row r="122" spans="32:38">
      <c r="AF122" s="51"/>
      <c r="AG122" s="55"/>
      <c r="AH122" s="51"/>
      <c r="AI122" s="51"/>
      <c r="AJ122" s="51"/>
      <c r="AK122" s="51"/>
      <c r="AL122" s="55"/>
    </row>
    <row r="123" spans="32:38">
      <c r="AF123" s="51"/>
      <c r="AG123" s="55"/>
      <c r="AH123" s="51"/>
      <c r="AI123" s="51"/>
      <c r="AJ123" s="51"/>
      <c r="AK123" s="51"/>
      <c r="AL123" s="55"/>
    </row>
    <row r="124" spans="32:38">
      <c r="AF124" s="51"/>
      <c r="AG124" s="55"/>
      <c r="AH124" s="51"/>
      <c r="AI124" s="51"/>
      <c r="AJ124" s="51"/>
      <c r="AK124" s="51"/>
      <c r="AL124" s="55"/>
    </row>
    <row r="125" spans="32:38">
      <c r="AF125" s="51"/>
      <c r="AG125" s="55"/>
      <c r="AH125" s="51"/>
      <c r="AI125" s="51"/>
      <c r="AJ125" s="51"/>
      <c r="AK125" s="51"/>
      <c r="AL125" s="55"/>
    </row>
    <row r="127" spans="32:38">
      <c r="AF127" s="51"/>
      <c r="AG127" s="55"/>
      <c r="AH127" s="51"/>
      <c r="AI127" s="51"/>
      <c r="AJ127" s="51"/>
      <c r="AK127" s="51"/>
      <c r="AL127" s="55"/>
    </row>
    <row r="128" spans="32:38">
      <c r="AF128" s="51"/>
      <c r="AG128" s="55"/>
      <c r="AH128" s="51"/>
      <c r="AI128" s="51"/>
      <c r="AJ128" s="51"/>
      <c r="AK128" s="51"/>
      <c r="AL128" s="55"/>
    </row>
    <row r="129" spans="32:38">
      <c r="AF129" s="51"/>
      <c r="AG129" s="55"/>
      <c r="AH129" s="51"/>
      <c r="AI129" s="51"/>
      <c r="AJ129" s="51"/>
      <c r="AK129" s="51"/>
      <c r="AL129" s="55"/>
    </row>
    <row r="130" spans="32:38">
      <c r="AF130" s="51"/>
      <c r="AG130" s="55"/>
      <c r="AH130" s="51"/>
      <c r="AI130" s="51"/>
      <c r="AJ130" s="51"/>
      <c r="AK130" s="51"/>
      <c r="AL130" s="55"/>
    </row>
    <row r="131" spans="32:38">
      <c r="AF131" s="51"/>
      <c r="AG131" s="55"/>
      <c r="AH131" s="51"/>
      <c r="AI131" s="51"/>
      <c r="AJ131" s="51"/>
    </row>
    <row r="132" spans="32:38">
      <c r="AF132" s="51"/>
      <c r="AG132" s="55"/>
      <c r="AH132" s="51"/>
      <c r="AI132" s="51"/>
      <c r="AJ132" s="51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30480</xdr:colOff>
                    <xdr:row>4</xdr:row>
                    <xdr:rowOff>38100</xdr:rowOff>
                  </from>
                  <to>
                    <xdr:col>4</xdr:col>
                    <xdr:colOff>2842260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15240</xdr:colOff>
                    <xdr:row>5</xdr:row>
                    <xdr:rowOff>213360</xdr:rowOff>
                  </from>
                  <to>
                    <xdr:col>4</xdr:col>
                    <xdr:colOff>2827020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15240</xdr:colOff>
                    <xdr:row>4</xdr:row>
                    <xdr:rowOff>30480</xdr:rowOff>
                  </from>
                  <to>
                    <xdr:col>17</xdr:col>
                    <xdr:colOff>2125980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30480</xdr:colOff>
                    <xdr:row>5</xdr:row>
                    <xdr:rowOff>220980</xdr:rowOff>
                  </from>
                  <to>
                    <xdr:col>17</xdr:col>
                    <xdr:colOff>1676400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30480</xdr:colOff>
                    <xdr:row>8</xdr:row>
                    <xdr:rowOff>45720</xdr:rowOff>
                  </from>
                  <to>
                    <xdr:col>18</xdr:col>
                    <xdr:colOff>1036320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Tabelle3.show_JBOOST_section">
                <anchor moveWithCells="1" sizeWithCells="1">
                  <from>
                    <xdr:col>0</xdr:col>
                    <xdr:colOff>76200</xdr:colOff>
                    <xdr:row>3</xdr:row>
                    <xdr:rowOff>91440</xdr:rowOff>
                  </from>
                  <to>
                    <xdr:col>3</xdr:col>
                    <xdr:colOff>3352800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Tabelle3.show_WLGen_section">
                <anchor moveWithCells="1" sizeWithCells="1">
                  <from>
                    <xdr:col>0</xdr:col>
                    <xdr:colOff>60960</xdr:colOff>
                    <xdr:row>7</xdr:row>
                    <xdr:rowOff>99060</xdr:rowOff>
                  </from>
                  <to>
                    <xdr:col>3</xdr:col>
                    <xdr:colOff>3337560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Tabelle3.show_Bladed_section">
                <anchor moveWithCells="1" sizeWithCells="1">
                  <from>
                    <xdr:col>0</xdr:col>
                    <xdr:colOff>83820</xdr:colOff>
                    <xdr:row>11</xdr:row>
                    <xdr:rowOff>137160</xdr:rowOff>
                  </from>
                  <to>
                    <xdr:col>3</xdr:col>
                    <xdr:colOff>3345180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53340</xdr:colOff>
                    <xdr:row>4</xdr:row>
                    <xdr:rowOff>83820</xdr:rowOff>
                  </from>
                  <to>
                    <xdr:col>33</xdr:col>
                    <xdr:colOff>1234440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10" sqref="B10"/>
    </sheetView>
  </sheetViews>
  <sheetFormatPr baseColWidth="10" defaultRowHeight="14.4"/>
  <cols>
    <col min="2" max="2" width="130.664062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233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32</vt:i4>
      </vt:variant>
    </vt:vector>
  </HeadingPairs>
  <TitlesOfParts>
    <vt:vector size="38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2025-08-04T08:30:35Z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