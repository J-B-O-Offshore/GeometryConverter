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4551F294-9E4A-4E64-B92C-26E1B57961B0}" xr6:coauthVersionLast="47" xr6:coauthVersionMax="47" xr10:uidLastSave="{00000000-0000-0000-0000-000000000000}"/>
  <bookViews>
    <workbookView xWindow="28680" yWindow="-120" windowWidth="29040" windowHeight="15720" activeTab="1" xr2:uid="{52C6B389-4C94-430F-9043-C68D8C94A3E4}"/>
  </bookViews>
  <sheets>
    <sheet name="CreateStucture" sheetId="1" r:id="rId1"/>
    <sheet name="BuildYourStructure" sheetId="5" r:id="rId2"/>
    <sheet name="Overview" sheetId="2" r:id="rId3"/>
    <sheet name="Loop" sheetId="3" r:id="rId4"/>
  </sheets>
  <functionGroups builtInGroupCount="19"/>
  <externalReferences>
    <externalReference r:id="rId5"/>
    <externalReference r:id="rId6"/>
  </externalReferences>
  <definedNames>
    <definedName name="_xleta.N" hidden="1" xlm="1">#NAME?</definedName>
    <definedName name="_xleta.T" hidden="1" xlm="1">#NAME?</definedName>
    <definedName name="Tabale_MP_META">BuildYourStructure!$B$12</definedName>
    <definedName name="Table_MP_DATA">BuildYourStructure!$U$18</definedName>
    <definedName name="Table_MP_META">BuildYourStructure!$B$12</definedName>
    <definedName name="Table_TP_DATA">BuildYourStructure!$BC$18</definedName>
    <definedName name="Table_TP_META">BuildYourStructure!$AQ$12</definedName>
    <definedName name="TextBox_MP_db_path">BuildYourStructure!$C$8</definedName>
    <definedName name="TextBox_TOWER_db_path">BuildYourStructure!$BR$8</definedName>
    <definedName name="TextBox_TP_db_path">BuildYourStructure!$AR$8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8" i="5" l="1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19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9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20" i="5"/>
  <c r="H21" i="5"/>
  <c r="H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H19" i="5"/>
  <c r="BX20" i="5"/>
  <c r="BY20" i="5"/>
  <c r="BZ20" i="5"/>
  <c r="CA20" i="5"/>
  <c r="BX21" i="5"/>
  <c r="BY21" i="5"/>
  <c r="BZ21" i="5"/>
  <c r="CA21" i="5"/>
  <c r="BX22" i="5"/>
  <c r="BY22" i="5"/>
  <c r="BZ22" i="5"/>
  <c r="CA22" i="5"/>
  <c r="BX23" i="5"/>
  <c r="BY23" i="5"/>
  <c r="BZ23" i="5"/>
  <c r="CA23" i="5"/>
  <c r="BX24" i="5"/>
  <c r="BY24" i="5"/>
  <c r="BZ24" i="5"/>
  <c r="CA24" i="5"/>
  <c r="BX25" i="5"/>
  <c r="BY25" i="5"/>
  <c r="BZ25" i="5"/>
  <c r="CA25" i="5"/>
  <c r="BX26" i="5"/>
  <c r="BY26" i="5"/>
  <c r="BZ26" i="5"/>
  <c r="CA26" i="5"/>
  <c r="BX27" i="5"/>
  <c r="BY27" i="5"/>
  <c r="BZ27" i="5"/>
  <c r="CA27" i="5"/>
  <c r="BX28" i="5"/>
  <c r="BY28" i="5"/>
  <c r="BZ28" i="5"/>
  <c r="CA28" i="5"/>
  <c r="BX29" i="5"/>
  <c r="BY29" i="5"/>
  <c r="BZ29" i="5"/>
  <c r="CA29" i="5"/>
  <c r="BX30" i="5"/>
  <c r="BY30" i="5"/>
  <c r="BZ30" i="5"/>
  <c r="CA30" i="5"/>
  <c r="BX31" i="5"/>
  <c r="BY31" i="5"/>
  <c r="BZ31" i="5"/>
  <c r="CA31" i="5"/>
  <c r="BX32" i="5"/>
  <c r="BY32" i="5"/>
  <c r="BZ32" i="5"/>
  <c r="CA32" i="5"/>
  <c r="BX33" i="5"/>
  <c r="BY33" i="5"/>
  <c r="BZ33" i="5"/>
  <c r="CA33" i="5"/>
  <c r="BX34" i="5"/>
  <c r="BY34" i="5"/>
  <c r="BZ34" i="5"/>
  <c r="CA34" i="5"/>
  <c r="BX35" i="5"/>
  <c r="BY35" i="5"/>
  <c r="BZ35" i="5"/>
  <c r="CA35" i="5"/>
  <c r="BX36" i="5"/>
  <c r="BY36" i="5"/>
  <c r="BZ36" i="5"/>
  <c r="CA36" i="5"/>
  <c r="BX37" i="5"/>
  <c r="BY37" i="5"/>
  <c r="BZ37" i="5"/>
  <c r="CA37" i="5"/>
  <c r="BX38" i="5"/>
  <c r="BY38" i="5"/>
  <c r="BZ38" i="5"/>
  <c r="CA38" i="5"/>
  <c r="BX39" i="5"/>
  <c r="BY39" i="5"/>
  <c r="BZ39" i="5"/>
  <c r="CA39" i="5"/>
  <c r="BX40" i="5"/>
  <c r="BY40" i="5"/>
  <c r="BZ40" i="5"/>
  <c r="CA40" i="5"/>
  <c r="BX41" i="5"/>
  <c r="BY41" i="5"/>
  <c r="BZ41" i="5"/>
  <c r="CA41" i="5"/>
  <c r="BX42" i="5"/>
  <c r="BY42" i="5"/>
  <c r="BZ42" i="5"/>
  <c r="CA42" i="5"/>
  <c r="BX43" i="5"/>
  <c r="BY43" i="5"/>
  <c r="BZ43" i="5"/>
  <c r="CA43" i="5"/>
  <c r="BX44" i="5"/>
  <c r="BY44" i="5"/>
  <c r="BZ44" i="5"/>
  <c r="CA44" i="5"/>
  <c r="BX45" i="5"/>
  <c r="BY45" i="5"/>
  <c r="BZ45" i="5"/>
  <c r="CA45" i="5"/>
  <c r="BX46" i="5"/>
  <c r="BY46" i="5"/>
  <c r="BZ46" i="5"/>
  <c r="CA46" i="5"/>
  <c r="BX47" i="5"/>
  <c r="BY47" i="5"/>
  <c r="BZ47" i="5"/>
  <c r="CA47" i="5"/>
  <c r="BX48" i="5"/>
  <c r="BY48" i="5"/>
  <c r="BZ48" i="5"/>
  <c r="CA48" i="5"/>
  <c r="BX49" i="5"/>
  <c r="BY49" i="5"/>
  <c r="BZ49" i="5"/>
  <c r="CA49" i="5"/>
  <c r="BX50" i="5"/>
  <c r="BY50" i="5"/>
  <c r="BZ50" i="5"/>
  <c r="CA50" i="5"/>
  <c r="BX51" i="5"/>
  <c r="BY51" i="5"/>
  <c r="BZ51" i="5"/>
  <c r="CA51" i="5"/>
  <c r="BX52" i="5"/>
  <c r="BY52" i="5"/>
  <c r="BZ52" i="5"/>
  <c r="CA52" i="5"/>
  <c r="BX53" i="5"/>
  <c r="BY53" i="5"/>
  <c r="BZ53" i="5"/>
  <c r="CA53" i="5"/>
  <c r="BX54" i="5"/>
  <c r="BY54" i="5"/>
  <c r="BZ54" i="5"/>
  <c r="CA54" i="5"/>
  <c r="BX55" i="5"/>
  <c r="BY55" i="5"/>
  <c r="BZ55" i="5"/>
  <c r="CA55" i="5"/>
  <c r="BX56" i="5"/>
  <c r="BY56" i="5"/>
  <c r="BZ56" i="5"/>
  <c r="CA56" i="5"/>
  <c r="BX57" i="5"/>
  <c r="BY57" i="5"/>
  <c r="BZ57" i="5"/>
  <c r="CA57" i="5"/>
  <c r="BX58" i="5"/>
  <c r="BY58" i="5"/>
  <c r="BZ58" i="5"/>
  <c r="CA58" i="5"/>
  <c r="BX59" i="5"/>
  <c r="BY59" i="5"/>
  <c r="BZ59" i="5"/>
  <c r="CA59" i="5"/>
  <c r="BX60" i="5"/>
  <c r="BY60" i="5"/>
  <c r="BZ60" i="5"/>
  <c r="CA60" i="5"/>
  <c r="BX61" i="5"/>
  <c r="BY61" i="5"/>
  <c r="BZ61" i="5"/>
  <c r="CA61" i="5"/>
  <c r="BX62" i="5"/>
  <c r="BY62" i="5"/>
  <c r="BZ62" i="5"/>
  <c r="CA62" i="5"/>
  <c r="BX63" i="5"/>
  <c r="BY63" i="5"/>
  <c r="BZ63" i="5"/>
  <c r="CA63" i="5"/>
  <c r="BX64" i="5"/>
  <c r="BY64" i="5"/>
  <c r="BZ64" i="5"/>
  <c r="CA64" i="5"/>
  <c r="BX65" i="5"/>
  <c r="BY65" i="5"/>
  <c r="BZ65" i="5"/>
  <c r="CA65" i="5"/>
  <c r="BX66" i="5"/>
  <c r="BY66" i="5"/>
  <c r="BZ66" i="5"/>
  <c r="CA66" i="5"/>
  <c r="BX67" i="5"/>
  <c r="BY67" i="5"/>
  <c r="BZ67" i="5"/>
  <c r="CA67" i="5"/>
  <c r="BX68" i="5"/>
  <c r="BY68" i="5"/>
  <c r="BZ68" i="5"/>
  <c r="CA68" i="5"/>
  <c r="BX69" i="5"/>
  <c r="BY69" i="5"/>
  <c r="BZ69" i="5"/>
  <c r="CA69" i="5"/>
  <c r="BX70" i="5"/>
  <c r="BY70" i="5"/>
  <c r="BZ70" i="5"/>
  <c r="CA70" i="5"/>
  <c r="BX71" i="5"/>
  <c r="BY71" i="5"/>
  <c r="BZ71" i="5"/>
  <c r="CA71" i="5"/>
  <c r="BX72" i="5"/>
  <c r="BY72" i="5"/>
  <c r="BZ72" i="5"/>
  <c r="CA72" i="5"/>
  <c r="BX73" i="5"/>
  <c r="BY73" i="5"/>
  <c r="BZ73" i="5"/>
  <c r="CA73" i="5"/>
  <c r="BX74" i="5"/>
  <c r="BY74" i="5"/>
  <c r="BZ74" i="5"/>
  <c r="CA74" i="5"/>
  <c r="BX75" i="5"/>
  <c r="BY75" i="5"/>
  <c r="BZ75" i="5"/>
  <c r="CA75" i="5"/>
  <c r="BX76" i="5"/>
  <c r="BY76" i="5"/>
  <c r="BZ76" i="5"/>
  <c r="CA76" i="5"/>
  <c r="BX77" i="5"/>
  <c r="BY77" i="5"/>
  <c r="BZ77" i="5"/>
  <c r="CA77" i="5"/>
  <c r="BX78" i="5"/>
  <c r="BY78" i="5"/>
  <c r="BZ78" i="5"/>
  <c r="CA78" i="5"/>
  <c r="BX79" i="5"/>
  <c r="BY79" i="5"/>
  <c r="BZ79" i="5"/>
  <c r="CA79" i="5"/>
  <c r="BX80" i="5"/>
  <c r="BY80" i="5"/>
  <c r="BZ80" i="5"/>
  <c r="CA80" i="5"/>
  <c r="BX81" i="5"/>
  <c r="BY81" i="5"/>
  <c r="BZ81" i="5"/>
  <c r="CA81" i="5"/>
  <c r="BX82" i="5"/>
  <c r="BY82" i="5"/>
  <c r="BZ82" i="5"/>
  <c r="CA82" i="5"/>
  <c r="BX83" i="5"/>
  <c r="BY83" i="5"/>
  <c r="BZ83" i="5"/>
  <c r="CA83" i="5"/>
  <c r="BX84" i="5"/>
  <c r="BY84" i="5"/>
  <c r="BZ84" i="5"/>
  <c r="CA84" i="5"/>
  <c r="BX85" i="5"/>
  <c r="BY85" i="5"/>
  <c r="BZ85" i="5"/>
  <c r="CA85" i="5"/>
  <c r="BX86" i="5"/>
  <c r="BY86" i="5"/>
  <c r="BZ86" i="5"/>
  <c r="CA86" i="5"/>
  <c r="BX87" i="5"/>
  <c r="BY87" i="5"/>
  <c r="BZ87" i="5"/>
  <c r="CA87" i="5"/>
  <c r="BX88" i="5"/>
  <c r="BY88" i="5"/>
  <c r="BZ88" i="5"/>
  <c r="CA88" i="5"/>
  <c r="BX89" i="5"/>
  <c r="BY89" i="5"/>
  <c r="BZ89" i="5"/>
  <c r="CA89" i="5"/>
  <c r="BX90" i="5"/>
  <c r="BY90" i="5"/>
  <c r="BZ90" i="5"/>
  <c r="CA90" i="5"/>
  <c r="BX91" i="5"/>
  <c r="BY91" i="5"/>
  <c r="BZ91" i="5"/>
  <c r="CA91" i="5"/>
  <c r="BX92" i="5"/>
  <c r="BY92" i="5"/>
  <c r="BZ92" i="5"/>
  <c r="CA92" i="5"/>
  <c r="BX93" i="5"/>
  <c r="BY93" i="5"/>
  <c r="BZ93" i="5"/>
  <c r="CA93" i="5"/>
  <c r="BX94" i="5"/>
  <c r="BY94" i="5"/>
  <c r="BZ94" i="5"/>
  <c r="CA94" i="5"/>
  <c r="BX95" i="5"/>
  <c r="BY95" i="5"/>
  <c r="BZ95" i="5"/>
  <c r="CA95" i="5"/>
  <c r="BX96" i="5"/>
  <c r="BY96" i="5"/>
  <c r="BZ96" i="5"/>
  <c r="CA96" i="5"/>
  <c r="BX97" i="5"/>
  <c r="BY97" i="5"/>
  <c r="BZ97" i="5"/>
  <c r="CA97" i="5"/>
  <c r="BX98" i="5"/>
  <c r="BY98" i="5"/>
  <c r="BZ98" i="5"/>
  <c r="CA98" i="5"/>
  <c r="BX99" i="5"/>
  <c r="BY99" i="5"/>
  <c r="BZ99" i="5"/>
  <c r="CA99" i="5"/>
  <c r="BX100" i="5"/>
  <c r="BY100" i="5"/>
  <c r="BZ100" i="5"/>
  <c r="CA100" i="5"/>
  <c r="BX101" i="5"/>
  <c r="BY101" i="5"/>
  <c r="BZ101" i="5"/>
  <c r="CA101" i="5"/>
  <c r="BX102" i="5"/>
  <c r="BY102" i="5"/>
  <c r="BZ102" i="5"/>
  <c r="CA102" i="5"/>
  <c r="BX103" i="5"/>
  <c r="BY103" i="5"/>
  <c r="BZ103" i="5"/>
  <c r="CA103" i="5"/>
  <c r="BX104" i="5"/>
  <c r="BY104" i="5"/>
  <c r="BZ104" i="5"/>
  <c r="CA104" i="5"/>
  <c r="BX105" i="5"/>
  <c r="BY105" i="5"/>
  <c r="BZ105" i="5"/>
  <c r="CA105" i="5"/>
  <c r="BX106" i="5"/>
  <c r="BY106" i="5"/>
  <c r="BZ106" i="5"/>
  <c r="CA106" i="5"/>
  <c r="BX107" i="5"/>
  <c r="BY107" i="5"/>
  <c r="BZ107" i="5"/>
  <c r="CA107" i="5"/>
  <c r="BX108" i="5"/>
  <c r="BY108" i="5"/>
  <c r="BZ108" i="5"/>
  <c r="CA108" i="5"/>
  <c r="BX109" i="5"/>
  <c r="BY109" i="5"/>
  <c r="BZ109" i="5"/>
  <c r="CA109" i="5"/>
  <c r="BX110" i="5"/>
  <c r="BY110" i="5"/>
  <c r="BZ110" i="5"/>
  <c r="CA110" i="5"/>
  <c r="BX111" i="5"/>
  <c r="BY111" i="5"/>
  <c r="BZ111" i="5"/>
  <c r="CA111" i="5"/>
  <c r="BX112" i="5"/>
  <c r="BY112" i="5"/>
  <c r="BZ112" i="5"/>
  <c r="CA112" i="5"/>
  <c r="BX113" i="5"/>
  <c r="BY113" i="5"/>
  <c r="BZ113" i="5"/>
  <c r="CA113" i="5"/>
  <c r="BX114" i="5"/>
  <c r="BY114" i="5"/>
  <c r="BZ114" i="5"/>
  <c r="CA114" i="5"/>
  <c r="BX115" i="5"/>
  <c r="BY115" i="5"/>
  <c r="BZ115" i="5"/>
  <c r="CA115" i="5"/>
  <c r="BX116" i="5"/>
  <c r="BY116" i="5"/>
  <c r="BZ116" i="5"/>
  <c r="CA116" i="5"/>
  <c r="BX117" i="5"/>
  <c r="BY117" i="5"/>
  <c r="BZ117" i="5"/>
  <c r="CA117" i="5"/>
  <c r="BX118" i="5"/>
  <c r="BY118" i="5"/>
  <c r="BZ118" i="5"/>
  <c r="CA118" i="5"/>
  <c r="BX119" i="5"/>
  <c r="BY119" i="5"/>
  <c r="BZ119" i="5"/>
  <c r="CA119" i="5"/>
  <c r="BX120" i="5"/>
  <c r="BY120" i="5"/>
  <c r="BZ120" i="5"/>
  <c r="CA120" i="5"/>
  <c r="BX121" i="5"/>
  <c r="BY121" i="5"/>
  <c r="BZ121" i="5"/>
  <c r="CA121" i="5"/>
  <c r="BX122" i="5"/>
  <c r="BY122" i="5"/>
  <c r="BZ122" i="5"/>
  <c r="CA122" i="5"/>
  <c r="BX123" i="5"/>
  <c r="BY123" i="5"/>
  <c r="BZ123" i="5"/>
  <c r="CA123" i="5"/>
  <c r="BX124" i="5"/>
  <c r="BY124" i="5"/>
  <c r="BZ124" i="5"/>
  <c r="CA124" i="5"/>
  <c r="BX125" i="5"/>
  <c r="BY125" i="5"/>
  <c r="BZ125" i="5"/>
  <c r="CA125" i="5"/>
  <c r="BX126" i="5"/>
  <c r="BY126" i="5"/>
  <c r="BZ126" i="5"/>
  <c r="CA126" i="5"/>
  <c r="BX127" i="5"/>
  <c r="BY127" i="5"/>
  <c r="BZ127" i="5"/>
  <c r="CA127" i="5"/>
  <c r="BX128" i="5"/>
  <c r="BY128" i="5"/>
  <c r="BZ128" i="5"/>
  <c r="CA128" i="5"/>
  <c r="BX129" i="5"/>
  <c r="BY129" i="5"/>
  <c r="BZ129" i="5"/>
  <c r="CA129" i="5"/>
  <c r="BX130" i="5"/>
  <c r="BY130" i="5"/>
  <c r="BZ130" i="5"/>
  <c r="CA130" i="5"/>
  <c r="BX131" i="5"/>
  <c r="BY131" i="5"/>
  <c r="BZ131" i="5"/>
  <c r="CA131" i="5"/>
  <c r="BX132" i="5"/>
  <c r="BY132" i="5"/>
  <c r="BZ132" i="5"/>
  <c r="CA132" i="5"/>
  <c r="BX133" i="5"/>
  <c r="BY133" i="5"/>
  <c r="BZ133" i="5"/>
  <c r="CA133" i="5"/>
  <c r="BX134" i="5"/>
  <c r="BY134" i="5"/>
  <c r="BZ134" i="5"/>
  <c r="CA134" i="5"/>
  <c r="BX135" i="5"/>
  <c r="BY135" i="5"/>
  <c r="BZ135" i="5"/>
  <c r="CA135" i="5"/>
  <c r="BX136" i="5"/>
  <c r="BY136" i="5"/>
  <c r="BZ136" i="5"/>
  <c r="CA136" i="5"/>
  <c r="BX137" i="5"/>
  <c r="BY137" i="5"/>
  <c r="BZ137" i="5"/>
  <c r="CA137" i="5"/>
  <c r="BX138" i="5"/>
  <c r="BY138" i="5"/>
  <c r="BZ138" i="5"/>
  <c r="CA138" i="5"/>
  <c r="BX139" i="5"/>
  <c r="BY139" i="5"/>
  <c r="BZ139" i="5"/>
  <c r="CA139" i="5"/>
  <c r="BX140" i="5"/>
  <c r="BY140" i="5"/>
  <c r="BZ140" i="5"/>
  <c r="CA140" i="5"/>
  <c r="BX141" i="5"/>
  <c r="BY141" i="5"/>
  <c r="BZ141" i="5"/>
  <c r="CA141" i="5"/>
  <c r="BX142" i="5"/>
  <c r="BY142" i="5"/>
  <c r="BZ142" i="5"/>
  <c r="CA142" i="5"/>
  <c r="BX143" i="5"/>
  <c r="BY143" i="5"/>
  <c r="BZ143" i="5"/>
  <c r="CA143" i="5"/>
  <c r="BX144" i="5"/>
  <c r="BY144" i="5"/>
  <c r="BZ144" i="5"/>
  <c r="CA144" i="5"/>
  <c r="BX145" i="5"/>
  <c r="BY145" i="5"/>
  <c r="BZ145" i="5"/>
  <c r="CA145" i="5"/>
  <c r="BX146" i="5"/>
  <c r="BY146" i="5"/>
  <c r="BZ146" i="5"/>
  <c r="CA146" i="5"/>
  <c r="BX147" i="5"/>
  <c r="BY147" i="5"/>
  <c r="BZ147" i="5"/>
  <c r="CA147" i="5"/>
  <c r="BX148" i="5"/>
  <c r="BY148" i="5"/>
  <c r="BZ148" i="5"/>
  <c r="CA148" i="5"/>
  <c r="BX149" i="5"/>
  <c r="BY149" i="5"/>
  <c r="BZ149" i="5"/>
  <c r="CA149" i="5"/>
  <c r="BX150" i="5"/>
  <c r="BY150" i="5"/>
  <c r="BZ150" i="5"/>
  <c r="CA150" i="5"/>
  <c r="BX151" i="5"/>
  <c r="BY151" i="5"/>
  <c r="BZ151" i="5"/>
  <c r="CA151" i="5"/>
  <c r="BX152" i="5"/>
  <c r="BY152" i="5"/>
  <c r="BZ152" i="5"/>
  <c r="CA152" i="5"/>
  <c r="BX153" i="5"/>
  <c r="BY153" i="5"/>
  <c r="BZ153" i="5"/>
  <c r="CA153" i="5"/>
  <c r="BX154" i="5"/>
  <c r="BY154" i="5"/>
  <c r="BZ154" i="5"/>
  <c r="CA154" i="5"/>
  <c r="BX155" i="5"/>
  <c r="BY155" i="5"/>
  <c r="BZ155" i="5"/>
  <c r="CA155" i="5"/>
  <c r="BX156" i="5"/>
  <c r="BY156" i="5"/>
  <c r="BZ156" i="5"/>
  <c r="CA156" i="5"/>
  <c r="BX157" i="5"/>
  <c r="BY157" i="5"/>
  <c r="BZ157" i="5"/>
  <c r="CA157" i="5"/>
  <c r="BX158" i="5"/>
  <c r="BY158" i="5"/>
  <c r="BZ158" i="5"/>
  <c r="CA158" i="5"/>
  <c r="BX159" i="5"/>
  <c r="BY159" i="5"/>
  <c r="BZ159" i="5"/>
  <c r="CA159" i="5"/>
  <c r="BX160" i="5"/>
  <c r="BY160" i="5"/>
  <c r="BZ160" i="5"/>
  <c r="CA160" i="5"/>
  <c r="BX161" i="5"/>
  <c r="BY161" i="5"/>
  <c r="BZ161" i="5"/>
  <c r="CA161" i="5"/>
  <c r="BX162" i="5"/>
  <c r="BY162" i="5"/>
  <c r="BZ162" i="5"/>
  <c r="CA162" i="5"/>
  <c r="CA19" i="5"/>
  <c r="BY19" i="5"/>
  <c r="BX19" i="5"/>
  <c r="BZ19" i="5"/>
  <c r="AX20" i="5"/>
  <c r="AY20" i="5"/>
  <c r="AZ20" i="5"/>
  <c r="BA20" i="5"/>
  <c r="AX21" i="5"/>
  <c r="AY21" i="5"/>
  <c r="AZ21" i="5"/>
  <c r="BA21" i="5"/>
  <c r="AX22" i="5"/>
  <c r="AY22" i="5"/>
  <c r="AZ22" i="5"/>
  <c r="BA22" i="5"/>
  <c r="AX23" i="5"/>
  <c r="AY23" i="5"/>
  <c r="AZ23" i="5"/>
  <c r="BA23" i="5"/>
  <c r="AX24" i="5"/>
  <c r="AY24" i="5"/>
  <c r="AZ24" i="5"/>
  <c r="BA24" i="5"/>
  <c r="AX25" i="5"/>
  <c r="AY25" i="5"/>
  <c r="AZ25" i="5"/>
  <c r="BA25" i="5"/>
  <c r="AX26" i="5"/>
  <c r="AY26" i="5"/>
  <c r="AZ26" i="5"/>
  <c r="BA26" i="5"/>
  <c r="AX27" i="5"/>
  <c r="AY27" i="5"/>
  <c r="AZ27" i="5"/>
  <c r="BA27" i="5"/>
  <c r="AX28" i="5"/>
  <c r="AY28" i="5"/>
  <c r="AZ28" i="5"/>
  <c r="BA28" i="5"/>
  <c r="AX29" i="5"/>
  <c r="AY29" i="5"/>
  <c r="AZ29" i="5"/>
  <c r="BA29" i="5"/>
  <c r="AX30" i="5"/>
  <c r="AY30" i="5"/>
  <c r="AZ30" i="5"/>
  <c r="BA30" i="5"/>
  <c r="AX31" i="5"/>
  <c r="AY31" i="5"/>
  <c r="AZ31" i="5"/>
  <c r="BA31" i="5"/>
  <c r="AX32" i="5"/>
  <c r="AY32" i="5"/>
  <c r="AZ32" i="5"/>
  <c r="BA32" i="5"/>
  <c r="AX33" i="5"/>
  <c r="AY33" i="5"/>
  <c r="AZ33" i="5"/>
  <c r="BA33" i="5"/>
  <c r="AX34" i="5"/>
  <c r="AY34" i="5"/>
  <c r="AZ34" i="5"/>
  <c r="BA34" i="5"/>
  <c r="AX35" i="5"/>
  <c r="AY35" i="5"/>
  <c r="AZ35" i="5"/>
  <c r="BA35" i="5"/>
  <c r="AX36" i="5"/>
  <c r="AY36" i="5"/>
  <c r="AZ36" i="5"/>
  <c r="BA36" i="5"/>
  <c r="AX37" i="5"/>
  <c r="AY37" i="5"/>
  <c r="AZ37" i="5"/>
  <c r="BA37" i="5"/>
  <c r="AX38" i="5"/>
  <c r="AY38" i="5"/>
  <c r="AZ38" i="5"/>
  <c r="BA38" i="5"/>
  <c r="AX39" i="5"/>
  <c r="AY39" i="5"/>
  <c r="AZ39" i="5"/>
  <c r="BA39" i="5"/>
  <c r="AX40" i="5"/>
  <c r="AY40" i="5"/>
  <c r="AZ40" i="5"/>
  <c r="BA40" i="5"/>
  <c r="AX41" i="5"/>
  <c r="AY41" i="5"/>
  <c r="AZ41" i="5"/>
  <c r="BA41" i="5"/>
  <c r="AX42" i="5"/>
  <c r="AY42" i="5"/>
  <c r="AZ42" i="5"/>
  <c r="BA42" i="5"/>
  <c r="AX43" i="5"/>
  <c r="AY43" i="5"/>
  <c r="AZ43" i="5"/>
  <c r="BA43" i="5"/>
  <c r="AX44" i="5"/>
  <c r="AY44" i="5"/>
  <c r="AZ44" i="5"/>
  <c r="BA44" i="5"/>
  <c r="AX45" i="5"/>
  <c r="AY45" i="5"/>
  <c r="AZ45" i="5"/>
  <c r="BA45" i="5"/>
  <c r="AX46" i="5"/>
  <c r="AY46" i="5"/>
  <c r="AZ46" i="5"/>
  <c r="BA46" i="5"/>
  <c r="AX47" i="5"/>
  <c r="AY47" i="5"/>
  <c r="AZ47" i="5"/>
  <c r="BA47" i="5"/>
  <c r="AX48" i="5"/>
  <c r="AY48" i="5"/>
  <c r="AZ48" i="5"/>
  <c r="BA48" i="5"/>
  <c r="AX49" i="5"/>
  <c r="AY49" i="5"/>
  <c r="AZ49" i="5"/>
  <c r="BA49" i="5"/>
  <c r="AX50" i="5"/>
  <c r="AY50" i="5"/>
  <c r="AZ50" i="5"/>
  <c r="BA50" i="5"/>
  <c r="AX51" i="5"/>
  <c r="AY51" i="5"/>
  <c r="AZ51" i="5"/>
  <c r="BA51" i="5"/>
  <c r="AX52" i="5"/>
  <c r="AY52" i="5"/>
  <c r="AZ52" i="5"/>
  <c r="BA52" i="5"/>
  <c r="AX53" i="5"/>
  <c r="AY53" i="5"/>
  <c r="AZ53" i="5"/>
  <c r="BA53" i="5"/>
  <c r="AX54" i="5"/>
  <c r="AY54" i="5"/>
  <c r="AZ54" i="5"/>
  <c r="BA54" i="5"/>
  <c r="AX55" i="5"/>
  <c r="AY55" i="5"/>
  <c r="AZ55" i="5"/>
  <c r="BA55" i="5"/>
  <c r="AX56" i="5"/>
  <c r="AY56" i="5"/>
  <c r="AZ56" i="5"/>
  <c r="BA56" i="5"/>
  <c r="AX57" i="5"/>
  <c r="AY57" i="5"/>
  <c r="AZ57" i="5"/>
  <c r="BA57" i="5"/>
  <c r="AX58" i="5"/>
  <c r="AY58" i="5"/>
  <c r="AZ58" i="5"/>
  <c r="BA58" i="5"/>
  <c r="AX59" i="5"/>
  <c r="AY59" i="5"/>
  <c r="AZ59" i="5"/>
  <c r="BA59" i="5"/>
  <c r="AX60" i="5"/>
  <c r="AY60" i="5"/>
  <c r="AZ60" i="5"/>
  <c r="BA60" i="5"/>
  <c r="AX61" i="5"/>
  <c r="AY61" i="5"/>
  <c r="AZ61" i="5"/>
  <c r="BA61" i="5"/>
  <c r="AX62" i="5"/>
  <c r="AY62" i="5"/>
  <c r="AZ62" i="5"/>
  <c r="BA62" i="5"/>
  <c r="AX63" i="5"/>
  <c r="AY63" i="5"/>
  <c r="AZ63" i="5"/>
  <c r="BA63" i="5"/>
  <c r="AX64" i="5"/>
  <c r="AY64" i="5"/>
  <c r="AZ64" i="5"/>
  <c r="BA64" i="5"/>
  <c r="AX65" i="5"/>
  <c r="AY65" i="5"/>
  <c r="AZ65" i="5"/>
  <c r="BA65" i="5"/>
  <c r="AX66" i="5"/>
  <c r="AY66" i="5"/>
  <c r="AZ66" i="5"/>
  <c r="BA66" i="5"/>
  <c r="AX67" i="5"/>
  <c r="AY67" i="5"/>
  <c r="AZ67" i="5"/>
  <c r="BA67" i="5"/>
  <c r="AX68" i="5"/>
  <c r="AY68" i="5"/>
  <c r="AZ68" i="5"/>
  <c r="BA68" i="5"/>
  <c r="AX69" i="5"/>
  <c r="AY69" i="5"/>
  <c r="AZ69" i="5"/>
  <c r="BA69" i="5"/>
  <c r="AX70" i="5"/>
  <c r="AY70" i="5"/>
  <c r="AZ70" i="5"/>
  <c r="BA70" i="5"/>
  <c r="AX71" i="5"/>
  <c r="AY71" i="5"/>
  <c r="AZ71" i="5"/>
  <c r="BA71" i="5"/>
  <c r="AX72" i="5"/>
  <c r="AY72" i="5"/>
  <c r="AZ72" i="5"/>
  <c r="BA72" i="5"/>
  <c r="AX73" i="5"/>
  <c r="AY73" i="5"/>
  <c r="AZ73" i="5"/>
  <c r="BA73" i="5"/>
  <c r="AX74" i="5"/>
  <c r="AY74" i="5"/>
  <c r="AZ74" i="5"/>
  <c r="BA74" i="5"/>
  <c r="AX75" i="5"/>
  <c r="AY75" i="5"/>
  <c r="AZ75" i="5"/>
  <c r="BA75" i="5"/>
  <c r="AX76" i="5"/>
  <c r="AY76" i="5"/>
  <c r="AZ76" i="5"/>
  <c r="BA76" i="5"/>
  <c r="AX77" i="5"/>
  <c r="AY77" i="5"/>
  <c r="AZ77" i="5"/>
  <c r="BA77" i="5"/>
  <c r="AX78" i="5"/>
  <c r="AY78" i="5"/>
  <c r="AZ78" i="5"/>
  <c r="BA78" i="5"/>
  <c r="AX79" i="5"/>
  <c r="AY79" i="5"/>
  <c r="AZ79" i="5"/>
  <c r="BA79" i="5"/>
  <c r="AX80" i="5"/>
  <c r="AY80" i="5"/>
  <c r="AZ80" i="5"/>
  <c r="BA80" i="5"/>
  <c r="AX81" i="5"/>
  <c r="AY81" i="5"/>
  <c r="AZ81" i="5"/>
  <c r="BA81" i="5"/>
  <c r="AX82" i="5"/>
  <c r="AY82" i="5"/>
  <c r="AZ82" i="5"/>
  <c r="BA82" i="5"/>
  <c r="AX83" i="5"/>
  <c r="AY83" i="5"/>
  <c r="AZ83" i="5"/>
  <c r="BA83" i="5"/>
  <c r="AX84" i="5"/>
  <c r="AY84" i="5"/>
  <c r="AZ84" i="5"/>
  <c r="BA84" i="5"/>
  <c r="AX85" i="5"/>
  <c r="AY85" i="5"/>
  <c r="AZ85" i="5"/>
  <c r="BA85" i="5"/>
  <c r="AX86" i="5"/>
  <c r="AY86" i="5"/>
  <c r="AZ86" i="5"/>
  <c r="BA86" i="5"/>
  <c r="AX87" i="5"/>
  <c r="AY87" i="5"/>
  <c r="AZ87" i="5"/>
  <c r="BA87" i="5"/>
  <c r="AX88" i="5"/>
  <c r="AY88" i="5"/>
  <c r="AZ88" i="5"/>
  <c r="BA88" i="5"/>
  <c r="AX89" i="5"/>
  <c r="AY89" i="5"/>
  <c r="AZ89" i="5"/>
  <c r="BA89" i="5"/>
  <c r="AX90" i="5"/>
  <c r="AY90" i="5"/>
  <c r="AZ90" i="5"/>
  <c r="BA90" i="5"/>
  <c r="AX91" i="5"/>
  <c r="AY91" i="5"/>
  <c r="AZ91" i="5"/>
  <c r="BA91" i="5"/>
  <c r="AX92" i="5"/>
  <c r="AY92" i="5"/>
  <c r="AZ92" i="5"/>
  <c r="BA92" i="5"/>
  <c r="AX93" i="5"/>
  <c r="AY93" i="5"/>
  <c r="AZ93" i="5"/>
  <c r="BA93" i="5"/>
  <c r="AX94" i="5"/>
  <c r="AY94" i="5"/>
  <c r="AZ94" i="5"/>
  <c r="BA94" i="5"/>
  <c r="AX95" i="5"/>
  <c r="AY95" i="5"/>
  <c r="AZ95" i="5"/>
  <c r="BA95" i="5"/>
  <c r="AX96" i="5"/>
  <c r="AY96" i="5"/>
  <c r="AZ96" i="5"/>
  <c r="BA96" i="5"/>
  <c r="AX97" i="5"/>
  <c r="AY97" i="5"/>
  <c r="AZ97" i="5"/>
  <c r="BA97" i="5"/>
  <c r="AX98" i="5"/>
  <c r="AY98" i="5"/>
  <c r="AZ98" i="5"/>
  <c r="BA98" i="5"/>
  <c r="AX99" i="5"/>
  <c r="AY99" i="5"/>
  <c r="AZ99" i="5"/>
  <c r="BA99" i="5"/>
  <c r="AX100" i="5"/>
  <c r="AY100" i="5"/>
  <c r="AZ100" i="5"/>
  <c r="BA100" i="5"/>
  <c r="AX101" i="5"/>
  <c r="AY101" i="5"/>
  <c r="AZ101" i="5"/>
  <c r="BA101" i="5"/>
  <c r="AX102" i="5"/>
  <c r="AY102" i="5"/>
  <c r="AZ102" i="5"/>
  <c r="BA102" i="5"/>
  <c r="AX103" i="5"/>
  <c r="AY103" i="5"/>
  <c r="AZ103" i="5"/>
  <c r="BA103" i="5"/>
  <c r="AX104" i="5"/>
  <c r="AY104" i="5"/>
  <c r="AZ104" i="5"/>
  <c r="BA104" i="5"/>
  <c r="AX105" i="5"/>
  <c r="AY105" i="5"/>
  <c r="AZ105" i="5"/>
  <c r="BA105" i="5"/>
  <c r="AX106" i="5"/>
  <c r="AY106" i="5"/>
  <c r="AZ106" i="5"/>
  <c r="BA106" i="5"/>
  <c r="AX107" i="5"/>
  <c r="AY107" i="5"/>
  <c r="AZ107" i="5"/>
  <c r="BA107" i="5"/>
  <c r="AX108" i="5"/>
  <c r="AY108" i="5"/>
  <c r="AZ108" i="5"/>
  <c r="BA108" i="5"/>
  <c r="AX109" i="5"/>
  <c r="AY109" i="5"/>
  <c r="AZ109" i="5"/>
  <c r="BA109" i="5"/>
  <c r="AX110" i="5"/>
  <c r="AY110" i="5"/>
  <c r="AZ110" i="5"/>
  <c r="BA110" i="5"/>
  <c r="AX111" i="5"/>
  <c r="AY111" i="5"/>
  <c r="AZ111" i="5"/>
  <c r="BA111" i="5"/>
  <c r="AX112" i="5"/>
  <c r="AY112" i="5"/>
  <c r="AZ112" i="5"/>
  <c r="BA112" i="5"/>
  <c r="AX113" i="5"/>
  <c r="AY113" i="5"/>
  <c r="AZ113" i="5"/>
  <c r="BA113" i="5"/>
  <c r="AX114" i="5"/>
  <c r="AY114" i="5"/>
  <c r="AZ114" i="5"/>
  <c r="BA114" i="5"/>
  <c r="AX115" i="5"/>
  <c r="AY115" i="5"/>
  <c r="AZ115" i="5"/>
  <c r="BA115" i="5"/>
  <c r="AX116" i="5"/>
  <c r="AY116" i="5"/>
  <c r="AZ116" i="5"/>
  <c r="BA116" i="5"/>
  <c r="AX117" i="5"/>
  <c r="AY117" i="5"/>
  <c r="AZ117" i="5"/>
  <c r="BA117" i="5"/>
  <c r="AX118" i="5"/>
  <c r="AY118" i="5"/>
  <c r="AZ118" i="5"/>
  <c r="BA118" i="5"/>
  <c r="AX119" i="5"/>
  <c r="AY119" i="5"/>
  <c r="AZ119" i="5"/>
  <c r="BA119" i="5"/>
  <c r="AX120" i="5"/>
  <c r="AY120" i="5"/>
  <c r="AZ120" i="5"/>
  <c r="BA120" i="5"/>
  <c r="AX121" i="5"/>
  <c r="AY121" i="5"/>
  <c r="AZ121" i="5"/>
  <c r="BA121" i="5"/>
  <c r="AX122" i="5"/>
  <c r="AY122" i="5"/>
  <c r="AZ122" i="5"/>
  <c r="BA122" i="5"/>
  <c r="AX123" i="5"/>
  <c r="AY123" i="5"/>
  <c r="AZ123" i="5"/>
  <c r="BA123" i="5"/>
  <c r="AX124" i="5"/>
  <c r="AY124" i="5"/>
  <c r="AZ124" i="5"/>
  <c r="BA124" i="5"/>
  <c r="AX125" i="5"/>
  <c r="AY125" i="5"/>
  <c r="AZ125" i="5"/>
  <c r="BA125" i="5"/>
  <c r="AX126" i="5"/>
  <c r="AY126" i="5"/>
  <c r="AZ126" i="5"/>
  <c r="BA126" i="5"/>
  <c r="AX127" i="5"/>
  <c r="AY127" i="5"/>
  <c r="AZ127" i="5"/>
  <c r="BA127" i="5"/>
  <c r="AX128" i="5"/>
  <c r="AY128" i="5"/>
  <c r="AZ128" i="5"/>
  <c r="BA128" i="5"/>
  <c r="AX129" i="5"/>
  <c r="AY129" i="5"/>
  <c r="AZ129" i="5"/>
  <c r="BA129" i="5"/>
  <c r="AX130" i="5"/>
  <c r="AY130" i="5"/>
  <c r="AZ130" i="5"/>
  <c r="BA130" i="5"/>
  <c r="AX131" i="5"/>
  <c r="AY131" i="5"/>
  <c r="AZ131" i="5"/>
  <c r="BA131" i="5"/>
  <c r="AX132" i="5"/>
  <c r="AY132" i="5"/>
  <c r="AZ132" i="5"/>
  <c r="BA132" i="5"/>
  <c r="AX133" i="5"/>
  <c r="AY133" i="5"/>
  <c r="AZ133" i="5"/>
  <c r="BA133" i="5"/>
  <c r="AX134" i="5"/>
  <c r="AY134" i="5"/>
  <c r="AZ134" i="5"/>
  <c r="BA134" i="5"/>
  <c r="AX135" i="5"/>
  <c r="AY135" i="5"/>
  <c r="AZ135" i="5"/>
  <c r="BA135" i="5"/>
  <c r="AX136" i="5"/>
  <c r="AY136" i="5"/>
  <c r="AZ136" i="5"/>
  <c r="BA136" i="5"/>
  <c r="AX137" i="5"/>
  <c r="AY137" i="5"/>
  <c r="AZ137" i="5"/>
  <c r="BA137" i="5"/>
  <c r="AX138" i="5"/>
  <c r="AY138" i="5"/>
  <c r="AZ138" i="5"/>
  <c r="BA138" i="5"/>
  <c r="AX139" i="5"/>
  <c r="AY139" i="5"/>
  <c r="AZ139" i="5"/>
  <c r="BA139" i="5"/>
  <c r="BA19" i="5"/>
  <c r="AY19" i="5"/>
  <c r="AX19" i="5"/>
  <c r="AZ19" i="5"/>
  <c r="L134" i="5"/>
  <c r="L135" i="5"/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<sst xmlns="http://schemas.openxmlformats.org/spreadsheetml/2006/main" count="410" uniqueCount="182">
  <si>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</si>
  <si>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</si>
  <si>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</si>
  <si>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</si>
  <si>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</si>
  <si>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</si>
  <si>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</si>
  <si>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</si>
  <si>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</si>
  <si>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</si>
  <si>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</si>
  <si>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</si>
  <si>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</si>
  <si>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</si>
  <si>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</si>
  <si>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</si>
  <si>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</si>
  <si>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</si>
  <si>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</si>
  <si>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</si>
  <si>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</si>
  <si>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</si>
  <si>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</si>
  <si>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</si>
  <si>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</si>
  <si>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</si>
  <si>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</si>
  <si>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</si>
  <si>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</si>
  <si>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</si>
  <si>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</si>
  <si>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</si>
  <si>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</si>
  <si>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</si>
  <si>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</si>
  <si>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</si>
  <si>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</si>
  <si>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</si>
  <si>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</si>
  <si>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</si>
  <si>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</si>
  <si>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</si>
  <si>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</si>
  <si>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</si>
  <si>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</si>
  <si>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</si>
  <si>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</si>
  <si>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</si>
  <si>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</si>
  <si>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</si>
  <si>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</si>
  <si>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</si>
  <si>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</si>
  <si>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</si>
  <si>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</si>
  <si>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</si>
  <si>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</si>
  <si>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</si>
  <si>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</si>
  <si>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</si>
  <si>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</si>
  <si>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</si>
  <si>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</si>
  <si>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</si>
  <si>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</si>
  <si>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</si>
  <si>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</si>
  <si>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</si>
  <si>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</si>
  <si>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</si>
  <si>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</si>
  <si>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</si>
  <si>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</si>
  <si>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</si>
  <si>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</si>
  <si>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</si>
  <si>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</si>
  <si>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</si>
  <si>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</si>
  <si>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</si>
  <si>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</si>
  <si>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</si>
  <si>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</si>
  <si>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</si>
  <si>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</si>
  <si>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</si>
  <si>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</si>
  <si>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</si>
  <si>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</si>
  <si>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</si>
  <si>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</si>
  <si>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</si>
  <si>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</si>
  <si>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</si>
  <si>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</si>
  <si>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</si>
  <si>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</si>
  <si>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</si>
  <si>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</si>
  <si>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</si>
  <si>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</si>
  <si>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</si>
  <si>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</si>
  <si>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</si>
  <si>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</si>
  <si>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</si>
  <si>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</si>
  <si>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</si>
  <si>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</si>
  <si>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</si>
  <si>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</si>
  <si>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</si>
  <si>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C:\Users\aaron.lange\Desktop\Projekte\Geometrie_Converter\GeometrieConverter\databases\MP.db</t>
  </si>
  <si>
    <t>project_id</t>
  </si>
  <si>
    <t>index</t>
  </si>
  <si>
    <t>table_name</t>
  </si>
  <si>
    <t>project_name</t>
  </si>
  <si>
    <t>TP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</si>
  <si>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</si>
  <si>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</si>
  <si>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</si>
  <si>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</si>
  <si>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</si>
  <si>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</si>
  <si>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</si>
  <si>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25F234</t>
  </si>
  <si>
    <t>Project2</t>
  </si>
  <si>
    <t>Ostesee, pilapo</t>
  </si>
  <si>
    <t>TP02</t>
  </si>
  <si>
    <t>(edits change db entry when saved!!)</t>
  </si>
  <si>
    <t>25F456</t>
  </si>
  <si>
    <t>Project3</t>
  </si>
  <si>
    <t>Taiwan Straight, pilapo</t>
  </si>
  <si>
    <t>25F123</t>
  </si>
  <si>
    <t>Project1</t>
  </si>
  <si>
    <t>Nordesee, pilapo</t>
  </si>
  <si>
    <t>TP03</t>
  </si>
  <si>
    <t>TOWER</t>
  </si>
  <si>
    <t>C:\Users\aaron.lange\Desktop\Projekte\Geometrie_Converter\GeometrieConverter\databases\Tower.db</t>
  </si>
  <si>
    <t>rho_stahl</t>
  </si>
  <si>
    <t>TOWER01</t>
  </si>
  <si>
    <t>TOWER02</t>
  </si>
  <si>
    <t>TOWER03</t>
  </si>
  <si>
    <t>Spalte1</t>
  </si>
  <si>
    <t>Phase</t>
  </si>
  <si>
    <t>waterdepth</t>
  </si>
  <si>
    <t>TURBINE</t>
  </si>
  <si>
    <t>Identifier</t>
  </si>
  <si>
    <t>Project ID</t>
  </si>
  <si>
    <t>Structure ID</t>
  </si>
  <si>
    <t>comments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</si>
  <si>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</si>
  <si>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</si>
  <si>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</si>
  <si>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</si>
  <si>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</si>
  <si>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</si>
  <si>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</si>
  <si>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</si>
  <si>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ID</t>
  </si>
  <si>
    <t>Description</t>
  </si>
  <si>
    <t>Elevation [mLAT]</t>
  </si>
  <si>
    <t>SCF [mm]</t>
  </si>
  <si>
    <t>Location</t>
  </si>
  <si>
    <t>Opening factor</t>
  </si>
  <si>
    <t>ATP support ring</t>
  </si>
  <si>
    <t>I</t>
  </si>
  <si>
    <t>g</t>
  </si>
  <si>
    <t>ATP support stiffener (bottom)</t>
  </si>
  <si>
    <t>Water replenishment hole</t>
  </si>
  <si>
    <t>O</t>
  </si>
  <si>
    <t>o</t>
  </si>
  <si>
    <t>MP9-01</t>
  </si>
  <si>
    <t>Sonar transponder cable hole</t>
  </si>
  <si>
    <t>Sonar transponder stud connector</t>
  </si>
  <si>
    <t>MP14-01</t>
  </si>
  <si>
    <t>IAC hole</t>
  </si>
  <si>
    <t>MP1-01-01</t>
  </si>
  <si>
    <t>MP1-01-02</t>
  </si>
  <si>
    <t>MP6-01</t>
  </si>
  <si>
    <t>MP9-02</t>
  </si>
  <si>
    <t>MP12-01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</si>
</sst>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8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164" fontId="1" fillId="0" borderId="0"/>
  </cellStyleXfs>
  <cellXfs count="108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  <xf numFmtId="0" fontId="0" fillId="0" borderId="0" xfId="0" applyBorder="1"/>
    <xf numFmtId="0" fontId="11" fillId="0" borderId="0" xfId="0" applyFont="1" applyBorder="1"/>
    <xf numFmtId="0" fontId="0" fillId="0" borderId="0" xfId="0" applyBorder="1" applyAlignment="1">
      <alignment vertical="center"/>
    </xf>
    <xf numFmtId="0" fontId="3" fillId="0" borderId="0" xfId="0" applyFont="1" applyBorder="1" applyAlignment="1">
      <alignment horizontal="right"/>
    </xf>
    <xf numFmtId="0" fontId="4" fillId="0" borderId="0" xfId="0" applyFont="1" applyBorder="1"/>
    <xf numFmtId="0" fontId="5" fillId="17" borderId="0" xfId="0" applyFont="1" applyFill="1" applyBorder="1"/>
    <xf numFmtId="0" fontId="12" fillId="17" borderId="0" xfId="0" applyFont="1" applyFill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4" fillId="0" borderId="0" xfId="0" applyFont="1" applyFill="1" applyBorder="1"/>
    <xf numFmtId="0" fontId="12" fillId="0" borderId="0" xfId="0" applyFont="1" applyBorder="1"/>
    <xf numFmtId="0" fontId="12" fillId="0" borderId="0" xfId="0" applyFont="1" applyFill="1" applyBorder="1"/>
    <xf numFmtId="0" fontId="3" fillId="0" borderId="0" xfId="0" applyFont="1" applyBorder="1"/>
    <xf numFmtId="168" fontId="0" fillId="0" borderId="0" xfId="0" applyNumberFormat="1" applyBorder="1"/>
    <xf numFmtId="0" fontId="0" fillId="18" borderId="0" xfId="0" applyFill="1" applyBorder="1"/>
  </cellXfs>
  <cellStyles count="2">
    <cellStyle name="Standard" xfId="0" builtinId="0"/>
    <cellStyle name="Standard 4" xfId="1" xr:uid="{7C2E7282-4006-4D40-8AAC-8E6944058B8E}"/>
  </cellStyles>
  <dxfs count="12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Style="combo" dx="26" noThreeD="1" sel="1" val="0">
  <itemLst>
    <item val="TP02"/>
    <item val="TP03"/>
  </itemLst>
</formControlPr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Style="combo" dx="26" noThreeD="1" sel="3" val="0">
  <itemLst>
    <item val="TOWER01"/>
    <item val="TOWER02"/>
    <item val="TOWER03"/>
  </itemLst>
</formControlPr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160020</xdr:rowOff>
        </xdr:from>
        <xdr:to>
          <xdr:col>2</xdr:col>
          <xdr:colOff>668655</xdr:colOff>
          <xdr:row>9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7</xdr:row>
          <xdr:rowOff>30480</xdr:rowOff>
        </xdr:from>
        <xdr:to>
          <xdr:col>1</xdr:col>
          <xdr:colOff>800100</xdr:colOff>
          <xdr:row>7</xdr:row>
          <xdr:rowOff>259080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45720</xdr:colOff>
          <xdr:row>8</xdr:row>
          <xdr:rowOff>160020</xdr:rowOff>
        </xdr:from>
        <xdr:to>
          <xdr:col>45</xdr:col>
          <xdr:colOff>419100</xdr:colOff>
          <xdr:row>9</xdr:row>
          <xdr:rowOff>152400</xdr:rowOff>
        </xdr:to>
        <xdr:sp macro="" textlink="">
          <xdr:nvSpPr>
            <xdr:cNvPr id="4104" name="Dropdown_TP_Structure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30480</xdr:colOff>
          <xdr:row>7</xdr:row>
          <xdr:rowOff>30480</xdr:rowOff>
        </xdr:from>
        <xdr:to>
          <xdr:col>42</xdr:col>
          <xdr:colOff>800100</xdr:colOff>
          <xdr:row>7</xdr:row>
          <xdr:rowOff>259080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36980</xdr:colOff>
          <xdr:row>11</xdr:row>
          <xdr:rowOff>20619</xdr:rowOff>
        </xdr:from>
        <xdr:to>
          <xdr:col>14</xdr:col>
          <xdr:colOff>1344705</xdr:colOff>
          <xdr:row>15</xdr:row>
          <xdr:rowOff>145677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279249</xdr:colOff>
          <xdr:row>11</xdr:row>
          <xdr:rowOff>29472</xdr:rowOff>
        </xdr:from>
        <xdr:to>
          <xdr:col>9</xdr:col>
          <xdr:colOff>784411</xdr:colOff>
          <xdr:row>15</xdr:row>
          <xdr:rowOff>156882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563880</xdr:colOff>
          <xdr:row>11</xdr:row>
          <xdr:rowOff>60960</xdr:rowOff>
        </xdr:from>
        <xdr:to>
          <xdr:col>52</xdr:col>
          <xdr:colOff>685800</xdr:colOff>
          <xdr:row>15</xdr:row>
          <xdr:rowOff>160020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11</xdr:row>
          <xdr:rowOff>68580</xdr:rowOff>
        </xdr:from>
        <xdr:to>
          <xdr:col>50</xdr:col>
          <xdr:colOff>274320</xdr:colOff>
          <xdr:row>15</xdr:row>
          <xdr:rowOff>152400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45720</xdr:colOff>
          <xdr:row>8</xdr:row>
          <xdr:rowOff>160020</xdr:rowOff>
        </xdr:from>
        <xdr:to>
          <xdr:col>71</xdr:col>
          <xdr:colOff>419100</xdr:colOff>
          <xdr:row>9</xdr:row>
          <xdr:rowOff>152400</xdr:rowOff>
        </xdr:to>
        <xdr:sp macro="" textlink="">
          <xdr:nvSpPr>
            <xdr:cNvPr id="4111" name="Dropdown_TOWER_Structures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30480</xdr:colOff>
          <xdr:row>7</xdr:row>
          <xdr:rowOff>30480</xdr:rowOff>
        </xdr:from>
        <xdr:to>
          <xdr:col>68</xdr:col>
          <xdr:colOff>800100</xdr:colOff>
          <xdr:row>7</xdr:row>
          <xdr:rowOff>259080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594360</xdr:colOff>
          <xdr:row>11</xdr:row>
          <xdr:rowOff>76200</xdr:rowOff>
        </xdr:from>
        <xdr:to>
          <xdr:col>78</xdr:col>
          <xdr:colOff>708660</xdr:colOff>
          <xdr:row>15</xdr:row>
          <xdr:rowOff>175260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30480</xdr:colOff>
          <xdr:row>11</xdr:row>
          <xdr:rowOff>83820</xdr:rowOff>
        </xdr:from>
        <xdr:to>
          <xdr:col>76</xdr:col>
          <xdr:colOff>304800</xdr:colOff>
          <xdr:row>15</xdr:row>
          <xdr:rowOff>160020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49529</xdr:colOff>
          <xdr:row>11</xdr:row>
          <xdr:rowOff>20843</xdr:rowOff>
        </xdr:from>
        <xdr:to>
          <xdr:col>12</xdr:col>
          <xdr:colOff>728381</xdr:colOff>
          <xdr:row>15</xdr:row>
          <xdr:rowOff>156882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10</xdr:row>
          <xdr:rowOff>0</xdr:rowOff>
        </xdr:from>
        <xdr:to>
          <xdr:col>2</xdr:col>
          <xdr:colOff>99060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22860</xdr:rowOff>
        </xdr:from>
        <xdr:to>
          <xdr:col>3</xdr:col>
          <xdr:colOff>601980</xdr:colOff>
          <xdr:row>12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6">
          <cell r="H36"/>
          <cell r="I36"/>
          <cell r="J36"/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5B7EAF-F4B3-4CB0-91CE-F052BEDE2D4C}" name="TP_DATA_TRUE" displayName="TP_DATA_TRUE" ref="BC18:BJ43" totalsRowShown="0" headerRowDxfId="120">
  <autoFilter ref="BC18:BJ43" xr:uid="{A05B7EAF-F4B3-4CB0-91CE-F052BEDE2D4C}"/>
  <tableColumns count="8">
    <tableColumn id="1" xr3:uid="{36A8AEBD-BCE8-4616-8BF1-244AC23DF635}" name="index"/>
    <tableColumn id="2" xr3:uid="{213DB178-23F5-4B18-8924-D2FACACFCB01}" name="Section"/>
    <tableColumn id="3" xr3:uid="{6D3244F2-6451-433F-B598-0434C7F17652}" name="Top"/>
    <tableColumn id="4" xr3:uid="{4323E14B-B20E-45CB-80B5-9ABE1324ECAB}" name="Bottom"/>
    <tableColumn id="5" xr3:uid="{D7E7C610-6414-4B3C-AC77-FEECE8F7A393}" name="D, top"/>
    <tableColumn id="6" xr3:uid="{5EF5BF37-07D0-4397-83DE-A67BCED8D316}" name="D, bottom"/>
    <tableColumn id="7" xr3:uid="{3B1F32B8-4836-442E-9D2C-7597DC9A451E}" name="t"/>
    <tableColumn id="8" xr3:uid="{A87205F3-F056-4BB2-AF00-FEC6AD194F12}" name="Spalte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2:G13" totalsRowShown="0" dataDxfId="15">
  <autoFilter ref="B12:G13" xr:uid="{51AF5F9E-A6E5-4BA1-83BE-2546351DAE06}"/>
  <tableColumns count="6">
    <tableColumn id="1" xr3:uid="{8004DE55-01A0-4AB5-A007-D379F8ED184F}" name="Identifier" dataDxfId="21"/>
    <tableColumn id="2" xr3:uid="{73AEE22B-B9CF-4401-B31E-64902257C6A9}" name="Project ID" dataDxfId="20"/>
    <tableColumn id="3" xr3:uid="{6CD7BEF9-707B-4F7D-A334-46DB51B6F454}" name="Phase" dataDxfId="19"/>
    <tableColumn id="4" xr3:uid="{5572AB9F-884A-4001-85E7-5E708A2DFC71}" name="Structure ID" dataDxfId="18"/>
    <tableColumn id="5" xr3:uid="{AFCB5F1D-C5C1-4D21-A7C0-310C0D52F9E4}" name="waterdepth" dataDxfId="17"/>
    <tableColumn id="6" xr3:uid="{149EEBB8-62A5-42C4-97FD-484848DB0825}" name="comments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448141-751E-4CE2-A594-6FB37278B989}" name="TP_META" displayName="TP_META" ref="AQ12:AU13" totalsRowShown="0" headerRowDxfId="119" dataDxfId="118">
  <autoFilter ref="AQ12:AU13" xr:uid="{94448141-751E-4CE2-A594-6FB37278B989}"/>
  <tableColumns count="5">
    <tableColumn id="1" xr3:uid="{57DB9C8F-6298-444F-B781-43E493EC350C}" name="index" dataDxfId="95"/>
    <tableColumn id="2" xr3:uid="{E7173C8D-9FFE-458C-872E-CE7E40948D81}" name="table_name" dataDxfId="94"/>
    <tableColumn id="3" xr3:uid="{F7ED4469-200D-42A4-AC13-864E25AA4DF7}" name="project_id" dataDxfId="93"/>
    <tableColumn id="4" xr3:uid="{51AB38F8-F9F6-4EC5-98F3-EF7061139063}" name="project_name" dataDxfId="92"/>
    <tableColumn id="5" xr3:uid="{9757B10C-0135-418C-998A-27E8CF880303}" name="comment" dataDxfId="9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15:G16" totalsRowShown="0" dataDxfId="117">
  <autoFilter ref="B15:G16" xr:uid="{58117B73-5FCA-4002-A528-31B3F83BDE75}"/>
  <tableColumns count="6">
    <tableColumn id="1" xr3:uid="{5C484AAB-AA0F-4FBD-9543-28D80EB7F84D}" name="Identifier" dataDxfId="90"/>
    <tableColumn id="2" xr3:uid="{87603448-795E-499B-8754-D6455D5FF52F}" name="Project ID" dataDxfId="89"/>
    <tableColumn id="3" xr3:uid="{51EA6487-4EF3-43A9-B440-34893EEEEAB2}" name="Phase" dataDxfId="88"/>
    <tableColumn id="4" xr3:uid="{4AC48BB5-6D2E-492F-89B1-5662010991A8}" name="Structure ID" dataDxfId="87"/>
    <tableColumn id="5" xr3:uid="{2AE3ED2D-7CAB-45B8-AA43-6197A5DBB9C2}" name="waterdepth" dataDxfId="86"/>
    <tableColumn id="6" xr3:uid="{BC0E3E2E-DE67-4FD9-94E9-5C112B52D3FD}" name="comments" dataDxfId="8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18:G43" totalsRowShown="0" headerRowDxfId="116" dataDxfId="8">
  <autoFilter ref="B18:G43" xr:uid="{C9C31EE9-6B44-4D67-9597-BD108F88B355}"/>
  <sortState xmlns:xlrd2="http://schemas.microsoft.com/office/spreadsheetml/2017/richdata2" ref="B19:L43">
    <sortCondition ref="B18:B43"/>
  </sortState>
  <tableColumns count="6">
    <tableColumn id="1" xr3:uid="{15F53C56-04A7-4EA4-A64D-A2A5A78E2AA2}" name="Section" dataDxfId="14"/>
    <tableColumn id="2" xr3:uid="{01B5124C-F6E1-40D2-9236-F2D6BE941DD3}" name="Top" dataDxfId="13"/>
    <tableColumn id="3" xr3:uid="{0537C90E-D320-4AC4-8392-2A7C45CE31A1}" name="Bottom" dataDxfId="12"/>
    <tableColumn id="4" xr3:uid="{3F0DC3DB-26F8-4D70-A358-70EF5E1596F5}" name="D, top" dataDxfId="11"/>
    <tableColumn id="5" xr3:uid="{25F6B1D8-AC49-468F-BDCD-72AC07BB3CD0}" name="D, bottom" dataDxfId="10"/>
    <tableColumn id="6" xr3:uid="{3ED99EE5-BCA8-4244-A3E5-81C6F22A9AB2}" name="t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770E9F-FA7E-4954-9882-4BDCCA47D754}" name="TP_DATA" displayName="TP_DATA" ref="AQ18:AW43" totalsRowShown="0" headerRowDxfId="115" dataDxfId="114">
  <autoFilter ref="AQ18:AW43" xr:uid="{74770E9F-FA7E-4954-9882-4BDCCA47D754}"/>
  <tableColumns count="7">
    <tableColumn id="1" xr3:uid="{01E662F1-57F5-4660-BF9D-F84C54A3C27D}" name="index" dataDxfId="84"/>
    <tableColumn id="2" xr3:uid="{77ADA521-9367-4E8D-84A3-EF0902A21327}" name="Section" dataDxfId="83"/>
    <tableColumn id="3" xr3:uid="{C52F23D5-089D-402B-A3C5-F085DF35E1A3}" name="Top" dataDxfId="82"/>
    <tableColumn id="4" xr3:uid="{A48A6A87-766D-4330-8063-74E5B847017A}" name="Bottom" dataDxfId="81"/>
    <tableColumn id="5" xr3:uid="{C3F932C9-9C2D-4ED1-8B9C-175451BFD053}" name="D, top" dataDxfId="80"/>
    <tableColumn id="6" xr3:uid="{8A2E4BB0-B60B-4739-8FA0-C3238B83736C}" name="D, bottom" dataDxfId="79"/>
    <tableColumn id="7" xr3:uid="{966AFBB3-7397-4BF1-93DB-E43F2F3B1B83}" name="t" dataDxfId="7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U12:Z13" totalsRowShown="0">
  <autoFilter ref="U12:Z13" xr:uid="{F46B677D-4D25-4464-BE0D-6A1E644518C5}"/>
  <tableColumns count="6">
    <tableColumn id="1" xr3:uid="{ECD0389F-015D-412B-9FF1-D5BEAAD27FC1}" name="Identifier" dataDxfId="77"/>
    <tableColumn id="2" xr3:uid="{90794316-AE1E-4D40-A728-B5B995A9CF65}" name="Project ID"/>
    <tableColumn id="3" xr3:uid="{B8C9242D-AC32-4E57-A861-DB7E615D6A1C}" name="Phase"/>
    <tableColumn id="4" xr3:uid="{1EEB510B-3010-431D-B8C6-870D9180A629}" name="Structure ID"/>
    <tableColumn id="5" xr3:uid="{B6F5C20C-83C1-4B16-B4D3-933D066BB6A0}" name="waterdepth"/>
    <tableColumn id="6" xr3:uid="{26EA3A2D-14E0-4809-9795-74592B4984AD}" name="comment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J12:AO14" totalsRowShown="0" dataDxfId="113">
  <autoFilter ref="AJ12:AO14" xr:uid="{46FD7C67-BF9C-41F4-B134-682EDE7A007C}"/>
  <sortState xmlns:xlrd2="http://schemas.microsoft.com/office/spreadsheetml/2017/richdata2" ref="AJ13:AN14">
    <sortCondition descending="1" ref="AL12:AL14"/>
  </sortState>
  <tableColumns count="6">
    <tableColumn id="1" xr3:uid="{43AB1C43-FBC5-42AE-8DFA-4651B77C56A0}" name="Identifier" dataDxfId="31"/>
    <tableColumn id="2" xr3:uid="{75FB6F15-9784-4F9D-9947-41C8E7DD1CC9}" name="Project ID" dataDxfId="76"/>
    <tableColumn id="3" xr3:uid="{DF3379D9-9371-4EDE-B715-A6A40C072275}" name="Phase" dataDxfId="75"/>
    <tableColumn id="4" xr3:uid="{B2F66CA1-64D8-49D4-A1DA-28FD14EC75C2}" name="Structure ID" dataDxfId="74"/>
    <tableColumn id="5" xr3:uid="{E0EC4989-22E7-49A3-8DAC-034A87568E19}" name="waterdepth" dataDxfId="73"/>
    <tableColumn id="6" xr3:uid="{9873A46F-D488-4AA7-BC64-C1E65C65D808}" name="comments" dataDxfId="7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0B93974-8087-4F74-BDA8-F11BEB0EE9C9}" name="TP_META_FULL" displayName="TP_META_FULL" ref="BK12:BO14" totalsRowShown="0" headerRowDxfId="112" dataDxfId="111">
  <autoFilter ref="BK12:BO14" xr:uid="{D0B93974-8087-4F74-BDA8-F11BEB0EE9C9}"/>
  <sortState xmlns:xlrd2="http://schemas.microsoft.com/office/spreadsheetml/2017/richdata2" ref="BK13:BO14">
    <sortCondition descending="1" ref="BM12:BM14"/>
  </sortState>
  <tableColumns count="5">
    <tableColumn id="1" xr3:uid="{9D52937E-65D8-4312-A4AF-FB3250C72131}" name="index" dataDxfId="71"/>
    <tableColumn id="2" xr3:uid="{A9D3DF7F-89E3-44F4-AB6B-2780085E5FE6}" name="table_name" dataDxfId="70"/>
    <tableColumn id="3" xr3:uid="{B94A6648-9D52-4CBE-8946-79470C9279B8}" name="project_id" dataDxfId="69"/>
    <tableColumn id="4" xr3:uid="{820F00DC-0F6B-4BCC-B860-A46E29D23668}" name="project_name" dataDxfId="68"/>
    <tableColumn id="5" xr3:uid="{7EDDDECA-88E7-4240-97FE-4B82277E2687}" name="comment" dataDxfId="6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5C20F9C-3543-47BB-9F5A-0E9295A0B363}" name="TP_META_NEW" displayName="TP_META_NEW" ref="AQ15:AU16" totalsRowShown="0" headerRowDxfId="110" dataDxfId="109">
  <autoFilter ref="AQ15:AU16" xr:uid="{65C20F9C-3543-47BB-9F5A-0E9295A0B363}"/>
  <tableColumns count="5">
    <tableColumn id="1" xr3:uid="{7DE2B200-1B36-4B4C-95BD-9AFED869603E}" name="index" dataDxfId="66"/>
    <tableColumn id="2" xr3:uid="{B71CCC44-6656-44E8-830F-8451D7FAF785}" name="table_name" dataDxfId="65"/>
    <tableColumn id="3" xr3:uid="{1E19DEED-B4DC-4667-B815-64BE1A9D2706}" name="project_id" dataDxfId="64"/>
    <tableColumn id="4" xr3:uid="{3F222AA2-DB34-49F0-A96F-C430681C13C4}" name="project_name" dataDxfId="63"/>
    <tableColumn id="5" xr3:uid="{FF4CF8D5-1876-40C6-AFD8-FA6FB994CF82}" name="comment" dataDxfId="6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146C6EF-C6A4-420F-A05C-4B81F64A63DE}" name="TP_META_TRUE" displayName="TP_META_TRUE" ref="BC12:BG13" totalsRowShown="0" headerRowDxfId="108">
  <autoFilter ref="BC12:BG13" xr:uid="{7146C6EF-C6A4-420F-A05C-4B81F64A63DE}"/>
  <tableColumns count="5">
    <tableColumn id="1" xr3:uid="{0274C0F5-144A-42E2-80C1-B9808C5ADCA2}" name="index" dataDxfId="61"/>
    <tableColumn id="2" xr3:uid="{CDC1EB0D-2ED8-42AD-95BF-D93B45F3D9AD}" name="table_name"/>
    <tableColumn id="3" xr3:uid="{9E1E953B-FE8E-4593-A359-BB34FA5B8505}" name="project_id"/>
    <tableColumn id="4" xr3:uid="{B7C61DC2-D719-4F53-AFD5-A51A4C9EC583}" name="project_name"/>
    <tableColumn id="5" xr3:uid="{F6E3128C-A188-48EE-B1D6-225A20F4C647}" name="comm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E8D41F6-9199-43ED-A4E8-1F6B40E39AC7}" name="TOWER_DATA_TRUE" displayName="TOWER_DATA_TRUE" ref="CC18:CI43" totalsRowShown="0" headerRowDxfId="107">
  <autoFilter ref="CC18:CI43" xr:uid="{8E8D41F6-9199-43ED-A4E8-1F6B40E39AC7}"/>
  <tableColumns count="7">
    <tableColumn id="1" xr3:uid="{960F2AAA-A592-41C1-8F18-E724D94B711B}" name="index"/>
    <tableColumn id="2" xr3:uid="{632793ED-5896-4D09-BEEA-3D55A6C847B2}" name="Section"/>
    <tableColumn id="3" xr3:uid="{B05E0C70-9D8D-45F9-8EA3-29846AF4E563}" name="Top"/>
    <tableColumn id="4" xr3:uid="{3B413CA5-66D0-402D-8F6B-86DF66700BAE}" name="Bottom"/>
    <tableColumn id="5" xr3:uid="{F95747AE-5B2E-4E72-8884-8C722E2E1683}" name="D, top"/>
    <tableColumn id="6" xr3:uid="{CB283EE3-DEA3-49C7-9BA7-42AE9683BE96}" name="D, bottom"/>
    <tableColumn id="7" xr3:uid="{999B5B3F-749B-4055-8238-856335379E11}" name="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8450430-9DCE-464B-B388-5545AE7E5471}" name="TOWER_META" displayName="TOWER_META" ref="BQ12:BU13" totalsRowShown="0" headerRowDxfId="106" dataDxfId="105">
  <autoFilter ref="BQ12:BU13" xr:uid="{88450430-9DCE-464B-B388-5545AE7E5471}"/>
  <tableColumns count="5">
    <tableColumn id="1" xr3:uid="{37758162-60F8-4AA8-9752-6307E4239B0B}" name="index" dataDxfId="60"/>
    <tableColumn id="2" xr3:uid="{E1D641F7-2844-4A65-B5C3-25C895F435B5}" name="table_name" dataDxfId="59"/>
    <tableColumn id="3" xr3:uid="{C693CD9C-41AB-4377-8E3E-8BE85DE9119E}" name="project_id" dataDxfId="58"/>
    <tableColumn id="4" xr3:uid="{16D224DB-FD6B-4D6C-90DB-E8061E6D1015}" name="project_name" dataDxfId="57"/>
    <tableColumn id="5" xr3:uid="{A2DC3881-5C17-40FD-BCE0-1F4FB416BBDA}" name="comment" dataDxfId="5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E858ED4-8211-4779-A836-7B99D7B53A4E}" name="TOWER_DATA" displayName="TOWER_DATA" ref="BQ18:BW43" totalsRowShown="0" headerRowDxfId="104" dataDxfId="103">
  <autoFilter ref="BQ18:BW43" xr:uid="{CE858ED4-8211-4779-A836-7B99D7B53A4E}"/>
  <tableColumns count="7">
    <tableColumn id="1" xr3:uid="{ACAF42AB-15B0-44F5-A252-2571E3822A53}" name="index" dataDxfId="55"/>
    <tableColumn id="2" xr3:uid="{2FA633BF-64DC-4AA1-9AF0-56BBE0B2B87E}" name="Section" dataDxfId="54"/>
    <tableColumn id="3" xr3:uid="{F72F73EE-F6D6-4971-8052-4CB3EE35433E}" name="Top" dataDxfId="53"/>
    <tableColumn id="4" xr3:uid="{D56E9F85-2FF5-476A-B4C8-2AB028ACD981}" name="Bottom" dataDxfId="52"/>
    <tableColumn id="5" xr3:uid="{F70FA15F-404B-4684-930D-4BC66F2AFC38}" name="D, top" dataDxfId="51"/>
    <tableColumn id="6" xr3:uid="{76541AB4-AAFF-445C-932A-6A3AAE49760C}" name="D, bottom" dataDxfId="50"/>
    <tableColumn id="7" xr3:uid="{2378F701-EC89-4CF1-BACE-F6E6C2CEA0A0}" name="t" dataDxfId="4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82C3AE3-FF49-480C-9D8A-BE8A8E214929}" name="TOWER_META_FULL" displayName="TOWER_META_FULL" ref="CK12:CO15" totalsRowShown="0" headerRowDxfId="102" dataDxfId="101">
  <autoFilter ref="CK12:CO15" xr:uid="{D82C3AE3-FF49-480C-9D8A-BE8A8E214929}"/>
  <sortState xmlns:xlrd2="http://schemas.microsoft.com/office/spreadsheetml/2017/richdata2" ref="CK13:CO14">
    <sortCondition descending="1" ref="CM12:CM14"/>
  </sortState>
  <tableColumns count="5">
    <tableColumn id="1" xr3:uid="{47D5EEA2-B0C2-45DF-B696-5660C3147541}" name="index" dataDxfId="48"/>
    <tableColumn id="2" xr3:uid="{ED3A3BCE-A76B-46E8-BDB0-4756E0252096}" name="table_name" dataDxfId="47"/>
    <tableColumn id="3" xr3:uid="{ED39274A-8C32-4DFC-90F0-12E113EE4094}" name="project_id" dataDxfId="46"/>
    <tableColumn id="4" xr3:uid="{7316EF5B-CF41-4740-B776-CEB289F0744A}" name="project_name" dataDxfId="45"/>
    <tableColumn id="5" xr3:uid="{3647833B-7067-42A1-9EF1-B885C3A2D005}" name="comment" dataDxfId="4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C33E58-38AF-4057-8B0D-6C71828E89F1}" name="TOWER_META_NEW" displayName="TOWER_META_NEW" ref="BQ15:BU16" totalsRowShown="0" headerRowDxfId="100" dataDxfId="99">
  <autoFilter ref="BQ15:BU16" xr:uid="{BBC33E58-38AF-4057-8B0D-6C71828E89F1}"/>
  <tableColumns count="5">
    <tableColumn id="1" xr3:uid="{EF29D5F3-E7EB-4246-97B5-B048042B700A}" name="index" dataDxfId="43"/>
    <tableColumn id="2" xr3:uid="{B81E590E-2A7F-43AB-8200-AC12B687F45F}" name="table_name" dataDxfId="42"/>
    <tableColumn id="3" xr3:uid="{F6324830-14A2-40D2-859E-656DC97D1238}" name="project_id" dataDxfId="41"/>
    <tableColumn id="4" xr3:uid="{CD3CC26C-5A30-475C-8371-745C2ADF92D8}" name="project_name" dataDxfId="40"/>
    <tableColumn id="5" xr3:uid="{EF674BBA-E3DD-4782-8A54-DDC601051A6D}" name="comment" dataDxfId="3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1442391-36CC-4DEC-AB28-6FA84E5F223B}" name="TOWER_META_TRUE" displayName="TOWER_META_TRUE" ref="CC12:CG13" totalsRowShown="0" headerRowDxfId="98">
  <autoFilter ref="CC12:CG13" xr:uid="{E1442391-36CC-4DEC-AB28-6FA84E5F223B}"/>
  <tableColumns count="5">
    <tableColumn id="1" xr3:uid="{5B5ACE24-6986-402D-B425-62908E2B56BB}" name="index" dataDxfId="38"/>
    <tableColumn id="2" xr3:uid="{04F9AE40-4A86-4DA5-B221-5F1A9A5B276F}" name="table_name"/>
    <tableColumn id="3" xr3:uid="{D549F85B-F5A5-47B8-A4AF-8B86C6064FFE}" name="project_id"/>
    <tableColumn id="4" xr3:uid="{27616881-CCEA-4DF3-A494-933133E38467}" name="project_name"/>
    <tableColumn id="5" xr3:uid="{066E1108-1E1E-49C4-91A6-C551C85FA47B}" name="comment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U18:Z43" totalsRowShown="0" headerRowDxfId="97" dataDxfId="96">
  <autoFilter ref="U18:Z43" xr:uid="{186CFF05-2CD9-405C-829A-5AD7B62A8ACE}"/>
  <sortState xmlns:xlrd2="http://schemas.microsoft.com/office/spreadsheetml/2017/richdata2" ref="U19:AE43">
    <sortCondition ref="U18:U43"/>
  </sortState>
  <tableColumns count="6">
    <tableColumn id="1" xr3:uid="{66D6C4E1-74CA-4A30-A085-277EA5E62B3C}" name="Section" dataDxfId="37"/>
    <tableColumn id="2" xr3:uid="{D0F6ECD2-6414-48B2-9B47-1C3B8BAC860B}" name="Top" dataDxfId="36"/>
    <tableColumn id="3" xr3:uid="{575FC20A-0259-4081-83F8-71040557AEA8}" name="Bottom" dataDxfId="35"/>
    <tableColumn id="4" xr3:uid="{529E5CD0-69F2-4E59-86A7-A3E6F1B39E96}" name="D, top" dataDxfId="34"/>
    <tableColumn id="5" xr3:uid="{7F90AAFA-52D7-47DB-A99D-3E3E0AEE6541}" name="D, bottom" dataDxfId="33"/>
    <tableColumn id="6" xr3:uid="{1B01547B-4485-4B79-8DB3-FCEA1C806B60}" name="t" dataDxfId="3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18:S25" totalsRowShown="0" dataDxfId="0">
  <autoFilter ref="M18:S25" xr:uid="{C2F2D263-B298-4967-B7BA-2043D2636A28}"/>
  <tableColumns count="7">
    <tableColumn id="1" xr3:uid="{65DB47FC-7B67-4F61-A4D3-B371F6C262EB}" name="ID" dataDxfId="7"/>
    <tableColumn id="2" xr3:uid="{365B74CD-D14D-4F75-ABA6-B5CBD126E6F2}" name="Description" dataDxfId="6"/>
    <tableColumn id="3" xr3:uid="{29EF80FE-079C-4A10-9ADB-03D595E35311}" name="Elevation [mLAT]" dataDxfId="5"/>
    <tableColumn id="4" xr3:uid="{84FE043F-760B-4C1A-B11C-FAAA573C0B1E}" name="SCF [mm]" dataDxfId="4"/>
    <tableColumn id="5" xr3:uid="{6864BB2B-1D26-4A82-A522-509ED744097D}" name="Location" dataDxfId="3"/>
    <tableColumn id="6" xr3:uid="{FE957CEE-1B74-4447-AEA7-3FCE5B5DB9EC}" name="Type" dataDxfId="2"/>
    <tableColumn id="7" xr3:uid="{4A69F950-39AA-4B45-A305-54DA59D04B71}" name="Opening factor" dataDxfId="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AB18:AH25" totalsRowShown="0">
  <autoFilter ref="AB18:AH25" xr:uid="{4D5B4094-2520-4C0E-83CB-05269AAFC062}"/>
  <tableColumns count="7">
    <tableColumn id="1" xr3:uid="{C2D9CE8B-C220-46E5-BFE0-3791AC870182}" name="ID"/>
    <tableColumn id="2" xr3:uid="{1DE92BEA-EA77-4A06-9EE3-C4BCA53FA4BA}" name="Description"/>
    <tableColumn id="3" xr3:uid="{6F0C1064-8277-4D7C-890E-7B7872EA90CF}" name="Elevation [mLAT]"/>
    <tableColumn id="4" xr3:uid="{9149F43F-59DC-4016-A433-42D973B6CCB2}" name="SCF [mm]"/>
    <tableColumn id="5" xr3:uid="{22238EB5-A3AB-4C7D-B2F1-E48284A703A1}" name="Location"/>
    <tableColumn id="6" xr3:uid="{0D2800F8-15EB-4280-AA2E-703AE0795750}" name="Type"/>
    <tableColumn id="7" xr3:uid="{4120BE71-DAC9-47D5-A8D8-49791D816D2E}" name="Opening fac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table" Target="../tables/table1.xml"/><Relationship Id="rId26" Type="http://schemas.openxmlformats.org/officeDocument/2006/relationships/table" Target="../tables/table9.xml"/><Relationship Id="rId21" Type="http://schemas.openxmlformats.org/officeDocument/2006/relationships/table" Target="../tables/table4.xml"/><Relationship Id="rId34" Type="http://schemas.openxmlformats.org/officeDocument/2006/relationships/table" Target="../tables/table17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table" Target="../tables/table8.xml"/><Relationship Id="rId33" Type="http://schemas.openxmlformats.org/officeDocument/2006/relationships/table" Target="../tables/table1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0" Type="http://schemas.openxmlformats.org/officeDocument/2006/relationships/table" Target="../tables/table3.xml"/><Relationship Id="rId29" Type="http://schemas.openxmlformats.org/officeDocument/2006/relationships/table" Target="../tables/table1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24" Type="http://schemas.openxmlformats.org/officeDocument/2006/relationships/table" Target="../tables/table7.xml"/><Relationship Id="rId32" Type="http://schemas.openxmlformats.org/officeDocument/2006/relationships/table" Target="../tables/table15.xml"/><Relationship Id="rId37" Type="http://schemas.openxmlformats.org/officeDocument/2006/relationships/table" Target="../tables/table20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table" Target="../tables/table6.xml"/><Relationship Id="rId28" Type="http://schemas.openxmlformats.org/officeDocument/2006/relationships/table" Target="../tables/table11.xml"/><Relationship Id="rId36" Type="http://schemas.openxmlformats.org/officeDocument/2006/relationships/table" Target="../tables/table19.xml"/><Relationship Id="rId10" Type="http://schemas.openxmlformats.org/officeDocument/2006/relationships/ctrlProp" Target="../ctrlProps/ctrlProp11.xml"/><Relationship Id="rId19" Type="http://schemas.openxmlformats.org/officeDocument/2006/relationships/table" Target="../tables/table2.xml"/><Relationship Id="rId31" Type="http://schemas.openxmlformats.org/officeDocument/2006/relationships/table" Target="../tables/table1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table" Target="../tables/table5.xml"/><Relationship Id="rId27" Type="http://schemas.openxmlformats.org/officeDocument/2006/relationships/table" Target="../tables/table10.xml"/><Relationship Id="rId30" Type="http://schemas.openxmlformats.org/officeDocument/2006/relationships/table" Target="../tables/table13.xml"/><Relationship Id="rId35" Type="http://schemas.openxmlformats.org/officeDocument/2006/relationships/table" Target="../tables/table18.xml"/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G30" sqref="G30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6" x14ac:dyDescent="0.3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" thickBot="1" x14ac:dyDescent="0.35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3">
      <c r="A4" s="53"/>
      <c r="B4" s="78" t="s">
        <v>55</v>
      </c>
      <c r="C4" s="79"/>
      <c r="D4" s="80"/>
      <c r="E4" s="52"/>
      <c r="F4" s="81" t="s">
        <v>39</v>
      </c>
      <c r="G4" s="82"/>
      <c r="H4" s="82"/>
      <c r="I4" s="83"/>
      <c r="J4" s="52"/>
      <c r="K4" s="84" t="s">
        <v>56</v>
      </c>
      <c r="L4" s="85"/>
      <c r="M4" s="86"/>
      <c r="N4" s="52"/>
      <c r="O4" s="53"/>
      <c r="P4" s="52"/>
      <c r="Q4" s="52"/>
      <c r="R4" s="51"/>
    </row>
    <row r="5" spans="1:24" x14ac:dyDescent="0.3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3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3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3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3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3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3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" thickBot="1" x14ac:dyDescent="0.35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" thickBot="1" x14ac:dyDescent="0.35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3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3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3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" thickBot="1" x14ac:dyDescent="0.35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3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3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3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3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3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3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3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3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3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3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3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3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3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3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3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3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3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3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3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3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3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3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3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3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3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3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3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3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3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3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3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3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3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3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3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3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3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3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3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3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3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3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3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3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3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3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3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3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3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" thickBot="1" x14ac:dyDescent="0.35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CQ162"/>
  <sheetViews>
    <sheetView tabSelected="1" topLeftCell="A5" zoomScale="85" zoomScaleNormal="85" workbookViewId="0">
      <selection activeCell="C32" sqref="C32"/>
    </sheetView>
  </sheetViews>
  <sheetFormatPr baseColWidth="10" defaultColWidth="11.33203125" defaultRowHeight="14.4" outlineLevelCol="1" x14ac:dyDescent="0.3"/>
  <cols>
    <col min="1" max="1" width="43.33203125" style="93" customWidth="1"/>
    <col min="2" max="2" width="30.33203125" style="93" customWidth="1"/>
    <col min="3" max="3" width="12.6640625" style="93" customWidth="1"/>
    <col min="4" max="4" width="11.33203125" style="93"/>
    <col min="5" max="5" width="14.5546875" style="93" customWidth="1"/>
    <col min="6" max="10" width="11.33203125" style="93" customWidth="1"/>
    <col min="11" max="11" width="11.88671875" style="93" customWidth="1"/>
    <col min="12" max="12" width="12.33203125" style="93" customWidth="1"/>
    <col min="13" max="13" width="11.33203125" style="93" customWidth="1"/>
    <col min="14" max="14" width="16.33203125" style="93" customWidth="1"/>
    <col min="15" max="15" width="22.44140625" style="93" customWidth="1"/>
    <col min="16" max="16" width="14.109375" style="93" customWidth="1"/>
    <col min="17" max="17" width="13.44140625" style="93" customWidth="1"/>
    <col min="18" max="18" width="11.33203125" style="93"/>
    <col min="19" max="19" width="20.44140625" style="93" customWidth="1"/>
    <col min="20" max="20" width="11.33203125" style="93"/>
    <col min="21" max="21" width="0" style="93" hidden="1" customWidth="1" outlineLevel="1"/>
    <col min="22" max="22" width="12.6640625" style="93" hidden="1" customWidth="1" outlineLevel="1"/>
    <col min="23" max="23" width="0" style="93" hidden="1" customWidth="1" outlineLevel="1"/>
    <col min="24" max="24" width="14.5546875" style="93" hidden="1" customWidth="1" outlineLevel="1"/>
    <col min="25" max="34" width="0" style="93" hidden="1" customWidth="1" outlineLevel="1"/>
    <col min="35" max="35" width="11.33203125" style="93" collapsed="1"/>
    <col min="36" max="36" width="28.33203125" style="93" customWidth="1"/>
    <col min="37" max="40" width="11.33203125" style="93"/>
    <col min="41" max="42" width="15.44140625" style="93" customWidth="1"/>
    <col min="43" max="53" width="11.33203125" style="93"/>
    <col min="54" max="61" width="11.33203125" style="93" outlineLevel="1"/>
    <col min="62" max="79" width="11.33203125" style="93"/>
    <col min="80" max="87" width="11.33203125" style="93" hidden="1" customWidth="1" outlineLevel="1"/>
    <col min="88" max="88" width="11.33203125" style="93" collapsed="1"/>
    <col min="89" max="16384" width="11.33203125" style="93"/>
  </cols>
  <sheetData>
    <row r="1" spans="1:95" x14ac:dyDescent="0.3">
      <c r="E1" s="93" t="s">
        <v>139</v>
      </c>
    </row>
    <row r="5" spans="1:95" x14ac:dyDescent="0.3">
      <c r="BA5" s="93" t="s">
        <v>123</v>
      </c>
      <c r="CA5" s="93" t="s">
        <v>123</v>
      </c>
    </row>
    <row r="6" spans="1:95" ht="18" x14ac:dyDescent="0.35">
      <c r="B6" s="94" t="s">
        <v>111</v>
      </c>
      <c r="T6" s="93" t="s">
        <v>123</v>
      </c>
      <c r="AQ6" s="94" t="s">
        <v>117</v>
      </c>
      <c r="BQ6" s="94" t="s">
        <v>137</v>
      </c>
      <c r="CQ6" s="93" t="s">
        <v>146</v>
      </c>
    </row>
    <row r="8" spans="1:95" ht="23.4" customHeight="1" x14ac:dyDescent="0.3">
      <c r="C8" s="95" t="s">
        <v>112</v>
      </c>
      <c r="AR8" s="95" t="s">
        <v>118</v>
      </c>
      <c r="BR8" s="95" t="s">
        <v>138</v>
      </c>
    </row>
    <row r="9" spans="1:95" ht="21.6" customHeight="1" x14ac:dyDescent="0.3"/>
    <row r="12" spans="1:95" x14ac:dyDescent="0.3">
      <c r="A12" s="96" t="s">
        <v>119</v>
      </c>
      <c r="B12" s="93" t="s">
        <v>147</v>
      </c>
      <c r="C12" s="93" t="s">
        <v>148</v>
      </c>
      <c r="D12" s="93" t="s">
        <v>144</v>
      </c>
      <c r="E12" s="93" t="s">
        <v>149</v>
      </c>
      <c r="F12" s="93" t="s">
        <v>145</v>
      </c>
      <c r="G12" s="93" t="s">
        <v>150</v>
      </c>
      <c r="H12" s="97"/>
      <c r="U12" s="93" t="s">
        <v>147</v>
      </c>
      <c r="V12" s="93" t="s">
        <v>148</v>
      </c>
      <c r="W12" s="93" t="s">
        <v>144</v>
      </c>
      <c r="X12" s="93" t="s">
        <v>149</v>
      </c>
      <c r="Y12" s="93" t="s">
        <v>145</v>
      </c>
      <c r="Z12" s="93" t="s">
        <v>150</v>
      </c>
      <c r="AJ12" s="93" t="s">
        <v>147</v>
      </c>
      <c r="AK12" s="93" t="s">
        <v>148</v>
      </c>
      <c r="AL12" s="93" t="s">
        <v>144</v>
      </c>
      <c r="AM12" s="93" t="s">
        <v>149</v>
      </c>
      <c r="AN12" s="93" t="s">
        <v>145</v>
      </c>
      <c r="AO12" s="93" t="s">
        <v>150</v>
      </c>
      <c r="AQ12" s="98" t="s">
        <v>114</v>
      </c>
      <c r="AR12" s="98" t="s">
        <v>115</v>
      </c>
      <c r="AS12" s="98" t="s">
        <v>113</v>
      </c>
      <c r="AT12" s="98" t="s">
        <v>116</v>
      </c>
      <c r="AU12" s="98" t="s">
        <v>27</v>
      </c>
      <c r="BC12" s="99" t="s">
        <v>114</v>
      </c>
      <c r="BD12" s="98" t="s">
        <v>115</v>
      </c>
      <c r="BE12" s="98" t="s">
        <v>113</v>
      </c>
      <c r="BF12" s="98" t="s">
        <v>116</v>
      </c>
      <c r="BG12" s="98" t="s">
        <v>27</v>
      </c>
      <c r="BK12" s="99" t="s">
        <v>114</v>
      </c>
      <c r="BL12" s="98" t="s">
        <v>115</v>
      </c>
      <c r="BM12" s="98" t="s">
        <v>113</v>
      </c>
      <c r="BN12" s="98" t="s">
        <v>116</v>
      </c>
      <c r="BO12" s="98" t="s">
        <v>27</v>
      </c>
      <c r="BQ12" s="98" t="s">
        <v>114</v>
      </c>
      <c r="BR12" s="98" t="s">
        <v>115</v>
      </c>
      <c r="BS12" s="98" t="s">
        <v>113</v>
      </c>
      <c r="BT12" s="98" t="s">
        <v>116</v>
      </c>
      <c r="BU12" s="98" t="s">
        <v>27</v>
      </c>
      <c r="CC12" s="99" t="s">
        <v>114</v>
      </c>
      <c r="CD12" s="98" t="s">
        <v>115</v>
      </c>
      <c r="CE12" s="98" t="s">
        <v>113</v>
      </c>
      <c r="CF12" s="98" t="s">
        <v>116</v>
      </c>
      <c r="CG12" s="98" t="s">
        <v>27</v>
      </c>
      <c r="CK12" s="99" t="s">
        <v>114</v>
      </c>
      <c r="CL12" s="98" t="s">
        <v>115</v>
      </c>
      <c r="CM12" s="98" t="s">
        <v>113</v>
      </c>
      <c r="CN12" s="98" t="s">
        <v>116</v>
      </c>
      <c r="CO12" s="98" t="s">
        <v>27</v>
      </c>
    </row>
    <row r="13" spans="1:95" x14ac:dyDescent="0.3">
      <c r="A13" s="100" t="s">
        <v>129</v>
      </c>
      <c r="B13" s="101" t="s">
        <v>156</v>
      </c>
      <c r="C13" s="101" t="s">
        <v>157</v>
      </c>
      <c r="D13" s="101" t="s">
        <v>153</v>
      </c>
      <c r="E13" s="101" t="s">
        <v>158</v>
      </c>
      <c r="F13" s="101">
        <v>39.799999999999997</v>
      </c>
      <c r="G13" s="102" t="s">
        <v>155</v>
      </c>
      <c r="H13" s="97" t="s">
        <v>155</v>
      </c>
      <c r="U13" s="93" t="s">
        <v>156</v>
      </c>
      <c r="V13" s="93" t="s">
        <v>157</v>
      </c>
      <c r="W13" s="93" t="s">
        <v>153</v>
      </c>
      <c r="X13" s="93" t="s">
        <v>158</v>
      </c>
      <c r="Y13" s="93">
        <v>39.799999999999997</v>
      </c>
      <c r="Z13" s="93" t="s">
        <v>155</v>
      </c>
      <c r="AJ13" s="93" t="s">
        <v>151</v>
      </c>
      <c r="AK13" s="93" t="s">
        <v>152</v>
      </c>
      <c r="AL13" s="93" t="s">
        <v>153</v>
      </c>
      <c r="AM13" s="93" t="s">
        <v>154</v>
      </c>
      <c r="AN13" s="93">
        <v>39.799999999999997</v>
      </c>
      <c r="AO13" s="93" t="s">
        <v>155</v>
      </c>
      <c r="AQ13" s="93">
        <v>1</v>
      </c>
      <c r="AR13" s="93" t="s">
        <v>128</v>
      </c>
      <c r="AS13" s="93" t="s">
        <v>125</v>
      </c>
      <c r="AT13" s="93" t="s">
        <v>126</v>
      </c>
      <c r="AU13" s="93" t="s">
        <v>127</v>
      </c>
      <c r="BC13" s="103">
        <v>1</v>
      </c>
      <c r="BD13" s="93" t="s">
        <v>128</v>
      </c>
      <c r="BE13" s="93" t="s">
        <v>125</v>
      </c>
      <c r="BF13" s="93" t="s">
        <v>126</v>
      </c>
      <c r="BG13" s="93" t="s">
        <v>127</v>
      </c>
      <c r="BK13" s="103">
        <v>1</v>
      </c>
      <c r="BL13" s="93" t="s">
        <v>128</v>
      </c>
      <c r="BM13" s="93" t="s">
        <v>125</v>
      </c>
      <c r="BN13" s="93" t="s">
        <v>126</v>
      </c>
      <c r="BO13" s="93" t="s">
        <v>127</v>
      </c>
      <c r="BQ13" s="93">
        <v>2</v>
      </c>
      <c r="BR13" s="93" t="s">
        <v>142</v>
      </c>
      <c r="BS13" s="93" t="s">
        <v>130</v>
      </c>
      <c r="BT13" s="93" t="s">
        <v>131</v>
      </c>
      <c r="BU13" s="93" t="s">
        <v>132</v>
      </c>
      <c r="CC13" s="103">
        <v>2</v>
      </c>
      <c r="CD13" s="93" t="s">
        <v>142</v>
      </c>
      <c r="CE13" s="93" t="s">
        <v>130</v>
      </c>
      <c r="CF13" s="93" t="s">
        <v>131</v>
      </c>
      <c r="CG13" s="93" t="s">
        <v>132</v>
      </c>
      <c r="CK13" s="103">
        <v>0</v>
      </c>
      <c r="CL13" s="93" t="s">
        <v>140</v>
      </c>
      <c r="CM13" s="93" t="s">
        <v>133</v>
      </c>
      <c r="CN13" s="93" t="s">
        <v>134</v>
      </c>
      <c r="CO13" s="93" t="s">
        <v>135</v>
      </c>
    </row>
    <row r="14" spans="1:95" x14ac:dyDescent="0.3">
      <c r="A14" s="100"/>
      <c r="B14" s="103"/>
      <c r="U14" s="103"/>
      <c r="AJ14" s="93" t="s">
        <v>156</v>
      </c>
      <c r="AK14" s="93" t="s">
        <v>157</v>
      </c>
      <c r="AL14" s="93" t="s">
        <v>153</v>
      </c>
      <c r="AM14" s="93" t="s">
        <v>158</v>
      </c>
      <c r="AN14" s="93">
        <v>39.799999999999997</v>
      </c>
      <c r="AO14" s="93" t="s">
        <v>155</v>
      </c>
      <c r="BK14" s="103">
        <v>0</v>
      </c>
      <c r="BL14" s="93" t="s">
        <v>136</v>
      </c>
      <c r="BM14" s="93" t="s">
        <v>133</v>
      </c>
      <c r="BN14" s="93" t="s">
        <v>134</v>
      </c>
      <c r="BO14" s="93" t="s">
        <v>135</v>
      </c>
      <c r="CK14" s="103">
        <v>1</v>
      </c>
      <c r="CL14" s="93" t="s">
        <v>141</v>
      </c>
      <c r="CM14" s="93" t="s">
        <v>125</v>
      </c>
      <c r="CN14" s="93" t="s">
        <v>126</v>
      </c>
      <c r="CO14" s="93" t="s">
        <v>127</v>
      </c>
    </row>
    <row r="15" spans="1:95" x14ac:dyDescent="0.3">
      <c r="A15" s="96" t="s">
        <v>120</v>
      </c>
      <c r="B15" s="93" t="s">
        <v>147</v>
      </c>
      <c r="C15" s="93" t="s">
        <v>148</v>
      </c>
      <c r="D15" s="93" t="s">
        <v>144</v>
      </c>
      <c r="E15" s="93" t="s">
        <v>149</v>
      </c>
      <c r="F15" s="93" t="s">
        <v>145</v>
      </c>
      <c r="G15" s="93" t="s">
        <v>150</v>
      </c>
      <c r="AK15" s="101"/>
      <c r="AL15" s="101"/>
      <c r="AM15" s="101"/>
      <c r="AN15" s="101"/>
      <c r="AO15" s="101"/>
      <c r="AQ15" s="99" t="s">
        <v>114</v>
      </c>
      <c r="AR15" s="98" t="s">
        <v>115</v>
      </c>
      <c r="AS15" s="98" t="s">
        <v>113</v>
      </c>
      <c r="AT15" s="98" t="s">
        <v>116</v>
      </c>
      <c r="AU15" s="98" t="s">
        <v>27</v>
      </c>
      <c r="BK15" s="103"/>
      <c r="BQ15" s="99" t="s">
        <v>114</v>
      </c>
      <c r="BR15" s="98" t="s">
        <v>115</v>
      </c>
      <c r="BS15" s="98" t="s">
        <v>113</v>
      </c>
      <c r="BT15" s="98" t="s">
        <v>116</v>
      </c>
      <c r="BU15" s="98" t="s">
        <v>27</v>
      </c>
      <c r="CK15" s="103">
        <v>2</v>
      </c>
      <c r="CL15" s="93" t="s">
        <v>142</v>
      </c>
      <c r="CM15" s="93" t="s">
        <v>130</v>
      </c>
      <c r="CN15" s="93" t="s">
        <v>131</v>
      </c>
      <c r="CO15" s="93" t="s">
        <v>132</v>
      </c>
    </row>
    <row r="16" spans="1:95" x14ac:dyDescent="0.3">
      <c r="A16" s="100" t="s">
        <v>121</v>
      </c>
      <c r="G16" s="97"/>
      <c r="U16" s="105" t="s">
        <v>124</v>
      </c>
      <c r="AK16" s="101"/>
      <c r="AL16" s="101"/>
      <c r="AM16" s="101"/>
      <c r="AN16" s="101"/>
      <c r="AO16" s="101"/>
      <c r="BC16" s="105" t="s">
        <v>124</v>
      </c>
      <c r="CC16" s="105" t="s">
        <v>124</v>
      </c>
    </row>
    <row r="17" spans="1:87" x14ac:dyDescent="0.3">
      <c r="A17" s="100"/>
      <c r="B17" s="103"/>
      <c r="AK17" s="101"/>
      <c r="AL17" s="101"/>
      <c r="AM17" s="101"/>
      <c r="AN17" s="101"/>
      <c r="AO17" s="101"/>
    </row>
    <row r="18" spans="1:87" x14ac:dyDescent="0.3">
      <c r="A18" s="100" t="s">
        <v>122</v>
      </c>
      <c r="B18" s="93" t="s">
        <v>1</v>
      </c>
      <c r="C18" s="93" t="s">
        <v>2</v>
      </c>
      <c r="D18" s="93" t="s">
        <v>3</v>
      </c>
      <c r="E18" s="93" t="s">
        <v>4</v>
      </c>
      <c r="F18" s="93" t="s">
        <v>5</v>
      </c>
      <c r="G18" s="93" t="s">
        <v>6</v>
      </c>
      <c r="H18" s="93" t="s">
        <v>9</v>
      </c>
      <c r="I18" s="93" t="s">
        <v>10</v>
      </c>
      <c r="J18" s="93" t="s">
        <v>11</v>
      </c>
      <c r="K18" s="93" t="s">
        <v>12</v>
      </c>
      <c r="M18" s="93" t="s">
        <v>159</v>
      </c>
      <c r="N18" s="93" t="s">
        <v>160</v>
      </c>
      <c r="O18" s="93" t="s">
        <v>161</v>
      </c>
      <c r="P18" s="93" t="s">
        <v>162</v>
      </c>
      <c r="Q18" s="93" t="s">
        <v>163</v>
      </c>
      <c r="R18" s="93" t="s">
        <v>66</v>
      </c>
      <c r="S18" s="93" t="s">
        <v>164</v>
      </c>
      <c r="U18" s="93" t="s">
        <v>1</v>
      </c>
      <c r="V18" s="93" t="s">
        <v>2</v>
      </c>
      <c r="W18" s="93" t="s">
        <v>3</v>
      </c>
      <c r="X18" s="93" t="s">
        <v>4</v>
      </c>
      <c r="Y18" s="93" t="s">
        <v>5</v>
      </c>
      <c r="Z18" s="93" t="s">
        <v>6</v>
      </c>
      <c r="AB18" s="93" t="s">
        <v>159</v>
      </c>
      <c r="AC18" s="93" t="s">
        <v>160</v>
      </c>
      <c r="AD18" s="93" t="s">
        <v>161</v>
      </c>
      <c r="AE18" s="93" t="s">
        <v>162</v>
      </c>
      <c r="AF18" s="93" t="s">
        <v>163</v>
      </c>
      <c r="AG18" s="93" t="s">
        <v>66</v>
      </c>
      <c r="AH18" s="93" t="s">
        <v>164</v>
      </c>
      <c r="AK18" s="101"/>
      <c r="AL18" s="101"/>
      <c r="AM18" s="101"/>
      <c r="AN18" s="101"/>
      <c r="AO18" s="101"/>
      <c r="AQ18" s="98" t="s">
        <v>114</v>
      </c>
      <c r="AR18" s="98" t="s">
        <v>1</v>
      </c>
      <c r="AS18" s="98" t="s">
        <v>2</v>
      </c>
      <c r="AT18" s="98" t="s">
        <v>3</v>
      </c>
      <c r="AU18" s="98" t="s">
        <v>4</v>
      </c>
      <c r="AV18" s="98" t="s">
        <v>5</v>
      </c>
      <c r="AW18" s="98" t="s">
        <v>6</v>
      </c>
      <c r="AX18" s="93" t="s">
        <v>9</v>
      </c>
      <c r="AY18" s="93" t="s">
        <v>10</v>
      </c>
      <c r="AZ18" s="93" t="s">
        <v>11</v>
      </c>
      <c r="BA18" s="93" t="s">
        <v>12</v>
      </c>
      <c r="BC18" s="98" t="s">
        <v>114</v>
      </c>
      <c r="BD18" s="98" t="s">
        <v>1</v>
      </c>
      <c r="BE18" s="98" t="s">
        <v>2</v>
      </c>
      <c r="BF18" s="98" t="s">
        <v>3</v>
      </c>
      <c r="BG18" s="98" t="s">
        <v>4</v>
      </c>
      <c r="BH18" s="98" t="s">
        <v>5</v>
      </c>
      <c r="BI18" s="98" t="s">
        <v>6</v>
      </c>
      <c r="BJ18" s="98" t="s">
        <v>143</v>
      </c>
      <c r="BQ18" s="98" t="s">
        <v>114</v>
      </c>
      <c r="BR18" s="98" t="s">
        <v>1</v>
      </c>
      <c r="BS18" s="98" t="s">
        <v>2</v>
      </c>
      <c r="BT18" s="98" t="s">
        <v>3</v>
      </c>
      <c r="BU18" s="98" t="s">
        <v>4</v>
      </c>
      <c r="BV18" s="98" t="s">
        <v>5</v>
      </c>
      <c r="BW18" s="98" t="s">
        <v>6</v>
      </c>
      <c r="BX18" s="93" t="s">
        <v>9</v>
      </c>
      <c r="BY18" s="93" t="s">
        <v>10</v>
      </c>
      <c r="BZ18" s="93" t="s">
        <v>11</v>
      </c>
      <c r="CA18" s="93" t="s">
        <v>12</v>
      </c>
      <c r="CC18" s="98" t="s">
        <v>114</v>
      </c>
      <c r="CD18" s="98" t="s">
        <v>1</v>
      </c>
      <c r="CE18" s="98" t="s">
        <v>2</v>
      </c>
      <c r="CF18" s="98" t="s">
        <v>3</v>
      </c>
      <c r="CG18" s="98" t="s">
        <v>4</v>
      </c>
      <c r="CH18" s="98" t="s">
        <v>5</v>
      </c>
      <c r="CI18" s="98" t="s">
        <v>6</v>
      </c>
    </row>
    <row r="19" spans="1:87" x14ac:dyDescent="0.3">
      <c r="B19" s="101">
        <v>1</v>
      </c>
      <c r="C19" s="101">
        <v>5.8</v>
      </c>
      <c r="D19" s="101">
        <v>2.6</v>
      </c>
      <c r="E19" s="101">
        <v>8</v>
      </c>
      <c r="F19" s="101">
        <v>8</v>
      </c>
      <c r="G19" s="101">
        <v>125</v>
      </c>
      <c r="H19" s="106">
        <f>IFERROR(MP_DATA[[#This Row],[Bottom]]-MP_DATA[[#This Row],[D, top]], "")</f>
        <v>-5.4</v>
      </c>
      <c r="I19" s="106">
        <f>IFERROR(-(MP_DATA[[#This Row],[D, bottom]]-MP_DATA[[#This Row],[D, top]])/(MP_DATA[[#This Row],[Bottom]]-MP_DATA[[#This Row],[Top]]),"")</f>
        <v>0</v>
      </c>
      <c r="J19" s="106">
        <f>IF(7850/1000*(1/3)*PI()*ABS(C19-D19)*((E19/2)^2+(E19/2)*(F19/2)+(F19/2)^2-(E19/2-G19/1000)^2-(E19/2-G19/1000)*(F19/2-G19/1000)-(F19/2-G19/1000)^2)=0,"",7850/1000*(1/3)*PI()*ABS(C19-D19)*((E19/2)^2+(E19/2)*(F19/2)+(F19/2)^2-(E19/2-G19/1000)^2-(E19/2-G19/1000)*(F19/2-G19/1000)-(F19/2-G19/1000)^2))</f>
        <v>77.683732341641587</v>
      </c>
      <c r="K19" s="106">
        <f>IFERROR((MP_DATA[[#This Row],[D, bottom]]+MP_DATA[[#This Row],[D, top]])/(2*MP_DATA[[#This Row],[t]]/1000),"")</f>
        <v>64</v>
      </c>
      <c r="M19" s="101" t="s">
        <v>177</v>
      </c>
      <c r="N19" s="101" t="s">
        <v>165</v>
      </c>
      <c r="O19" s="101">
        <v>4.5999999999999996</v>
      </c>
      <c r="P19" s="101">
        <v>1.1000000000000001</v>
      </c>
      <c r="Q19" s="101" t="s">
        <v>166</v>
      </c>
      <c r="R19" s="101" t="s">
        <v>167</v>
      </c>
      <c r="S19" s="101"/>
      <c r="U19" s="107">
        <v>1</v>
      </c>
      <c r="V19" s="107">
        <v>5.8</v>
      </c>
      <c r="W19" s="107">
        <v>2.6</v>
      </c>
      <c r="X19" s="93">
        <v>8</v>
      </c>
      <c r="Y19" s="107">
        <v>8</v>
      </c>
      <c r="Z19" s="93">
        <v>125</v>
      </c>
      <c r="AB19" s="93" t="s">
        <v>177</v>
      </c>
      <c r="AC19" s="93" t="s">
        <v>165</v>
      </c>
      <c r="AD19" s="93">
        <v>4.5999999999999996</v>
      </c>
      <c r="AE19" s="93">
        <v>1.1000000000000001</v>
      </c>
      <c r="AF19" s="93" t="s">
        <v>166</v>
      </c>
      <c r="AG19" s="93" t="s">
        <v>167</v>
      </c>
      <c r="AK19" s="101"/>
      <c r="AL19" s="101"/>
      <c r="AM19" s="101"/>
      <c r="AN19" s="101"/>
      <c r="AO19" s="101"/>
      <c r="AR19" s="107"/>
      <c r="AS19" s="107">
        <v>20</v>
      </c>
      <c r="AT19" s="107">
        <v>15</v>
      </c>
      <c r="AU19" s="107"/>
      <c r="AV19" s="107"/>
      <c r="AW19" s="107"/>
      <c r="AX19" s="106">
        <f>IFERROR(TP_DATA[[#This Row],[Top]]-TP_DATA[[#This Row],[Bottom]], "")</f>
        <v>5</v>
      </c>
      <c r="AY19" s="106">
        <f>IFERROR(-(TP_DATA[[#This Row],[D, top]]-TP_DATA[[#This Row],[D, bottom]])/(TP_DATA[[#This Row],[Top]]-TP_DATA[[#This Row],[Bottom]]),"")</f>
        <v>0</v>
      </c>
      <c r="AZ19" s="106" t="str">
        <f>IF(7850/1000 * (1/3) * PI() * ABS(AS19 - AT19) * ((AU19/2)^2 + (AU19/2)*(AV19/2) + (AV19/2)^2  - (AU19/2 - AW19/1000)^2 - (AU19/2 - AW19/1000)*(AV19/2 - AW19/1000) - (AV19/2 - AW19/1000)^2)=0, "", 7850/1000 * (1/3) * PI() * ABS(AS19 - AT19) * ((AU19/2)^2 + (AU19/2)*(AV19/2) + (AV19/2)^2  - (AU19/2 - AW19/1000)^2 - (AU19/2 - AW19/1000)*(AV19/2 - AW19/1000) - (AV19/2 - AW19/1000)^2))</f>
        <v/>
      </c>
      <c r="BA19" s="106" t="str">
        <f>IFERROR((TP_DATA[[#This Row],[D, top]]+TP_DATA[[#This Row],[D, bottom]])/(2*TP_DATA[[#This Row],[t]]/1000),"")</f>
        <v/>
      </c>
      <c r="BC19" s="93">
        <v>0</v>
      </c>
      <c r="BD19" s="93">
        <v>1</v>
      </c>
      <c r="BF19" s="93">
        <v>5</v>
      </c>
      <c r="BG19" s="93">
        <v>8</v>
      </c>
      <c r="BH19" s="93">
        <v>8</v>
      </c>
      <c r="BI19" s="93">
        <v>115</v>
      </c>
      <c r="BQ19" s="93">
        <v>0</v>
      </c>
      <c r="BR19" s="93">
        <v>1</v>
      </c>
      <c r="BS19" s="93">
        <v>5.8</v>
      </c>
      <c r="BT19" s="93">
        <v>10</v>
      </c>
      <c r="BU19" s="93">
        <v>8</v>
      </c>
      <c r="BV19" s="93">
        <v>8</v>
      </c>
      <c r="BW19" s="93">
        <v>115</v>
      </c>
      <c r="BX19" s="106">
        <f>IFERROR(TOWER_DATA[[#This Row],[Top]]-TOWER_DATA[[#This Row],[Bottom]], "")</f>
        <v>-4.2</v>
      </c>
      <c r="BY19" s="106">
        <f>IFERROR(-(TOWER_DATA[[#This Row],[D, top]]-TOWER_DATA[[#This Row],[D, bottom]])/(TOWER_DATA[[#This Row],[Top]]-TOWER_DATA[[#This Row],[Bottom]]),"")</f>
        <v>0</v>
      </c>
      <c r="BZ19" s="106">
        <f>IF(7850/1000 * (1/3) * PI() * ABS(BS19 - BT19) * ((BU19/2)^2 + (BU19/2)*(BV19/2) + (BV19/2)^2  - (BU19/2 - BW19/1000)^2 - (BU19/2 - BW19/1000)*(BV19/2 - BW19/1000) - (BV19/2 - BW19/1000)^2)=0, "", 7850/1000 * (1/3) * PI() * ABS(BS19 - BT19) * ((BU19/2)^2 + (BU19/2)*(BV19/2) + (BV19/2)^2  - (BU19/2 - BW19/1000)^2 - (BU19/2 - BW19/1000)*(BV19/2 - BW19/1000) - (BV19/2 - BW19/1000)^2))</f>
        <v>93.922221858789683</v>
      </c>
      <c r="CA19" s="106">
        <f>IFERROR((TOWER_DATA[[#This Row],[D, top]]+TOWER_DATA[[#This Row],[D, bottom]])/(2*TOWER_DATA[[#This Row],[t]]/1000),"")</f>
        <v>69.565217391304344</v>
      </c>
      <c r="CC19" s="93">
        <v>0</v>
      </c>
      <c r="CD19" s="93">
        <v>1</v>
      </c>
      <c r="CE19" s="93">
        <v>5.8</v>
      </c>
      <c r="CF19" s="93">
        <v>10</v>
      </c>
      <c r="CG19" s="93">
        <v>8</v>
      </c>
      <c r="CH19" s="93">
        <v>8</v>
      </c>
      <c r="CI19" s="93">
        <v>115</v>
      </c>
    </row>
    <row r="20" spans="1:87" x14ac:dyDescent="0.3">
      <c r="B20" s="101">
        <v>2</v>
      </c>
      <c r="C20" s="101">
        <v>2.6</v>
      </c>
      <c r="D20" s="101">
        <v>-0.6</v>
      </c>
      <c r="E20" s="101">
        <v>8</v>
      </c>
      <c r="F20" s="101">
        <v>8</v>
      </c>
      <c r="G20" s="101">
        <v>116</v>
      </c>
      <c r="H20" s="106">
        <f>IFERROR(MP_DATA[[#This Row],[Bottom]]-MP_DATA[[#This Row],[D, top]], "")</f>
        <v>-8.6</v>
      </c>
      <c r="I20" s="106">
        <f>IFERROR(-(MP_DATA[[#This Row],[D, bottom]]-MP_DATA[[#This Row],[D, top]])/(MP_DATA[[#This Row],[Bottom]]-MP_DATA[[#This Row],[Top]]),"")</f>
        <v>0</v>
      </c>
      <c r="J20" s="106">
        <f>IF(7850/1000*(1/3)*PI()*ABS(C20-D20)*((E20/2)^2+(E20/2)*(F20/2)+(F20/2)^2-(E20/2-G20/1000)^2-(E20/2-G20/1000)*(F20/2-G20/1000)-(F20/2-G20/1000)^2)=0,"",7850/1000*(1/3)*PI()*ABS(C20-D20)*((E20/2)^2+(E20/2)*(F20/2)+(F20/2)^2-(E20/2-G20/1000)^2-(E20/2-G20/1000)*(F20/2-G20/1000)-(F20/2-G20/1000)^2))</f>
        <v>72.17289276002974</v>
      </c>
      <c r="K20" s="106">
        <f>IFERROR((MP_DATA[[#This Row],[D, bottom]]+MP_DATA[[#This Row],[D, top]])/(2*MP_DATA[[#This Row],[t]]/1000),"")</f>
        <v>68.965517241379303</v>
      </c>
      <c r="M20" s="101" t="s">
        <v>178</v>
      </c>
      <c r="N20" s="101" t="s">
        <v>168</v>
      </c>
      <c r="O20" s="101">
        <v>3.1</v>
      </c>
      <c r="P20" s="101">
        <v>1.25</v>
      </c>
      <c r="Q20" s="101" t="s">
        <v>166</v>
      </c>
      <c r="R20" s="101" t="s">
        <v>167</v>
      </c>
      <c r="S20" s="101"/>
      <c r="U20" s="107">
        <v>2</v>
      </c>
      <c r="V20" s="107">
        <v>2.6</v>
      </c>
      <c r="W20" s="107">
        <v>-0.6</v>
      </c>
      <c r="X20" s="93">
        <v>8</v>
      </c>
      <c r="Y20" s="107">
        <v>8</v>
      </c>
      <c r="Z20" s="93">
        <v>116</v>
      </c>
      <c r="AB20" s="93" t="s">
        <v>178</v>
      </c>
      <c r="AC20" s="93" t="s">
        <v>168</v>
      </c>
      <c r="AD20" s="93">
        <v>3.1</v>
      </c>
      <c r="AE20" s="93">
        <v>1.25</v>
      </c>
      <c r="AF20" s="93" t="s">
        <v>166</v>
      </c>
      <c r="AG20" s="93" t="s">
        <v>167</v>
      </c>
      <c r="AK20" s="101"/>
      <c r="AL20" s="101"/>
      <c r="AM20" s="101"/>
      <c r="AN20" s="101"/>
      <c r="AO20" s="101"/>
      <c r="AQ20" s="107"/>
      <c r="AR20" s="107"/>
      <c r="AS20" s="107">
        <v>15</v>
      </c>
      <c r="AT20" s="107">
        <v>10</v>
      </c>
      <c r="AU20" s="107"/>
      <c r="AV20" s="107"/>
      <c r="AW20" s="107"/>
      <c r="AX20" s="106">
        <f>IFERROR(TP_DATA[[#This Row],[Top]]-TP_DATA[[#This Row],[Bottom]], "")</f>
        <v>5</v>
      </c>
      <c r="AY20" s="106">
        <f>IFERROR(-(TP_DATA[[#This Row],[D, top]]-TP_DATA[[#This Row],[D, bottom]])/(TP_DATA[[#This Row],[Top]]-TP_DATA[[#This Row],[Bottom]]),"")</f>
        <v>0</v>
      </c>
      <c r="AZ20" s="106" t="str">
        <f t="shared" ref="AZ20:AZ83" si="0">IF(7850/1000 * (1/3) * PI() * ABS(AS20 - AT20) * ((AU20/2)^2 + (AU20/2)*(AV20/2) + (AV20/2)^2  - (AU20/2 - AW20/1000)^2 - (AU20/2 - AW20/1000)*(AV20/2 - AW20/1000) - (AV20/2 - AW20/1000)^2)=0, "", 7850/1000 * (1/3) * PI() * ABS(AS20 - AT20) * ((AU20/2)^2 + (AU20/2)*(AV20/2) + (AV20/2)^2  - (AU20/2 - AW20/1000)^2 - (AU20/2 - AW20/1000)*(AV20/2 - AW20/1000) - (AV20/2 - AW20/1000)^2))</f>
        <v/>
      </c>
      <c r="BA20" s="106" t="str">
        <f>IFERROR((TP_DATA[[#This Row],[D, top]]+TP_DATA[[#This Row],[D, bottom]])/(2*TP_DATA[[#This Row],[t]]/1000),"")</f>
        <v/>
      </c>
      <c r="BC20" s="93">
        <v>1</v>
      </c>
      <c r="BD20" s="93">
        <v>2</v>
      </c>
      <c r="BE20" s="93">
        <v>5</v>
      </c>
      <c r="BF20" s="93">
        <v>0</v>
      </c>
      <c r="BG20" s="93">
        <v>8</v>
      </c>
      <c r="BH20" s="93">
        <v>8</v>
      </c>
      <c r="BI20" s="93">
        <v>120</v>
      </c>
      <c r="BQ20" s="93">
        <v>1</v>
      </c>
      <c r="BR20" s="93">
        <v>2</v>
      </c>
      <c r="BS20" s="93">
        <v>10</v>
      </c>
      <c r="BT20" s="93">
        <v>7.5</v>
      </c>
      <c r="BU20" s="93">
        <v>8</v>
      </c>
      <c r="BV20" s="93">
        <v>8</v>
      </c>
      <c r="BW20" s="93">
        <v>120</v>
      </c>
      <c r="BX20" s="106">
        <f>IFERROR(TOWER_DATA[[#This Row],[Top]]-TOWER_DATA[[#This Row],[Bottom]], "")</f>
        <v>2.5</v>
      </c>
      <c r="BY20" s="106">
        <f>IFERROR(-(TOWER_DATA[[#This Row],[D, top]]-TOWER_DATA[[#This Row],[D, bottom]])/(TOWER_DATA[[#This Row],[Top]]-TOWER_DATA[[#This Row],[Bottom]]),"")</f>
        <v>0</v>
      </c>
      <c r="BZ20" s="106">
        <f t="shared" ref="BZ20:BZ83" si="1">IF(7850/1000 * (1/3) * PI() * ABS(BS20 - BT20) * ((BU20/2)^2 + (BU20/2)*(BV20/2) + (BV20/2)^2  - (BU20/2 - BW20/1000)^2 - (BU20/2 - BW20/1000)*(BV20/2 - BW20/1000) - (BV20/2 - BW20/1000)^2)=0, "", 7850/1000 * (1/3) * PI() * ABS(BS20 - BT20) * ((BU20/2)^2 + (BU20/2)*(BV20/2) + (BV20/2)^2  - (BU20/2 - BW20/1000)^2 - (BU20/2 - BW20/1000)*(BV20/2 - BW20/1000) - (BV20/2 - BW20/1000)^2))</f>
        <v>58.299791509727179</v>
      </c>
      <c r="CA20" s="106">
        <f>IFERROR((TOWER_DATA[[#This Row],[D, top]]+TOWER_DATA[[#This Row],[D, bottom]])/(2*TOWER_DATA[[#This Row],[t]]/1000),"")</f>
        <v>66.666666666666671</v>
      </c>
      <c r="CC20" s="93">
        <v>1</v>
      </c>
      <c r="CD20" s="93">
        <v>2</v>
      </c>
      <c r="CE20" s="93">
        <v>10</v>
      </c>
      <c r="CF20" s="93">
        <v>7.5</v>
      </c>
      <c r="CG20" s="93">
        <v>8</v>
      </c>
      <c r="CH20" s="93">
        <v>8</v>
      </c>
      <c r="CI20" s="93">
        <v>120</v>
      </c>
    </row>
    <row r="21" spans="1:87" x14ac:dyDescent="0.3">
      <c r="B21" s="101">
        <v>3</v>
      </c>
      <c r="C21" s="101">
        <v>-0.6</v>
      </c>
      <c r="D21" s="101">
        <v>-3.8</v>
      </c>
      <c r="E21" s="101">
        <v>8</v>
      </c>
      <c r="F21" s="101">
        <v>8</v>
      </c>
      <c r="G21" s="101">
        <v>125</v>
      </c>
      <c r="H21" s="106">
        <f>IFERROR(MP_DATA[[#This Row],[Bottom]]-MP_DATA[[#This Row],[D, top]], "")</f>
        <v>-11.8</v>
      </c>
      <c r="I21" s="106">
        <f>IFERROR(-(MP_DATA[[#This Row],[D, bottom]]-MP_DATA[[#This Row],[D, top]])/(MP_DATA[[#This Row],[Bottom]]-MP_DATA[[#This Row],[Top]]),"")</f>
        <v>0</v>
      </c>
      <c r="J21" s="106">
        <f>IF(7850/1000*(1/3)*PI()*ABS(C21-D21)*((E21/2)^2+(E21/2)*(F21/2)+(F21/2)^2-(E21/2-G21/1000)^2-(E21/2-G21/1000)*(F21/2-G21/1000)-(F21/2-G21/1000)^2)=0,"",7850/1000*(1/3)*PI()*ABS(C21-D21)*((E21/2)^2+(E21/2)*(F21/2)+(F21/2)^2-(E21/2-G21/1000)^2-(E21/2-G21/1000)*(F21/2-G21/1000)-(F21/2-G21/1000)^2))</f>
        <v>77.683732341641587</v>
      </c>
      <c r="K21" s="106">
        <f>IFERROR((MP_DATA[[#This Row],[D, bottom]]+MP_DATA[[#This Row],[D, top]])/(2*MP_DATA[[#This Row],[t]]/1000),"")</f>
        <v>64</v>
      </c>
      <c r="M21" s="101" t="s">
        <v>179</v>
      </c>
      <c r="N21" s="101" t="s">
        <v>169</v>
      </c>
      <c r="O21" s="101">
        <v>-12.36</v>
      </c>
      <c r="P21" s="101">
        <v>2</v>
      </c>
      <c r="Q21" s="101" t="s">
        <v>170</v>
      </c>
      <c r="R21" s="101" t="s">
        <v>171</v>
      </c>
      <c r="S21" s="101">
        <v>0.85199999999999998</v>
      </c>
      <c r="U21" s="107">
        <v>3</v>
      </c>
      <c r="V21" s="107">
        <v>-0.6</v>
      </c>
      <c r="W21" s="107">
        <v>-3.8</v>
      </c>
      <c r="X21" s="93">
        <v>8</v>
      </c>
      <c r="Y21" s="107">
        <v>8</v>
      </c>
      <c r="Z21" s="93">
        <v>125</v>
      </c>
      <c r="AB21" s="93" t="s">
        <v>179</v>
      </c>
      <c r="AC21" s="93" t="s">
        <v>169</v>
      </c>
      <c r="AD21" s="93">
        <v>-12.36</v>
      </c>
      <c r="AE21" s="93">
        <v>2</v>
      </c>
      <c r="AF21" s="93" t="s">
        <v>170</v>
      </c>
      <c r="AG21" s="93" t="s">
        <v>171</v>
      </c>
      <c r="AH21" s="93">
        <v>0.85199999999999998</v>
      </c>
      <c r="AK21" s="101"/>
      <c r="AL21" s="101"/>
      <c r="AM21" s="101"/>
      <c r="AN21" s="101"/>
      <c r="AO21" s="101"/>
      <c r="AQ21" s="107"/>
      <c r="AR21" s="107"/>
      <c r="AS21" s="107">
        <v>10</v>
      </c>
      <c r="AT21" s="107">
        <v>5</v>
      </c>
      <c r="AU21" s="107"/>
      <c r="AV21" s="107"/>
      <c r="AW21" s="107"/>
      <c r="AX21" s="106">
        <f>IFERROR(TP_DATA[[#This Row],[Top]]-TP_DATA[[#This Row],[Bottom]], "")</f>
        <v>5</v>
      </c>
      <c r="AY21" s="106">
        <f>IFERROR(-(TP_DATA[[#This Row],[D, top]]-TP_DATA[[#This Row],[D, bottom]])/(TP_DATA[[#This Row],[Top]]-TP_DATA[[#This Row],[Bottom]]),"")</f>
        <v>0</v>
      </c>
      <c r="AZ21" s="106" t="str">
        <f t="shared" si="0"/>
        <v/>
      </c>
      <c r="BA21" s="106" t="str">
        <f>IFERROR((TP_DATA[[#This Row],[D, top]]+TP_DATA[[#This Row],[D, bottom]])/(2*TP_DATA[[#This Row],[t]]/1000),"")</f>
        <v/>
      </c>
      <c r="BC21" s="93">
        <v>2</v>
      </c>
      <c r="BD21" s="93">
        <v>3</v>
      </c>
      <c r="BE21" s="93">
        <v>0</v>
      </c>
      <c r="BF21" s="93">
        <v>-5</v>
      </c>
      <c r="BG21" s="93">
        <v>8</v>
      </c>
      <c r="BH21" s="93">
        <v>8</v>
      </c>
      <c r="BI21" s="93">
        <v>130</v>
      </c>
      <c r="BQ21" s="93">
        <v>2</v>
      </c>
      <c r="BR21" s="93">
        <v>3</v>
      </c>
      <c r="BS21" s="93">
        <v>7.5</v>
      </c>
      <c r="BT21" s="93">
        <v>5</v>
      </c>
      <c r="BU21" s="93">
        <v>8</v>
      </c>
      <c r="BV21" s="93">
        <v>8</v>
      </c>
      <c r="BW21" s="93">
        <v>130</v>
      </c>
      <c r="BX21" s="106">
        <f>IFERROR(TOWER_DATA[[#This Row],[Top]]-TOWER_DATA[[#This Row],[Bottom]], "")</f>
        <v>2.5</v>
      </c>
      <c r="BY21" s="106">
        <f>IFERROR(-(TOWER_DATA[[#This Row],[D, top]]-TOWER_DATA[[#This Row],[D, bottom]])/(TOWER_DATA[[#This Row],[Top]]-TOWER_DATA[[#This Row],[Bottom]]),"")</f>
        <v>0</v>
      </c>
      <c r="BZ21" s="106">
        <f t="shared" si="1"/>
        <v>63.077957586296407</v>
      </c>
      <c r="CA21" s="106">
        <f>IFERROR((TOWER_DATA[[#This Row],[D, top]]+TOWER_DATA[[#This Row],[D, bottom]])/(2*TOWER_DATA[[#This Row],[t]]/1000),"")</f>
        <v>61.538461538461533</v>
      </c>
      <c r="CC21" s="93">
        <v>2</v>
      </c>
      <c r="CD21" s="93">
        <v>3</v>
      </c>
      <c r="CE21" s="93">
        <v>7.5</v>
      </c>
      <c r="CF21" s="93">
        <v>5</v>
      </c>
      <c r="CG21" s="93">
        <v>8</v>
      </c>
      <c r="CH21" s="93">
        <v>8</v>
      </c>
      <c r="CI21" s="93">
        <v>130</v>
      </c>
    </row>
    <row r="22" spans="1:87" x14ac:dyDescent="0.3">
      <c r="B22" s="101">
        <v>4</v>
      </c>
      <c r="C22" s="101">
        <v>-3.8</v>
      </c>
      <c r="D22" s="101">
        <v>-7.3</v>
      </c>
      <c r="E22" s="101">
        <v>8</v>
      </c>
      <c r="F22" s="101">
        <v>8.44</v>
      </c>
      <c r="G22" s="101">
        <v>125</v>
      </c>
      <c r="H22" s="106">
        <f>IFERROR(MP_DATA[[#This Row],[Bottom]]-MP_DATA[[#This Row],[D, top]], "")</f>
        <v>-15.3</v>
      </c>
      <c r="I22" s="106">
        <f>IFERROR(-(MP_DATA[[#This Row],[D, bottom]]-MP_DATA[[#This Row],[D, top]])/(MP_DATA[[#This Row],[Bottom]]-MP_DATA[[#This Row],[Top]]),"")</f>
        <v>0.12571428571428558</v>
      </c>
      <c r="J22" s="106">
        <f>IF(7850/1000*(1/3)*PI()*ABS(C22-D22)*((E22/2)^2+(E22/2)*(F22/2)+(F22/2)^2-(E22/2-G22/1000)^2-(E22/2-G22/1000)*(F22/2-G22/1000)-(F22/2-G22/1000)^2)=0,"",7850/1000*(1/3)*PI()*ABS(C22-D22)*((E22/2)^2+(E22/2)*(F22/2)+(F22/2)^2-(E22/2-G22/1000)^2-(E22/2-G22/1000)*(F22/2-G22/1000)-(F22/2-G22/1000)^2))</f>
        <v>87.340251847998317</v>
      </c>
      <c r="K22" s="106">
        <f>IFERROR((MP_DATA[[#This Row],[D, bottom]]+MP_DATA[[#This Row],[D, top]])/(2*MP_DATA[[#This Row],[t]]/1000),"")</f>
        <v>65.759999999999991</v>
      </c>
      <c r="M22" s="101" t="s">
        <v>172</v>
      </c>
      <c r="N22" s="101" t="s">
        <v>173</v>
      </c>
      <c r="O22" s="101">
        <v>-22.72</v>
      </c>
      <c r="P22" s="101">
        <v>1.6</v>
      </c>
      <c r="Q22" s="101" t="s">
        <v>170</v>
      </c>
      <c r="R22" s="101" t="s">
        <v>171</v>
      </c>
      <c r="S22" s="101"/>
      <c r="U22" s="107">
        <v>4</v>
      </c>
      <c r="V22" s="107">
        <v>-3.8</v>
      </c>
      <c r="W22" s="107">
        <v>-7.3</v>
      </c>
      <c r="X22" s="93">
        <v>8</v>
      </c>
      <c r="Y22" s="107">
        <v>8.44</v>
      </c>
      <c r="Z22" s="93">
        <v>125</v>
      </c>
      <c r="AB22" s="93" t="s">
        <v>172</v>
      </c>
      <c r="AC22" s="93" t="s">
        <v>173</v>
      </c>
      <c r="AD22" s="93">
        <v>-22.72</v>
      </c>
      <c r="AE22" s="93">
        <v>1.6</v>
      </c>
      <c r="AF22" s="93" t="s">
        <v>170</v>
      </c>
      <c r="AG22" s="93" t="s">
        <v>171</v>
      </c>
      <c r="AK22" s="101"/>
      <c r="AL22" s="101"/>
      <c r="AM22" s="101"/>
      <c r="AN22" s="101"/>
      <c r="AO22" s="101"/>
      <c r="AQ22" s="107"/>
      <c r="AR22" s="107"/>
      <c r="AS22" s="107">
        <v>5</v>
      </c>
      <c r="AT22" s="107">
        <v>0</v>
      </c>
      <c r="AU22" s="107"/>
      <c r="AV22" s="107"/>
      <c r="AW22" s="107"/>
      <c r="AX22" s="106">
        <f>IFERROR(TP_DATA[[#This Row],[Top]]-TP_DATA[[#This Row],[Bottom]], "")</f>
        <v>5</v>
      </c>
      <c r="AY22" s="106">
        <f>IFERROR(-(TP_DATA[[#This Row],[D, top]]-TP_DATA[[#This Row],[D, bottom]])/(TP_DATA[[#This Row],[Top]]-TP_DATA[[#This Row],[Bottom]]),"")</f>
        <v>0</v>
      </c>
      <c r="AZ22" s="106" t="str">
        <f t="shared" si="0"/>
        <v/>
      </c>
      <c r="BA22" s="106" t="str">
        <f>IFERROR((TP_DATA[[#This Row],[D, top]]+TP_DATA[[#This Row],[D, bottom]])/(2*TP_DATA[[#This Row],[t]]/1000),"")</f>
        <v/>
      </c>
      <c r="BC22" s="93">
        <v>3</v>
      </c>
      <c r="BD22" s="93">
        <v>4</v>
      </c>
      <c r="BE22" s="93">
        <v>-5</v>
      </c>
      <c r="BF22" s="93">
        <v>-10</v>
      </c>
      <c r="BG22" s="93">
        <v>8</v>
      </c>
      <c r="BH22" s="93">
        <v>8.44</v>
      </c>
      <c r="BI22" s="93">
        <v>130</v>
      </c>
      <c r="BQ22" s="93">
        <v>3</v>
      </c>
      <c r="BR22" s="93">
        <v>4</v>
      </c>
      <c r="BS22" s="93">
        <v>5</v>
      </c>
      <c r="BT22" s="93">
        <v>2.5</v>
      </c>
      <c r="BU22" s="93">
        <v>8</v>
      </c>
      <c r="BV22" s="93">
        <v>8.44</v>
      </c>
      <c r="BW22" s="93">
        <v>130</v>
      </c>
      <c r="BX22" s="106">
        <f>IFERROR(TOWER_DATA[[#This Row],[Top]]-TOWER_DATA[[#This Row],[Bottom]], "")</f>
        <v>2.5</v>
      </c>
      <c r="BY22" s="106">
        <f>IFERROR(-(TOWER_DATA[[#This Row],[D, top]]-TOWER_DATA[[#This Row],[D, bottom]])/(TOWER_DATA[[#This Row],[Top]]-TOWER_DATA[[#This Row],[Bottom]]),"")</f>
        <v>0.1759999999999998</v>
      </c>
      <c r="BZ22" s="106">
        <f t="shared" si="1"/>
        <v>64.841255002939988</v>
      </c>
      <c r="CA22" s="106">
        <f>IFERROR((TOWER_DATA[[#This Row],[D, top]]+TOWER_DATA[[#This Row],[D, bottom]])/(2*TOWER_DATA[[#This Row],[t]]/1000),"")</f>
        <v>63.230769230769219</v>
      </c>
      <c r="CC22" s="93">
        <v>3</v>
      </c>
      <c r="CD22" s="93">
        <v>4</v>
      </c>
      <c r="CE22" s="93">
        <v>5</v>
      </c>
      <c r="CF22" s="93">
        <v>2.5</v>
      </c>
      <c r="CG22" s="93">
        <v>8</v>
      </c>
      <c r="CH22" s="93">
        <v>8.44</v>
      </c>
      <c r="CI22" s="93">
        <v>130</v>
      </c>
    </row>
    <row r="23" spans="1:87" x14ac:dyDescent="0.3">
      <c r="B23" s="101">
        <v>5</v>
      </c>
      <c r="C23" s="101">
        <v>-7.3</v>
      </c>
      <c r="D23" s="101">
        <v>-10.8</v>
      </c>
      <c r="E23" s="101">
        <v>8.44</v>
      </c>
      <c r="F23" s="101">
        <v>8.8800000000000008</v>
      </c>
      <c r="G23" s="101">
        <v>106</v>
      </c>
      <c r="H23" s="106">
        <f>IFERROR(MP_DATA[[#This Row],[Bottom]]-MP_DATA[[#This Row],[D, top]], "")</f>
        <v>-19.240000000000002</v>
      </c>
      <c r="I23" s="106">
        <f>IFERROR(-(MP_DATA[[#This Row],[D, bottom]]-MP_DATA[[#This Row],[D, top]])/(MP_DATA[[#This Row],[Bottom]]-MP_DATA[[#This Row],[Top]]),"")</f>
        <v>0.12571428571428606</v>
      </c>
      <c r="J23" s="106">
        <f>IF(7850/1000*(1/3)*PI()*ABS(C23-D23)*((E23/2)^2+(E23/2)*(F23/2)+(F23/2)^2-(E23/2-G23/1000)^2-(E23/2-G23/1000)*(F23/2-G23/1000)-(F23/2-G23/1000)^2)=0,"",7850/1000*(1/3)*PI()*ABS(C23-D23)*((E23/2)^2+(E23/2)*(F23/2)+(F23/2)^2-(E23/2-G23/1000)^2-(E23/2-G23/1000)*(F23/2-G23/1000)-(F23/2-G23/1000)^2))</f>
        <v>78.26411613749147</v>
      </c>
      <c r="K23" s="106">
        <f>IFERROR((MP_DATA[[#This Row],[D, bottom]]+MP_DATA[[#This Row],[D, top]])/(2*MP_DATA[[#This Row],[t]]/1000),"")</f>
        <v>81.698113207547181</v>
      </c>
      <c r="L23" s="106" t="str">
        <f>IFERROR((MP_DATA[[#This Row],[D, bottom]]+#REF!)/(2*#REF!/1000),"")</f>
        <v/>
      </c>
      <c r="M23" s="101" t="s">
        <v>180</v>
      </c>
      <c r="N23" s="101" t="s">
        <v>174</v>
      </c>
      <c r="O23" s="101">
        <v>-23.72</v>
      </c>
      <c r="P23" s="101">
        <v>1.25</v>
      </c>
      <c r="Q23" s="101" t="s">
        <v>170</v>
      </c>
      <c r="R23" s="101" t="s">
        <v>167</v>
      </c>
      <c r="S23" s="101"/>
      <c r="U23" s="107">
        <v>5</v>
      </c>
      <c r="V23" s="107">
        <v>-7.3</v>
      </c>
      <c r="W23" s="107">
        <v>-10.8</v>
      </c>
      <c r="X23" s="107">
        <v>8.44</v>
      </c>
      <c r="Y23" s="107">
        <v>8.8800000000000008</v>
      </c>
      <c r="Z23" s="107">
        <v>106</v>
      </c>
      <c r="AB23" s="93" t="s">
        <v>180</v>
      </c>
      <c r="AC23" s="93" t="s">
        <v>174</v>
      </c>
      <c r="AD23" s="93">
        <v>-23.72</v>
      </c>
      <c r="AE23" s="93">
        <v>1.25</v>
      </c>
      <c r="AF23" s="93" t="s">
        <v>170</v>
      </c>
      <c r="AG23" s="93" t="s">
        <v>167</v>
      </c>
      <c r="AK23" s="101"/>
      <c r="AL23" s="101"/>
      <c r="AM23" s="101"/>
      <c r="AN23" s="101"/>
      <c r="AO23" s="101"/>
      <c r="AQ23" s="107"/>
      <c r="AR23" s="107"/>
      <c r="AS23" s="107"/>
      <c r="AT23" s="107"/>
      <c r="AU23" s="107"/>
      <c r="AV23" s="107"/>
      <c r="AW23" s="107"/>
      <c r="AX23" s="106">
        <f>IFERROR(TP_DATA[[#This Row],[Top]]-TP_DATA[[#This Row],[Bottom]], "")</f>
        <v>0</v>
      </c>
      <c r="AY23" s="106" t="str">
        <f>IFERROR(-(TP_DATA[[#This Row],[D, top]]-TP_DATA[[#This Row],[D, bottom]])/(TP_DATA[[#This Row],[Top]]-TP_DATA[[#This Row],[Bottom]]),"")</f>
        <v/>
      </c>
      <c r="AZ23" s="106" t="str">
        <f t="shared" si="0"/>
        <v/>
      </c>
      <c r="BA23" s="106" t="str">
        <f>IFERROR((TP_DATA[[#This Row],[D, top]]+TP_DATA[[#This Row],[D, bottom]])/(2*TP_DATA[[#This Row],[t]]/1000),"")</f>
        <v/>
      </c>
      <c r="BC23" s="93">
        <v>4</v>
      </c>
      <c r="BD23" s="93">
        <v>5</v>
      </c>
      <c r="BE23" s="93">
        <v>-10</v>
      </c>
      <c r="BF23" s="93">
        <v>-15</v>
      </c>
      <c r="BG23" s="93">
        <v>8.44</v>
      </c>
      <c r="BH23" s="93">
        <v>8.8800000000000008</v>
      </c>
      <c r="BI23" s="93">
        <v>110</v>
      </c>
      <c r="BQ23" s="93">
        <v>4</v>
      </c>
      <c r="BR23" s="93">
        <v>5</v>
      </c>
      <c r="BS23" s="93">
        <v>2.5</v>
      </c>
      <c r="BT23" s="93">
        <v>0</v>
      </c>
      <c r="BU23" s="93">
        <v>8.44</v>
      </c>
      <c r="BV23" s="93">
        <v>8.8800000000000008</v>
      </c>
      <c r="BW23" s="93">
        <v>110</v>
      </c>
      <c r="BX23" s="106">
        <f>IFERROR(TOWER_DATA[[#This Row],[Top]]-TOWER_DATA[[#This Row],[Bottom]], "")</f>
        <v>2.5</v>
      </c>
      <c r="BY23" s="106">
        <f>IFERROR(-(TOWER_DATA[[#This Row],[D, top]]-TOWER_DATA[[#This Row],[D, bottom]])/(TOWER_DATA[[#This Row],[Top]]-TOWER_DATA[[#This Row],[Bottom]]),"")</f>
        <v>0.17600000000000052</v>
      </c>
      <c r="BZ23" s="106">
        <f t="shared" si="1"/>
        <v>57.985357355010983</v>
      </c>
      <c r="CA23" s="106">
        <f>IFERROR((TOWER_DATA[[#This Row],[D, top]]+TOWER_DATA[[#This Row],[D, bottom]])/(2*TOWER_DATA[[#This Row],[t]]/1000),"")</f>
        <v>78.727272727272734</v>
      </c>
      <c r="CC23" s="93">
        <v>4</v>
      </c>
      <c r="CD23" s="93">
        <v>5</v>
      </c>
      <c r="CE23" s="93">
        <v>2.5</v>
      </c>
      <c r="CF23" s="93">
        <v>0</v>
      </c>
      <c r="CG23" s="93">
        <v>8.44</v>
      </c>
      <c r="CH23" s="93">
        <v>8.8800000000000008</v>
      </c>
      <c r="CI23" s="93">
        <v>110</v>
      </c>
    </row>
    <row r="24" spans="1:87" x14ac:dyDescent="0.3">
      <c r="B24" s="101">
        <v>6</v>
      </c>
      <c r="C24" s="101">
        <v>-10.8</v>
      </c>
      <c r="D24" s="101">
        <v>-14.3</v>
      </c>
      <c r="E24" s="101">
        <v>8.8800000000000008</v>
      </c>
      <c r="F24" s="101">
        <v>9.31</v>
      </c>
      <c r="G24" s="101">
        <v>116</v>
      </c>
      <c r="H24" s="106">
        <f>IFERROR(MP_DATA[[#This Row],[Bottom]]-MP_DATA[[#This Row],[D, top]], "")</f>
        <v>-23.18</v>
      </c>
      <c r="I24" s="106">
        <f>IFERROR(-(MP_DATA[[#This Row],[D, bottom]]-MP_DATA[[#This Row],[D, top]])/(MP_DATA[[#This Row],[Bottom]]-MP_DATA[[#This Row],[Top]]),"")</f>
        <v>0.12285714285714278</v>
      </c>
      <c r="J24" s="106">
        <f>IF(7850/1000*(1/3)*PI()*ABS(C24-D24)*((E24/2)^2+(E24/2)*(F24/2)+(F24/2)^2-(E24/2-G24/1000)^2-(E24/2-G24/1000)*(F24/2-G24/1000)-(F24/2-G24/1000)^2)=0,"",7850/1000*(1/3)*PI()*ABS(C24-D24)*((E24/2)^2+(E24/2)*(F24/2)+(F24/2)^2-(E24/2-G24/1000)^2-(E24/2-G24/1000)*(F24/2-G24/1000)-(F24/2-G24/1000)^2))</f>
        <v>89.902865547432455</v>
      </c>
      <c r="K24" s="106">
        <f>IFERROR((MP_DATA[[#This Row],[D, bottom]]+MP_DATA[[#This Row],[D, top]])/(2*MP_DATA[[#This Row],[t]]/1000),"")</f>
        <v>78.40517241379311</v>
      </c>
      <c r="L24" s="106" t="str">
        <f>IFERROR((MP_DATA[[#This Row],[D, bottom]]+#REF!)/(2*#REF!/1000),"")</f>
        <v/>
      </c>
      <c r="M24" s="101" t="s">
        <v>181</v>
      </c>
      <c r="N24" s="101" t="s">
        <v>169</v>
      </c>
      <c r="O24" s="101">
        <v>-34.07</v>
      </c>
      <c r="P24" s="101">
        <v>2</v>
      </c>
      <c r="Q24" s="101" t="s">
        <v>170</v>
      </c>
      <c r="R24" s="101" t="s">
        <v>171</v>
      </c>
      <c r="S24" s="101">
        <v>0.84599999999999997</v>
      </c>
      <c r="U24" s="107">
        <v>6</v>
      </c>
      <c r="V24" s="107">
        <v>-10.8</v>
      </c>
      <c r="W24" s="107">
        <v>-14.3</v>
      </c>
      <c r="X24" s="107">
        <v>8.8800000000000008</v>
      </c>
      <c r="Y24" s="107">
        <v>9.31</v>
      </c>
      <c r="Z24" s="107">
        <v>116</v>
      </c>
      <c r="AB24" s="93" t="s">
        <v>181</v>
      </c>
      <c r="AC24" s="93" t="s">
        <v>169</v>
      </c>
      <c r="AD24" s="93">
        <v>-34.07</v>
      </c>
      <c r="AE24" s="93">
        <v>2</v>
      </c>
      <c r="AF24" s="93" t="s">
        <v>170</v>
      </c>
      <c r="AG24" s="93" t="s">
        <v>171</v>
      </c>
      <c r="AH24" s="93">
        <v>0.84599999999999997</v>
      </c>
      <c r="AJ24" s="104"/>
      <c r="AK24" s="101"/>
      <c r="AL24" s="101"/>
      <c r="AM24" s="101"/>
      <c r="AN24" s="101"/>
      <c r="AO24" s="101"/>
      <c r="AQ24" s="107"/>
      <c r="AR24" s="107"/>
      <c r="AS24" s="107"/>
      <c r="AT24" s="107"/>
      <c r="AU24" s="107"/>
      <c r="AV24" s="107"/>
      <c r="AW24" s="107"/>
      <c r="AX24" s="106">
        <f>IFERROR(TP_DATA[[#This Row],[Top]]-TP_DATA[[#This Row],[Bottom]], "")</f>
        <v>0</v>
      </c>
      <c r="AY24" s="106" t="str">
        <f>IFERROR(-(TP_DATA[[#This Row],[D, top]]-TP_DATA[[#This Row],[D, bottom]])/(TP_DATA[[#This Row],[Top]]-TP_DATA[[#This Row],[Bottom]]),"")</f>
        <v/>
      </c>
      <c r="AZ24" s="106" t="str">
        <f t="shared" si="0"/>
        <v/>
      </c>
      <c r="BA24" s="106" t="str">
        <f>IFERROR((TP_DATA[[#This Row],[D, top]]+TP_DATA[[#This Row],[D, bottom]])/(2*TP_DATA[[#This Row],[t]]/1000),"")</f>
        <v/>
      </c>
      <c r="BC24" s="93">
        <v>5</v>
      </c>
      <c r="BD24" s="93">
        <v>6</v>
      </c>
      <c r="BE24" s="93">
        <v>-15</v>
      </c>
      <c r="BF24" s="93">
        <v>-20</v>
      </c>
      <c r="BG24" s="93">
        <v>8.8800000000000008</v>
      </c>
      <c r="BH24" s="93">
        <v>9.31</v>
      </c>
      <c r="BI24" s="93">
        <v>124</v>
      </c>
      <c r="BQ24" s="93">
        <v>5</v>
      </c>
      <c r="BR24" s="93">
        <v>6</v>
      </c>
      <c r="BS24" s="93">
        <v>0</v>
      </c>
      <c r="BT24" s="93">
        <v>-2.5</v>
      </c>
      <c r="BU24" s="93">
        <v>8.8800000000000008</v>
      </c>
      <c r="BV24" s="93">
        <v>9.31</v>
      </c>
      <c r="BW24" s="93">
        <v>124</v>
      </c>
      <c r="BX24" s="106">
        <f>IFERROR(TOWER_DATA[[#This Row],[Top]]-TOWER_DATA[[#This Row],[Bottom]], "")</f>
        <v>2.5</v>
      </c>
      <c r="BY24" s="106">
        <f>IFERROR(-(TOWER_DATA[[#This Row],[D, top]]-TOWER_DATA[[#This Row],[D, bottom]])/(TOWER_DATA[[#This Row],[Top]]-TOWER_DATA[[#This Row],[Bottom]]),"")</f>
        <v>0.17199999999999988</v>
      </c>
      <c r="BZ24" s="106">
        <f t="shared" si="1"/>
        <v>68.583884596643756</v>
      </c>
      <c r="CA24" s="106">
        <f>IFERROR((TOWER_DATA[[#This Row],[D, top]]+TOWER_DATA[[#This Row],[D, bottom]])/(2*TOWER_DATA[[#This Row],[t]]/1000),"")</f>
        <v>73.346774193548399</v>
      </c>
      <c r="CC24" s="93">
        <v>5</v>
      </c>
      <c r="CD24" s="93">
        <v>6</v>
      </c>
      <c r="CE24" s="93">
        <v>0</v>
      </c>
      <c r="CF24" s="93">
        <v>-2.5</v>
      </c>
      <c r="CG24" s="93">
        <v>8.8800000000000008</v>
      </c>
      <c r="CH24" s="93">
        <v>9.31</v>
      </c>
      <c r="CI24" s="93">
        <v>124</v>
      </c>
    </row>
    <row r="25" spans="1:87" x14ac:dyDescent="0.3">
      <c r="B25" s="101">
        <v>7</v>
      </c>
      <c r="C25" s="101">
        <v>-14.3</v>
      </c>
      <c r="D25" s="101">
        <v>-17.8</v>
      </c>
      <c r="E25" s="101">
        <v>9.31</v>
      </c>
      <c r="F25" s="101">
        <v>9.75</v>
      </c>
      <c r="G25" s="101">
        <v>103</v>
      </c>
      <c r="H25" s="106">
        <f>IFERROR(MP_DATA[[#This Row],[Bottom]]-MP_DATA[[#This Row],[D, top]], "")</f>
        <v>-27.11</v>
      </c>
      <c r="I25" s="106">
        <f>IFERROR(-(MP_DATA[[#This Row],[D, bottom]]-MP_DATA[[#This Row],[D, top]])/(MP_DATA[[#This Row],[Bottom]]-MP_DATA[[#This Row],[Top]]),"")</f>
        <v>0.12571428571428558</v>
      </c>
      <c r="J25" s="106">
        <f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83.810475680910201</v>
      </c>
      <c r="K25" s="106">
        <f>IFERROR((MP_DATA[[#This Row],[D, bottom]]+MP_DATA[[#This Row],[D, top]])/(2*MP_DATA[[#This Row],[t]]/1000),"")</f>
        <v>92.524271844660205</v>
      </c>
      <c r="L25" s="106" t="str">
        <f>IFERROR((MP_DATA[[#This Row],[D, bottom]]+#REF!)/(2*#REF!/1000),"")</f>
        <v/>
      </c>
      <c r="M25" s="101" t="s">
        <v>175</v>
      </c>
      <c r="N25" s="101" t="s">
        <v>176</v>
      </c>
      <c r="O25" s="101">
        <v>-40.43</v>
      </c>
      <c r="P25" s="101">
        <v>2.12</v>
      </c>
      <c r="Q25" s="101" t="s">
        <v>170</v>
      </c>
      <c r="R25" s="101" t="s">
        <v>171</v>
      </c>
      <c r="S25" s="101">
        <v>0.84599999999999997</v>
      </c>
      <c r="U25" s="107">
        <v>7</v>
      </c>
      <c r="V25" s="107">
        <v>-14.3</v>
      </c>
      <c r="W25" s="107">
        <v>-17.8</v>
      </c>
      <c r="X25" s="107">
        <v>9.31</v>
      </c>
      <c r="Y25" s="107">
        <v>9.75</v>
      </c>
      <c r="Z25" s="107">
        <v>103</v>
      </c>
      <c r="AB25" s="93" t="s">
        <v>175</v>
      </c>
      <c r="AC25" s="93" t="s">
        <v>176</v>
      </c>
      <c r="AD25" s="93">
        <v>-40.43</v>
      </c>
      <c r="AE25" s="93">
        <v>2.12</v>
      </c>
      <c r="AF25" s="93" t="s">
        <v>170</v>
      </c>
      <c r="AG25" s="93" t="s">
        <v>171</v>
      </c>
      <c r="AH25" s="93">
        <v>0.84599999999999997</v>
      </c>
      <c r="AJ25" s="104"/>
      <c r="AK25" s="101"/>
      <c r="AL25" s="101"/>
      <c r="AM25" s="101"/>
      <c r="AN25" s="101"/>
      <c r="AO25" s="101"/>
      <c r="AQ25" s="107"/>
      <c r="AR25" s="107"/>
      <c r="AS25" s="107"/>
      <c r="AT25" s="107"/>
      <c r="AU25" s="107"/>
      <c r="AV25" s="107"/>
      <c r="AW25" s="107"/>
      <c r="AX25" s="106">
        <f>IFERROR(TP_DATA[[#This Row],[Top]]-TP_DATA[[#This Row],[Bottom]], "")</f>
        <v>0</v>
      </c>
      <c r="AY25" s="106" t="str">
        <f>IFERROR(-(TP_DATA[[#This Row],[D, top]]-TP_DATA[[#This Row],[D, bottom]])/(TP_DATA[[#This Row],[Top]]-TP_DATA[[#This Row],[Bottom]]),"")</f>
        <v/>
      </c>
      <c r="AZ25" s="106" t="str">
        <f t="shared" si="0"/>
        <v/>
      </c>
      <c r="BA25" s="106" t="str">
        <f>IFERROR((TP_DATA[[#This Row],[D, top]]+TP_DATA[[#This Row],[D, bottom]])/(2*TP_DATA[[#This Row],[t]]/1000),"")</f>
        <v/>
      </c>
      <c r="BC25" s="93">
        <v>6</v>
      </c>
      <c r="BD25" s="93">
        <v>7</v>
      </c>
      <c r="BE25" s="93">
        <v>-20</v>
      </c>
      <c r="BF25" s="93">
        <v>-25</v>
      </c>
      <c r="BG25" s="93">
        <v>9.31</v>
      </c>
      <c r="BH25" s="93">
        <v>9.75</v>
      </c>
      <c r="BI25" s="93">
        <v>109</v>
      </c>
      <c r="BQ25" s="93">
        <v>6</v>
      </c>
      <c r="BR25" s="93">
        <v>7</v>
      </c>
      <c r="BS25" s="93">
        <v>-2.5</v>
      </c>
      <c r="BT25" s="93">
        <v>-5</v>
      </c>
      <c r="BU25" s="93">
        <v>9.31</v>
      </c>
      <c r="BV25" s="93">
        <v>9.75</v>
      </c>
      <c r="BW25" s="93">
        <v>109</v>
      </c>
      <c r="BX25" s="106">
        <f>IFERROR(TOWER_DATA[[#This Row],[Top]]-TOWER_DATA[[#This Row],[Bottom]], "")</f>
        <v>2.5</v>
      </c>
      <c r="BY25" s="106">
        <f>IFERROR(-(TOWER_DATA[[#This Row],[D, top]]-TOWER_DATA[[#This Row],[D, bottom]])/(TOWER_DATA[[#This Row],[Top]]-TOWER_DATA[[#This Row],[Bottom]]),"")</f>
        <v>0.1759999999999998</v>
      </c>
      <c r="BZ25" s="106">
        <f t="shared" si="1"/>
        <v>63.311563667123693</v>
      </c>
      <c r="CA25" s="106">
        <f>IFERROR((TOWER_DATA[[#This Row],[D, top]]+TOWER_DATA[[#This Row],[D, bottom]])/(2*TOWER_DATA[[#This Row],[t]]/1000),"")</f>
        <v>87.431192660550465</v>
      </c>
      <c r="CC25" s="93">
        <v>6</v>
      </c>
      <c r="CD25" s="93">
        <v>7</v>
      </c>
      <c r="CE25" s="93">
        <v>-2.5</v>
      </c>
      <c r="CF25" s="93">
        <v>-5</v>
      </c>
      <c r="CG25" s="93">
        <v>9.31</v>
      </c>
      <c r="CH25" s="93">
        <v>9.75</v>
      </c>
      <c r="CI25" s="93">
        <v>109</v>
      </c>
    </row>
    <row r="26" spans="1:87" x14ac:dyDescent="0.3">
      <c r="B26" s="101">
        <v>8</v>
      </c>
      <c r="C26" s="101">
        <v>-17.8</v>
      </c>
      <c r="D26" s="101">
        <v>-21.3</v>
      </c>
      <c r="E26" s="101">
        <v>9.75</v>
      </c>
      <c r="F26" s="101">
        <v>10.19</v>
      </c>
      <c r="G26" s="101">
        <v>98</v>
      </c>
      <c r="H26" s="106">
        <f>IFERROR(MP_DATA[[#This Row],[Bottom]]-MP_DATA[[#This Row],[D, top]], "")</f>
        <v>-31.05</v>
      </c>
      <c r="I26" s="106">
        <f>IFERROR(-(MP_DATA[[#This Row],[D, bottom]]-MP_DATA[[#This Row],[D, top]])/(MP_DATA[[#This Row],[Bottom]]-MP_DATA[[#This Row],[Top]]),"")</f>
        <v>0.12571428571428558</v>
      </c>
      <c r="J26" s="106">
        <f>IF(7850/1000*(1/3)*PI()*ABS(C26-D26)*((E26/2)^2+(E26/2)*(F26/2)+(F26/2)^2-(E26/2-G26/1000)^2-(E26/2-G26/1000)*(F26/2-G26/1000)-(F26/2-G26/1000)^2)=0,"",7850/1000*(1/3)*PI()*ABS(C26-D26)*((E26/2)^2+(E26/2)*(F26/2)+(F26/2)^2-(E26/2-G26/1000)^2-(E26/2-G26/1000)*(F26/2-G26/1000)-(F26/2-G26/1000)^2))</f>
        <v>83.506214395905459</v>
      </c>
      <c r="K26" s="106">
        <f>IFERROR((MP_DATA[[#This Row],[D, bottom]]+MP_DATA[[#This Row],[D, top]])/(2*MP_DATA[[#This Row],[t]]/1000),"")</f>
        <v>101.73469387755101</v>
      </c>
      <c r="L26" s="106" t="str">
        <f>IFERROR((MP_DATA[[#This Row],[D, bottom]]+#REF!)/(2*#REF!/1000),"")</f>
        <v/>
      </c>
      <c r="M26" s="101"/>
      <c r="N26" s="101"/>
      <c r="O26" s="101"/>
      <c r="P26" s="101"/>
      <c r="Q26" s="101"/>
      <c r="R26" s="101"/>
      <c r="S26" s="101"/>
      <c r="U26" s="107">
        <v>8</v>
      </c>
      <c r="V26" s="107">
        <v>-17.8</v>
      </c>
      <c r="W26" s="107">
        <v>-21.3</v>
      </c>
      <c r="X26" s="107">
        <v>9.75</v>
      </c>
      <c r="Y26" s="107">
        <v>10.19</v>
      </c>
      <c r="Z26" s="107">
        <v>98</v>
      </c>
      <c r="AB26" s="107"/>
      <c r="AC26" s="107"/>
      <c r="AD26" s="107"/>
      <c r="AE26" s="107"/>
      <c r="AF26" s="107"/>
      <c r="AG26" s="107"/>
      <c r="AH26" s="107"/>
      <c r="AQ26" s="107"/>
      <c r="AR26" s="107"/>
      <c r="AS26" s="107"/>
      <c r="AT26" s="107"/>
      <c r="AU26" s="107"/>
      <c r="AV26" s="107"/>
      <c r="AW26" s="107"/>
      <c r="AX26" s="106">
        <f>IFERROR(TP_DATA[[#This Row],[Top]]-TP_DATA[[#This Row],[Bottom]], "")</f>
        <v>0</v>
      </c>
      <c r="AY26" s="106" t="str">
        <f>IFERROR(-(TP_DATA[[#This Row],[D, top]]-TP_DATA[[#This Row],[D, bottom]])/(TP_DATA[[#This Row],[Top]]-TP_DATA[[#This Row],[Bottom]]),"")</f>
        <v/>
      </c>
      <c r="AZ26" s="106" t="str">
        <f t="shared" si="0"/>
        <v/>
      </c>
      <c r="BA26" s="106" t="str">
        <f>IFERROR((TP_DATA[[#This Row],[D, top]]+TP_DATA[[#This Row],[D, bottom]])/(2*TP_DATA[[#This Row],[t]]/1000),"")</f>
        <v/>
      </c>
      <c r="BC26" s="93">
        <v>7</v>
      </c>
      <c r="BD26" s="93">
        <v>8</v>
      </c>
      <c r="BE26" s="93">
        <v>-25</v>
      </c>
      <c r="BF26" s="93">
        <v>-30</v>
      </c>
      <c r="BG26" s="93">
        <v>9.75</v>
      </c>
      <c r="BH26" s="93">
        <v>10.19</v>
      </c>
      <c r="BI26" s="93">
        <v>98</v>
      </c>
      <c r="BQ26" s="93">
        <v>7</v>
      </c>
      <c r="BR26" s="93">
        <v>8</v>
      </c>
      <c r="BS26" s="93">
        <v>-5</v>
      </c>
      <c r="BT26" s="93">
        <v>-7.5</v>
      </c>
      <c r="BU26" s="93">
        <v>9.75</v>
      </c>
      <c r="BV26" s="93">
        <v>10.19</v>
      </c>
      <c r="BW26" s="93">
        <v>98</v>
      </c>
      <c r="BX26" s="106">
        <f>IFERROR(TOWER_DATA[[#This Row],[Top]]-TOWER_DATA[[#This Row],[Bottom]], "")</f>
        <v>2.5</v>
      </c>
      <c r="BY26" s="106">
        <f>IFERROR(-(TOWER_DATA[[#This Row],[D, top]]-TOWER_DATA[[#This Row],[D, bottom]])/(TOWER_DATA[[#This Row],[Top]]-TOWER_DATA[[#This Row],[Bottom]]),"")</f>
        <v>0.1759999999999998</v>
      </c>
      <c r="BZ26" s="106">
        <f t="shared" si="1"/>
        <v>59.647295997075325</v>
      </c>
      <c r="CA26" s="106">
        <f>IFERROR((TOWER_DATA[[#This Row],[D, top]]+TOWER_DATA[[#This Row],[D, bottom]])/(2*TOWER_DATA[[#This Row],[t]]/1000),"")</f>
        <v>101.73469387755101</v>
      </c>
      <c r="CC26" s="93">
        <v>7</v>
      </c>
      <c r="CD26" s="93">
        <v>8</v>
      </c>
      <c r="CE26" s="93">
        <v>-5</v>
      </c>
      <c r="CF26" s="93">
        <v>-7.5</v>
      </c>
      <c r="CG26" s="93">
        <v>9.75</v>
      </c>
      <c r="CH26" s="93">
        <v>10.19</v>
      </c>
      <c r="CI26" s="93">
        <v>98</v>
      </c>
    </row>
    <row r="27" spans="1:87" x14ac:dyDescent="0.3">
      <c r="B27" s="101">
        <v>9</v>
      </c>
      <c r="C27" s="101">
        <v>-21.3</v>
      </c>
      <c r="D27" s="101">
        <v>-24.8</v>
      </c>
      <c r="E27" s="101">
        <v>10.19</v>
      </c>
      <c r="F27" s="101">
        <v>10.63</v>
      </c>
      <c r="G27" s="101">
        <v>98</v>
      </c>
      <c r="H27" s="106">
        <f>IFERROR(MP_DATA[[#This Row],[Bottom]]-MP_DATA[[#This Row],[D, top]], "")</f>
        <v>-34.99</v>
      </c>
      <c r="I27" s="106">
        <f>IFERROR(-(MP_DATA[[#This Row],[D, bottom]]-MP_DATA[[#This Row],[D, top]])/(MP_DATA[[#This Row],[Bottom]]-MP_DATA[[#This Row],[Top]]),"")</f>
        <v>0.12571428571428608</v>
      </c>
      <c r="J27" s="106">
        <f>IF(7850/1000*(1/3)*PI()*ABS(C27-D27)*((E27/2)^2+(E27/2)*(F27/2)+(F27/2)^2-(E27/2-G27/1000)^2-(E27/2-G27/1000)*(F27/2-G27/1000)-(F27/2-G27/1000)^2)=0,"",7850/1000*(1/3)*PI()*ABS(C27-D27)*((E27/2)^2+(E27/2)*(F27/2)+(F27/2)^2-(E27/2-G27/1000)^2-(E27/2-G27/1000)*(F27/2-G27/1000)-(F27/2-G27/1000)^2))</f>
        <v>87.228128327651717</v>
      </c>
      <c r="K27" s="106">
        <f>IFERROR((MP_DATA[[#This Row],[D, bottom]]+MP_DATA[[#This Row],[D, top]])/(2*MP_DATA[[#This Row],[t]]/1000),"")</f>
        <v>106.22448979591836</v>
      </c>
      <c r="L27" s="106" t="str">
        <f>IFERROR((MP_DATA[[#This Row],[D, bottom]]+#REF!)/(2*#REF!/1000),"")</f>
        <v/>
      </c>
      <c r="M27" s="101"/>
      <c r="N27" s="101"/>
      <c r="O27" s="101"/>
      <c r="P27" s="101"/>
      <c r="Q27" s="101"/>
      <c r="R27" s="101"/>
      <c r="S27" s="101"/>
      <c r="U27" s="107">
        <v>9</v>
      </c>
      <c r="V27" s="107">
        <v>-21.3</v>
      </c>
      <c r="W27" s="107">
        <v>-24.8</v>
      </c>
      <c r="X27" s="107">
        <v>10.19</v>
      </c>
      <c r="Y27" s="107">
        <v>10.63</v>
      </c>
      <c r="Z27" s="107">
        <v>98</v>
      </c>
      <c r="AB27" s="107"/>
      <c r="AC27" s="107"/>
      <c r="AD27" s="107"/>
      <c r="AE27" s="107"/>
      <c r="AF27" s="107"/>
      <c r="AG27" s="107"/>
      <c r="AQ27" s="107"/>
      <c r="AR27" s="107"/>
      <c r="AS27" s="107"/>
      <c r="AT27" s="107"/>
      <c r="AU27" s="107"/>
      <c r="AV27" s="107"/>
      <c r="AW27" s="107"/>
      <c r="AX27" s="106">
        <f>IFERROR(TP_DATA[[#This Row],[Top]]-TP_DATA[[#This Row],[Bottom]], "")</f>
        <v>0</v>
      </c>
      <c r="AY27" s="106" t="str">
        <f>IFERROR(-(TP_DATA[[#This Row],[D, top]]-TP_DATA[[#This Row],[D, bottom]])/(TP_DATA[[#This Row],[Top]]-TP_DATA[[#This Row],[Bottom]]),"")</f>
        <v/>
      </c>
      <c r="AZ27" s="106" t="str">
        <f t="shared" si="0"/>
        <v/>
      </c>
      <c r="BA27" s="106" t="str">
        <f>IFERROR((TP_DATA[[#This Row],[D, top]]+TP_DATA[[#This Row],[D, bottom]])/(2*TP_DATA[[#This Row],[t]]/1000),"")</f>
        <v/>
      </c>
      <c r="BC27" s="93">
        <v>8</v>
      </c>
      <c r="BD27" s="93">
        <v>9</v>
      </c>
      <c r="BE27" s="93">
        <v>-30</v>
      </c>
      <c r="BF27" s="93">
        <v>-35</v>
      </c>
      <c r="BG27" s="93">
        <v>10.19</v>
      </c>
      <c r="BH27" s="93">
        <v>10.63</v>
      </c>
      <c r="BI27" s="93">
        <v>98</v>
      </c>
      <c r="BQ27" s="93">
        <v>8</v>
      </c>
      <c r="BR27" s="93">
        <v>9</v>
      </c>
      <c r="BS27" s="93">
        <v>-7.5</v>
      </c>
      <c r="BT27" s="93">
        <v>-10</v>
      </c>
      <c r="BU27" s="93">
        <v>10.19</v>
      </c>
      <c r="BV27" s="93">
        <v>10.63</v>
      </c>
      <c r="BW27" s="93">
        <v>98</v>
      </c>
      <c r="BX27" s="106">
        <f>IFERROR(TOWER_DATA[[#This Row],[Top]]-TOWER_DATA[[#This Row],[Bottom]], "")</f>
        <v>2.5</v>
      </c>
      <c r="BY27" s="106">
        <f>IFERROR(-(TOWER_DATA[[#This Row],[D, top]]-TOWER_DATA[[#This Row],[D, bottom]])/(TOWER_DATA[[#This Row],[Top]]-TOWER_DATA[[#This Row],[Bottom]]),"")</f>
        <v>0.17600000000000052</v>
      </c>
      <c r="BZ27" s="106">
        <f t="shared" si="1"/>
        <v>62.305805948322657</v>
      </c>
      <c r="CA27" s="106">
        <f>IFERROR((TOWER_DATA[[#This Row],[D, top]]+TOWER_DATA[[#This Row],[D, bottom]])/(2*TOWER_DATA[[#This Row],[t]]/1000),"")</f>
        <v>106.22448979591836</v>
      </c>
      <c r="CC27" s="93">
        <v>8</v>
      </c>
      <c r="CD27" s="93">
        <v>9</v>
      </c>
      <c r="CE27" s="93">
        <v>-7.5</v>
      </c>
      <c r="CF27" s="93">
        <v>-10</v>
      </c>
      <c r="CG27" s="93">
        <v>10.19</v>
      </c>
      <c r="CH27" s="93">
        <v>10.63</v>
      </c>
      <c r="CI27" s="93">
        <v>98</v>
      </c>
    </row>
    <row r="28" spans="1:87" x14ac:dyDescent="0.3">
      <c r="B28" s="101">
        <v>10</v>
      </c>
      <c r="C28" s="101">
        <v>-24.8</v>
      </c>
      <c r="D28" s="101">
        <v>-28.3</v>
      </c>
      <c r="E28" s="101">
        <v>10.63</v>
      </c>
      <c r="F28" s="101">
        <v>11.06</v>
      </c>
      <c r="G28" s="101">
        <v>98</v>
      </c>
      <c r="H28" s="106">
        <f>IFERROR(MP_DATA[[#This Row],[Bottom]]-MP_DATA[[#This Row],[D, top]], "")</f>
        <v>-38.93</v>
      </c>
      <c r="I28" s="106">
        <f>IFERROR(-(MP_DATA[[#This Row],[D, bottom]]-MP_DATA[[#This Row],[D, top]])/(MP_DATA[[#This Row],[Bottom]]-MP_DATA[[#This Row],[Top]]),"")</f>
        <v>0.12285714285714278</v>
      </c>
      <c r="J28" s="106">
        <f>IF(7850/1000*(1/3)*PI()*ABS(C28-D28)*((E28/2)^2+(E28/2)*(F28/2)+(F28/2)^2-(E28/2-G28/1000)^2-(E28/2-G28/1000)*(F28/2-G28/1000)-(F28/2-G28/1000)^2)=0,"",7850/1000*(1/3)*PI()*ABS(C28-D28)*((E28/2)^2+(E28/2)*(F28/2)+(F28/2)^2-(E28/2-G28/1000)^2-(E28/2-G28/1000)*(F28/2-G28/1000)-(F28/2-G28/1000)^2))</f>
        <v>90.907747782900842</v>
      </c>
      <c r="K28" s="106">
        <f>IFERROR((MP_DATA[[#This Row],[D, bottom]]+MP_DATA[[#This Row],[D, top]])/(2*MP_DATA[[#This Row],[t]]/1000),"")</f>
        <v>110.66326530612245</v>
      </c>
      <c r="L28" s="106" t="str">
        <f>IFERROR((MP_DATA[[#This Row],[D, bottom]]+#REF!)/(2*#REF!/1000),"")</f>
        <v/>
      </c>
      <c r="M28" s="101"/>
      <c r="N28" s="101"/>
      <c r="O28" s="101"/>
      <c r="P28" s="101"/>
      <c r="Q28" s="101"/>
      <c r="R28" s="101"/>
      <c r="S28" s="101"/>
      <c r="U28" s="107">
        <v>10</v>
      </c>
      <c r="V28" s="107">
        <v>-24.8</v>
      </c>
      <c r="W28" s="107">
        <v>-28.3</v>
      </c>
      <c r="X28" s="107">
        <v>10.63</v>
      </c>
      <c r="Y28" s="107">
        <v>11.06</v>
      </c>
      <c r="Z28" s="107">
        <v>98</v>
      </c>
      <c r="AB28" s="107"/>
      <c r="AC28" s="107"/>
      <c r="AD28" s="107"/>
      <c r="AE28" s="107"/>
      <c r="AF28" s="107"/>
      <c r="AG28" s="107"/>
      <c r="AQ28" s="107"/>
      <c r="AR28" s="107"/>
      <c r="AS28" s="107"/>
      <c r="AT28" s="107"/>
      <c r="AU28" s="107"/>
      <c r="AV28" s="107"/>
      <c r="AW28" s="107"/>
      <c r="AX28" s="106">
        <f>IFERROR(TP_DATA[[#This Row],[Top]]-TP_DATA[[#This Row],[Bottom]], "")</f>
        <v>0</v>
      </c>
      <c r="AY28" s="106" t="str">
        <f>IFERROR(-(TP_DATA[[#This Row],[D, top]]-TP_DATA[[#This Row],[D, bottom]])/(TP_DATA[[#This Row],[Top]]-TP_DATA[[#This Row],[Bottom]]),"")</f>
        <v/>
      </c>
      <c r="AZ28" s="106" t="str">
        <f t="shared" si="0"/>
        <v/>
      </c>
      <c r="BA28" s="106" t="str">
        <f>IFERROR((TP_DATA[[#This Row],[D, top]]+TP_DATA[[#This Row],[D, bottom]])/(2*TP_DATA[[#This Row],[t]]/1000),"")</f>
        <v/>
      </c>
      <c r="BC28" s="93">
        <v>9</v>
      </c>
      <c r="BD28" s="93">
        <v>10</v>
      </c>
      <c r="BE28" s="93">
        <v>-35</v>
      </c>
      <c r="BF28" s="93">
        <v>-40</v>
      </c>
      <c r="BG28" s="93">
        <v>10.63</v>
      </c>
      <c r="BH28" s="93">
        <v>11.06</v>
      </c>
      <c r="BI28" s="93">
        <v>98</v>
      </c>
      <c r="BQ28" s="93">
        <v>9</v>
      </c>
      <c r="BR28" s="93">
        <v>10</v>
      </c>
      <c r="BS28" s="93">
        <v>-10</v>
      </c>
      <c r="BT28" s="93">
        <v>-12.5</v>
      </c>
      <c r="BU28" s="93">
        <v>10.63</v>
      </c>
      <c r="BV28" s="93">
        <v>11.06</v>
      </c>
      <c r="BW28" s="93">
        <v>98</v>
      </c>
      <c r="BX28" s="106">
        <f>IFERROR(TOWER_DATA[[#This Row],[Top]]-TOWER_DATA[[#This Row],[Bottom]], "")</f>
        <v>2.5</v>
      </c>
      <c r="BY28" s="106">
        <f>IFERROR(-(TOWER_DATA[[#This Row],[D, top]]-TOWER_DATA[[#This Row],[D, bottom]])/(TOWER_DATA[[#This Row],[Top]]-TOWER_DATA[[#This Row],[Bottom]]),"")</f>
        <v>0.17199999999999988</v>
      </c>
      <c r="BZ28" s="106">
        <f t="shared" si="1"/>
        <v>64.934105559214871</v>
      </c>
      <c r="CA28" s="106">
        <f>IFERROR((TOWER_DATA[[#This Row],[D, top]]+TOWER_DATA[[#This Row],[D, bottom]])/(2*TOWER_DATA[[#This Row],[t]]/1000),"")</f>
        <v>110.66326530612245</v>
      </c>
      <c r="CC28" s="93">
        <v>9</v>
      </c>
      <c r="CD28" s="93">
        <v>10</v>
      </c>
      <c r="CE28" s="93">
        <v>-10</v>
      </c>
      <c r="CF28" s="93">
        <v>-12.5</v>
      </c>
      <c r="CG28" s="93">
        <v>10.63</v>
      </c>
      <c r="CH28" s="93">
        <v>11.06</v>
      </c>
      <c r="CI28" s="93">
        <v>98</v>
      </c>
    </row>
    <row r="29" spans="1:87" x14ac:dyDescent="0.3">
      <c r="B29" s="101">
        <v>11</v>
      </c>
      <c r="C29" s="101">
        <v>-28.3</v>
      </c>
      <c r="D29" s="101">
        <v>-31.8</v>
      </c>
      <c r="E29" s="101">
        <v>11.06</v>
      </c>
      <c r="F29" s="101">
        <v>11.5</v>
      </c>
      <c r="G29" s="101">
        <v>98</v>
      </c>
      <c r="H29" s="106">
        <f>IFERROR(MP_DATA[[#This Row],[Bottom]]-MP_DATA[[#This Row],[D, top]], "")</f>
        <v>-42.86</v>
      </c>
      <c r="I29" s="106">
        <f>IFERROR(-(MP_DATA[[#This Row],[D, bottom]]-MP_DATA[[#This Row],[D, top]])/(MP_DATA[[#This Row],[Bottom]]-MP_DATA[[#This Row],[Top]]),"")</f>
        <v>0.12571428571428558</v>
      </c>
      <c r="J29" s="106">
        <f>IF(7850/1000*(1/3)*PI()*ABS(C29-D29)*((E29/2)^2+(E29/2)*(F29/2)+(F29/2)^2-(E29/2-G29/1000)^2-(E29/2-G29/1000)*(F29/2-G29/1000)-(F29/2-G29/1000)^2)=0,"",7850/1000*(1/3)*PI()*ABS(C29-D29)*((E29/2)^2+(E29/2)*(F29/2)+(F29/2)^2-(E29/2-G29/1000)^2-(E29/2-G29/1000)*(F29/2-G29/1000)-(F29/2-G29/1000)^2))</f>
        <v>94.587367238149838</v>
      </c>
      <c r="K29" s="106">
        <f>IFERROR((MP_DATA[[#This Row],[D, bottom]]+MP_DATA[[#This Row],[D, top]])/(2*MP_DATA[[#This Row],[t]]/1000),"")</f>
        <v>115.10204081632654</v>
      </c>
      <c r="L29" s="106" t="str">
        <f>IFERROR((MP_DATA[[#This Row],[D, bottom]]+#REF!)/(2*#REF!/1000),"")</f>
        <v/>
      </c>
      <c r="U29" s="107">
        <v>11</v>
      </c>
      <c r="V29" s="107">
        <v>-28.3</v>
      </c>
      <c r="W29" s="107">
        <v>-31.8</v>
      </c>
      <c r="X29" s="107">
        <v>11.06</v>
      </c>
      <c r="Y29" s="107">
        <v>11.5</v>
      </c>
      <c r="Z29" s="107">
        <v>98</v>
      </c>
      <c r="AQ29" s="107"/>
      <c r="AR29" s="107"/>
      <c r="AS29" s="107"/>
      <c r="AT29" s="107"/>
      <c r="AU29" s="107"/>
      <c r="AV29" s="107"/>
      <c r="AW29" s="107"/>
      <c r="AX29" s="106">
        <f>IFERROR(TP_DATA[[#This Row],[Top]]-TP_DATA[[#This Row],[Bottom]], "")</f>
        <v>0</v>
      </c>
      <c r="AY29" s="106" t="str">
        <f>IFERROR(-(TP_DATA[[#This Row],[D, top]]-TP_DATA[[#This Row],[D, bottom]])/(TP_DATA[[#This Row],[Top]]-TP_DATA[[#This Row],[Bottom]]),"")</f>
        <v/>
      </c>
      <c r="AZ29" s="106" t="str">
        <f t="shared" si="0"/>
        <v/>
      </c>
      <c r="BA29" s="106" t="str">
        <f>IFERROR((TP_DATA[[#This Row],[D, top]]+TP_DATA[[#This Row],[D, bottom]])/(2*TP_DATA[[#This Row],[t]]/1000),"")</f>
        <v/>
      </c>
      <c r="BC29" s="93">
        <v>10</v>
      </c>
      <c r="BD29" s="93">
        <v>11</v>
      </c>
      <c r="BE29" s="93">
        <v>-40</v>
      </c>
      <c r="BF29" s="93">
        <v>-45</v>
      </c>
      <c r="BG29" s="93">
        <v>11.06</v>
      </c>
      <c r="BH29" s="93">
        <v>11.5</v>
      </c>
      <c r="BI29" s="93">
        <v>98</v>
      </c>
      <c r="BQ29" s="93">
        <v>10</v>
      </c>
      <c r="BR29" s="93">
        <v>11</v>
      </c>
      <c r="BS29" s="93">
        <v>-12.5</v>
      </c>
      <c r="BT29" s="93">
        <v>-15</v>
      </c>
      <c r="BU29" s="93">
        <v>11.06</v>
      </c>
      <c r="BV29" s="93">
        <v>11.5</v>
      </c>
      <c r="BW29" s="93">
        <v>98</v>
      </c>
      <c r="BX29" s="106">
        <f>IFERROR(TOWER_DATA[[#This Row],[Top]]-TOWER_DATA[[#This Row],[Bottom]], "")</f>
        <v>2.5</v>
      </c>
      <c r="BY29" s="106">
        <f>IFERROR(-(TOWER_DATA[[#This Row],[D, top]]-TOWER_DATA[[#This Row],[D, bottom]])/(TOWER_DATA[[#This Row],[Top]]-TOWER_DATA[[#This Row],[Bottom]]),"")</f>
        <v>0.1759999999999998</v>
      </c>
      <c r="BZ29" s="106">
        <f t="shared" si="1"/>
        <v>67.562405170107027</v>
      </c>
      <c r="CA29" s="106">
        <f>IFERROR((TOWER_DATA[[#This Row],[D, top]]+TOWER_DATA[[#This Row],[D, bottom]])/(2*TOWER_DATA[[#This Row],[t]]/1000),"")</f>
        <v>115.10204081632654</v>
      </c>
      <c r="CC29" s="93">
        <v>10</v>
      </c>
      <c r="CD29" s="93">
        <v>11</v>
      </c>
      <c r="CE29" s="93">
        <v>-12.5</v>
      </c>
      <c r="CF29" s="93">
        <v>-15</v>
      </c>
      <c r="CG29" s="93">
        <v>11.06</v>
      </c>
      <c r="CH29" s="93">
        <v>11.5</v>
      </c>
      <c r="CI29" s="93">
        <v>98</v>
      </c>
    </row>
    <row r="30" spans="1:87" x14ac:dyDescent="0.3">
      <c r="B30" s="101">
        <v>12</v>
      </c>
      <c r="C30" s="101">
        <v>-31.8</v>
      </c>
      <c r="D30" s="101">
        <v>-35.299999999999997</v>
      </c>
      <c r="E30" s="101">
        <v>11.5</v>
      </c>
      <c r="F30" s="101">
        <v>11.5</v>
      </c>
      <c r="G30" s="101">
        <v>98</v>
      </c>
      <c r="H30" s="106">
        <f>IFERROR(MP_DATA[[#This Row],[Bottom]]-MP_DATA[[#This Row],[D, top]], "")</f>
        <v>-46.8</v>
      </c>
      <c r="I30" s="106">
        <f>IFERROR(-(MP_DATA[[#This Row],[D, bottom]]-MP_DATA[[#This Row],[D, top]])/(MP_DATA[[#This Row],[Bottom]]-MP_DATA[[#This Row],[Top]]),"")</f>
        <v>0</v>
      </c>
      <c r="J30" s="106">
        <f>IF(7850/1000*(1/3)*PI()*ABS(C30-D30)*((E30/2)^2+(E30/2)*(F30/2)+(F30/2)^2-(E30/2-G30/1000)^2-(E30/2-G30/1000)*(F30/2-G30/1000)-(F30/2-G30/1000)^2)=0,"",7850/1000*(1/3)*PI()*ABS(C30-D30)*((E30/2)^2+(E30/2)*(F30/2)+(F30/2)^2-(E30/2-G30/1000)^2-(E30/2-G30/1000)*(F30/2-G30/1000)-(F30/2-G30/1000)^2))</f>
        <v>96.448324204023137</v>
      </c>
      <c r="K30" s="106">
        <f>IFERROR((MP_DATA[[#This Row],[D, bottom]]+MP_DATA[[#This Row],[D, top]])/(2*MP_DATA[[#This Row],[t]]/1000),"")</f>
        <v>117.3469387755102</v>
      </c>
      <c r="L30" s="106" t="str">
        <f>IFERROR((MP_DATA[[#This Row],[D, bottom]]+#REF!)/(2*#REF!/1000),"")</f>
        <v/>
      </c>
      <c r="U30" s="107">
        <v>12</v>
      </c>
      <c r="V30" s="107">
        <v>-31.8</v>
      </c>
      <c r="W30" s="107">
        <v>-35.299999999999997</v>
      </c>
      <c r="X30" s="107">
        <v>11.5</v>
      </c>
      <c r="Y30" s="107">
        <v>11.5</v>
      </c>
      <c r="Z30" s="107">
        <v>98</v>
      </c>
      <c r="AQ30" s="107"/>
      <c r="AR30" s="107"/>
      <c r="AS30" s="107"/>
      <c r="AT30" s="107"/>
      <c r="AU30" s="107"/>
      <c r="AV30" s="107"/>
      <c r="AW30" s="107"/>
      <c r="AX30" s="106">
        <f>IFERROR(TP_DATA[[#This Row],[Top]]-TP_DATA[[#This Row],[Bottom]], "")</f>
        <v>0</v>
      </c>
      <c r="AY30" s="106" t="str">
        <f>IFERROR(-(TP_DATA[[#This Row],[D, top]]-TP_DATA[[#This Row],[D, bottom]])/(TP_DATA[[#This Row],[Top]]-TP_DATA[[#This Row],[Bottom]]),"")</f>
        <v/>
      </c>
      <c r="AZ30" s="106" t="str">
        <f t="shared" si="0"/>
        <v/>
      </c>
      <c r="BA30" s="106" t="str">
        <f>IFERROR((TP_DATA[[#This Row],[D, top]]+TP_DATA[[#This Row],[D, bottom]])/(2*TP_DATA[[#This Row],[t]]/1000),"")</f>
        <v/>
      </c>
      <c r="BC30" s="93">
        <v>11</v>
      </c>
      <c r="BD30" s="93">
        <v>12</v>
      </c>
      <c r="BE30" s="93">
        <v>-45</v>
      </c>
      <c r="BF30" s="93">
        <v>-50</v>
      </c>
      <c r="BG30" s="93">
        <v>11.5</v>
      </c>
      <c r="BH30" s="93">
        <v>11.5</v>
      </c>
      <c r="BI30" s="93">
        <v>98</v>
      </c>
      <c r="BQ30" s="93">
        <v>11</v>
      </c>
      <c r="BR30" s="93">
        <v>12</v>
      </c>
      <c r="BS30" s="93">
        <v>-15</v>
      </c>
      <c r="BT30" s="93">
        <v>-17.5</v>
      </c>
      <c r="BU30" s="93">
        <v>11.5</v>
      </c>
      <c r="BV30" s="93">
        <v>11.5</v>
      </c>
      <c r="BW30" s="93">
        <v>98</v>
      </c>
      <c r="BX30" s="106">
        <f>IFERROR(TOWER_DATA[[#This Row],[Top]]-TOWER_DATA[[#This Row],[Bottom]], "")</f>
        <v>2.5</v>
      </c>
      <c r="BY30" s="106">
        <f>IFERROR(-(TOWER_DATA[[#This Row],[D, top]]-TOWER_DATA[[#This Row],[D, bottom]])/(TOWER_DATA[[#This Row],[Top]]-TOWER_DATA[[#This Row],[Bottom]]),"")</f>
        <v>0</v>
      </c>
      <c r="BZ30" s="106">
        <f t="shared" si="1"/>
        <v>68.891660145730867</v>
      </c>
      <c r="CA30" s="106">
        <f>IFERROR((TOWER_DATA[[#This Row],[D, top]]+TOWER_DATA[[#This Row],[D, bottom]])/(2*TOWER_DATA[[#This Row],[t]]/1000),"")</f>
        <v>117.3469387755102</v>
      </c>
      <c r="CC30" s="93">
        <v>11</v>
      </c>
      <c r="CD30" s="93">
        <v>12</v>
      </c>
      <c r="CE30" s="93">
        <v>-15</v>
      </c>
      <c r="CF30" s="93">
        <v>-17.5</v>
      </c>
      <c r="CG30" s="93">
        <v>11.5</v>
      </c>
      <c r="CH30" s="93">
        <v>11.5</v>
      </c>
      <c r="CI30" s="93">
        <v>98</v>
      </c>
    </row>
    <row r="31" spans="1:87" x14ac:dyDescent="0.3">
      <c r="B31" s="101">
        <v>13</v>
      </c>
      <c r="C31" s="101">
        <v>-35.299999999999997</v>
      </c>
      <c r="D31" s="101">
        <v>-38.6</v>
      </c>
      <c r="E31" s="101">
        <v>11.5</v>
      </c>
      <c r="F31" s="101">
        <v>11.5</v>
      </c>
      <c r="G31" s="101">
        <v>100</v>
      </c>
      <c r="H31" s="106">
        <f>IFERROR(MP_DATA[[#This Row],[Bottom]]-MP_DATA[[#This Row],[D, top]], "")</f>
        <v>-50.1</v>
      </c>
      <c r="I31" s="106">
        <f>IFERROR(-(MP_DATA[[#This Row],[D, bottom]]-MP_DATA[[#This Row],[D, top]])/(MP_DATA[[#This Row],[Bottom]]-MP_DATA[[#This Row],[Top]]),"")</f>
        <v>0</v>
      </c>
      <c r="J31" s="106">
        <f>IF(7850/1000*(1/3)*PI()*ABS(C31-D31)*((E31/2)^2+(E31/2)*(F31/2)+(F31/2)^2-(E31/2-G31/1000)^2-(E31/2-G31/1000)*(F31/2-G31/1000)-(F31/2-G31/1000)^2)=0,"",7850/1000*(1/3)*PI()*ABS(C31-D31)*((E31/2)^2+(E31/2)*(F31/2)+(F31/2)^2-(E31/2-G31/1000)^2-(E31/2-G31/1000)*(F31/2-G31/1000)-(F31/2-G31/1000)^2))</f>
        <v>92.776571768017746</v>
      </c>
      <c r="K31" s="106">
        <f>IFERROR((MP_DATA[[#This Row],[D, bottom]]+MP_DATA[[#This Row],[D, top]])/(2*MP_DATA[[#This Row],[t]]/1000),"")</f>
        <v>115</v>
      </c>
      <c r="L31" s="106" t="str">
        <f>IFERROR((MP_DATA[[#This Row],[D, bottom]]+#REF!)/(2*#REF!/1000),"")</f>
        <v/>
      </c>
      <c r="U31" s="107">
        <v>13</v>
      </c>
      <c r="V31" s="107">
        <v>-35.299999999999997</v>
      </c>
      <c r="W31" s="107">
        <v>-38.6</v>
      </c>
      <c r="X31" s="107">
        <v>11.5</v>
      </c>
      <c r="Y31" s="107">
        <v>11.5</v>
      </c>
      <c r="Z31" s="107">
        <v>100</v>
      </c>
      <c r="AQ31" s="107"/>
      <c r="AR31" s="107"/>
      <c r="AS31" s="107"/>
      <c r="AT31" s="107"/>
      <c r="AU31" s="107"/>
      <c r="AV31" s="107"/>
      <c r="AW31" s="107"/>
      <c r="AX31" s="106">
        <f>IFERROR(TP_DATA[[#This Row],[Top]]-TP_DATA[[#This Row],[Bottom]], "")</f>
        <v>0</v>
      </c>
      <c r="AY31" s="106" t="str">
        <f>IFERROR(-(TP_DATA[[#This Row],[D, top]]-TP_DATA[[#This Row],[D, bottom]])/(TP_DATA[[#This Row],[Top]]-TP_DATA[[#This Row],[Bottom]]),"")</f>
        <v/>
      </c>
      <c r="AZ31" s="106" t="str">
        <f t="shared" si="0"/>
        <v/>
      </c>
      <c r="BA31" s="106" t="str">
        <f>IFERROR((TP_DATA[[#This Row],[D, top]]+TP_DATA[[#This Row],[D, bottom]])/(2*TP_DATA[[#This Row],[t]]/1000),"")</f>
        <v/>
      </c>
      <c r="BC31" s="93">
        <v>12</v>
      </c>
      <c r="BD31" s="93">
        <v>13</v>
      </c>
      <c r="BE31" s="93">
        <v>-50</v>
      </c>
      <c r="BF31" s="93">
        <v>-55</v>
      </c>
      <c r="BG31" s="93">
        <v>11.5</v>
      </c>
      <c r="BH31" s="93">
        <v>11.5</v>
      </c>
      <c r="BI31" s="93">
        <v>98</v>
      </c>
      <c r="BQ31" s="93">
        <v>12</v>
      </c>
      <c r="BR31" s="93">
        <v>13</v>
      </c>
      <c r="BS31" s="93">
        <v>-17.5</v>
      </c>
      <c r="BT31" s="93">
        <v>-20</v>
      </c>
      <c r="BU31" s="93">
        <v>11.5</v>
      </c>
      <c r="BV31" s="93">
        <v>11.5</v>
      </c>
      <c r="BW31" s="93">
        <v>98</v>
      </c>
      <c r="BX31" s="106">
        <f>IFERROR(TOWER_DATA[[#This Row],[Top]]-TOWER_DATA[[#This Row],[Bottom]], "")</f>
        <v>2.5</v>
      </c>
      <c r="BY31" s="106">
        <f>IFERROR(-(TOWER_DATA[[#This Row],[D, top]]-TOWER_DATA[[#This Row],[D, bottom]])/(TOWER_DATA[[#This Row],[Top]]-TOWER_DATA[[#This Row],[Bottom]]),"")</f>
        <v>0</v>
      </c>
      <c r="BZ31" s="106">
        <f t="shared" si="1"/>
        <v>68.891660145730867</v>
      </c>
      <c r="CA31" s="106">
        <f>IFERROR((TOWER_DATA[[#This Row],[D, top]]+TOWER_DATA[[#This Row],[D, bottom]])/(2*TOWER_DATA[[#This Row],[t]]/1000),"")</f>
        <v>117.3469387755102</v>
      </c>
      <c r="CC31" s="93">
        <v>12</v>
      </c>
      <c r="CD31" s="93">
        <v>13</v>
      </c>
      <c r="CE31" s="93">
        <v>-17.5</v>
      </c>
      <c r="CF31" s="93">
        <v>-20</v>
      </c>
      <c r="CG31" s="93">
        <v>11.5</v>
      </c>
      <c r="CH31" s="93">
        <v>11.5</v>
      </c>
      <c r="CI31" s="93">
        <v>98</v>
      </c>
    </row>
    <row r="32" spans="1:87" x14ac:dyDescent="0.3">
      <c r="B32" s="101">
        <v>14</v>
      </c>
      <c r="C32" s="101">
        <v>-38.6</v>
      </c>
      <c r="D32" s="101">
        <v>-41.9</v>
      </c>
      <c r="E32" s="101">
        <v>11.5</v>
      </c>
      <c r="F32" s="101">
        <v>11.5</v>
      </c>
      <c r="G32" s="101">
        <v>98</v>
      </c>
      <c r="H32" s="106">
        <f>IFERROR(MP_DATA[[#This Row],[Bottom]]-MP_DATA[[#This Row],[D, top]], "")</f>
        <v>-53.4</v>
      </c>
      <c r="I32" s="106">
        <f>IFERROR(-(MP_DATA[[#This Row],[D, bottom]]-MP_DATA[[#This Row],[D, top]])/(MP_DATA[[#This Row],[Bottom]]-MP_DATA[[#This Row],[Top]]),"")</f>
        <v>0</v>
      </c>
      <c r="J32" s="106">
        <f>IF(7850/1000*(1/3)*PI()*ABS(C32-D32)*((E32/2)^2+(E32/2)*(F32/2)+(F32/2)^2-(E32/2-G32/1000)^2-(E32/2-G32/1000)*(F32/2-G32/1000)-(F32/2-G32/1000)^2)=0,"",7850/1000*(1/3)*PI()*ABS(C32-D32)*((E32/2)^2+(E32/2)*(F32/2)+(F32/2)^2-(E32/2-G32/1000)^2-(E32/2-G32/1000)*(F32/2-G32/1000)-(F32/2-G32/1000)^2))</f>
        <v>90.936991392364675</v>
      </c>
      <c r="K32" s="106">
        <f>IFERROR((MP_DATA[[#This Row],[D, bottom]]+MP_DATA[[#This Row],[D, top]])/(2*MP_DATA[[#This Row],[t]]/1000),"")</f>
        <v>117.3469387755102</v>
      </c>
      <c r="L32" s="106" t="str">
        <f>IFERROR((MP_DATA[[#This Row],[D, bottom]]+#REF!)/(2*#REF!/1000),"")</f>
        <v/>
      </c>
      <c r="U32" s="107">
        <v>14</v>
      </c>
      <c r="V32" s="107">
        <v>-38.6</v>
      </c>
      <c r="W32" s="107">
        <v>-41.9</v>
      </c>
      <c r="X32" s="107">
        <v>11.5</v>
      </c>
      <c r="Y32" s="107">
        <v>11.5</v>
      </c>
      <c r="Z32" s="107">
        <v>98</v>
      </c>
      <c r="AQ32" s="107"/>
      <c r="AR32" s="107"/>
      <c r="AS32" s="107"/>
      <c r="AT32" s="107"/>
      <c r="AU32" s="107"/>
      <c r="AV32" s="107"/>
      <c r="AW32" s="107"/>
      <c r="AX32" s="106">
        <f>IFERROR(TP_DATA[[#This Row],[Top]]-TP_DATA[[#This Row],[Bottom]], "")</f>
        <v>0</v>
      </c>
      <c r="AY32" s="106" t="str">
        <f>IFERROR(-(TP_DATA[[#This Row],[D, top]]-TP_DATA[[#This Row],[D, bottom]])/(TP_DATA[[#This Row],[Top]]-TP_DATA[[#This Row],[Bottom]]),"")</f>
        <v/>
      </c>
      <c r="AZ32" s="106" t="str">
        <f t="shared" si="0"/>
        <v/>
      </c>
      <c r="BA32" s="106" t="str">
        <f>IFERROR((TP_DATA[[#This Row],[D, top]]+TP_DATA[[#This Row],[D, bottom]])/(2*TP_DATA[[#This Row],[t]]/1000),"")</f>
        <v/>
      </c>
      <c r="BC32" s="93">
        <v>13</v>
      </c>
      <c r="BD32" s="93">
        <v>14</v>
      </c>
      <c r="BE32" s="93">
        <v>-55</v>
      </c>
      <c r="BF32" s="93">
        <v>-60</v>
      </c>
      <c r="BG32" s="93">
        <v>11.5</v>
      </c>
      <c r="BH32" s="93">
        <v>11.5</v>
      </c>
      <c r="BI32" s="93">
        <v>98</v>
      </c>
      <c r="BQ32" s="93">
        <v>13</v>
      </c>
      <c r="BR32" s="93">
        <v>14</v>
      </c>
      <c r="BS32" s="93">
        <v>-20</v>
      </c>
      <c r="BT32" s="93">
        <v>-22.5</v>
      </c>
      <c r="BU32" s="93">
        <v>11.5</v>
      </c>
      <c r="BV32" s="93">
        <v>11.5</v>
      </c>
      <c r="BW32" s="93">
        <v>98</v>
      </c>
      <c r="BX32" s="106">
        <f>IFERROR(TOWER_DATA[[#This Row],[Top]]-TOWER_DATA[[#This Row],[Bottom]], "")</f>
        <v>2.5</v>
      </c>
      <c r="BY32" s="106">
        <f>IFERROR(-(TOWER_DATA[[#This Row],[D, top]]-TOWER_DATA[[#This Row],[D, bottom]])/(TOWER_DATA[[#This Row],[Top]]-TOWER_DATA[[#This Row],[Bottom]]),"")</f>
        <v>0</v>
      </c>
      <c r="BZ32" s="106">
        <f t="shared" si="1"/>
        <v>68.891660145730867</v>
      </c>
      <c r="CA32" s="106">
        <f>IFERROR((TOWER_DATA[[#This Row],[D, top]]+TOWER_DATA[[#This Row],[D, bottom]])/(2*TOWER_DATA[[#This Row],[t]]/1000),"")</f>
        <v>117.3469387755102</v>
      </c>
      <c r="CC32" s="93">
        <v>13</v>
      </c>
      <c r="CD32" s="93">
        <v>14</v>
      </c>
      <c r="CE32" s="93">
        <v>-20</v>
      </c>
      <c r="CF32" s="93">
        <v>-22.5</v>
      </c>
      <c r="CG32" s="93">
        <v>11.5</v>
      </c>
      <c r="CH32" s="93">
        <v>11.5</v>
      </c>
      <c r="CI32" s="93">
        <v>98</v>
      </c>
    </row>
    <row r="33" spans="2:87" x14ac:dyDescent="0.3">
      <c r="B33" s="101">
        <v>15</v>
      </c>
      <c r="C33" s="101">
        <v>-41.9</v>
      </c>
      <c r="D33" s="101">
        <v>-45.2</v>
      </c>
      <c r="E33" s="101">
        <v>11.5</v>
      </c>
      <c r="F33" s="101">
        <v>11.5</v>
      </c>
      <c r="G33" s="101">
        <v>95</v>
      </c>
      <c r="H33" s="106">
        <f>IFERROR(MP_DATA[[#This Row],[Bottom]]-MP_DATA[[#This Row],[D, top]], "")</f>
        <v>-56.7</v>
      </c>
      <c r="I33" s="106">
        <f>IFERROR(-(MP_DATA[[#This Row],[D, bottom]]-MP_DATA[[#This Row],[D, top]])/(MP_DATA[[#This Row],[Bottom]]-MP_DATA[[#This Row],[Top]]),"")</f>
        <v>0</v>
      </c>
      <c r="J33" s="106">
        <f>IF(7850/1000*(1/3)*PI()*ABS(C33-D33)*((E33/2)^2+(E33/2)*(F33/2)+(F33/2)^2-(E33/2-G33/1000)^2-(E33/2-G33/1000)*(F33/2-G33/1000)-(F33/2-G33/1000)^2)=0,"",7850/1000*(1/3)*PI()*ABS(C33-D33)*((E33/2)^2+(E33/2)*(F33/2)+(F33/2)^2-(E33/2-G33/1000)^2-(E33/2-G33/1000)*(F33/2-G33/1000)-(F33/2-G33/1000)^2))</f>
        <v>88.17640008451977</v>
      </c>
      <c r="K33" s="106">
        <f>IFERROR((MP_DATA[[#This Row],[D, bottom]]+MP_DATA[[#This Row],[D, top]])/(2*MP_DATA[[#This Row],[t]]/1000),"")</f>
        <v>121.05263157894737</v>
      </c>
      <c r="L33" s="106" t="str">
        <f>IFERROR((MP_DATA[[#This Row],[D, bottom]]+#REF!)/(2*#REF!/1000),"")</f>
        <v/>
      </c>
      <c r="U33" s="107">
        <v>15</v>
      </c>
      <c r="V33" s="107">
        <v>-41.9</v>
      </c>
      <c r="W33" s="107">
        <v>-45.2</v>
      </c>
      <c r="X33" s="107">
        <v>11.5</v>
      </c>
      <c r="Y33" s="107">
        <v>11.5</v>
      </c>
      <c r="Z33" s="107">
        <v>95</v>
      </c>
      <c r="AQ33" s="107"/>
      <c r="AR33" s="107"/>
      <c r="AS33" s="107"/>
      <c r="AT33" s="107"/>
      <c r="AU33" s="107"/>
      <c r="AV33" s="107"/>
      <c r="AW33" s="107"/>
      <c r="AX33" s="106">
        <f>IFERROR(TP_DATA[[#This Row],[Top]]-TP_DATA[[#This Row],[Bottom]], "")</f>
        <v>0</v>
      </c>
      <c r="AY33" s="106" t="str">
        <f>IFERROR(-(TP_DATA[[#This Row],[D, top]]-TP_DATA[[#This Row],[D, bottom]])/(TP_DATA[[#This Row],[Top]]-TP_DATA[[#This Row],[Bottom]]),"")</f>
        <v/>
      </c>
      <c r="AZ33" s="106" t="str">
        <f t="shared" si="0"/>
        <v/>
      </c>
      <c r="BA33" s="106" t="str">
        <f>IFERROR((TP_DATA[[#This Row],[D, top]]+TP_DATA[[#This Row],[D, bottom]])/(2*TP_DATA[[#This Row],[t]]/1000),"")</f>
        <v/>
      </c>
      <c r="BC33" s="93">
        <v>14</v>
      </c>
      <c r="BD33" s="93">
        <v>15</v>
      </c>
      <c r="BE33" s="93">
        <v>-60</v>
      </c>
      <c r="BF33" s="93">
        <v>-65</v>
      </c>
      <c r="BG33" s="93">
        <v>11.5</v>
      </c>
      <c r="BH33" s="93">
        <v>11.5</v>
      </c>
      <c r="BI33" s="93">
        <v>100</v>
      </c>
      <c r="BQ33" s="93">
        <v>14</v>
      </c>
      <c r="BR33" s="93">
        <v>15</v>
      </c>
      <c r="BS33" s="93">
        <v>-22.5</v>
      </c>
      <c r="BT33" s="93">
        <v>-25</v>
      </c>
      <c r="BU33" s="93">
        <v>11.5</v>
      </c>
      <c r="BV33" s="93">
        <v>11.5</v>
      </c>
      <c r="BW33" s="93">
        <v>100</v>
      </c>
      <c r="BX33" s="106">
        <f>IFERROR(TOWER_DATA[[#This Row],[Top]]-TOWER_DATA[[#This Row],[Bottom]], "")</f>
        <v>2.5</v>
      </c>
      <c r="BY33" s="106">
        <f>IFERROR(-(TOWER_DATA[[#This Row],[D, top]]-TOWER_DATA[[#This Row],[D, bottom]])/(TOWER_DATA[[#This Row],[Top]]-TOWER_DATA[[#This Row],[Bottom]]),"")</f>
        <v>0</v>
      </c>
      <c r="BZ33" s="106">
        <f t="shared" si="1"/>
        <v>70.285281642437596</v>
      </c>
      <c r="CA33" s="106">
        <f>IFERROR((TOWER_DATA[[#This Row],[D, top]]+TOWER_DATA[[#This Row],[D, bottom]])/(2*TOWER_DATA[[#This Row],[t]]/1000),"")</f>
        <v>115</v>
      </c>
      <c r="CC33" s="93">
        <v>14</v>
      </c>
      <c r="CD33" s="93">
        <v>15</v>
      </c>
      <c r="CE33" s="93">
        <v>-22.5</v>
      </c>
      <c r="CF33" s="93">
        <v>-25</v>
      </c>
      <c r="CG33" s="93">
        <v>11.5</v>
      </c>
      <c r="CH33" s="93">
        <v>11.5</v>
      </c>
      <c r="CI33" s="93">
        <v>100</v>
      </c>
    </row>
    <row r="34" spans="2:87" x14ac:dyDescent="0.3">
      <c r="B34" s="101">
        <v>16</v>
      </c>
      <c r="C34" s="101">
        <v>-45.2</v>
      </c>
      <c r="D34" s="101">
        <v>-48.5</v>
      </c>
      <c r="E34" s="101">
        <v>11.5</v>
      </c>
      <c r="F34" s="101">
        <v>11.5</v>
      </c>
      <c r="G34" s="101">
        <v>95</v>
      </c>
      <c r="H34" s="106">
        <f>IFERROR(MP_DATA[[#This Row],[Bottom]]-MP_DATA[[#This Row],[D, top]], "")</f>
        <v>-60</v>
      </c>
      <c r="I34" s="106">
        <f>IFERROR(-(MP_DATA[[#This Row],[D, bottom]]-MP_DATA[[#This Row],[D, top]])/(MP_DATA[[#This Row],[Bottom]]-MP_DATA[[#This Row],[Top]]),"")</f>
        <v>0</v>
      </c>
      <c r="J34" s="106">
        <f>IF(7850/1000*(1/3)*PI()*ABS(C34-D34)*((E34/2)^2+(E34/2)*(F34/2)+(F34/2)^2-(E34/2-G34/1000)^2-(E34/2-G34/1000)*(F34/2-G34/1000)-(F34/2-G34/1000)^2)=0,"",7850/1000*(1/3)*PI()*ABS(C34-D34)*((E34/2)^2+(E34/2)*(F34/2)+(F34/2)^2-(E34/2-G34/1000)^2-(E34/2-G34/1000)*(F34/2-G34/1000)-(F34/2-G34/1000)^2))</f>
        <v>88.176400084519571</v>
      </c>
      <c r="K34" s="106">
        <f>IFERROR((MP_DATA[[#This Row],[D, bottom]]+MP_DATA[[#This Row],[D, top]])/(2*MP_DATA[[#This Row],[t]]/1000),"")</f>
        <v>121.05263157894737</v>
      </c>
      <c r="L34" s="106" t="str">
        <f>IFERROR((MP_DATA[[#This Row],[D, bottom]]+#REF!)/(2*#REF!/1000),"")</f>
        <v/>
      </c>
      <c r="U34" s="107">
        <v>16</v>
      </c>
      <c r="V34" s="107">
        <v>-45.2</v>
      </c>
      <c r="W34" s="107">
        <v>-48.5</v>
      </c>
      <c r="X34" s="107">
        <v>11.5</v>
      </c>
      <c r="Y34" s="107">
        <v>11.5</v>
      </c>
      <c r="Z34" s="107">
        <v>95</v>
      </c>
      <c r="AQ34" s="107"/>
      <c r="AR34" s="107"/>
      <c r="AS34" s="107"/>
      <c r="AT34" s="107"/>
      <c r="AU34" s="107"/>
      <c r="AV34" s="107"/>
      <c r="AW34" s="107"/>
      <c r="AX34" s="106">
        <f>IFERROR(TP_DATA[[#This Row],[Top]]-TP_DATA[[#This Row],[Bottom]], "")</f>
        <v>0</v>
      </c>
      <c r="AY34" s="106" t="str">
        <f>IFERROR(-(TP_DATA[[#This Row],[D, top]]-TP_DATA[[#This Row],[D, bottom]])/(TP_DATA[[#This Row],[Top]]-TP_DATA[[#This Row],[Bottom]]),"")</f>
        <v/>
      </c>
      <c r="AZ34" s="106" t="str">
        <f t="shared" si="0"/>
        <v/>
      </c>
      <c r="BA34" s="106" t="str">
        <f>IFERROR((TP_DATA[[#This Row],[D, top]]+TP_DATA[[#This Row],[D, bottom]])/(2*TP_DATA[[#This Row],[t]]/1000),"")</f>
        <v/>
      </c>
      <c r="BC34" s="93">
        <v>15</v>
      </c>
      <c r="BD34" s="93">
        <v>16</v>
      </c>
      <c r="BE34" s="93">
        <v>-65</v>
      </c>
      <c r="BF34" s="93">
        <v>-70</v>
      </c>
      <c r="BG34" s="93">
        <v>11.5</v>
      </c>
      <c r="BH34" s="93">
        <v>11.5</v>
      </c>
      <c r="BI34" s="93">
        <v>98</v>
      </c>
      <c r="BQ34" s="93">
        <v>15</v>
      </c>
      <c r="BR34" s="93">
        <v>16</v>
      </c>
      <c r="BS34" s="93">
        <v>-25</v>
      </c>
      <c r="BT34" s="93">
        <v>-27.5</v>
      </c>
      <c r="BU34" s="93">
        <v>11.5</v>
      </c>
      <c r="BV34" s="93">
        <v>11.5</v>
      </c>
      <c r="BW34" s="93">
        <v>98</v>
      </c>
      <c r="BX34" s="106">
        <f>IFERROR(TOWER_DATA[[#This Row],[Top]]-TOWER_DATA[[#This Row],[Bottom]], "")</f>
        <v>2.5</v>
      </c>
      <c r="BY34" s="106">
        <f>IFERROR(-(TOWER_DATA[[#This Row],[D, top]]-TOWER_DATA[[#This Row],[D, bottom]])/(TOWER_DATA[[#This Row],[Top]]-TOWER_DATA[[#This Row],[Bottom]]),"")</f>
        <v>0</v>
      </c>
      <c r="BZ34" s="106">
        <f t="shared" si="1"/>
        <v>68.891660145730867</v>
      </c>
      <c r="CA34" s="106">
        <f>IFERROR((TOWER_DATA[[#This Row],[D, top]]+TOWER_DATA[[#This Row],[D, bottom]])/(2*TOWER_DATA[[#This Row],[t]]/1000),"")</f>
        <v>117.3469387755102</v>
      </c>
      <c r="CC34" s="93">
        <v>15</v>
      </c>
      <c r="CD34" s="93">
        <v>16</v>
      </c>
      <c r="CE34" s="93">
        <v>-25</v>
      </c>
      <c r="CF34" s="93">
        <v>-27.5</v>
      </c>
      <c r="CG34" s="93">
        <v>11.5</v>
      </c>
      <c r="CH34" s="93">
        <v>11.5</v>
      </c>
      <c r="CI34" s="93">
        <v>98</v>
      </c>
    </row>
    <row r="35" spans="2:87" x14ac:dyDescent="0.3">
      <c r="B35" s="101">
        <v>17</v>
      </c>
      <c r="C35" s="101">
        <v>-48.5</v>
      </c>
      <c r="D35" s="101">
        <v>-51.7</v>
      </c>
      <c r="E35" s="101">
        <v>11.5</v>
      </c>
      <c r="F35" s="101">
        <v>11.5</v>
      </c>
      <c r="G35" s="101">
        <v>95</v>
      </c>
      <c r="H35" s="106">
        <f>IFERROR(MP_DATA[[#This Row],[Bottom]]-MP_DATA[[#This Row],[D, top]], "")</f>
        <v>-63.2</v>
      </c>
      <c r="I35" s="106">
        <f>IFERROR(-(MP_DATA[[#This Row],[D, bottom]]-MP_DATA[[#This Row],[D, top]])/(MP_DATA[[#This Row],[Bottom]]-MP_DATA[[#This Row],[Top]]),"")</f>
        <v>0</v>
      </c>
      <c r="J35" s="106">
        <f>IF(7850/1000*(1/3)*PI()*ABS(C35-D35)*((E35/2)^2+(E35/2)*(F35/2)+(F35/2)^2-(E35/2-G35/1000)^2-(E35/2-G35/1000)*(F35/2-G35/1000)-(F35/2-G35/1000)^2)=0,"",7850/1000*(1/3)*PI()*ABS(C35-D35)*((E35/2)^2+(E35/2)*(F35/2)+(F35/2)^2-(E35/2-G35/1000)^2-(E35/2-G35/1000)*(F35/2-G35/1000)-(F35/2-G35/1000)^2))</f>
        <v>85.504387960746399</v>
      </c>
      <c r="K35" s="106">
        <f>IFERROR((MP_DATA[[#This Row],[D, bottom]]+MP_DATA[[#This Row],[D, top]])/(2*MP_DATA[[#This Row],[t]]/1000),"")</f>
        <v>121.05263157894737</v>
      </c>
      <c r="L35" s="106" t="str">
        <f>IFERROR((MP_DATA[[#This Row],[D, bottom]]+#REF!)/(2*#REF!/1000),"")</f>
        <v/>
      </c>
      <c r="U35" s="107">
        <v>17</v>
      </c>
      <c r="V35" s="107">
        <v>-48.5</v>
      </c>
      <c r="W35" s="107">
        <v>-51.7</v>
      </c>
      <c r="X35" s="107">
        <v>11.5</v>
      </c>
      <c r="Y35" s="107">
        <v>11.5</v>
      </c>
      <c r="Z35" s="107">
        <v>95</v>
      </c>
      <c r="AQ35" s="107"/>
      <c r="AR35" s="107"/>
      <c r="AS35" s="107"/>
      <c r="AT35" s="107"/>
      <c r="AU35" s="107"/>
      <c r="AV35" s="107"/>
      <c r="AW35" s="107"/>
      <c r="AX35" s="106">
        <f>IFERROR(TP_DATA[[#This Row],[Top]]-TP_DATA[[#This Row],[Bottom]], "")</f>
        <v>0</v>
      </c>
      <c r="AY35" s="106" t="str">
        <f>IFERROR(-(TP_DATA[[#This Row],[D, top]]-TP_DATA[[#This Row],[D, bottom]])/(TP_DATA[[#This Row],[Top]]-TP_DATA[[#This Row],[Bottom]]),"")</f>
        <v/>
      </c>
      <c r="AZ35" s="106" t="str">
        <f t="shared" si="0"/>
        <v/>
      </c>
      <c r="BA35" s="106" t="str">
        <f>IFERROR((TP_DATA[[#This Row],[D, top]]+TP_DATA[[#This Row],[D, bottom]])/(2*TP_DATA[[#This Row],[t]]/1000),"")</f>
        <v/>
      </c>
      <c r="BC35" s="93">
        <v>16</v>
      </c>
      <c r="BD35" s="93">
        <v>17</v>
      </c>
      <c r="BE35" s="93">
        <v>-70</v>
      </c>
      <c r="BF35" s="93">
        <v>-75</v>
      </c>
      <c r="BG35" s="93">
        <v>11.5</v>
      </c>
      <c r="BH35" s="93">
        <v>11.5</v>
      </c>
      <c r="BI35" s="93">
        <v>96</v>
      </c>
      <c r="BQ35" s="93">
        <v>16</v>
      </c>
      <c r="BR35" s="93">
        <v>17</v>
      </c>
      <c r="BS35" s="93">
        <v>-27.5</v>
      </c>
      <c r="BT35" s="93">
        <v>-30</v>
      </c>
      <c r="BU35" s="93">
        <v>11.5</v>
      </c>
      <c r="BV35" s="93">
        <v>11.5</v>
      </c>
      <c r="BW35" s="93">
        <v>96</v>
      </c>
      <c r="BX35" s="106">
        <f>IFERROR(TOWER_DATA[[#This Row],[Top]]-TOWER_DATA[[#This Row],[Bottom]], "")</f>
        <v>2.5</v>
      </c>
      <c r="BY35" s="106">
        <f>IFERROR(-(TOWER_DATA[[#This Row],[D, top]]-TOWER_DATA[[#This Row],[D, bottom]])/(TOWER_DATA[[#This Row],[Top]]-TOWER_DATA[[#This Row],[Bottom]]),"")</f>
        <v>0</v>
      </c>
      <c r="BZ35" s="106">
        <f t="shared" si="1"/>
        <v>67.497545418977765</v>
      </c>
      <c r="CA35" s="106">
        <f>IFERROR((TOWER_DATA[[#This Row],[D, top]]+TOWER_DATA[[#This Row],[D, bottom]])/(2*TOWER_DATA[[#This Row],[t]]/1000),"")</f>
        <v>119.79166666666666</v>
      </c>
      <c r="CC35" s="93">
        <v>16</v>
      </c>
      <c r="CD35" s="93">
        <v>17</v>
      </c>
      <c r="CE35" s="93">
        <v>-27.5</v>
      </c>
      <c r="CF35" s="93">
        <v>-30</v>
      </c>
      <c r="CG35" s="93">
        <v>11.5</v>
      </c>
      <c r="CH35" s="93">
        <v>11.5</v>
      </c>
      <c r="CI35" s="93">
        <v>96</v>
      </c>
    </row>
    <row r="36" spans="2:87" x14ac:dyDescent="0.3">
      <c r="B36" s="101">
        <v>18</v>
      </c>
      <c r="C36" s="101">
        <v>-51.7</v>
      </c>
      <c r="D36" s="101">
        <v>-55.3</v>
      </c>
      <c r="E36" s="101">
        <v>11.5</v>
      </c>
      <c r="F36" s="101">
        <v>11.5</v>
      </c>
      <c r="G36" s="101">
        <v>93</v>
      </c>
      <c r="H36" s="106">
        <f>IFERROR(MP_DATA[[#This Row],[Bottom]]-MP_DATA[[#This Row],[D, top]], "")</f>
        <v>-66.8</v>
      </c>
      <c r="I36" s="106">
        <f>IFERROR(-(MP_DATA[[#This Row],[D, bottom]]-MP_DATA[[#This Row],[D, top]])/(MP_DATA[[#This Row],[Bottom]]-MP_DATA[[#This Row],[Top]]),"")</f>
        <v>0</v>
      </c>
      <c r="J36" s="106">
        <f>IF(7850/1000*(1/3)*PI()*ABS(C36-D36)*((E36/2)^2+(E36/2)*(F36/2)+(F36/2)^2-(E36/2-G36/1000)^2-(E36/2-G36/1000)*(F36/2-G36/1000)-(F36/2-G36/1000)^2)=0,"",7850/1000*(1/3)*PI()*ABS(C36-D36)*((E36/2)^2+(E36/2)*(F36/2)+(F36/2)^2-(E36/2-G36/1000)^2-(E36/2-G36/1000)*(F36/2-G36/1000)-(F36/2-G36/1000)^2))</f>
        <v>94.183845872414466</v>
      </c>
      <c r="K36" s="106">
        <f>IFERROR((MP_DATA[[#This Row],[D, bottom]]+MP_DATA[[#This Row],[D, top]])/(2*MP_DATA[[#This Row],[t]]/1000),"")</f>
        <v>123.65591397849462</v>
      </c>
      <c r="L36" s="106" t="str">
        <f>IFERROR((MP_DATA[[#This Row],[D, bottom]]+#REF!)/(2*#REF!/1000),"")</f>
        <v/>
      </c>
      <c r="U36" s="107">
        <v>18</v>
      </c>
      <c r="V36" s="107">
        <v>-51.7</v>
      </c>
      <c r="W36" s="107">
        <v>-55.3</v>
      </c>
      <c r="X36" s="107">
        <v>11.5</v>
      </c>
      <c r="Y36" s="107">
        <v>11.5</v>
      </c>
      <c r="Z36" s="107">
        <v>93</v>
      </c>
      <c r="AQ36" s="107"/>
      <c r="AR36" s="107"/>
      <c r="AS36" s="107"/>
      <c r="AT36" s="107"/>
      <c r="AU36" s="107"/>
      <c r="AV36" s="107"/>
      <c r="AW36" s="107"/>
      <c r="AX36" s="106">
        <f>IFERROR(TP_DATA[[#This Row],[Top]]-TP_DATA[[#This Row],[Bottom]], "")</f>
        <v>0</v>
      </c>
      <c r="AY36" s="106" t="str">
        <f>IFERROR(-(TP_DATA[[#This Row],[D, top]]-TP_DATA[[#This Row],[D, bottom]])/(TP_DATA[[#This Row],[Top]]-TP_DATA[[#This Row],[Bottom]]),"")</f>
        <v/>
      </c>
      <c r="AZ36" s="106" t="str">
        <f t="shared" si="0"/>
        <v/>
      </c>
      <c r="BA36" s="106" t="str">
        <f>IFERROR((TP_DATA[[#This Row],[D, top]]+TP_DATA[[#This Row],[D, bottom]])/(2*TP_DATA[[#This Row],[t]]/1000),"")</f>
        <v/>
      </c>
      <c r="BC36" s="93">
        <v>17</v>
      </c>
      <c r="BD36" s="93">
        <v>18</v>
      </c>
      <c r="BE36" s="93">
        <v>-75</v>
      </c>
      <c r="BF36" s="93">
        <v>-80</v>
      </c>
      <c r="BG36" s="93">
        <v>11.5</v>
      </c>
      <c r="BH36" s="93">
        <v>11.5</v>
      </c>
      <c r="BI36" s="93">
        <v>93</v>
      </c>
      <c r="BQ36" s="93">
        <v>17</v>
      </c>
      <c r="BR36" s="93">
        <v>18</v>
      </c>
      <c r="BS36" s="93">
        <v>-30</v>
      </c>
      <c r="BT36" s="93">
        <v>-32.5</v>
      </c>
      <c r="BU36" s="93">
        <v>11.5</v>
      </c>
      <c r="BV36" s="93">
        <v>11.5</v>
      </c>
      <c r="BW36" s="93">
        <v>93</v>
      </c>
      <c r="BX36" s="106">
        <f>IFERROR(TOWER_DATA[[#This Row],[Top]]-TOWER_DATA[[#This Row],[Bottom]], "")</f>
        <v>2.5</v>
      </c>
      <c r="BY36" s="106">
        <f>IFERROR(-(TOWER_DATA[[#This Row],[D, top]]-TOWER_DATA[[#This Row],[D, bottom]])/(TOWER_DATA[[#This Row],[Top]]-TOWER_DATA[[#This Row],[Bottom]]),"")</f>
        <v>0</v>
      </c>
      <c r="BZ36" s="106">
        <f t="shared" si="1"/>
        <v>65.405448522510156</v>
      </c>
      <c r="CA36" s="106">
        <f>IFERROR((TOWER_DATA[[#This Row],[D, top]]+TOWER_DATA[[#This Row],[D, bottom]])/(2*TOWER_DATA[[#This Row],[t]]/1000),"")</f>
        <v>123.65591397849462</v>
      </c>
      <c r="CC36" s="93">
        <v>17</v>
      </c>
      <c r="CD36" s="93">
        <v>18</v>
      </c>
      <c r="CE36" s="93">
        <v>-30</v>
      </c>
      <c r="CF36" s="93">
        <v>-32.5</v>
      </c>
      <c r="CG36" s="93">
        <v>11.5</v>
      </c>
      <c r="CH36" s="93">
        <v>11.5</v>
      </c>
      <c r="CI36" s="93">
        <v>93</v>
      </c>
    </row>
    <row r="37" spans="2:87" x14ac:dyDescent="0.3">
      <c r="B37" s="101">
        <v>19</v>
      </c>
      <c r="C37" s="101">
        <v>-55.3</v>
      </c>
      <c r="D37" s="101">
        <v>-59.3</v>
      </c>
      <c r="E37" s="101">
        <v>11.5</v>
      </c>
      <c r="F37" s="101">
        <v>11.5</v>
      </c>
      <c r="G37" s="101">
        <v>93</v>
      </c>
      <c r="H37" s="106">
        <f>IFERROR(MP_DATA[[#This Row],[Bottom]]-MP_DATA[[#This Row],[D, top]], "")</f>
        <v>-70.8</v>
      </c>
      <c r="I37" s="106">
        <f>IFERROR(-(MP_DATA[[#This Row],[D, bottom]]-MP_DATA[[#This Row],[D, top]])/(MP_DATA[[#This Row],[Bottom]]-MP_DATA[[#This Row],[Top]]),"")</f>
        <v>0</v>
      </c>
      <c r="J37" s="106">
        <f>IF(7850/1000*(1/3)*PI()*ABS(C37-D37)*((E37/2)^2+(E37/2)*(F37/2)+(F37/2)^2-(E37/2-G37/1000)^2-(E37/2-G37/1000)*(F37/2-G37/1000)-(F37/2-G37/1000)^2)=0,"",7850/1000*(1/3)*PI()*ABS(C37-D37)*((E37/2)^2+(E37/2)*(F37/2)+(F37/2)^2-(E37/2-G37/1000)^2-(E37/2-G37/1000)*(F37/2-G37/1000)-(F37/2-G37/1000)^2))</f>
        <v>104.64871763601624</v>
      </c>
      <c r="K37" s="106">
        <f>IFERROR((MP_DATA[[#This Row],[D, bottom]]+MP_DATA[[#This Row],[D, top]])/(2*MP_DATA[[#This Row],[t]]/1000),"")</f>
        <v>123.65591397849462</v>
      </c>
      <c r="L37" s="106" t="str">
        <f>IFERROR((MP_DATA[[#This Row],[D, bottom]]+#REF!)/(2*#REF!/1000),"")</f>
        <v/>
      </c>
      <c r="U37" s="107">
        <v>19</v>
      </c>
      <c r="V37" s="107">
        <v>-55.3</v>
      </c>
      <c r="W37" s="107">
        <v>-59.3</v>
      </c>
      <c r="X37" s="107">
        <v>11.5</v>
      </c>
      <c r="Y37" s="107">
        <v>11.5</v>
      </c>
      <c r="Z37" s="107">
        <v>93</v>
      </c>
      <c r="AQ37" s="107"/>
      <c r="AR37" s="107"/>
      <c r="AS37" s="107"/>
      <c r="AT37" s="107"/>
      <c r="AU37" s="107"/>
      <c r="AV37" s="107"/>
      <c r="AW37" s="107"/>
      <c r="AX37" s="106">
        <f>IFERROR(TP_DATA[[#This Row],[Top]]-TP_DATA[[#This Row],[Bottom]], "")</f>
        <v>0</v>
      </c>
      <c r="AY37" s="106" t="str">
        <f>IFERROR(-(TP_DATA[[#This Row],[D, top]]-TP_DATA[[#This Row],[D, bottom]])/(TP_DATA[[#This Row],[Top]]-TP_DATA[[#This Row],[Bottom]]),"")</f>
        <v/>
      </c>
      <c r="AZ37" s="106" t="str">
        <f t="shared" si="0"/>
        <v/>
      </c>
      <c r="BA37" s="106" t="str">
        <f>IFERROR((TP_DATA[[#This Row],[D, top]]+TP_DATA[[#This Row],[D, bottom]])/(2*TP_DATA[[#This Row],[t]]/1000),"")</f>
        <v/>
      </c>
      <c r="BC37" s="93">
        <v>18</v>
      </c>
      <c r="BD37" s="93">
        <v>19</v>
      </c>
      <c r="BE37" s="93">
        <v>-80</v>
      </c>
      <c r="BF37" s="93">
        <v>-85</v>
      </c>
      <c r="BG37" s="93">
        <v>11.5</v>
      </c>
      <c r="BH37" s="93">
        <v>11.5</v>
      </c>
      <c r="BI37" s="93">
        <v>93</v>
      </c>
      <c r="BQ37" s="93">
        <v>18</v>
      </c>
      <c r="BR37" s="93">
        <v>19</v>
      </c>
      <c r="BS37" s="93">
        <v>-32.5</v>
      </c>
      <c r="BT37" s="93">
        <v>-35</v>
      </c>
      <c r="BU37" s="93">
        <v>11.5</v>
      </c>
      <c r="BV37" s="93">
        <v>11.5</v>
      </c>
      <c r="BW37" s="93">
        <v>93</v>
      </c>
      <c r="BX37" s="106">
        <f>IFERROR(TOWER_DATA[[#This Row],[Top]]-TOWER_DATA[[#This Row],[Bottom]], "")</f>
        <v>2.5</v>
      </c>
      <c r="BY37" s="106">
        <f>IFERROR(-(TOWER_DATA[[#This Row],[D, top]]-TOWER_DATA[[#This Row],[D, bottom]])/(TOWER_DATA[[#This Row],[Top]]-TOWER_DATA[[#This Row],[Bottom]]),"")</f>
        <v>0</v>
      </c>
      <c r="BZ37" s="106">
        <f t="shared" si="1"/>
        <v>65.405448522510156</v>
      </c>
      <c r="CA37" s="106">
        <f>IFERROR((TOWER_DATA[[#This Row],[D, top]]+TOWER_DATA[[#This Row],[D, bottom]])/(2*TOWER_DATA[[#This Row],[t]]/1000),"")</f>
        <v>123.65591397849462</v>
      </c>
      <c r="CC37" s="93">
        <v>18</v>
      </c>
      <c r="CD37" s="93">
        <v>19</v>
      </c>
      <c r="CE37" s="93">
        <v>-32.5</v>
      </c>
      <c r="CF37" s="93">
        <v>-35</v>
      </c>
      <c r="CG37" s="93">
        <v>11.5</v>
      </c>
      <c r="CH37" s="93">
        <v>11.5</v>
      </c>
      <c r="CI37" s="93">
        <v>93</v>
      </c>
    </row>
    <row r="38" spans="2:87" x14ac:dyDescent="0.3">
      <c r="B38" s="101">
        <v>20</v>
      </c>
      <c r="C38" s="101">
        <v>-59.3</v>
      </c>
      <c r="D38" s="101">
        <v>-63.3</v>
      </c>
      <c r="E38" s="101">
        <v>11.5</v>
      </c>
      <c r="F38" s="101">
        <v>11.5</v>
      </c>
      <c r="G38" s="101">
        <v>93</v>
      </c>
      <c r="H38" s="106">
        <f>IFERROR(MP_DATA[[#This Row],[Bottom]]-MP_DATA[[#This Row],[D, top]], "")</f>
        <v>-74.8</v>
      </c>
      <c r="I38" s="106">
        <f>IFERROR(-(MP_DATA[[#This Row],[D, bottom]]-MP_DATA[[#This Row],[D, top]])/(MP_DATA[[#This Row],[Bottom]]-MP_DATA[[#This Row],[Top]]),"")</f>
        <v>0</v>
      </c>
      <c r="J38" s="106">
        <f>IF(7850/1000*(1/3)*PI()*ABS(C38-D38)*((E38/2)^2+(E38/2)*(F38/2)+(F38/2)^2-(E38/2-G38/1000)^2-(E38/2-G38/1000)*(F38/2-G38/1000)-(F38/2-G38/1000)^2)=0,"",7850/1000*(1/3)*PI()*ABS(C38-D38)*((E38/2)^2+(E38/2)*(F38/2)+(F38/2)^2-(E38/2-G38/1000)^2-(E38/2-G38/1000)*(F38/2-G38/1000)-(F38/2-G38/1000)^2))</f>
        <v>104.64871763601624</v>
      </c>
      <c r="K38" s="106">
        <f>IFERROR((MP_DATA[[#This Row],[D, bottom]]+MP_DATA[[#This Row],[D, top]])/(2*MP_DATA[[#This Row],[t]]/1000),"")</f>
        <v>123.65591397849462</v>
      </c>
      <c r="L38" s="106" t="str">
        <f>IFERROR((MP_DATA[[#This Row],[D, bottom]]+#REF!)/(2*#REF!/1000),"")</f>
        <v/>
      </c>
      <c r="U38" s="107">
        <v>20</v>
      </c>
      <c r="V38" s="107">
        <v>-59.3</v>
      </c>
      <c r="W38" s="107">
        <v>-63.3</v>
      </c>
      <c r="X38" s="107">
        <v>11.5</v>
      </c>
      <c r="Y38" s="107">
        <v>11.5</v>
      </c>
      <c r="Z38" s="107">
        <v>93</v>
      </c>
      <c r="AQ38" s="107"/>
      <c r="AR38" s="107"/>
      <c r="AS38" s="107"/>
      <c r="AT38" s="107"/>
      <c r="AU38" s="107"/>
      <c r="AV38" s="107"/>
      <c r="AW38" s="107"/>
      <c r="AX38" s="106">
        <f>IFERROR(TP_DATA[[#This Row],[Top]]-TP_DATA[[#This Row],[Bottom]], "")</f>
        <v>0</v>
      </c>
      <c r="AY38" s="106" t="str">
        <f>IFERROR(-(TP_DATA[[#This Row],[D, top]]-TP_DATA[[#This Row],[D, bottom]])/(TP_DATA[[#This Row],[Top]]-TP_DATA[[#This Row],[Bottom]]),"")</f>
        <v/>
      </c>
      <c r="AZ38" s="106" t="str">
        <f t="shared" si="0"/>
        <v/>
      </c>
      <c r="BA38" s="106" t="str">
        <f>IFERROR((TP_DATA[[#This Row],[D, top]]+TP_DATA[[#This Row],[D, bottom]])/(2*TP_DATA[[#This Row],[t]]/1000),"")</f>
        <v/>
      </c>
      <c r="BC38" s="93">
        <v>19</v>
      </c>
      <c r="BD38" s="93">
        <v>20</v>
      </c>
      <c r="BE38" s="93">
        <v>-85</v>
      </c>
      <c r="BF38" s="93">
        <v>-90</v>
      </c>
      <c r="BG38" s="93">
        <v>11.5</v>
      </c>
      <c r="BH38" s="93">
        <v>11.5</v>
      </c>
      <c r="BI38" s="93">
        <v>93</v>
      </c>
      <c r="BQ38" s="93">
        <v>19</v>
      </c>
      <c r="BR38" s="93">
        <v>20</v>
      </c>
      <c r="BS38" s="93">
        <v>-35</v>
      </c>
      <c r="BT38" s="93">
        <v>-37.5</v>
      </c>
      <c r="BU38" s="93">
        <v>11.5</v>
      </c>
      <c r="BV38" s="93">
        <v>11.5</v>
      </c>
      <c r="BW38" s="93">
        <v>93</v>
      </c>
      <c r="BX38" s="106">
        <f>IFERROR(TOWER_DATA[[#This Row],[Top]]-TOWER_DATA[[#This Row],[Bottom]], "")</f>
        <v>2.5</v>
      </c>
      <c r="BY38" s="106">
        <f>IFERROR(-(TOWER_DATA[[#This Row],[D, top]]-TOWER_DATA[[#This Row],[D, bottom]])/(TOWER_DATA[[#This Row],[Top]]-TOWER_DATA[[#This Row],[Bottom]]),"")</f>
        <v>0</v>
      </c>
      <c r="BZ38" s="106">
        <f t="shared" si="1"/>
        <v>65.405448522510156</v>
      </c>
      <c r="CA38" s="106">
        <f>IFERROR((TOWER_DATA[[#This Row],[D, top]]+TOWER_DATA[[#This Row],[D, bottom]])/(2*TOWER_DATA[[#This Row],[t]]/1000),"")</f>
        <v>123.65591397849462</v>
      </c>
      <c r="CC38" s="93">
        <v>19</v>
      </c>
      <c r="CD38" s="93">
        <v>20</v>
      </c>
      <c r="CE38" s="93">
        <v>-35</v>
      </c>
      <c r="CF38" s="93">
        <v>-37.5</v>
      </c>
      <c r="CG38" s="93">
        <v>11.5</v>
      </c>
      <c r="CH38" s="93">
        <v>11.5</v>
      </c>
      <c r="CI38" s="93">
        <v>93</v>
      </c>
    </row>
    <row r="39" spans="2:87" x14ac:dyDescent="0.3">
      <c r="B39" s="101">
        <v>21</v>
      </c>
      <c r="C39" s="101">
        <v>-63.3</v>
      </c>
      <c r="D39" s="101">
        <v>-67.3</v>
      </c>
      <c r="E39" s="101">
        <v>11.5</v>
      </c>
      <c r="F39" s="101">
        <v>11.5</v>
      </c>
      <c r="G39" s="101">
        <v>93</v>
      </c>
      <c r="H39" s="106">
        <f>IFERROR(MP_DATA[[#This Row],[Bottom]]-MP_DATA[[#This Row],[D, top]], "")</f>
        <v>-78.8</v>
      </c>
      <c r="I39" s="106">
        <f>IFERROR(-(MP_DATA[[#This Row],[D, bottom]]-MP_DATA[[#This Row],[D, top]])/(MP_DATA[[#This Row],[Bottom]]-MP_DATA[[#This Row],[Top]]),"")</f>
        <v>0</v>
      </c>
      <c r="J39" s="106">
        <f>IF(7850/1000*(1/3)*PI()*ABS(C39-D39)*((E39/2)^2+(E39/2)*(F39/2)+(F39/2)^2-(E39/2-G39/1000)^2-(E39/2-G39/1000)*(F39/2-G39/1000)-(F39/2-G39/1000)^2)=0,"",7850/1000*(1/3)*PI()*ABS(C39-D39)*((E39/2)^2+(E39/2)*(F39/2)+(F39/2)^2-(E39/2-G39/1000)^2-(E39/2-G39/1000)*(F39/2-G39/1000)-(F39/2-G39/1000)^2))</f>
        <v>104.64871763601624</v>
      </c>
      <c r="K39" s="106">
        <f>IFERROR((MP_DATA[[#This Row],[D, bottom]]+MP_DATA[[#This Row],[D, top]])/(2*MP_DATA[[#This Row],[t]]/1000),"")</f>
        <v>123.65591397849462</v>
      </c>
      <c r="L39" s="106" t="str">
        <f>IFERROR((MP_DATA[[#This Row],[D, bottom]]+#REF!)/(2*#REF!/1000),"")</f>
        <v/>
      </c>
      <c r="U39" s="107">
        <v>21</v>
      </c>
      <c r="V39" s="107">
        <v>-63.3</v>
      </c>
      <c r="W39" s="107">
        <v>-67.3</v>
      </c>
      <c r="X39" s="107">
        <v>11.5</v>
      </c>
      <c r="Y39" s="107">
        <v>11.5</v>
      </c>
      <c r="Z39" s="107">
        <v>93</v>
      </c>
      <c r="AQ39" s="107"/>
      <c r="AR39" s="107"/>
      <c r="AS39" s="107"/>
      <c r="AT39" s="107"/>
      <c r="AU39" s="107"/>
      <c r="AV39" s="107"/>
      <c r="AW39" s="107"/>
      <c r="AX39" s="106">
        <f>IFERROR(TP_DATA[[#This Row],[Top]]-TP_DATA[[#This Row],[Bottom]], "")</f>
        <v>0</v>
      </c>
      <c r="AY39" s="106" t="str">
        <f>IFERROR(-(TP_DATA[[#This Row],[D, top]]-TP_DATA[[#This Row],[D, bottom]])/(TP_DATA[[#This Row],[Top]]-TP_DATA[[#This Row],[Bottom]]),"")</f>
        <v/>
      </c>
      <c r="AZ39" s="106" t="str">
        <f t="shared" si="0"/>
        <v/>
      </c>
      <c r="BA39" s="106" t="str">
        <f>IFERROR((TP_DATA[[#This Row],[D, top]]+TP_DATA[[#This Row],[D, bottom]])/(2*TP_DATA[[#This Row],[t]]/1000),"")</f>
        <v/>
      </c>
      <c r="BC39" s="93">
        <v>20</v>
      </c>
      <c r="BD39" s="93">
        <v>21</v>
      </c>
      <c r="BE39" s="93">
        <v>-90</v>
      </c>
      <c r="BF39" s="93">
        <v>-95</v>
      </c>
      <c r="BG39" s="93">
        <v>11.5</v>
      </c>
      <c r="BH39" s="93">
        <v>11.5</v>
      </c>
      <c r="BI39" s="93">
        <v>93</v>
      </c>
      <c r="BQ39" s="93">
        <v>20</v>
      </c>
      <c r="BR39" s="93">
        <v>21</v>
      </c>
      <c r="BS39" s="93">
        <v>-37.5</v>
      </c>
      <c r="BT39" s="93">
        <v>-40</v>
      </c>
      <c r="BU39" s="93">
        <v>11.5</v>
      </c>
      <c r="BV39" s="93">
        <v>11.5</v>
      </c>
      <c r="BW39" s="93">
        <v>93</v>
      </c>
      <c r="BX39" s="106">
        <f>IFERROR(TOWER_DATA[[#This Row],[Top]]-TOWER_DATA[[#This Row],[Bottom]], "")</f>
        <v>2.5</v>
      </c>
      <c r="BY39" s="106">
        <f>IFERROR(-(TOWER_DATA[[#This Row],[D, top]]-TOWER_DATA[[#This Row],[D, bottom]])/(TOWER_DATA[[#This Row],[Top]]-TOWER_DATA[[#This Row],[Bottom]]),"")</f>
        <v>0</v>
      </c>
      <c r="BZ39" s="106">
        <f t="shared" si="1"/>
        <v>65.405448522510156</v>
      </c>
      <c r="CA39" s="106">
        <f>IFERROR((TOWER_DATA[[#This Row],[D, top]]+TOWER_DATA[[#This Row],[D, bottom]])/(2*TOWER_DATA[[#This Row],[t]]/1000),"")</f>
        <v>123.65591397849462</v>
      </c>
      <c r="CC39" s="93">
        <v>20</v>
      </c>
      <c r="CD39" s="93">
        <v>21</v>
      </c>
      <c r="CE39" s="93">
        <v>-37.5</v>
      </c>
      <c r="CF39" s="93">
        <v>-40</v>
      </c>
      <c r="CG39" s="93">
        <v>11.5</v>
      </c>
      <c r="CH39" s="93">
        <v>11.5</v>
      </c>
      <c r="CI39" s="93">
        <v>93</v>
      </c>
    </row>
    <row r="40" spans="2:87" x14ac:dyDescent="0.3">
      <c r="B40" s="101">
        <v>22</v>
      </c>
      <c r="C40" s="101">
        <v>-67.3</v>
      </c>
      <c r="D40" s="101">
        <v>-71</v>
      </c>
      <c r="E40" s="101">
        <v>11.5</v>
      </c>
      <c r="F40" s="101">
        <v>11.5</v>
      </c>
      <c r="G40" s="101">
        <v>96</v>
      </c>
      <c r="H40" s="106">
        <f>IFERROR(MP_DATA[[#This Row],[Bottom]]-MP_DATA[[#This Row],[D, top]], "")</f>
        <v>-82.5</v>
      </c>
      <c r="I40" s="106">
        <f>IFERROR(-(MP_DATA[[#This Row],[D, bottom]]-MP_DATA[[#This Row],[D, top]])/(MP_DATA[[#This Row],[Bottom]]-MP_DATA[[#This Row],[Top]]),"")</f>
        <v>0</v>
      </c>
      <c r="J40" s="106">
        <f>IF(7850/1000*(1/3)*PI()*ABS(C40-D40)*((E40/2)^2+(E40/2)*(F40/2)+(F40/2)^2-(E40/2-G40/1000)^2-(E40/2-G40/1000)*(F40/2-G40/1000)-(F40/2-G40/1000)^2)=0,"",7850/1000*(1/3)*PI()*ABS(C40-D40)*((E40/2)^2+(E40/2)*(F40/2)+(F40/2)^2-(E40/2-G40/1000)^2-(E40/2-G40/1000)*(F40/2-G40/1000)-(F40/2-G40/1000)^2))</f>
        <v>99.896367220087171</v>
      </c>
      <c r="K40" s="106">
        <f>IFERROR((MP_DATA[[#This Row],[D, bottom]]+MP_DATA[[#This Row],[D, top]])/(2*MP_DATA[[#This Row],[t]]/1000),"")</f>
        <v>119.79166666666666</v>
      </c>
      <c r="L40" s="106" t="str">
        <f>IFERROR((MP_DATA[[#This Row],[D, bottom]]+#REF!)/(2*#REF!/1000),"")</f>
        <v/>
      </c>
      <c r="U40" s="107">
        <v>22</v>
      </c>
      <c r="V40" s="107">
        <v>-67.3</v>
      </c>
      <c r="W40" s="107">
        <v>-71</v>
      </c>
      <c r="X40" s="107">
        <v>11.5</v>
      </c>
      <c r="Y40" s="107">
        <v>11.5</v>
      </c>
      <c r="Z40" s="107">
        <v>96</v>
      </c>
      <c r="AQ40" s="107"/>
      <c r="AR40" s="107"/>
      <c r="AS40" s="107"/>
      <c r="AT40" s="107"/>
      <c r="AU40" s="107"/>
      <c r="AV40" s="107"/>
      <c r="AW40" s="107"/>
      <c r="AX40" s="106">
        <f>IFERROR(TP_DATA[[#This Row],[Top]]-TP_DATA[[#This Row],[Bottom]], "")</f>
        <v>0</v>
      </c>
      <c r="AY40" s="106" t="str">
        <f>IFERROR(-(TP_DATA[[#This Row],[D, top]]-TP_DATA[[#This Row],[D, bottom]])/(TP_DATA[[#This Row],[Top]]-TP_DATA[[#This Row],[Bottom]]),"")</f>
        <v/>
      </c>
      <c r="AZ40" s="106" t="str">
        <f t="shared" si="0"/>
        <v/>
      </c>
      <c r="BA40" s="106" t="str">
        <f>IFERROR((TP_DATA[[#This Row],[D, top]]+TP_DATA[[#This Row],[D, bottom]])/(2*TP_DATA[[#This Row],[t]]/1000),"")</f>
        <v/>
      </c>
      <c r="BC40" s="93">
        <v>21</v>
      </c>
      <c r="BD40" s="93">
        <v>22</v>
      </c>
      <c r="BE40" s="93">
        <v>-95</v>
      </c>
      <c r="BF40" s="93">
        <v>-100</v>
      </c>
      <c r="BG40" s="93">
        <v>11.5</v>
      </c>
      <c r="BH40" s="93">
        <v>11.5</v>
      </c>
      <c r="BI40" s="93">
        <v>93</v>
      </c>
      <c r="BQ40" s="93">
        <v>21</v>
      </c>
      <c r="BR40" s="93">
        <v>22</v>
      </c>
      <c r="BS40" s="93">
        <v>-40</v>
      </c>
      <c r="BT40" s="93">
        <v>-42.5</v>
      </c>
      <c r="BU40" s="93">
        <v>11.5</v>
      </c>
      <c r="BV40" s="93">
        <v>11.5</v>
      </c>
      <c r="BW40" s="93">
        <v>93</v>
      </c>
      <c r="BX40" s="106">
        <f>IFERROR(TOWER_DATA[[#This Row],[Top]]-TOWER_DATA[[#This Row],[Bottom]], "")</f>
        <v>2.5</v>
      </c>
      <c r="BY40" s="106">
        <f>IFERROR(-(TOWER_DATA[[#This Row],[D, top]]-TOWER_DATA[[#This Row],[D, bottom]])/(TOWER_DATA[[#This Row],[Top]]-TOWER_DATA[[#This Row],[Bottom]]),"")</f>
        <v>0</v>
      </c>
      <c r="BZ40" s="106">
        <f t="shared" si="1"/>
        <v>65.405448522510156</v>
      </c>
      <c r="CA40" s="106">
        <f>IFERROR((TOWER_DATA[[#This Row],[D, top]]+TOWER_DATA[[#This Row],[D, bottom]])/(2*TOWER_DATA[[#This Row],[t]]/1000),"")</f>
        <v>123.65591397849462</v>
      </c>
      <c r="CC40" s="93">
        <v>21</v>
      </c>
      <c r="CD40" s="93">
        <v>22</v>
      </c>
      <c r="CE40" s="93">
        <v>-40</v>
      </c>
      <c r="CF40" s="93">
        <v>-42.5</v>
      </c>
      <c r="CG40" s="93">
        <v>11.5</v>
      </c>
      <c r="CH40" s="93">
        <v>11.5</v>
      </c>
      <c r="CI40" s="93">
        <v>93</v>
      </c>
    </row>
    <row r="41" spans="2:87" x14ac:dyDescent="0.3">
      <c r="B41" s="101">
        <v>23</v>
      </c>
      <c r="C41" s="101">
        <v>-71</v>
      </c>
      <c r="D41" s="101">
        <v>-74.3</v>
      </c>
      <c r="E41" s="101">
        <v>11.5</v>
      </c>
      <c r="F41" s="101">
        <v>11.5</v>
      </c>
      <c r="G41" s="101">
        <v>100</v>
      </c>
      <c r="H41" s="106">
        <f>IFERROR(MP_DATA[[#This Row],[Bottom]]-MP_DATA[[#This Row],[D, top]], "")</f>
        <v>-85.8</v>
      </c>
      <c r="I41" s="106">
        <f>IFERROR(-(MP_DATA[[#This Row],[D, bottom]]-MP_DATA[[#This Row],[D, top]])/(MP_DATA[[#This Row],[Bottom]]-MP_DATA[[#This Row],[Top]]),"")</f>
        <v>0</v>
      </c>
      <c r="J41" s="106">
        <f>IF(7850/1000*(1/3)*PI()*ABS(C41-D41)*((E41/2)^2+(E41/2)*(F41/2)+(F41/2)^2-(E41/2-G41/1000)^2-(E41/2-G41/1000)*(F41/2-G41/1000)-(F41/2-G41/1000)^2)=0,"",7850/1000*(1/3)*PI()*ABS(C41-D41)*((E41/2)^2+(E41/2)*(F41/2)+(F41/2)^2-(E41/2-G41/1000)^2-(E41/2-G41/1000)*(F41/2-G41/1000)-(F41/2-G41/1000)^2))</f>
        <v>92.776571768017547</v>
      </c>
      <c r="K41" s="106">
        <f>IFERROR((MP_DATA[[#This Row],[D, bottom]]+MP_DATA[[#This Row],[D, top]])/(2*MP_DATA[[#This Row],[t]]/1000),"")</f>
        <v>115</v>
      </c>
      <c r="L41" s="106" t="str">
        <f>IFERROR((MP_DATA[[#This Row],[D, bottom]]+#REF!)/(2*#REF!/1000),"")</f>
        <v/>
      </c>
      <c r="U41" s="107">
        <v>23</v>
      </c>
      <c r="V41" s="107">
        <v>-71</v>
      </c>
      <c r="W41" s="107">
        <v>-74.3</v>
      </c>
      <c r="X41" s="107">
        <v>11.5</v>
      </c>
      <c r="Y41" s="107">
        <v>11.5</v>
      </c>
      <c r="Z41" s="107">
        <v>100</v>
      </c>
      <c r="AQ41" s="107"/>
      <c r="AR41" s="107"/>
      <c r="AS41" s="107"/>
      <c r="AT41" s="107"/>
      <c r="AU41" s="107"/>
      <c r="AV41" s="107"/>
      <c r="AW41" s="107"/>
      <c r="AX41" s="106">
        <f>IFERROR(TP_DATA[[#This Row],[Top]]-TP_DATA[[#This Row],[Bottom]], "")</f>
        <v>0</v>
      </c>
      <c r="AY41" s="106" t="str">
        <f>IFERROR(-(TP_DATA[[#This Row],[D, top]]-TP_DATA[[#This Row],[D, bottom]])/(TP_DATA[[#This Row],[Top]]-TP_DATA[[#This Row],[Bottom]]),"")</f>
        <v/>
      </c>
      <c r="AZ41" s="106" t="str">
        <f t="shared" si="0"/>
        <v/>
      </c>
      <c r="BA41" s="106" t="str">
        <f>IFERROR((TP_DATA[[#This Row],[D, top]]+TP_DATA[[#This Row],[D, bottom]])/(2*TP_DATA[[#This Row],[t]]/1000),"")</f>
        <v/>
      </c>
      <c r="BC41" s="93">
        <v>22</v>
      </c>
      <c r="BD41" s="93">
        <v>23</v>
      </c>
      <c r="BE41" s="93">
        <v>-100</v>
      </c>
      <c r="BF41" s="93">
        <v>-105</v>
      </c>
      <c r="BG41" s="93">
        <v>11.5</v>
      </c>
      <c r="BH41" s="93">
        <v>11.5</v>
      </c>
      <c r="BI41" s="93">
        <v>96</v>
      </c>
      <c r="BQ41" s="93">
        <v>22</v>
      </c>
      <c r="BR41" s="93">
        <v>23</v>
      </c>
      <c r="BS41" s="93">
        <v>-42.5</v>
      </c>
      <c r="BT41" s="93">
        <v>-45</v>
      </c>
      <c r="BU41" s="93">
        <v>11.5</v>
      </c>
      <c r="BV41" s="93">
        <v>11.5</v>
      </c>
      <c r="BW41" s="93">
        <v>96</v>
      </c>
      <c r="BX41" s="106">
        <f>IFERROR(TOWER_DATA[[#This Row],[Top]]-TOWER_DATA[[#This Row],[Bottom]], "")</f>
        <v>2.5</v>
      </c>
      <c r="BY41" s="106">
        <f>IFERROR(-(TOWER_DATA[[#This Row],[D, top]]-TOWER_DATA[[#This Row],[D, bottom]])/(TOWER_DATA[[#This Row],[Top]]-TOWER_DATA[[#This Row],[Bottom]]),"")</f>
        <v>0</v>
      </c>
      <c r="BZ41" s="106">
        <f t="shared" si="1"/>
        <v>67.497545418977765</v>
      </c>
      <c r="CA41" s="106">
        <f>IFERROR((TOWER_DATA[[#This Row],[D, top]]+TOWER_DATA[[#This Row],[D, bottom]])/(2*TOWER_DATA[[#This Row],[t]]/1000),"")</f>
        <v>119.79166666666666</v>
      </c>
      <c r="CC41" s="93">
        <v>22</v>
      </c>
      <c r="CD41" s="93">
        <v>23</v>
      </c>
      <c r="CE41" s="93">
        <v>-42.5</v>
      </c>
      <c r="CF41" s="93">
        <v>-45</v>
      </c>
      <c r="CG41" s="93">
        <v>11.5</v>
      </c>
      <c r="CH41" s="93">
        <v>11.5</v>
      </c>
      <c r="CI41" s="93">
        <v>96</v>
      </c>
    </row>
    <row r="42" spans="2:87" x14ac:dyDescent="0.3">
      <c r="B42" s="101">
        <v>24</v>
      </c>
      <c r="C42" s="101">
        <v>-74.3</v>
      </c>
      <c r="D42" s="101">
        <v>-77.430000000000007</v>
      </c>
      <c r="E42" s="101">
        <v>11.5</v>
      </c>
      <c r="F42" s="101">
        <v>11.5</v>
      </c>
      <c r="G42" s="101">
        <v>110</v>
      </c>
      <c r="H42" s="106">
        <f>IFERROR(MP_DATA[[#This Row],[Bottom]]-MP_DATA[[#This Row],[D, top]], "")</f>
        <v>-88.93</v>
      </c>
      <c r="I42" s="106">
        <f>IFERROR(-(MP_DATA[[#This Row],[D, bottom]]-MP_DATA[[#This Row],[D, top]])/(MP_DATA[[#This Row],[Bottom]]-MP_DATA[[#This Row],[Top]]),"")</f>
        <v>0</v>
      </c>
      <c r="J42" s="106">
        <f>IF(7850/1000*(1/3)*PI()*ABS(C42-D42)*((E42/2)^2+(E42/2)*(F42/2)+(F42/2)^2-(E42/2-G42/1000)^2-(E42/2-G42/1000)*(F42/2-G42/1000)-(F42/2-G42/1000)^2)=0,"",7850/1000*(1/3)*PI()*ABS(C42-D42)*((E42/2)^2+(E42/2)*(F42/2)+(F42/2)^2-(E42/2-G42/1000)^2-(E42/2-G42/1000)*(F42/2-G42/1000)-(F42/2-G42/1000)^2))</f>
        <v>96.71198032544136</v>
      </c>
      <c r="K42" s="106">
        <f>IFERROR((MP_DATA[[#This Row],[D, bottom]]+MP_DATA[[#This Row],[D, top]])/(2*MP_DATA[[#This Row],[t]]/1000),"")</f>
        <v>104.54545454545455</v>
      </c>
      <c r="L42" s="106" t="str">
        <f>IFERROR((MP_DATA[[#This Row],[D, bottom]]+#REF!)/(2*#REF!/1000),"")</f>
        <v/>
      </c>
      <c r="U42" s="107">
        <v>24</v>
      </c>
      <c r="V42" s="107">
        <v>-74.3</v>
      </c>
      <c r="W42" s="107">
        <v>-77.430000000000007</v>
      </c>
      <c r="X42" s="107">
        <v>11.5</v>
      </c>
      <c r="Y42" s="107">
        <v>11.5</v>
      </c>
      <c r="Z42" s="107">
        <v>110</v>
      </c>
      <c r="AQ42" s="107"/>
      <c r="AR42" s="107"/>
      <c r="AS42" s="107"/>
      <c r="AT42" s="107"/>
      <c r="AU42" s="107"/>
      <c r="AV42" s="107"/>
      <c r="AW42" s="107"/>
      <c r="AX42" s="106">
        <f>IFERROR(TP_DATA[[#This Row],[Top]]-TP_DATA[[#This Row],[Bottom]], "")</f>
        <v>0</v>
      </c>
      <c r="AY42" s="106" t="str">
        <f>IFERROR(-(TP_DATA[[#This Row],[D, top]]-TP_DATA[[#This Row],[D, bottom]])/(TP_DATA[[#This Row],[Top]]-TP_DATA[[#This Row],[Bottom]]),"")</f>
        <v/>
      </c>
      <c r="AZ42" s="106" t="str">
        <f t="shared" si="0"/>
        <v/>
      </c>
      <c r="BA42" s="106" t="str">
        <f>IFERROR((TP_DATA[[#This Row],[D, top]]+TP_DATA[[#This Row],[D, bottom]])/(2*TP_DATA[[#This Row],[t]]/1000),"")</f>
        <v/>
      </c>
      <c r="BC42" s="93">
        <v>23</v>
      </c>
      <c r="BD42" s="93">
        <v>24</v>
      </c>
      <c r="BE42" s="93">
        <v>-105</v>
      </c>
      <c r="BF42" s="93">
        <v>-110</v>
      </c>
      <c r="BG42" s="93">
        <v>11.5</v>
      </c>
      <c r="BH42" s="93">
        <v>11.5</v>
      </c>
      <c r="BI42" s="93">
        <v>100</v>
      </c>
      <c r="BQ42" s="93">
        <v>23</v>
      </c>
      <c r="BR42" s="93">
        <v>24</v>
      </c>
      <c r="BS42" s="93">
        <v>-45</v>
      </c>
      <c r="BT42" s="93">
        <v>-47.5</v>
      </c>
      <c r="BU42" s="93">
        <v>11.5</v>
      </c>
      <c r="BV42" s="93">
        <v>11.5</v>
      </c>
      <c r="BW42" s="93">
        <v>100</v>
      </c>
      <c r="BX42" s="106">
        <f>IFERROR(TOWER_DATA[[#This Row],[Top]]-TOWER_DATA[[#This Row],[Bottom]], "")</f>
        <v>2.5</v>
      </c>
      <c r="BY42" s="106">
        <f>IFERROR(-(TOWER_DATA[[#This Row],[D, top]]-TOWER_DATA[[#This Row],[D, bottom]])/(TOWER_DATA[[#This Row],[Top]]-TOWER_DATA[[#This Row],[Bottom]]),"")</f>
        <v>0</v>
      </c>
      <c r="BZ42" s="106">
        <f t="shared" si="1"/>
        <v>70.285281642437596</v>
      </c>
      <c r="CA42" s="106">
        <f>IFERROR((TOWER_DATA[[#This Row],[D, top]]+TOWER_DATA[[#This Row],[D, bottom]])/(2*TOWER_DATA[[#This Row],[t]]/1000),"")</f>
        <v>115</v>
      </c>
      <c r="CC42" s="93">
        <v>23</v>
      </c>
      <c r="CD42" s="93">
        <v>24</v>
      </c>
      <c r="CE42" s="93">
        <v>-45</v>
      </c>
      <c r="CF42" s="93">
        <v>-47.5</v>
      </c>
      <c r="CG42" s="93">
        <v>11.5</v>
      </c>
      <c r="CH42" s="93">
        <v>11.5</v>
      </c>
      <c r="CI42" s="93">
        <v>100</v>
      </c>
    </row>
    <row r="43" spans="2:87" x14ac:dyDescent="0.3">
      <c r="B43" s="101">
        <v>25</v>
      </c>
      <c r="C43" s="101">
        <v>-77.430000000000007</v>
      </c>
      <c r="D43" s="101">
        <v>-80.430000000000007</v>
      </c>
      <c r="E43" s="101">
        <v>11.5</v>
      </c>
      <c r="F43" s="101">
        <v>11.5</v>
      </c>
      <c r="G43" s="101">
        <v>122</v>
      </c>
      <c r="H43" s="106">
        <f>IFERROR(MP_DATA[[#This Row],[Bottom]]-MP_DATA[[#This Row],[D, top]], "")</f>
        <v>-91.93</v>
      </c>
      <c r="I43" s="106">
        <f>IFERROR(-(MP_DATA[[#This Row],[D, bottom]]-MP_DATA[[#This Row],[D, top]])/(MP_DATA[[#This Row],[Bottom]]-MP_DATA[[#This Row],[Top]]),"")</f>
        <v>0</v>
      </c>
      <c r="J43" s="106">
        <f>IF(7850/1000*(1/3)*PI()*ABS(C43-D43)*((E43/2)^2+(E43/2)*(F43/2)+(F43/2)^2-(E43/2-G43/1000)^2-(E43/2-G43/1000)*(F43/2-G43/1000)-(F43/2-G43/1000)^2)=0,"",7850/1000*(1/3)*PI()*ABS(C43-D43)*((E43/2)^2+(E43/2)*(F43/2)+(F43/2)^2-(E43/2-G43/1000)^2-(E43/2-G43/1000)*(F43/2-G43/1000)-(F43/2-G43/1000)^2))</f>
        <v>102.6990779077619</v>
      </c>
      <c r="K43" s="106">
        <f>IFERROR((MP_DATA[[#This Row],[D, bottom]]+MP_DATA[[#This Row],[D, top]])/(2*MP_DATA[[#This Row],[t]]/1000),"")</f>
        <v>94.26229508196721</v>
      </c>
      <c r="L43" s="106" t="str">
        <f>IFERROR((MP_DATA[[#This Row],[D, bottom]]+#REF!)/(2*#REF!/1000),"")</f>
        <v/>
      </c>
      <c r="U43" s="107">
        <v>25</v>
      </c>
      <c r="V43" s="107">
        <v>-77.430000000000007</v>
      </c>
      <c r="W43" s="107">
        <v>-80.430000000000007</v>
      </c>
      <c r="X43" s="107">
        <v>11.5</v>
      </c>
      <c r="Y43" s="107">
        <v>11.5</v>
      </c>
      <c r="Z43" s="107">
        <v>122</v>
      </c>
      <c r="AQ43" s="107"/>
      <c r="AR43" s="107"/>
      <c r="AS43" s="107"/>
      <c r="AT43" s="107"/>
      <c r="AU43" s="107"/>
      <c r="AV43" s="107"/>
      <c r="AW43" s="107"/>
      <c r="AX43" s="106">
        <f>IFERROR(TP_DATA[[#This Row],[Top]]-TP_DATA[[#This Row],[Bottom]], "")</f>
        <v>0</v>
      </c>
      <c r="AY43" s="106" t="str">
        <f>IFERROR(-(TP_DATA[[#This Row],[D, top]]-TP_DATA[[#This Row],[D, bottom]])/(TP_DATA[[#This Row],[Top]]-TP_DATA[[#This Row],[Bottom]]),"")</f>
        <v/>
      </c>
      <c r="AZ43" s="106" t="str">
        <f t="shared" si="0"/>
        <v/>
      </c>
      <c r="BA43" s="106" t="str">
        <f>IFERROR((TP_DATA[[#This Row],[D, top]]+TP_DATA[[#This Row],[D, bottom]])/(2*TP_DATA[[#This Row],[t]]/1000),"")</f>
        <v/>
      </c>
      <c r="BC43" s="93">
        <v>24</v>
      </c>
      <c r="BD43" s="93">
        <v>25</v>
      </c>
      <c r="BE43" s="93">
        <v>-110</v>
      </c>
      <c r="BF43" s="93">
        <v>-115</v>
      </c>
      <c r="BG43" s="93">
        <v>11.5</v>
      </c>
      <c r="BH43" s="93">
        <v>11.5</v>
      </c>
      <c r="BI43" s="93">
        <v>105</v>
      </c>
      <c r="BQ43" s="93">
        <v>24</v>
      </c>
      <c r="BR43" s="93">
        <v>25</v>
      </c>
      <c r="BS43" s="93">
        <v>-47.5</v>
      </c>
      <c r="BT43" s="93">
        <v>-50</v>
      </c>
      <c r="BU43" s="93">
        <v>11.5</v>
      </c>
      <c r="BV43" s="93">
        <v>11.5</v>
      </c>
      <c r="BW43" s="93">
        <v>105</v>
      </c>
      <c r="BX43" s="106">
        <f>IFERROR(TOWER_DATA[[#This Row],[Top]]-TOWER_DATA[[#This Row],[Bottom]], "")</f>
        <v>2.5</v>
      </c>
      <c r="BY43" s="106">
        <f>IFERROR(-(TOWER_DATA[[#This Row],[D, top]]-TOWER_DATA[[#This Row],[D, bottom]])/(TOWER_DATA[[#This Row],[Top]]-TOWER_DATA[[#This Row],[Bottom]]),"")</f>
        <v>0</v>
      </c>
      <c r="BZ43" s="106">
        <f t="shared" si="1"/>
        <v>73.767177502750826</v>
      </c>
      <c r="CA43" s="106">
        <f>IFERROR((TOWER_DATA[[#This Row],[D, top]]+TOWER_DATA[[#This Row],[D, bottom]])/(2*TOWER_DATA[[#This Row],[t]]/1000),"")</f>
        <v>109.52380952380953</v>
      </c>
      <c r="CC43" s="93">
        <v>24</v>
      </c>
      <c r="CD43" s="93">
        <v>25</v>
      </c>
      <c r="CE43" s="93">
        <v>-47.5</v>
      </c>
      <c r="CF43" s="93">
        <v>-50</v>
      </c>
      <c r="CG43" s="93">
        <v>11.5</v>
      </c>
      <c r="CH43" s="93">
        <v>11.5</v>
      </c>
      <c r="CI43" s="93">
        <v>105</v>
      </c>
    </row>
    <row r="44" spans="2:87" x14ac:dyDescent="0.3">
      <c r="H44" s="106" t="str">
        <f>IFERROR(MP_DATA[[#This Row],[Bottom]]-MP_DATA[[#This Row],[D, top]], "")</f>
        <v/>
      </c>
      <c r="I44" s="106" t="str">
        <f>IFERROR(-(MP_DATA[[#This Row],[D, bottom]]-MP_DATA[[#This Row],[D, top]])/(MP_DATA[[#This Row],[Bottom]]-MP_DATA[[#This Row],[Top]]),"")</f>
        <v/>
      </c>
      <c r="J44" s="106" t="str">
        <f>IF(7850/1000*(1/3)*PI()*ABS(C44-D44)*((E44/2)^2+(E44/2)*(F44/2)+(F44/2)^2-(E44/2-G44/1000)^2-(E44/2-G44/1000)*(F44/2-G44/1000)-(F44/2-G44/1000)^2)=0,"",7850/1000*(1/3)*PI()*ABS(C44-D44)*((E44/2)^2+(E44/2)*(F44/2)+(F44/2)^2-(E44/2-G44/1000)^2-(E44/2-G44/1000)*(F44/2-G44/1000)-(F44/2-G44/1000)^2))</f>
        <v/>
      </c>
      <c r="K44" s="106" t="str">
        <f>IFERROR((MP_DATA[[#This Row],[D, bottom]]+MP_DATA[[#This Row],[D, top]])/(2*MP_DATA[[#This Row],[t]]/1000),"")</f>
        <v/>
      </c>
      <c r="L44" s="106" t="str">
        <f>IFERROR((MP_DATA[[#This Row],[D, bottom]]+#REF!)/(2*#REF!/1000),"")</f>
        <v/>
      </c>
      <c r="AX44" s="106" t="str">
        <f>IFERROR(TP_DATA[[#This Row],[Top]]-TP_DATA[[#This Row],[Bottom]], "")</f>
        <v/>
      </c>
      <c r="AY44" s="106" t="str">
        <f>IFERROR(-(TP_DATA[[#This Row],[D, top]]-TP_DATA[[#This Row],[D, bottom]])/(TP_DATA[[#This Row],[Top]]-TP_DATA[[#This Row],[Bottom]]),"")</f>
        <v/>
      </c>
      <c r="AZ44" s="106" t="str">
        <f t="shared" si="0"/>
        <v/>
      </c>
      <c r="BA44" s="106" t="str">
        <f>IFERROR((TP_DATA[[#This Row],[D, top]]+TP_DATA[[#This Row],[D, bottom]])/(2*TP_DATA[[#This Row],[t]]/1000),"")</f>
        <v/>
      </c>
      <c r="BX44" s="106" t="str">
        <f>IFERROR(TOWER_DATA[[#This Row],[Top]]-TOWER_DATA[[#This Row],[Bottom]], "")</f>
        <v/>
      </c>
      <c r="BY44" s="106" t="str">
        <f>IFERROR(-(TOWER_DATA[[#This Row],[D, top]]-TOWER_DATA[[#This Row],[D, bottom]])/(TOWER_DATA[[#This Row],[Top]]-TOWER_DATA[[#This Row],[Bottom]]),"")</f>
        <v/>
      </c>
      <c r="BZ44" s="106" t="str">
        <f t="shared" si="1"/>
        <v/>
      </c>
      <c r="CA44" s="106" t="str">
        <f>IFERROR((TOWER_DATA[[#This Row],[D, top]]+TOWER_DATA[[#This Row],[D, bottom]])/(2*TOWER_DATA[[#This Row],[t]]/1000),"")</f>
        <v/>
      </c>
    </row>
    <row r="45" spans="2:87" x14ac:dyDescent="0.3">
      <c r="H45" s="106" t="str">
        <f>IFERROR(MP_DATA[[#This Row],[Bottom]]-MP_DATA[[#This Row],[D, top]], "")</f>
        <v/>
      </c>
      <c r="I45" s="106" t="str">
        <f>IFERROR(-(MP_DATA[[#This Row],[D, bottom]]-MP_DATA[[#This Row],[D, top]])/(MP_DATA[[#This Row],[Bottom]]-MP_DATA[[#This Row],[Top]]),"")</f>
        <v/>
      </c>
      <c r="J45" s="106" t="str">
        <f>IF(7850/1000*(1/3)*PI()*ABS(C45-D45)*((E45/2)^2+(E45/2)*(F45/2)+(F45/2)^2-(E45/2-G45/1000)^2-(E45/2-G45/1000)*(F45/2-G45/1000)-(F45/2-G45/1000)^2)=0,"",7850/1000*(1/3)*PI()*ABS(C45-D45)*((E45/2)^2+(E45/2)*(F45/2)+(F45/2)^2-(E45/2-G45/1000)^2-(E45/2-G45/1000)*(F45/2-G45/1000)-(F45/2-G45/1000)^2))</f>
        <v/>
      </c>
      <c r="K45" s="106" t="str">
        <f>IFERROR((MP_DATA[[#This Row],[D, bottom]]+MP_DATA[[#This Row],[D, top]])/(2*MP_DATA[[#This Row],[t]]/1000),"")</f>
        <v/>
      </c>
      <c r="L45" s="106" t="str">
        <f>IFERROR((MP_DATA[[#This Row],[D, bottom]]+#REF!)/(2*#REF!/1000),"")</f>
        <v/>
      </c>
      <c r="AX45" s="106" t="str">
        <f>IFERROR(TP_DATA[[#This Row],[Top]]-TP_DATA[[#This Row],[Bottom]], "")</f>
        <v/>
      </c>
      <c r="AY45" s="106" t="str">
        <f>IFERROR(-(TP_DATA[[#This Row],[D, top]]-TP_DATA[[#This Row],[D, bottom]])/(TP_DATA[[#This Row],[Top]]-TP_DATA[[#This Row],[Bottom]]),"")</f>
        <v/>
      </c>
      <c r="AZ45" s="106" t="str">
        <f t="shared" si="0"/>
        <v/>
      </c>
      <c r="BA45" s="106" t="str">
        <f>IFERROR((TP_DATA[[#This Row],[D, top]]+TP_DATA[[#This Row],[D, bottom]])/(2*TP_DATA[[#This Row],[t]]/1000),"")</f>
        <v/>
      </c>
      <c r="BX45" s="106" t="str">
        <f>IFERROR(TOWER_DATA[[#This Row],[Top]]-TOWER_DATA[[#This Row],[Bottom]], "")</f>
        <v/>
      </c>
      <c r="BY45" s="106" t="str">
        <f>IFERROR(-(TOWER_DATA[[#This Row],[D, top]]-TOWER_DATA[[#This Row],[D, bottom]])/(TOWER_DATA[[#This Row],[Top]]-TOWER_DATA[[#This Row],[Bottom]]),"")</f>
        <v/>
      </c>
      <c r="BZ45" s="106" t="str">
        <f t="shared" si="1"/>
        <v/>
      </c>
      <c r="CA45" s="106" t="str">
        <f>IFERROR((TOWER_DATA[[#This Row],[D, top]]+TOWER_DATA[[#This Row],[D, bottom]])/(2*TOWER_DATA[[#This Row],[t]]/1000),"")</f>
        <v/>
      </c>
    </row>
    <row r="46" spans="2:87" x14ac:dyDescent="0.3">
      <c r="H46" s="106" t="str">
        <f>IFERROR(MP_DATA[[#This Row],[Bottom]]-MP_DATA[[#This Row],[D, top]], "")</f>
        <v/>
      </c>
      <c r="I46" s="106" t="str">
        <f>IFERROR(-(MP_DATA[[#This Row],[D, bottom]]-MP_DATA[[#This Row],[D, top]])/(MP_DATA[[#This Row],[Bottom]]-MP_DATA[[#This Row],[Top]]),"")</f>
        <v/>
      </c>
      <c r="J46" s="106" t="str">
        <f>IF(7850/1000*(1/3)*PI()*ABS(C46-D46)*((E46/2)^2+(E46/2)*(F46/2)+(F46/2)^2-(E46/2-G46/1000)^2-(E46/2-G46/1000)*(F46/2-G46/1000)-(F46/2-G46/1000)^2)=0,"",7850/1000*(1/3)*PI()*ABS(C46-D46)*((E46/2)^2+(E46/2)*(F46/2)+(F46/2)^2-(E46/2-G46/1000)^2-(E46/2-G46/1000)*(F46/2-G46/1000)-(F46/2-G46/1000)^2))</f>
        <v/>
      </c>
      <c r="K46" s="106" t="str">
        <f>IFERROR((MP_DATA[[#This Row],[D, bottom]]+MP_DATA[[#This Row],[D, top]])/(2*MP_DATA[[#This Row],[t]]/1000),"")</f>
        <v/>
      </c>
      <c r="L46" s="106" t="str">
        <f>IFERROR((MP_DATA[[#This Row],[D, bottom]]+#REF!)/(2*#REF!/1000),"")</f>
        <v/>
      </c>
      <c r="AX46" s="106" t="str">
        <f>IFERROR(TP_DATA[[#This Row],[Top]]-TP_DATA[[#This Row],[Bottom]], "")</f>
        <v/>
      </c>
      <c r="AY46" s="106" t="str">
        <f>IFERROR(-(TP_DATA[[#This Row],[D, top]]-TP_DATA[[#This Row],[D, bottom]])/(TP_DATA[[#This Row],[Top]]-TP_DATA[[#This Row],[Bottom]]),"")</f>
        <v/>
      </c>
      <c r="AZ46" s="106" t="str">
        <f t="shared" si="0"/>
        <v/>
      </c>
      <c r="BA46" s="106" t="str">
        <f>IFERROR((TP_DATA[[#This Row],[D, top]]+TP_DATA[[#This Row],[D, bottom]])/(2*TP_DATA[[#This Row],[t]]/1000),"")</f>
        <v/>
      </c>
      <c r="BX46" s="106" t="str">
        <f>IFERROR(TOWER_DATA[[#This Row],[Top]]-TOWER_DATA[[#This Row],[Bottom]], "")</f>
        <v/>
      </c>
      <c r="BY46" s="106" t="str">
        <f>IFERROR(-(TOWER_DATA[[#This Row],[D, top]]-TOWER_DATA[[#This Row],[D, bottom]])/(TOWER_DATA[[#This Row],[Top]]-TOWER_DATA[[#This Row],[Bottom]]),"")</f>
        <v/>
      </c>
      <c r="BZ46" s="106" t="str">
        <f t="shared" si="1"/>
        <v/>
      </c>
      <c r="CA46" s="106" t="str">
        <f>IFERROR((TOWER_DATA[[#This Row],[D, top]]+TOWER_DATA[[#This Row],[D, bottom]])/(2*TOWER_DATA[[#This Row],[t]]/1000),"")</f>
        <v/>
      </c>
    </row>
    <row r="47" spans="2:87" x14ac:dyDescent="0.3">
      <c r="H47" s="106" t="str">
        <f>IFERROR(MP_DATA[[#This Row],[Bottom]]-MP_DATA[[#This Row],[D, top]], "")</f>
        <v/>
      </c>
      <c r="I47" s="106" t="str">
        <f>IFERROR(-(MP_DATA[[#This Row],[D, bottom]]-MP_DATA[[#This Row],[D, top]])/(MP_DATA[[#This Row],[Bottom]]-MP_DATA[[#This Row],[Top]]),"")</f>
        <v/>
      </c>
      <c r="J47" s="106" t="str">
        <f>IF(7850/1000*(1/3)*PI()*ABS(C47-D47)*((E47/2)^2+(E47/2)*(F47/2)+(F47/2)^2-(E47/2-G47/1000)^2-(E47/2-G47/1000)*(F47/2-G47/1000)-(F47/2-G47/1000)^2)=0,"",7850/1000*(1/3)*PI()*ABS(C47-D47)*((E47/2)^2+(E47/2)*(F47/2)+(F47/2)^2-(E47/2-G47/1000)^2-(E47/2-G47/1000)*(F47/2-G47/1000)-(F47/2-G47/1000)^2))</f>
        <v/>
      </c>
      <c r="K47" s="106" t="str">
        <f>IFERROR((MP_DATA[[#This Row],[D, bottom]]+MP_DATA[[#This Row],[D, top]])/(2*MP_DATA[[#This Row],[t]]/1000),"")</f>
        <v/>
      </c>
      <c r="L47" s="106" t="str">
        <f>IFERROR((MP_DATA[[#This Row],[D, bottom]]+#REF!)/(2*#REF!/1000),"")</f>
        <v/>
      </c>
      <c r="AX47" s="106" t="str">
        <f>IFERROR(TP_DATA[[#This Row],[Top]]-TP_DATA[[#This Row],[Bottom]], "")</f>
        <v/>
      </c>
      <c r="AY47" s="106" t="str">
        <f>IFERROR(-(TP_DATA[[#This Row],[D, top]]-TP_DATA[[#This Row],[D, bottom]])/(TP_DATA[[#This Row],[Top]]-TP_DATA[[#This Row],[Bottom]]),"")</f>
        <v/>
      </c>
      <c r="AZ47" s="106" t="str">
        <f t="shared" si="0"/>
        <v/>
      </c>
      <c r="BA47" s="106" t="str">
        <f>IFERROR((TP_DATA[[#This Row],[D, top]]+TP_DATA[[#This Row],[D, bottom]])/(2*TP_DATA[[#This Row],[t]]/1000),"")</f>
        <v/>
      </c>
      <c r="BX47" s="106" t="str">
        <f>IFERROR(TOWER_DATA[[#This Row],[Top]]-TOWER_DATA[[#This Row],[Bottom]], "")</f>
        <v/>
      </c>
      <c r="BY47" s="106" t="str">
        <f>IFERROR(-(TOWER_DATA[[#This Row],[D, top]]-TOWER_DATA[[#This Row],[D, bottom]])/(TOWER_DATA[[#This Row],[Top]]-TOWER_DATA[[#This Row],[Bottom]]),"")</f>
        <v/>
      </c>
      <c r="BZ47" s="106" t="str">
        <f t="shared" si="1"/>
        <v/>
      </c>
      <c r="CA47" s="106" t="str">
        <f>IFERROR((TOWER_DATA[[#This Row],[D, top]]+TOWER_DATA[[#This Row],[D, bottom]])/(2*TOWER_DATA[[#This Row],[t]]/1000),"")</f>
        <v/>
      </c>
    </row>
    <row r="48" spans="2:87" x14ac:dyDescent="0.3">
      <c r="H48" s="106" t="str">
        <f>IFERROR(MP_DATA[[#This Row],[Bottom]]-MP_DATA[[#This Row],[D, top]], "")</f>
        <v/>
      </c>
      <c r="I48" s="106" t="str">
        <f>IFERROR(-(MP_DATA[[#This Row],[D, bottom]]-MP_DATA[[#This Row],[D, top]])/(MP_DATA[[#This Row],[Bottom]]-MP_DATA[[#This Row],[Top]]),"")</f>
        <v/>
      </c>
      <c r="J48" s="106" t="str">
        <f>IF(7850/1000*(1/3)*PI()*ABS(C48-D48)*((E48/2)^2+(E48/2)*(F48/2)+(F48/2)^2-(E48/2-G48/1000)^2-(E48/2-G48/1000)*(F48/2-G48/1000)-(F48/2-G48/1000)^2)=0,"",7850/1000*(1/3)*PI()*ABS(C48-D48)*((E48/2)^2+(E48/2)*(F48/2)+(F48/2)^2-(E48/2-G48/1000)^2-(E48/2-G48/1000)*(F48/2-G48/1000)-(F48/2-G48/1000)^2))</f>
        <v/>
      </c>
      <c r="K48" s="106" t="str">
        <f>IFERROR((MP_DATA[[#This Row],[D, bottom]]+MP_DATA[[#This Row],[D, top]])/(2*MP_DATA[[#This Row],[t]]/1000),"")</f>
        <v/>
      </c>
      <c r="L48" s="106"/>
      <c r="AX48" s="106" t="str">
        <f>IFERROR(TP_DATA[[#This Row],[Top]]-TP_DATA[[#This Row],[Bottom]], "")</f>
        <v/>
      </c>
      <c r="AY48" s="106" t="str">
        <f>IFERROR(-(TP_DATA[[#This Row],[D, top]]-TP_DATA[[#This Row],[D, bottom]])/(TP_DATA[[#This Row],[Top]]-TP_DATA[[#This Row],[Bottom]]),"")</f>
        <v/>
      </c>
      <c r="AZ48" s="106" t="str">
        <f t="shared" si="0"/>
        <v/>
      </c>
      <c r="BA48" s="106" t="str">
        <f>IFERROR((TP_DATA[[#This Row],[D, top]]+TP_DATA[[#This Row],[D, bottom]])/(2*TP_DATA[[#This Row],[t]]/1000),"")</f>
        <v/>
      </c>
      <c r="BX48" s="106" t="str">
        <f>IFERROR(TOWER_DATA[[#This Row],[Top]]-TOWER_DATA[[#This Row],[Bottom]], "")</f>
        <v/>
      </c>
      <c r="BY48" s="106" t="str">
        <f>IFERROR(-(TOWER_DATA[[#This Row],[D, top]]-TOWER_DATA[[#This Row],[D, bottom]])/(TOWER_DATA[[#This Row],[Top]]-TOWER_DATA[[#This Row],[Bottom]]),"")</f>
        <v/>
      </c>
      <c r="BZ48" s="106" t="str">
        <f t="shared" si="1"/>
        <v/>
      </c>
      <c r="CA48" s="106" t="str">
        <f>IFERROR((TOWER_DATA[[#This Row],[D, top]]+TOWER_DATA[[#This Row],[D, bottom]])/(2*TOWER_DATA[[#This Row],[t]]/1000),"")</f>
        <v/>
      </c>
    </row>
    <row r="49" spans="8:79" x14ac:dyDescent="0.3">
      <c r="H49" s="106" t="str">
        <f>IFERROR(MP_DATA[[#This Row],[Bottom]]-MP_DATA[[#This Row],[D, top]], "")</f>
        <v/>
      </c>
      <c r="I49" s="106" t="str">
        <f>IFERROR(-(MP_DATA[[#This Row],[D, bottom]]-MP_DATA[[#This Row],[D, top]])/(MP_DATA[[#This Row],[Bottom]]-MP_DATA[[#This Row],[Top]]),"")</f>
        <v/>
      </c>
      <c r="J49" s="106" t="str">
        <f>IF(7850/1000*(1/3)*PI()*ABS(C49-D49)*((E49/2)^2+(E49/2)*(F49/2)+(F49/2)^2-(E49/2-G49/1000)^2-(E49/2-G49/1000)*(F49/2-G49/1000)-(F49/2-G49/1000)^2)=0,"",7850/1000*(1/3)*PI()*ABS(C49-D49)*((E49/2)^2+(E49/2)*(F49/2)+(F49/2)^2-(E49/2-G49/1000)^2-(E49/2-G49/1000)*(F49/2-G49/1000)-(F49/2-G49/1000)^2))</f>
        <v/>
      </c>
      <c r="K49" s="106" t="str">
        <f>IFERROR((MP_DATA[[#This Row],[D, bottom]]+MP_DATA[[#This Row],[D, top]])/(2*MP_DATA[[#This Row],[t]]/1000),"")</f>
        <v/>
      </c>
      <c r="L49" s="106"/>
      <c r="AX49" s="106" t="str">
        <f>IFERROR(TP_DATA[[#This Row],[Top]]-TP_DATA[[#This Row],[Bottom]], "")</f>
        <v/>
      </c>
      <c r="AY49" s="106" t="str">
        <f>IFERROR(-(TP_DATA[[#This Row],[D, top]]-TP_DATA[[#This Row],[D, bottom]])/(TP_DATA[[#This Row],[Top]]-TP_DATA[[#This Row],[Bottom]]),"")</f>
        <v/>
      </c>
      <c r="AZ49" s="106" t="str">
        <f t="shared" si="0"/>
        <v/>
      </c>
      <c r="BA49" s="106" t="str">
        <f>IFERROR((TP_DATA[[#This Row],[D, top]]+TP_DATA[[#This Row],[D, bottom]])/(2*TP_DATA[[#This Row],[t]]/1000),"")</f>
        <v/>
      </c>
      <c r="BX49" s="106" t="str">
        <f>IFERROR(TOWER_DATA[[#This Row],[Top]]-TOWER_DATA[[#This Row],[Bottom]], "")</f>
        <v/>
      </c>
      <c r="BY49" s="106" t="str">
        <f>IFERROR(-(TOWER_DATA[[#This Row],[D, top]]-TOWER_DATA[[#This Row],[D, bottom]])/(TOWER_DATA[[#This Row],[Top]]-TOWER_DATA[[#This Row],[Bottom]]),"")</f>
        <v/>
      </c>
      <c r="BZ49" s="106" t="str">
        <f t="shared" si="1"/>
        <v/>
      </c>
      <c r="CA49" s="106" t="str">
        <f>IFERROR((TOWER_DATA[[#This Row],[D, top]]+TOWER_DATA[[#This Row],[D, bottom]])/(2*TOWER_DATA[[#This Row],[t]]/1000),"")</f>
        <v/>
      </c>
    </row>
    <row r="50" spans="8:79" x14ac:dyDescent="0.3">
      <c r="H50" s="106" t="str">
        <f>IFERROR(MP_DATA[[#This Row],[Bottom]]-MP_DATA[[#This Row],[D, top]], "")</f>
        <v/>
      </c>
      <c r="I50" s="106" t="str">
        <f>IFERROR(-(MP_DATA[[#This Row],[D, bottom]]-MP_DATA[[#This Row],[D, top]])/(MP_DATA[[#This Row],[Bottom]]-MP_DATA[[#This Row],[Top]]),"")</f>
        <v/>
      </c>
      <c r="J50" s="106" t="str">
        <f>IF(7850/1000*(1/3)*PI()*ABS(C50-D50)*((E50/2)^2+(E50/2)*(F50/2)+(F50/2)^2-(E50/2-G50/1000)^2-(E50/2-G50/1000)*(F50/2-G50/1000)-(F50/2-G50/1000)^2)=0,"",7850/1000*(1/3)*PI()*ABS(C50-D50)*((E50/2)^2+(E50/2)*(F50/2)+(F50/2)^2-(E50/2-G50/1000)^2-(E50/2-G50/1000)*(F50/2-G50/1000)-(F50/2-G50/1000)^2))</f>
        <v/>
      </c>
      <c r="K50" s="106" t="str">
        <f>IFERROR((MP_DATA[[#This Row],[D, bottom]]+MP_DATA[[#This Row],[D, top]])/(2*MP_DATA[[#This Row],[t]]/1000),"")</f>
        <v/>
      </c>
      <c r="L50" s="106"/>
      <c r="AX50" s="106" t="str">
        <f>IFERROR(TP_DATA[[#This Row],[Top]]-TP_DATA[[#This Row],[Bottom]], "")</f>
        <v/>
      </c>
      <c r="AY50" s="106" t="str">
        <f>IFERROR(-(TP_DATA[[#This Row],[D, top]]-TP_DATA[[#This Row],[D, bottom]])/(TP_DATA[[#This Row],[Top]]-TP_DATA[[#This Row],[Bottom]]),"")</f>
        <v/>
      </c>
      <c r="AZ50" s="106" t="str">
        <f t="shared" si="0"/>
        <v/>
      </c>
      <c r="BA50" s="106" t="str">
        <f>IFERROR((TP_DATA[[#This Row],[D, top]]+TP_DATA[[#This Row],[D, bottom]])/(2*TP_DATA[[#This Row],[t]]/1000),"")</f>
        <v/>
      </c>
      <c r="BX50" s="106" t="str">
        <f>IFERROR(TOWER_DATA[[#This Row],[Top]]-TOWER_DATA[[#This Row],[Bottom]], "")</f>
        <v/>
      </c>
      <c r="BY50" s="106" t="str">
        <f>IFERROR(-(TOWER_DATA[[#This Row],[D, top]]-TOWER_DATA[[#This Row],[D, bottom]])/(TOWER_DATA[[#This Row],[Top]]-TOWER_DATA[[#This Row],[Bottom]]),"")</f>
        <v/>
      </c>
      <c r="BZ50" s="106" t="str">
        <f t="shared" si="1"/>
        <v/>
      </c>
      <c r="CA50" s="106" t="str">
        <f>IFERROR((TOWER_DATA[[#This Row],[D, top]]+TOWER_DATA[[#This Row],[D, bottom]])/(2*TOWER_DATA[[#This Row],[t]]/1000),"")</f>
        <v/>
      </c>
    </row>
    <row r="51" spans="8:79" x14ac:dyDescent="0.3">
      <c r="H51" s="106" t="str">
        <f>IFERROR(MP_DATA[[#This Row],[Bottom]]-MP_DATA[[#This Row],[D, top]], "")</f>
        <v/>
      </c>
      <c r="I51" s="106" t="str">
        <f>IFERROR(-(MP_DATA[[#This Row],[D, bottom]]-MP_DATA[[#This Row],[D, top]])/(MP_DATA[[#This Row],[Bottom]]-MP_DATA[[#This Row],[Top]]),"")</f>
        <v/>
      </c>
      <c r="J51" s="106" t="str">
        <f>IF(7850/1000*(1/3)*PI()*ABS(C51-D51)*((E51/2)^2+(E51/2)*(F51/2)+(F51/2)^2-(E51/2-G51/1000)^2-(E51/2-G51/1000)*(F51/2-G51/1000)-(F51/2-G51/1000)^2)=0,"",7850/1000*(1/3)*PI()*ABS(C51-D51)*((E51/2)^2+(E51/2)*(F51/2)+(F51/2)^2-(E51/2-G51/1000)^2-(E51/2-G51/1000)*(F51/2-G51/1000)-(F51/2-G51/1000)^2))</f>
        <v/>
      </c>
      <c r="K51" s="106" t="str">
        <f>IFERROR((MP_DATA[[#This Row],[D, bottom]]+MP_DATA[[#This Row],[D, top]])/(2*MP_DATA[[#This Row],[t]]/1000),"")</f>
        <v/>
      </c>
      <c r="L51" s="106"/>
      <c r="AX51" s="106" t="str">
        <f>IFERROR(TP_DATA[[#This Row],[Top]]-TP_DATA[[#This Row],[Bottom]], "")</f>
        <v/>
      </c>
      <c r="AY51" s="106" t="str">
        <f>IFERROR(-(TP_DATA[[#This Row],[D, top]]-TP_DATA[[#This Row],[D, bottom]])/(TP_DATA[[#This Row],[Top]]-TP_DATA[[#This Row],[Bottom]]),"")</f>
        <v/>
      </c>
      <c r="AZ51" s="106" t="str">
        <f t="shared" si="0"/>
        <v/>
      </c>
      <c r="BA51" s="106" t="str">
        <f>IFERROR((TP_DATA[[#This Row],[D, top]]+TP_DATA[[#This Row],[D, bottom]])/(2*TP_DATA[[#This Row],[t]]/1000),"")</f>
        <v/>
      </c>
      <c r="BX51" s="106" t="str">
        <f>IFERROR(TOWER_DATA[[#This Row],[Top]]-TOWER_DATA[[#This Row],[Bottom]], "")</f>
        <v/>
      </c>
      <c r="BY51" s="106" t="str">
        <f>IFERROR(-(TOWER_DATA[[#This Row],[D, top]]-TOWER_DATA[[#This Row],[D, bottom]])/(TOWER_DATA[[#This Row],[Top]]-TOWER_DATA[[#This Row],[Bottom]]),"")</f>
        <v/>
      </c>
      <c r="BZ51" s="106" t="str">
        <f t="shared" si="1"/>
        <v/>
      </c>
      <c r="CA51" s="106" t="str">
        <f>IFERROR((TOWER_DATA[[#This Row],[D, top]]+TOWER_DATA[[#This Row],[D, bottom]])/(2*TOWER_DATA[[#This Row],[t]]/1000),"")</f>
        <v/>
      </c>
    </row>
    <row r="52" spans="8:79" x14ac:dyDescent="0.3">
      <c r="H52" s="106" t="str">
        <f>IFERROR(MP_DATA[[#This Row],[Bottom]]-MP_DATA[[#This Row],[D, top]], "")</f>
        <v/>
      </c>
      <c r="I52" s="106" t="str">
        <f>IFERROR(-(MP_DATA[[#This Row],[D, bottom]]-MP_DATA[[#This Row],[D, top]])/(MP_DATA[[#This Row],[Bottom]]-MP_DATA[[#This Row],[Top]]),"")</f>
        <v/>
      </c>
      <c r="J52" s="106" t="str">
        <f>IF(7850/1000*(1/3)*PI()*ABS(C52-D52)*((E52/2)^2+(E52/2)*(F52/2)+(F52/2)^2-(E52/2-G52/1000)^2-(E52/2-G52/1000)*(F52/2-G52/1000)-(F52/2-G52/1000)^2)=0,"",7850/1000*(1/3)*PI()*ABS(C52-D52)*((E52/2)^2+(E52/2)*(F52/2)+(F52/2)^2-(E52/2-G52/1000)^2-(E52/2-G52/1000)*(F52/2-G52/1000)-(F52/2-G52/1000)^2))</f>
        <v/>
      </c>
      <c r="K52" s="106" t="str">
        <f>IFERROR((MP_DATA[[#This Row],[D, bottom]]+MP_DATA[[#This Row],[D, top]])/(2*MP_DATA[[#This Row],[t]]/1000),"")</f>
        <v/>
      </c>
      <c r="L52" s="106"/>
      <c r="AX52" s="106" t="str">
        <f>IFERROR(TP_DATA[[#This Row],[Top]]-TP_DATA[[#This Row],[Bottom]], "")</f>
        <v/>
      </c>
      <c r="AY52" s="106" t="str">
        <f>IFERROR(-(TP_DATA[[#This Row],[D, top]]-TP_DATA[[#This Row],[D, bottom]])/(TP_DATA[[#This Row],[Top]]-TP_DATA[[#This Row],[Bottom]]),"")</f>
        <v/>
      </c>
      <c r="AZ52" s="106" t="str">
        <f t="shared" si="0"/>
        <v/>
      </c>
      <c r="BA52" s="106" t="str">
        <f>IFERROR((TP_DATA[[#This Row],[D, top]]+TP_DATA[[#This Row],[D, bottom]])/(2*TP_DATA[[#This Row],[t]]/1000),"")</f>
        <v/>
      </c>
      <c r="BX52" s="106" t="str">
        <f>IFERROR(TOWER_DATA[[#This Row],[Top]]-TOWER_DATA[[#This Row],[Bottom]], "")</f>
        <v/>
      </c>
      <c r="BY52" s="106" t="str">
        <f>IFERROR(-(TOWER_DATA[[#This Row],[D, top]]-TOWER_DATA[[#This Row],[D, bottom]])/(TOWER_DATA[[#This Row],[Top]]-TOWER_DATA[[#This Row],[Bottom]]),"")</f>
        <v/>
      </c>
      <c r="BZ52" s="106" t="str">
        <f t="shared" si="1"/>
        <v/>
      </c>
      <c r="CA52" s="106" t="str">
        <f>IFERROR((TOWER_DATA[[#This Row],[D, top]]+TOWER_DATA[[#This Row],[D, bottom]])/(2*TOWER_DATA[[#This Row],[t]]/1000),"")</f>
        <v/>
      </c>
    </row>
    <row r="53" spans="8:79" x14ac:dyDescent="0.3">
      <c r="H53" s="106" t="str">
        <f>IFERROR(MP_DATA[[#This Row],[Bottom]]-MP_DATA[[#This Row],[D, top]], "")</f>
        <v/>
      </c>
      <c r="I53" s="106" t="str">
        <f>IFERROR(-(MP_DATA[[#This Row],[D, bottom]]-MP_DATA[[#This Row],[D, top]])/(MP_DATA[[#This Row],[Bottom]]-MP_DATA[[#This Row],[Top]]),"")</f>
        <v/>
      </c>
      <c r="J53" s="106" t="str">
        <f>IF(7850/1000*(1/3)*PI()*ABS(C53-D53)*((E53/2)^2+(E53/2)*(F53/2)+(F53/2)^2-(E53/2-G53/1000)^2-(E53/2-G53/1000)*(F53/2-G53/1000)-(F53/2-G53/1000)^2)=0,"",7850/1000*(1/3)*PI()*ABS(C53-D53)*((E53/2)^2+(E53/2)*(F53/2)+(F53/2)^2-(E53/2-G53/1000)^2-(E53/2-G53/1000)*(F53/2-G53/1000)-(F53/2-G53/1000)^2))</f>
        <v/>
      </c>
      <c r="K53" s="106" t="str">
        <f>IFERROR((MP_DATA[[#This Row],[D, bottom]]+MP_DATA[[#This Row],[D, top]])/(2*MP_DATA[[#This Row],[t]]/1000),"")</f>
        <v/>
      </c>
      <c r="L53" s="106"/>
      <c r="AX53" s="106" t="str">
        <f>IFERROR(TP_DATA[[#This Row],[Top]]-TP_DATA[[#This Row],[Bottom]], "")</f>
        <v/>
      </c>
      <c r="AY53" s="106" t="str">
        <f>IFERROR(-(TP_DATA[[#This Row],[D, top]]-TP_DATA[[#This Row],[D, bottom]])/(TP_DATA[[#This Row],[Top]]-TP_DATA[[#This Row],[Bottom]]),"")</f>
        <v/>
      </c>
      <c r="AZ53" s="106" t="str">
        <f t="shared" si="0"/>
        <v/>
      </c>
      <c r="BA53" s="106" t="str">
        <f>IFERROR((TP_DATA[[#This Row],[D, top]]+TP_DATA[[#This Row],[D, bottom]])/(2*TP_DATA[[#This Row],[t]]/1000),"")</f>
        <v/>
      </c>
      <c r="BX53" s="106" t="str">
        <f>IFERROR(TOWER_DATA[[#This Row],[Top]]-TOWER_DATA[[#This Row],[Bottom]], "")</f>
        <v/>
      </c>
      <c r="BY53" s="106" t="str">
        <f>IFERROR(-(TOWER_DATA[[#This Row],[D, top]]-TOWER_DATA[[#This Row],[D, bottom]])/(TOWER_DATA[[#This Row],[Top]]-TOWER_DATA[[#This Row],[Bottom]]),"")</f>
        <v/>
      </c>
      <c r="BZ53" s="106" t="str">
        <f t="shared" si="1"/>
        <v/>
      </c>
      <c r="CA53" s="106" t="str">
        <f>IFERROR((TOWER_DATA[[#This Row],[D, top]]+TOWER_DATA[[#This Row],[D, bottom]])/(2*TOWER_DATA[[#This Row],[t]]/1000),"")</f>
        <v/>
      </c>
    </row>
    <row r="54" spans="8:79" x14ac:dyDescent="0.3">
      <c r="H54" s="106" t="str">
        <f>IFERROR(MP_DATA[[#This Row],[Bottom]]-MP_DATA[[#This Row],[D, top]], "")</f>
        <v/>
      </c>
      <c r="I54" s="106" t="str">
        <f>IFERROR(-(MP_DATA[[#This Row],[D, bottom]]-MP_DATA[[#This Row],[D, top]])/(MP_DATA[[#This Row],[Bottom]]-MP_DATA[[#This Row],[Top]]),"")</f>
        <v/>
      </c>
      <c r="J54" s="106" t="str">
        <f>IF(7850/1000*(1/3)*PI()*ABS(C54-D54)*((E54/2)^2+(E54/2)*(F54/2)+(F54/2)^2-(E54/2-G54/1000)^2-(E54/2-G54/1000)*(F54/2-G54/1000)-(F54/2-G54/1000)^2)=0,"",7850/1000*(1/3)*PI()*ABS(C54-D54)*((E54/2)^2+(E54/2)*(F54/2)+(F54/2)^2-(E54/2-G54/1000)^2-(E54/2-G54/1000)*(F54/2-G54/1000)-(F54/2-G54/1000)^2))</f>
        <v/>
      </c>
      <c r="K54" s="106" t="str">
        <f>IFERROR((MP_DATA[[#This Row],[D, bottom]]+MP_DATA[[#This Row],[D, top]])/(2*MP_DATA[[#This Row],[t]]/1000),"")</f>
        <v/>
      </c>
      <c r="L54" s="106"/>
      <c r="AX54" s="106" t="str">
        <f>IFERROR(TP_DATA[[#This Row],[Top]]-TP_DATA[[#This Row],[Bottom]], "")</f>
        <v/>
      </c>
      <c r="AY54" s="106" t="str">
        <f>IFERROR(-(TP_DATA[[#This Row],[D, top]]-TP_DATA[[#This Row],[D, bottom]])/(TP_DATA[[#This Row],[Top]]-TP_DATA[[#This Row],[Bottom]]),"")</f>
        <v/>
      </c>
      <c r="AZ54" s="106" t="str">
        <f t="shared" si="0"/>
        <v/>
      </c>
      <c r="BA54" s="106" t="str">
        <f>IFERROR((TP_DATA[[#This Row],[D, top]]+TP_DATA[[#This Row],[D, bottom]])/(2*TP_DATA[[#This Row],[t]]/1000),"")</f>
        <v/>
      </c>
      <c r="BX54" s="106" t="str">
        <f>IFERROR(TOWER_DATA[[#This Row],[Top]]-TOWER_DATA[[#This Row],[Bottom]], "")</f>
        <v/>
      </c>
      <c r="BY54" s="106" t="str">
        <f>IFERROR(-(TOWER_DATA[[#This Row],[D, top]]-TOWER_DATA[[#This Row],[D, bottom]])/(TOWER_DATA[[#This Row],[Top]]-TOWER_DATA[[#This Row],[Bottom]]),"")</f>
        <v/>
      </c>
      <c r="BZ54" s="106" t="str">
        <f t="shared" si="1"/>
        <v/>
      </c>
      <c r="CA54" s="106" t="str">
        <f>IFERROR((TOWER_DATA[[#This Row],[D, top]]+TOWER_DATA[[#This Row],[D, bottom]])/(2*TOWER_DATA[[#This Row],[t]]/1000),"")</f>
        <v/>
      </c>
    </row>
    <row r="55" spans="8:79" x14ac:dyDescent="0.3">
      <c r="H55" s="106" t="str">
        <f>IFERROR(MP_DATA[[#This Row],[Bottom]]-MP_DATA[[#This Row],[D, top]], "")</f>
        <v/>
      </c>
      <c r="I55" s="106" t="str">
        <f>IFERROR(-(MP_DATA[[#This Row],[D, bottom]]-MP_DATA[[#This Row],[D, top]])/(MP_DATA[[#This Row],[Bottom]]-MP_DATA[[#This Row],[Top]]),"")</f>
        <v/>
      </c>
      <c r="J55" s="106" t="str">
        <f>IF(7850/1000*(1/3)*PI()*ABS(C55-D55)*((E55/2)^2+(E55/2)*(F55/2)+(F55/2)^2-(E55/2-G55/1000)^2-(E55/2-G55/1000)*(F55/2-G55/1000)-(F55/2-G55/1000)^2)=0,"",7850/1000*(1/3)*PI()*ABS(C55-D55)*((E55/2)^2+(E55/2)*(F55/2)+(F55/2)^2-(E55/2-G55/1000)^2-(E55/2-G55/1000)*(F55/2-G55/1000)-(F55/2-G55/1000)^2))</f>
        <v/>
      </c>
      <c r="K55" s="106" t="str">
        <f>IFERROR((MP_DATA[[#This Row],[D, bottom]]+MP_DATA[[#This Row],[D, top]])/(2*MP_DATA[[#This Row],[t]]/1000),"")</f>
        <v/>
      </c>
      <c r="L55" s="106"/>
      <c r="AX55" s="106" t="str">
        <f>IFERROR(TP_DATA[[#This Row],[Top]]-TP_DATA[[#This Row],[Bottom]], "")</f>
        <v/>
      </c>
      <c r="AY55" s="106" t="str">
        <f>IFERROR(-(TP_DATA[[#This Row],[D, top]]-TP_DATA[[#This Row],[D, bottom]])/(TP_DATA[[#This Row],[Top]]-TP_DATA[[#This Row],[Bottom]]),"")</f>
        <v/>
      </c>
      <c r="AZ55" s="106" t="str">
        <f t="shared" si="0"/>
        <v/>
      </c>
      <c r="BA55" s="106" t="str">
        <f>IFERROR((TP_DATA[[#This Row],[D, top]]+TP_DATA[[#This Row],[D, bottom]])/(2*TP_DATA[[#This Row],[t]]/1000),"")</f>
        <v/>
      </c>
      <c r="BX55" s="106" t="str">
        <f>IFERROR(TOWER_DATA[[#This Row],[Top]]-TOWER_DATA[[#This Row],[Bottom]], "")</f>
        <v/>
      </c>
      <c r="BY55" s="106" t="str">
        <f>IFERROR(-(TOWER_DATA[[#This Row],[D, top]]-TOWER_DATA[[#This Row],[D, bottom]])/(TOWER_DATA[[#This Row],[Top]]-TOWER_DATA[[#This Row],[Bottom]]),"")</f>
        <v/>
      </c>
      <c r="BZ55" s="106" t="str">
        <f t="shared" si="1"/>
        <v/>
      </c>
      <c r="CA55" s="106" t="str">
        <f>IFERROR((TOWER_DATA[[#This Row],[D, top]]+TOWER_DATA[[#This Row],[D, bottom]])/(2*TOWER_DATA[[#This Row],[t]]/1000),"")</f>
        <v/>
      </c>
    </row>
    <row r="56" spans="8:79" x14ac:dyDescent="0.3">
      <c r="H56" s="106" t="str">
        <f>IFERROR(MP_DATA[[#This Row],[Bottom]]-MP_DATA[[#This Row],[D, top]], "")</f>
        <v/>
      </c>
      <c r="I56" s="106" t="str">
        <f>IFERROR(-(MP_DATA[[#This Row],[D, bottom]]-MP_DATA[[#This Row],[D, top]])/(MP_DATA[[#This Row],[Bottom]]-MP_DATA[[#This Row],[Top]]),"")</f>
        <v/>
      </c>
      <c r="J56" s="106" t="str">
        <f>IF(7850/1000*(1/3)*PI()*ABS(C56-D56)*((E56/2)^2+(E56/2)*(F56/2)+(F56/2)^2-(E56/2-G56/1000)^2-(E56/2-G56/1000)*(F56/2-G56/1000)-(F56/2-G56/1000)^2)=0,"",7850/1000*(1/3)*PI()*ABS(C56-D56)*((E56/2)^2+(E56/2)*(F56/2)+(F56/2)^2-(E56/2-G56/1000)^2-(E56/2-G56/1000)*(F56/2-G56/1000)-(F56/2-G56/1000)^2))</f>
        <v/>
      </c>
      <c r="K56" s="106" t="str">
        <f>IFERROR((MP_DATA[[#This Row],[D, bottom]]+MP_DATA[[#This Row],[D, top]])/(2*MP_DATA[[#This Row],[t]]/1000),"")</f>
        <v/>
      </c>
      <c r="L56" s="106"/>
      <c r="AX56" s="106" t="str">
        <f>IFERROR(TP_DATA[[#This Row],[Top]]-TP_DATA[[#This Row],[Bottom]], "")</f>
        <v/>
      </c>
      <c r="AY56" s="106" t="str">
        <f>IFERROR(-(TP_DATA[[#This Row],[D, top]]-TP_DATA[[#This Row],[D, bottom]])/(TP_DATA[[#This Row],[Top]]-TP_DATA[[#This Row],[Bottom]]),"")</f>
        <v/>
      </c>
      <c r="AZ56" s="106" t="str">
        <f t="shared" si="0"/>
        <v/>
      </c>
      <c r="BA56" s="106" t="str">
        <f>IFERROR((TP_DATA[[#This Row],[D, top]]+TP_DATA[[#This Row],[D, bottom]])/(2*TP_DATA[[#This Row],[t]]/1000),"")</f>
        <v/>
      </c>
      <c r="BX56" s="106" t="str">
        <f>IFERROR(TOWER_DATA[[#This Row],[Top]]-TOWER_DATA[[#This Row],[Bottom]], "")</f>
        <v/>
      </c>
      <c r="BY56" s="106" t="str">
        <f>IFERROR(-(TOWER_DATA[[#This Row],[D, top]]-TOWER_DATA[[#This Row],[D, bottom]])/(TOWER_DATA[[#This Row],[Top]]-TOWER_DATA[[#This Row],[Bottom]]),"")</f>
        <v/>
      </c>
      <c r="BZ56" s="106" t="str">
        <f t="shared" si="1"/>
        <v/>
      </c>
      <c r="CA56" s="106" t="str">
        <f>IFERROR((TOWER_DATA[[#This Row],[D, top]]+TOWER_DATA[[#This Row],[D, bottom]])/(2*TOWER_DATA[[#This Row],[t]]/1000),"")</f>
        <v/>
      </c>
    </row>
    <row r="57" spans="8:79" x14ac:dyDescent="0.3">
      <c r="H57" s="106" t="str">
        <f>IFERROR(MP_DATA[[#This Row],[Bottom]]-MP_DATA[[#This Row],[D, top]], "")</f>
        <v/>
      </c>
      <c r="I57" s="106" t="str">
        <f>IFERROR(-(MP_DATA[[#This Row],[D, bottom]]-MP_DATA[[#This Row],[D, top]])/(MP_DATA[[#This Row],[Bottom]]-MP_DATA[[#This Row],[Top]]),"")</f>
        <v/>
      </c>
      <c r="J57" s="106" t="str">
        <f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106" t="str">
        <f>IFERROR((MP_DATA[[#This Row],[D, bottom]]+MP_DATA[[#This Row],[D, top]])/(2*MP_DATA[[#This Row],[t]]/1000),"")</f>
        <v/>
      </c>
      <c r="L57" s="106"/>
      <c r="AX57" s="106" t="str">
        <f>IFERROR(TP_DATA[[#This Row],[Top]]-TP_DATA[[#This Row],[Bottom]], "")</f>
        <v/>
      </c>
      <c r="AY57" s="106" t="str">
        <f>IFERROR(-(TP_DATA[[#This Row],[D, top]]-TP_DATA[[#This Row],[D, bottom]])/(TP_DATA[[#This Row],[Top]]-TP_DATA[[#This Row],[Bottom]]),"")</f>
        <v/>
      </c>
      <c r="AZ57" s="106" t="str">
        <f t="shared" si="0"/>
        <v/>
      </c>
      <c r="BA57" s="106" t="str">
        <f>IFERROR((TP_DATA[[#This Row],[D, top]]+TP_DATA[[#This Row],[D, bottom]])/(2*TP_DATA[[#This Row],[t]]/1000),"")</f>
        <v/>
      </c>
      <c r="BX57" s="106" t="str">
        <f>IFERROR(TOWER_DATA[[#This Row],[Top]]-TOWER_DATA[[#This Row],[Bottom]], "")</f>
        <v/>
      </c>
      <c r="BY57" s="106" t="str">
        <f>IFERROR(-(TOWER_DATA[[#This Row],[D, top]]-TOWER_DATA[[#This Row],[D, bottom]])/(TOWER_DATA[[#This Row],[Top]]-TOWER_DATA[[#This Row],[Bottom]]),"")</f>
        <v/>
      </c>
      <c r="BZ57" s="106" t="str">
        <f t="shared" si="1"/>
        <v/>
      </c>
      <c r="CA57" s="106" t="str">
        <f>IFERROR((TOWER_DATA[[#This Row],[D, top]]+TOWER_DATA[[#This Row],[D, bottom]])/(2*TOWER_DATA[[#This Row],[t]]/1000),"")</f>
        <v/>
      </c>
    </row>
    <row r="58" spans="8:79" x14ac:dyDescent="0.3">
      <c r="H58" s="106" t="str">
        <f>IFERROR(MP_DATA[[#This Row],[Bottom]]-MP_DATA[[#This Row],[D, top]], "")</f>
        <v/>
      </c>
      <c r="I58" s="106" t="str">
        <f>IFERROR(-(MP_DATA[[#This Row],[D, bottom]]-MP_DATA[[#This Row],[D, top]])/(MP_DATA[[#This Row],[Bottom]]-MP_DATA[[#This Row],[Top]]),"")</f>
        <v/>
      </c>
      <c r="J58" s="106" t="str">
        <f>IF(7850/1000*(1/3)*PI()*ABS(C58-D58)*((E58/2)^2+(E58/2)*(F58/2)+(F58/2)^2-(E58/2-G58/1000)^2-(E58/2-G58/1000)*(F58/2-G58/1000)-(F58/2-G58/1000)^2)=0,"",7850/1000*(1/3)*PI()*ABS(C58-D58)*((E58/2)^2+(E58/2)*(F58/2)+(F58/2)^2-(E58/2-G58/1000)^2-(E58/2-G58/1000)*(F58/2-G58/1000)-(F58/2-G58/1000)^2))</f>
        <v/>
      </c>
      <c r="K58" s="106" t="str">
        <f>IFERROR((MP_DATA[[#This Row],[D, bottom]]+MP_DATA[[#This Row],[D, top]])/(2*MP_DATA[[#This Row],[t]]/1000),"")</f>
        <v/>
      </c>
      <c r="L58" s="106"/>
      <c r="AX58" s="106" t="str">
        <f>IFERROR(TP_DATA[[#This Row],[Top]]-TP_DATA[[#This Row],[Bottom]], "")</f>
        <v/>
      </c>
      <c r="AY58" s="106" t="str">
        <f>IFERROR(-(TP_DATA[[#This Row],[D, top]]-TP_DATA[[#This Row],[D, bottom]])/(TP_DATA[[#This Row],[Top]]-TP_DATA[[#This Row],[Bottom]]),"")</f>
        <v/>
      </c>
      <c r="AZ58" s="106" t="str">
        <f t="shared" si="0"/>
        <v/>
      </c>
      <c r="BA58" s="106" t="str">
        <f>IFERROR((TP_DATA[[#This Row],[D, top]]+TP_DATA[[#This Row],[D, bottom]])/(2*TP_DATA[[#This Row],[t]]/1000),"")</f>
        <v/>
      </c>
      <c r="BX58" s="106" t="str">
        <f>IFERROR(TOWER_DATA[[#This Row],[Top]]-TOWER_DATA[[#This Row],[Bottom]], "")</f>
        <v/>
      </c>
      <c r="BY58" s="106" t="str">
        <f>IFERROR(-(TOWER_DATA[[#This Row],[D, top]]-TOWER_DATA[[#This Row],[D, bottom]])/(TOWER_DATA[[#This Row],[Top]]-TOWER_DATA[[#This Row],[Bottom]]),"")</f>
        <v/>
      </c>
      <c r="BZ58" s="106" t="str">
        <f t="shared" si="1"/>
        <v/>
      </c>
      <c r="CA58" s="106" t="str">
        <f>IFERROR((TOWER_DATA[[#This Row],[D, top]]+TOWER_DATA[[#This Row],[D, bottom]])/(2*TOWER_DATA[[#This Row],[t]]/1000),"")</f>
        <v/>
      </c>
    </row>
    <row r="59" spans="8:79" x14ac:dyDescent="0.3">
      <c r="H59" s="106" t="str">
        <f>IFERROR(MP_DATA[[#This Row],[Bottom]]-MP_DATA[[#This Row],[D, top]], "")</f>
        <v/>
      </c>
      <c r="I59" s="106" t="str">
        <f>IFERROR(-(MP_DATA[[#This Row],[D, bottom]]-MP_DATA[[#This Row],[D, top]])/(MP_DATA[[#This Row],[Bottom]]-MP_DATA[[#This Row],[Top]]),"")</f>
        <v/>
      </c>
      <c r="J59" s="106" t="str">
        <f>IF(7850/1000*(1/3)*PI()*ABS(C59-D59)*((E59/2)^2+(E59/2)*(F59/2)+(F59/2)^2-(E59/2-G59/1000)^2-(E59/2-G59/1000)*(F59/2-G59/1000)-(F59/2-G59/1000)^2)=0,"",7850/1000*(1/3)*PI()*ABS(C59-D59)*((E59/2)^2+(E59/2)*(F59/2)+(F59/2)^2-(E59/2-G59/1000)^2-(E59/2-G59/1000)*(F59/2-G59/1000)-(F59/2-G59/1000)^2))</f>
        <v/>
      </c>
      <c r="K59" s="106" t="str">
        <f>IFERROR((MP_DATA[[#This Row],[D, bottom]]+MP_DATA[[#This Row],[D, top]])/(2*MP_DATA[[#This Row],[t]]/1000),"")</f>
        <v/>
      </c>
      <c r="L59" s="106"/>
      <c r="AX59" s="106" t="str">
        <f>IFERROR(TP_DATA[[#This Row],[Top]]-TP_DATA[[#This Row],[Bottom]], "")</f>
        <v/>
      </c>
      <c r="AY59" s="106" t="str">
        <f>IFERROR(-(TP_DATA[[#This Row],[D, top]]-TP_DATA[[#This Row],[D, bottom]])/(TP_DATA[[#This Row],[Top]]-TP_DATA[[#This Row],[Bottom]]),"")</f>
        <v/>
      </c>
      <c r="AZ59" s="106" t="str">
        <f t="shared" si="0"/>
        <v/>
      </c>
      <c r="BA59" s="106" t="str">
        <f>IFERROR((TP_DATA[[#This Row],[D, top]]+TP_DATA[[#This Row],[D, bottom]])/(2*TP_DATA[[#This Row],[t]]/1000),"")</f>
        <v/>
      </c>
      <c r="BX59" s="106" t="str">
        <f>IFERROR(TOWER_DATA[[#This Row],[Top]]-TOWER_DATA[[#This Row],[Bottom]], "")</f>
        <v/>
      </c>
      <c r="BY59" s="106" t="str">
        <f>IFERROR(-(TOWER_DATA[[#This Row],[D, top]]-TOWER_DATA[[#This Row],[D, bottom]])/(TOWER_DATA[[#This Row],[Top]]-TOWER_DATA[[#This Row],[Bottom]]),"")</f>
        <v/>
      </c>
      <c r="BZ59" s="106" t="str">
        <f t="shared" si="1"/>
        <v/>
      </c>
      <c r="CA59" s="106" t="str">
        <f>IFERROR((TOWER_DATA[[#This Row],[D, top]]+TOWER_DATA[[#This Row],[D, bottom]])/(2*TOWER_DATA[[#This Row],[t]]/1000),"")</f>
        <v/>
      </c>
    </row>
    <row r="60" spans="8:79" x14ac:dyDescent="0.3">
      <c r="H60" s="106" t="str">
        <f>IFERROR(MP_DATA[[#This Row],[Bottom]]-MP_DATA[[#This Row],[D, top]], "")</f>
        <v/>
      </c>
      <c r="I60" s="106" t="str">
        <f>IFERROR(-(MP_DATA[[#This Row],[D, bottom]]-MP_DATA[[#This Row],[D, top]])/(MP_DATA[[#This Row],[Bottom]]-MP_DATA[[#This Row],[Top]]),"")</f>
        <v/>
      </c>
      <c r="J60" s="106" t="str">
        <f>IF(7850/1000*(1/3)*PI()*ABS(C60-D60)*((E60/2)^2+(E60/2)*(F60/2)+(F60/2)^2-(E60/2-G60/1000)^2-(E60/2-G60/1000)*(F60/2-G60/1000)-(F60/2-G60/1000)^2)=0,"",7850/1000*(1/3)*PI()*ABS(C60-D60)*((E60/2)^2+(E60/2)*(F60/2)+(F60/2)^2-(E60/2-G60/1000)^2-(E60/2-G60/1000)*(F60/2-G60/1000)-(F60/2-G60/1000)^2))</f>
        <v/>
      </c>
      <c r="K60" s="106" t="str">
        <f>IFERROR((MP_DATA[[#This Row],[D, bottom]]+MP_DATA[[#This Row],[D, top]])/(2*MP_DATA[[#This Row],[t]]/1000),"")</f>
        <v/>
      </c>
      <c r="L60" s="106" t="str">
        <f>IFERROR((MP_DATA[[#This Row],[D, bottom]]+#REF!)/(2*#REF!/1000),"")</f>
        <v/>
      </c>
      <c r="AX60" s="106" t="str">
        <f>IFERROR(TP_DATA[[#This Row],[Top]]-TP_DATA[[#This Row],[Bottom]], "")</f>
        <v/>
      </c>
      <c r="AY60" s="106" t="str">
        <f>IFERROR(-(TP_DATA[[#This Row],[D, top]]-TP_DATA[[#This Row],[D, bottom]])/(TP_DATA[[#This Row],[Top]]-TP_DATA[[#This Row],[Bottom]]),"")</f>
        <v/>
      </c>
      <c r="AZ60" s="106" t="str">
        <f t="shared" si="0"/>
        <v/>
      </c>
      <c r="BA60" s="106" t="str">
        <f>IFERROR((TP_DATA[[#This Row],[D, top]]+TP_DATA[[#This Row],[D, bottom]])/(2*TP_DATA[[#This Row],[t]]/1000),"")</f>
        <v/>
      </c>
      <c r="BX60" s="106" t="str">
        <f>IFERROR(TOWER_DATA[[#This Row],[Top]]-TOWER_DATA[[#This Row],[Bottom]], "")</f>
        <v/>
      </c>
      <c r="BY60" s="106" t="str">
        <f>IFERROR(-(TOWER_DATA[[#This Row],[D, top]]-TOWER_DATA[[#This Row],[D, bottom]])/(TOWER_DATA[[#This Row],[Top]]-TOWER_DATA[[#This Row],[Bottom]]),"")</f>
        <v/>
      </c>
      <c r="BZ60" s="106" t="str">
        <f t="shared" si="1"/>
        <v/>
      </c>
      <c r="CA60" s="106" t="str">
        <f>IFERROR((TOWER_DATA[[#This Row],[D, top]]+TOWER_DATA[[#This Row],[D, bottom]])/(2*TOWER_DATA[[#This Row],[t]]/1000),"")</f>
        <v/>
      </c>
    </row>
    <row r="61" spans="8:79" x14ac:dyDescent="0.3">
      <c r="H61" s="106" t="str">
        <f>IFERROR(MP_DATA[[#This Row],[Bottom]]-MP_DATA[[#This Row],[D, top]], "")</f>
        <v/>
      </c>
      <c r="I61" s="106" t="str">
        <f>IFERROR(-(MP_DATA[[#This Row],[D, bottom]]-MP_DATA[[#This Row],[D, top]])/(MP_DATA[[#This Row],[Bottom]]-MP_DATA[[#This Row],[Top]]),"")</f>
        <v/>
      </c>
      <c r="J61" s="106" t="str">
        <f>IF(7850/1000*(1/3)*PI()*ABS(C61-D61)*((E61/2)^2+(E61/2)*(F61/2)+(F61/2)^2-(E61/2-G61/1000)^2-(E61/2-G61/1000)*(F61/2-G61/1000)-(F61/2-G61/1000)^2)=0,"",7850/1000*(1/3)*PI()*ABS(C61-D61)*((E61/2)^2+(E61/2)*(F61/2)+(F61/2)^2-(E61/2-G61/1000)^2-(E61/2-G61/1000)*(F61/2-G61/1000)-(F61/2-G61/1000)^2))</f>
        <v/>
      </c>
      <c r="K61" s="106" t="str">
        <f>IFERROR((MP_DATA[[#This Row],[D, bottom]]+MP_DATA[[#This Row],[D, top]])/(2*MP_DATA[[#This Row],[t]]/1000),"")</f>
        <v/>
      </c>
      <c r="L61" s="106" t="str">
        <f>IFERROR((MP_DATA[[#This Row],[D, bottom]]+#REF!)/(2*#REF!/1000),"")</f>
        <v/>
      </c>
      <c r="AX61" s="106" t="str">
        <f>IFERROR(TP_DATA[[#This Row],[Top]]-TP_DATA[[#This Row],[Bottom]], "")</f>
        <v/>
      </c>
      <c r="AY61" s="106" t="str">
        <f>IFERROR(-(TP_DATA[[#This Row],[D, top]]-TP_DATA[[#This Row],[D, bottom]])/(TP_DATA[[#This Row],[Top]]-TP_DATA[[#This Row],[Bottom]]),"")</f>
        <v/>
      </c>
      <c r="AZ61" s="106" t="str">
        <f t="shared" si="0"/>
        <v/>
      </c>
      <c r="BA61" s="106" t="str">
        <f>IFERROR((TP_DATA[[#This Row],[D, top]]+TP_DATA[[#This Row],[D, bottom]])/(2*TP_DATA[[#This Row],[t]]/1000),"")</f>
        <v/>
      </c>
      <c r="BX61" s="106" t="str">
        <f>IFERROR(TOWER_DATA[[#This Row],[Top]]-TOWER_DATA[[#This Row],[Bottom]], "")</f>
        <v/>
      </c>
      <c r="BY61" s="106" t="str">
        <f>IFERROR(-(TOWER_DATA[[#This Row],[D, top]]-TOWER_DATA[[#This Row],[D, bottom]])/(TOWER_DATA[[#This Row],[Top]]-TOWER_DATA[[#This Row],[Bottom]]),"")</f>
        <v/>
      </c>
      <c r="BZ61" s="106" t="str">
        <f t="shared" si="1"/>
        <v/>
      </c>
      <c r="CA61" s="106" t="str">
        <f>IFERROR((TOWER_DATA[[#This Row],[D, top]]+TOWER_DATA[[#This Row],[D, bottom]])/(2*TOWER_DATA[[#This Row],[t]]/1000),"")</f>
        <v/>
      </c>
    </row>
    <row r="62" spans="8:79" x14ac:dyDescent="0.3">
      <c r="H62" s="106" t="str">
        <f>IFERROR(MP_DATA[[#This Row],[Bottom]]-MP_DATA[[#This Row],[D, top]], "")</f>
        <v/>
      </c>
      <c r="I62" s="106" t="str">
        <f>IFERROR(-(MP_DATA[[#This Row],[D, bottom]]-MP_DATA[[#This Row],[D, top]])/(MP_DATA[[#This Row],[Bottom]]-MP_DATA[[#This Row],[Top]]),"")</f>
        <v/>
      </c>
      <c r="J62" s="106" t="str">
        <f>IF(7850/1000*(1/3)*PI()*ABS(C62-D62)*((E62/2)^2+(E62/2)*(F62/2)+(F62/2)^2-(E62/2-G62/1000)^2-(E62/2-G62/1000)*(F62/2-G62/1000)-(F62/2-G62/1000)^2)=0,"",7850/1000*(1/3)*PI()*ABS(C62-D62)*((E62/2)^2+(E62/2)*(F62/2)+(F62/2)^2-(E62/2-G62/1000)^2-(E62/2-G62/1000)*(F62/2-G62/1000)-(F62/2-G62/1000)^2))</f>
        <v/>
      </c>
      <c r="K62" s="106" t="str">
        <f>IFERROR((MP_DATA[[#This Row],[D, bottom]]+MP_DATA[[#This Row],[D, top]])/(2*MP_DATA[[#This Row],[t]]/1000),"")</f>
        <v/>
      </c>
      <c r="L62" s="106" t="str">
        <f>IFERROR((MP_DATA[[#This Row],[D, bottom]]+#REF!)/(2*#REF!/1000),"")</f>
        <v/>
      </c>
      <c r="AX62" s="106" t="str">
        <f>IFERROR(TP_DATA[[#This Row],[Top]]-TP_DATA[[#This Row],[Bottom]], "")</f>
        <v/>
      </c>
      <c r="AY62" s="106" t="str">
        <f>IFERROR(-(TP_DATA[[#This Row],[D, top]]-TP_DATA[[#This Row],[D, bottom]])/(TP_DATA[[#This Row],[Top]]-TP_DATA[[#This Row],[Bottom]]),"")</f>
        <v/>
      </c>
      <c r="AZ62" s="106" t="str">
        <f t="shared" si="0"/>
        <v/>
      </c>
      <c r="BA62" s="106" t="str">
        <f>IFERROR((TP_DATA[[#This Row],[D, top]]+TP_DATA[[#This Row],[D, bottom]])/(2*TP_DATA[[#This Row],[t]]/1000),"")</f>
        <v/>
      </c>
      <c r="BX62" s="106" t="str">
        <f>IFERROR(TOWER_DATA[[#This Row],[Top]]-TOWER_DATA[[#This Row],[Bottom]], "")</f>
        <v/>
      </c>
      <c r="BY62" s="106" t="str">
        <f>IFERROR(-(TOWER_DATA[[#This Row],[D, top]]-TOWER_DATA[[#This Row],[D, bottom]])/(TOWER_DATA[[#This Row],[Top]]-TOWER_DATA[[#This Row],[Bottom]]),"")</f>
        <v/>
      </c>
      <c r="BZ62" s="106" t="str">
        <f t="shared" si="1"/>
        <v/>
      </c>
      <c r="CA62" s="106" t="str">
        <f>IFERROR((TOWER_DATA[[#This Row],[D, top]]+TOWER_DATA[[#This Row],[D, bottom]])/(2*TOWER_DATA[[#This Row],[t]]/1000),"")</f>
        <v/>
      </c>
    </row>
    <row r="63" spans="8:79" x14ac:dyDescent="0.3">
      <c r="H63" s="106" t="str">
        <f>IFERROR(MP_DATA[[#This Row],[Bottom]]-MP_DATA[[#This Row],[D, top]], "")</f>
        <v/>
      </c>
      <c r="I63" s="106" t="str">
        <f>IFERROR(-(MP_DATA[[#This Row],[D, bottom]]-MP_DATA[[#This Row],[D, top]])/(MP_DATA[[#This Row],[Bottom]]-MP_DATA[[#This Row],[Top]]),"")</f>
        <v/>
      </c>
      <c r="J63" s="106" t="str">
        <f>IF(7850/1000*(1/3)*PI()*ABS(C63-D63)*((E63/2)^2+(E63/2)*(F63/2)+(F63/2)^2-(E63/2-G63/1000)^2-(E63/2-G63/1000)*(F63/2-G63/1000)-(F63/2-G63/1000)^2)=0,"",7850/1000*(1/3)*PI()*ABS(C63-D63)*((E63/2)^2+(E63/2)*(F63/2)+(F63/2)^2-(E63/2-G63/1000)^2-(E63/2-G63/1000)*(F63/2-G63/1000)-(F63/2-G63/1000)^2))</f>
        <v/>
      </c>
      <c r="K63" s="106" t="str">
        <f>IFERROR((MP_DATA[[#This Row],[D, bottom]]+MP_DATA[[#This Row],[D, top]])/(2*MP_DATA[[#This Row],[t]]/1000),"")</f>
        <v/>
      </c>
      <c r="L63" s="106" t="str">
        <f>IFERROR((MP_DATA[[#This Row],[D, bottom]]+#REF!)/(2*#REF!/1000),"")</f>
        <v/>
      </c>
      <c r="AX63" s="106" t="str">
        <f>IFERROR(TP_DATA[[#This Row],[Top]]-TP_DATA[[#This Row],[Bottom]], "")</f>
        <v/>
      </c>
      <c r="AY63" s="106" t="str">
        <f>IFERROR(-(TP_DATA[[#This Row],[D, top]]-TP_DATA[[#This Row],[D, bottom]])/(TP_DATA[[#This Row],[Top]]-TP_DATA[[#This Row],[Bottom]]),"")</f>
        <v/>
      </c>
      <c r="AZ63" s="106" t="str">
        <f t="shared" si="0"/>
        <v/>
      </c>
      <c r="BA63" s="106" t="str">
        <f>IFERROR((TP_DATA[[#This Row],[D, top]]+TP_DATA[[#This Row],[D, bottom]])/(2*TP_DATA[[#This Row],[t]]/1000),"")</f>
        <v/>
      </c>
      <c r="BX63" s="106" t="str">
        <f>IFERROR(TOWER_DATA[[#This Row],[Top]]-TOWER_DATA[[#This Row],[Bottom]], "")</f>
        <v/>
      </c>
      <c r="BY63" s="106" t="str">
        <f>IFERROR(-(TOWER_DATA[[#This Row],[D, top]]-TOWER_DATA[[#This Row],[D, bottom]])/(TOWER_DATA[[#This Row],[Top]]-TOWER_DATA[[#This Row],[Bottom]]),"")</f>
        <v/>
      </c>
      <c r="BZ63" s="106" t="str">
        <f t="shared" si="1"/>
        <v/>
      </c>
      <c r="CA63" s="106" t="str">
        <f>IFERROR((TOWER_DATA[[#This Row],[D, top]]+TOWER_DATA[[#This Row],[D, bottom]])/(2*TOWER_DATA[[#This Row],[t]]/1000),"")</f>
        <v/>
      </c>
    </row>
    <row r="64" spans="8:79" x14ac:dyDescent="0.3">
      <c r="H64" s="106" t="str">
        <f>IFERROR(MP_DATA[[#This Row],[Bottom]]-MP_DATA[[#This Row],[D, top]], "")</f>
        <v/>
      </c>
      <c r="I64" s="106" t="str">
        <f>IFERROR(-(MP_DATA[[#This Row],[D, bottom]]-MP_DATA[[#This Row],[D, top]])/(MP_DATA[[#This Row],[Bottom]]-MP_DATA[[#This Row],[Top]]),"")</f>
        <v/>
      </c>
      <c r="J64" s="106" t="str">
        <f>IF(7850/1000*(1/3)*PI()*ABS(C64-D64)*((E64/2)^2+(E64/2)*(F64/2)+(F64/2)^2-(E64/2-G64/1000)^2-(E64/2-G64/1000)*(F64/2-G64/1000)-(F64/2-G64/1000)^2)=0,"",7850/1000*(1/3)*PI()*ABS(C64-D64)*((E64/2)^2+(E64/2)*(F64/2)+(F64/2)^2-(E64/2-G64/1000)^2-(E64/2-G64/1000)*(F64/2-G64/1000)-(F64/2-G64/1000)^2))</f>
        <v/>
      </c>
      <c r="K64" s="106" t="str">
        <f>IFERROR((MP_DATA[[#This Row],[D, bottom]]+MP_DATA[[#This Row],[D, top]])/(2*MP_DATA[[#This Row],[t]]/1000),"")</f>
        <v/>
      </c>
      <c r="L64" s="106" t="str">
        <f>IFERROR((MP_DATA[[#This Row],[D, bottom]]+#REF!)/(2*#REF!/1000),"")</f>
        <v/>
      </c>
      <c r="AX64" s="106" t="str">
        <f>IFERROR(TP_DATA[[#This Row],[Top]]-TP_DATA[[#This Row],[Bottom]], "")</f>
        <v/>
      </c>
      <c r="AY64" s="106" t="str">
        <f>IFERROR(-(TP_DATA[[#This Row],[D, top]]-TP_DATA[[#This Row],[D, bottom]])/(TP_DATA[[#This Row],[Top]]-TP_DATA[[#This Row],[Bottom]]),"")</f>
        <v/>
      </c>
      <c r="AZ64" s="106" t="str">
        <f t="shared" si="0"/>
        <v/>
      </c>
      <c r="BA64" s="106" t="str">
        <f>IFERROR((TP_DATA[[#This Row],[D, top]]+TP_DATA[[#This Row],[D, bottom]])/(2*TP_DATA[[#This Row],[t]]/1000),"")</f>
        <v/>
      </c>
      <c r="BX64" s="106" t="str">
        <f>IFERROR(TOWER_DATA[[#This Row],[Top]]-TOWER_DATA[[#This Row],[Bottom]], "")</f>
        <v/>
      </c>
      <c r="BY64" s="106" t="str">
        <f>IFERROR(-(TOWER_DATA[[#This Row],[D, top]]-TOWER_DATA[[#This Row],[D, bottom]])/(TOWER_DATA[[#This Row],[Top]]-TOWER_DATA[[#This Row],[Bottom]]),"")</f>
        <v/>
      </c>
      <c r="BZ64" s="106" t="str">
        <f t="shared" si="1"/>
        <v/>
      </c>
      <c r="CA64" s="106" t="str">
        <f>IFERROR((TOWER_DATA[[#This Row],[D, top]]+TOWER_DATA[[#This Row],[D, bottom]])/(2*TOWER_DATA[[#This Row],[t]]/1000),"")</f>
        <v/>
      </c>
    </row>
    <row r="65" spans="8:79" x14ac:dyDescent="0.3">
      <c r="H65" s="106" t="str">
        <f>IFERROR(MP_DATA[[#This Row],[Bottom]]-MP_DATA[[#This Row],[D, top]], "")</f>
        <v/>
      </c>
      <c r="I65" s="106" t="str">
        <f>IFERROR(-(MP_DATA[[#This Row],[D, bottom]]-MP_DATA[[#This Row],[D, top]])/(MP_DATA[[#This Row],[Bottom]]-MP_DATA[[#This Row],[Top]]),"")</f>
        <v/>
      </c>
      <c r="J65" s="106" t="str">
        <f>IF(7850/1000*(1/3)*PI()*ABS(C65-D65)*((E65/2)^2+(E65/2)*(F65/2)+(F65/2)^2-(E65/2-G65/1000)^2-(E65/2-G65/1000)*(F65/2-G65/1000)-(F65/2-G65/1000)^2)=0,"",7850/1000*(1/3)*PI()*ABS(C65-D65)*((E65/2)^2+(E65/2)*(F65/2)+(F65/2)^2-(E65/2-G65/1000)^2-(E65/2-G65/1000)*(F65/2-G65/1000)-(F65/2-G65/1000)^2))</f>
        <v/>
      </c>
      <c r="K65" s="106" t="str">
        <f>IFERROR((MP_DATA[[#This Row],[D, bottom]]+MP_DATA[[#This Row],[D, top]])/(2*MP_DATA[[#This Row],[t]]/1000),"")</f>
        <v/>
      </c>
      <c r="L65" s="106" t="str">
        <f>IFERROR((MP_DATA[[#This Row],[D, bottom]]+#REF!)/(2*#REF!/1000),"")</f>
        <v/>
      </c>
      <c r="AX65" s="106" t="str">
        <f>IFERROR(TP_DATA[[#This Row],[Top]]-TP_DATA[[#This Row],[Bottom]], "")</f>
        <v/>
      </c>
      <c r="AY65" s="106" t="str">
        <f>IFERROR(-(TP_DATA[[#This Row],[D, top]]-TP_DATA[[#This Row],[D, bottom]])/(TP_DATA[[#This Row],[Top]]-TP_DATA[[#This Row],[Bottom]]),"")</f>
        <v/>
      </c>
      <c r="AZ65" s="106" t="str">
        <f t="shared" si="0"/>
        <v/>
      </c>
      <c r="BA65" s="106" t="str">
        <f>IFERROR((TP_DATA[[#This Row],[D, top]]+TP_DATA[[#This Row],[D, bottom]])/(2*TP_DATA[[#This Row],[t]]/1000),"")</f>
        <v/>
      </c>
      <c r="BX65" s="106" t="str">
        <f>IFERROR(TOWER_DATA[[#This Row],[Top]]-TOWER_DATA[[#This Row],[Bottom]], "")</f>
        <v/>
      </c>
      <c r="BY65" s="106" t="str">
        <f>IFERROR(-(TOWER_DATA[[#This Row],[D, top]]-TOWER_DATA[[#This Row],[D, bottom]])/(TOWER_DATA[[#This Row],[Top]]-TOWER_DATA[[#This Row],[Bottom]]),"")</f>
        <v/>
      </c>
      <c r="BZ65" s="106" t="str">
        <f t="shared" si="1"/>
        <v/>
      </c>
      <c r="CA65" s="106" t="str">
        <f>IFERROR((TOWER_DATA[[#This Row],[D, top]]+TOWER_DATA[[#This Row],[D, bottom]])/(2*TOWER_DATA[[#This Row],[t]]/1000),"")</f>
        <v/>
      </c>
    </row>
    <row r="66" spans="8:79" x14ac:dyDescent="0.3">
      <c r="H66" s="106" t="str">
        <f>IFERROR(MP_DATA[[#This Row],[Bottom]]-MP_DATA[[#This Row],[D, top]], "")</f>
        <v/>
      </c>
      <c r="I66" s="106" t="str">
        <f>IFERROR(-(MP_DATA[[#This Row],[D, bottom]]-MP_DATA[[#This Row],[D, top]])/(MP_DATA[[#This Row],[Bottom]]-MP_DATA[[#This Row],[Top]]),"")</f>
        <v/>
      </c>
      <c r="J66" s="106" t="str">
        <f>IF(7850/1000*(1/3)*PI()*ABS(C66-D66)*((E66/2)^2+(E66/2)*(F66/2)+(F66/2)^2-(E66/2-G66/1000)^2-(E66/2-G66/1000)*(F66/2-G66/1000)-(F66/2-G66/1000)^2)=0,"",7850/1000*(1/3)*PI()*ABS(C66-D66)*((E66/2)^2+(E66/2)*(F66/2)+(F66/2)^2-(E66/2-G66/1000)^2-(E66/2-G66/1000)*(F66/2-G66/1000)-(F66/2-G66/1000)^2))</f>
        <v/>
      </c>
      <c r="K66" s="106" t="str">
        <f>IFERROR((MP_DATA[[#This Row],[D, bottom]]+MP_DATA[[#This Row],[D, top]])/(2*MP_DATA[[#This Row],[t]]/1000),"")</f>
        <v/>
      </c>
      <c r="L66" s="106" t="str">
        <f>IFERROR((MP_DATA[[#This Row],[D, bottom]]+#REF!)/(2*#REF!/1000),"")</f>
        <v/>
      </c>
      <c r="AX66" s="106" t="str">
        <f>IFERROR(TP_DATA[[#This Row],[Top]]-TP_DATA[[#This Row],[Bottom]], "")</f>
        <v/>
      </c>
      <c r="AY66" s="106" t="str">
        <f>IFERROR(-(TP_DATA[[#This Row],[D, top]]-TP_DATA[[#This Row],[D, bottom]])/(TP_DATA[[#This Row],[Top]]-TP_DATA[[#This Row],[Bottom]]),"")</f>
        <v/>
      </c>
      <c r="AZ66" s="106" t="str">
        <f t="shared" si="0"/>
        <v/>
      </c>
      <c r="BA66" s="106" t="str">
        <f>IFERROR((TP_DATA[[#This Row],[D, top]]+TP_DATA[[#This Row],[D, bottom]])/(2*TP_DATA[[#This Row],[t]]/1000),"")</f>
        <v/>
      </c>
      <c r="BX66" s="106" t="str">
        <f>IFERROR(TOWER_DATA[[#This Row],[Top]]-TOWER_DATA[[#This Row],[Bottom]], "")</f>
        <v/>
      </c>
      <c r="BY66" s="106" t="str">
        <f>IFERROR(-(TOWER_DATA[[#This Row],[D, top]]-TOWER_DATA[[#This Row],[D, bottom]])/(TOWER_DATA[[#This Row],[Top]]-TOWER_DATA[[#This Row],[Bottom]]),"")</f>
        <v/>
      </c>
      <c r="BZ66" s="106" t="str">
        <f t="shared" si="1"/>
        <v/>
      </c>
      <c r="CA66" s="106" t="str">
        <f>IFERROR((TOWER_DATA[[#This Row],[D, top]]+TOWER_DATA[[#This Row],[D, bottom]])/(2*TOWER_DATA[[#This Row],[t]]/1000),"")</f>
        <v/>
      </c>
    </row>
    <row r="67" spans="8:79" x14ac:dyDescent="0.3">
      <c r="H67" s="106" t="str">
        <f>IFERROR(MP_DATA[[#This Row],[Bottom]]-MP_DATA[[#This Row],[D, top]], "")</f>
        <v/>
      </c>
      <c r="I67" s="106" t="str">
        <f>IFERROR(-(MP_DATA[[#This Row],[D, bottom]]-MP_DATA[[#This Row],[D, top]])/(MP_DATA[[#This Row],[Bottom]]-MP_DATA[[#This Row],[Top]]),"")</f>
        <v/>
      </c>
      <c r="J67" s="106" t="str">
        <f>IF(7850/1000*(1/3)*PI()*ABS(C67-D67)*((E67/2)^2+(E67/2)*(F67/2)+(F67/2)^2-(E67/2-G67/1000)^2-(E67/2-G67/1000)*(F67/2-G67/1000)-(F67/2-G67/1000)^2)=0,"",7850/1000*(1/3)*PI()*ABS(C67-D67)*((E67/2)^2+(E67/2)*(F67/2)+(F67/2)^2-(E67/2-G67/1000)^2-(E67/2-G67/1000)*(F67/2-G67/1000)-(F67/2-G67/1000)^2))</f>
        <v/>
      </c>
      <c r="K67" s="106" t="str">
        <f>IFERROR((MP_DATA[[#This Row],[D, bottom]]+MP_DATA[[#This Row],[D, top]])/(2*MP_DATA[[#This Row],[t]]/1000),"")</f>
        <v/>
      </c>
      <c r="L67" s="106" t="str">
        <f>IFERROR((MP_DATA[[#This Row],[D, bottom]]+#REF!)/(2*#REF!/1000),"")</f>
        <v/>
      </c>
      <c r="AX67" s="106" t="str">
        <f>IFERROR(TP_DATA[[#This Row],[Top]]-TP_DATA[[#This Row],[Bottom]], "")</f>
        <v/>
      </c>
      <c r="AY67" s="106" t="str">
        <f>IFERROR(-(TP_DATA[[#This Row],[D, top]]-TP_DATA[[#This Row],[D, bottom]])/(TP_DATA[[#This Row],[Top]]-TP_DATA[[#This Row],[Bottom]]),"")</f>
        <v/>
      </c>
      <c r="AZ67" s="106" t="str">
        <f t="shared" si="0"/>
        <v/>
      </c>
      <c r="BA67" s="106" t="str">
        <f>IFERROR((TP_DATA[[#This Row],[D, top]]+TP_DATA[[#This Row],[D, bottom]])/(2*TP_DATA[[#This Row],[t]]/1000),"")</f>
        <v/>
      </c>
      <c r="BX67" s="106" t="str">
        <f>IFERROR(TOWER_DATA[[#This Row],[Top]]-TOWER_DATA[[#This Row],[Bottom]], "")</f>
        <v/>
      </c>
      <c r="BY67" s="106" t="str">
        <f>IFERROR(-(TOWER_DATA[[#This Row],[D, top]]-TOWER_DATA[[#This Row],[D, bottom]])/(TOWER_DATA[[#This Row],[Top]]-TOWER_DATA[[#This Row],[Bottom]]),"")</f>
        <v/>
      </c>
      <c r="BZ67" s="106" t="str">
        <f t="shared" si="1"/>
        <v/>
      </c>
      <c r="CA67" s="106" t="str">
        <f>IFERROR((TOWER_DATA[[#This Row],[D, top]]+TOWER_DATA[[#This Row],[D, bottom]])/(2*TOWER_DATA[[#This Row],[t]]/1000),"")</f>
        <v/>
      </c>
    </row>
    <row r="68" spans="8:79" x14ac:dyDescent="0.3">
      <c r="H68" s="106" t="str">
        <f>IFERROR(MP_DATA[[#This Row],[Bottom]]-MP_DATA[[#This Row],[D, top]], "")</f>
        <v/>
      </c>
      <c r="I68" s="106" t="str">
        <f>IFERROR(-(MP_DATA[[#This Row],[D, bottom]]-MP_DATA[[#This Row],[D, top]])/(MP_DATA[[#This Row],[Bottom]]-MP_DATA[[#This Row],[Top]]),"")</f>
        <v/>
      </c>
      <c r="J68" s="106" t="str">
        <f>IF(7850/1000*(1/3)*PI()*ABS(C68-D68)*((E68/2)^2+(E68/2)*(F68/2)+(F68/2)^2-(E68/2-G68/1000)^2-(E68/2-G68/1000)*(F68/2-G68/1000)-(F68/2-G68/1000)^2)=0,"",7850/1000*(1/3)*PI()*ABS(C68-D68)*((E68/2)^2+(E68/2)*(F68/2)+(F68/2)^2-(E68/2-G68/1000)^2-(E68/2-G68/1000)*(F68/2-G68/1000)-(F68/2-G68/1000)^2))</f>
        <v/>
      </c>
      <c r="K68" s="106" t="str">
        <f>IFERROR((MP_DATA[[#This Row],[D, bottom]]+MP_DATA[[#This Row],[D, top]])/(2*MP_DATA[[#This Row],[t]]/1000),"")</f>
        <v/>
      </c>
      <c r="L68" s="106" t="str">
        <f>IFERROR((MP_DATA[[#This Row],[D, bottom]]+#REF!)/(2*#REF!/1000),"")</f>
        <v/>
      </c>
      <c r="AX68" s="106" t="str">
        <f>IFERROR(TP_DATA[[#This Row],[Top]]-TP_DATA[[#This Row],[Bottom]], "")</f>
        <v/>
      </c>
      <c r="AY68" s="106" t="str">
        <f>IFERROR(-(TP_DATA[[#This Row],[D, top]]-TP_DATA[[#This Row],[D, bottom]])/(TP_DATA[[#This Row],[Top]]-TP_DATA[[#This Row],[Bottom]]),"")</f>
        <v/>
      </c>
      <c r="AZ68" s="106" t="str">
        <f t="shared" si="0"/>
        <v/>
      </c>
      <c r="BA68" s="106" t="str">
        <f>IFERROR((TP_DATA[[#This Row],[D, top]]+TP_DATA[[#This Row],[D, bottom]])/(2*TP_DATA[[#This Row],[t]]/1000),"")</f>
        <v/>
      </c>
      <c r="BX68" s="106" t="str">
        <f>IFERROR(TOWER_DATA[[#This Row],[Top]]-TOWER_DATA[[#This Row],[Bottom]], "")</f>
        <v/>
      </c>
      <c r="BY68" s="106" t="str">
        <f>IFERROR(-(TOWER_DATA[[#This Row],[D, top]]-TOWER_DATA[[#This Row],[D, bottom]])/(TOWER_DATA[[#This Row],[Top]]-TOWER_DATA[[#This Row],[Bottom]]),"")</f>
        <v/>
      </c>
      <c r="BZ68" s="106" t="str">
        <f t="shared" si="1"/>
        <v/>
      </c>
      <c r="CA68" s="106" t="str">
        <f>IFERROR((TOWER_DATA[[#This Row],[D, top]]+TOWER_DATA[[#This Row],[D, bottom]])/(2*TOWER_DATA[[#This Row],[t]]/1000),"")</f>
        <v/>
      </c>
    </row>
    <row r="69" spans="8:79" x14ac:dyDescent="0.3">
      <c r="H69" s="106" t="str">
        <f>IFERROR(MP_DATA[[#This Row],[Bottom]]-MP_DATA[[#This Row],[D, top]], "")</f>
        <v/>
      </c>
      <c r="I69" s="106" t="str">
        <f>IFERROR(-(MP_DATA[[#This Row],[D, bottom]]-MP_DATA[[#This Row],[D, top]])/(MP_DATA[[#This Row],[Bottom]]-MP_DATA[[#This Row],[Top]]),"")</f>
        <v/>
      </c>
      <c r="J69" s="106" t="str">
        <f>IF(7850/1000*(1/3)*PI()*ABS(C69-D69)*((E69/2)^2+(E69/2)*(F69/2)+(F69/2)^2-(E69/2-G69/1000)^2-(E69/2-G69/1000)*(F69/2-G69/1000)-(F69/2-G69/1000)^2)=0,"",7850/1000*(1/3)*PI()*ABS(C69-D69)*((E69/2)^2+(E69/2)*(F69/2)+(F69/2)^2-(E69/2-G69/1000)^2-(E69/2-G69/1000)*(F69/2-G69/1000)-(F69/2-G69/1000)^2))</f>
        <v/>
      </c>
      <c r="K69" s="106" t="str">
        <f>IFERROR((MP_DATA[[#This Row],[D, bottom]]+MP_DATA[[#This Row],[D, top]])/(2*MP_DATA[[#This Row],[t]]/1000),"")</f>
        <v/>
      </c>
      <c r="L69" s="106" t="str">
        <f>IFERROR((MP_DATA[[#This Row],[D, bottom]]+#REF!)/(2*#REF!/1000),"")</f>
        <v/>
      </c>
      <c r="AX69" s="106" t="str">
        <f>IFERROR(TP_DATA[[#This Row],[Top]]-TP_DATA[[#This Row],[Bottom]], "")</f>
        <v/>
      </c>
      <c r="AY69" s="106" t="str">
        <f>IFERROR(-(TP_DATA[[#This Row],[D, top]]-TP_DATA[[#This Row],[D, bottom]])/(TP_DATA[[#This Row],[Top]]-TP_DATA[[#This Row],[Bottom]]),"")</f>
        <v/>
      </c>
      <c r="AZ69" s="106" t="str">
        <f t="shared" si="0"/>
        <v/>
      </c>
      <c r="BA69" s="106" t="str">
        <f>IFERROR((TP_DATA[[#This Row],[D, top]]+TP_DATA[[#This Row],[D, bottom]])/(2*TP_DATA[[#This Row],[t]]/1000),"")</f>
        <v/>
      </c>
      <c r="BX69" s="106" t="str">
        <f>IFERROR(TOWER_DATA[[#This Row],[Top]]-TOWER_DATA[[#This Row],[Bottom]], "")</f>
        <v/>
      </c>
      <c r="BY69" s="106" t="str">
        <f>IFERROR(-(TOWER_DATA[[#This Row],[D, top]]-TOWER_DATA[[#This Row],[D, bottom]])/(TOWER_DATA[[#This Row],[Top]]-TOWER_DATA[[#This Row],[Bottom]]),"")</f>
        <v/>
      </c>
      <c r="BZ69" s="106" t="str">
        <f t="shared" si="1"/>
        <v/>
      </c>
      <c r="CA69" s="106" t="str">
        <f>IFERROR((TOWER_DATA[[#This Row],[D, top]]+TOWER_DATA[[#This Row],[D, bottom]])/(2*TOWER_DATA[[#This Row],[t]]/1000),"")</f>
        <v/>
      </c>
    </row>
    <row r="70" spans="8:79" x14ac:dyDescent="0.3">
      <c r="H70" s="106" t="str">
        <f>IFERROR(MP_DATA[[#This Row],[Bottom]]-MP_DATA[[#This Row],[D, top]], "")</f>
        <v/>
      </c>
      <c r="I70" s="106" t="str">
        <f>IFERROR(-(MP_DATA[[#This Row],[D, bottom]]-MP_DATA[[#This Row],[D, top]])/(MP_DATA[[#This Row],[Bottom]]-MP_DATA[[#This Row],[Top]]),"")</f>
        <v/>
      </c>
      <c r="J70" s="106" t="str">
        <f>IF(7850/1000*(1/3)*PI()*ABS(C70-D70)*((E70/2)^2+(E70/2)*(F70/2)+(F70/2)^2-(E70/2-G70/1000)^2-(E70/2-G70/1000)*(F70/2-G70/1000)-(F70/2-G70/1000)^2)=0,"",7850/1000*(1/3)*PI()*ABS(C70-D70)*((E70/2)^2+(E70/2)*(F70/2)+(F70/2)^2-(E70/2-G70/1000)^2-(E70/2-G70/1000)*(F70/2-G70/1000)-(F70/2-G70/1000)^2))</f>
        <v/>
      </c>
      <c r="K70" s="106" t="str">
        <f>IFERROR((MP_DATA[[#This Row],[D, bottom]]+MP_DATA[[#This Row],[D, top]])/(2*MP_DATA[[#This Row],[t]]/1000),"")</f>
        <v/>
      </c>
      <c r="L70" s="106" t="str">
        <f>IFERROR((MP_DATA[[#This Row],[D, bottom]]+#REF!)/(2*#REF!/1000),"")</f>
        <v/>
      </c>
      <c r="AX70" s="106" t="str">
        <f>IFERROR(TP_DATA[[#This Row],[Top]]-TP_DATA[[#This Row],[Bottom]], "")</f>
        <v/>
      </c>
      <c r="AY70" s="106" t="str">
        <f>IFERROR(-(TP_DATA[[#This Row],[D, top]]-TP_DATA[[#This Row],[D, bottom]])/(TP_DATA[[#This Row],[Top]]-TP_DATA[[#This Row],[Bottom]]),"")</f>
        <v/>
      </c>
      <c r="AZ70" s="106" t="str">
        <f t="shared" si="0"/>
        <v/>
      </c>
      <c r="BA70" s="106" t="str">
        <f>IFERROR((TP_DATA[[#This Row],[D, top]]+TP_DATA[[#This Row],[D, bottom]])/(2*TP_DATA[[#This Row],[t]]/1000),"")</f>
        <v/>
      </c>
      <c r="BX70" s="106" t="str">
        <f>IFERROR(TOWER_DATA[[#This Row],[Top]]-TOWER_DATA[[#This Row],[Bottom]], "")</f>
        <v/>
      </c>
      <c r="BY70" s="106" t="str">
        <f>IFERROR(-(TOWER_DATA[[#This Row],[D, top]]-TOWER_DATA[[#This Row],[D, bottom]])/(TOWER_DATA[[#This Row],[Top]]-TOWER_DATA[[#This Row],[Bottom]]),"")</f>
        <v/>
      </c>
      <c r="BZ70" s="106" t="str">
        <f t="shared" si="1"/>
        <v/>
      </c>
      <c r="CA70" s="106" t="str">
        <f>IFERROR((TOWER_DATA[[#This Row],[D, top]]+TOWER_DATA[[#This Row],[D, bottom]])/(2*TOWER_DATA[[#This Row],[t]]/1000),"")</f>
        <v/>
      </c>
    </row>
    <row r="71" spans="8:79" x14ac:dyDescent="0.3">
      <c r="H71" s="106" t="str">
        <f>IFERROR(MP_DATA[[#This Row],[Bottom]]-MP_DATA[[#This Row],[D, top]], "")</f>
        <v/>
      </c>
      <c r="I71" s="106" t="str">
        <f>IFERROR(-(MP_DATA[[#This Row],[D, bottom]]-MP_DATA[[#This Row],[D, top]])/(MP_DATA[[#This Row],[Bottom]]-MP_DATA[[#This Row],[Top]]),"")</f>
        <v/>
      </c>
      <c r="J71" s="106" t="str">
        <f>IF(7850/1000*(1/3)*PI()*ABS(C71-D71)*((E71/2)^2+(E71/2)*(F71/2)+(F71/2)^2-(E71/2-G71/1000)^2-(E71/2-G71/1000)*(F71/2-G71/1000)-(F71/2-G71/1000)^2)=0,"",7850/1000*(1/3)*PI()*ABS(C71-D71)*((E71/2)^2+(E71/2)*(F71/2)+(F71/2)^2-(E71/2-G71/1000)^2-(E71/2-G71/1000)*(F71/2-G71/1000)-(F71/2-G71/1000)^2))</f>
        <v/>
      </c>
      <c r="K71" s="106" t="str">
        <f>IFERROR((MP_DATA[[#This Row],[D, bottom]]+MP_DATA[[#This Row],[D, top]])/(2*MP_DATA[[#This Row],[t]]/1000),"")</f>
        <v/>
      </c>
      <c r="L71" s="106" t="str">
        <f>IFERROR((MP_DATA[[#This Row],[D, bottom]]+#REF!)/(2*#REF!/1000),"")</f>
        <v/>
      </c>
      <c r="AX71" s="106" t="str">
        <f>IFERROR(TP_DATA[[#This Row],[Top]]-TP_DATA[[#This Row],[Bottom]], "")</f>
        <v/>
      </c>
      <c r="AY71" s="106" t="str">
        <f>IFERROR(-(TP_DATA[[#This Row],[D, top]]-TP_DATA[[#This Row],[D, bottom]])/(TP_DATA[[#This Row],[Top]]-TP_DATA[[#This Row],[Bottom]]),"")</f>
        <v/>
      </c>
      <c r="AZ71" s="106" t="str">
        <f t="shared" si="0"/>
        <v/>
      </c>
      <c r="BA71" s="106" t="str">
        <f>IFERROR((TP_DATA[[#This Row],[D, top]]+TP_DATA[[#This Row],[D, bottom]])/(2*TP_DATA[[#This Row],[t]]/1000),"")</f>
        <v/>
      </c>
      <c r="BX71" s="106" t="str">
        <f>IFERROR(TOWER_DATA[[#This Row],[Top]]-TOWER_DATA[[#This Row],[Bottom]], "")</f>
        <v/>
      </c>
      <c r="BY71" s="106" t="str">
        <f>IFERROR(-(TOWER_DATA[[#This Row],[D, top]]-TOWER_DATA[[#This Row],[D, bottom]])/(TOWER_DATA[[#This Row],[Top]]-TOWER_DATA[[#This Row],[Bottom]]),"")</f>
        <v/>
      </c>
      <c r="BZ71" s="106" t="str">
        <f t="shared" si="1"/>
        <v/>
      </c>
      <c r="CA71" s="106" t="str">
        <f>IFERROR((TOWER_DATA[[#This Row],[D, top]]+TOWER_DATA[[#This Row],[D, bottom]])/(2*TOWER_DATA[[#This Row],[t]]/1000),"")</f>
        <v/>
      </c>
    </row>
    <row r="72" spans="8:79" x14ac:dyDescent="0.3">
      <c r="H72" s="106" t="str">
        <f>IFERROR(MP_DATA[[#This Row],[Bottom]]-MP_DATA[[#This Row],[D, top]], "")</f>
        <v/>
      </c>
      <c r="I72" s="106" t="str">
        <f>IFERROR(-(MP_DATA[[#This Row],[D, bottom]]-MP_DATA[[#This Row],[D, top]])/(MP_DATA[[#This Row],[Bottom]]-MP_DATA[[#This Row],[Top]]),"")</f>
        <v/>
      </c>
      <c r="J72" s="106" t="str">
        <f>IF(7850/1000*(1/3)*PI()*ABS(C72-D72)*((E72/2)^2+(E72/2)*(F72/2)+(F72/2)^2-(E72/2-G72/1000)^2-(E72/2-G72/1000)*(F72/2-G72/1000)-(F72/2-G72/1000)^2)=0,"",7850/1000*(1/3)*PI()*ABS(C72-D72)*((E72/2)^2+(E72/2)*(F72/2)+(F72/2)^2-(E72/2-G72/1000)^2-(E72/2-G72/1000)*(F72/2-G72/1000)-(F72/2-G72/1000)^2))</f>
        <v/>
      </c>
      <c r="K72" s="106" t="str">
        <f>IFERROR((MP_DATA[[#This Row],[D, bottom]]+MP_DATA[[#This Row],[D, top]])/(2*MP_DATA[[#This Row],[t]]/1000),"")</f>
        <v/>
      </c>
      <c r="L72" s="106" t="str">
        <f>IFERROR((MP_DATA[[#This Row],[D, bottom]]+#REF!)/(2*#REF!/1000),"")</f>
        <v/>
      </c>
      <c r="AX72" s="106" t="str">
        <f>IFERROR(TP_DATA[[#This Row],[Top]]-TP_DATA[[#This Row],[Bottom]], "")</f>
        <v/>
      </c>
      <c r="AY72" s="106" t="str">
        <f>IFERROR(-(TP_DATA[[#This Row],[D, top]]-TP_DATA[[#This Row],[D, bottom]])/(TP_DATA[[#This Row],[Top]]-TP_DATA[[#This Row],[Bottom]]),"")</f>
        <v/>
      </c>
      <c r="AZ72" s="106" t="str">
        <f t="shared" si="0"/>
        <v/>
      </c>
      <c r="BA72" s="106" t="str">
        <f>IFERROR((TP_DATA[[#This Row],[D, top]]+TP_DATA[[#This Row],[D, bottom]])/(2*TP_DATA[[#This Row],[t]]/1000),"")</f>
        <v/>
      </c>
      <c r="BX72" s="106" t="str">
        <f>IFERROR(TOWER_DATA[[#This Row],[Top]]-TOWER_DATA[[#This Row],[Bottom]], "")</f>
        <v/>
      </c>
      <c r="BY72" s="106" t="str">
        <f>IFERROR(-(TOWER_DATA[[#This Row],[D, top]]-TOWER_DATA[[#This Row],[D, bottom]])/(TOWER_DATA[[#This Row],[Top]]-TOWER_DATA[[#This Row],[Bottom]]),"")</f>
        <v/>
      </c>
      <c r="BZ72" s="106" t="str">
        <f t="shared" si="1"/>
        <v/>
      </c>
      <c r="CA72" s="106" t="str">
        <f>IFERROR((TOWER_DATA[[#This Row],[D, top]]+TOWER_DATA[[#This Row],[D, bottom]])/(2*TOWER_DATA[[#This Row],[t]]/1000),"")</f>
        <v/>
      </c>
    </row>
    <row r="73" spans="8:79" x14ac:dyDescent="0.3">
      <c r="H73" s="106" t="str">
        <f>IFERROR(MP_DATA[[#This Row],[Bottom]]-MP_DATA[[#This Row],[D, top]], "")</f>
        <v/>
      </c>
      <c r="I73" s="106" t="str">
        <f>IFERROR(-(MP_DATA[[#This Row],[D, bottom]]-MP_DATA[[#This Row],[D, top]])/(MP_DATA[[#This Row],[Bottom]]-MP_DATA[[#This Row],[Top]]),"")</f>
        <v/>
      </c>
      <c r="J73" s="106" t="str">
        <f>IF(7850/1000*(1/3)*PI()*ABS(C73-D73)*((E73/2)^2+(E73/2)*(F73/2)+(F73/2)^2-(E73/2-G73/1000)^2-(E73/2-G73/1000)*(F73/2-G73/1000)-(F73/2-G73/1000)^2)=0,"",7850/1000*(1/3)*PI()*ABS(C73-D73)*((E73/2)^2+(E73/2)*(F73/2)+(F73/2)^2-(E73/2-G73/1000)^2-(E73/2-G73/1000)*(F73/2-G73/1000)-(F73/2-G73/1000)^2))</f>
        <v/>
      </c>
      <c r="K73" s="106" t="str">
        <f>IFERROR((MP_DATA[[#This Row],[D, bottom]]+MP_DATA[[#This Row],[D, top]])/(2*MP_DATA[[#This Row],[t]]/1000),"")</f>
        <v/>
      </c>
      <c r="L73" s="106" t="str">
        <f>IFERROR((MP_DATA[[#This Row],[D, bottom]]+#REF!)/(2*#REF!/1000),"")</f>
        <v/>
      </c>
      <c r="AX73" s="106" t="str">
        <f>IFERROR(TP_DATA[[#This Row],[Top]]-TP_DATA[[#This Row],[Bottom]], "")</f>
        <v/>
      </c>
      <c r="AY73" s="106" t="str">
        <f>IFERROR(-(TP_DATA[[#This Row],[D, top]]-TP_DATA[[#This Row],[D, bottom]])/(TP_DATA[[#This Row],[Top]]-TP_DATA[[#This Row],[Bottom]]),"")</f>
        <v/>
      </c>
      <c r="AZ73" s="106" t="str">
        <f t="shared" si="0"/>
        <v/>
      </c>
      <c r="BA73" s="106" t="str">
        <f>IFERROR((TP_DATA[[#This Row],[D, top]]+TP_DATA[[#This Row],[D, bottom]])/(2*TP_DATA[[#This Row],[t]]/1000),"")</f>
        <v/>
      </c>
      <c r="BX73" s="106" t="str">
        <f>IFERROR(TOWER_DATA[[#This Row],[Top]]-TOWER_DATA[[#This Row],[Bottom]], "")</f>
        <v/>
      </c>
      <c r="BY73" s="106" t="str">
        <f>IFERROR(-(TOWER_DATA[[#This Row],[D, top]]-TOWER_DATA[[#This Row],[D, bottom]])/(TOWER_DATA[[#This Row],[Top]]-TOWER_DATA[[#This Row],[Bottom]]),"")</f>
        <v/>
      </c>
      <c r="BZ73" s="106" t="str">
        <f t="shared" si="1"/>
        <v/>
      </c>
      <c r="CA73" s="106" t="str">
        <f>IFERROR((TOWER_DATA[[#This Row],[D, top]]+TOWER_DATA[[#This Row],[D, bottom]])/(2*TOWER_DATA[[#This Row],[t]]/1000),"")</f>
        <v/>
      </c>
    </row>
    <row r="74" spans="8:79" x14ac:dyDescent="0.3">
      <c r="H74" s="106" t="str">
        <f>IFERROR(MP_DATA[[#This Row],[Bottom]]-MP_DATA[[#This Row],[D, top]], "")</f>
        <v/>
      </c>
      <c r="I74" s="106" t="str">
        <f>IFERROR(-(MP_DATA[[#This Row],[D, bottom]]-MP_DATA[[#This Row],[D, top]])/(MP_DATA[[#This Row],[Bottom]]-MP_DATA[[#This Row],[Top]]),"")</f>
        <v/>
      </c>
      <c r="J74" s="106" t="str">
        <f>IF(7850/1000*(1/3)*PI()*ABS(C74-D74)*((E74/2)^2+(E74/2)*(F74/2)+(F74/2)^2-(E74/2-G74/1000)^2-(E74/2-G74/1000)*(F74/2-G74/1000)-(F74/2-G74/1000)^2)=0,"",7850/1000*(1/3)*PI()*ABS(C74-D74)*((E74/2)^2+(E74/2)*(F74/2)+(F74/2)^2-(E74/2-G74/1000)^2-(E74/2-G74/1000)*(F74/2-G74/1000)-(F74/2-G74/1000)^2))</f>
        <v/>
      </c>
      <c r="K74" s="106" t="str">
        <f>IFERROR((MP_DATA[[#This Row],[D, bottom]]+MP_DATA[[#This Row],[D, top]])/(2*MP_DATA[[#This Row],[t]]/1000),"")</f>
        <v/>
      </c>
      <c r="L74" s="106" t="str">
        <f>IFERROR((MP_DATA[[#This Row],[D, bottom]]+#REF!)/(2*#REF!/1000),"")</f>
        <v/>
      </c>
      <c r="AX74" s="106" t="str">
        <f>IFERROR(TP_DATA[[#This Row],[Top]]-TP_DATA[[#This Row],[Bottom]], "")</f>
        <v/>
      </c>
      <c r="AY74" s="106" t="str">
        <f>IFERROR(-(TP_DATA[[#This Row],[D, top]]-TP_DATA[[#This Row],[D, bottom]])/(TP_DATA[[#This Row],[Top]]-TP_DATA[[#This Row],[Bottom]]),"")</f>
        <v/>
      </c>
      <c r="AZ74" s="106" t="str">
        <f t="shared" si="0"/>
        <v/>
      </c>
      <c r="BA74" s="106" t="str">
        <f>IFERROR((TP_DATA[[#This Row],[D, top]]+TP_DATA[[#This Row],[D, bottom]])/(2*TP_DATA[[#This Row],[t]]/1000),"")</f>
        <v/>
      </c>
      <c r="BX74" s="106" t="str">
        <f>IFERROR(TOWER_DATA[[#This Row],[Top]]-TOWER_DATA[[#This Row],[Bottom]], "")</f>
        <v/>
      </c>
      <c r="BY74" s="106" t="str">
        <f>IFERROR(-(TOWER_DATA[[#This Row],[D, top]]-TOWER_DATA[[#This Row],[D, bottom]])/(TOWER_DATA[[#This Row],[Top]]-TOWER_DATA[[#This Row],[Bottom]]),"")</f>
        <v/>
      </c>
      <c r="BZ74" s="106" t="str">
        <f t="shared" si="1"/>
        <v/>
      </c>
      <c r="CA74" s="106" t="str">
        <f>IFERROR((TOWER_DATA[[#This Row],[D, top]]+TOWER_DATA[[#This Row],[D, bottom]])/(2*TOWER_DATA[[#This Row],[t]]/1000),"")</f>
        <v/>
      </c>
    </row>
    <row r="75" spans="8:79" x14ac:dyDescent="0.3">
      <c r="H75" s="106" t="str">
        <f>IFERROR(MP_DATA[[#This Row],[Bottom]]-MP_DATA[[#This Row],[D, top]], "")</f>
        <v/>
      </c>
      <c r="I75" s="106" t="str">
        <f>IFERROR(-(MP_DATA[[#This Row],[D, bottom]]-MP_DATA[[#This Row],[D, top]])/(MP_DATA[[#This Row],[Bottom]]-MP_DATA[[#This Row],[Top]]),"")</f>
        <v/>
      </c>
      <c r="J75" s="106" t="str">
        <f>IF(7850/1000*(1/3)*PI()*ABS(C75-D75)*((E75/2)^2+(E75/2)*(F75/2)+(F75/2)^2-(E75/2-G75/1000)^2-(E75/2-G75/1000)*(F75/2-G75/1000)-(F75/2-G75/1000)^2)=0,"",7850/1000*(1/3)*PI()*ABS(C75-D75)*((E75/2)^2+(E75/2)*(F75/2)+(F75/2)^2-(E75/2-G75/1000)^2-(E75/2-G75/1000)*(F75/2-G75/1000)-(F75/2-G75/1000)^2))</f>
        <v/>
      </c>
      <c r="K75" s="106" t="str">
        <f>IFERROR((MP_DATA[[#This Row],[D, bottom]]+MP_DATA[[#This Row],[D, top]])/(2*MP_DATA[[#This Row],[t]]/1000),"")</f>
        <v/>
      </c>
      <c r="L75" s="106" t="str">
        <f>IFERROR((MP_DATA[[#This Row],[D, bottom]]+#REF!)/(2*#REF!/1000),"")</f>
        <v/>
      </c>
      <c r="AX75" s="106" t="str">
        <f>IFERROR(TP_DATA[[#This Row],[Top]]-TP_DATA[[#This Row],[Bottom]], "")</f>
        <v/>
      </c>
      <c r="AY75" s="106" t="str">
        <f>IFERROR(-(TP_DATA[[#This Row],[D, top]]-TP_DATA[[#This Row],[D, bottom]])/(TP_DATA[[#This Row],[Top]]-TP_DATA[[#This Row],[Bottom]]),"")</f>
        <v/>
      </c>
      <c r="AZ75" s="106" t="str">
        <f t="shared" si="0"/>
        <v/>
      </c>
      <c r="BA75" s="106" t="str">
        <f>IFERROR((TP_DATA[[#This Row],[D, top]]+TP_DATA[[#This Row],[D, bottom]])/(2*TP_DATA[[#This Row],[t]]/1000),"")</f>
        <v/>
      </c>
      <c r="BX75" s="106" t="str">
        <f>IFERROR(TOWER_DATA[[#This Row],[Top]]-TOWER_DATA[[#This Row],[Bottom]], "")</f>
        <v/>
      </c>
      <c r="BY75" s="106" t="str">
        <f>IFERROR(-(TOWER_DATA[[#This Row],[D, top]]-TOWER_DATA[[#This Row],[D, bottom]])/(TOWER_DATA[[#This Row],[Top]]-TOWER_DATA[[#This Row],[Bottom]]),"")</f>
        <v/>
      </c>
      <c r="BZ75" s="106" t="str">
        <f t="shared" si="1"/>
        <v/>
      </c>
      <c r="CA75" s="106" t="str">
        <f>IFERROR((TOWER_DATA[[#This Row],[D, top]]+TOWER_DATA[[#This Row],[D, bottom]])/(2*TOWER_DATA[[#This Row],[t]]/1000),"")</f>
        <v/>
      </c>
    </row>
    <row r="76" spans="8:79" x14ac:dyDescent="0.3">
      <c r="H76" s="106" t="str">
        <f>IFERROR(MP_DATA[[#This Row],[Bottom]]-MP_DATA[[#This Row],[D, top]], "")</f>
        <v/>
      </c>
      <c r="I76" s="106" t="str">
        <f>IFERROR(-(MP_DATA[[#This Row],[D, bottom]]-MP_DATA[[#This Row],[D, top]])/(MP_DATA[[#This Row],[Bottom]]-MP_DATA[[#This Row],[Top]]),"")</f>
        <v/>
      </c>
      <c r="J76" s="106" t="str">
        <f>IF(7850/1000*(1/3)*PI()*ABS(C76-D76)*((E76/2)^2+(E76/2)*(F76/2)+(F76/2)^2-(E76/2-G76/1000)^2-(E76/2-G76/1000)*(F76/2-G76/1000)-(F76/2-G76/1000)^2)=0,"",7850/1000*(1/3)*PI()*ABS(C76-D76)*((E76/2)^2+(E76/2)*(F76/2)+(F76/2)^2-(E76/2-G76/1000)^2-(E76/2-G76/1000)*(F76/2-G76/1000)-(F76/2-G76/1000)^2))</f>
        <v/>
      </c>
      <c r="K76" s="106" t="str">
        <f>IFERROR((MP_DATA[[#This Row],[D, bottom]]+MP_DATA[[#This Row],[D, top]])/(2*MP_DATA[[#This Row],[t]]/1000),"")</f>
        <v/>
      </c>
      <c r="L76" s="106" t="str">
        <f>IFERROR((MP_DATA[[#This Row],[D, bottom]]+#REF!)/(2*#REF!/1000),"")</f>
        <v/>
      </c>
      <c r="AX76" s="106" t="str">
        <f>IFERROR(TP_DATA[[#This Row],[Top]]-TP_DATA[[#This Row],[Bottom]], "")</f>
        <v/>
      </c>
      <c r="AY76" s="106" t="str">
        <f>IFERROR(-(TP_DATA[[#This Row],[D, top]]-TP_DATA[[#This Row],[D, bottom]])/(TP_DATA[[#This Row],[Top]]-TP_DATA[[#This Row],[Bottom]]),"")</f>
        <v/>
      </c>
      <c r="AZ76" s="106" t="str">
        <f t="shared" si="0"/>
        <v/>
      </c>
      <c r="BA76" s="106" t="str">
        <f>IFERROR((TP_DATA[[#This Row],[D, top]]+TP_DATA[[#This Row],[D, bottom]])/(2*TP_DATA[[#This Row],[t]]/1000),"")</f>
        <v/>
      </c>
      <c r="BX76" s="106" t="str">
        <f>IFERROR(TOWER_DATA[[#This Row],[Top]]-TOWER_DATA[[#This Row],[Bottom]], "")</f>
        <v/>
      </c>
      <c r="BY76" s="106" t="str">
        <f>IFERROR(-(TOWER_DATA[[#This Row],[D, top]]-TOWER_DATA[[#This Row],[D, bottom]])/(TOWER_DATA[[#This Row],[Top]]-TOWER_DATA[[#This Row],[Bottom]]),"")</f>
        <v/>
      </c>
      <c r="BZ76" s="106" t="str">
        <f t="shared" si="1"/>
        <v/>
      </c>
      <c r="CA76" s="106" t="str">
        <f>IFERROR((TOWER_DATA[[#This Row],[D, top]]+TOWER_DATA[[#This Row],[D, bottom]])/(2*TOWER_DATA[[#This Row],[t]]/1000),"")</f>
        <v/>
      </c>
    </row>
    <row r="77" spans="8:79" x14ac:dyDescent="0.3">
      <c r="H77" s="106" t="str">
        <f>IFERROR(MP_DATA[[#This Row],[Bottom]]-MP_DATA[[#This Row],[D, top]], "")</f>
        <v/>
      </c>
      <c r="I77" s="106" t="str">
        <f>IFERROR(-(MP_DATA[[#This Row],[D, bottom]]-MP_DATA[[#This Row],[D, top]])/(MP_DATA[[#This Row],[Bottom]]-MP_DATA[[#This Row],[Top]]),"")</f>
        <v/>
      </c>
      <c r="J77" s="106" t="str">
        <f>IF(7850/1000*(1/3)*PI()*ABS(C77-D77)*((E77/2)^2+(E77/2)*(F77/2)+(F77/2)^2-(E77/2-G77/1000)^2-(E77/2-G77/1000)*(F77/2-G77/1000)-(F77/2-G77/1000)^2)=0,"",7850/1000*(1/3)*PI()*ABS(C77-D77)*((E77/2)^2+(E77/2)*(F77/2)+(F77/2)^2-(E77/2-G77/1000)^2-(E77/2-G77/1000)*(F77/2-G77/1000)-(F77/2-G77/1000)^2))</f>
        <v/>
      </c>
      <c r="K77" s="106" t="str">
        <f>IFERROR((MP_DATA[[#This Row],[D, bottom]]+MP_DATA[[#This Row],[D, top]])/(2*MP_DATA[[#This Row],[t]]/1000),"")</f>
        <v/>
      </c>
      <c r="L77" s="106" t="str">
        <f>IFERROR((MP_DATA[[#This Row],[D, bottom]]+#REF!)/(2*#REF!/1000),"")</f>
        <v/>
      </c>
      <c r="AX77" s="106" t="str">
        <f>IFERROR(TP_DATA[[#This Row],[Top]]-TP_DATA[[#This Row],[Bottom]], "")</f>
        <v/>
      </c>
      <c r="AY77" s="106" t="str">
        <f>IFERROR(-(TP_DATA[[#This Row],[D, top]]-TP_DATA[[#This Row],[D, bottom]])/(TP_DATA[[#This Row],[Top]]-TP_DATA[[#This Row],[Bottom]]),"")</f>
        <v/>
      </c>
      <c r="AZ77" s="106" t="str">
        <f t="shared" si="0"/>
        <v/>
      </c>
      <c r="BA77" s="106" t="str">
        <f>IFERROR((TP_DATA[[#This Row],[D, top]]+TP_DATA[[#This Row],[D, bottom]])/(2*TP_DATA[[#This Row],[t]]/1000),"")</f>
        <v/>
      </c>
      <c r="BX77" s="106" t="str">
        <f>IFERROR(TOWER_DATA[[#This Row],[Top]]-TOWER_DATA[[#This Row],[Bottom]], "")</f>
        <v/>
      </c>
      <c r="BY77" s="106" t="str">
        <f>IFERROR(-(TOWER_DATA[[#This Row],[D, top]]-TOWER_DATA[[#This Row],[D, bottom]])/(TOWER_DATA[[#This Row],[Top]]-TOWER_DATA[[#This Row],[Bottom]]),"")</f>
        <v/>
      </c>
      <c r="BZ77" s="106" t="str">
        <f t="shared" si="1"/>
        <v/>
      </c>
      <c r="CA77" s="106" t="str">
        <f>IFERROR((TOWER_DATA[[#This Row],[D, top]]+TOWER_DATA[[#This Row],[D, bottom]])/(2*TOWER_DATA[[#This Row],[t]]/1000),"")</f>
        <v/>
      </c>
    </row>
    <row r="78" spans="8:79" x14ac:dyDescent="0.3">
      <c r="H78" s="106" t="str">
        <f>IFERROR(MP_DATA[[#This Row],[Bottom]]-MP_DATA[[#This Row],[D, top]], "")</f>
        <v/>
      </c>
      <c r="I78" s="106" t="str">
        <f>IFERROR(-(MP_DATA[[#This Row],[D, bottom]]-MP_DATA[[#This Row],[D, top]])/(MP_DATA[[#This Row],[Bottom]]-MP_DATA[[#This Row],[Top]]),"")</f>
        <v/>
      </c>
      <c r="J78" s="106" t="str">
        <f>IF(7850/1000*(1/3)*PI()*ABS(C78-D78)*((E78/2)^2+(E78/2)*(F78/2)+(F78/2)^2-(E78/2-G78/1000)^2-(E78/2-G78/1000)*(F78/2-G78/1000)-(F78/2-G78/1000)^2)=0,"",7850/1000*(1/3)*PI()*ABS(C78-D78)*((E78/2)^2+(E78/2)*(F78/2)+(F78/2)^2-(E78/2-G78/1000)^2-(E78/2-G78/1000)*(F78/2-G78/1000)-(F78/2-G78/1000)^2))</f>
        <v/>
      </c>
      <c r="K78" s="106" t="str">
        <f>IFERROR((MP_DATA[[#This Row],[D, bottom]]+MP_DATA[[#This Row],[D, top]])/(2*MP_DATA[[#This Row],[t]]/1000),"")</f>
        <v/>
      </c>
      <c r="L78" s="106" t="str">
        <f>IFERROR((MP_DATA[[#This Row],[D, bottom]]+#REF!)/(2*#REF!/1000),"")</f>
        <v/>
      </c>
      <c r="AX78" s="106" t="str">
        <f>IFERROR(TP_DATA[[#This Row],[Top]]-TP_DATA[[#This Row],[Bottom]], "")</f>
        <v/>
      </c>
      <c r="AY78" s="106" t="str">
        <f>IFERROR(-(TP_DATA[[#This Row],[D, top]]-TP_DATA[[#This Row],[D, bottom]])/(TP_DATA[[#This Row],[Top]]-TP_DATA[[#This Row],[Bottom]]),"")</f>
        <v/>
      </c>
      <c r="AZ78" s="106" t="str">
        <f t="shared" si="0"/>
        <v/>
      </c>
      <c r="BA78" s="106" t="str">
        <f>IFERROR((TP_DATA[[#This Row],[D, top]]+TP_DATA[[#This Row],[D, bottom]])/(2*TP_DATA[[#This Row],[t]]/1000),"")</f>
        <v/>
      </c>
      <c r="BX78" s="106" t="str">
        <f>IFERROR(TOWER_DATA[[#This Row],[Top]]-TOWER_DATA[[#This Row],[Bottom]], "")</f>
        <v/>
      </c>
      <c r="BY78" s="106" t="str">
        <f>IFERROR(-(TOWER_DATA[[#This Row],[D, top]]-TOWER_DATA[[#This Row],[D, bottom]])/(TOWER_DATA[[#This Row],[Top]]-TOWER_DATA[[#This Row],[Bottom]]),"")</f>
        <v/>
      </c>
      <c r="BZ78" s="106" t="str">
        <f t="shared" si="1"/>
        <v/>
      </c>
      <c r="CA78" s="106" t="str">
        <f>IFERROR((TOWER_DATA[[#This Row],[D, top]]+TOWER_DATA[[#This Row],[D, bottom]])/(2*TOWER_DATA[[#This Row],[t]]/1000),"")</f>
        <v/>
      </c>
    </row>
    <row r="79" spans="8:79" x14ac:dyDescent="0.3">
      <c r="H79" s="106" t="str">
        <f>IFERROR(MP_DATA[[#This Row],[Bottom]]-MP_DATA[[#This Row],[D, top]], "")</f>
        <v/>
      </c>
      <c r="I79" s="106" t="str">
        <f>IFERROR(-(MP_DATA[[#This Row],[D, bottom]]-MP_DATA[[#This Row],[D, top]])/(MP_DATA[[#This Row],[Bottom]]-MP_DATA[[#This Row],[Top]]),"")</f>
        <v/>
      </c>
      <c r="J79" s="106" t="str">
        <f>IF(7850/1000*(1/3)*PI()*ABS(C79-D79)*((E79/2)^2+(E79/2)*(F79/2)+(F79/2)^2-(E79/2-G79/1000)^2-(E79/2-G79/1000)*(F79/2-G79/1000)-(F79/2-G79/1000)^2)=0,"",7850/1000*(1/3)*PI()*ABS(C79-D79)*((E79/2)^2+(E79/2)*(F79/2)+(F79/2)^2-(E79/2-G79/1000)^2-(E79/2-G79/1000)*(F79/2-G79/1000)-(F79/2-G79/1000)^2))</f>
        <v/>
      </c>
      <c r="K79" s="106" t="str">
        <f>IFERROR((MP_DATA[[#This Row],[D, bottom]]+MP_DATA[[#This Row],[D, top]])/(2*MP_DATA[[#This Row],[t]]/1000),"")</f>
        <v/>
      </c>
      <c r="L79" s="106" t="str">
        <f>IFERROR((MP_DATA[[#This Row],[D, bottom]]+#REF!)/(2*#REF!/1000),"")</f>
        <v/>
      </c>
      <c r="AX79" s="106" t="str">
        <f>IFERROR(TP_DATA[[#This Row],[Top]]-TP_DATA[[#This Row],[Bottom]], "")</f>
        <v/>
      </c>
      <c r="AY79" s="106" t="str">
        <f>IFERROR(-(TP_DATA[[#This Row],[D, top]]-TP_DATA[[#This Row],[D, bottom]])/(TP_DATA[[#This Row],[Top]]-TP_DATA[[#This Row],[Bottom]]),"")</f>
        <v/>
      </c>
      <c r="AZ79" s="106" t="str">
        <f t="shared" si="0"/>
        <v/>
      </c>
      <c r="BA79" s="106" t="str">
        <f>IFERROR((TP_DATA[[#This Row],[D, top]]+TP_DATA[[#This Row],[D, bottom]])/(2*TP_DATA[[#This Row],[t]]/1000),"")</f>
        <v/>
      </c>
      <c r="BX79" s="106" t="str">
        <f>IFERROR(TOWER_DATA[[#This Row],[Top]]-TOWER_DATA[[#This Row],[Bottom]], "")</f>
        <v/>
      </c>
      <c r="BY79" s="106" t="str">
        <f>IFERROR(-(TOWER_DATA[[#This Row],[D, top]]-TOWER_DATA[[#This Row],[D, bottom]])/(TOWER_DATA[[#This Row],[Top]]-TOWER_DATA[[#This Row],[Bottom]]),"")</f>
        <v/>
      </c>
      <c r="BZ79" s="106" t="str">
        <f t="shared" si="1"/>
        <v/>
      </c>
      <c r="CA79" s="106" t="str">
        <f>IFERROR((TOWER_DATA[[#This Row],[D, top]]+TOWER_DATA[[#This Row],[D, bottom]])/(2*TOWER_DATA[[#This Row],[t]]/1000),"")</f>
        <v/>
      </c>
    </row>
    <row r="80" spans="8:79" x14ac:dyDescent="0.3">
      <c r="H80" s="106" t="str">
        <f>IFERROR(MP_DATA[[#This Row],[Bottom]]-MP_DATA[[#This Row],[D, top]], "")</f>
        <v/>
      </c>
      <c r="I80" s="106" t="str">
        <f>IFERROR(-(MP_DATA[[#This Row],[D, bottom]]-MP_DATA[[#This Row],[D, top]])/(MP_DATA[[#This Row],[Bottom]]-MP_DATA[[#This Row],[Top]]),"")</f>
        <v/>
      </c>
      <c r="J80" s="106" t="str">
        <f>IF(7850/1000*(1/3)*PI()*ABS(C80-D80)*((E80/2)^2+(E80/2)*(F80/2)+(F80/2)^2-(E80/2-G80/1000)^2-(E80/2-G80/1000)*(F80/2-G80/1000)-(F80/2-G80/1000)^2)=0,"",7850/1000*(1/3)*PI()*ABS(C80-D80)*((E80/2)^2+(E80/2)*(F80/2)+(F80/2)^2-(E80/2-G80/1000)^2-(E80/2-G80/1000)*(F80/2-G80/1000)-(F80/2-G80/1000)^2))</f>
        <v/>
      </c>
      <c r="K80" s="106" t="str">
        <f>IFERROR((MP_DATA[[#This Row],[D, bottom]]+MP_DATA[[#This Row],[D, top]])/(2*MP_DATA[[#This Row],[t]]/1000),"")</f>
        <v/>
      </c>
      <c r="L80" s="106" t="str">
        <f>IFERROR((MP_DATA[[#This Row],[D, bottom]]+#REF!)/(2*#REF!/1000),"")</f>
        <v/>
      </c>
      <c r="AX80" s="106" t="str">
        <f>IFERROR(TP_DATA[[#This Row],[Top]]-TP_DATA[[#This Row],[Bottom]], "")</f>
        <v/>
      </c>
      <c r="AY80" s="106" t="str">
        <f>IFERROR(-(TP_DATA[[#This Row],[D, top]]-TP_DATA[[#This Row],[D, bottom]])/(TP_DATA[[#This Row],[Top]]-TP_DATA[[#This Row],[Bottom]]),"")</f>
        <v/>
      </c>
      <c r="AZ80" s="106" t="str">
        <f t="shared" si="0"/>
        <v/>
      </c>
      <c r="BA80" s="106" t="str">
        <f>IFERROR((TP_DATA[[#This Row],[D, top]]+TP_DATA[[#This Row],[D, bottom]])/(2*TP_DATA[[#This Row],[t]]/1000),"")</f>
        <v/>
      </c>
      <c r="BX80" s="106" t="str">
        <f>IFERROR(TOWER_DATA[[#This Row],[Top]]-TOWER_DATA[[#This Row],[Bottom]], "")</f>
        <v/>
      </c>
      <c r="BY80" s="106" t="str">
        <f>IFERROR(-(TOWER_DATA[[#This Row],[D, top]]-TOWER_DATA[[#This Row],[D, bottom]])/(TOWER_DATA[[#This Row],[Top]]-TOWER_DATA[[#This Row],[Bottom]]),"")</f>
        <v/>
      </c>
      <c r="BZ80" s="106" t="str">
        <f t="shared" si="1"/>
        <v/>
      </c>
      <c r="CA80" s="106" t="str">
        <f>IFERROR((TOWER_DATA[[#This Row],[D, top]]+TOWER_DATA[[#This Row],[D, bottom]])/(2*TOWER_DATA[[#This Row],[t]]/1000),"")</f>
        <v/>
      </c>
    </row>
    <row r="81" spans="8:79" x14ac:dyDescent="0.3">
      <c r="H81" s="106" t="str">
        <f>IFERROR(MP_DATA[[#This Row],[Bottom]]-MP_DATA[[#This Row],[D, top]], "")</f>
        <v/>
      </c>
      <c r="I81" s="106" t="str">
        <f>IFERROR(-(MP_DATA[[#This Row],[D, bottom]]-MP_DATA[[#This Row],[D, top]])/(MP_DATA[[#This Row],[Bottom]]-MP_DATA[[#This Row],[Top]]),"")</f>
        <v/>
      </c>
      <c r="J81" s="106" t="str">
        <f>IF(7850/1000*(1/3)*PI()*ABS(C81-D81)*((E81/2)^2+(E81/2)*(F81/2)+(F81/2)^2-(E81/2-G81/1000)^2-(E81/2-G81/1000)*(F81/2-G81/1000)-(F81/2-G81/1000)^2)=0,"",7850/1000*(1/3)*PI()*ABS(C81-D81)*((E81/2)^2+(E81/2)*(F81/2)+(F81/2)^2-(E81/2-G81/1000)^2-(E81/2-G81/1000)*(F81/2-G81/1000)-(F81/2-G81/1000)^2))</f>
        <v/>
      </c>
      <c r="K81" s="106" t="str">
        <f>IFERROR((MP_DATA[[#This Row],[D, bottom]]+MP_DATA[[#This Row],[D, top]])/(2*MP_DATA[[#This Row],[t]]/1000),"")</f>
        <v/>
      </c>
      <c r="L81" s="106" t="str">
        <f>IFERROR((MP_DATA[[#This Row],[D, bottom]]+#REF!)/(2*#REF!/1000),"")</f>
        <v/>
      </c>
      <c r="AX81" s="106" t="str">
        <f>IFERROR(TP_DATA[[#This Row],[Top]]-TP_DATA[[#This Row],[Bottom]], "")</f>
        <v/>
      </c>
      <c r="AY81" s="106" t="str">
        <f>IFERROR(-(TP_DATA[[#This Row],[D, top]]-TP_DATA[[#This Row],[D, bottom]])/(TP_DATA[[#This Row],[Top]]-TP_DATA[[#This Row],[Bottom]]),"")</f>
        <v/>
      </c>
      <c r="AZ81" s="106" t="str">
        <f t="shared" si="0"/>
        <v/>
      </c>
      <c r="BA81" s="106" t="str">
        <f>IFERROR((TP_DATA[[#This Row],[D, top]]+TP_DATA[[#This Row],[D, bottom]])/(2*TP_DATA[[#This Row],[t]]/1000),"")</f>
        <v/>
      </c>
      <c r="BX81" s="106" t="str">
        <f>IFERROR(TOWER_DATA[[#This Row],[Top]]-TOWER_DATA[[#This Row],[Bottom]], "")</f>
        <v/>
      </c>
      <c r="BY81" s="106" t="str">
        <f>IFERROR(-(TOWER_DATA[[#This Row],[D, top]]-TOWER_DATA[[#This Row],[D, bottom]])/(TOWER_DATA[[#This Row],[Top]]-TOWER_DATA[[#This Row],[Bottom]]),"")</f>
        <v/>
      </c>
      <c r="BZ81" s="106" t="str">
        <f t="shared" si="1"/>
        <v/>
      </c>
      <c r="CA81" s="106" t="str">
        <f>IFERROR((TOWER_DATA[[#This Row],[D, top]]+TOWER_DATA[[#This Row],[D, bottom]])/(2*TOWER_DATA[[#This Row],[t]]/1000),"")</f>
        <v/>
      </c>
    </row>
    <row r="82" spans="8:79" x14ac:dyDescent="0.3">
      <c r="H82" s="106" t="str">
        <f>IFERROR(MP_DATA[[#This Row],[Bottom]]-MP_DATA[[#This Row],[D, top]], "")</f>
        <v/>
      </c>
      <c r="I82" s="106" t="str">
        <f>IFERROR(-(MP_DATA[[#This Row],[D, bottom]]-MP_DATA[[#This Row],[D, top]])/(MP_DATA[[#This Row],[Bottom]]-MP_DATA[[#This Row],[Top]]),"")</f>
        <v/>
      </c>
      <c r="J82" s="106" t="str">
        <f>IF(7850/1000*(1/3)*PI()*ABS(C82-D82)*((E82/2)^2+(E82/2)*(F82/2)+(F82/2)^2-(E82/2-G82/1000)^2-(E82/2-G82/1000)*(F82/2-G82/1000)-(F82/2-G82/1000)^2)=0,"",7850/1000*(1/3)*PI()*ABS(C82-D82)*((E82/2)^2+(E82/2)*(F82/2)+(F82/2)^2-(E82/2-G82/1000)^2-(E82/2-G82/1000)*(F82/2-G82/1000)-(F82/2-G82/1000)^2))</f>
        <v/>
      </c>
      <c r="K82" s="106" t="str">
        <f>IFERROR((MP_DATA[[#This Row],[D, bottom]]+MP_DATA[[#This Row],[D, top]])/(2*MP_DATA[[#This Row],[t]]/1000),"")</f>
        <v/>
      </c>
      <c r="L82" s="106" t="str">
        <f>IFERROR((MP_DATA[[#This Row],[D, bottom]]+#REF!)/(2*#REF!/1000),"")</f>
        <v/>
      </c>
      <c r="AX82" s="106" t="str">
        <f>IFERROR(TP_DATA[[#This Row],[Top]]-TP_DATA[[#This Row],[Bottom]], "")</f>
        <v/>
      </c>
      <c r="AY82" s="106" t="str">
        <f>IFERROR(-(TP_DATA[[#This Row],[D, top]]-TP_DATA[[#This Row],[D, bottom]])/(TP_DATA[[#This Row],[Top]]-TP_DATA[[#This Row],[Bottom]]),"")</f>
        <v/>
      </c>
      <c r="AZ82" s="106" t="str">
        <f t="shared" si="0"/>
        <v/>
      </c>
      <c r="BA82" s="106" t="str">
        <f>IFERROR((TP_DATA[[#This Row],[D, top]]+TP_DATA[[#This Row],[D, bottom]])/(2*TP_DATA[[#This Row],[t]]/1000),"")</f>
        <v/>
      </c>
      <c r="BX82" s="106" t="str">
        <f>IFERROR(TOWER_DATA[[#This Row],[Top]]-TOWER_DATA[[#This Row],[Bottom]], "")</f>
        <v/>
      </c>
      <c r="BY82" s="106" t="str">
        <f>IFERROR(-(TOWER_DATA[[#This Row],[D, top]]-TOWER_DATA[[#This Row],[D, bottom]])/(TOWER_DATA[[#This Row],[Top]]-TOWER_DATA[[#This Row],[Bottom]]),"")</f>
        <v/>
      </c>
      <c r="BZ82" s="106" t="str">
        <f t="shared" si="1"/>
        <v/>
      </c>
      <c r="CA82" s="106" t="str">
        <f>IFERROR((TOWER_DATA[[#This Row],[D, top]]+TOWER_DATA[[#This Row],[D, bottom]])/(2*TOWER_DATA[[#This Row],[t]]/1000),"")</f>
        <v/>
      </c>
    </row>
    <row r="83" spans="8:79" x14ac:dyDescent="0.3">
      <c r="H83" s="106" t="str">
        <f>IFERROR(MP_DATA[[#This Row],[Bottom]]-MP_DATA[[#This Row],[D, top]], "")</f>
        <v/>
      </c>
      <c r="I83" s="106" t="str">
        <f>IFERROR(-(MP_DATA[[#This Row],[D, bottom]]-MP_DATA[[#This Row],[D, top]])/(MP_DATA[[#This Row],[Bottom]]-MP_DATA[[#This Row],[Top]]),"")</f>
        <v/>
      </c>
      <c r="J83" s="106" t="str">
        <f>IF(7850/1000*(1/3)*PI()*ABS(C83-D83)*((E83/2)^2+(E83/2)*(F83/2)+(F83/2)^2-(E83/2-G83/1000)^2-(E83/2-G83/1000)*(F83/2-G83/1000)-(F83/2-G83/1000)^2)=0,"",7850/1000*(1/3)*PI()*ABS(C83-D83)*((E83/2)^2+(E83/2)*(F83/2)+(F83/2)^2-(E83/2-G83/1000)^2-(E83/2-G83/1000)*(F83/2-G83/1000)-(F83/2-G83/1000)^2))</f>
        <v/>
      </c>
      <c r="K83" s="106" t="str">
        <f>IFERROR((MP_DATA[[#This Row],[D, bottom]]+MP_DATA[[#This Row],[D, top]])/(2*MP_DATA[[#This Row],[t]]/1000),"")</f>
        <v/>
      </c>
      <c r="L83" s="106" t="str">
        <f>IFERROR((MP_DATA[[#This Row],[D, bottom]]+#REF!)/(2*#REF!/1000),"")</f>
        <v/>
      </c>
      <c r="AX83" s="106" t="str">
        <f>IFERROR(TP_DATA[[#This Row],[Top]]-TP_DATA[[#This Row],[Bottom]], "")</f>
        <v/>
      </c>
      <c r="AY83" s="106" t="str">
        <f>IFERROR(-(TP_DATA[[#This Row],[D, top]]-TP_DATA[[#This Row],[D, bottom]])/(TP_DATA[[#This Row],[Top]]-TP_DATA[[#This Row],[Bottom]]),"")</f>
        <v/>
      </c>
      <c r="AZ83" s="106" t="str">
        <f t="shared" si="0"/>
        <v/>
      </c>
      <c r="BA83" s="106" t="str">
        <f>IFERROR((TP_DATA[[#This Row],[D, top]]+TP_DATA[[#This Row],[D, bottom]])/(2*TP_DATA[[#This Row],[t]]/1000),"")</f>
        <v/>
      </c>
      <c r="BX83" s="106" t="str">
        <f>IFERROR(TOWER_DATA[[#This Row],[Top]]-TOWER_DATA[[#This Row],[Bottom]], "")</f>
        <v/>
      </c>
      <c r="BY83" s="106" t="str">
        <f>IFERROR(-(TOWER_DATA[[#This Row],[D, top]]-TOWER_DATA[[#This Row],[D, bottom]])/(TOWER_DATA[[#This Row],[Top]]-TOWER_DATA[[#This Row],[Bottom]]),"")</f>
        <v/>
      </c>
      <c r="BZ83" s="106" t="str">
        <f t="shared" si="1"/>
        <v/>
      </c>
      <c r="CA83" s="106" t="str">
        <f>IFERROR((TOWER_DATA[[#This Row],[D, top]]+TOWER_DATA[[#This Row],[D, bottom]])/(2*TOWER_DATA[[#This Row],[t]]/1000),"")</f>
        <v/>
      </c>
    </row>
    <row r="84" spans="8:79" x14ac:dyDescent="0.3">
      <c r="H84" s="106" t="str">
        <f>IFERROR(MP_DATA[[#This Row],[Bottom]]-MP_DATA[[#This Row],[D, top]], "")</f>
        <v/>
      </c>
      <c r="I84" s="106" t="str">
        <f>IFERROR(-(MP_DATA[[#This Row],[D, bottom]]-MP_DATA[[#This Row],[D, top]])/(MP_DATA[[#This Row],[Bottom]]-MP_DATA[[#This Row],[Top]]),"")</f>
        <v/>
      </c>
      <c r="J84" s="106" t="str">
        <f t="shared" ref="J84:J147" si="2">IF(7850/1000*(1/3)*PI()*ABS(C84-D84)*((E84/2)^2+(E84/2)*(F84/2)+(F84/2)^2-(E84/2-G84/1000)^2-(E84/2-G84/1000)*(F84/2-G84/1000)-(F84/2-G84/1000)^2)=0,"",7850/1000*(1/3)*PI()*ABS(C84-D84)*((E84/2)^2+(E84/2)*(F84/2)+(F84/2)^2-(E84/2-G84/1000)^2-(E84/2-G84/1000)*(F84/2-G84/1000)-(F84/2-G84/1000)^2))</f>
        <v/>
      </c>
      <c r="K84" s="106" t="str">
        <f>IFERROR((MP_DATA[[#This Row],[D, bottom]]+MP_DATA[[#This Row],[D, top]])/(2*MP_DATA[[#This Row],[t]]/1000),"")</f>
        <v/>
      </c>
      <c r="L84" s="106" t="str">
        <f>IFERROR((MP_DATA[[#This Row],[D, bottom]]+#REF!)/(2*#REF!/1000),"")</f>
        <v/>
      </c>
      <c r="AX84" s="106" t="str">
        <f>IFERROR(TP_DATA[[#This Row],[Top]]-TP_DATA[[#This Row],[Bottom]], "")</f>
        <v/>
      </c>
      <c r="AY84" s="106" t="str">
        <f>IFERROR(-(TP_DATA[[#This Row],[D, top]]-TP_DATA[[#This Row],[D, bottom]])/(TP_DATA[[#This Row],[Top]]-TP_DATA[[#This Row],[Bottom]]),"")</f>
        <v/>
      </c>
      <c r="AZ84" s="106" t="str">
        <f t="shared" ref="AZ84:AZ139" si="3">IF(7850/1000 * (1/3) * PI() * ABS(AS84 - AT84) * ((AU84/2)^2 + (AU84/2)*(AV84/2) + (AV84/2)^2  - (AU84/2 - AW84/1000)^2 - (AU84/2 - AW84/1000)*(AV84/2 - AW84/1000) - (AV84/2 - AW84/1000)^2)=0, "", 7850/1000 * (1/3) * PI() * ABS(AS84 - AT84) * ((AU84/2)^2 + (AU84/2)*(AV84/2) + (AV84/2)^2  - (AU84/2 - AW84/1000)^2 - (AU84/2 - AW84/1000)*(AV84/2 - AW84/1000) - (AV84/2 - AW84/1000)^2))</f>
        <v/>
      </c>
      <c r="BA84" s="106" t="str">
        <f>IFERROR((TP_DATA[[#This Row],[D, top]]+TP_DATA[[#This Row],[D, bottom]])/(2*TP_DATA[[#This Row],[t]]/1000),"")</f>
        <v/>
      </c>
      <c r="BX84" s="106" t="str">
        <f>IFERROR(TOWER_DATA[[#This Row],[Top]]-TOWER_DATA[[#This Row],[Bottom]], "")</f>
        <v/>
      </c>
      <c r="BY84" s="106" t="str">
        <f>IFERROR(-(TOWER_DATA[[#This Row],[D, top]]-TOWER_DATA[[#This Row],[D, bottom]])/(TOWER_DATA[[#This Row],[Top]]-TOWER_DATA[[#This Row],[Bottom]]),"")</f>
        <v/>
      </c>
      <c r="BZ84" s="106" t="str">
        <f t="shared" ref="BZ84:BZ147" si="4">IF(7850/1000 * (1/3) * PI() * ABS(BS84 - BT84) * ((BU84/2)^2 + (BU84/2)*(BV84/2) + (BV84/2)^2  - (BU84/2 - BW84/1000)^2 - (BU84/2 - BW84/1000)*(BV84/2 - BW84/1000) - (BV84/2 - BW84/1000)^2)=0, "", 7850/1000 * (1/3) * PI() * ABS(BS84 - BT84) * ((BU84/2)^2 + (BU84/2)*(BV84/2) + (BV84/2)^2  - (BU84/2 - BW84/1000)^2 - (BU84/2 - BW84/1000)*(BV84/2 - BW84/1000) - (BV84/2 - BW84/1000)^2))</f>
        <v/>
      </c>
      <c r="CA84" s="106" t="str">
        <f>IFERROR((TOWER_DATA[[#This Row],[D, top]]+TOWER_DATA[[#This Row],[D, bottom]])/(2*TOWER_DATA[[#This Row],[t]]/1000),"")</f>
        <v/>
      </c>
    </row>
    <row r="85" spans="8:79" x14ac:dyDescent="0.3">
      <c r="H85" s="106" t="str">
        <f>IFERROR(MP_DATA[[#This Row],[Bottom]]-MP_DATA[[#This Row],[D, top]], "")</f>
        <v/>
      </c>
      <c r="I85" s="106" t="str">
        <f>IFERROR(-(MP_DATA[[#This Row],[D, bottom]]-MP_DATA[[#This Row],[D, top]])/(MP_DATA[[#This Row],[Bottom]]-MP_DATA[[#This Row],[Top]]),"")</f>
        <v/>
      </c>
      <c r="J85" s="106" t="str">
        <f t="shared" si="2"/>
        <v/>
      </c>
      <c r="K85" s="106" t="str">
        <f>IFERROR((MP_DATA[[#This Row],[D, bottom]]+MP_DATA[[#This Row],[D, top]])/(2*MP_DATA[[#This Row],[t]]/1000),"")</f>
        <v/>
      </c>
      <c r="L85" s="106" t="str">
        <f>IFERROR((MP_DATA[[#This Row],[D, bottom]]+#REF!)/(2*#REF!/1000),"")</f>
        <v/>
      </c>
      <c r="AX85" s="106" t="str">
        <f>IFERROR(TP_DATA[[#This Row],[Top]]-TP_DATA[[#This Row],[Bottom]], "")</f>
        <v/>
      </c>
      <c r="AY85" s="106" t="str">
        <f>IFERROR(-(TP_DATA[[#This Row],[D, top]]-TP_DATA[[#This Row],[D, bottom]])/(TP_DATA[[#This Row],[Top]]-TP_DATA[[#This Row],[Bottom]]),"")</f>
        <v/>
      </c>
      <c r="AZ85" s="106" t="str">
        <f t="shared" si="3"/>
        <v/>
      </c>
      <c r="BA85" s="106" t="str">
        <f>IFERROR((TP_DATA[[#This Row],[D, top]]+TP_DATA[[#This Row],[D, bottom]])/(2*TP_DATA[[#This Row],[t]]/1000),"")</f>
        <v/>
      </c>
      <c r="BX85" s="106" t="str">
        <f>IFERROR(TOWER_DATA[[#This Row],[Top]]-TOWER_DATA[[#This Row],[Bottom]], "")</f>
        <v/>
      </c>
      <c r="BY85" s="106" t="str">
        <f>IFERROR(-(TOWER_DATA[[#This Row],[D, top]]-TOWER_DATA[[#This Row],[D, bottom]])/(TOWER_DATA[[#This Row],[Top]]-TOWER_DATA[[#This Row],[Bottom]]),"")</f>
        <v/>
      </c>
      <c r="BZ85" s="106" t="str">
        <f t="shared" si="4"/>
        <v/>
      </c>
      <c r="CA85" s="106" t="str">
        <f>IFERROR((TOWER_DATA[[#This Row],[D, top]]+TOWER_DATA[[#This Row],[D, bottom]])/(2*TOWER_DATA[[#This Row],[t]]/1000),"")</f>
        <v/>
      </c>
    </row>
    <row r="86" spans="8:79" x14ac:dyDescent="0.3">
      <c r="H86" s="106" t="str">
        <f>IFERROR(MP_DATA[[#This Row],[Bottom]]-MP_DATA[[#This Row],[D, top]], "")</f>
        <v/>
      </c>
      <c r="I86" s="106" t="str">
        <f>IFERROR(-(MP_DATA[[#This Row],[D, bottom]]-MP_DATA[[#This Row],[D, top]])/(MP_DATA[[#This Row],[Bottom]]-MP_DATA[[#This Row],[Top]]),"")</f>
        <v/>
      </c>
      <c r="J86" s="106" t="str">
        <f t="shared" si="2"/>
        <v/>
      </c>
      <c r="K86" s="106" t="str">
        <f>IFERROR((MP_DATA[[#This Row],[D, bottom]]+MP_DATA[[#This Row],[D, top]])/(2*MP_DATA[[#This Row],[t]]/1000),"")</f>
        <v/>
      </c>
      <c r="L86" s="106" t="str">
        <f>IFERROR((MP_DATA[[#This Row],[D, bottom]]+#REF!)/(2*#REF!/1000),"")</f>
        <v/>
      </c>
      <c r="AX86" s="106" t="str">
        <f>IFERROR(TP_DATA[[#This Row],[Top]]-TP_DATA[[#This Row],[Bottom]], "")</f>
        <v/>
      </c>
      <c r="AY86" s="106" t="str">
        <f>IFERROR(-(TP_DATA[[#This Row],[D, top]]-TP_DATA[[#This Row],[D, bottom]])/(TP_DATA[[#This Row],[Top]]-TP_DATA[[#This Row],[Bottom]]),"")</f>
        <v/>
      </c>
      <c r="AZ86" s="106" t="str">
        <f t="shared" si="3"/>
        <v/>
      </c>
      <c r="BA86" s="106" t="str">
        <f>IFERROR((TP_DATA[[#This Row],[D, top]]+TP_DATA[[#This Row],[D, bottom]])/(2*TP_DATA[[#This Row],[t]]/1000),"")</f>
        <v/>
      </c>
      <c r="BX86" s="106" t="str">
        <f>IFERROR(TOWER_DATA[[#This Row],[Top]]-TOWER_DATA[[#This Row],[Bottom]], "")</f>
        <v/>
      </c>
      <c r="BY86" s="106" t="str">
        <f>IFERROR(-(TOWER_DATA[[#This Row],[D, top]]-TOWER_DATA[[#This Row],[D, bottom]])/(TOWER_DATA[[#This Row],[Top]]-TOWER_DATA[[#This Row],[Bottom]]),"")</f>
        <v/>
      </c>
      <c r="BZ86" s="106" t="str">
        <f t="shared" si="4"/>
        <v/>
      </c>
      <c r="CA86" s="106" t="str">
        <f>IFERROR((TOWER_DATA[[#This Row],[D, top]]+TOWER_DATA[[#This Row],[D, bottom]])/(2*TOWER_DATA[[#This Row],[t]]/1000),"")</f>
        <v/>
      </c>
    </row>
    <row r="87" spans="8:79" x14ac:dyDescent="0.3">
      <c r="H87" s="106" t="str">
        <f>IFERROR(MP_DATA[[#This Row],[Bottom]]-MP_DATA[[#This Row],[D, top]], "")</f>
        <v/>
      </c>
      <c r="I87" s="106" t="str">
        <f>IFERROR(-(MP_DATA[[#This Row],[D, bottom]]-MP_DATA[[#This Row],[D, top]])/(MP_DATA[[#This Row],[Bottom]]-MP_DATA[[#This Row],[Top]]),"")</f>
        <v/>
      </c>
      <c r="J87" s="106" t="str">
        <f t="shared" si="2"/>
        <v/>
      </c>
      <c r="K87" s="106" t="str">
        <f>IFERROR((MP_DATA[[#This Row],[D, bottom]]+MP_DATA[[#This Row],[D, top]])/(2*MP_DATA[[#This Row],[t]]/1000),"")</f>
        <v/>
      </c>
      <c r="L87" s="106" t="str">
        <f>IFERROR((MP_DATA[[#This Row],[D, bottom]]+#REF!)/(2*#REF!/1000),"")</f>
        <v/>
      </c>
      <c r="AX87" s="106" t="str">
        <f>IFERROR(TP_DATA[[#This Row],[Top]]-TP_DATA[[#This Row],[Bottom]], "")</f>
        <v/>
      </c>
      <c r="AY87" s="106" t="str">
        <f>IFERROR(-(TP_DATA[[#This Row],[D, top]]-TP_DATA[[#This Row],[D, bottom]])/(TP_DATA[[#This Row],[Top]]-TP_DATA[[#This Row],[Bottom]]),"")</f>
        <v/>
      </c>
      <c r="AZ87" s="106" t="str">
        <f t="shared" si="3"/>
        <v/>
      </c>
      <c r="BA87" s="106" t="str">
        <f>IFERROR((TP_DATA[[#This Row],[D, top]]+TP_DATA[[#This Row],[D, bottom]])/(2*TP_DATA[[#This Row],[t]]/1000),"")</f>
        <v/>
      </c>
      <c r="BX87" s="106" t="str">
        <f>IFERROR(TOWER_DATA[[#This Row],[Top]]-TOWER_DATA[[#This Row],[Bottom]], "")</f>
        <v/>
      </c>
      <c r="BY87" s="106" t="str">
        <f>IFERROR(-(TOWER_DATA[[#This Row],[D, top]]-TOWER_DATA[[#This Row],[D, bottom]])/(TOWER_DATA[[#This Row],[Top]]-TOWER_DATA[[#This Row],[Bottom]]),"")</f>
        <v/>
      </c>
      <c r="BZ87" s="106" t="str">
        <f t="shared" si="4"/>
        <v/>
      </c>
      <c r="CA87" s="106" t="str">
        <f>IFERROR((TOWER_DATA[[#This Row],[D, top]]+TOWER_DATA[[#This Row],[D, bottom]])/(2*TOWER_DATA[[#This Row],[t]]/1000),"")</f>
        <v/>
      </c>
    </row>
    <row r="88" spans="8:79" x14ac:dyDescent="0.3">
      <c r="H88" s="106" t="str">
        <f>IFERROR(MP_DATA[[#This Row],[Bottom]]-MP_DATA[[#This Row],[D, top]], "")</f>
        <v/>
      </c>
      <c r="I88" s="106" t="str">
        <f>IFERROR(-(MP_DATA[[#This Row],[D, bottom]]-MP_DATA[[#This Row],[D, top]])/(MP_DATA[[#This Row],[Bottom]]-MP_DATA[[#This Row],[Top]]),"")</f>
        <v/>
      </c>
      <c r="J88" s="106" t="str">
        <f t="shared" si="2"/>
        <v/>
      </c>
      <c r="K88" s="106" t="str">
        <f>IFERROR((MP_DATA[[#This Row],[D, bottom]]+MP_DATA[[#This Row],[D, top]])/(2*MP_DATA[[#This Row],[t]]/1000),"")</f>
        <v/>
      </c>
      <c r="L88" s="106" t="str">
        <f>IFERROR((MP_DATA[[#This Row],[D, bottom]]+#REF!)/(2*#REF!/1000),"")</f>
        <v/>
      </c>
      <c r="AX88" s="106" t="str">
        <f>IFERROR(TP_DATA[[#This Row],[Top]]-TP_DATA[[#This Row],[Bottom]], "")</f>
        <v/>
      </c>
      <c r="AY88" s="106" t="str">
        <f>IFERROR(-(TP_DATA[[#This Row],[D, top]]-TP_DATA[[#This Row],[D, bottom]])/(TP_DATA[[#This Row],[Top]]-TP_DATA[[#This Row],[Bottom]]),"")</f>
        <v/>
      </c>
      <c r="AZ88" s="106" t="str">
        <f t="shared" si="3"/>
        <v/>
      </c>
      <c r="BA88" s="106" t="str">
        <f>IFERROR((TP_DATA[[#This Row],[D, top]]+TP_DATA[[#This Row],[D, bottom]])/(2*TP_DATA[[#This Row],[t]]/1000),"")</f>
        <v/>
      </c>
      <c r="BX88" s="106" t="str">
        <f>IFERROR(TOWER_DATA[[#This Row],[Top]]-TOWER_DATA[[#This Row],[Bottom]], "")</f>
        <v/>
      </c>
      <c r="BY88" s="106" t="str">
        <f>IFERROR(-(TOWER_DATA[[#This Row],[D, top]]-TOWER_DATA[[#This Row],[D, bottom]])/(TOWER_DATA[[#This Row],[Top]]-TOWER_DATA[[#This Row],[Bottom]]),"")</f>
        <v/>
      </c>
      <c r="BZ88" s="106" t="str">
        <f t="shared" si="4"/>
        <v/>
      </c>
      <c r="CA88" s="106" t="str">
        <f>IFERROR((TOWER_DATA[[#This Row],[D, top]]+TOWER_DATA[[#This Row],[D, bottom]])/(2*TOWER_DATA[[#This Row],[t]]/1000),"")</f>
        <v/>
      </c>
    </row>
    <row r="89" spans="8:79" x14ac:dyDescent="0.3">
      <c r="H89" s="106" t="str">
        <f>IFERROR(MP_DATA[[#This Row],[Bottom]]-MP_DATA[[#This Row],[D, top]], "")</f>
        <v/>
      </c>
      <c r="I89" s="106" t="str">
        <f>IFERROR(-(MP_DATA[[#This Row],[D, bottom]]-MP_DATA[[#This Row],[D, top]])/(MP_DATA[[#This Row],[Bottom]]-MP_DATA[[#This Row],[Top]]),"")</f>
        <v/>
      </c>
      <c r="J89" s="106" t="str">
        <f t="shared" si="2"/>
        <v/>
      </c>
      <c r="K89" s="106" t="str">
        <f>IFERROR((MP_DATA[[#This Row],[D, bottom]]+MP_DATA[[#This Row],[D, top]])/(2*MP_DATA[[#This Row],[t]]/1000),"")</f>
        <v/>
      </c>
      <c r="L89" s="106" t="str">
        <f>IFERROR((MP_DATA[[#This Row],[D, bottom]]+#REF!)/(2*#REF!/1000),"")</f>
        <v/>
      </c>
      <c r="AX89" s="106" t="str">
        <f>IFERROR(TP_DATA[[#This Row],[Top]]-TP_DATA[[#This Row],[Bottom]], "")</f>
        <v/>
      </c>
      <c r="AY89" s="106" t="str">
        <f>IFERROR(-(TP_DATA[[#This Row],[D, top]]-TP_DATA[[#This Row],[D, bottom]])/(TP_DATA[[#This Row],[Top]]-TP_DATA[[#This Row],[Bottom]]),"")</f>
        <v/>
      </c>
      <c r="AZ89" s="106" t="str">
        <f t="shared" si="3"/>
        <v/>
      </c>
      <c r="BA89" s="106" t="str">
        <f>IFERROR((TP_DATA[[#This Row],[D, top]]+TP_DATA[[#This Row],[D, bottom]])/(2*TP_DATA[[#This Row],[t]]/1000),"")</f>
        <v/>
      </c>
      <c r="BX89" s="106" t="str">
        <f>IFERROR(TOWER_DATA[[#This Row],[Top]]-TOWER_DATA[[#This Row],[Bottom]], "")</f>
        <v/>
      </c>
      <c r="BY89" s="106" t="str">
        <f>IFERROR(-(TOWER_DATA[[#This Row],[D, top]]-TOWER_DATA[[#This Row],[D, bottom]])/(TOWER_DATA[[#This Row],[Top]]-TOWER_DATA[[#This Row],[Bottom]]),"")</f>
        <v/>
      </c>
      <c r="BZ89" s="106" t="str">
        <f t="shared" si="4"/>
        <v/>
      </c>
      <c r="CA89" s="106" t="str">
        <f>IFERROR((TOWER_DATA[[#This Row],[D, top]]+TOWER_DATA[[#This Row],[D, bottom]])/(2*TOWER_DATA[[#This Row],[t]]/1000),"")</f>
        <v/>
      </c>
    </row>
    <row r="90" spans="8:79" x14ac:dyDescent="0.3">
      <c r="H90" s="106" t="str">
        <f>IFERROR(MP_DATA[[#This Row],[Bottom]]-MP_DATA[[#This Row],[D, top]], "")</f>
        <v/>
      </c>
      <c r="I90" s="106" t="str">
        <f>IFERROR(-(MP_DATA[[#This Row],[D, bottom]]-MP_DATA[[#This Row],[D, top]])/(MP_DATA[[#This Row],[Bottom]]-MP_DATA[[#This Row],[Top]]),"")</f>
        <v/>
      </c>
      <c r="J90" s="106" t="str">
        <f t="shared" si="2"/>
        <v/>
      </c>
      <c r="K90" s="106" t="str">
        <f>IFERROR((MP_DATA[[#This Row],[D, bottom]]+MP_DATA[[#This Row],[D, top]])/(2*MP_DATA[[#This Row],[t]]/1000),"")</f>
        <v/>
      </c>
      <c r="L90" s="106" t="str">
        <f>IFERROR((MP_DATA[[#This Row],[D, bottom]]+#REF!)/(2*#REF!/1000),"")</f>
        <v/>
      </c>
      <c r="AX90" s="106" t="str">
        <f>IFERROR(TP_DATA[[#This Row],[Top]]-TP_DATA[[#This Row],[Bottom]], "")</f>
        <v/>
      </c>
      <c r="AY90" s="106" t="str">
        <f>IFERROR(-(TP_DATA[[#This Row],[D, top]]-TP_DATA[[#This Row],[D, bottom]])/(TP_DATA[[#This Row],[Top]]-TP_DATA[[#This Row],[Bottom]]),"")</f>
        <v/>
      </c>
      <c r="AZ90" s="106" t="str">
        <f t="shared" si="3"/>
        <v/>
      </c>
      <c r="BA90" s="106" t="str">
        <f>IFERROR((TP_DATA[[#This Row],[D, top]]+TP_DATA[[#This Row],[D, bottom]])/(2*TP_DATA[[#This Row],[t]]/1000),"")</f>
        <v/>
      </c>
      <c r="BX90" s="106" t="str">
        <f>IFERROR(TOWER_DATA[[#This Row],[Top]]-TOWER_DATA[[#This Row],[Bottom]], "")</f>
        <v/>
      </c>
      <c r="BY90" s="106" t="str">
        <f>IFERROR(-(TOWER_DATA[[#This Row],[D, top]]-TOWER_DATA[[#This Row],[D, bottom]])/(TOWER_DATA[[#This Row],[Top]]-TOWER_DATA[[#This Row],[Bottom]]),"")</f>
        <v/>
      </c>
      <c r="BZ90" s="106" t="str">
        <f t="shared" si="4"/>
        <v/>
      </c>
      <c r="CA90" s="106" t="str">
        <f>IFERROR((TOWER_DATA[[#This Row],[D, top]]+TOWER_DATA[[#This Row],[D, bottom]])/(2*TOWER_DATA[[#This Row],[t]]/1000),"")</f>
        <v/>
      </c>
    </row>
    <row r="91" spans="8:79" x14ac:dyDescent="0.3">
      <c r="H91" s="106" t="str">
        <f>IFERROR(MP_DATA[[#This Row],[Bottom]]-MP_DATA[[#This Row],[D, top]], "")</f>
        <v/>
      </c>
      <c r="I91" s="106" t="str">
        <f>IFERROR(-(MP_DATA[[#This Row],[D, bottom]]-MP_DATA[[#This Row],[D, top]])/(MP_DATA[[#This Row],[Bottom]]-MP_DATA[[#This Row],[Top]]),"")</f>
        <v/>
      </c>
      <c r="J91" s="106" t="str">
        <f t="shared" si="2"/>
        <v/>
      </c>
      <c r="K91" s="106" t="str">
        <f>IFERROR((MP_DATA[[#This Row],[D, bottom]]+MP_DATA[[#This Row],[D, top]])/(2*MP_DATA[[#This Row],[t]]/1000),"")</f>
        <v/>
      </c>
      <c r="L91" s="106" t="str">
        <f>IFERROR((MP_DATA[[#This Row],[D, bottom]]+#REF!)/(2*#REF!/1000),"")</f>
        <v/>
      </c>
      <c r="AX91" s="106" t="str">
        <f>IFERROR(TP_DATA[[#This Row],[Top]]-TP_DATA[[#This Row],[Bottom]], "")</f>
        <v/>
      </c>
      <c r="AY91" s="106" t="str">
        <f>IFERROR(-(TP_DATA[[#This Row],[D, top]]-TP_DATA[[#This Row],[D, bottom]])/(TP_DATA[[#This Row],[Top]]-TP_DATA[[#This Row],[Bottom]]),"")</f>
        <v/>
      </c>
      <c r="AZ91" s="106" t="str">
        <f t="shared" si="3"/>
        <v/>
      </c>
      <c r="BA91" s="106" t="str">
        <f>IFERROR((TP_DATA[[#This Row],[D, top]]+TP_DATA[[#This Row],[D, bottom]])/(2*TP_DATA[[#This Row],[t]]/1000),"")</f>
        <v/>
      </c>
      <c r="BX91" s="106" t="str">
        <f>IFERROR(TOWER_DATA[[#This Row],[Top]]-TOWER_DATA[[#This Row],[Bottom]], "")</f>
        <v/>
      </c>
      <c r="BY91" s="106" t="str">
        <f>IFERROR(-(TOWER_DATA[[#This Row],[D, top]]-TOWER_DATA[[#This Row],[D, bottom]])/(TOWER_DATA[[#This Row],[Top]]-TOWER_DATA[[#This Row],[Bottom]]),"")</f>
        <v/>
      </c>
      <c r="BZ91" s="106" t="str">
        <f t="shared" si="4"/>
        <v/>
      </c>
      <c r="CA91" s="106" t="str">
        <f>IFERROR((TOWER_DATA[[#This Row],[D, top]]+TOWER_DATA[[#This Row],[D, bottom]])/(2*TOWER_DATA[[#This Row],[t]]/1000),"")</f>
        <v/>
      </c>
    </row>
    <row r="92" spans="8:79" x14ac:dyDescent="0.3">
      <c r="H92" s="106" t="str">
        <f>IFERROR(MP_DATA[[#This Row],[Bottom]]-MP_DATA[[#This Row],[D, top]], "")</f>
        <v/>
      </c>
      <c r="I92" s="106" t="str">
        <f>IFERROR(-(MP_DATA[[#This Row],[D, bottom]]-MP_DATA[[#This Row],[D, top]])/(MP_DATA[[#This Row],[Bottom]]-MP_DATA[[#This Row],[Top]]),"")</f>
        <v/>
      </c>
      <c r="J92" s="106" t="str">
        <f t="shared" si="2"/>
        <v/>
      </c>
      <c r="K92" s="106" t="str">
        <f>IFERROR((MP_DATA[[#This Row],[D, bottom]]+MP_DATA[[#This Row],[D, top]])/(2*MP_DATA[[#This Row],[t]]/1000),"")</f>
        <v/>
      </c>
      <c r="L92" s="106" t="str">
        <f>IFERROR((MP_DATA[[#This Row],[D, bottom]]+#REF!)/(2*#REF!/1000),"")</f>
        <v/>
      </c>
      <c r="AX92" s="106" t="str">
        <f>IFERROR(TP_DATA[[#This Row],[Top]]-TP_DATA[[#This Row],[Bottom]], "")</f>
        <v/>
      </c>
      <c r="AY92" s="106" t="str">
        <f>IFERROR(-(TP_DATA[[#This Row],[D, top]]-TP_DATA[[#This Row],[D, bottom]])/(TP_DATA[[#This Row],[Top]]-TP_DATA[[#This Row],[Bottom]]),"")</f>
        <v/>
      </c>
      <c r="AZ92" s="106" t="str">
        <f t="shared" si="3"/>
        <v/>
      </c>
      <c r="BA92" s="106" t="str">
        <f>IFERROR((TP_DATA[[#This Row],[D, top]]+TP_DATA[[#This Row],[D, bottom]])/(2*TP_DATA[[#This Row],[t]]/1000),"")</f>
        <v/>
      </c>
      <c r="BX92" s="106" t="str">
        <f>IFERROR(TOWER_DATA[[#This Row],[Top]]-TOWER_DATA[[#This Row],[Bottom]], "")</f>
        <v/>
      </c>
      <c r="BY92" s="106" t="str">
        <f>IFERROR(-(TOWER_DATA[[#This Row],[D, top]]-TOWER_DATA[[#This Row],[D, bottom]])/(TOWER_DATA[[#This Row],[Top]]-TOWER_DATA[[#This Row],[Bottom]]),"")</f>
        <v/>
      </c>
      <c r="BZ92" s="106" t="str">
        <f t="shared" si="4"/>
        <v/>
      </c>
      <c r="CA92" s="106" t="str">
        <f>IFERROR((TOWER_DATA[[#This Row],[D, top]]+TOWER_DATA[[#This Row],[D, bottom]])/(2*TOWER_DATA[[#This Row],[t]]/1000),"")</f>
        <v/>
      </c>
    </row>
    <row r="93" spans="8:79" x14ac:dyDescent="0.3">
      <c r="H93" s="106" t="str">
        <f>IFERROR(MP_DATA[[#This Row],[Bottom]]-MP_DATA[[#This Row],[D, top]], "")</f>
        <v/>
      </c>
      <c r="I93" s="106" t="str">
        <f>IFERROR(-(MP_DATA[[#This Row],[D, bottom]]-MP_DATA[[#This Row],[D, top]])/(MP_DATA[[#This Row],[Bottom]]-MP_DATA[[#This Row],[Top]]),"")</f>
        <v/>
      </c>
      <c r="J93" s="106" t="str">
        <f t="shared" si="2"/>
        <v/>
      </c>
      <c r="K93" s="106" t="str">
        <f>IFERROR((MP_DATA[[#This Row],[D, bottom]]+MP_DATA[[#This Row],[D, top]])/(2*MP_DATA[[#This Row],[t]]/1000),"")</f>
        <v/>
      </c>
      <c r="L93" s="106" t="str">
        <f>IFERROR((MP_DATA[[#This Row],[D, bottom]]+#REF!)/(2*#REF!/1000),"")</f>
        <v/>
      </c>
      <c r="AX93" s="106" t="str">
        <f>IFERROR(TP_DATA[[#This Row],[Top]]-TP_DATA[[#This Row],[Bottom]], "")</f>
        <v/>
      </c>
      <c r="AY93" s="106" t="str">
        <f>IFERROR(-(TP_DATA[[#This Row],[D, top]]-TP_DATA[[#This Row],[D, bottom]])/(TP_DATA[[#This Row],[Top]]-TP_DATA[[#This Row],[Bottom]]),"")</f>
        <v/>
      </c>
      <c r="AZ93" s="106" t="str">
        <f t="shared" si="3"/>
        <v/>
      </c>
      <c r="BA93" s="106" t="str">
        <f>IFERROR((TP_DATA[[#This Row],[D, top]]+TP_DATA[[#This Row],[D, bottom]])/(2*TP_DATA[[#This Row],[t]]/1000),"")</f>
        <v/>
      </c>
      <c r="BX93" s="106" t="str">
        <f>IFERROR(TOWER_DATA[[#This Row],[Top]]-TOWER_DATA[[#This Row],[Bottom]], "")</f>
        <v/>
      </c>
      <c r="BY93" s="106" t="str">
        <f>IFERROR(-(TOWER_DATA[[#This Row],[D, top]]-TOWER_DATA[[#This Row],[D, bottom]])/(TOWER_DATA[[#This Row],[Top]]-TOWER_DATA[[#This Row],[Bottom]]),"")</f>
        <v/>
      </c>
      <c r="BZ93" s="106" t="str">
        <f t="shared" si="4"/>
        <v/>
      </c>
      <c r="CA93" s="106" t="str">
        <f>IFERROR((TOWER_DATA[[#This Row],[D, top]]+TOWER_DATA[[#This Row],[D, bottom]])/(2*TOWER_DATA[[#This Row],[t]]/1000),"")</f>
        <v/>
      </c>
    </row>
    <row r="94" spans="8:79" x14ac:dyDescent="0.3">
      <c r="H94" s="106" t="str">
        <f>IFERROR(MP_DATA[[#This Row],[Bottom]]-MP_DATA[[#This Row],[D, top]], "")</f>
        <v/>
      </c>
      <c r="I94" s="106" t="str">
        <f>IFERROR(-(MP_DATA[[#This Row],[D, bottom]]-MP_DATA[[#This Row],[D, top]])/(MP_DATA[[#This Row],[Bottom]]-MP_DATA[[#This Row],[Top]]),"")</f>
        <v/>
      </c>
      <c r="J94" s="106" t="str">
        <f t="shared" si="2"/>
        <v/>
      </c>
      <c r="K94" s="106" t="str">
        <f>IFERROR((MP_DATA[[#This Row],[D, bottom]]+MP_DATA[[#This Row],[D, top]])/(2*MP_DATA[[#This Row],[t]]/1000),"")</f>
        <v/>
      </c>
      <c r="L94" s="106" t="str">
        <f>IFERROR((MP_DATA[[#This Row],[D, bottom]]+#REF!)/(2*#REF!/1000),"")</f>
        <v/>
      </c>
      <c r="AX94" s="106" t="str">
        <f>IFERROR(TP_DATA[[#This Row],[Top]]-TP_DATA[[#This Row],[Bottom]], "")</f>
        <v/>
      </c>
      <c r="AY94" s="106" t="str">
        <f>IFERROR(-(TP_DATA[[#This Row],[D, top]]-TP_DATA[[#This Row],[D, bottom]])/(TP_DATA[[#This Row],[Top]]-TP_DATA[[#This Row],[Bottom]]),"")</f>
        <v/>
      </c>
      <c r="AZ94" s="106" t="str">
        <f t="shared" si="3"/>
        <v/>
      </c>
      <c r="BA94" s="106" t="str">
        <f>IFERROR((TP_DATA[[#This Row],[D, top]]+TP_DATA[[#This Row],[D, bottom]])/(2*TP_DATA[[#This Row],[t]]/1000),"")</f>
        <v/>
      </c>
      <c r="BX94" s="106" t="str">
        <f>IFERROR(TOWER_DATA[[#This Row],[Top]]-TOWER_DATA[[#This Row],[Bottom]], "")</f>
        <v/>
      </c>
      <c r="BY94" s="106" t="str">
        <f>IFERROR(-(TOWER_DATA[[#This Row],[D, top]]-TOWER_DATA[[#This Row],[D, bottom]])/(TOWER_DATA[[#This Row],[Top]]-TOWER_DATA[[#This Row],[Bottom]]),"")</f>
        <v/>
      </c>
      <c r="BZ94" s="106" t="str">
        <f t="shared" si="4"/>
        <v/>
      </c>
      <c r="CA94" s="106" t="str">
        <f>IFERROR((TOWER_DATA[[#This Row],[D, top]]+TOWER_DATA[[#This Row],[D, bottom]])/(2*TOWER_DATA[[#This Row],[t]]/1000),"")</f>
        <v/>
      </c>
    </row>
    <row r="95" spans="8:79" x14ac:dyDescent="0.3">
      <c r="H95" s="106" t="str">
        <f>IFERROR(MP_DATA[[#This Row],[Bottom]]-MP_DATA[[#This Row],[D, top]], "")</f>
        <v/>
      </c>
      <c r="I95" s="106" t="str">
        <f>IFERROR(-(MP_DATA[[#This Row],[D, bottom]]-MP_DATA[[#This Row],[D, top]])/(MP_DATA[[#This Row],[Bottom]]-MP_DATA[[#This Row],[Top]]),"")</f>
        <v/>
      </c>
      <c r="J95" s="106" t="str">
        <f t="shared" si="2"/>
        <v/>
      </c>
      <c r="K95" s="106" t="str">
        <f>IFERROR((MP_DATA[[#This Row],[D, bottom]]+MP_DATA[[#This Row],[D, top]])/(2*MP_DATA[[#This Row],[t]]/1000),"")</f>
        <v/>
      </c>
      <c r="L95" s="106" t="str">
        <f>IFERROR((MP_DATA[[#This Row],[D, bottom]]+#REF!)/(2*#REF!/1000),"")</f>
        <v/>
      </c>
      <c r="AX95" s="106" t="str">
        <f>IFERROR(TP_DATA[[#This Row],[Top]]-TP_DATA[[#This Row],[Bottom]], "")</f>
        <v/>
      </c>
      <c r="AY95" s="106" t="str">
        <f>IFERROR(-(TP_DATA[[#This Row],[D, top]]-TP_DATA[[#This Row],[D, bottom]])/(TP_DATA[[#This Row],[Top]]-TP_DATA[[#This Row],[Bottom]]),"")</f>
        <v/>
      </c>
      <c r="AZ95" s="106" t="str">
        <f t="shared" si="3"/>
        <v/>
      </c>
      <c r="BA95" s="106" t="str">
        <f>IFERROR((TP_DATA[[#This Row],[D, top]]+TP_DATA[[#This Row],[D, bottom]])/(2*TP_DATA[[#This Row],[t]]/1000),"")</f>
        <v/>
      </c>
      <c r="BX95" s="106" t="str">
        <f>IFERROR(TOWER_DATA[[#This Row],[Top]]-TOWER_DATA[[#This Row],[Bottom]], "")</f>
        <v/>
      </c>
      <c r="BY95" s="106" t="str">
        <f>IFERROR(-(TOWER_DATA[[#This Row],[D, top]]-TOWER_DATA[[#This Row],[D, bottom]])/(TOWER_DATA[[#This Row],[Top]]-TOWER_DATA[[#This Row],[Bottom]]),"")</f>
        <v/>
      </c>
      <c r="BZ95" s="106" t="str">
        <f t="shared" si="4"/>
        <v/>
      </c>
      <c r="CA95" s="106" t="str">
        <f>IFERROR((TOWER_DATA[[#This Row],[D, top]]+TOWER_DATA[[#This Row],[D, bottom]])/(2*TOWER_DATA[[#This Row],[t]]/1000),"")</f>
        <v/>
      </c>
    </row>
    <row r="96" spans="8:79" x14ac:dyDescent="0.3">
      <c r="H96" s="106" t="str">
        <f>IFERROR(MP_DATA[[#This Row],[Bottom]]-MP_DATA[[#This Row],[D, top]], "")</f>
        <v/>
      </c>
      <c r="I96" s="106" t="str">
        <f>IFERROR(-(MP_DATA[[#This Row],[D, bottom]]-MP_DATA[[#This Row],[D, top]])/(MP_DATA[[#This Row],[Bottom]]-MP_DATA[[#This Row],[Top]]),"")</f>
        <v/>
      </c>
      <c r="J96" s="106" t="str">
        <f t="shared" si="2"/>
        <v/>
      </c>
      <c r="K96" s="106" t="str">
        <f>IFERROR((MP_DATA[[#This Row],[D, bottom]]+MP_DATA[[#This Row],[D, top]])/(2*MP_DATA[[#This Row],[t]]/1000),"")</f>
        <v/>
      </c>
      <c r="L96" s="106" t="str">
        <f>IFERROR((MP_DATA[[#This Row],[D, bottom]]+#REF!)/(2*#REF!/1000),"")</f>
        <v/>
      </c>
      <c r="AX96" s="106" t="str">
        <f>IFERROR(TP_DATA[[#This Row],[Top]]-TP_DATA[[#This Row],[Bottom]], "")</f>
        <v/>
      </c>
      <c r="AY96" s="106" t="str">
        <f>IFERROR(-(TP_DATA[[#This Row],[D, top]]-TP_DATA[[#This Row],[D, bottom]])/(TP_DATA[[#This Row],[Top]]-TP_DATA[[#This Row],[Bottom]]),"")</f>
        <v/>
      </c>
      <c r="AZ96" s="106" t="str">
        <f t="shared" si="3"/>
        <v/>
      </c>
      <c r="BA96" s="106" t="str">
        <f>IFERROR((TP_DATA[[#This Row],[D, top]]+TP_DATA[[#This Row],[D, bottom]])/(2*TP_DATA[[#This Row],[t]]/1000),"")</f>
        <v/>
      </c>
      <c r="BX96" s="106" t="str">
        <f>IFERROR(TOWER_DATA[[#This Row],[Top]]-TOWER_DATA[[#This Row],[Bottom]], "")</f>
        <v/>
      </c>
      <c r="BY96" s="106" t="str">
        <f>IFERROR(-(TOWER_DATA[[#This Row],[D, top]]-TOWER_DATA[[#This Row],[D, bottom]])/(TOWER_DATA[[#This Row],[Top]]-TOWER_DATA[[#This Row],[Bottom]]),"")</f>
        <v/>
      </c>
      <c r="BZ96" s="106" t="str">
        <f t="shared" si="4"/>
        <v/>
      </c>
      <c r="CA96" s="106" t="str">
        <f>IFERROR((TOWER_DATA[[#This Row],[D, top]]+TOWER_DATA[[#This Row],[D, bottom]])/(2*TOWER_DATA[[#This Row],[t]]/1000),"")</f>
        <v/>
      </c>
    </row>
    <row r="97" spans="8:79" x14ac:dyDescent="0.3">
      <c r="H97" s="106" t="str">
        <f>IFERROR(MP_DATA[[#This Row],[Bottom]]-MP_DATA[[#This Row],[D, top]], "")</f>
        <v/>
      </c>
      <c r="I97" s="106" t="str">
        <f>IFERROR(-(MP_DATA[[#This Row],[D, bottom]]-MP_DATA[[#This Row],[D, top]])/(MP_DATA[[#This Row],[Bottom]]-MP_DATA[[#This Row],[Top]]),"")</f>
        <v/>
      </c>
      <c r="J97" s="106" t="str">
        <f t="shared" si="2"/>
        <v/>
      </c>
      <c r="K97" s="106" t="str">
        <f>IFERROR((MP_DATA[[#This Row],[D, bottom]]+MP_DATA[[#This Row],[D, top]])/(2*MP_DATA[[#This Row],[t]]/1000),"")</f>
        <v/>
      </c>
      <c r="L97" s="106" t="str">
        <f>IFERROR((MP_DATA[[#This Row],[D, bottom]]+#REF!)/(2*#REF!/1000),"")</f>
        <v/>
      </c>
      <c r="AX97" s="106" t="str">
        <f>IFERROR(TP_DATA[[#This Row],[Top]]-TP_DATA[[#This Row],[Bottom]], "")</f>
        <v/>
      </c>
      <c r="AY97" s="106" t="str">
        <f>IFERROR(-(TP_DATA[[#This Row],[D, top]]-TP_DATA[[#This Row],[D, bottom]])/(TP_DATA[[#This Row],[Top]]-TP_DATA[[#This Row],[Bottom]]),"")</f>
        <v/>
      </c>
      <c r="AZ97" s="106" t="str">
        <f t="shared" si="3"/>
        <v/>
      </c>
      <c r="BA97" s="106" t="str">
        <f>IFERROR((TP_DATA[[#This Row],[D, top]]+TP_DATA[[#This Row],[D, bottom]])/(2*TP_DATA[[#This Row],[t]]/1000),"")</f>
        <v/>
      </c>
      <c r="BX97" s="106" t="str">
        <f>IFERROR(TOWER_DATA[[#This Row],[Top]]-TOWER_DATA[[#This Row],[Bottom]], "")</f>
        <v/>
      </c>
      <c r="BY97" s="106" t="str">
        <f>IFERROR(-(TOWER_DATA[[#This Row],[D, top]]-TOWER_DATA[[#This Row],[D, bottom]])/(TOWER_DATA[[#This Row],[Top]]-TOWER_DATA[[#This Row],[Bottom]]),"")</f>
        <v/>
      </c>
      <c r="BZ97" s="106" t="str">
        <f t="shared" si="4"/>
        <v/>
      </c>
      <c r="CA97" s="106" t="str">
        <f>IFERROR((TOWER_DATA[[#This Row],[D, top]]+TOWER_DATA[[#This Row],[D, bottom]])/(2*TOWER_DATA[[#This Row],[t]]/1000),"")</f>
        <v/>
      </c>
    </row>
    <row r="98" spans="8:79" x14ac:dyDescent="0.3">
      <c r="H98" s="106" t="str">
        <f>IFERROR(MP_DATA[[#This Row],[Bottom]]-MP_DATA[[#This Row],[D, top]], "")</f>
        <v/>
      </c>
      <c r="I98" s="106" t="str">
        <f>IFERROR(-(MP_DATA[[#This Row],[D, bottom]]-MP_DATA[[#This Row],[D, top]])/(MP_DATA[[#This Row],[Bottom]]-MP_DATA[[#This Row],[Top]]),"")</f>
        <v/>
      </c>
      <c r="J98" s="106" t="str">
        <f t="shared" si="2"/>
        <v/>
      </c>
      <c r="K98" s="106" t="str">
        <f>IFERROR((MP_DATA[[#This Row],[D, bottom]]+MP_DATA[[#This Row],[D, top]])/(2*MP_DATA[[#This Row],[t]]/1000),"")</f>
        <v/>
      </c>
      <c r="L98" s="106" t="str">
        <f>IFERROR((MP_DATA[[#This Row],[D, bottom]]+#REF!)/(2*#REF!/1000),"")</f>
        <v/>
      </c>
      <c r="AX98" s="106" t="str">
        <f>IFERROR(TP_DATA[[#This Row],[Top]]-TP_DATA[[#This Row],[Bottom]], "")</f>
        <v/>
      </c>
      <c r="AY98" s="106" t="str">
        <f>IFERROR(-(TP_DATA[[#This Row],[D, top]]-TP_DATA[[#This Row],[D, bottom]])/(TP_DATA[[#This Row],[Top]]-TP_DATA[[#This Row],[Bottom]]),"")</f>
        <v/>
      </c>
      <c r="AZ98" s="106" t="str">
        <f t="shared" si="3"/>
        <v/>
      </c>
      <c r="BA98" s="106" t="str">
        <f>IFERROR((TP_DATA[[#This Row],[D, top]]+TP_DATA[[#This Row],[D, bottom]])/(2*TP_DATA[[#This Row],[t]]/1000),"")</f>
        <v/>
      </c>
      <c r="BX98" s="106" t="str">
        <f>IFERROR(TOWER_DATA[[#This Row],[Top]]-TOWER_DATA[[#This Row],[Bottom]], "")</f>
        <v/>
      </c>
      <c r="BY98" s="106" t="str">
        <f>IFERROR(-(TOWER_DATA[[#This Row],[D, top]]-TOWER_DATA[[#This Row],[D, bottom]])/(TOWER_DATA[[#This Row],[Top]]-TOWER_DATA[[#This Row],[Bottom]]),"")</f>
        <v/>
      </c>
      <c r="BZ98" s="106" t="str">
        <f t="shared" si="4"/>
        <v/>
      </c>
      <c r="CA98" s="106" t="str">
        <f>IFERROR((TOWER_DATA[[#This Row],[D, top]]+TOWER_DATA[[#This Row],[D, bottom]])/(2*TOWER_DATA[[#This Row],[t]]/1000),"")</f>
        <v/>
      </c>
    </row>
    <row r="99" spans="8:79" x14ac:dyDescent="0.3">
      <c r="H99" s="106" t="str">
        <f>IFERROR(MP_DATA[[#This Row],[Bottom]]-MP_DATA[[#This Row],[D, top]], "")</f>
        <v/>
      </c>
      <c r="I99" s="106" t="str">
        <f>IFERROR(-(MP_DATA[[#This Row],[D, bottom]]-MP_DATA[[#This Row],[D, top]])/(MP_DATA[[#This Row],[Bottom]]-MP_DATA[[#This Row],[Top]]),"")</f>
        <v/>
      </c>
      <c r="J99" s="106" t="str">
        <f t="shared" si="2"/>
        <v/>
      </c>
      <c r="K99" s="106" t="str">
        <f>IFERROR((MP_DATA[[#This Row],[D, bottom]]+MP_DATA[[#This Row],[D, top]])/(2*MP_DATA[[#This Row],[t]]/1000),"")</f>
        <v/>
      </c>
      <c r="L99" s="106" t="str">
        <f>IFERROR((MP_DATA[[#This Row],[D, bottom]]+#REF!)/(2*#REF!/1000),"")</f>
        <v/>
      </c>
      <c r="AX99" s="106" t="str">
        <f>IFERROR(TP_DATA[[#This Row],[Top]]-TP_DATA[[#This Row],[Bottom]], "")</f>
        <v/>
      </c>
      <c r="AY99" s="106" t="str">
        <f>IFERROR(-(TP_DATA[[#This Row],[D, top]]-TP_DATA[[#This Row],[D, bottom]])/(TP_DATA[[#This Row],[Top]]-TP_DATA[[#This Row],[Bottom]]),"")</f>
        <v/>
      </c>
      <c r="AZ99" s="106" t="str">
        <f t="shared" si="3"/>
        <v/>
      </c>
      <c r="BA99" s="106" t="str">
        <f>IFERROR((TP_DATA[[#This Row],[D, top]]+TP_DATA[[#This Row],[D, bottom]])/(2*TP_DATA[[#This Row],[t]]/1000),"")</f>
        <v/>
      </c>
      <c r="BX99" s="106" t="str">
        <f>IFERROR(TOWER_DATA[[#This Row],[Top]]-TOWER_DATA[[#This Row],[Bottom]], "")</f>
        <v/>
      </c>
      <c r="BY99" s="106" t="str">
        <f>IFERROR(-(TOWER_DATA[[#This Row],[D, top]]-TOWER_DATA[[#This Row],[D, bottom]])/(TOWER_DATA[[#This Row],[Top]]-TOWER_DATA[[#This Row],[Bottom]]),"")</f>
        <v/>
      </c>
      <c r="BZ99" s="106" t="str">
        <f t="shared" si="4"/>
        <v/>
      </c>
      <c r="CA99" s="106" t="str">
        <f>IFERROR((TOWER_DATA[[#This Row],[D, top]]+TOWER_DATA[[#This Row],[D, bottom]])/(2*TOWER_DATA[[#This Row],[t]]/1000),"")</f>
        <v/>
      </c>
    </row>
    <row r="100" spans="8:79" x14ac:dyDescent="0.3">
      <c r="H100" s="106" t="str">
        <f>IFERROR(MP_DATA[[#This Row],[Bottom]]-MP_DATA[[#This Row],[D, top]], "")</f>
        <v/>
      </c>
      <c r="I100" s="106" t="str">
        <f>IFERROR(-(MP_DATA[[#This Row],[D, bottom]]-MP_DATA[[#This Row],[D, top]])/(MP_DATA[[#This Row],[Bottom]]-MP_DATA[[#This Row],[Top]]),"")</f>
        <v/>
      </c>
      <c r="J100" s="106" t="str">
        <f t="shared" si="2"/>
        <v/>
      </c>
      <c r="K100" s="106" t="str">
        <f>IFERROR((MP_DATA[[#This Row],[D, bottom]]+MP_DATA[[#This Row],[D, top]])/(2*MP_DATA[[#This Row],[t]]/1000),"")</f>
        <v/>
      </c>
      <c r="L100" s="106" t="str">
        <f>IFERROR((MP_DATA[[#This Row],[D, bottom]]+#REF!)/(2*#REF!/1000),"")</f>
        <v/>
      </c>
      <c r="AX100" s="106" t="str">
        <f>IFERROR(TP_DATA[[#This Row],[Top]]-TP_DATA[[#This Row],[Bottom]], "")</f>
        <v/>
      </c>
      <c r="AY100" s="106" t="str">
        <f>IFERROR(-(TP_DATA[[#This Row],[D, top]]-TP_DATA[[#This Row],[D, bottom]])/(TP_DATA[[#This Row],[Top]]-TP_DATA[[#This Row],[Bottom]]),"")</f>
        <v/>
      </c>
      <c r="AZ100" s="106" t="str">
        <f t="shared" si="3"/>
        <v/>
      </c>
      <c r="BA100" s="106" t="str">
        <f>IFERROR((TP_DATA[[#This Row],[D, top]]+TP_DATA[[#This Row],[D, bottom]])/(2*TP_DATA[[#This Row],[t]]/1000),"")</f>
        <v/>
      </c>
      <c r="BX100" s="106" t="str">
        <f>IFERROR(TOWER_DATA[[#This Row],[Top]]-TOWER_DATA[[#This Row],[Bottom]], "")</f>
        <v/>
      </c>
      <c r="BY100" s="106" t="str">
        <f>IFERROR(-(TOWER_DATA[[#This Row],[D, top]]-TOWER_DATA[[#This Row],[D, bottom]])/(TOWER_DATA[[#This Row],[Top]]-TOWER_DATA[[#This Row],[Bottom]]),"")</f>
        <v/>
      </c>
      <c r="BZ100" s="106" t="str">
        <f t="shared" si="4"/>
        <v/>
      </c>
      <c r="CA100" s="106" t="str">
        <f>IFERROR((TOWER_DATA[[#This Row],[D, top]]+TOWER_DATA[[#This Row],[D, bottom]])/(2*TOWER_DATA[[#This Row],[t]]/1000),"")</f>
        <v/>
      </c>
    </row>
    <row r="101" spans="8:79" x14ac:dyDescent="0.3">
      <c r="H101" s="106" t="str">
        <f>IFERROR(MP_DATA[[#This Row],[Bottom]]-MP_DATA[[#This Row],[D, top]], "")</f>
        <v/>
      </c>
      <c r="I101" s="106" t="str">
        <f>IFERROR(-(MP_DATA[[#This Row],[D, bottom]]-MP_DATA[[#This Row],[D, top]])/(MP_DATA[[#This Row],[Bottom]]-MP_DATA[[#This Row],[Top]]),"")</f>
        <v/>
      </c>
      <c r="J101" s="106" t="str">
        <f t="shared" si="2"/>
        <v/>
      </c>
      <c r="K101" s="106" t="str">
        <f>IFERROR((MP_DATA[[#This Row],[D, bottom]]+MP_DATA[[#This Row],[D, top]])/(2*MP_DATA[[#This Row],[t]]/1000),"")</f>
        <v/>
      </c>
      <c r="L101" s="106" t="str">
        <f>IFERROR((MP_DATA[[#This Row],[D, bottom]]+#REF!)/(2*#REF!/1000),"")</f>
        <v/>
      </c>
      <c r="AX101" s="106" t="str">
        <f>IFERROR(TP_DATA[[#This Row],[Top]]-TP_DATA[[#This Row],[Bottom]], "")</f>
        <v/>
      </c>
      <c r="AY101" s="106" t="str">
        <f>IFERROR(-(TP_DATA[[#This Row],[D, top]]-TP_DATA[[#This Row],[D, bottom]])/(TP_DATA[[#This Row],[Top]]-TP_DATA[[#This Row],[Bottom]]),"")</f>
        <v/>
      </c>
      <c r="AZ101" s="106" t="str">
        <f t="shared" si="3"/>
        <v/>
      </c>
      <c r="BA101" s="106" t="str">
        <f>IFERROR((TP_DATA[[#This Row],[D, top]]+TP_DATA[[#This Row],[D, bottom]])/(2*TP_DATA[[#This Row],[t]]/1000),"")</f>
        <v/>
      </c>
      <c r="BX101" s="106" t="str">
        <f>IFERROR(TOWER_DATA[[#This Row],[Top]]-TOWER_DATA[[#This Row],[Bottom]], "")</f>
        <v/>
      </c>
      <c r="BY101" s="106" t="str">
        <f>IFERROR(-(TOWER_DATA[[#This Row],[D, top]]-TOWER_DATA[[#This Row],[D, bottom]])/(TOWER_DATA[[#This Row],[Top]]-TOWER_DATA[[#This Row],[Bottom]]),"")</f>
        <v/>
      </c>
      <c r="BZ101" s="106" t="str">
        <f t="shared" si="4"/>
        <v/>
      </c>
      <c r="CA101" s="106" t="str">
        <f>IFERROR((TOWER_DATA[[#This Row],[D, top]]+TOWER_DATA[[#This Row],[D, bottom]])/(2*TOWER_DATA[[#This Row],[t]]/1000),"")</f>
        <v/>
      </c>
    </row>
    <row r="102" spans="8:79" x14ac:dyDescent="0.3">
      <c r="H102" s="106" t="str">
        <f>IFERROR(MP_DATA[[#This Row],[Bottom]]-MP_DATA[[#This Row],[D, top]], "")</f>
        <v/>
      </c>
      <c r="I102" s="106" t="str">
        <f>IFERROR(-(MP_DATA[[#This Row],[D, bottom]]-MP_DATA[[#This Row],[D, top]])/(MP_DATA[[#This Row],[Bottom]]-MP_DATA[[#This Row],[Top]]),"")</f>
        <v/>
      </c>
      <c r="J102" s="106" t="str">
        <f t="shared" si="2"/>
        <v/>
      </c>
      <c r="K102" s="106" t="str">
        <f>IFERROR((MP_DATA[[#This Row],[D, bottom]]+MP_DATA[[#This Row],[D, top]])/(2*MP_DATA[[#This Row],[t]]/1000),"")</f>
        <v/>
      </c>
      <c r="L102" s="106" t="str">
        <f>IFERROR((MP_DATA[[#This Row],[D, bottom]]+#REF!)/(2*#REF!/1000),"")</f>
        <v/>
      </c>
      <c r="AX102" s="106" t="str">
        <f>IFERROR(TP_DATA[[#This Row],[Top]]-TP_DATA[[#This Row],[Bottom]], "")</f>
        <v/>
      </c>
      <c r="AY102" s="106" t="str">
        <f>IFERROR(-(TP_DATA[[#This Row],[D, top]]-TP_DATA[[#This Row],[D, bottom]])/(TP_DATA[[#This Row],[Top]]-TP_DATA[[#This Row],[Bottom]]),"")</f>
        <v/>
      </c>
      <c r="AZ102" s="106" t="str">
        <f t="shared" si="3"/>
        <v/>
      </c>
      <c r="BA102" s="106" t="str">
        <f>IFERROR((TP_DATA[[#This Row],[D, top]]+TP_DATA[[#This Row],[D, bottom]])/(2*TP_DATA[[#This Row],[t]]/1000),"")</f>
        <v/>
      </c>
      <c r="BX102" s="106" t="str">
        <f>IFERROR(TOWER_DATA[[#This Row],[Top]]-TOWER_DATA[[#This Row],[Bottom]], "")</f>
        <v/>
      </c>
      <c r="BY102" s="106" t="str">
        <f>IFERROR(-(TOWER_DATA[[#This Row],[D, top]]-TOWER_DATA[[#This Row],[D, bottom]])/(TOWER_DATA[[#This Row],[Top]]-TOWER_DATA[[#This Row],[Bottom]]),"")</f>
        <v/>
      </c>
      <c r="BZ102" s="106" t="str">
        <f t="shared" si="4"/>
        <v/>
      </c>
      <c r="CA102" s="106" t="str">
        <f>IFERROR((TOWER_DATA[[#This Row],[D, top]]+TOWER_DATA[[#This Row],[D, bottom]])/(2*TOWER_DATA[[#This Row],[t]]/1000),"")</f>
        <v/>
      </c>
    </row>
    <row r="103" spans="8:79" x14ac:dyDescent="0.3">
      <c r="H103" s="106" t="str">
        <f>IFERROR(MP_DATA[[#This Row],[Bottom]]-MP_DATA[[#This Row],[D, top]], "")</f>
        <v/>
      </c>
      <c r="I103" s="106" t="str">
        <f>IFERROR(-(MP_DATA[[#This Row],[D, bottom]]-MP_DATA[[#This Row],[D, top]])/(MP_DATA[[#This Row],[Bottom]]-MP_DATA[[#This Row],[Top]]),"")</f>
        <v/>
      </c>
      <c r="J103" s="106" t="str">
        <f t="shared" si="2"/>
        <v/>
      </c>
      <c r="K103" s="106" t="str">
        <f>IFERROR((MP_DATA[[#This Row],[D, bottom]]+MP_DATA[[#This Row],[D, top]])/(2*MP_DATA[[#This Row],[t]]/1000),"")</f>
        <v/>
      </c>
      <c r="L103" s="106" t="str">
        <f>IFERROR((MP_DATA[[#This Row],[D, bottom]]+#REF!)/(2*#REF!/1000),"")</f>
        <v/>
      </c>
      <c r="AX103" s="106" t="str">
        <f>IFERROR(TP_DATA[[#This Row],[Top]]-TP_DATA[[#This Row],[Bottom]], "")</f>
        <v/>
      </c>
      <c r="AY103" s="106" t="str">
        <f>IFERROR(-(TP_DATA[[#This Row],[D, top]]-TP_DATA[[#This Row],[D, bottom]])/(TP_DATA[[#This Row],[Top]]-TP_DATA[[#This Row],[Bottom]]),"")</f>
        <v/>
      </c>
      <c r="AZ103" s="106" t="str">
        <f t="shared" si="3"/>
        <v/>
      </c>
      <c r="BA103" s="106" t="str">
        <f>IFERROR((TP_DATA[[#This Row],[D, top]]+TP_DATA[[#This Row],[D, bottom]])/(2*TP_DATA[[#This Row],[t]]/1000),"")</f>
        <v/>
      </c>
      <c r="BX103" s="106" t="str">
        <f>IFERROR(TOWER_DATA[[#This Row],[Top]]-TOWER_DATA[[#This Row],[Bottom]], "")</f>
        <v/>
      </c>
      <c r="BY103" s="106" t="str">
        <f>IFERROR(-(TOWER_DATA[[#This Row],[D, top]]-TOWER_DATA[[#This Row],[D, bottom]])/(TOWER_DATA[[#This Row],[Top]]-TOWER_DATA[[#This Row],[Bottom]]),"")</f>
        <v/>
      </c>
      <c r="BZ103" s="106" t="str">
        <f t="shared" si="4"/>
        <v/>
      </c>
      <c r="CA103" s="106" t="str">
        <f>IFERROR((TOWER_DATA[[#This Row],[D, top]]+TOWER_DATA[[#This Row],[D, bottom]])/(2*TOWER_DATA[[#This Row],[t]]/1000),"")</f>
        <v/>
      </c>
    </row>
    <row r="104" spans="8:79" x14ac:dyDescent="0.3">
      <c r="H104" s="106" t="str">
        <f>IFERROR(MP_DATA[[#This Row],[Bottom]]-MP_DATA[[#This Row],[D, top]], "")</f>
        <v/>
      </c>
      <c r="I104" s="106" t="str">
        <f>IFERROR(-(MP_DATA[[#This Row],[D, bottom]]-MP_DATA[[#This Row],[D, top]])/(MP_DATA[[#This Row],[Bottom]]-MP_DATA[[#This Row],[Top]]),"")</f>
        <v/>
      </c>
      <c r="J104" s="106" t="str">
        <f t="shared" si="2"/>
        <v/>
      </c>
      <c r="K104" s="106" t="str">
        <f>IFERROR((MP_DATA[[#This Row],[D, bottom]]+MP_DATA[[#This Row],[D, top]])/(2*MP_DATA[[#This Row],[t]]/1000),"")</f>
        <v/>
      </c>
      <c r="L104" s="106" t="str">
        <f>IFERROR((MP_DATA[[#This Row],[D, bottom]]+#REF!)/(2*#REF!/1000),"")</f>
        <v/>
      </c>
      <c r="AX104" s="106" t="str">
        <f>IFERROR(TP_DATA[[#This Row],[Top]]-TP_DATA[[#This Row],[Bottom]], "")</f>
        <v/>
      </c>
      <c r="AY104" s="106" t="str">
        <f>IFERROR(-(TP_DATA[[#This Row],[D, top]]-TP_DATA[[#This Row],[D, bottom]])/(TP_DATA[[#This Row],[Top]]-TP_DATA[[#This Row],[Bottom]]),"")</f>
        <v/>
      </c>
      <c r="AZ104" s="106" t="str">
        <f t="shared" si="3"/>
        <v/>
      </c>
      <c r="BA104" s="106" t="str">
        <f>IFERROR((TP_DATA[[#This Row],[D, top]]+TP_DATA[[#This Row],[D, bottom]])/(2*TP_DATA[[#This Row],[t]]/1000),"")</f>
        <v/>
      </c>
      <c r="BX104" s="106" t="str">
        <f>IFERROR(TOWER_DATA[[#This Row],[Top]]-TOWER_DATA[[#This Row],[Bottom]], "")</f>
        <v/>
      </c>
      <c r="BY104" s="106" t="str">
        <f>IFERROR(-(TOWER_DATA[[#This Row],[D, top]]-TOWER_DATA[[#This Row],[D, bottom]])/(TOWER_DATA[[#This Row],[Top]]-TOWER_DATA[[#This Row],[Bottom]]),"")</f>
        <v/>
      </c>
      <c r="BZ104" s="106" t="str">
        <f t="shared" si="4"/>
        <v/>
      </c>
      <c r="CA104" s="106" t="str">
        <f>IFERROR((TOWER_DATA[[#This Row],[D, top]]+TOWER_DATA[[#This Row],[D, bottom]])/(2*TOWER_DATA[[#This Row],[t]]/1000),"")</f>
        <v/>
      </c>
    </row>
    <row r="105" spans="8:79" x14ac:dyDescent="0.3">
      <c r="H105" s="106" t="str">
        <f>IFERROR(MP_DATA[[#This Row],[Bottom]]-MP_DATA[[#This Row],[D, top]], "")</f>
        <v/>
      </c>
      <c r="I105" s="106" t="str">
        <f>IFERROR(-(MP_DATA[[#This Row],[D, bottom]]-MP_DATA[[#This Row],[D, top]])/(MP_DATA[[#This Row],[Bottom]]-MP_DATA[[#This Row],[Top]]),"")</f>
        <v/>
      </c>
      <c r="J105" s="106" t="str">
        <f t="shared" si="2"/>
        <v/>
      </c>
      <c r="K105" s="106" t="str">
        <f>IFERROR((MP_DATA[[#This Row],[D, bottom]]+MP_DATA[[#This Row],[D, top]])/(2*MP_DATA[[#This Row],[t]]/1000),"")</f>
        <v/>
      </c>
      <c r="L105" s="106" t="str">
        <f>IFERROR((MP_DATA[[#This Row],[D, bottom]]+#REF!)/(2*#REF!/1000),"")</f>
        <v/>
      </c>
      <c r="AX105" s="106" t="str">
        <f>IFERROR(TP_DATA[[#This Row],[Top]]-TP_DATA[[#This Row],[Bottom]], "")</f>
        <v/>
      </c>
      <c r="AY105" s="106" t="str">
        <f>IFERROR(-(TP_DATA[[#This Row],[D, top]]-TP_DATA[[#This Row],[D, bottom]])/(TP_DATA[[#This Row],[Top]]-TP_DATA[[#This Row],[Bottom]]),"")</f>
        <v/>
      </c>
      <c r="AZ105" s="106" t="str">
        <f t="shared" si="3"/>
        <v/>
      </c>
      <c r="BA105" s="106" t="str">
        <f>IFERROR((TP_DATA[[#This Row],[D, top]]+TP_DATA[[#This Row],[D, bottom]])/(2*TP_DATA[[#This Row],[t]]/1000),"")</f>
        <v/>
      </c>
      <c r="BX105" s="106" t="str">
        <f>IFERROR(TOWER_DATA[[#This Row],[Top]]-TOWER_DATA[[#This Row],[Bottom]], "")</f>
        <v/>
      </c>
      <c r="BY105" s="106" t="str">
        <f>IFERROR(-(TOWER_DATA[[#This Row],[D, top]]-TOWER_DATA[[#This Row],[D, bottom]])/(TOWER_DATA[[#This Row],[Top]]-TOWER_DATA[[#This Row],[Bottom]]),"")</f>
        <v/>
      </c>
      <c r="BZ105" s="106" t="str">
        <f t="shared" si="4"/>
        <v/>
      </c>
      <c r="CA105" s="106" t="str">
        <f>IFERROR((TOWER_DATA[[#This Row],[D, top]]+TOWER_DATA[[#This Row],[D, bottom]])/(2*TOWER_DATA[[#This Row],[t]]/1000),"")</f>
        <v/>
      </c>
    </row>
    <row r="106" spans="8:79" x14ac:dyDescent="0.3">
      <c r="H106" s="106" t="str">
        <f>IFERROR(MP_DATA[[#This Row],[Bottom]]-MP_DATA[[#This Row],[D, top]], "")</f>
        <v/>
      </c>
      <c r="I106" s="106" t="str">
        <f>IFERROR(-(MP_DATA[[#This Row],[D, bottom]]-MP_DATA[[#This Row],[D, top]])/(MP_DATA[[#This Row],[Bottom]]-MP_DATA[[#This Row],[Top]]),"")</f>
        <v/>
      </c>
      <c r="J106" s="106" t="str">
        <f t="shared" si="2"/>
        <v/>
      </c>
      <c r="K106" s="106" t="str">
        <f>IFERROR((MP_DATA[[#This Row],[D, bottom]]+MP_DATA[[#This Row],[D, top]])/(2*MP_DATA[[#This Row],[t]]/1000),"")</f>
        <v/>
      </c>
      <c r="L106" s="106" t="str">
        <f>IFERROR((MP_DATA[[#This Row],[D, bottom]]+#REF!)/(2*#REF!/1000),"")</f>
        <v/>
      </c>
      <c r="AX106" s="106" t="str">
        <f>IFERROR(TP_DATA[[#This Row],[Top]]-TP_DATA[[#This Row],[Bottom]], "")</f>
        <v/>
      </c>
      <c r="AY106" s="106" t="str">
        <f>IFERROR(-(TP_DATA[[#This Row],[D, top]]-TP_DATA[[#This Row],[D, bottom]])/(TP_DATA[[#This Row],[Top]]-TP_DATA[[#This Row],[Bottom]]),"")</f>
        <v/>
      </c>
      <c r="AZ106" s="106" t="str">
        <f t="shared" si="3"/>
        <v/>
      </c>
      <c r="BA106" s="106" t="str">
        <f>IFERROR((TP_DATA[[#This Row],[D, top]]+TP_DATA[[#This Row],[D, bottom]])/(2*TP_DATA[[#This Row],[t]]/1000),"")</f>
        <v/>
      </c>
      <c r="BX106" s="106" t="str">
        <f>IFERROR(TOWER_DATA[[#This Row],[Top]]-TOWER_DATA[[#This Row],[Bottom]], "")</f>
        <v/>
      </c>
      <c r="BY106" s="106" t="str">
        <f>IFERROR(-(TOWER_DATA[[#This Row],[D, top]]-TOWER_DATA[[#This Row],[D, bottom]])/(TOWER_DATA[[#This Row],[Top]]-TOWER_DATA[[#This Row],[Bottom]]),"")</f>
        <v/>
      </c>
      <c r="BZ106" s="106" t="str">
        <f t="shared" si="4"/>
        <v/>
      </c>
      <c r="CA106" s="106" t="str">
        <f>IFERROR((TOWER_DATA[[#This Row],[D, top]]+TOWER_DATA[[#This Row],[D, bottom]])/(2*TOWER_DATA[[#This Row],[t]]/1000),"")</f>
        <v/>
      </c>
    </row>
    <row r="107" spans="8:79" x14ac:dyDescent="0.3">
      <c r="H107" s="106" t="str">
        <f>IFERROR(MP_DATA[[#This Row],[Bottom]]-MP_DATA[[#This Row],[D, top]], "")</f>
        <v/>
      </c>
      <c r="I107" s="106" t="str">
        <f>IFERROR(-(MP_DATA[[#This Row],[D, bottom]]-MP_DATA[[#This Row],[D, top]])/(MP_DATA[[#This Row],[Bottom]]-MP_DATA[[#This Row],[Top]]),"")</f>
        <v/>
      </c>
      <c r="J107" s="106" t="str">
        <f t="shared" si="2"/>
        <v/>
      </c>
      <c r="K107" s="106" t="str">
        <f>IFERROR((MP_DATA[[#This Row],[D, bottom]]+MP_DATA[[#This Row],[D, top]])/(2*MP_DATA[[#This Row],[t]]/1000),"")</f>
        <v/>
      </c>
      <c r="L107" s="106" t="str">
        <f>IFERROR((MP_DATA[[#This Row],[D, bottom]]+#REF!)/(2*#REF!/1000),"")</f>
        <v/>
      </c>
      <c r="AX107" s="106" t="str">
        <f>IFERROR(TP_DATA[[#This Row],[Top]]-TP_DATA[[#This Row],[Bottom]], "")</f>
        <v/>
      </c>
      <c r="AY107" s="106" t="str">
        <f>IFERROR(-(TP_DATA[[#This Row],[D, top]]-TP_DATA[[#This Row],[D, bottom]])/(TP_DATA[[#This Row],[Top]]-TP_DATA[[#This Row],[Bottom]]),"")</f>
        <v/>
      </c>
      <c r="AZ107" s="106" t="str">
        <f t="shared" si="3"/>
        <v/>
      </c>
      <c r="BA107" s="106" t="str">
        <f>IFERROR((TP_DATA[[#This Row],[D, top]]+TP_DATA[[#This Row],[D, bottom]])/(2*TP_DATA[[#This Row],[t]]/1000),"")</f>
        <v/>
      </c>
      <c r="BX107" s="106" t="str">
        <f>IFERROR(TOWER_DATA[[#This Row],[Top]]-TOWER_DATA[[#This Row],[Bottom]], "")</f>
        <v/>
      </c>
      <c r="BY107" s="106" t="str">
        <f>IFERROR(-(TOWER_DATA[[#This Row],[D, top]]-TOWER_DATA[[#This Row],[D, bottom]])/(TOWER_DATA[[#This Row],[Top]]-TOWER_DATA[[#This Row],[Bottom]]),"")</f>
        <v/>
      </c>
      <c r="BZ107" s="106" t="str">
        <f t="shared" si="4"/>
        <v/>
      </c>
      <c r="CA107" s="106" t="str">
        <f>IFERROR((TOWER_DATA[[#This Row],[D, top]]+TOWER_DATA[[#This Row],[D, bottom]])/(2*TOWER_DATA[[#This Row],[t]]/1000),"")</f>
        <v/>
      </c>
    </row>
    <row r="108" spans="8:79" x14ac:dyDescent="0.3">
      <c r="H108" s="106" t="str">
        <f>IFERROR(MP_DATA[[#This Row],[Bottom]]-MP_DATA[[#This Row],[D, top]], "")</f>
        <v/>
      </c>
      <c r="I108" s="106" t="str">
        <f>IFERROR(-(MP_DATA[[#This Row],[D, bottom]]-MP_DATA[[#This Row],[D, top]])/(MP_DATA[[#This Row],[Bottom]]-MP_DATA[[#This Row],[Top]]),"")</f>
        <v/>
      </c>
      <c r="J108" s="106" t="str">
        <f t="shared" si="2"/>
        <v/>
      </c>
      <c r="K108" s="106" t="str">
        <f>IFERROR((MP_DATA[[#This Row],[D, bottom]]+MP_DATA[[#This Row],[D, top]])/(2*MP_DATA[[#This Row],[t]]/1000),"")</f>
        <v/>
      </c>
      <c r="L108" s="106" t="str">
        <f>IFERROR((MP_DATA[[#This Row],[D, bottom]]+#REF!)/(2*#REF!/1000),"")</f>
        <v/>
      </c>
      <c r="AX108" s="106" t="str">
        <f>IFERROR(TP_DATA[[#This Row],[Top]]-TP_DATA[[#This Row],[Bottom]], "")</f>
        <v/>
      </c>
      <c r="AY108" s="106" t="str">
        <f>IFERROR(-(TP_DATA[[#This Row],[D, top]]-TP_DATA[[#This Row],[D, bottom]])/(TP_DATA[[#This Row],[Top]]-TP_DATA[[#This Row],[Bottom]]),"")</f>
        <v/>
      </c>
      <c r="AZ108" s="106" t="str">
        <f t="shared" si="3"/>
        <v/>
      </c>
      <c r="BA108" s="106" t="str">
        <f>IFERROR((TP_DATA[[#This Row],[D, top]]+TP_DATA[[#This Row],[D, bottom]])/(2*TP_DATA[[#This Row],[t]]/1000),"")</f>
        <v/>
      </c>
      <c r="BX108" s="106" t="str">
        <f>IFERROR(TOWER_DATA[[#This Row],[Top]]-TOWER_DATA[[#This Row],[Bottom]], "")</f>
        <v/>
      </c>
      <c r="BY108" s="106" t="str">
        <f>IFERROR(-(TOWER_DATA[[#This Row],[D, top]]-TOWER_DATA[[#This Row],[D, bottom]])/(TOWER_DATA[[#This Row],[Top]]-TOWER_DATA[[#This Row],[Bottom]]),"")</f>
        <v/>
      </c>
      <c r="BZ108" s="106" t="str">
        <f t="shared" si="4"/>
        <v/>
      </c>
      <c r="CA108" s="106" t="str">
        <f>IFERROR((TOWER_DATA[[#This Row],[D, top]]+TOWER_DATA[[#This Row],[D, bottom]])/(2*TOWER_DATA[[#This Row],[t]]/1000),"")</f>
        <v/>
      </c>
    </row>
    <row r="109" spans="8:79" x14ac:dyDescent="0.3">
      <c r="H109" s="106" t="str">
        <f>IFERROR(MP_DATA[[#This Row],[Bottom]]-MP_DATA[[#This Row],[D, top]], "")</f>
        <v/>
      </c>
      <c r="I109" s="106" t="str">
        <f>IFERROR(-(MP_DATA[[#This Row],[D, bottom]]-MP_DATA[[#This Row],[D, top]])/(MP_DATA[[#This Row],[Bottom]]-MP_DATA[[#This Row],[Top]]),"")</f>
        <v/>
      </c>
      <c r="J109" s="106" t="str">
        <f t="shared" si="2"/>
        <v/>
      </c>
      <c r="K109" s="106" t="str">
        <f>IFERROR((MP_DATA[[#This Row],[D, bottom]]+MP_DATA[[#This Row],[D, top]])/(2*MP_DATA[[#This Row],[t]]/1000),"")</f>
        <v/>
      </c>
      <c r="L109" s="106" t="str">
        <f>IFERROR((MP_DATA[[#This Row],[D, bottom]]+#REF!)/(2*#REF!/1000),"")</f>
        <v/>
      </c>
      <c r="AX109" s="106" t="str">
        <f>IFERROR(TP_DATA[[#This Row],[Top]]-TP_DATA[[#This Row],[Bottom]], "")</f>
        <v/>
      </c>
      <c r="AY109" s="106" t="str">
        <f>IFERROR(-(TP_DATA[[#This Row],[D, top]]-TP_DATA[[#This Row],[D, bottom]])/(TP_DATA[[#This Row],[Top]]-TP_DATA[[#This Row],[Bottom]]),"")</f>
        <v/>
      </c>
      <c r="AZ109" s="106" t="str">
        <f t="shared" si="3"/>
        <v/>
      </c>
      <c r="BA109" s="106" t="str">
        <f>IFERROR((TP_DATA[[#This Row],[D, top]]+TP_DATA[[#This Row],[D, bottom]])/(2*TP_DATA[[#This Row],[t]]/1000),"")</f>
        <v/>
      </c>
      <c r="BX109" s="106" t="str">
        <f>IFERROR(TOWER_DATA[[#This Row],[Top]]-TOWER_DATA[[#This Row],[Bottom]], "")</f>
        <v/>
      </c>
      <c r="BY109" s="106" t="str">
        <f>IFERROR(-(TOWER_DATA[[#This Row],[D, top]]-TOWER_DATA[[#This Row],[D, bottom]])/(TOWER_DATA[[#This Row],[Top]]-TOWER_DATA[[#This Row],[Bottom]]),"")</f>
        <v/>
      </c>
      <c r="BZ109" s="106" t="str">
        <f t="shared" si="4"/>
        <v/>
      </c>
      <c r="CA109" s="106" t="str">
        <f>IFERROR((TOWER_DATA[[#This Row],[D, top]]+TOWER_DATA[[#This Row],[D, bottom]])/(2*TOWER_DATA[[#This Row],[t]]/1000),"")</f>
        <v/>
      </c>
    </row>
    <row r="110" spans="8:79" x14ac:dyDescent="0.3">
      <c r="H110" s="106" t="str">
        <f>IFERROR(MP_DATA[[#This Row],[Bottom]]-MP_DATA[[#This Row],[D, top]], "")</f>
        <v/>
      </c>
      <c r="I110" s="106" t="str">
        <f>IFERROR(-(MP_DATA[[#This Row],[D, bottom]]-MP_DATA[[#This Row],[D, top]])/(MP_DATA[[#This Row],[Bottom]]-MP_DATA[[#This Row],[Top]]),"")</f>
        <v/>
      </c>
      <c r="J110" s="106" t="str">
        <f t="shared" si="2"/>
        <v/>
      </c>
      <c r="K110" s="106" t="str">
        <f>IFERROR((MP_DATA[[#This Row],[D, bottom]]+MP_DATA[[#This Row],[D, top]])/(2*MP_DATA[[#This Row],[t]]/1000),"")</f>
        <v/>
      </c>
      <c r="L110" s="106" t="str">
        <f>IFERROR((MP_DATA[[#This Row],[D, bottom]]+#REF!)/(2*#REF!/1000),"")</f>
        <v/>
      </c>
      <c r="AX110" s="106" t="str">
        <f>IFERROR(TP_DATA[[#This Row],[Top]]-TP_DATA[[#This Row],[Bottom]], "")</f>
        <v/>
      </c>
      <c r="AY110" s="106" t="str">
        <f>IFERROR(-(TP_DATA[[#This Row],[D, top]]-TP_DATA[[#This Row],[D, bottom]])/(TP_DATA[[#This Row],[Top]]-TP_DATA[[#This Row],[Bottom]]),"")</f>
        <v/>
      </c>
      <c r="AZ110" s="106" t="str">
        <f t="shared" si="3"/>
        <v/>
      </c>
      <c r="BA110" s="106" t="str">
        <f>IFERROR((TP_DATA[[#This Row],[D, top]]+TP_DATA[[#This Row],[D, bottom]])/(2*TP_DATA[[#This Row],[t]]/1000),"")</f>
        <v/>
      </c>
      <c r="BX110" s="106" t="str">
        <f>IFERROR(TOWER_DATA[[#This Row],[Top]]-TOWER_DATA[[#This Row],[Bottom]], "")</f>
        <v/>
      </c>
      <c r="BY110" s="106" t="str">
        <f>IFERROR(-(TOWER_DATA[[#This Row],[D, top]]-TOWER_DATA[[#This Row],[D, bottom]])/(TOWER_DATA[[#This Row],[Top]]-TOWER_DATA[[#This Row],[Bottom]]),"")</f>
        <v/>
      </c>
      <c r="BZ110" s="106" t="str">
        <f t="shared" si="4"/>
        <v/>
      </c>
      <c r="CA110" s="106" t="str">
        <f>IFERROR((TOWER_DATA[[#This Row],[D, top]]+TOWER_DATA[[#This Row],[D, bottom]])/(2*TOWER_DATA[[#This Row],[t]]/1000),"")</f>
        <v/>
      </c>
    </row>
    <row r="111" spans="8:79" x14ac:dyDescent="0.3">
      <c r="H111" s="106" t="str">
        <f>IFERROR(MP_DATA[[#This Row],[Bottom]]-MP_DATA[[#This Row],[D, top]], "")</f>
        <v/>
      </c>
      <c r="I111" s="106" t="str">
        <f>IFERROR(-(MP_DATA[[#This Row],[D, bottom]]-MP_DATA[[#This Row],[D, top]])/(MP_DATA[[#This Row],[Bottom]]-MP_DATA[[#This Row],[Top]]),"")</f>
        <v/>
      </c>
      <c r="J111" s="106" t="str">
        <f t="shared" si="2"/>
        <v/>
      </c>
      <c r="K111" s="106" t="str">
        <f>IFERROR((MP_DATA[[#This Row],[D, bottom]]+MP_DATA[[#This Row],[D, top]])/(2*MP_DATA[[#This Row],[t]]/1000),"")</f>
        <v/>
      </c>
      <c r="L111" s="106" t="str">
        <f>IFERROR((MP_DATA[[#This Row],[D, bottom]]+#REF!)/(2*#REF!/1000),"")</f>
        <v/>
      </c>
      <c r="AX111" s="106" t="str">
        <f>IFERROR(TP_DATA[[#This Row],[Top]]-TP_DATA[[#This Row],[Bottom]], "")</f>
        <v/>
      </c>
      <c r="AY111" s="106" t="str">
        <f>IFERROR(-(TP_DATA[[#This Row],[D, top]]-TP_DATA[[#This Row],[D, bottom]])/(TP_DATA[[#This Row],[Top]]-TP_DATA[[#This Row],[Bottom]]),"")</f>
        <v/>
      </c>
      <c r="AZ111" s="106" t="str">
        <f t="shared" si="3"/>
        <v/>
      </c>
      <c r="BA111" s="106" t="str">
        <f>IFERROR((TP_DATA[[#This Row],[D, top]]+TP_DATA[[#This Row],[D, bottom]])/(2*TP_DATA[[#This Row],[t]]/1000),"")</f>
        <v/>
      </c>
      <c r="BX111" s="106" t="str">
        <f>IFERROR(TOWER_DATA[[#This Row],[Top]]-TOWER_DATA[[#This Row],[Bottom]], "")</f>
        <v/>
      </c>
      <c r="BY111" s="106" t="str">
        <f>IFERROR(-(TOWER_DATA[[#This Row],[D, top]]-TOWER_DATA[[#This Row],[D, bottom]])/(TOWER_DATA[[#This Row],[Top]]-TOWER_DATA[[#This Row],[Bottom]]),"")</f>
        <v/>
      </c>
      <c r="BZ111" s="106" t="str">
        <f t="shared" si="4"/>
        <v/>
      </c>
      <c r="CA111" s="106" t="str">
        <f>IFERROR((TOWER_DATA[[#This Row],[D, top]]+TOWER_DATA[[#This Row],[D, bottom]])/(2*TOWER_DATA[[#This Row],[t]]/1000),"")</f>
        <v/>
      </c>
    </row>
    <row r="112" spans="8:79" x14ac:dyDescent="0.3">
      <c r="H112" s="106" t="str">
        <f>IFERROR(MP_DATA[[#This Row],[Bottom]]-MP_DATA[[#This Row],[D, top]], "")</f>
        <v/>
      </c>
      <c r="I112" s="106" t="str">
        <f>IFERROR(-(MP_DATA[[#This Row],[D, bottom]]-MP_DATA[[#This Row],[D, top]])/(MP_DATA[[#This Row],[Bottom]]-MP_DATA[[#This Row],[Top]]),"")</f>
        <v/>
      </c>
      <c r="J112" s="106" t="str">
        <f t="shared" si="2"/>
        <v/>
      </c>
      <c r="K112" s="106" t="str">
        <f>IFERROR((MP_DATA[[#This Row],[D, bottom]]+MP_DATA[[#This Row],[D, top]])/(2*MP_DATA[[#This Row],[t]]/1000),"")</f>
        <v/>
      </c>
      <c r="L112" s="106" t="str">
        <f>IFERROR((MP_DATA[[#This Row],[D, bottom]]+#REF!)/(2*#REF!/1000),"")</f>
        <v/>
      </c>
      <c r="AX112" s="106" t="str">
        <f>IFERROR(TP_DATA[[#This Row],[Top]]-TP_DATA[[#This Row],[Bottom]], "")</f>
        <v/>
      </c>
      <c r="AY112" s="106" t="str">
        <f>IFERROR(-(TP_DATA[[#This Row],[D, top]]-TP_DATA[[#This Row],[D, bottom]])/(TP_DATA[[#This Row],[Top]]-TP_DATA[[#This Row],[Bottom]]),"")</f>
        <v/>
      </c>
      <c r="AZ112" s="106" t="str">
        <f t="shared" si="3"/>
        <v/>
      </c>
      <c r="BA112" s="106" t="str">
        <f>IFERROR((TP_DATA[[#This Row],[D, top]]+TP_DATA[[#This Row],[D, bottom]])/(2*TP_DATA[[#This Row],[t]]/1000),"")</f>
        <v/>
      </c>
      <c r="BX112" s="106" t="str">
        <f>IFERROR(TOWER_DATA[[#This Row],[Top]]-TOWER_DATA[[#This Row],[Bottom]], "")</f>
        <v/>
      </c>
      <c r="BY112" s="106" t="str">
        <f>IFERROR(-(TOWER_DATA[[#This Row],[D, top]]-TOWER_DATA[[#This Row],[D, bottom]])/(TOWER_DATA[[#This Row],[Top]]-TOWER_DATA[[#This Row],[Bottom]]),"")</f>
        <v/>
      </c>
      <c r="BZ112" s="106" t="str">
        <f t="shared" si="4"/>
        <v/>
      </c>
      <c r="CA112" s="106" t="str">
        <f>IFERROR((TOWER_DATA[[#This Row],[D, top]]+TOWER_DATA[[#This Row],[D, bottom]])/(2*TOWER_DATA[[#This Row],[t]]/1000),"")</f>
        <v/>
      </c>
    </row>
    <row r="113" spans="8:79" x14ac:dyDescent="0.3">
      <c r="H113" s="106" t="str">
        <f>IFERROR(MP_DATA[[#This Row],[Bottom]]-MP_DATA[[#This Row],[D, top]], "")</f>
        <v/>
      </c>
      <c r="I113" s="106" t="str">
        <f>IFERROR(-(MP_DATA[[#This Row],[D, bottom]]-MP_DATA[[#This Row],[D, top]])/(MP_DATA[[#This Row],[Bottom]]-MP_DATA[[#This Row],[Top]]),"")</f>
        <v/>
      </c>
      <c r="J113" s="106" t="str">
        <f t="shared" si="2"/>
        <v/>
      </c>
      <c r="K113" s="106" t="str">
        <f>IFERROR((MP_DATA[[#This Row],[D, bottom]]+MP_DATA[[#This Row],[D, top]])/(2*MP_DATA[[#This Row],[t]]/1000),"")</f>
        <v/>
      </c>
      <c r="L113" s="106" t="str">
        <f>IFERROR((MP_DATA[[#This Row],[D, bottom]]+#REF!)/(2*#REF!/1000),"")</f>
        <v/>
      </c>
      <c r="AX113" s="106" t="str">
        <f>IFERROR(TP_DATA[[#This Row],[Top]]-TP_DATA[[#This Row],[Bottom]], "")</f>
        <v/>
      </c>
      <c r="AY113" s="106" t="str">
        <f>IFERROR(-(TP_DATA[[#This Row],[D, top]]-TP_DATA[[#This Row],[D, bottom]])/(TP_DATA[[#This Row],[Top]]-TP_DATA[[#This Row],[Bottom]]),"")</f>
        <v/>
      </c>
      <c r="AZ113" s="106" t="str">
        <f t="shared" si="3"/>
        <v/>
      </c>
      <c r="BA113" s="106" t="str">
        <f>IFERROR((TP_DATA[[#This Row],[D, top]]+TP_DATA[[#This Row],[D, bottom]])/(2*TP_DATA[[#This Row],[t]]/1000),"")</f>
        <v/>
      </c>
      <c r="BX113" s="106" t="str">
        <f>IFERROR(TOWER_DATA[[#This Row],[Top]]-TOWER_DATA[[#This Row],[Bottom]], "")</f>
        <v/>
      </c>
      <c r="BY113" s="106" t="str">
        <f>IFERROR(-(TOWER_DATA[[#This Row],[D, top]]-TOWER_DATA[[#This Row],[D, bottom]])/(TOWER_DATA[[#This Row],[Top]]-TOWER_DATA[[#This Row],[Bottom]]),"")</f>
        <v/>
      </c>
      <c r="BZ113" s="106" t="str">
        <f t="shared" si="4"/>
        <v/>
      </c>
      <c r="CA113" s="106" t="str">
        <f>IFERROR((TOWER_DATA[[#This Row],[D, top]]+TOWER_DATA[[#This Row],[D, bottom]])/(2*TOWER_DATA[[#This Row],[t]]/1000),"")</f>
        <v/>
      </c>
    </row>
    <row r="114" spans="8:79" x14ac:dyDescent="0.3">
      <c r="H114" s="106" t="str">
        <f>IFERROR(MP_DATA[[#This Row],[Bottom]]-MP_DATA[[#This Row],[D, top]], "")</f>
        <v/>
      </c>
      <c r="I114" s="106" t="str">
        <f>IFERROR(-(MP_DATA[[#This Row],[D, bottom]]-MP_DATA[[#This Row],[D, top]])/(MP_DATA[[#This Row],[Bottom]]-MP_DATA[[#This Row],[Top]]),"")</f>
        <v/>
      </c>
      <c r="J114" s="106" t="str">
        <f t="shared" si="2"/>
        <v/>
      </c>
      <c r="K114" s="106" t="str">
        <f>IFERROR((MP_DATA[[#This Row],[D, bottom]]+MP_DATA[[#This Row],[D, top]])/(2*MP_DATA[[#This Row],[t]]/1000),"")</f>
        <v/>
      </c>
      <c r="L114" s="106" t="str">
        <f>IFERROR((MP_DATA[[#This Row],[D, bottom]]+#REF!)/(2*#REF!/1000),"")</f>
        <v/>
      </c>
      <c r="AX114" s="106" t="str">
        <f>IFERROR(TP_DATA[[#This Row],[Top]]-TP_DATA[[#This Row],[Bottom]], "")</f>
        <v/>
      </c>
      <c r="AY114" s="106" t="str">
        <f>IFERROR(-(TP_DATA[[#This Row],[D, top]]-TP_DATA[[#This Row],[D, bottom]])/(TP_DATA[[#This Row],[Top]]-TP_DATA[[#This Row],[Bottom]]),"")</f>
        <v/>
      </c>
      <c r="AZ114" s="106" t="str">
        <f t="shared" si="3"/>
        <v/>
      </c>
      <c r="BA114" s="106" t="str">
        <f>IFERROR((TP_DATA[[#This Row],[D, top]]+TP_DATA[[#This Row],[D, bottom]])/(2*TP_DATA[[#This Row],[t]]/1000),"")</f>
        <v/>
      </c>
      <c r="BX114" s="106" t="str">
        <f>IFERROR(TOWER_DATA[[#This Row],[Top]]-TOWER_DATA[[#This Row],[Bottom]], "")</f>
        <v/>
      </c>
      <c r="BY114" s="106" t="str">
        <f>IFERROR(-(TOWER_DATA[[#This Row],[D, top]]-TOWER_DATA[[#This Row],[D, bottom]])/(TOWER_DATA[[#This Row],[Top]]-TOWER_DATA[[#This Row],[Bottom]]),"")</f>
        <v/>
      </c>
      <c r="BZ114" s="106" t="str">
        <f t="shared" si="4"/>
        <v/>
      </c>
      <c r="CA114" s="106" t="str">
        <f>IFERROR((TOWER_DATA[[#This Row],[D, top]]+TOWER_DATA[[#This Row],[D, bottom]])/(2*TOWER_DATA[[#This Row],[t]]/1000),"")</f>
        <v/>
      </c>
    </row>
    <row r="115" spans="8:79" x14ac:dyDescent="0.3">
      <c r="H115" s="106" t="str">
        <f>IFERROR(MP_DATA[[#This Row],[Bottom]]-MP_DATA[[#This Row],[D, top]], "")</f>
        <v/>
      </c>
      <c r="I115" s="106" t="str">
        <f>IFERROR(-(MP_DATA[[#This Row],[D, bottom]]-MP_DATA[[#This Row],[D, top]])/(MP_DATA[[#This Row],[Bottom]]-MP_DATA[[#This Row],[Top]]),"")</f>
        <v/>
      </c>
      <c r="J115" s="106" t="str">
        <f t="shared" si="2"/>
        <v/>
      </c>
      <c r="K115" s="106" t="str">
        <f>IFERROR((MP_DATA[[#This Row],[D, bottom]]+MP_DATA[[#This Row],[D, top]])/(2*MP_DATA[[#This Row],[t]]/1000),"")</f>
        <v/>
      </c>
      <c r="L115" s="106" t="str">
        <f>IFERROR((MP_DATA[[#This Row],[D, bottom]]+#REF!)/(2*#REF!/1000),"")</f>
        <v/>
      </c>
      <c r="AX115" s="106" t="str">
        <f>IFERROR(TP_DATA[[#This Row],[Top]]-TP_DATA[[#This Row],[Bottom]], "")</f>
        <v/>
      </c>
      <c r="AY115" s="106" t="str">
        <f>IFERROR(-(TP_DATA[[#This Row],[D, top]]-TP_DATA[[#This Row],[D, bottom]])/(TP_DATA[[#This Row],[Top]]-TP_DATA[[#This Row],[Bottom]]),"")</f>
        <v/>
      </c>
      <c r="AZ115" s="106" t="str">
        <f t="shared" si="3"/>
        <v/>
      </c>
      <c r="BA115" s="106" t="str">
        <f>IFERROR((TP_DATA[[#This Row],[D, top]]+TP_DATA[[#This Row],[D, bottom]])/(2*TP_DATA[[#This Row],[t]]/1000),"")</f>
        <v/>
      </c>
      <c r="BX115" s="106" t="str">
        <f>IFERROR(TOWER_DATA[[#This Row],[Top]]-TOWER_DATA[[#This Row],[Bottom]], "")</f>
        <v/>
      </c>
      <c r="BY115" s="106" t="str">
        <f>IFERROR(-(TOWER_DATA[[#This Row],[D, top]]-TOWER_DATA[[#This Row],[D, bottom]])/(TOWER_DATA[[#This Row],[Top]]-TOWER_DATA[[#This Row],[Bottom]]),"")</f>
        <v/>
      </c>
      <c r="BZ115" s="106" t="str">
        <f t="shared" si="4"/>
        <v/>
      </c>
      <c r="CA115" s="106" t="str">
        <f>IFERROR((TOWER_DATA[[#This Row],[D, top]]+TOWER_DATA[[#This Row],[D, bottom]])/(2*TOWER_DATA[[#This Row],[t]]/1000),"")</f>
        <v/>
      </c>
    </row>
    <row r="116" spans="8:79" x14ac:dyDescent="0.3">
      <c r="H116" s="106" t="str">
        <f>IFERROR(MP_DATA[[#This Row],[Bottom]]-MP_DATA[[#This Row],[D, top]], "")</f>
        <v/>
      </c>
      <c r="I116" s="106" t="str">
        <f>IFERROR(-(MP_DATA[[#This Row],[D, bottom]]-MP_DATA[[#This Row],[D, top]])/(MP_DATA[[#This Row],[Bottom]]-MP_DATA[[#This Row],[Top]]),"")</f>
        <v/>
      </c>
      <c r="J116" s="106" t="str">
        <f t="shared" si="2"/>
        <v/>
      </c>
      <c r="K116" s="106" t="str">
        <f>IFERROR((MP_DATA[[#This Row],[D, bottom]]+MP_DATA[[#This Row],[D, top]])/(2*MP_DATA[[#This Row],[t]]/1000),"")</f>
        <v/>
      </c>
      <c r="L116" s="106" t="str">
        <f>IFERROR((MP_DATA[[#This Row],[D, bottom]]+#REF!)/(2*#REF!/1000),"")</f>
        <v/>
      </c>
      <c r="AX116" s="106" t="str">
        <f>IFERROR(TP_DATA[[#This Row],[Top]]-TP_DATA[[#This Row],[Bottom]], "")</f>
        <v/>
      </c>
      <c r="AY116" s="106" t="str">
        <f>IFERROR(-(TP_DATA[[#This Row],[D, top]]-TP_DATA[[#This Row],[D, bottom]])/(TP_DATA[[#This Row],[Top]]-TP_DATA[[#This Row],[Bottom]]),"")</f>
        <v/>
      </c>
      <c r="AZ116" s="106" t="str">
        <f t="shared" si="3"/>
        <v/>
      </c>
      <c r="BA116" s="106" t="str">
        <f>IFERROR((TP_DATA[[#This Row],[D, top]]+TP_DATA[[#This Row],[D, bottom]])/(2*TP_DATA[[#This Row],[t]]/1000),"")</f>
        <v/>
      </c>
      <c r="BX116" s="106" t="str">
        <f>IFERROR(TOWER_DATA[[#This Row],[Top]]-TOWER_DATA[[#This Row],[Bottom]], "")</f>
        <v/>
      </c>
      <c r="BY116" s="106" t="str">
        <f>IFERROR(-(TOWER_DATA[[#This Row],[D, top]]-TOWER_DATA[[#This Row],[D, bottom]])/(TOWER_DATA[[#This Row],[Top]]-TOWER_DATA[[#This Row],[Bottom]]),"")</f>
        <v/>
      </c>
      <c r="BZ116" s="106" t="str">
        <f t="shared" si="4"/>
        <v/>
      </c>
      <c r="CA116" s="106" t="str">
        <f>IFERROR((TOWER_DATA[[#This Row],[D, top]]+TOWER_DATA[[#This Row],[D, bottom]])/(2*TOWER_DATA[[#This Row],[t]]/1000),"")</f>
        <v/>
      </c>
    </row>
    <row r="117" spans="8:79" x14ac:dyDescent="0.3">
      <c r="H117" s="106" t="str">
        <f>IFERROR(MP_DATA[[#This Row],[Bottom]]-MP_DATA[[#This Row],[D, top]], "")</f>
        <v/>
      </c>
      <c r="I117" s="106" t="str">
        <f>IFERROR(-(MP_DATA[[#This Row],[D, bottom]]-MP_DATA[[#This Row],[D, top]])/(MP_DATA[[#This Row],[Bottom]]-MP_DATA[[#This Row],[Top]]),"")</f>
        <v/>
      </c>
      <c r="J117" s="106" t="str">
        <f t="shared" si="2"/>
        <v/>
      </c>
      <c r="K117" s="106" t="str">
        <f>IFERROR((MP_DATA[[#This Row],[D, bottom]]+MP_DATA[[#This Row],[D, top]])/(2*MP_DATA[[#This Row],[t]]/1000),"")</f>
        <v/>
      </c>
      <c r="L117" s="106" t="str">
        <f>IFERROR((MP_DATA[[#This Row],[D, bottom]]+#REF!)/(2*#REF!/1000),"")</f>
        <v/>
      </c>
      <c r="AX117" s="106" t="str">
        <f>IFERROR(TP_DATA[[#This Row],[Top]]-TP_DATA[[#This Row],[Bottom]], "")</f>
        <v/>
      </c>
      <c r="AY117" s="106" t="str">
        <f>IFERROR(-(TP_DATA[[#This Row],[D, top]]-TP_DATA[[#This Row],[D, bottom]])/(TP_DATA[[#This Row],[Top]]-TP_DATA[[#This Row],[Bottom]]),"")</f>
        <v/>
      </c>
      <c r="AZ117" s="106" t="str">
        <f t="shared" si="3"/>
        <v/>
      </c>
      <c r="BA117" s="106" t="str">
        <f>IFERROR((TP_DATA[[#This Row],[D, top]]+TP_DATA[[#This Row],[D, bottom]])/(2*TP_DATA[[#This Row],[t]]/1000),"")</f>
        <v/>
      </c>
      <c r="BX117" s="106" t="str">
        <f>IFERROR(TOWER_DATA[[#This Row],[Top]]-TOWER_DATA[[#This Row],[Bottom]], "")</f>
        <v/>
      </c>
      <c r="BY117" s="106" t="str">
        <f>IFERROR(-(TOWER_DATA[[#This Row],[D, top]]-TOWER_DATA[[#This Row],[D, bottom]])/(TOWER_DATA[[#This Row],[Top]]-TOWER_DATA[[#This Row],[Bottom]]),"")</f>
        <v/>
      </c>
      <c r="BZ117" s="106" t="str">
        <f t="shared" si="4"/>
        <v/>
      </c>
      <c r="CA117" s="106" t="str">
        <f>IFERROR((TOWER_DATA[[#This Row],[D, top]]+TOWER_DATA[[#This Row],[D, bottom]])/(2*TOWER_DATA[[#This Row],[t]]/1000),"")</f>
        <v/>
      </c>
    </row>
    <row r="118" spans="8:79" x14ac:dyDescent="0.3">
      <c r="H118" s="106" t="str">
        <f>IFERROR(MP_DATA[[#This Row],[Bottom]]-MP_DATA[[#This Row],[D, top]], "")</f>
        <v/>
      </c>
      <c r="I118" s="106" t="str">
        <f>IFERROR(-(MP_DATA[[#This Row],[D, bottom]]-MP_DATA[[#This Row],[D, top]])/(MP_DATA[[#This Row],[Bottom]]-MP_DATA[[#This Row],[Top]]),"")</f>
        <v/>
      </c>
      <c r="J118" s="106" t="str">
        <f t="shared" si="2"/>
        <v/>
      </c>
      <c r="K118" s="106" t="str">
        <f>IFERROR((MP_DATA[[#This Row],[D, bottom]]+MP_DATA[[#This Row],[D, top]])/(2*MP_DATA[[#This Row],[t]]/1000),"")</f>
        <v/>
      </c>
      <c r="L118" s="106" t="str">
        <f>IFERROR((MP_DATA[[#This Row],[D, bottom]]+#REF!)/(2*#REF!/1000),"")</f>
        <v/>
      </c>
      <c r="AX118" s="106" t="str">
        <f>IFERROR(TP_DATA[[#This Row],[Top]]-TP_DATA[[#This Row],[Bottom]], "")</f>
        <v/>
      </c>
      <c r="AY118" s="106" t="str">
        <f>IFERROR(-(TP_DATA[[#This Row],[D, top]]-TP_DATA[[#This Row],[D, bottom]])/(TP_DATA[[#This Row],[Top]]-TP_DATA[[#This Row],[Bottom]]),"")</f>
        <v/>
      </c>
      <c r="AZ118" s="106" t="str">
        <f t="shared" si="3"/>
        <v/>
      </c>
      <c r="BA118" s="106" t="str">
        <f>IFERROR((TP_DATA[[#This Row],[D, top]]+TP_DATA[[#This Row],[D, bottom]])/(2*TP_DATA[[#This Row],[t]]/1000),"")</f>
        <v/>
      </c>
      <c r="BX118" s="106" t="str">
        <f>IFERROR(TOWER_DATA[[#This Row],[Top]]-TOWER_DATA[[#This Row],[Bottom]], "")</f>
        <v/>
      </c>
      <c r="BY118" s="106" t="str">
        <f>IFERROR(-(TOWER_DATA[[#This Row],[D, top]]-TOWER_DATA[[#This Row],[D, bottom]])/(TOWER_DATA[[#This Row],[Top]]-TOWER_DATA[[#This Row],[Bottom]]),"")</f>
        <v/>
      </c>
      <c r="BZ118" s="106" t="str">
        <f t="shared" si="4"/>
        <v/>
      </c>
      <c r="CA118" s="106" t="str">
        <f>IFERROR((TOWER_DATA[[#This Row],[D, top]]+TOWER_DATA[[#This Row],[D, bottom]])/(2*TOWER_DATA[[#This Row],[t]]/1000),"")</f>
        <v/>
      </c>
    </row>
    <row r="119" spans="8:79" x14ac:dyDescent="0.3">
      <c r="H119" s="106" t="str">
        <f>IFERROR(MP_DATA[[#This Row],[Bottom]]-MP_DATA[[#This Row],[D, top]], "")</f>
        <v/>
      </c>
      <c r="I119" s="106" t="str">
        <f>IFERROR(-(MP_DATA[[#This Row],[D, bottom]]-MP_DATA[[#This Row],[D, top]])/(MP_DATA[[#This Row],[Bottom]]-MP_DATA[[#This Row],[Top]]),"")</f>
        <v/>
      </c>
      <c r="J119" s="106" t="str">
        <f t="shared" si="2"/>
        <v/>
      </c>
      <c r="K119" s="106" t="str">
        <f>IFERROR((MP_DATA[[#This Row],[D, bottom]]+MP_DATA[[#This Row],[D, top]])/(2*MP_DATA[[#This Row],[t]]/1000),"")</f>
        <v/>
      </c>
      <c r="L119" s="106" t="str">
        <f>IFERROR((MP_DATA[[#This Row],[D, bottom]]+#REF!)/(2*#REF!/1000),"")</f>
        <v/>
      </c>
      <c r="AX119" s="106" t="str">
        <f>IFERROR(TP_DATA[[#This Row],[Top]]-TP_DATA[[#This Row],[Bottom]], "")</f>
        <v/>
      </c>
      <c r="AY119" s="106" t="str">
        <f>IFERROR(-(TP_DATA[[#This Row],[D, top]]-TP_DATA[[#This Row],[D, bottom]])/(TP_DATA[[#This Row],[Top]]-TP_DATA[[#This Row],[Bottom]]),"")</f>
        <v/>
      </c>
      <c r="AZ119" s="106" t="str">
        <f t="shared" si="3"/>
        <v/>
      </c>
      <c r="BA119" s="106" t="str">
        <f>IFERROR((TP_DATA[[#This Row],[D, top]]+TP_DATA[[#This Row],[D, bottom]])/(2*TP_DATA[[#This Row],[t]]/1000),"")</f>
        <v/>
      </c>
      <c r="BX119" s="106" t="str">
        <f>IFERROR(TOWER_DATA[[#This Row],[Top]]-TOWER_DATA[[#This Row],[Bottom]], "")</f>
        <v/>
      </c>
      <c r="BY119" s="106" t="str">
        <f>IFERROR(-(TOWER_DATA[[#This Row],[D, top]]-TOWER_DATA[[#This Row],[D, bottom]])/(TOWER_DATA[[#This Row],[Top]]-TOWER_DATA[[#This Row],[Bottom]]),"")</f>
        <v/>
      </c>
      <c r="BZ119" s="106" t="str">
        <f t="shared" si="4"/>
        <v/>
      </c>
      <c r="CA119" s="106" t="str">
        <f>IFERROR((TOWER_DATA[[#This Row],[D, top]]+TOWER_DATA[[#This Row],[D, bottom]])/(2*TOWER_DATA[[#This Row],[t]]/1000),"")</f>
        <v/>
      </c>
    </row>
    <row r="120" spans="8:79" x14ac:dyDescent="0.3">
      <c r="H120" s="106" t="str">
        <f>IFERROR(MP_DATA[[#This Row],[Bottom]]-MP_DATA[[#This Row],[D, top]], "")</f>
        <v/>
      </c>
      <c r="I120" s="106" t="str">
        <f>IFERROR(-(MP_DATA[[#This Row],[D, bottom]]-MP_DATA[[#This Row],[D, top]])/(MP_DATA[[#This Row],[Bottom]]-MP_DATA[[#This Row],[Top]]),"")</f>
        <v/>
      </c>
      <c r="J120" s="106" t="str">
        <f t="shared" si="2"/>
        <v/>
      </c>
      <c r="K120" s="106" t="str">
        <f>IFERROR((MP_DATA[[#This Row],[D, bottom]]+MP_DATA[[#This Row],[D, top]])/(2*MP_DATA[[#This Row],[t]]/1000),"")</f>
        <v/>
      </c>
      <c r="L120" s="106" t="str">
        <f>IFERROR((MP_DATA[[#This Row],[D, bottom]]+#REF!)/(2*#REF!/1000),"")</f>
        <v/>
      </c>
      <c r="AX120" s="106" t="str">
        <f>IFERROR(TP_DATA[[#This Row],[Top]]-TP_DATA[[#This Row],[Bottom]], "")</f>
        <v/>
      </c>
      <c r="AY120" s="106" t="str">
        <f>IFERROR(-(TP_DATA[[#This Row],[D, top]]-TP_DATA[[#This Row],[D, bottom]])/(TP_DATA[[#This Row],[Top]]-TP_DATA[[#This Row],[Bottom]]),"")</f>
        <v/>
      </c>
      <c r="AZ120" s="106" t="str">
        <f t="shared" si="3"/>
        <v/>
      </c>
      <c r="BA120" s="106" t="str">
        <f>IFERROR((TP_DATA[[#This Row],[D, top]]+TP_DATA[[#This Row],[D, bottom]])/(2*TP_DATA[[#This Row],[t]]/1000),"")</f>
        <v/>
      </c>
      <c r="BX120" s="106" t="str">
        <f>IFERROR(TOWER_DATA[[#This Row],[Top]]-TOWER_DATA[[#This Row],[Bottom]], "")</f>
        <v/>
      </c>
      <c r="BY120" s="106" t="str">
        <f>IFERROR(-(TOWER_DATA[[#This Row],[D, top]]-TOWER_DATA[[#This Row],[D, bottom]])/(TOWER_DATA[[#This Row],[Top]]-TOWER_DATA[[#This Row],[Bottom]]),"")</f>
        <v/>
      </c>
      <c r="BZ120" s="106" t="str">
        <f t="shared" si="4"/>
        <v/>
      </c>
      <c r="CA120" s="106" t="str">
        <f>IFERROR((TOWER_DATA[[#This Row],[D, top]]+TOWER_DATA[[#This Row],[D, bottom]])/(2*TOWER_DATA[[#This Row],[t]]/1000),"")</f>
        <v/>
      </c>
    </row>
    <row r="121" spans="8:79" x14ac:dyDescent="0.3">
      <c r="H121" s="106" t="str">
        <f>IFERROR(MP_DATA[[#This Row],[Bottom]]-MP_DATA[[#This Row],[D, top]], "")</f>
        <v/>
      </c>
      <c r="I121" s="106" t="str">
        <f>IFERROR(-(MP_DATA[[#This Row],[D, bottom]]-MP_DATA[[#This Row],[D, top]])/(MP_DATA[[#This Row],[Bottom]]-MP_DATA[[#This Row],[Top]]),"")</f>
        <v/>
      </c>
      <c r="J121" s="106" t="str">
        <f t="shared" si="2"/>
        <v/>
      </c>
      <c r="K121" s="106" t="str">
        <f>IFERROR((MP_DATA[[#This Row],[D, bottom]]+MP_DATA[[#This Row],[D, top]])/(2*MP_DATA[[#This Row],[t]]/1000),"")</f>
        <v/>
      </c>
      <c r="L121" s="106" t="str">
        <f>IFERROR((MP_DATA[[#This Row],[D, bottom]]+#REF!)/(2*#REF!/1000),"")</f>
        <v/>
      </c>
      <c r="AX121" s="106" t="str">
        <f>IFERROR(TP_DATA[[#This Row],[Top]]-TP_DATA[[#This Row],[Bottom]], "")</f>
        <v/>
      </c>
      <c r="AY121" s="106" t="str">
        <f>IFERROR(-(TP_DATA[[#This Row],[D, top]]-TP_DATA[[#This Row],[D, bottom]])/(TP_DATA[[#This Row],[Top]]-TP_DATA[[#This Row],[Bottom]]),"")</f>
        <v/>
      </c>
      <c r="AZ121" s="106" t="str">
        <f t="shared" si="3"/>
        <v/>
      </c>
      <c r="BA121" s="106" t="str">
        <f>IFERROR((TP_DATA[[#This Row],[D, top]]+TP_DATA[[#This Row],[D, bottom]])/(2*TP_DATA[[#This Row],[t]]/1000),"")</f>
        <v/>
      </c>
      <c r="BX121" s="106" t="str">
        <f>IFERROR(TOWER_DATA[[#This Row],[Top]]-TOWER_DATA[[#This Row],[Bottom]], "")</f>
        <v/>
      </c>
      <c r="BY121" s="106" t="str">
        <f>IFERROR(-(TOWER_DATA[[#This Row],[D, top]]-TOWER_DATA[[#This Row],[D, bottom]])/(TOWER_DATA[[#This Row],[Top]]-TOWER_DATA[[#This Row],[Bottom]]),"")</f>
        <v/>
      </c>
      <c r="BZ121" s="106" t="str">
        <f t="shared" si="4"/>
        <v/>
      </c>
      <c r="CA121" s="106" t="str">
        <f>IFERROR((TOWER_DATA[[#This Row],[D, top]]+TOWER_DATA[[#This Row],[D, bottom]])/(2*TOWER_DATA[[#This Row],[t]]/1000),"")</f>
        <v/>
      </c>
    </row>
    <row r="122" spans="8:79" x14ac:dyDescent="0.3">
      <c r="H122" s="106" t="str">
        <f>IFERROR(MP_DATA[[#This Row],[Bottom]]-MP_DATA[[#This Row],[D, top]], "")</f>
        <v/>
      </c>
      <c r="I122" s="106" t="str">
        <f>IFERROR(-(MP_DATA[[#This Row],[D, bottom]]-MP_DATA[[#This Row],[D, top]])/(MP_DATA[[#This Row],[Bottom]]-MP_DATA[[#This Row],[Top]]),"")</f>
        <v/>
      </c>
      <c r="J122" s="106" t="str">
        <f t="shared" si="2"/>
        <v/>
      </c>
      <c r="K122" s="106" t="str">
        <f>IFERROR((MP_DATA[[#This Row],[D, bottom]]+MP_DATA[[#This Row],[D, top]])/(2*MP_DATA[[#This Row],[t]]/1000),"")</f>
        <v/>
      </c>
      <c r="L122" s="106" t="str">
        <f>IFERROR((MP_DATA[[#This Row],[D, bottom]]+#REF!)/(2*#REF!/1000),"")</f>
        <v/>
      </c>
      <c r="AX122" s="106" t="str">
        <f>IFERROR(TP_DATA[[#This Row],[Top]]-TP_DATA[[#This Row],[Bottom]], "")</f>
        <v/>
      </c>
      <c r="AY122" s="106" t="str">
        <f>IFERROR(-(TP_DATA[[#This Row],[D, top]]-TP_DATA[[#This Row],[D, bottom]])/(TP_DATA[[#This Row],[Top]]-TP_DATA[[#This Row],[Bottom]]),"")</f>
        <v/>
      </c>
      <c r="AZ122" s="106" t="str">
        <f t="shared" si="3"/>
        <v/>
      </c>
      <c r="BA122" s="106" t="str">
        <f>IFERROR((TP_DATA[[#This Row],[D, top]]+TP_DATA[[#This Row],[D, bottom]])/(2*TP_DATA[[#This Row],[t]]/1000),"")</f>
        <v/>
      </c>
      <c r="BX122" s="106" t="str">
        <f>IFERROR(TOWER_DATA[[#This Row],[Top]]-TOWER_DATA[[#This Row],[Bottom]], "")</f>
        <v/>
      </c>
      <c r="BY122" s="106" t="str">
        <f>IFERROR(-(TOWER_DATA[[#This Row],[D, top]]-TOWER_DATA[[#This Row],[D, bottom]])/(TOWER_DATA[[#This Row],[Top]]-TOWER_DATA[[#This Row],[Bottom]]),"")</f>
        <v/>
      </c>
      <c r="BZ122" s="106" t="str">
        <f t="shared" si="4"/>
        <v/>
      </c>
      <c r="CA122" s="106" t="str">
        <f>IFERROR((TOWER_DATA[[#This Row],[D, top]]+TOWER_DATA[[#This Row],[D, bottom]])/(2*TOWER_DATA[[#This Row],[t]]/1000),"")</f>
        <v/>
      </c>
    </row>
    <row r="123" spans="8:79" x14ac:dyDescent="0.3">
      <c r="H123" s="106" t="str">
        <f>IFERROR(MP_DATA[[#This Row],[Bottom]]-MP_DATA[[#This Row],[D, top]], "")</f>
        <v/>
      </c>
      <c r="I123" s="106" t="str">
        <f>IFERROR(-(MP_DATA[[#This Row],[D, bottom]]-MP_DATA[[#This Row],[D, top]])/(MP_DATA[[#This Row],[Bottom]]-MP_DATA[[#This Row],[Top]]),"")</f>
        <v/>
      </c>
      <c r="J123" s="106" t="str">
        <f t="shared" si="2"/>
        <v/>
      </c>
      <c r="K123" s="106" t="str">
        <f>IFERROR((MP_DATA[[#This Row],[D, bottom]]+MP_DATA[[#This Row],[D, top]])/(2*MP_DATA[[#This Row],[t]]/1000),"")</f>
        <v/>
      </c>
      <c r="L123" s="106" t="str">
        <f>IFERROR((MP_DATA[[#This Row],[D, bottom]]+#REF!)/(2*#REF!/1000),"")</f>
        <v/>
      </c>
      <c r="AX123" s="106" t="str">
        <f>IFERROR(TP_DATA[[#This Row],[Top]]-TP_DATA[[#This Row],[Bottom]], "")</f>
        <v/>
      </c>
      <c r="AY123" s="106" t="str">
        <f>IFERROR(-(TP_DATA[[#This Row],[D, top]]-TP_DATA[[#This Row],[D, bottom]])/(TP_DATA[[#This Row],[Top]]-TP_DATA[[#This Row],[Bottom]]),"")</f>
        <v/>
      </c>
      <c r="AZ123" s="106" t="str">
        <f t="shared" si="3"/>
        <v/>
      </c>
      <c r="BA123" s="106" t="str">
        <f>IFERROR((TP_DATA[[#This Row],[D, top]]+TP_DATA[[#This Row],[D, bottom]])/(2*TP_DATA[[#This Row],[t]]/1000),"")</f>
        <v/>
      </c>
      <c r="BX123" s="106" t="str">
        <f>IFERROR(TOWER_DATA[[#This Row],[Top]]-TOWER_DATA[[#This Row],[Bottom]], "")</f>
        <v/>
      </c>
      <c r="BY123" s="106" t="str">
        <f>IFERROR(-(TOWER_DATA[[#This Row],[D, top]]-TOWER_DATA[[#This Row],[D, bottom]])/(TOWER_DATA[[#This Row],[Top]]-TOWER_DATA[[#This Row],[Bottom]]),"")</f>
        <v/>
      </c>
      <c r="BZ123" s="106" t="str">
        <f t="shared" si="4"/>
        <v/>
      </c>
      <c r="CA123" s="106" t="str">
        <f>IFERROR((TOWER_DATA[[#This Row],[D, top]]+TOWER_DATA[[#This Row],[D, bottom]])/(2*TOWER_DATA[[#This Row],[t]]/1000),"")</f>
        <v/>
      </c>
    </row>
    <row r="124" spans="8:79" x14ac:dyDescent="0.3">
      <c r="H124" s="106" t="str">
        <f>IFERROR(MP_DATA[[#This Row],[Bottom]]-MP_DATA[[#This Row],[D, top]], "")</f>
        <v/>
      </c>
      <c r="I124" s="106" t="str">
        <f>IFERROR(-(MP_DATA[[#This Row],[D, bottom]]-MP_DATA[[#This Row],[D, top]])/(MP_DATA[[#This Row],[Bottom]]-MP_DATA[[#This Row],[Top]]),"")</f>
        <v/>
      </c>
      <c r="J124" s="106" t="str">
        <f t="shared" si="2"/>
        <v/>
      </c>
      <c r="K124" s="106" t="str">
        <f>IFERROR((MP_DATA[[#This Row],[D, bottom]]+MP_DATA[[#This Row],[D, top]])/(2*MP_DATA[[#This Row],[t]]/1000),"")</f>
        <v/>
      </c>
      <c r="L124" s="106" t="str">
        <f>IFERROR((MP_DATA[[#This Row],[D, bottom]]+#REF!)/(2*#REF!/1000),"")</f>
        <v/>
      </c>
      <c r="AX124" s="106" t="str">
        <f>IFERROR(TP_DATA[[#This Row],[Top]]-TP_DATA[[#This Row],[Bottom]], "")</f>
        <v/>
      </c>
      <c r="AY124" s="106" t="str">
        <f>IFERROR(-(TP_DATA[[#This Row],[D, top]]-TP_DATA[[#This Row],[D, bottom]])/(TP_DATA[[#This Row],[Top]]-TP_DATA[[#This Row],[Bottom]]),"")</f>
        <v/>
      </c>
      <c r="AZ124" s="106" t="str">
        <f t="shared" si="3"/>
        <v/>
      </c>
      <c r="BA124" s="106" t="str">
        <f>IFERROR((TP_DATA[[#This Row],[D, top]]+TP_DATA[[#This Row],[D, bottom]])/(2*TP_DATA[[#This Row],[t]]/1000),"")</f>
        <v/>
      </c>
      <c r="BX124" s="106" t="str">
        <f>IFERROR(TOWER_DATA[[#This Row],[Top]]-TOWER_DATA[[#This Row],[Bottom]], "")</f>
        <v/>
      </c>
      <c r="BY124" s="106" t="str">
        <f>IFERROR(-(TOWER_DATA[[#This Row],[D, top]]-TOWER_DATA[[#This Row],[D, bottom]])/(TOWER_DATA[[#This Row],[Top]]-TOWER_DATA[[#This Row],[Bottom]]),"")</f>
        <v/>
      </c>
      <c r="BZ124" s="106" t="str">
        <f t="shared" si="4"/>
        <v/>
      </c>
      <c r="CA124" s="106" t="str">
        <f>IFERROR((TOWER_DATA[[#This Row],[D, top]]+TOWER_DATA[[#This Row],[D, bottom]])/(2*TOWER_DATA[[#This Row],[t]]/1000),"")</f>
        <v/>
      </c>
    </row>
    <row r="125" spans="8:79" x14ac:dyDescent="0.3">
      <c r="H125" s="106" t="str">
        <f>IFERROR(MP_DATA[[#This Row],[Bottom]]-MP_DATA[[#This Row],[D, top]], "")</f>
        <v/>
      </c>
      <c r="I125" s="106" t="str">
        <f>IFERROR(-(MP_DATA[[#This Row],[D, bottom]]-MP_DATA[[#This Row],[D, top]])/(MP_DATA[[#This Row],[Bottom]]-MP_DATA[[#This Row],[Top]]),"")</f>
        <v/>
      </c>
      <c r="J125" s="106" t="str">
        <f t="shared" si="2"/>
        <v/>
      </c>
      <c r="K125" s="106" t="str">
        <f>IFERROR((MP_DATA[[#This Row],[D, bottom]]+MP_DATA[[#This Row],[D, top]])/(2*MP_DATA[[#This Row],[t]]/1000),"")</f>
        <v/>
      </c>
      <c r="L125" s="106" t="str">
        <f>IFERROR((MP_DATA[[#This Row],[D, bottom]]+#REF!)/(2*#REF!/1000),"")</f>
        <v/>
      </c>
      <c r="AX125" s="106" t="str">
        <f>IFERROR(TP_DATA[[#This Row],[Top]]-TP_DATA[[#This Row],[Bottom]], "")</f>
        <v/>
      </c>
      <c r="AY125" s="106" t="str">
        <f>IFERROR(-(TP_DATA[[#This Row],[D, top]]-TP_DATA[[#This Row],[D, bottom]])/(TP_DATA[[#This Row],[Top]]-TP_DATA[[#This Row],[Bottom]]),"")</f>
        <v/>
      </c>
      <c r="AZ125" s="106" t="str">
        <f t="shared" si="3"/>
        <v/>
      </c>
      <c r="BA125" s="106" t="str">
        <f>IFERROR((TP_DATA[[#This Row],[D, top]]+TP_DATA[[#This Row],[D, bottom]])/(2*TP_DATA[[#This Row],[t]]/1000),"")</f>
        <v/>
      </c>
      <c r="BX125" s="106" t="str">
        <f>IFERROR(TOWER_DATA[[#This Row],[Top]]-TOWER_DATA[[#This Row],[Bottom]], "")</f>
        <v/>
      </c>
      <c r="BY125" s="106" t="str">
        <f>IFERROR(-(TOWER_DATA[[#This Row],[D, top]]-TOWER_DATA[[#This Row],[D, bottom]])/(TOWER_DATA[[#This Row],[Top]]-TOWER_DATA[[#This Row],[Bottom]]),"")</f>
        <v/>
      </c>
      <c r="BZ125" s="106" t="str">
        <f t="shared" si="4"/>
        <v/>
      </c>
      <c r="CA125" s="106" t="str">
        <f>IFERROR((TOWER_DATA[[#This Row],[D, top]]+TOWER_DATA[[#This Row],[D, bottom]])/(2*TOWER_DATA[[#This Row],[t]]/1000),"")</f>
        <v/>
      </c>
    </row>
    <row r="126" spans="8:79" x14ac:dyDescent="0.3">
      <c r="H126" s="106" t="str">
        <f>IFERROR(MP_DATA[[#This Row],[Bottom]]-MP_DATA[[#This Row],[D, top]], "")</f>
        <v/>
      </c>
      <c r="I126" s="106" t="str">
        <f>IFERROR(-(MP_DATA[[#This Row],[D, bottom]]-MP_DATA[[#This Row],[D, top]])/(MP_DATA[[#This Row],[Bottom]]-MP_DATA[[#This Row],[Top]]),"")</f>
        <v/>
      </c>
      <c r="J126" s="106" t="str">
        <f t="shared" si="2"/>
        <v/>
      </c>
      <c r="K126" s="106" t="str">
        <f>IFERROR((MP_DATA[[#This Row],[D, bottom]]+MP_DATA[[#This Row],[D, top]])/(2*MP_DATA[[#This Row],[t]]/1000),"")</f>
        <v/>
      </c>
      <c r="L126" s="106" t="str">
        <f>IFERROR((MP_DATA[[#This Row],[D, bottom]]+#REF!)/(2*#REF!/1000),"")</f>
        <v/>
      </c>
      <c r="AX126" s="106" t="str">
        <f>IFERROR(TP_DATA[[#This Row],[Top]]-TP_DATA[[#This Row],[Bottom]], "")</f>
        <v/>
      </c>
      <c r="AY126" s="106" t="str">
        <f>IFERROR(-(TP_DATA[[#This Row],[D, top]]-TP_DATA[[#This Row],[D, bottom]])/(TP_DATA[[#This Row],[Top]]-TP_DATA[[#This Row],[Bottom]]),"")</f>
        <v/>
      </c>
      <c r="AZ126" s="106" t="str">
        <f t="shared" si="3"/>
        <v/>
      </c>
      <c r="BA126" s="106" t="str">
        <f>IFERROR((TP_DATA[[#This Row],[D, top]]+TP_DATA[[#This Row],[D, bottom]])/(2*TP_DATA[[#This Row],[t]]/1000),"")</f>
        <v/>
      </c>
      <c r="BX126" s="106" t="str">
        <f>IFERROR(TOWER_DATA[[#This Row],[Top]]-TOWER_DATA[[#This Row],[Bottom]], "")</f>
        <v/>
      </c>
      <c r="BY126" s="106" t="str">
        <f>IFERROR(-(TOWER_DATA[[#This Row],[D, top]]-TOWER_DATA[[#This Row],[D, bottom]])/(TOWER_DATA[[#This Row],[Top]]-TOWER_DATA[[#This Row],[Bottom]]),"")</f>
        <v/>
      </c>
      <c r="BZ126" s="106" t="str">
        <f t="shared" si="4"/>
        <v/>
      </c>
      <c r="CA126" s="106" t="str">
        <f>IFERROR((TOWER_DATA[[#This Row],[D, top]]+TOWER_DATA[[#This Row],[D, bottom]])/(2*TOWER_DATA[[#This Row],[t]]/1000),"")</f>
        <v/>
      </c>
    </row>
    <row r="127" spans="8:79" x14ac:dyDescent="0.3">
      <c r="H127" s="106" t="str">
        <f>IFERROR(MP_DATA[[#This Row],[Bottom]]-MP_DATA[[#This Row],[D, top]], "")</f>
        <v/>
      </c>
      <c r="I127" s="106" t="str">
        <f>IFERROR(-(MP_DATA[[#This Row],[D, bottom]]-MP_DATA[[#This Row],[D, top]])/(MP_DATA[[#This Row],[Bottom]]-MP_DATA[[#This Row],[Top]]),"")</f>
        <v/>
      </c>
      <c r="J127" s="106" t="str">
        <f t="shared" si="2"/>
        <v/>
      </c>
      <c r="K127" s="106" t="str">
        <f>IFERROR((MP_DATA[[#This Row],[D, bottom]]+MP_DATA[[#This Row],[D, top]])/(2*MP_DATA[[#This Row],[t]]/1000),"")</f>
        <v/>
      </c>
      <c r="L127" s="106" t="str">
        <f>IFERROR((MP_DATA[[#This Row],[D, bottom]]+#REF!)/(2*#REF!/1000),"")</f>
        <v/>
      </c>
      <c r="AX127" s="106" t="str">
        <f>IFERROR(TP_DATA[[#This Row],[Top]]-TP_DATA[[#This Row],[Bottom]], "")</f>
        <v/>
      </c>
      <c r="AY127" s="106" t="str">
        <f>IFERROR(-(TP_DATA[[#This Row],[D, top]]-TP_DATA[[#This Row],[D, bottom]])/(TP_DATA[[#This Row],[Top]]-TP_DATA[[#This Row],[Bottom]]),"")</f>
        <v/>
      </c>
      <c r="AZ127" s="106" t="str">
        <f t="shared" si="3"/>
        <v/>
      </c>
      <c r="BA127" s="106" t="str">
        <f>IFERROR((TP_DATA[[#This Row],[D, top]]+TP_DATA[[#This Row],[D, bottom]])/(2*TP_DATA[[#This Row],[t]]/1000),"")</f>
        <v/>
      </c>
      <c r="BX127" s="106" t="str">
        <f>IFERROR(TOWER_DATA[[#This Row],[Top]]-TOWER_DATA[[#This Row],[Bottom]], "")</f>
        <v/>
      </c>
      <c r="BY127" s="106" t="str">
        <f>IFERROR(-(TOWER_DATA[[#This Row],[D, top]]-TOWER_DATA[[#This Row],[D, bottom]])/(TOWER_DATA[[#This Row],[Top]]-TOWER_DATA[[#This Row],[Bottom]]),"")</f>
        <v/>
      </c>
      <c r="BZ127" s="106" t="str">
        <f t="shared" si="4"/>
        <v/>
      </c>
      <c r="CA127" s="106" t="str">
        <f>IFERROR((TOWER_DATA[[#This Row],[D, top]]+TOWER_DATA[[#This Row],[D, bottom]])/(2*TOWER_DATA[[#This Row],[t]]/1000),"")</f>
        <v/>
      </c>
    </row>
    <row r="128" spans="8:79" x14ac:dyDescent="0.3">
      <c r="H128" s="106" t="str">
        <f>IFERROR(MP_DATA[[#This Row],[Bottom]]-MP_DATA[[#This Row],[D, top]], "")</f>
        <v/>
      </c>
      <c r="I128" s="106" t="str">
        <f>IFERROR(-(MP_DATA[[#This Row],[D, bottom]]-MP_DATA[[#This Row],[D, top]])/(MP_DATA[[#This Row],[Bottom]]-MP_DATA[[#This Row],[Top]]),"")</f>
        <v/>
      </c>
      <c r="J128" s="106" t="str">
        <f t="shared" si="2"/>
        <v/>
      </c>
      <c r="K128" s="106" t="str">
        <f>IFERROR((MP_DATA[[#This Row],[D, bottom]]+MP_DATA[[#This Row],[D, top]])/(2*MP_DATA[[#This Row],[t]]/1000),"")</f>
        <v/>
      </c>
      <c r="L128" s="106" t="str">
        <f>IFERROR((MP_DATA[[#This Row],[D, bottom]]+#REF!)/(2*#REF!/1000),"")</f>
        <v/>
      </c>
      <c r="AX128" s="106" t="str">
        <f>IFERROR(TP_DATA[[#This Row],[Top]]-TP_DATA[[#This Row],[Bottom]], "")</f>
        <v/>
      </c>
      <c r="AY128" s="106" t="str">
        <f>IFERROR(-(TP_DATA[[#This Row],[D, top]]-TP_DATA[[#This Row],[D, bottom]])/(TP_DATA[[#This Row],[Top]]-TP_DATA[[#This Row],[Bottom]]),"")</f>
        <v/>
      </c>
      <c r="AZ128" s="106" t="str">
        <f t="shared" si="3"/>
        <v/>
      </c>
      <c r="BA128" s="106" t="str">
        <f>IFERROR((TP_DATA[[#This Row],[D, top]]+TP_DATA[[#This Row],[D, bottom]])/(2*TP_DATA[[#This Row],[t]]/1000),"")</f>
        <v/>
      </c>
      <c r="BX128" s="106" t="str">
        <f>IFERROR(TOWER_DATA[[#This Row],[Top]]-TOWER_DATA[[#This Row],[Bottom]], "")</f>
        <v/>
      </c>
      <c r="BY128" s="106" t="str">
        <f>IFERROR(-(TOWER_DATA[[#This Row],[D, top]]-TOWER_DATA[[#This Row],[D, bottom]])/(TOWER_DATA[[#This Row],[Top]]-TOWER_DATA[[#This Row],[Bottom]]),"")</f>
        <v/>
      </c>
      <c r="BZ128" s="106" t="str">
        <f t="shared" si="4"/>
        <v/>
      </c>
      <c r="CA128" s="106" t="str">
        <f>IFERROR((TOWER_DATA[[#This Row],[D, top]]+TOWER_DATA[[#This Row],[D, bottom]])/(2*TOWER_DATA[[#This Row],[t]]/1000),"")</f>
        <v/>
      </c>
    </row>
    <row r="129" spans="8:79" x14ac:dyDescent="0.3">
      <c r="H129" s="106" t="str">
        <f>IFERROR(MP_DATA[[#This Row],[Bottom]]-MP_DATA[[#This Row],[D, top]], "")</f>
        <v/>
      </c>
      <c r="I129" s="106" t="str">
        <f>IFERROR(-(MP_DATA[[#This Row],[D, bottom]]-MP_DATA[[#This Row],[D, top]])/(MP_DATA[[#This Row],[Bottom]]-MP_DATA[[#This Row],[Top]]),"")</f>
        <v/>
      </c>
      <c r="J129" s="106" t="str">
        <f t="shared" si="2"/>
        <v/>
      </c>
      <c r="K129" s="106" t="str">
        <f>IFERROR((MP_DATA[[#This Row],[D, bottom]]+MP_DATA[[#This Row],[D, top]])/(2*MP_DATA[[#This Row],[t]]/1000),"")</f>
        <v/>
      </c>
      <c r="L129" s="106" t="str">
        <f>IFERROR((MP_DATA[[#This Row],[D, bottom]]+#REF!)/(2*#REF!/1000),"")</f>
        <v/>
      </c>
      <c r="AX129" s="106" t="str">
        <f>IFERROR(TP_DATA[[#This Row],[Top]]-TP_DATA[[#This Row],[Bottom]], "")</f>
        <v/>
      </c>
      <c r="AY129" s="106" t="str">
        <f>IFERROR(-(TP_DATA[[#This Row],[D, top]]-TP_DATA[[#This Row],[D, bottom]])/(TP_DATA[[#This Row],[Top]]-TP_DATA[[#This Row],[Bottom]]),"")</f>
        <v/>
      </c>
      <c r="AZ129" s="106" t="str">
        <f t="shared" si="3"/>
        <v/>
      </c>
      <c r="BA129" s="106" t="str">
        <f>IFERROR((TP_DATA[[#This Row],[D, top]]+TP_DATA[[#This Row],[D, bottom]])/(2*TP_DATA[[#This Row],[t]]/1000),"")</f>
        <v/>
      </c>
      <c r="BX129" s="106" t="str">
        <f>IFERROR(TOWER_DATA[[#This Row],[Top]]-TOWER_DATA[[#This Row],[Bottom]], "")</f>
        <v/>
      </c>
      <c r="BY129" s="106" t="str">
        <f>IFERROR(-(TOWER_DATA[[#This Row],[D, top]]-TOWER_DATA[[#This Row],[D, bottom]])/(TOWER_DATA[[#This Row],[Top]]-TOWER_DATA[[#This Row],[Bottom]]),"")</f>
        <v/>
      </c>
      <c r="BZ129" s="106" t="str">
        <f t="shared" si="4"/>
        <v/>
      </c>
      <c r="CA129" s="106" t="str">
        <f>IFERROR((TOWER_DATA[[#This Row],[D, top]]+TOWER_DATA[[#This Row],[D, bottom]])/(2*TOWER_DATA[[#This Row],[t]]/1000),"")</f>
        <v/>
      </c>
    </row>
    <row r="130" spans="8:79" x14ac:dyDescent="0.3">
      <c r="H130" s="106" t="str">
        <f>IFERROR(MP_DATA[[#This Row],[Bottom]]-MP_DATA[[#This Row],[D, top]], "")</f>
        <v/>
      </c>
      <c r="I130" s="106" t="str">
        <f>IFERROR(-(MP_DATA[[#This Row],[D, bottom]]-MP_DATA[[#This Row],[D, top]])/(MP_DATA[[#This Row],[Bottom]]-MP_DATA[[#This Row],[Top]]),"")</f>
        <v/>
      </c>
      <c r="J130" s="106" t="str">
        <f t="shared" si="2"/>
        <v/>
      </c>
      <c r="K130" s="106" t="str">
        <f>IFERROR((MP_DATA[[#This Row],[D, bottom]]+MP_DATA[[#This Row],[D, top]])/(2*MP_DATA[[#This Row],[t]]/1000),"")</f>
        <v/>
      </c>
      <c r="L130" s="93" t="str">
        <f>IFERROR((MP_DATA[[#This Row],[D, bottom]]+#REF!)/(2*#REF!/1000),"")</f>
        <v/>
      </c>
      <c r="AX130" s="106" t="str">
        <f>IFERROR(TP_DATA[[#This Row],[Top]]-TP_DATA[[#This Row],[Bottom]], "")</f>
        <v/>
      </c>
      <c r="AY130" s="106" t="str">
        <f>IFERROR(-(TP_DATA[[#This Row],[D, top]]-TP_DATA[[#This Row],[D, bottom]])/(TP_DATA[[#This Row],[Top]]-TP_DATA[[#This Row],[Bottom]]),"")</f>
        <v/>
      </c>
      <c r="AZ130" s="106" t="str">
        <f t="shared" si="3"/>
        <v/>
      </c>
      <c r="BA130" s="106" t="str">
        <f>IFERROR((TP_DATA[[#This Row],[D, top]]+TP_DATA[[#This Row],[D, bottom]])/(2*TP_DATA[[#This Row],[t]]/1000),"")</f>
        <v/>
      </c>
      <c r="BX130" s="106" t="str">
        <f>IFERROR(TOWER_DATA[[#This Row],[Top]]-TOWER_DATA[[#This Row],[Bottom]], "")</f>
        <v/>
      </c>
      <c r="BY130" s="106" t="str">
        <f>IFERROR(-(TOWER_DATA[[#This Row],[D, top]]-TOWER_DATA[[#This Row],[D, bottom]])/(TOWER_DATA[[#This Row],[Top]]-TOWER_DATA[[#This Row],[Bottom]]),"")</f>
        <v/>
      </c>
      <c r="BZ130" s="106" t="str">
        <f t="shared" si="4"/>
        <v/>
      </c>
      <c r="CA130" s="106" t="str">
        <f>IFERROR((TOWER_DATA[[#This Row],[D, top]]+TOWER_DATA[[#This Row],[D, bottom]])/(2*TOWER_DATA[[#This Row],[t]]/1000),"")</f>
        <v/>
      </c>
    </row>
    <row r="131" spans="8:79" x14ac:dyDescent="0.3">
      <c r="H131" s="106" t="str">
        <f>IFERROR(MP_DATA[[#This Row],[Bottom]]-MP_DATA[[#This Row],[D, top]], "")</f>
        <v/>
      </c>
      <c r="I131" s="106" t="str">
        <f>IFERROR(-(MP_DATA[[#This Row],[D, bottom]]-MP_DATA[[#This Row],[D, top]])/(MP_DATA[[#This Row],[Bottom]]-MP_DATA[[#This Row],[Top]]),"")</f>
        <v/>
      </c>
      <c r="J131" s="106" t="str">
        <f t="shared" si="2"/>
        <v/>
      </c>
      <c r="K131" s="106" t="str">
        <f>IFERROR((MP_DATA[[#This Row],[D, bottom]]+MP_DATA[[#This Row],[D, top]])/(2*MP_DATA[[#This Row],[t]]/1000),"")</f>
        <v/>
      </c>
      <c r="L131" s="93" t="str">
        <f>IFERROR((MP_DATA[[#This Row],[D, bottom]]+#REF!)/(2*#REF!/1000),"")</f>
        <v/>
      </c>
      <c r="AX131" s="106" t="str">
        <f>IFERROR(TP_DATA[[#This Row],[Top]]-TP_DATA[[#This Row],[Bottom]], "")</f>
        <v/>
      </c>
      <c r="AY131" s="106" t="str">
        <f>IFERROR(-(TP_DATA[[#This Row],[D, top]]-TP_DATA[[#This Row],[D, bottom]])/(TP_DATA[[#This Row],[Top]]-TP_DATA[[#This Row],[Bottom]]),"")</f>
        <v/>
      </c>
      <c r="AZ131" s="106" t="str">
        <f t="shared" si="3"/>
        <v/>
      </c>
      <c r="BA131" s="106" t="str">
        <f>IFERROR((TP_DATA[[#This Row],[D, top]]+TP_DATA[[#This Row],[D, bottom]])/(2*TP_DATA[[#This Row],[t]]/1000),"")</f>
        <v/>
      </c>
      <c r="BX131" s="106" t="str">
        <f>IFERROR(TOWER_DATA[[#This Row],[Top]]-TOWER_DATA[[#This Row],[Bottom]], "")</f>
        <v/>
      </c>
      <c r="BY131" s="106" t="str">
        <f>IFERROR(-(TOWER_DATA[[#This Row],[D, top]]-TOWER_DATA[[#This Row],[D, bottom]])/(TOWER_DATA[[#This Row],[Top]]-TOWER_DATA[[#This Row],[Bottom]]),"")</f>
        <v/>
      </c>
      <c r="BZ131" s="106" t="str">
        <f t="shared" si="4"/>
        <v/>
      </c>
      <c r="CA131" s="106" t="str">
        <f>IFERROR((TOWER_DATA[[#This Row],[D, top]]+TOWER_DATA[[#This Row],[D, bottom]])/(2*TOWER_DATA[[#This Row],[t]]/1000),"")</f>
        <v/>
      </c>
    </row>
    <row r="132" spans="8:79" x14ac:dyDescent="0.3">
      <c r="H132" s="106" t="str">
        <f>IFERROR(MP_DATA[[#This Row],[Bottom]]-MP_DATA[[#This Row],[D, top]], "")</f>
        <v/>
      </c>
      <c r="I132" s="106" t="str">
        <f>IFERROR(-(MP_DATA[[#This Row],[D, bottom]]-MP_DATA[[#This Row],[D, top]])/(MP_DATA[[#This Row],[Bottom]]-MP_DATA[[#This Row],[Top]]),"")</f>
        <v/>
      </c>
      <c r="J132" s="106" t="str">
        <f t="shared" si="2"/>
        <v/>
      </c>
      <c r="K132" s="106" t="str">
        <f>IFERROR((MP_DATA[[#This Row],[D, bottom]]+MP_DATA[[#This Row],[D, top]])/(2*MP_DATA[[#This Row],[t]]/1000),"")</f>
        <v/>
      </c>
      <c r="L132" s="93" t="str">
        <f>IFERROR((MP_DATA[[#This Row],[D, bottom]]+#REF!)/(2*#REF!/1000),"")</f>
        <v/>
      </c>
      <c r="AX132" s="106" t="str">
        <f>IFERROR(TP_DATA[[#This Row],[Top]]-TP_DATA[[#This Row],[Bottom]], "")</f>
        <v/>
      </c>
      <c r="AY132" s="106" t="str">
        <f>IFERROR(-(TP_DATA[[#This Row],[D, top]]-TP_DATA[[#This Row],[D, bottom]])/(TP_DATA[[#This Row],[Top]]-TP_DATA[[#This Row],[Bottom]]),"")</f>
        <v/>
      </c>
      <c r="AZ132" s="106" t="str">
        <f t="shared" si="3"/>
        <v/>
      </c>
      <c r="BA132" s="106" t="str">
        <f>IFERROR((TP_DATA[[#This Row],[D, top]]+TP_DATA[[#This Row],[D, bottom]])/(2*TP_DATA[[#This Row],[t]]/1000),"")</f>
        <v/>
      </c>
      <c r="BX132" s="106" t="str">
        <f>IFERROR(TOWER_DATA[[#This Row],[Top]]-TOWER_DATA[[#This Row],[Bottom]], "")</f>
        <v/>
      </c>
      <c r="BY132" s="106" t="str">
        <f>IFERROR(-(TOWER_DATA[[#This Row],[D, top]]-TOWER_DATA[[#This Row],[D, bottom]])/(TOWER_DATA[[#This Row],[Top]]-TOWER_DATA[[#This Row],[Bottom]]),"")</f>
        <v/>
      </c>
      <c r="BZ132" s="106" t="str">
        <f t="shared" si="4"/>
        <v/>
      </c>
      <c r="CA132" s="106" t="str">
        <f>IFERROR((TOWER_DATA[[#This Row],[D, top]]+TOWER_DATA[[#This Row],[D, bottom]])/(2*TOWER_DATA[[#This Row],[t]]/1000),"")</f>
        <v/>
      </c>
    </row>
    <row r="133" spans="8:79" x14ac:dyDescent="0.3">
      <c r="H133" s="106" t="str">
        <f>IFERROR(MP_DATA[[#This Row],[Bottom]]-MP_DATA[[#This Row],[D, top]], "")</f>
        <v/>
      </c>
      <c r="I133" s="106" t="str">
        <f>IFERROR(-(MP_DATA[[#This Row],[D, bottom]]-MP_DATA[[#This Row],[D, top]])/(MP_DATA[[#This Row],[Bottom]]-MP_DATA[[#This Row],[Top]]),"")</f>
        <v/>
      </c>
      <c r="J133" s="106" t="str">
        <f t="shared" si="2"/>
        <v/>
      </c>
      <c r="K133" s="106" t="str">
        <f>IFERROR((MP_DATA[[#This Row],[D, bottom]]+MP_DATA[[#This Row],[D, top]])/(2*MP_DATA[[#This Row],[t]]/1000),"")</f>
        <v/>
      </c>
      <c r="L133" s="93" t="str">
        <f>IFERROR((MP_DATA[[#This Row],[D, bottom]]+#REF!)/(2*#REF!/1000),"")</f>
        <v/>
      </c>
      <c r="AX133" s="106" t="str">
        <f>IFERROR(TP_DATA[[#This Row],[Top]]-TP_DATA[[#This Row],[Bottom]], "")</f>
        <v/>
      </c>
      <c r="AY133" s="106" t="str">
        <f>IFERROR(-(TP_DATA[[#This Row],[D, top]]-TP_DATA[[#This Row],[D, bottom]])/(TP_DATA[[#This Row],[Top]]-TP_DATA[[#This Row],[Bottom]]),"")</f>
        <v/>
      </c>
      <c r="AZ133" s="106" t="str">
        <f t="shared" si="3"/>
        <v/>
      </c>
      <c r="BA133" s="106" t="str">
        <f>IFERROR((TP_DATA[[#This Row],[D, top]]+TP_DATA[[#This Row],[D, bottom]])/(2*TP_DATA[[#This Row],[t]]/1000),"")</f>
        <v/>
      </c>
      <c r="BX133" s="106" t="str">
        <f>IFERROR(TOWER_DATA[[#This Row],[Top]]-TOWER_DATA[[#This Row],[Bottom]], "")</f>
        <v/>
      </c>
      <c r="BY133" s="106" t="str">
        <f>IFERROR(-(TOWER_DATA[[#This Row],[D, top]]-TOWER_DATA[[#This Row],[D, bottom]])/(TOWER_DATA[[#This Row],[Top]]-TOWER_DATA[[#This Row],[Bottom]]),"")</f>
        <v/>
      </c>
      <c r="BZ133" s="106" t="str">
        <f t="shared" si="4"/>
        <v/>
      </c>
      <c r="CA133" s="106" t="str">
        <f>IFERROR((TOWER_DATA[[#This Row],[D, top]]+TOWER_DATA[[#This Row],[D, bottom]])/(2*TOWER_DATA[[#This Row],[t]]/1000),"")</f>
        <v/>
      </c>
    </row>
    <row r="134" spans="8:79" x14ac:dyDescent="0.3">
      <c r="H134" s="106" t="str">
        <f>IFERROR(MP_DATA[[#This Row],[Bottom]]-MP_DATA[[#This Row],[D, top]], "")</f>
        <v/>
      </c>
      <c r="I134" s="106" t="str">
        <f>IFERROR(-(MP_DATA[[#This Row],[D, bottom]]-MP_DATA[[#This Row],[D, top]])/(MP_DATA[[#This Row],[Bottom]]-MP_DATA[[#This Row],[Top]]),"")</f>
        <v/>
      </c>
      <c r="J134" s="106" t="str">
        <f t="shared" si="2"/>
        <v/>
      </c>
      <c r="K134" s="106" t="str">
        <f>IFERROR((MP_DATA[[#This Row],[D, bottom]]+MP_DATA[[#This Row],[D, top]])/(2*MP_DATA[[#This Row],[t]]/1000),"")</f>
        <v/>
      </c>
      <c r="L134" s="93" t="str">
        <f>IFERROR((MP_DATA[[#This Row],[D, bottom]]+#REF!)/(2*#REF!/1000),"")</f>
        <v/>
      </c>
      <c r="AX134" s="106" t="str">
        <f>IFERROR(TP_DATA[[#This Row],[Top]]-TP_DATA[[#This Row],[Bottom]], "")</f>
        <v/>
      </c>
      <c r="AY134" s="106" t="str">
        <f>IFERROR(-(TP_DATA[[#This Row],[D, top]]-TP_DATA[[#This Row],[D, bottom]])/(TP_DATA[[#This Row],[Top]]-TP_DATA[[#This Row],[Bottom]]),"")</f>
        <v/>
      </c>
      <c r="AZ134" s="106" t="str">
        <f t="shared" si="3"/>
        <v/>
      </c>
      <c r="BA134" s="106" t="str">
        <f>IFERROR((TP_DATA[[#This Row],[D, top]]+TP_DATA[[#This Row],[D, bottom]])/(2*TP_DATA[[#This Row],[t]]/1000),"")</f>
        <v/>
      </c>
      <c r="BX134" s="106" t="str">
        <f>IFERROR(TOWER_DATA[[#This Row],[Top]]-TOWER_DATA[[#This Row],[Bottom]], "")</f>
        <v/>
      </c>
      <c r="BY134" s="106" t="str">
        <f>IFERROR(-(TOWER_DATA[[#This Row],[D, top]]-TOWER_DATA[[#This Row],[D, bottom]])/(TOWER_DATA[[#This Row],[Top]]-TOWER_DATA[[#This Row],[Bottom]]),"")</f>
        <v/>
      </c>
      <c r="BZ134" s="106" t="str">
        <f t="shared" si="4"/>
        <v/>
      </c>
      <c r="CA134" s="106" t="str">
        <f>IFERROR((TOWER_DATA[[#This Row],[D, top]]+TOWER_DATA[[#This Row],[D, bottom]])/(2*TOWER_DATA[[#This Row],[t]]/1000),"")</f>
        <v/>
      </c>
    </row>
    <row r="135" spans="8:79" x14ac:dyDescent="0.3">
      <c r="H135" s="106" t="str">
        <f>IFERROR(MP_DATA[[#This Row],[Bottom]]-MP_DATA[[#This Row],[D, top]], "")</f>
        <v/>
      </c>
      <c r="I135" s="106" t="str">
        <f>IFERROR(-(MP_DATA[[#This Row],[D, bottom]]-MP_DATA[[#This Row],[D, top]])/(MP_DATA[[#This Row],[Bottom]]-MP_DATA[[#This Row],[Top]]),"")</f>
        <v/>
      </c>
      <c r="J135" s="106" t="str">
        <f t="shared" si="2"/>
        <v/>
      </c>
      <c r="K135" s="106" t="str">
        <f>IFERROR((MP_DATA[[#This Row],[D, bottom]]+MP_DATA[[#This Row],[D, top]])/(2*MP_DATA[[#This Row],[t]]/1000),"")</f>
        <v/>
      </c>
      <c r="L135" s="93" t="str">
        <f>IFERROR((MP_DATA[[#This Row],[D, bottom]]+#REF!)/(2*#REF!/1000),"")</f>
        <v/>
      </c>
      <c r="AX135" s="93" t="str">
        <f>IFERROR(TP_DATA[[#This Row],[Top]]-TP_DATA[[#This Row],[Bottom]], "")</f>
        <v/>
      </c>
      <c r="AY135" s="93" t="str">
        <f>IFERROR(-(TP_DATA[[#This Row],[D, top]]-TP_DATA[[#This Row],[D, bottom]])/(TP_DATA[[#This Row],[Top]]-TP_DATA[[#This Row],[Bottom]]),"")</f>
        <v/>
      </c>
      <c r="AZ135" s="93" t="str">
        <f t="shared" si="3"/>
        <v/>
      </c>
      <c r="BA135" s="93" t="str">
        <f>IFERROR((TP_DATA[[#This Row],[D, top]]+TP_DATA[[#This Row],[D, bottom]])/(2*TP_DATA[[#This Row],[t]]/1000),"")</f>
        <v/>
      </c>
      <c r="BX135" s="106" t="str">
        <f>IFERROR(TOWER_DATA[[#This Row],[Top]]-TOWER_DATA[[#This Row],[Bottom]], "")</f>
        <v/>
      </c>
      <c r="BY135" s="106" t="str">
        <f>IFERROR(-(TOWER_DATA[[#This Row],[D, top]]-TOWER_DATA[[#This Row],[D, bottom]])/(TOWER_DATA[[#This Row],[Top]]-TOWER_DATA[[#This Row],[Bottom]]),"")</f>
        <v/>
      </c>
      <c r="BZ135" s="106" t="str">
        <f t="shared" si="4"/>
        <v/>
      </c>
      <c r="CA135" s="106" t="str">
        <f>IFERROR((TOWER_DATA[[#This Row],[D, top]]+TOWER_DATA[[#This Row],[D, bottom]])/(2*TOWER_DATA[[#This Row],[t]]/1000),"")</f>
        <v/>
      </c>
    </row>
    <row r="136" spans="8:79" x14ac:dyDescent="0.3">
      <c r="H136" s="106" t="str">
        <f>IFERROR(MP_DATA[[#This Row],[Bottom]]-MP_DATA[[#This Row],[D, top]], "")</f>
        <v/>
      </c>
      <c r="I136" s="106" t="str">
        <f>IFERROR(-(MP_DATA[[#This Row],[D, bottom]]-MP_DATA[[#This Row],[D, top]])/(MP_DATA[[#This Row],[Bottom]]-MP_DATA[[#This Row],[Top]]),"")</f>
        <v/>
      </c>
      <c r="J136" s="106" t="str">
        <f t="shared" si="2"/>
        <v/>
      </c>
      <c r="K136" s="106" t="str">
        <f>IFERROR((MP_DATA[[#This Row],[D, bottom]]+MP_DATA[[#This Row],[D, top]])/(2*MP_DATA[[#This Row],[t]]/1000),"")</f>
        <v/>
      </c>
      <c r="AX136" s="93" t="str">
        <f>IFERROR(TP_DATA[[#This Row],[Top]]-TP_DATA[[#This Row],[Bottom]], "")</f>
        <v/>
      </c>
      <c r="AY136" s="93" t="str">
        <f>IFERROR(-(TP_DATA[[#This Row],[D, top]]-TP_DATA[[#This Row],[D, bottom]])/(TP_DATA[[#This Row],[Top]]-TP_DATA[[#This Row],[Bottom]]),"")</f>
        <v/>
      </c>
      <c r="AZ136" s="93" t="str">
        <f t="shared" si="3"/>
        <v/>
      </c>
      <c r="BA136" s="93" t="str">
        <f>IFERROR((TP_DATA[[#This Row],[D, top]]+TP_DATA[[#This Row],[D, bottom]])/(2*TP_DATA[[#This Row],[t]]/1000),"")</f>
        <v/>
      </c>
      <c r="BX136" s="106" t="str">
        <f>IFERROR(TOWER_DATA[[#This Row],[Top]]-TOWER_DATA[[#This Row],[Bottom]], "")</f>
        <v/>
      </c>
      <c r="BY136" s="106" t="str">
        <f>IFERROR(-(TOWER_DATA[[#This Row],[D, top]]-TOWER_DATA[[#This Row],[D, bottom]])/(TOWER_DATA[[#This Row],[Top]]-TOWER_DATA[[#This Row],[Bottom]]),"")</f>
        <v/>
      </c>
      <c r="BZ136" s="106" t="str">
        <f t="shared" si="4"/>
        <v/>
      </c>
      <c r="CA136" s="106" t="str">
        <f>IFERROR((TOWER_DATA[[#This Row],[D, top]]+TOWER_DATA[[#This Row],[D, bottom]])/(2*TOWER_DATA[[#This Row],[t]]/1000),"")</f>
        <v/>
      </c>
    </row>
    <row r="137" spans="8:79" x14ac:dyDescent="0.3">
      <c r="H137" s="106" t="str">
        <f>IFERROR(MP_DATA[[#This Row],[Bottom]]-MP_DATA[[#This Row],[D, top]], "")</f>
        <v/>
      </c>
      <c r="I137" s="106" t="str">
        <f>IFERROR(-(MP_DATA[[#This Row],[D, bottom]]-MP_DATA[[#This Row],[D, top]])/(MP_DATA[[#This Row],[Bottom]]-MP_DATA[[#This Row],[Top]]),"")</f>
        <v/>
      </c>
      <c r="J137" s="106" t="str">
        <f t="shared" si="2"/>
        <v/>
      </c>
      <c r="K137" s="106" t="str">
        <f>IFERROR((MP_DATA[[#This Row],[D, bottom]]+MP_DATA[[#This Row],[D, top]])/(2*MP_DATA[[#This Row],[t]]/1000),"")</f>
        <v/>
      </c>
      <c r="AX137" s="93" t="str">
        <f>IFERROR(TP_DATA[[#This Row],[Top]]-TP_DATA[[#This Row],[Bottom]], "")</f>
        <v/>
      </c>
      <c r="AY137" s="93" t="str">
        <f>IFERROR(-(TP_DATA[[#This Row],[D, top]]-TP_DATA[[#This Row],[D, bottom]])/(TP_DATA[[#This Row],[Top]]-TP_DATA[[#This Row],[Bottom]]),"")</f>
        <v/>
      </c>
      <c r="AZ137" s="93" t="str">
        <f t="shared" si="3"/>
        <v/>
      </c>
      <c r="BA137" s="93" t="str">
        <f>IFERROR((TP_DATA[[#This Row],[D, top]]+TP_DATA[[#This Row],[D, bottom]])/(2*TP_DATA[[#This Row],[t]]/1000),"")</f>
        <v/>
      </c>
      <c r="BX137" s="106" t="str">
        <f>IFERROR(TOWER_DATA[[#This Row],[Top]]-TOWER_DATA[[#This Row],[Bottom]], "")</f>
        <v/>
      </c>
      <c r="BY137" s="106" t="str">
        <f>IFERROR(-(TOWER_DATA[[#This Row],[D, top]]-TOWER_DATA[[#This Row],[D, bottom]])/(TOWER_DATA[[#This Row],[Top]]-TOWER_DATA[[#This Row],[Bottom]]),"")</f>
        <v/>
      </c>
      <c r="BZ137" s="106" t="str">
        <f t="shared" si="4"/>
        <v/>
      </c>
      <c r="CA137" s="106" t="str">
        <f>IFERROR((TOWER_DATA[[#This Row],[D, top]]+TOWER_DATA[[#This Row],[D, bottom]])/(2*TOWER_DATA[[#This Row],[t]]/1000),"")</f>
        <v/>
      </c>
    </row>
    <row r="138" spans="8:79" x14ac:dyDescent="0.3">
      <c r="H138" s="106" t="str">
        <f>IFERROR(MP_DATA[[#This Row],[Bottom]]-MP_DATA[[#This Row],[D, top]], "")</f>
        <v/>
      </c>
      <c r="I138" s="106" t="str">
        <f>IFERROR(-(MP_DATA[[#This Row],[D, bottom]]-MP_DATA[[#This Row],[D, top]])/(MP_DATA[[#This Row],[Bottom]]-MP_DATA[[#This Row],[Top]]),"")</f>
        <v/>
      </c>
      <c r="J138" s="106" t="str">
        <f t="shared" si="2"/>
        <v/>
      </c>
      <c r="K138" s="106" t="str">
        <f>IFERROR((MP_DATA[[#This Row],[D, bottom]]+MP_DATA[[#This Row],[D, top]])/(2*MP_DATA[[#This Row],[t]]/1000),"")</f>
        <v/>
      </c>
      <c r="AX138" s="93" t="str">
        <f>IFERROR(TP_DATA[[#This Row],[Top]]-TP_DATA[[#This Row],[Bottom]], "")</f>
        <v/>
      </c>
      <c r="AY138" s="93" t="str">
        <f>IFERROR(-(TP_DATA[[#This Row],[D, top]]-TP_DATA[[#This Row],[D, bottom]])/(TP_DATA[[#This Row],[Top]]-TP_DATA[[#This Row],[Bottom]]),"")</f>
        <v/>
      </c>
      <c r="AZ138" s="93" t="str">
        <f t="shared" si="3"/>
        <v/>
      </c>
      <c r="BA138" s="93" t="str">
        <f>IFERROR((TP_DATA[[#This Row],[D, top]]+TP_DATA[[#This Row],[D, bottom]])/(2*TP_DATA[[#This Row],[t]]/1000),"")</f>
        <v/>
      </c>
      <c r="BX138" s="106" t="str">
        <f>IFERROR(TOWER_DATA[[#This Row],[Top]]-TOWER_DATA[[#This Row],[Bottom]], "")</f>
        <v/>
      </c>
      <c r="BY138" s="106" t="str">
        <f>IFERROR(-(TOWER_DATA[[#This Row],[D, top]]-TOWER_DATA[[#This Row],[D, bottom]])/(TOWER_DATA[[#This Row],[Top]]-TOWER_DATA[[#This Row],[Bottom]]),"")</f>
        <v/>
      </c>
      <c r="BZ138" s="106" t="str">
        <f t="shared" si="4"/>
        <v/>
      </c>
      <c r="CA138" s="106" t="str">
        <f>IFERROR((TOWER_DATA[[#This Row],[D, top]]+TOWER_DATA[[#This Row],[D, bottom]])/(2*TOWER_DATA[[#This Row],[t]]/1000),"")</f>
        <v/>
      </c>
    </row>
    <row r="139" spans="8:79" x14ac:dyDescent="0.3">
      <c r="H139" s="106" t="str">
        <f>IFERROR(MP_DATA[[#This Row],[Bottom]]-MP_DATA[[#This Row],[D, top]], "")</f>
        <v/>
      </c>
      <c r="I139" s="106" t="str">
        <f>IFERROR(-(MP_DATA[[#This Row],[D, bottom]]-MP_DATA[[#This Row],[D, top]])/(MP_DATA[[#This Row],[Bottom]]-MP_DATA[[#This Row],[Top]]),"")</f>
        <v/>
      </c>
      <c r="J139" s="106" t="str">
        <f t="shared" si="2"/>
        <v/>
      </c>
      <c r="K139" s="106" t="str">
        <f>IFERROR((MP_DATA[[#This Row],[D, bottom]]+MP_DATA[[#This Row],[D, top]])/(2*MP_DATA[[#This Row],[t]]/1000),"")</f>
        <v/>
      </c>
      <c r="AX139" s="93" t="str">
        <f>IFERROR(TP_DATA[[#This Row],[Top]]-TP_DATA[[#This Row],[Bottom]], "")</f>
        <v/>
      </c>
      <c r="AY139" s="93" t="str">
        <f>IFERROR(-(TP_DATA[[#This Row],[D, top]]-TP_DATA[[#This Row],[D, bottom]])/(TP_DATA[[#This Row],[Top]]-TP_DATA[[#This Row],[Bottom]]),"")</f>
        <v/>
      </c>
      <c r="AZ139" s="93" t="str">
        <f t="shared" si="3"/>
        <v/>
      </c>
      <c r="BA139" s="93" t="str">
        <f>IFERROR((TP_DATA[[#This Row],[D, top]]+TP_DATA[[#This Row],[D, bottom]])/(2*TP_DATA[[#This Row],[t]]/1000),"")</f>
        <v/>
      </c>
      <c r="BX139" s="106" t="str">
        <f>IFERROR(TOWER_DATA[[#This Row],[Top]]-TOWER_DATA[[#This Row],[Bottom]], "")</f>
        <v/>
      </c>
      <c r="BY139" s="106" t="str">
        <f>IFERROR(-(TOWER_DATA[[#This Row],[D, top]]-TOWER_DATA[[#This Row],[D, bottom]])/(TOWER_DATA[[#This Row],[Top]]-TOWER_DATA[[#This Row],[Bottom]]),"")</f>
        <v/>
      </c>
      <c r="BZ139" s="106" t="str">
        <f t="shared" si="4"/>
        <v/>
      </c>
      <c r="CA139" s="106" t="str">
        <f>IFERROR((TOWER_DATA[[#This Row],[D, top]]+TOWER_DATA[[#This Row],[D, bottom]])/(2*TOWER_DATA[[#This Row],[t]]/1000),"")</f>
        <v/>
      </c>
    </row>
    <row r="140" spans="8:79" x14ac:dyDescent="0.3">
      <c r="H140" s="106" t="str">
        <f>IFERROR(MP_DATA[[#This Row],[Bottom]]-MP_DATA[[#This Row],[D, top]], "")</f>
        <v/>
      </c>
      <c r="I140" s="106" t="str">
        <f>IFERROR(-(MP_DATA[[#This Row],[D, bottom]]-MP_DATA[[#This Row],[D, top]])/(MP_DATA[[#This Row],[Bottom]]-MP_DATA[[#This Row],[Top]]),"")</f>
        <v/>
      </c>
      <c r="J140" s="106" t="str">
        <f t="shared" si="2"/>
        <v/>
      </c>
      <c r="K140" s="106" t="str">
        <f>IFERROR((MP_DATA[[#This Row],[D, bottom]]+MP_DATA[[#This Row],[D, top]])/(2*MP_DATA[[#This Row],[t]]/1000),"")</f>
        <v/>
      </c>
      <c r="BX140" s="106" t="str">
        <f>IFERROR(TOWER_DATA[[#This Row],[Top]]-TOWER_DATA[[#This Row],[Bottom]], "")</f>
        <v/>
      </c>
      <c r="BY140" s="106" t="str">
        <f>IFERROR(-(TOWER_DATA[[#This Row],[D, top]]-TOWER_DATA[[#This Row],[D, bottom]])/(TOWER_DATA[[#This Row],[Top]]-TOWER_DATA[[#This Row],[Bottom]]),"")</f>
        <v/>
      </c>
      <c r="BZ140" s="106" t="str">
        <f t="shared" si="4"/>
        <v/>
      </c>
      <c r="CA140" s="106" t="str">
        <f>IFERROR((TOWER_DATA[[#This Row],[D, top]]+TOWER_DATA[[#This Row],[D, bottom]])/(2*TOWER_DATA[[#This Row],[t]]/1000),"")</f>
        <v/>
      </c>
    </row>
    <row r="141" spans="8:79" x14ac:dyDescent="0.3">
      <c r="H141" s="106" t="str">
        <f>IFERROR(MP_DATA[[#This Row],[Bottom]]-MP_DATA[[#This Row],[D, top]], "")</f>
        <v/>
      </c>
      <c r="I141" s="106" t="str">
        <f>IFERROR(-(MP_DATA[[#This Row],[D, bottom]]-MP_DATA[[#This Row],[D, top]])/(MP_DATA[[#This Row],[Bottom]]-MP_DATA[[#This Row],[Top]]),"")</f>
        <v/>
      </c>
      <c r="J141" s="106" t="str">
        <f t="shared" si="2"/>
        <v/>
      </c>
      <c r="K141" s="106" t="str">
        <f>IFERROR((MP_DATA[[#This Row],[D, bottom]]+MP_DATA[[#This Row],[D, top]])/(2*MP_DATA[[#This Row],[t]]/1000),"")</f>
        <v/>
      </c>
      <c r="BX141" s="106" t="str">
        <f>IFERROR(TOWER_DATA[[#This Row],[Top]]-TOWER_DATA[[#This Row],[Bottom]], "")</f>
        <v/>
      </c>
      <c r="BY141" s="106" t="str">
        <f>IFERROR(-(TOWER_DATA[[#This Row],[D, top]]-TOWER_DATA[[#This Row],[D, bottom]])/(TOWER_DATA[[#This Row],[Top]]-TOWER_DATA[[#This Row],[Bottom]]),"")</f>
        <v/>
      </c>
      <c r="BZ141" s="106" t="str">
        <f t="shared" si="4"/>
        <v/>
      </c>
      <c r="CA141" s="106" t="str">
        <f>IFERROR((TOWER_DATA[[#This Row],[D, top]]+TOWER_DATA[[#This Row],[D, bottom]])/(2*TOWER_DATA[[#This Row],[t]]/1000),"")</f>
        <v/>
      </c>
    </row>
    <row r="142" spans="8:79" x14ac:dyDescent="0.3">
      <c r="H142" s="106" t="str">
        <f>IFERROR(MP_DATA[[#This Row],[Bottom]]-MP_DATA[[#This Row],[D, top]], "")</f>
        <v/>
      </c>
      <c r="I142" s="106" t="str">
        <f>IFERROR(-(MP_DATA[[#This Row],[D, bottom]]-MP_DATA[[#This Row],[D, top]])/(MP_DATA[[#This Row],[Bottom]]-MP_DATA[[#This Row],[Top]]),"")</f>
        <v/>
      </c>
      <c r="J142" s="106" t="str">
        <f t="shared" si="2"/>
        <v/>
      </c>
      <c r="K142" s="106" t="str">
        <f>IFERROR((MP_DATA[[#This Row],[D, bottom]]+MP_DATA[[#This Row],[D, top]])/(2*MP_DATA[[#This Row],[t]]/1000),"")</f>
        <v/>
      </c>
      <c r="BX142" s="106" t="str">
        <f>IFERROR(TOWER_DATA[[#This Row],[Top]]-TOWER_DATA[[#This Row],[Bottom]], "")</f>
        <v/>
      </c>
      <c r="BY142" s="106" t="str">
        <f>IFERROR(-(TOWER_DATA[[#This Row],[D, top]]-TOWER_DATA[[#This Row],[D, bottom]])/(TOWER_DATA[[#This Row],[Top]]-TOWER_DATA[[#This Row],[Bottom]]),"")</f>
        <v/>
      </c>
      <c r="BZ142" s="106" t="str">
        <f t="shared" si="4"/>
        <v/>
      </c>
      <c r="CA142" s="106" t="str">
        <f>IFERROR((TOWER_DATA[[#This Row],[D, top]]+TOWER_DATA[[#This Row],[D, bottom]])/(2*TOWER_DATA[[#This Row],[t]]/1000),"")</f>
        <v/>
      </c>
    </row>
    <row r="143" spans="8:79" x14ac:dyDescent="0.3">
      <c r="H143" s="106" t="str">
        <f>IFERROR(MP_DATA[[#This Row],[Bottom]]-MP_DATA[[#This Row],[D, top]], "")</f>
        <v/>
      </c>
      <c r="I143" s="106" t="str">
        <f>IFERROR(-(MP_DATA[[#This Row],[D, bottom]]-MP_DATA[[#This Row],[D, top]])/(MP_DATA[[#This Row],[Bottom]]-MP_DATA[[#This Row],[Top]]),"")</f>
        <v/>
      </c>
      <c r="J143" s="106" t="str">
        <f t="shared" si="2"/>
        <v/>
      </c>
      <c r="K143" s="106" t="str">
        <f>IFERROR((MP_DATA[[#This Row],[D, bottom]]+MP_DATA[[#This Row],[D, top]])/(2*MP_DATA[[#This Row],[t]]/1000),"")</f>
        <v/>
      </c>
      <c r="BX143" s="106" t="str">
        <f>IFERROR(TOWER_DATA[[#This Row],[Top]]-TOWER_DATA[[#This Row],[Bottom]], "")</f>
        <v/>
      </c>
      <c r="BY143" s="106" t="str">
        <f>IFERROR(-(TOWER_DATA[[#This Row],[D, top]]-TOWER_DATA[[#This Row],[D, bottom]])/(TOWER_DATA[[#This Row],[Top]]-TOWER_DATA[[#This Row],[Bottom]]),"")</f>
        <v/>
      </c>
      <c r="BZ143" s="106" t="str">
        <f t="shared" si="4"/>
        <v/>
      </c>
      <c r="CA143" s="106" t="str">
        <f>IFERROR((TOWER_DATA[[#This Row],[D, top]]+TOWER_DATA[[#This Row],[D, bottom]])/(2*TOWER_DATA[[#This Row],[t]]/1000),"")</f>
        <v/>
      </c>
    </row>
    <row r="144" spans="8:79" x14ac:dyDescent="0.3">
      <c r="H144" s="106" t="str">
        <f>IFERROR(MP_DATA[[#This Row],[Bottom]]-MP_DATA[[#This Row],[D, top]], "")</f>
        <v/>
      </c>
      <c r="I144" s="106" t="str">
        <f>IFERROR(-(MP_DATA[[#This Row],[D, bottom]]-MP_DATA[[#This Row],[D, top]])/(MP_DATA[[#This Row],[Bottom]]-MP_DATA[[#This Row],[Top]]),"")</f>
        <v/>
      </c>
      <c r="J144" s="106" t="str">
        <f t="shared" si="2"/>
        <v/>
      </c>
      <c r="K144" s="106" t="str">
        <f>IFERROR((MP_DATA[[#This Row],[D, bottom]]+MP_DATA[[#This Row],[D, top]])/(2*MP_DATA[[#This Row],[t]]/1000),"")</f>
        <v/>
      </c>
      <c r="BX144" s="106" t="str">
        <f>IFERROR(TOWER_DATA[[#This Row],[Top]]-TOWER_DATA[[#This Row],[Bottom]], "")</f>
        <v/>
      </c>
      <c r="BY144" s="106" t="str">
        <f>IFERROR(-(TOWER_DATA[[#This Row],[D, top]]-TOWER_DATA[[#This Row],[D, bottom]])/(TOWER_DATA[[#This Row],[Top]]-TOWER_DATA[[#This Row],[Bottom]]),"")</f>
        <v/>
      </c>
      <c r="BZ144" s="106" t="str">
        <f t="shared" si="4"/>
        <v/>
      </c>
      <c r="CA144" s="106" t="str">
        <f>IFERROR((TOWER_DATA[[#This Row],[D, top]]+TOWER_DATA[[#This Row],[D, bottom]])/(2*TOWER_DATA[[#This Row],[t]]/1000),"")</f>
        <v/>
      </c>
    </row>
    <row r="145" spans="8:79" x14ac:dyDescent="0.3">
      <c r="H145" s="106" t="str">
        <f>IFERROR(MP_DATA[[#This Row],[Bottom]]-MP_DATA[[#This Row],[D, top]], "")</f>
        <v/>
      </c>
      <c r="I145" s="106" t="str">
        <f>IFERROR(-(MP_DATA[[#This Row],[D, bottom]]-MP_DATA[[#This Row],[D, top]])/(MP_DATA[[#This Row],[Bottom]]-MP_DATA[[#This Row],[Top]]),"")</f>
        <v/>
      </c>
      <c r="J145" s="106" t="str">
        <f t="shared" si="2"/>
        <v/>
      </c>
      <c r="K145" s="106" t="str">
        <f>IFERROR((MP_DATA[[#This Row],[D, bottom]]+MP_DATA[[#This Row],[D, top]])/(2*MP_DATA[[#This Row],[t]]/1000),"")</f>
        <v/>
      </c>
      <c r="BX145" s="106" t="str">
        <f>IFERROR(TOWER_DATA[[#This Row],[Top]]-TOWER_DATA[[#This Row],[Bottom]], "")</f>
        <v/>
      </c>
      <c r="BY145" s="106" t="str">
        <f>IFERROR(-(TOWER_DATA[[#This Row],[D, top]]-TOWER_DATA[[#This Row],[D, bottom]])/(TOWER_DATA[[#This Row],[Top]]-TOWER_DATA[[#This Row],[Bottom]]),"")</f>
        <v/>
      </c>
      <c r="BZ145" s="106" t="str">
        <f t="shared" si="4"/>
        <v/>
      </c>
      <c r="CA145" s="106" t="str">
        <f>IFERROR((TOWER_DATA[[#This Row],[D, top]]+TOWER_DATA[[#This Row],[D, bottom]])/(2*TOWER_DATA[[#This Row],[t]]/1000),"")</f>
        <v/>
      </c>
    </row>
    <row r="146" spans="8:79" x14ac:dyDescent="0.3">
      <c r="H146" s="106" t="str">
        <f>IFERROR(MP_DATA[[#This Row],[Bottom]]-MP_DATA[[#This Row],[D, top]], "")</f>
        <v/>
      </c>
      <c r="I146" s="106" t="str">
        <f>IFERROR(-(MP_DATA[[#This Row],[D, bottom]]-MP_DATA[[#This Row],[D, top]])/(MP_DATA[[#This Row],[Bottom]]-MP_DATA[[#This Row],[Top]]),"")</f>
        <v/>
      </c>
      <c r="J146" s="106" t="str">
        <f t="shared" si="2"/>
        <v/>
      </c>
      <c r="K146" s="106" t="str">
        <f>IFERROR((MP_DATA[[#This Row],[D, bottom]]+MP_DATA[[#This Row],[D, top]])/(2*MP_DATA[[#This Row],[t]]/1000),"")</f>
        <v/>
      </c>
      <c r="BX146" s="106" t="str">
        <f>IFERROR(TOWER_DATA[[#This Row],[Top]]-TOWER_DATA[[#This Row],[Bottom]], "")</f>
        <v/>
      </c>
      <c r="BY146" s="106" t="str">
        <f>IFERROR(-(TOWER_DATA[[#This Row],[D, top]]-TOWER_DATA[[#This Row],[D, bottom]])/(TOWER_DATA[[#This Row],[Top]]-TOWER_DATA[[#This Row],[Bottom]]),"")</f>
        <v/>
      </c>
      <c r="BZ146" s="106" t="str">
        <f t="shared" si="4"/>
        <v/>
      </c>
      <c r="CA146" s="106" t="str">
        <f>IFERROR((TOWER_DATA[[#This Row],[D, top]]+TOWER_DATA[[#This Row],[D, bottom]])/(2*TOWER_DATA[[#This Row],[t]]/1000),"")</f>
        <v/>
      </c>
    </row>
    <row r="147" spans="8:79" x14ac:dyDescent="0.3">
      <c r="H147" s="106" t="str">
        <f>IFERROR(MP_DATA[[#This Row],[Bottom]]-MP_DATA[[#This Row],[D, top]], "")</f>
        <v/>
      </c>
      <c r="I147" s="106" t="str">
        <f>IFERROR(-(MP_DATA[[#This Row],[D, bottom]]-MP_DATA[[#This Row],[D, top]])/(MP_DATA[[#This Row],[Bottom]]-MP_DATA[[#This Row],[Top]]),"")</f>
        <v/>
      </c>
      <c r="J147" s="106" t="str">
        <f t="shared" si="2"/>
        <v/>
      </c>
      <c r="K147" s="106" t="str">
        <f>IFERROR((MP_DATA[[#This Row],[D, bottom]]+MP_DATA[[#This Row],[D, top]])/(2*MP_DATA[[#This Row],[t]]/1000),"")</f>
        <v/>
      </c>
      <c r="BX147" s="106" t="str">
        <f>IFERROR(TOWER_DATA[[#This Row],[Top]]-TOWER_DATA[[#This Row],[Bottom]], "")</f>
        <v/>
      </c>
      <c r="BY147" s="106" t="str">
        <f>IFERROR(-(TOWER_DATA[[#This Row],[D, top]]-TOWER_DATA[[#This Row],[D, bottom]])/(TOWER_DATA[[#This Row],[Top]]-TOWER_DATA[[#This Row],[Bottom]]),"")</f>
        <v/>
      </c>
      <c r="BZ147" s="106" t="str">
        <f t="shared" si="4"/>
        <v/>
      </c>
      <c r="CA147" s="106" t="str">
        <f>IFERROR((TOWER_DATA[[#This Row],[D, top]]+TOWER_DATA[[#This Row],[D, bottom]])/(2*TOWER_DATA[[#This Row],[t]]/1000),"")</f>
        <v/>
      </c>
    </row>
    <row r="148" spans="8:79" x14ac:dyDescent="0.3">
      <c r="H148" s="106" t="str">
        <f>IFERROR(MP_DATA[[#This Row],[Bottom]]-MP_DATA[[#This Row],[D, top]], "")</f>
        <v/>
      </c>
      <c r="I148" s="106" t="str">
        <f>IFERROR(-(MP_DATA[[#This Row],[D, bottom]]-MP_DATA[[#This Row],[D, top]])/(MP_DATA[[#This Row],[Bottom]]-MP_DATA[[#This Row],[Top]]),"")</f>
        <v/>
      </c>
      <c r="J148" s="106" t="str">
        <f t="shared" ref="J148:J154" si="5">IF(7850/1000*(1/3)*PI()*ABS(C148-D148)*((E148/2)^2+(E148/2)*(F148/2)+(F148/2)^2-(E148/2-G148/1000)^2-(E148/2-G148/1000)*(F148/2-G148/1000)-(F148/2-G148/1000)^2)=0,"",7850/1000*(1/3)*PI()*ABS(C148-D148)*((E148/2)^2+(E148/2)*(F148/2)+(F148/2)^2-(E148/2-G148/1000)^2-(E148/2-G148/1000)*(F148/2-G148/1000)-(F148/2-G148/1000)^2))</f>
        <v/>
      </c>
      <c r="K148" s="106" t="str">
        <f>IFERROR((MP_DATA[[#This Row],[D, bottom]]+MP_DATA[[#This Row],[D, top]])/(2*MP_DATA[[#This Row],[t]]/1000),"")</f>
        <v/>
      </c>
      <c r="BX148" s="106" t="str">
        <f>IFERROR(TOWER_DATA[[#This Row],[Top]]-TOWER_DATA[[#This Row],[Bottom]], "")</f>
        <v/>
      </c>
      <c r="BY148" s="106" t="str">
        <f>IFERROR(-(TOWER_DATA[[#This Row],[D, top]]-TOWER_DATA[[#This Row],[D, bottom]])/(TOWER_DATA[[#This Row],[Top]]-TOWER_DATA[[#This Row],[Bottom]]),"")</f>
        <v/>
      </c>
      <c r="BZ148" s="106" t="str">
        <f t="shared" ref="BZ148:BZ162" si="6">IF(7850/1000 * (1/3) * PI() * ABS(BS148 - BT148) * ((BU148/2)^2 + (BU148/2)*(BV148/2) + (BV148/2)^2  - (BU148/2 - BW148/1000)^2 - (BU148/2 - BW148/1000)*(BV148/2 - BW148/1000) - (BV148/2 - BW148/1000)^2)=0, "", 7850/1000 * (1/3) * PI() * ABS(BS148 - BT148) * ((BU148/2)^2 + (BU148/2)*(BV148/2) + (BV148/2)^2  - (BU148/2 - BW148/1000)^2 - (BU148/2 - BW148/1000)*(BV148/2 - BW148/1000) - (BV148/2 - BW148/1000)^2))</f>
        <v/>
      </c>
      <c r="CA148" s="106" t="str">
        <f>IFERROR((TOWER_DATA[[#This Row],[D, top]]+TOWER_DATA[[#This Row],[D, bottom]])/(2*TOWER_DATA[[#This Row],[t]]/1000),"")</f>
        <v/>
      </c>
    </row>
    <row r="149" spans="8:79" x14ac:dyDescent="0.3">
      <c r="H149" s="106" t="str">
        <f>IFERROR(MP_DATA[[#This Row],[Bottom]]-MP_DATA[[#This Row],[D, top]], "")</f>
        <v/>
      </c>
      <c r="I149" s="106" t="str">
        <f>IFERROR(-(MP_DATA[[#This Row],[D, bottom]]-MP_DATA[[#This Row],[D, top]])/(MP_DATA[[#This Row],[Bottom]]-MP_DATA[[#This Row],[Top]]),"")</f>
        <v/>
      </c>
      <c r="J149" s="106" t="str">
        <f t="shared" si="5"/>
        <v/>
      </c>
      <c r="K149" s="106" t="str">
        <f>IFERROR((MP_DATA[[#This Row],[D, bottom]]+MP_DATA[[#This Row],[D, top]])/(2*MP_DATA[[#This Row],[t]]/1000),"")</f>
        <v/>
      </c>
      <c r="BX149" s="106" t="str">
        <f>IFERROR(TOWER_DATA[[#This Row],[Top]]-TOWER_DATA[[#This Row],[Bottom]], "")</f>
        <v/>
      </c>
      <c r="BY149" s="106" t="str">
        <f>IFERROR(-(TOWER_DATA[[#This Row],[D, top]]-TOWER_DATA[[#This Row],[D, bottom]])/(TOWER_DATA[[#This Row],[Top]]-TOWER_DATA[[#This Row],[Bottom]]),"")</f>
        <v/>
      </c>
      <c r="BZ149" s="106" t="str">
        <f t="shared" si="6"/>
        <v/>
      </c>
      <c r="CA149" s="106" t="str">
        <f>IFERROR((TOWER_DATA[[#This Row],[D, top]]+TOWER_DATA[[#This Row],[D, bottom]])/(2*TOWER_DATA[[#This Row],[t]]/1000),"")</f>
        <v/>
      </c>
    </row>
    <row r="150" spans="8:79" x14ac:dyDescent="0.3">
      <c r="H150" s="106" t="str">
        <f>IFERROR(MP_DATA[[#This Row],[Bottom]]-MP_DATA[[#This Row],[D, top]], "")</f>
        <v/>
      </c>
      <c r="I150" s="106" t="str">
        <f>IFERROR(-(MP_DATA[[#This Row],[D, bottom]]-MP_DATA[[#This Row],[D, top]])/(MP_DATA[[#This Row],[Bottom]]-MP_DATA[[#This Row],[Top]]),"")</f>
        <v/>
      </c>
      <c r="J150" s="106" t="str">
        <f t="shared" si="5"/>
        <v/>
      </c>
      <c r="K150" s="106" t="str">
        <f>IFERROR((MP_DATA[[#This Row],[D, bottom]]+MP_DATA[[#This Row],[D, top]])/(2*MP_DATA[[#This Row],[t]]/1000),"")</f>
        <v/>
      </c>
      <c r="BX150" s="106" t="str">
        <f>IFERROR(TOWER_DATA[[#This Row],[Top]]-TOWER_DATA[[#This Row],[Bottom]], "")</f>
        <v/>
      </c>
      <c r="BY150" s="106" t="str">
        <f>IFERROR(-(TOWER_DATA[[#This Row],[D, top]]-TOWER_DATA[[#This Row],[D, bottom]])/(TOWER_DATA[[#This Row],[Top]]-TOWER_DATA[[#This Row],[Bottom]]),"")</f>
        <v/>
      </c>
      <c r="BZ150" s="106" t="str">
        <f t="shared" si="6"/>
        <v/>
      </c>
      <c r="CA150" s="106" t="str">
        <f>IFERROR((TOWER_DATA[[#This Row],[D, top]]+TOWER_DATA[[#This Row],[D, bottom]])/(2*TOWER_DATA[[#This Row],[t]]/1000),"")</f>
        <v/>
      </c>
    </row>
    <row r="151" spans="8:79" x14ac:dyDescent="0.3">
      <c r="H151" s="106" t="str">
        <f>IFERROR(MP_DATA[[#This Row],[Bottom]]-MP_DATA[[#This Row],[D, top]], "")</f>
        <v/>
      </c>
      <c r="I151" s="106" t="str">
        <f>IFERROR(-(MP_DATA[[#This Row],[D, bottom]]-MP_DATA[[#This Row],[D, top]])/(MP_DATA[[#This Row],[Bottom]]-MP_DATA[[#This Row],[Top]]),"")</f>
        <v/>
      </c>
      <c r="J151" s="106" t="str">
        <f t="shared" si="5"/>
        <v/>
      </c>
      <c r="K151" s="106" t="str">
        <f>IFERROR((MP_DATA[[#This Row],[D, bottom]]+MP_DATA[[#This Row],[D, top]])/(2*MP_DATA[[#This Row],[t]]/1000),"")</f>
        <v/>
      </c>
      <c r="BX151" s="106" t="str">
        <f>IFERROR(TOWER_DATA[[#This Row],[Top]]-TOWER_DATA[[#This Row],[Bottom]], "")</f>
        <v/>
      </c>
      <c r="BY151" s="106" t="str">
        <f>IFERROR(-(TOWER_DATA[[#This Row],[D, top]]-TOWER_DATA[[#This Row],[D, bottom]])/(TOWER_DATA[[#This Row],[Top]]-TOWER_DATA[[#This Row],[Bottom]]),"")</f>
        <v/>
      </c>
      <c r="BZ151" s="106" t="str">
        <f t="shared" si="6"/>
        <v/>
      </c>
      <c r="CA151" s="106" t="str">
        <f>IFERROR((TOWER_DATA[[#This Row],[D, top]]+TOWER_DATA[[#This Row],[D, bottom]])/(2*TOWER_DATA[[#This Row],[t]]/1000),"")</f>
        <v/>
      </c>
    </row>
    <row r="152" spans="8:79" x14ac:dyDescent="0.3">
      <c r="H152" s="106" t="str">
        <f>IFERROR(MP_DATA[[#This Row],[Bottom]]-MP_DATA[[#This Row],[D, top]], "")</f>
        <v/>
      </c>
      <c r="I152" s="106" t="str">
        <f>IFERROR(-(MP_DATA[[#This Row],[D, bottom]]-MP_DATA[[#This Row],[D, top]])/(MP_DATA[[#This Row],[Bottom]]-MP_DATA[[#This Row],[Top]]),"")</f>
        <v/>
      </c>
      <c r="J152" s="106" t="str">
        <f t="shared" si="5"/>
        <v/>
      </c>
      <c r="K152" s="106" t="str">
        <f>IFERROR((MP_DATA[[#This Row],[D, bottom]]+MP_DATA[[#This Row],[D, top]])/(2*MP_DATA[[#This Row],[t]]/1000),"")</f>
        <v/>
      </c>
      <c r="BX152" s="106" t="str">
        <f>IFERROR(TOWER_DATA[[#This Row],[Top]]-TOWER_DATA[[#This Row],[Bottom]], "")</f>
        <v/>
      </c>
      <c r="BY152" s="106" t="str">
        <f>IFERROR(-(TOWER_DATA[[#This Row],[D, top]]-TOWER_DATA[[#This Row],[D, bottom]])/(TOWER_DATA[[#This Row],[Top]]-TOWER_DATA[[#This Row],[Bottom]]),"")</f>
        <v/>
      </c>
      <c r="BZ152" s="106" t="str">
        <f t="shared" si="6"/>
        <v/>
      </c>
      <c r="CA152" s="106" t="str">
        <f>IFERROR((TOWER_DATA[[#This Row],[D, top]]+TOWER_DATA[[#This Row],[D, bottom]])/(2*TOWER_DATA[[#This Row],[t]]/1000),"")</f>
        <v/>
      </c>
    </row>
    <row r="153" spans="8:79" x14ac:dyDescent="0.3">
      <c r="H153" s="106" t="str">
        <f>IFERROR(MP_DATA[[#This Row],[Bottom]]-MP_DATA[[#This Row],[D, top]], "")</f>
        <v/>
      </c>
      <c r="I153" s="106" t="str">
        <f>IFERROR(-(MP_DATA[[#This Row],[D, bottom]]-MP_DATA[[#This Row],[D, top]])/(MP_DATA[[#This Row],[Bottom]]-MP_DATA[[#This Row],[Top]]),"")</f>
        <v/>
      </c>
      <c r="J153" s="106" t="str">
        <f t="shared" si="5"/>
        <v/>
      </c>
      <c r="K153" s="106" t="str">
        <f>IFERROR((MP_DATA[[#This Row],[D, bottom]]+MP_DATA[[#This Row],[D, top]])/(2*MP_DATA[[#This Row],[t]]/1000),"")</f>
        <v/>
      </c>
      <c r="BX153" s="106" t="str">
        <f>IFERROR(TOWER_DATA[[#This Row],[Top]]-TOWER_DATA[[#This Row],[Bottom]], "")</f>
        <v/>
      </c>
      <c r="BY153" s="106" t="str">
        <f>IFERROR(-(TOWER_DATA[[#This Row],[D, top]]-TOWER_DATA[[#This Row],[D, bottom]])/(TOWER_DATA[[#This Row],[Top]]-TOWER_DATA[[#This Row],[Bottom]]),"")</f>
        <v/>
      </c>
      <c r="BZ153" s="106" t="str">
        <f t="shared" si="6"/>
        <v/>
      </c>
      <c r="CA153" s="106" t="str">
        <f>IFERROR((TOWER_DATA[[#This Row],[D, top]]+TOWER_DATA[[#This Row],[D, bottom]])/(2*TOWER_DATA[[#This Row],[t]]/1000),"")</f>
        <v/>
      </c>
    </row>
    <row r="154" spans="8:79" x14ac:dyDescent="0.3">
      <c r="H154" s="106" t="str">
        <f>IFERROR(MP_DATA[[#This Row],[Bottom]]-MP_DATA[[#This Row],[D, top]], "")</f>
        <v/>
      </c>
      <c r="I154" s="106" t="str">
        <f>IFERROR(-(MP_DATA[[#This Row],[D, bottom]]-MP_DATA[[#This Row],[D, top]])/(MP_DATA[[#This Row],[Bottom]]-MP_DATA[[#This Row],[Top]]),"")</f>
        <v/>
      </c>
      <c r="J154" s="106" t="str">
        <f t="shared" si="5"/>
        <v/>
      </c>
      <c r="K154" s="106" t="str">
        <f>IFERROR((MP_DATA[[#This Row],[D, bottom]]+MP_DATA[[#This Row],[D, top]])/(2*MP_DATA[[#This Row],[t]]/1000),"")</f>
        <v/>
      </c>
      <c r="BX154" s="106" t="str">
        <f>IFERROR(TOWER_DATA[[#This Row],[Top]]-TOWER_DATA[[#This Row],[Bottom]], "")</f>
        <v/>
      </c>
      <c r="BY154" s="106" t="str">
        <f>IFERROR(-(TOWER_DATA[[#This Row],[D, top]]-TOWER_DATA[[#This Row],[D, bottom]])/(TOWER_DATA[[#This Row],[Top]]-TOWER_DATA[[#This Row],[Bottom]]),"")</f>
        <v/>
      </c>
      <c r="BZ154" s="106" t="str">
        <f t="shared" si="6"/>
        <v/>
      </c>
      <c r="CA154" s="106" t="str">
        <f>IFERROR((TOWER_DATA[[#This Row],[D, top]]+TOWER_DATA[[#This Row],[D, bottom]])/(2*TOWER_DATA[[#This Row],[t]]/1000),"")</f>
        <v/>
      </c>
    </row>
    <row r="155" spans="8:79" x14ac:dyDescent="0.3">
      <c r="H155" s="106" t="str">
        <f>IFERROR(MP_DATA[[#This Row],[Bottom]]-MP_DATA[[#This Row],[D, top]], "")</f>
        <v/>
      </c>
      <c r="I155" s="106" t="str">
        <f>IFERROR(-(MP_DATA[[#This Row],[D, bottom]]-MP_DATA[[#This Row],[D, top]])/(MP_DATA[[#This Row],[Bottom]]-MP_DATA[[#This Row],[Top]]),"")</f>
        <v/>
      </c>
      <c r="K155" s="106" t="str">
        <f>IFERROR((MP_DATA[[#This Row],[D, bottom]]+MP_DATA[[#This Row],[D, top]])/(2*MP_DATA[[#This Row],[t]]/1000),"")</f>
        <v/>
      </c>
      <c r="BX155" s="106" t="str">
        <f>IFERROR(TOWER_DATA[[#This Row],[Top]]-TOWER_DATA[[#This Row],[Bottom]], "")</f>
        <v/>
      </c>
      <c r="BY155" s="106" t="str">
        <f>IFERROR(-(TOWER_DATA[[#This Row],[D, top]]-TOWER_DATA[[#This Row],[D, bottom]])/(TOWER_DATA[[#This Row],[Top]]-TOWER_DATA[[#This Row],[Bottom]]),"")</f>
        <v/>
      </c>
      <c r="BZ155" s="106" t="str">
        <f t="shared" si="6"/>
        <v/>
      </c>
      <c r="CA155" s="106" t="str">
        <f>IFERROR((TOWER_DATA[[#This Row],[D, top]]+TOWER_DATA[[#This Row],[D, bottom]])/(2*TOWER_DATA[[#This Row],[t]]/1000),"")</f>
        <v/>
      </c>
    </row>
    <row r="156" spans="8:79" x14ac:dyDescent="0.3">
      <c r="H156" s="106" t="str">
        <f>IFERROR(MP_DATA[[#This Row],[Bottom]]-MP_DATA[[#This Row],[D, top]], "")</f>
        <v/>
      </c>
      <c r="I156" s="106" t="str">
        <f>IFERROR(-(MP_DATA[[#This Row],[D, bottom]]-MP_DATA[[#This Row],[D, top]])/(MP_DATA[[#This Row],[Bottom]]-MP_DATA[[#This Row],[Top]]),"")</f>
        <v/>
      </c>
      <c r="K156" s="106" t="str">
        <f>IFERROR((MP_DATA[[#This Row],[D, bottom]]+MP_DATA[[#This Row],[D, top]])/(2*MP_DATA[[#This Row],[t]]/1000),"")</f>
        <v/>
      </c>
      <c r="BX156" s="106" t="str">
        <f>IFERROR(TOWER_DATA[[#This Row],[Top]]-TOWER_DATA[[#This Row],[Bottom]], "")</f>
        <v/>
      </c>
      <c r="BY156" s="106" t="str">
        <f>IFERROR(-(TOWER_DATA[[#This Row],[D, top]]-TOWER_DATA[[#This Row],[D, bottom]])/(TOWER_DATA[[#This Row],[Top]]-TOWER_DATA[[#This Row],[Bottom]]),"")</f>
        <v/>
      </c>
      <c r="BZ156" s="106" t="str">
        <f t="shared" si="6"/>
        <v/>
      </c>
      <c r="CA156" s="106" t="str">
        <f>IFERROR((TOWER_DATA[[#This Row],[D, top]]+TOWER_DATA[[#This Row],[D, bottom]])/(2*TOWER_DATA[[#This Row],[t]]/1000),"")</f>
        <v/>
      </c>
    </row>
    <row r="157" spans="8:79" x14ac:dyDescent="0.3">
      <c r="H157" s="106" t="str">
        <f>IFERROR(MP_DATA[[#This Row],[Bottom]]-MP_DATA[[#This Row],[D, top]], "")</f>
        <v/>
      </c>
      <c r="I157" s="106" t="str">
        <f>IFERROR(-(MP_DATA[[#This Row],[D, bottom]]-MP_DATA[[#This Row],[D, top]])/(MP_DATA[[#This Row],[Bottom]]-MP_DATA[[#This Row],[Top]]),"")</f>
        <v/>
      </c>
      <c r="K157" s="106" t="str">
        <f>IFERROR((MP_DATA[[#This Row],[D, bottom]]+MP_DATA[[#This Row],[D, top]])/(2*MP_DATA[[#This Row],[t]]/1000),"")</f>
        <v/>
      </c>
      <c r="BX157" s="106" t="str">
        <f>IFERROR(TOWER_DATA[[#This Row],[Top]]-TOWER_DATA[[#This Row],[Bottom]], "")</f>
        <v/>
      </c>
      <c r="BY157" s="106" t="str">
        <f>IFERROR(-(TOWER_DATA[[#This Row],[D, top]]-TOWER_DATA[[#This Row],[D, bottom]])/(TOWER_DATA[[#This Row],[Top]]-TOWER_DATA[[#This Row],[Bottom]]),"")</f>
        <v/>
      </c>
      <c r="BZ157" s="106" t="str">
        <f t="shared" si="6"/>
        <v/>
      </c>
      <c r="CA157" s="106" t="str">
        <f>IFERROR((TOWER_DATA[[#This Row],[D, top]]+TOWER_DATA[[#This Row],[D, bottom]])/(2*TOWER_DATA[[#This Row],[t]]/1000),"")</f>
        <v/>
      </c>
    </row>
    <row r="158" spans="8:79" x14ac:dyDescent="0.3">
      <c r="H158" s="106" t="str">
        <f>IFERROR(MP_DATA[[#This Row],[Bottom]]-MP_DATA[[#This Row],[D, top]], "")</f>
        <v/>
      </c>
      <c r="I158" s="106" t="str">
        <f>IFERROR(-(MP_DATA[[#This Row],[D, bottom]]-MP_DATA[[#This Row],[D, top]])/(MP_DATA[[#This Row],[Bottom]]-MP_DATA[[#This Row],[Top]]),"")</f>
        <v/>
      </c>
      <c r="K158" s="106" t="str">
        <f>IFERROR((MP_DATA[[#This Row],[D, bottom]]+MP_DATA[[#This Row],[D, top]])/(2*MP_DATA[[#This Row],[t]]/1000),"")</f>
        <v/>
      </c>
      <c r="BX158" s="106" t="str">
        <f>IFERROR(TOWER_DATA[[#This Row],[Top]]-TOWER_DATA[[#This Row],[Bottom]], "")</f>
        <v/>
      </c>
      <c r="BY158" s="106" t="str">
        <f>IFERROR(-(TOWER_DATA[[#This Row],[D, top]]-TOWER_DATA[[#This Row],[D, bottom]])/(TOWER_DATA[[#This Row],[Top]]-TOWER_DATA[[#This Row],[Bottom]]),"")</f>
        <v/>
      </c>
      <c r="BZ158" s="106" t="str">
        <f t="shared" si="6"/>
        <v/>
      </c>
      <c r="CA158" s="106" t="str">
        <f>IFERROR((TOWER_DATA[[#This Row],[D, top]]+TOWER_DATA[[#This Row],[D, bottom]])/(2*TOWER_DATA[[#This Row],[t]]/1000),"")</f>
        <v/>
      </c>
    </row>
    <row r="159" spans="8:79" x14ac:dyDescent="0.3">
      <c r="H159" s="106" t="str">
        <f>IFERROR(MP_DATA[[#This Row],[Bottom]]-MP_DATA[[#This Row],[D, top]], "")</f>
        <v/>
      </c>
      <c r="I159" s="106" t="str">
        <f>IFERROR(-(MP_DATA[[#This Row],[D, bottom]]-MP_DATA[[#This Row],[D, top]])/(MP_DATA[[#This Row],[Bottom]]-MP_DATA[[#This Row],[Top]]),"")</f>
        <v/>
      </c>
      <c r="K159" s="106" t="str">
        <f>IFERROR((MP_DATA[[#This Row],[D, bottom]]+MP_DATA[[#This Row],[D, top]])/(2*MP_DATA[[#This Row],[t]]/1000),"")</f>
        <v/>
      </c>
      <c r="BX159" s="106" t="str">
        <f>IFERROR(TOWER_DATA[[#This Row],[Top]]-TOWER_DATA[[#This Row],[Bottom]], "")</f>
        <v/>
      </c>
      <c r="BY159" s="106" t="str">
        <f>IFERROR(-(TOWER_DATA[[#This Row],[D, top]]-TOWER_DATA[[#This Row],[D, bottom]])/(TOWER_DATA[[#This Row],[Top]]-TOWER_DATA[[#This Row],[Bottom]]),"")</f>
        <v/>
      </c>
      <c r="BZ159" s="106" t="str">
        <f t="shared" si="6"/>
        <v/>
      </c>
      <c r="CA159" s="106" t="str">
        <f>IFERROR((TOWER_DATA[[#This Row],[D, top]]+TOWER_DATA[[#This Row],[D, bottom]])/(2*TOWER_DATA[[#This Row],[t]]/1000),"")</f>
        <v/>
      </c>
    </row>
    <row r="160" spans="8:79" x14ac:dyDescent="0.3">
      <c r="H160" s="106" t="str">
        <f>IFERROR(MP_DATA[[#This Row],[Bottom]]-MP_DATA[[#This Row],[D, top]], "")</f>
        <v/>
      </c>
      <c r="I160" s="106" t="str">
        <f>IFERROR(-(MP_DATA[[#This Row],[D, bottom]]-MP_DATA[[#This Row],[D, top]])/(MP_DATA[[#This Row],[Bottom]]-MP_DATA[[#This Row],[Top]]),"")</f>
        <v/>
      </c>
      <c r="K160" s="106" t="str">
        <f>IFERROR((MP_DATA[[#This Row],[D, bottom]]+MP_DATA[[#This Row],[D, top]])/(2*MP_DATA[[#This Row],[t]]/1000),"")</f>
        <v/>
      </c>
      <c r="BX160" s="106" t="str">
        <f>IFERROR(TOWER_DATA[[#This Row],[Top]]-TOWER_DATA[[#This Row],[Bottom]], "")</f>
        <v/>
      </c>
      <c r="BY160" s="106" t="str">
        <f>IFERROR(-(TOWER_DATA[[#This Row],[D, top]]-TOWER_DATA[[#This Row],[D, bottom]])/(TOWER_DATA[[#This Row],[Top]]-TOWER_DATA[[#This Row],[Bottom]]),"")</f>
        <v/>
      </c>
      <c r="BZ160" s="106" t="str">
        <f t="shared" si="6"/>
        <v/>
      </c>
      <c r="CA160" s="106" t="str">
        <f>IFERROR((TOWER_DATA[[#This Row],[D, top]]+TOWER_DATA[[#This Row],[D, bottom]])/(2*TOWER_DATA[[#This Row],[t]]/1000),"")</f>
        <v/>
      </c>
    </row>
    <row r="161" spans="8:79" x14ac:dyDescent="0.3">
      <c r="H161" s="106" t="str">
        <f>IFERROR(MP_DATA[[#This Row],[Bottom]]-MP_DATA[[#This Row],[D, top]], "")</f>
        <v/>
      </c>
      <c r="K161" s="106" t="str">
        <f>IFERROR((MP_DATA[[#This Row],[D, bottom]]+MP_DATA[[#This Row],[D, top]])/(2*MP_DATA[[#This Row],[t]]/1000),"")</f>
        <v/>
      </c>
      <c r="BX161" s="106" t="str">
        <f>IFERROR(TOWER_DATA[[#This Row],[Top]]-TOWER_DATA[[#This Row],[Bottom]], "")</f>
        <v/>
      </c>
      <c r="BY161" s="106" t="str">
        <f>IFERROR(-(TOWER_DATA[[#This Row],[D, top]]-TOWER_DATA[[#This Row],[D, bottom]])/(TOWER_DATA[[#This Row],[Top]]-TOWER_DATA[[#This Row],[Bottom]]),"")</f>
        <v/>
      </c>
      <c r="BZ161" s="106" t="str">
        <f t="shared" si="6"/>
        <v/>
      </c>
      <c r="CA161" s="106" t="str">
        <f>IFERROR((TOWER_DATA[[#This Row],[D, top]]+TOWER_DATA[[#This Row],[D, bottom]])/(2*TOWER_DATA[[#This Row],[t]]/1000),"")</f>
        <v/>
      </c>
    </row>
    <row r="162" spans="8:79" x14ac:dyDescent="0.3">
      <c r="BX162" s="106" t="str">
        <f>IFERROR(TOWER_DATA[[#This Row],[Top]]-TOWER_DATA[[#This Row],[Bottom]], "")</f>
        <v/>
      </c>
      <c r="BY162" s="106" t="str">
        <f>IFERROR(-(TOWER_DATA[[#This Row],[D, top]]-TOWER_DATA[[#This Row],[D, bottom]])/(TOWER_DATA[[#This Row],[Top]]-TOWER_DATA[[#This Row],[Bottom]]),"")</f>
        <v/>
      </c>
      <c r="BZ162" s="106" t="str">
        <f t="shared" si="6"/>
        <v/>
      </c>
      <c r="CA162" s="106" t="str">
        <f>IFERROR((TOWER_DATA[[#This Row],[D, top]]+TOWER_DATA[[#This Row],[D, bottom]])/(2*TOWER_DATA[[#This Row],[t]]/1000),"")</f>
        <v/>
      </c>
    </row>
  </sheetData>
  <dataConsolidate/>
  <phoneticPr fontId="13" type="noConversion"/>
  <conditionalFormatting sqref="B1960">
    <cfRule type="expression" dxfId="30" priority="10">
      <formula>B1959&lt;&gt;_xludf.INDIRECT("B" &amp; _xludf.ROW() + 200)</formula>
    </cfRule>
  </conditionalFormatting>
  <conditionalFormatting sqref="B162:L185 B50:G161 I161:J161 J155:J160 L138:L161">
    <cfRule type="expression" dxfId="29" priority="12">
      <formula>#REF!&lt;&gt;_xludf.INDIRECT(_xludf.ADDRESS(_xludf.ROW()-200,_xludf.COLUMN()))</formula>
    </cfRule>
  </conditionalFormatting>
  <conditionalFormatting sqref="H200">
    <cfRule type="expression" dxfId="28" priority="14">
      <formula>#REF!&lt;&gt;_xludf.INDIRECT(_xludf.ADDRESS(_xludf.ROW()-200,_xludf.COLUMN()))</formula>
    </cfRule>
  </conditionalFormatting>
  <conditionalFormatting sqref="D187">
    <cfRule type="expression" dxfId="27" priority="17">
      <formula>#REF!&lt;&gt;_xludf.INDIRECT(_xludf.ADDRESS(_xludf.ROW()-200,_xludf.COLUMN()))</formula>
    </cfRule>
  </conditionalFormatting>
  <conditionalFormatting sqref="G202:G208 H201:H208 G191:G200 B191:F208 H191:H199 I191:L208">
    <cfRule type="expression" dxfId="26" priority="18">
      <formula>B23&lt;&gt;_xludf.INDIRECT(_xludf.ADDRESS(_xludf.ROW()-200,_xludf.COLUMN()))</formula>
    </cfRule>
  </conditionalFormatting>
  <conditionalFormatting sqref="G201">
    <cfRule type="expression" dxfId="25" priority="27">
      <formula>H32&lt;&gt;_xludf.INDIRECT(_xludf.ADDRESS(_xludf.ROW()-200,_xludf.COLUMN()))</formula>
    </cfRule>
  </conditionalFormatting>
  <conditionalFormatting sqref="F187:G190 C187:C190 D188:E190 C186:G186 I186:L190">
    <cfRule type="expression" dxfId="24" priority="28">
      <formula>B18&lt;&gt;_xludf.INDIRECT(_xludf.ADDRESS(_xludf.ROW()-200,_xludf.COLUMN()))</formula>
    </cfRule>
  </conditionalFormatting>
  <conditionalFormatting sqref="B186:B190 H186:H190">
    <cfRule type="expression" dxfId="23" priority="35">
      <formula>#REF!&lt;&gt;_xludf.INDIRECT(_xludf.ADDRESS(_xludf.ROW()-200,_xludf.COLUMN()))</formula>
    </cfRule>
  </conditionalFormatting>
  <conditionalFormatting sqref="E187">
    <cfRule type="expression" dxfId="22" priority="38">
      <formula>C19&lt;&gt;_xludf.INDIRECT(_xludf.ADDRESS(_xludf.ROW()-200,_xludf.COLUMN()))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8</xdr:row>
                    <xdr:rowOff>160020</xdr:rowOff>
                  </from>
                  <to>
                    <xdr:col>2</xdr:col>
                    <xdr:colOff>678180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7</xdr:row>
                    <xdr:rowOff>30480</xdr:rowOff>
                  </from>
                  <to>
                    <xdr:col>1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save_MP_Data">
                <anchor moveWithCells="1" sizeWithCells="1">
                  <from>
                    <xdr:col>13</xdr:col>
                    <xdr:colOff>38100</xdr:colOff>
                    <xdr:row>11</xdr:row>
                    <xdr:rowOff>22860</xdr:rowOff>
                  </from>
                  <to>
                    <xdr:col>14</xdr:col>
                    <xdr:colOff>1341120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delete_MP_Data">
                <anchor moveWithCells="1" sizeWithCells="1">
                  <from>
                    <xdr:col>7</xdr:col>
                    <xdr:colOff>281940</xdr:colOff>
                    <xdr:row>11</xdr:row>
                    <xdr:rowOff>30480</xdr:rowOff>
                  </from>
                  <to>
                    <xdr:col>9</xdr:col>
                    <xdr:colOff>784860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Dropdown_TP_Structures">
              <controlPr defaultSize="0" autoLine="0" autoPict="0" macro="[0]!load_TP_Data">
                <anchor moveWithCells="1">
                  <from>
                    <xdr:col>42</xdr:col>
                    <xdr:colOff>45720</xdr:colOff>
                    <xdr:row>8</xdr:row>
                    <xdr:rowOff>160020</xdr:rowOff>
                  </from>
                  <to>
                    <xdr:col>45</xdr:col>
                    <xdr:colOff>419100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load_TP_DB">
                <anchor moveWithCells="1" sizeWithCells="1">
                  <from>
                    <xdr:col>42</xdr:col>
                    <xdr:colOff>30480</xdr:colOff>
                    <xdr:row>7</xdr:row>
                    <xdr:rowOff>30480</xdr:rowOff>
                  </from>
                  <to>
                    <xdr:col>42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0" name="Button 13">
              <controlPr defaultSize="0" print="0" autoFill="0" autoPict="0" macro="[0]!save_TP_Data">
                <anchor moveWithCells="1" sizeWithCells="1">
                  <from>
                    <xdr:col>50</xdr:col>
                    <xdr:colOff>563880</xdr:colOff>
                    <xdr:row>11</xdr:row>
                    <xdr:rowOff>60960</xdr:rowOff>
                  </from>
                  <to>
                    <xdr:col>52</xdr:col>
                    <xdr:colOff>685800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1" name="Button 14">
              <controlPr defaultSize="0" print="0" autoFill="0" autoPict="0" macro="[0]!delete_TP_Data">
                <anchor moveWithCells="1" sizeWithCells="1">
                  <from>
                    <xdr:col>48</xdr:col>
                    <xdr:colOff>0</xdr:colOff>
                    <xdr:row>11</xdr:row>
                    <xdr:rowOff>68580</xdr:rowOff>
                  </from>
                  <to>
                    <xdr:col>50</xdr:col>
                    <xdr:colOff>274320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2" name="Dropdown_TOWER_Structures">
              <controlPr defaultSize="0" autoLine="0" autoPict="0" macro="[0]!load_TOWER_Data">
                <anchor moveWithCells="1">
                  <from>
                    <xdr:col>68</xdr:col>
                    <xdr:colOff>45720</xdr:colOff>
                    <xdr:row>8</xdr:row>
                    <xdr:rowOff>160020</xdr:rowOff>
                  </from>
                  <to>
                    <xdr:col>71</xdr:col>
                    <xdr:colOff>419100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3" name="Button 16">
              <controlPr defaultSize="0" print="0" autoFill="0" autoPict="0" macro="[0]!load_TOWER_META">
                <anchor moveWithCells="1" sizeWithCells="1">
                  <from>
                    <xdr:col>68</xdr:col>
                    <xdr:colOff>30480</xdr:colOff>
                    <xdr:row>7</xdr:row>
                    <xdr:rowOff>30480</xdr:rowOff>
                  </from>
                  <to>
                    <xdr:col>68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4" name="Button 17">
              <controlPr defaultSize="0" print="0" autoFill="0" autoPict="0" macro="[0]!save_TOWER_Data">
                <anchor moveWithCells="1" sizeWithCells="1">
                  <from>
                    <xdr:col>76</xdr:col>
                    <xdr:colOff>594360</xdr:colOff>
                    <xdr:row>11</xdr:row>
                    <xdr:rowOff>76200</xdr:rowOff>
                  </from>
                  <to>
                    <xdr:col>78</xdr:col>
                    <xdr:colOff>708660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5" name="Button 18">
              <controlPr defaultSize="0" print="0" autoFill="0" autoPict="0" macro="[0]!delete_TOWER_Data">
                <anchor moveWithCells="1" sizeWithCells="1">
                  <from>
                    <xdr:col>74</xdr:col>
                    <xdr:colOff>30480</xdr:colOff>
                    <xdr:row>11</xdr:row>
                    <xdr:rowOff>83820</xdr:rowOff>
                  </from>
                  <to>
                    <xdr:col>76</xdr:col>
                    <xdr:colOff>304800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6" name="Button 19">
              <controlPr defaultSize="0" print="0" autoFill="0" autoPict="0" macro="[0]!build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7" name="Button 20">
              <controlPr defaultSize="0" print="0" autoFill="0" autoPict="0" macro="[0]!save_MP_Data">
                <anchor moveWithCells="1" sizeWithCells="1">
                  <from>
                    <xdr:col>10</xdr:col>
                    <xdr:colOff>45720</xdr:colOff>
                    <xdr:row>11</xdr:row>
                    <xdr:rowOff>22860</xdr:rowOff>
                  </from>
                  <to>
                    <xdr:col>12</xdr:col>
                    <xdr:colOff>731520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20"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F62" sqref="F62"/>
    </sheetView>
  </sheetViews>
  <sheetFormatPr baseColWidth="10" defaultRowHeight="14.4" x14ac:dyDescent="0.3"/>
  <cols>
    <col min="2" max="2" width="18.109375" customWidth="1"/>
    <col min="3" max="3" width="12" customWidth="1"/>
    <col min="7" max="7" width="21.44140625" customWidth="1"/>
    <col min="8" max="9" width="17.33203125" customWidth="1"/>
    <col min="11" max="11" width="14.44140625" customWidth="1"/>
    <col min="12" max="12" width="22.33203125" customWidth="1"/>
    <col min="13" max="13" width="22" customWidth="1"/>
    <col min="14" max="14" width="25" customWidth="1"/>
    <col min="16" max="16" width="17.5546875" customWidth="1"/>
    <col min="17" max="17" width="11.44140625" customWidth="1"/>
    <col min="18" max="18" width="16.44140625" customWidth="1"/>
    <col min="19" max="19" width="11.44140625" customWidth="1"/>
    <col min="22" max="23" width="18.109375" customWidth="1"/>
  </cols>
  <sheetData>
    <row r="2" spans="1:24" ht="15" thickBot="1" x14ac:dyDescent="0.35"/>
    <row r="3" spans="1:24" ht="15.75" customHeight="1" thickBot="1" x14ac:dyDescent="0.35">
      <c r="B3" s="12" t="s">
        <v>64</v>
      </c>
      <c r="C3" s="89">
        <f>[2]Geometrie!D36</f>
        <v>91.787000000000006</v>
      </c>
      <c r="D3" s="90"/>
      <c r="E3" s="91"/>
      <c r="G3" s="63" t="s">
        <v>65</v>
      </c>
      <c r="H3" s="64" t="s">
        <v>66</v>
      </c>
      <c r="I3" s="65" t="s">
        <v>67</v>
      </c>
      <c r="K3" s="87" t="s">
        <v>68</v>
      </c>
      <c r="L3" s="92"/>
      <c r="M3" s="92"/>
      <c r="N3" s="88"/>
      <c r="P3" s="63" t="s">
        <v>82</v>
      </c>
      <c r="Q3" s="64"/>
      <c r="R3" s="65" t="s">
        <v>83</v>
      </c>
    </row>
    <row r="4" spans="1:24" ht="15.75" customHeight="1" thickBot="1" x14ac:dyDescent="0.35">
      <c r="G4" s="87" t="s">
        <v>69</v>
      </c>
      <c r="H4" s="88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87"/>
      <c r="Q4" s="88"/>
      <c r="R4" s="10"/>
    </row>
    <row r="5" spans="1:24" ht="15" thickBot="1" x14ac:dyDescent="0.35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" thickBot="1" x14ac:dyDescent="0.35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" thickBot="1" x14ac:dyDescent="0.35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3">
      <c r="K8" s="75" t="s">
        <v>84</v>
      </c>
    </row>
    <row r="9" spans="1:24" ht="15" thickBot="1" x14ac:dyDescent="0.35"/>
    <row r="10" spans="1:24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3">
      <c r="A11" s="16"/>
      <c r="X11" s="17"/>
    </row>
    <row r="12" spans="1:24" x14ac:dyDescent="0.3">
      <c r="A12" s="16"/>
      <c r="F12" t="s">
        <v>85</v>
      </c>
      <c r="X12" s="17"/>
    </row>
    <row r="13" spans="1:24" x14ac:dyDescent="0.3">
      <c r="A13" s="16"/>
      <c r="X13" s="17"/>
    </row>
    <row r="14" spans="1:24" ht="15" thickBot="1" x14ac:dyDescent="0.3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3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6" x14ac:dyDescent="0.3">
      <c r="A16" s="16"/>
      <c r="B16" s="62" t="s">
        <v>86</v>
      </c>
      <c r="X16" s="17"/>
    </row>
    <row r="17" spans="1:24" x14ac:dyDescent="0.3">
      <c r="A17" s="16"/>
      <c r="X17" s="17"/>
    </row>
    <row r="18" spans="1:24" x14ac:dyDescent="0.3">
      <c r="A18" s="16"/>
      <c r="B18" t="s">
        <v>17</v>
      </c>
      <c r="M18" t="s">
        <v>19</v>
      </c>
      <c r="X18" s="17"/>
    </row>
    <row r="19" spans="1:24" x14ac:dyDescent="0.3">
      <c r="A19" s="16"/>
      <c r="X19" s="17"/>
    </row>
    <row r="20" spans="1:24" x14ac:dyDescent="0.3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3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3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3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3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3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3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3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3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3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3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3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3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3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3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3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3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3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3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3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3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3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3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3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3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3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3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" thickBot="1" x14ac:dyDescent="0.35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22860</xdr:colOff>
                    <xdr:row>10</xdr:row>
                    <xdr:rowOff>0</xdr:rowOff>
                  </from>
                  <to>
                    <xdr:col>2</xdr:col>
                    <xdr:colOff>99060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22860</xdr:rowOff>
                  </from>
                  <to>
                    <xdr:col>3</xdr:col>
                    <xdr:colOff>601980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110</v>
      </c>
    </row>
    <row r="3" spans="2:4" ht="17.25" customHeight="1" x14ac:dyDescent="0.3">
      <c r="B3" s="76" t="s">
        <v>91</v>
      </c>
    </row>
    <row r="4" spans="2:4" ht="17.25" customHeight="1" x14ac:dyDescent="0.3">
      <c r="B4" s="76" t="s">
        <v>92</v>
      </c>
      <c r="D4" s="76"/>
    </row>
    <row r="5" spans="2:4" ht="17.25" customHeight="1" x14ac:dyDescent="0.3">
      <c r="B5" s="76" t="s">
        <v>93</v>
      </c>
    </row>
    <row r="6" spans="2:4" ht="17.25" customHeight="1" x14ac:dyDescent="0.3">
      <c r="B6" s="76" t="s">
        <v>94</v>
      </c>
    </row>
    <row r="7" spans="2:4" ht="17.25" customHeight="1" x14ac:dyDescent="0.3">
      <c r="B7" s="77" t="s">
        <v>95</v>
      </c>
    </row>
    <row r="8" spans="2:4" ht="17.25" customHeight="1" x14ac:dyDescent="0.3">
      <c r="B8" s="77" t="s">
        <v>96</v>
      </c>
    </row>
    <row r="9" spans="2:4" ht="17.25" customHeight="1" x14ac:dyDescent="0.3">
      <c r="B9" s="77" t="s">
        <v>97</v>
      </c>
    </row>
    <row r="10" spans="2:4" ht="17.25" customHeight="1" x14ac:dyDescent="0.3">
      <c r="B10" s="77" t="s">
        <v>98</v>
      </c>
    </row>
    <row r="11" spans="2:4" ht="17.25" customHeight="1" x14ac:dyDescent="0.3">
      <c r="B11" s="77" t="s">
        <v>99</v>
      </c>
    </row>
    <row r="12" spans="2:4" ht="17.25" customHeight="1" x14ac:dyDescent="0.3">
      <c r="B12" s="76" t="s">
        <v>100</v>
      </c>
    </row>
    <row r="13" spans="2:4" ht="17.25" customHeight="1" x14ac:dyDescent="0.3">
      <c r="B13" s="76" t="s">
        <v>101</v>
      </c>
    </row>
    <row r="14" spans="2:4" ht="17.25" customHeight="1" x14ac:dyDescent="0.3">
      <c r="B14" s="76" t="s">
        <v>102</v>
      </c>
    </row>
    <row r="15" spans="2:4" ht="17.25" customHeight="1" x14ac:dyDescent="0.3">
      <c r="B15" s="76" t="s">
        <v>103</v>
      </c>
    </row>
    <row r="16" spans="2:4" ht="17.25" customHeight="1" x14ac:dyDescent="0.3">
      <c r="B16" s="76" t="s">
        <v>104</v>
      </c>
    </row>
    <row r="17" spans="2:2" ht="17.25" customHeight="1" x14ac:dyDescent="0.3">
      <c r="B17" s="76" t="s">
        <v>105</v>
      </c>
    </row>
    <row r="18" spans="2:2" ht="17.25" customHeight="1" x14ac:dyDescent="0.3">
      <c r="B18" s="76" t="s">
        <v>106</v>
      </c>
    </row>
    <row r="19" spans="2:2" ht="17.25" customHeight="1" x14ac:dyDescent="0.3">
      <c r="B19" s="76" t="s">
        <v>107</v>
      </c>
    </row>
    <row r="20" spans="2:2" ht="17.25" customHeight="1" x14ac:dyDescent="0.3">
      <c r="B20" s="76" t="s">
        <v>108</v>
      </c>
    </row>
    <row r="21" spans="2:2" ht="17.25" customHeight="1" x14ac:dyDescent="0.3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8</vt:i4>
      </vt:variant>
    </vt:vector>
  </HeadingPairs>
  <TitlesOfParts>
    <vt:vector size="12" baseType="lpstr">
      <vt:lpstr>CreateStucture</vt:lpstr>
      <vt:lpstr>BuildYourStructure</vt:lpstr>
      <vt:lpstr>Overview</vt:lpstr>
      <vt:lpstr>Loop</vt:lpstr>
      <vt:lpstr>Tabale_MP_META</vt:lpstr>
      <vt:lpstr>Table_MP_DATA</vt:lpstr>
      <vt:lpstr>Table_MP_META</vt:lpstr>
      <vt:lpstr>Table_TP_DATA</vt:lpstr>
      <vt:lpstr>Table_TP_META</vt:lpstr>
      <vt:lpstr>TextBox_MP_db_path</vt:lpstr>
      <vt:lpstr>TextBox_TOWER_db_path</vt:lpstr>
      <vt:lpstr>TextBox_TP_db_path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2025-05-20T08:29:57Z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