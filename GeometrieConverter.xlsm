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drawings/drawing3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tables/table3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aaron.lange\Desktop\Projekte\Geometrie_Converter\GeometrieConverter\"/>
    </mc:Choice>
  </mc:AlternateContent>
  <xr:revisionPtr revIDLastSave="0" documentId="13_ncr:1_{1FBC598D-A51D-4C37-9C47-E9707E8ECDD3}" xr6:coauthVersionLast="47" xr6:coauthVersionMax="47" xr10:uidLastSave="{00000000-0000-0000-0000-000000000000}"/>
  <bookViews>
    <workbookView xWindow="-28920" yWindow="-8430" windowWidth="29040" windowHeight="17520" firstSheet="1" activeTab="2" xr2:uid="{52C6B389-4C94-430F-9043-C68D8C94A3E4}"/>
  </bookViews>
  <sheets>
    <sheet name="CreateStucture" sheetId="1" r:id="rId1"/>
    <sheet name="BuildYourStructure" sheetId="5" r:id="rId2"/>
    <sheet name="StructureOverview" sheetId="6" r:id="rId3"/>
    <sheet name="ExportStructure" sheetId="7" r:id="rId4"/>
    <sheet name="Loop" sheetId="3" r:id="rId5"/>
  </sheets>
  <functionGroups builtInGroupCount="19"/>
  <externalReferences>
    <externalReference r:id="rId6"/>
  </externalReferences>
  <definedNames>
    <definedName name="_xleta.N" hidden="1" xlm="1">#NAME?</definedName>
    <definedName name="_xleta.T" hidden="1" xlm="1">#NAME?</definedName>
    <definedName name="DISPL_MP">BuildYourStructure!$F$15</definedName>
    <definedName name="DISPL_TP">BuildYourStructure!$AO$15</definedName>
    <definedName name="Import_MP_path">BuildYourStructure!$B$9</definedName>
    <definedName name="JBOOST_Path">ExportStructure!$B$6</definedName>
    <definedName name="MOVE_STRUCT">BuildYourStructure!$E$15</definedName>
    <definedName name="RNA_CURR_TRUE">RNA_DATA_TRUE[[#Headers],[Identifier]]</definedName>
    <definedName name="RNA_META_FULL36">#REF!</definedName>
    <definedName name="SKIRT_MASS">StructureOverview!$U$13</definedName>
    <definedName name="Table_MP_DATA">BuildYourStructure!$P$24</definedName>
    <definedName name="Table_MP_META">BuildYourStructure!$B$18</definedName>
    <definedName name="Table_TP_DATA">BuildYourStructure!$AU$24</definedName>
    <definedName name="Table_TP_META">BuildYourStructure!$AI$18</definedName>
    <definedName name="Text">BuildYourStructure!$BR$13</definedName>
    <definedName name="TextBox_Import_MP_path">BuildYourStructure!$B$9</definedName>
    <definedName name="TextBox_MP_db_path">BuildYourStructure!$C$13</definedName>
    <definedName name="TextBox_RNA_db_path">BuildYourStructure!$CZ$13</definedName>
    <definedName name="TextBox_TOWER_db_path">BuildYourStructure!$BR$13</definedName>
    <definedName name="TextBox_TP_db_path">BuildYourStructure!$AJ$13</definedName>
    <definedName name="TextBox_TWR_db_path">#REF!</definedName>
    <definedName name="Use_MP">BuildYourStructure!$E$6</definedName>
    <definedName name="USE_TP">BuildYourStructure!$E$8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E19" i="5" l="1"/>
  <c r="J6" i="6" l="1" a="1"/>
  <c r="J6" i="6" s="1"/>
  <c r="J7" i="6"/>
  <c r="DE139" i="5"/>
  <c r="DE138" i="5"/>
  <c r="DE137" i="5"/>
  <c r="DE136" i="5"/>
  <c r="DE135" i="5"/>
  <c r="DE134" i="5"/>
  <c r="DE133" i="5"/>
  <c r="DE132" i="5"/>
  <c r="DE131" i="5"/>
  <c r="DE130" i="5"/>
  <c r="DE129" i="5"/>
  <c r="DE128" i="5"/>
  <c r="DE127" i="5"/>
  <c r="DE126" i="5"/>
  <c r="DE125" i="5"/>
  <c r="DE124" i="5"/>
  <c r="DE123" i="5"/>
  <c r="DE122" i="5"/>
  <c r="DE121" i="5"/>
  <c r="DE120" i="5"/>
  <c r="DE119" i="5"/>
  <c r="DE118" i="5"/>
  <c r="DE117" i="5"/>
  <c r="DE116" i="5"/>
  <c r="DE115" i="5"/>
  <c r="DE114" i="5"/>
  <c r="DE113" i="5"/>
  <c r="DE112" i="5"/>
  <c r="DE111" i="5"/>
  <c r="DE110" i="5"/>
  <c r="DE109" i="5"/>
  <c r="DE108" i="5"/>
  <c r="DE107" i="5"/>
  <c r="DE106" i="5"/>
  <c r="DE105" i="5"/>
  <c r="DE104" i="5"/>
  <c r="DE103" i="5"/>
  <c r="DE102" i="5"/>
  <c r="DE101" i="5"/>
  <c r="DE100" i="5"/>
  <c r="DE99" i="5"/>
  <c r="DE98" i="5"/>
  <c r="DE97" i="5"/>
  <c r="DE96" i="5"/>
  <c r="DE95" i="5"/>
  <c r="DE94" i="5"/>
  <c r="DE93" i="5"/>
  <c r="AM15" i="6" l="1"/>
  <c r="AM14" i="6"/>
  <c r="AI15" i="6"/>
  <c r="AI14" i="6"/>
  <c r="J13" i="6" l="1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BY56" i="5"/>
  <c r="BY57" i="5"/>
  <c r="BY58" i="5"/>
  <c r="BY59" i="5"/>
  <c r="BY60" i="5"/>
  <c r="BY61" i="5"/>
  <c r="BY62" i="5"/>
  <c r="BY63" i="5"/>
  <c r="BY64" i="5"/>
  <c r="BY65" i="5"/>
  <c r="BY66" i="5"/>
  <c r="BY67" i="5"/>
  <c r="BY68" i="5"/>
  <c r="BY69" i="5"/>
  <c r="BY70" i="5"/>
  <c r="BY71" i="5"/>
  <c r="BY72" i="5"/>
  <c r="BY73" i="5"/>
  <c r="BY74" i="5"/>
  <c r="BY75" i="5"/>
  <c r="BY76" i="5"/>
  <c r="BY77" i="5"/>
  <c r="BY78" i="5"/>
  <c r="BY79" i="5"/>
  <c r="BY80" i="5"/>
  <c r="BY81" i="5"/>
  <c r="BY82" i="5"/>
  <c r="BY83" i="5"/>
  <c r="BY84" i="5"/>
  <c r="BY85" i="5"/>
  <c r="BY86" i="5"/>
  <c r="BY87" i="5"/>
  <c r="BY88" i="5"/>
  <c r="BY89" i="5"/>
  <c r="BY90" i="5"/>
  <c r="BY91" i="5"/>
  <c r="BY92" i="5"/>
  <c r="BY93" i="5"/>
  <c r="BY94" i="5"/>
  <c r="BY95" i="5"/>
  <c r="BY96" i="5"/>
  <c r="BY97" i="5"/>
  <c r="BY98" i="5"/>
  <c r="BY99" i="5"/>
  <c r="BY100" i="5"/>
  <c r="BY101" i="5"/>
  <c r="BY102" i="5"/>
  <c r="BY103" i="5"/>
  <c r="BY104" i="5"/>
  <c r="BY105" i="5"/>
  <c r="BY106" i="5"/>
  <c r="BY107" i="5"/>
  <c r="BY108" i="5"/>
  <c r="BY109" i="5"/>
  <c r="BY110" i="5"/>
  <c r="BY111" i="5"/>
  <c r="BY112" i="5"/>
  <c r="BY113" i="5"/>
  <c r="BY114" i="5"/>
  <c r="BY115" i="5"/>
  <c r="BY116" i="5"/>
  <c r="BY117" i="5"/>
  <c r="BY118" i="5"/>
  <c r="BY119" i="5"/>
  <c r="BY120" i="5"/>
  <c r="BY121" i="5"/>
  <c r="BY122" i="5"/>
  <c r="BY123" i="5"/>
  <c r="BY124" i="5"/>
  <c r="BY125" i="5"/>
  <c r="BY126" i="5"/>
  <c r="BY127" i="5"/>
  <c r="BY128" i="5"/>
  <c r="BY129" i="5"/>
  <c r="BY130" i="5"/>
  <c r="BY131" i="5"/>
  <c r="BY132" i="5"/>
  <c r="BY133" i="5"/>
  <c r="BY134" i="5"/>
  <c r="BY135" i="5"/>
  <c r="BY136" i="5"/>
  <c r="BY137" i="5"/>
  <c r="BY138" i="5"/>
  <c r="BY139" i="5"/>
  <c r="J5" i="6" l="1"/>
  <c r="J4" i="6"/>
  <c r="J3" i="6"/>
  <c r="H25" i="5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7" i="6"/>
  <c r="L67" i="6"/>
  <c r="J67" i="6"/>
  <c r="M67" i="6"/>
  <c r="K68" i="6"/>
  <c r="L68" i="6"/>
  <c r="J68" i="6"/>
  <c r="M68" i="6"/>
  <c r="K69" i="6"/>
  <c r="L69" i="6"/>
  <c r="J69" i="6"/>
  <c r="M69" i="6"/>
  <c r="K70" i="6"/>
  <c r="L70" i="6"/>
  <c r="J70" i="6"/>
  <c r="M70" i="6"/>
  <c r="K71" i="6"/>
  <c r="L71" i="6"/>
  <c r="J71" i="6"/>
  <c r="M71" i="6"/>
  <c r="K72" i="6"/>
  <c r="L72" i="6"/>
  <c r="J72" i="6"/>
  <c r="M72" i="6"/>
  <c r="K73" i="6"/>
  <c r="L73" i="6"/>
  <c r="J73" i="6"/>
  <c r="M73" i="6"/>
  <c r="K74" i="6"/>
  <c r="L74" i="6"/>
  <c r="J74" i="6"/>
  <c r="M74" i="6"/>
  <c r="K75" i="6"/>
  <c r="L75" i="6"/>
  <c r="J75" i="6"/>
  <c r="M75" i="6"/>
  <c r="K76" i="6"/>
  <c r="L76" i="6"/>
  <c r="J76" i="6"/>
  <c r="M76" i="6"/>
  <c r="K77" i="6"/>
  <c r="L77" i="6"/>
  <c r="J77" i="6"/>
  <c r="M77" i="6"/>
  <c r="K78" i="6"/>
  <c r="L78" i="6"/>
  <c r="J78" i="6"/>
  <c r="M78" i="6"/>
  <c r="K79" i="6"/>
  <c r="L79" i="6"/>
  <c r="J79" i="6"/>
  <c r="M79" i="6"/>
  <c r="K80" i="6"/>
  <c r="L80" i="6"/>
  <c r="J80" i="6"/>
  <c r="M80" i="6"/>
  <c r="K81" i="6"/>
  <c r="L81" i="6"/>
  <c r="J81" i="6"/>
  <c r="M81" i="6"/>
  <c r="K82" i="6"/>
  <c r="L82" i="6"/>
  <c r="J82" i="6"/>
  <c r="M82" i="6"/>
  <c r="K83" i="6"/>
  <c r="L83" i="6"/>
  <c r="J83" i="6"/>
  <c r="M83" i="6"/>
  <c r="K84" i="6"/>
  <c r="L84" i="6"/>
  <c r="J84" i="6"/>
  <c r="M84" i="6"/>
  <c r="K85" i="6"/>
  <c r="L85" i="6"/>
  <c r="J85" i="6"/>
  <c r="M85" i="6"/>
  <c r="K86" i="6"/>
  <c r="L86" i="6"/>
  <c r="J86" i="6"/>
  <c r="M86" i="6"/>
  <c r="K87" i="6"/>
  <c r="L87" i="6"/>
  <c r="J87" i="6"/>
  <c r="M87" i="6"/>
  <c r="K88" i="6"/>
  <c r="L88" i="6"/>
  <c r="J88" i="6"/>
  <c r="M88" i="6"/>
  <c r="K89" i="6"/>
  <c r="L89" i="6"/>
  <c r="J89" i="6"/>
  <c r="M89" i="6"/>
  <c r="K90" i="6"/>
  <c r="L90" i="6"/>
  <c r="J90" i="6"/>
  <c r="M90" i="6"/>
  <c r="K91" i="6"/>
  <c r="L91" i="6"/>
  <c r="J91" i="6"/>
  <c r="M91" i="6"/>
  <c r="K92" i="6"/>
  <c r="L92" i="6"/>
  <c r="J92" i="6"/>
  <c r="M92" i="6"/>
  <c r="K93" i="6"/>
  <c r="L93" i="6"/>
  <c r="J93" i="6"/>
  <c r="M93" i="6"/>
  <c r="K94" i="6"/>
  <c r="L94" i="6"/>
  <c r="J94" i="6"/>
  <c r="M94" i="6"/>
  <c r="K95" i="6"/>
  <c r="L95" i="6"/>
  <c r="J95" i="6"/>
  <c r="M95" i="6"/>
  <c r="K96" i="6"/>
  <c r="L96" i="6"/>
  <c r="J96" i="6"/>
  <c r="M96" i="6"/>
  <c r="K97" i="6"/>
  <c r="L97" i="6"/>
  <c r="J97" i="6"/>
  <c r="M97" i="6"/>
  <c r="K98" i="6"/>
  <c r="L98" i="6"/>
  <c r="J98" i="6"/>
  <c r="M98" i="6"/>
  <c r="K99" i="6"/>
  <c r="L99" i="6"/>
  <c r="J99" i="6"/>
  <c r="M99" i="6"/>
  <c r="K100" i="6"/>
  <c r="L100" i="6"/>
  <c r="J100" i="6"/>
  <c r="M100" i="6"/>
  <c r="K101" i="6"/>
  <c r="L101" i="6"/>
  <c r="J101" i="6"/>
  <c r="M101" i="6"/>
  <c r="K102" i="6"/>
  <c r="L102" i="6"/>
  <c r="J102" i="6"/>
  <c r="M102" i="6"/>
  <c r="K103" i="6"/>
  <c r="L103" i="6"/>
  <c r="J103" i="6"/>
  <c r="M103" i="6"/>
  <c r="K104" i="6"/>
  <c r="L104" i="6"/>
  <c r="J104" i="6"/>
  <c r="M104" i="6"/>
  <c r="K105" i="6"/>
  <c r="L105" i="6"/>
  <c r="J105" i="6"/>
  <c r="M105" i="6"/>
  <c r="K106" i="6"/>
  <c r="L106" i="6"/>
  <c r="J106" i="6"/>
  <c r="M106" i="6"/>
  <c r="K107" i="6"/>
  <c r="L107" i="6"/>
  <c r="J107" i="6"/>
  <c r="M107" i="6"/>
  <c r="K108" i="6"/>
  <c r="L108" i="6"/>
  <c r="J108" i="6"/>
  <c r="M108" i="6"/>
  <c r="K109" i="6"/>
  <c r="L109" i="6"/>
  <c r="J109" i="6"/>
  <c r="M109" i="6"/>
  <c r="K110" i="6"/>
  <c r="L110" i="6"/>
  <c r="J110" i="6"/>
  <c r="M110" i="6"/>
  <c r="K111" i="6"/>
  <c r="L111" i="6"/>
  <c r="J111" i="6"/>
  <c r="M111" i="6"/>
  <c r="K112" i="6"/>
  <c r="L112" i="6"/>
  <c r="J112" i="6"/>
  <c r="M112" i="6"/>
  <c r="K113" i="6"/>
  <c r="L113" i="6"/>
  <c r="J113" i="6"/>
  <c r="M113" i="6"/>
  <c r="K114" i="6"/>
  <c r="L114" i="6"/>
  <c r="J114" i="6"/>
  <c r="M114" i="6"/>
  <c r="K115" i="6"/>
  <c r="L115" i="6"/>
  <c r="J115" i="6"/>
  <c r="M115" i="6"/>
  <c r="K116" i="6"/>
  <c r="L116" i="6"/>
  <c r="J116" i="6"/>
  <c r="M116" i="6"/>
  <c r="K117" i="6"/>
  <c r="L117" i="6"/>
  <c r="J117" i="6"/>
  <c r="M117" i="6"/>
  <c r="K118" i="6"/>
  <c r="L118" i="6"/>
  <c r="J118" i="6"/>
  <c r="M118" i="6"/>
  <c r="K119" i="6"/>
  <c r="L119" i="6"/>
  <c r="J119" i="6"/>
  <c r="M119" i="6"/>
  <c r="K120" i="6"/>
  <c r="L120" i="6"/>
  <c r="J120" i="6"/>
  <c r="M120" i="6"/>
  <c r="K121" i="6"/>
  <c r="L121" i="6"/>
  <c r="J121" i="6"/>
  <c r="M121" i="6"/>
  <c r="K122" i="6"/>
  <c r="L122" i="6"/>
  <c r="J122" i="6"/>
  <c r="M122" i="6"/>
  <c r="K123" i="6"/>
  <c r="L123" i="6"/>
  <c r="J123" i="6"/>
  <c r="M123" i="6"/>
  <c r="K124" i="6"/>
  <c r="L124" i="6"/>
  <c r="J124" i="6"/>
  <c r="M124" i="6"/>
  <c r="K125" i="6"/>
  <c r="L125" i="6"/>
  <c r="J125" i="6"/>
  <c r="M125" i="6"/>
  <c r="K126" i="6"/>
  <c r="L126" i="6"/>
  <c r="J126" i="6"/>
  <c r="M126" i="6"/>
  <c r="K127" i="6"/>
  <c r="L127" i="6"/>
  <c r="J127" i="6"/>
  <c r="M127" i="6"/>
  <c r="K128" i="6"/>
  <c r="L128" i="6"/>
  <c r="J128" i="6"/>
  <c r="M128" i="6"/>
  <c r="K129" i="6"/>
  <c r="L129" i="6"/>
  <c r="J129" i="6"/>
  <c r="M129" i="6"/>
  <c r="K130" i="6"/>
  <c r="L130" i="6"/>
  <c r="J130" i="6"/>
  <c r="M130" i="6"/>
  <c r="K131" i="6"/>
  <c r="L131" i="6"/>
  <c r="J131" i="6"/>
  <c r="M131" i="6"/>
  <c r="K132" i="6"/>
  <c r="L132" i="6"/>
  <c r="J132" i="6"/>
  <c r="M132" i="6"/>
  <c r="K133" i="6"/>
  <c r="L133" i="6"/>
  <c r="J133" i="6"/>
  <c r="M133" i="6"/>
  <c r="K134" i="6"/>
  <c r="L134" i="6"/>
  <c r="J134" i="6"/>
  <c r="M134" i="6"/>
  <c r="K135" i="6"/>
  <c r="L135" i="6"/>
  <c r="J135" i="6"/>
  <c r="M135" i="6"/>
  <c r="K136" i="6"/>
  <c r="L136" i="6"/>
  <c r="J136" i="6"/>
  <c r="M136" i="6"/>
  <c r="K137" i="6"/>
  <c r="L137" i="6"/>
  <c r="J137" i="6"/>
  <c r="M137" i="6"/>
  <c r="K138" i="6"/>
  <c r="L138" i="6"/>
  <c r="J138" i="6"/>
  <c r="M138" i="6"/>
  <c r="K139" i="6"/>
  <c r="L139" i="6"/>
  <c r="J139" i="6"/>
  <c r="M139" i="6"/>
  <c r="K140" i="6"/>
  <c r="L140" i="6"/>
  <c r="J140" i="6"/>
  <c r="M140" i="6"/>
  <c r="K141" i="6"/>
  <c r="L141" i="6"/>
  <c r="J141" i="6"/>
  <c r="M141" i="6"/>
  <c r="K142" i="6"/>
  <c r="L142" i="6"/>
  <c r="J142" i="6"/>
  <c r="M142" i="6"/>
  <c r="K143" i="6"/>
  <c r="L143" i="6"/>
  <c r="J143" i="6"/>
  <c r="M143" i="6"/>
  <c r="K144" i="6"/>
  <c r="L144" i="6"/>
  <c r="J144" i="6"/>
  <c r="M144" i="6"/>
  <c r="K145" i="6"/>
  <c r="L145" i="6"/>
  <c r="J145" i="6"/>
  <c r="M145" i="6"/>
  <c r="K146" i="6"/>
  <c r="L146" i="6"/>
  <c r="J146" i="6"/>
  <c r="M146" i="6"/>
  <c r="K147" i="6"/>
  <c r="L147" i="6"/>
  <c r="J147" i="6"/>
  <c r="M147" i="6"/>
  <c r="K148" i="6"/>
  <c r="L148" i="6"/>
  <c r="J148" i="6"/>
  <c r="M148" i="6"/>
  <c r="K149" i="6"/>
  <c r="L149" i="6"/>
  <c r="J149" i="6"/>
  <c r="M149" i="6"/>
  <c r="K150" i="6"/>
  <c r="L150" i="6"/>
  <c r="J150" i="6"/>
  <c r="M150" i="6"/>
  <c r="K151" i="6"/>
  <c r="L151" i="6"/>
  <c r="J151" i="6"/>
  <c r="M151" i="6"/>
  <c r="K152" i="6"/>
  <c r="L152" i="6"/>
  <c r="J152" i="6"/>
  <c r="M152" i="6"/>
  <c r="K153" i="6"/>
  <c r="L153" i="6"/>
  <c r="J153" i="6"/>
  <c r="M153" i="6"/>
  <c r="K154" i="6"/>
  <c r="L154" i="6"/>
  <c r="J154" i="6"/>
  <c r="M154" i="6"/>
  <c r="K155" i="6"/>
  <c r="L155" i="6"/>
  <c r="J155" i="6"/>
  <c r="M155" i="6"/>
  <c r="K156" i="6"/>
  <c r="L156" i="6"/>
  <c r="J156" i="6"/>
  <c r="M156" i="6"/>
  <c r="K157" i="6"/>
  <c r="L157" i="6"/>
  <c r="J157" i="6"/>
  <c r="M157" i="6"/>
  <c r="K158" i="6"/>
  <c r="L158" i="6"/>
  <c r="J158" i="6"/>
  <c r="M158" i="6"/>
  <c r="K159" i="6"/>
  <c r="L159" i="6"/>
  <c r="J159" i="6"/>
  <c r="M159" i="6"/>
  <c r="K160" i="6"/>
  <c r="L160" i="6"/>
  <c r="J160" i="6"/>
  <c r="M160" i="6"/>
  <c r="K161" i="6"/>
  <c r="L161" i="6"/>
  <c r="J161" i="6"/>
  <c r="M161" i="6"/>
  <c r="K162" i="6"/>
  <c r="L162" i="6"/>
  <c r="J162" i="6"/>
  <c r="M162" i="6"/>
  <c r="K163" i="6"/>
  <c r="L163" i="6"/>
  <c r="J163" i="6"/>
  <c r="M163" i="6"/>
  <c r="K164" i="6"/>
  <c r="L164" i="6"/>
  <c r="J164" i="6"/>
  <c r="M164" i="6"/>
  <c r="K165" i="6"/>
  <c r="L165" i="6"/>
  <c r="J165" i="6"/>
  <c r="M165" i="6"/>
  <c r="K166" i="6"/>
  <c r="L166" i="6"/>
  <c r="J166" i="6"/>
  <c r="M166" i="6"/>
  <c r="K167" i="6"/>
  <c r="L167" i="6"/>
  <c r="J167" i="6"/>
  <c r="M167" i="6"/>
  <c r="K168" i="6"/>
  <c r="L168" i="6"/>
  <c r="J168" i="6"/>
  <c r="M168" i="6"/>
  <c r="K169" i="6"/>
  <c r="L169" i="6"/>
  <c r="J169" i="6"/>
  <c r="M169" i="6"/>
  <c r="K170" i="6"/>
  <c r="L170" i="6"/>
  <c r="J170" i="6"/>
  <c r="M170" i="6"/>
  <c r="K171" i="6"/>
  <c r="L171" i="6"/>
  <c r="J171" i="6"/>
  <c r="M171" i="6"/>
  <c r="K172" i="6"/>
  <c r="L172" i="6"/>
  <c r="J172" i="6"/>
  <c r="M172" i="6"/>
  <c r="K173" i="6"/>
  <c r="L173" i="6"/>
  <c r="J173" i="6"/>
  <c r="M173" i="6"/>
  <c r="K174" i="6"/>
  <c r="L174" i="6"/>
  <c r="J174" i="6"/>
  <c r="M174" i="6"/>
  <c r="K175" i="6"/>
  <c r="L175" i="6"/>
  <c r="J175" i="6"/>
  <c r="M175" i="6"/>
  <c r="K176" i="6"/>
  <c r="L176" i="6"/>
  <c r="J176" i="6"/>
  <c r="M176" i="6"/>
  <c r="K177" i="6"/>
  <c r="L177" i="6"/>
  <c r="J177" i="6"/>
  <c r="M177" i="6"/>
  <c r="K178" i="6"/>
  <c r="L178" i="6"/>
  <c r="J178" i="6"/>
  <c r="M178" i="6"/>
  <c r="K179" i="6"/>
  <c r="L179" i="6"/>
  <c r="J179" i="6"/>
  <c r="M179" i="6"/>
  <c r="K180" i="6"/>
  <c r="L180" i="6"/>
  <c r="J180" i="6"/>
  <c r="M180" i="6"/>
  <c r="K181" i="6"/>
  <c r="L181" i="6"/>
  <c r="J181" i="6"/>
  <c r="M181" i="6"/>
  <c r="K182" i="6"/>
  <c r="L182" i="6"/>
  <c r="J182" i="6"/>
  <c r="M182" i="6"/>
  <c r="K183" i="6"/>
  <c r="L183" i="6"/>
  <c r="J183" i="6"/>
  <c r="M183" i="6"/>
  <c r="K184" i="6"/>
  <c r="L184" i="6"/>
  <c r="J184" i="6"/>
  <c r="M184" i="6"/>
  <c r="K185" i="6"/>
  <c r="L185" i="6"/>
  <c r="J185" i="6"/>
  <c r="M185" i="6"/>
  <c r="K186" i="6"/>
  <c r="L186" i="6"/>
  <c r="J186" i="6"/>
  <c r="M186" i="6"/>
  <c r="K187" i="6"/>
  <c r="L187" i="6"/>
  <c r="J187" i="6"/>
  <c r="M187" i="6"/>
  <c r="K188" i="6"/>
  <c r="L188" i="6"/>
  <c r="J188" i="6"/>
  <c r="M188" i="6"/>
  <c r="K189" i="6"/>
  <c r="L189" i="6"/>
  <c r="J189" i="6"/>
  <c r="M189" i="6"/>
  <c r="K190" i="6"/>
  <c r="L190" i="6"/>
  <c r="J190" i="6"/>
  <c r="M190" i="6"/>
  <c r="K191" i="6"/>
  <c r="L191" i="6"/>
  <c r="J191" i="6"/>
  <c r="M191" i="6"/>
  <c r="K192" i="6"/>
  <c r="L192" i="6"/>
  <c r="J192" i="6"/>
  <c r="M192" i="6"/>
  <c r="K193" i="6"/>
  <c r="L193" i="6"/>
  <c r="J193" i="6"/>
  <c r="M193" i="6"/>
  <c r="K194" i="6"/>
  <c r="L194" i="6"/>
  <c r="J194" i="6"/>
  <c r="M194" i="6"/>
  <c r="K195" i="6"/>
  <c r="L195" i="6"/>
  <c r="J195" i="6"/>
  <c r="M195" i="6"/>
  <c r="K196" i="6"/>
  <c r="L196" i="6"/>
  <c r="J196" i="6"/>
  <c r="M196" i="6"/>
  <c r="K197" i="6"/>
  <c r="L197" i="6"/>
  <c r="J197" i="6"/>
  <c r="M197" i="6"/>
  <c r="K198" i="6"/>
  <c r="L198" i="6"/>
  <c r="J198" i="6"/>
  <c r="M198" i="6"/>
  <c r="K199" i="6"/>
  <c r="L199" i="6"/>
  <c r="J199" i="6"/>
  <c r="M199" i="6"/>
  <c r="K200" i="6"/>
  <c r="L200" i="6"/>
  <c r="J200" i="6"/>
  <c r="M200" i="6"/>
  <c r="K201" i="6"/>
  <c r="L201" i="6"/>
  <c r="J201" i="6"/>
  <c r="M201" i="6"/>
  <c r="K202" i="6"/>
  <c r="L202" i="6"/>
  <c r="J202" i="6"/>
  <c r="M202" i="6"/>
  <c r="K203" i="6"/>
  <c r="L203" i="6"/>
  <c r="J203" i="6"/>
  <c r="M203" i="6"/>
  <c r="K204" i="6"/>
  <c r="L204" i="6"/>
  <c r="J204" i="6"/>
  <c r="M204" i="6"/>
  <c r="K205" i="6"/>
  <c r="L205" i="6"/>
  <c r="J205" i="6"/>
  <c r="M205" i="6"/>
  <c r="K206" i="6"/>
  <c r="L206" i="6"/>
  <c r="J206" i="6"/>
  <c r="M206" i="6"/>
  <c r="K207" i="6"/>
  <c r="L207" i="6"/>
  <c r="J207" i="6"/>
  <c r="M207" i="6"/>
  <c r="K208" i="6"/>
  <c r="L208" i="6"/>
  <c r="J208" i="6"/>
  <c r="M208" i="6"/>
  <c r="K209" i="6"/>
  <c r="L209" i="6"/>
  <c r="J209" i="6"/>
  <c r="M209" i="6"/>
  <c r="K210" i="6"/>
  <c r="L210" i="6"/>
  <c r="J210" i="6"/>
  <c r="M210" i="6"/>
  <c r="K211" i="6"/>
  <c r="L211" i="6"/>
  <c r="J211" i="6"/>
  <c r="M211" i="6"/>
  <c r="K212" i="6"/>
  <c r="L212" i="6"/>
  <c r="J212" i="6"/>
  <c r="M212" i="6"/>
  <c r="K213" i="6"/>
  <c r="L213" i="6"/>
  <c r="J213" i="6"/>
  <c r="M213" i="6"/>
  <c r="K214" i="6"/>
  <c r="L214" i="6"/>
  <c r="J214" i="6"/>
  <c r="M214" i="6"/>
  <c r="K215" i="6"/>
  <c r="L215" i="6"/>
  <c r="J215" i="6"/>
  <c r="M215" i="6"/>
  <c r="K216" i="6"/>
  <c r="L216" i="6"/>
  <c r="J216" i="6"/>
  <c r="M216" i="6"/>
  <c r="K217" i="6"/>
  <c r="L217" i="6"/>
  <c r="J217" i="6"/>
  <c r="M217" i="6"/>
  <c r="K218" i="6"/>
  <c r="L218" i="6"/>
  <c r="J218" i="6"/>
  <c r="M218" i="6"/>
  <c r="K219" i="6"/>
  <c r="L219" i="6"/>
  <c r="J219" i="6"/>
  <c r="M219" i="6"/>
  <c r="K220" i="6"/>
  <c r="L220" i="6"/>
  <c r="J220" i="6"/>
  <c r="M220" i="6"/>
  <c r="K221" i="6"/>
  <c r="L221" i="6"/>
  <c r="J221" i="6"/>
  <c r="M221" i="6"/>
  <c r="K222" i="6"/>
  <c r="L222" i="6"/>
  <c r="J222" i="6"/>
  <c r="M222" i="6"/>
  <c r="K223" i="6"/>
  <c r="L223" i="6"/>
  <c r="J223" i="6"/>
  <c r="M223" i="6"/>
  <c r="K224" i="6"/>
  <c r="L224" i="6"/>
  <c r="J224" i="6"/>
  <c r="M224" i="6"/>
  <c r="K225" i="6"/>
  <c r="L225" i="6"/>
  <c r="J225" i="6"/>
  <c r="M225" i="6"/>
  <c r="K226" i="6"/>
  <c r="L226" i="6"/>
  <c r="J226" i="6"/>
  <c r="M226" i="6"/>
  <c r="K227" i="6"/>
  <c r="L227" i="6"/>
  <c r="J227" i="6"/>
  <c r="M227" i="6"/>
  <c r="K228" i="6"/>
  <c r="L228" i="6"/>
  <c r="J228" i="6"/>
  <c r="M228" i="6"/>
  <c r="K229" i="6"/>
  <c r="L229" i="6"/>
  <c r="J229" i="6"/>
  <c r="M229" i="6"/>
  <c r="K230" i="6"/>
  <c r="L230" i="6"/>
  <c r="J230" i="6"/>
  <c r="M230" i="6"/>
  <c r="K231" i="6"/>
  <c r="L231" i="6"/>
  <c r="J231" i="6"/>
  <c r="M231" i="6"/>
  <c r="K232" i="6"/>
  <c r="L232" i="6"/>
  <c r="J232" i="6"/>
  <c r="M232" i="6"/>
  <c r="K233" i="6"/>
  <c r="L233" i="6"/>
  <c r="J233" i="6"/>
  <c r="M233" i="6"/>
  <c r="K234" i="6"/>
  <c r="L234" i="6"/>
  <c r="J234" i="6"/>
  <c r="M234" i="6"/>
  <c r="K235" i="6"/>
  <c r="L235" i="6"/>
  <c r="J235" i="6"/>
  <c r="M235" i="6"/>
  <c r="K236" i="6"/>
  <c r="L236" i="6"/>
  <c r="J236" i="6"/>
  <c r="M236" i="6"/>
  <c r="K237" i="6"/>
  <c r="L237" i="6"/>
  <c r="J237" i="6"/>
  <c r="M237" i="6"/>
  <c r="K238" i="6"/>
  <c r="L238" i="6"/>
  <c r="J238" i="6"/>
  <c r="M238" i="6"/>
  <c r="K239" i="6"/>
  <c r="L239" i="6"/>
  <c r="J239" i="6"/>
  <c r="M239" i="6"/>
  <c r="K240" i="6"/>
  <c r="L240" i="6"/>
  <c r="J240" i="6"/>
  <c r="M240" i="6"/>
  <c r="K241" i="6"/>
  <c r="L241" i="6"/>
  <c r="J241" i="6"/>
  <c r="M241" i="6"/>
  <c r="K242" i="6"/>
  <c r="L242" i="6"/>
  <c r="J242" i="6"/>
  <c r="M242" i="6"/>
  <c r="K243" i="6"/>
  <c r="L243" i="6"/>
  <c r="J243" i="6"/>
  <c r="M243" i="6"/>
  <c r="K244" i="6"/>
  <c r="L244" i="6"/>
  <c r="J244" i="6"/>
  <c r="M244" i="6"/>
  <c r="K245" i="6"/>
  <c r="L245" i="6"/>
  <c r="J245" i="6"/>
  <c r="M245" i="6"/>
  <c r="K246" i="6"/>
  <c r="L246" i="6"/>
  <c r="J246" i="6"/>
  <c r="M246" i="6"/>
  <c r="K247" i="6"/>
  <c r="L247" i="6"/>
  <c r="J247" i="6"/>
  <c r="M247" i="6"/>
  <c r="K248" i="6"/>
  <c r="L248" i="6"/>
  <c r="J248" i="6"/>
  <c r="M248" i="6"/>
  <c r="K249" i="6"/>
  <c r="L249" i="6"/>
  <c r="J249" i="6"/>
  <c r="M249" i="6"/>
  <c r="K250" i="6"/>
  <c r="L250" i="6"/>
  <c r="J250" i="6"/>
  <c r="M250" i="6"/>
  <c r="K251" i="6"/>
  <c r="L251" i="6"/>
  <c r="J251" i="6"/>
  <c r="M251" i="6"/>
  <c r="K252" i="6"/>
  <c r="L252" i="6"/>
  <c r="J252" i="6"/>
  <c r="M252" i="6"/>
  <c r="K253" i="6"/>
  <c r="L253" i="6"/>
  <c r="J253" i="6"/>
  <c r="M253" i="6"/>
  <c r="K254" i="6"/>
  <c r="L254" i="6"/>
  <c r="J254" i="6"/>
  <c r="M254" i="6"/>
  <c r="K255" i="6"/>
  <c r="L255" i="6"/>
  <c r="J255" i="6"/>
  <c r="M255" i="6"/>
  <c r="K256" i="6"/>
  <c r="L256" i="6"/>
  <c r="J256" i="6"/>
  <c r="M256" i="6"/>
  <c r="K257" i="6"/>
  <c r="L257" i="6"/>
  <c r="J257" i="6"/>
  <c r="M257" i="6"/>
  <c r="K258" i="6"/>
  <c r="L258" i="6"/>
  <c r="J258" i="6"/>
  <c r="M258" i="6"/>
  <c r="K259" i="6"/>
  <c r="L259" i="6"/>
  <c r="J259" i="6"/>
  <c r="M259" i="6"/>
  <c r="K260" i="6"/>
  <c r="L260" i="6"/>
  <c r="J260" i="6"/>
  <c r="M260" i="6"/>
  <c r="K261" i="6"/>
  <c r="L261" i="6"/>
  <c r="J261" i="6"/>
  <c r="M261" i="6"/>
  <c r="K262" i="6"/>
  <c r="L262" i="6"/>
  <c r="J262" i="6"/>
  <c r="M262" i="6"/>
  <c r="K263" i="6"/>
  <c r="L263" i="6"/>
  <c r="J263" i="6"/>
  <c r="M263" i="6"/>
  <c r="K264" i="6"/>
  <c r="L264" i="6"/>
  <c r="J264" i="6"/>
  <c r="M264" i="6"/>
  <c r="K265" i="6"/>
  <c r="L265" i="6"/>
  <c r="J265" i="6"/>
  <c r="M265" i="6"/>
  <c r="K266" i="6"/>
  <c r="L266" i="6"/>
  <c r="J266" i="6"/>
  <c r="M266" i="6"/>
  <c r="K267" i="6"/>
  <c r="L267" i="6"/>
  <c r="J267" i="6"/>
  <c r="M267" i="6"/>
  <c r="K268" i="6"/>
  <c r="L268" i="6"/>
  <c r="J268" i="6"/>
  <c r="M268" i="6"/>
  <c r="K269" i="6"/>
  <c r="L269" i="6"/>
  <c r="J269" i="6"/>
  <c r="M269" i="6"/>
  <c r="K270" i="6"/>
  <c r="L270" i="6"/>
  <c r="J270" i="6"/>
  <c r="M270" i="6"/>
  <c r="K271" i="6"/>
  <c r="L271" i="6"/>
  <c r="J271" i="6"/>
  <c r="M271" i="6"/>
  <c r="K272" i="6"/>
  <c r="L272" i="6"/>
  <c r="J272" i="6"/>
  <c r="M272" i="6"/>
  <c r="K273" i="6"/>
  <c r="L273" i="6"/>
  <c r="J273" i="6"/>
  <c r="M273" i="6"/>
  <c r="K274" i="6"/>
  <c r="L274" i="6"/>
  <c r="J274" i="6"/>
  <c r="M274" i="6"/>
  <c r="K275" i="6"/>
  <c r="L275" i="6"/>
  <c r="J275" i="6"/>
  <c r="M275" i="6"/>
  <c r="K276" i="6"/>
  <c r="L276" i="6"/>
  <c r="J276" i="6"/>
  <c r="M276" i="6"/>
  <c r="K277" i="6"/>
  <c r="L277" i="6"/>
  <c r="J277" i="6"/>
  <c r="M277" i="6"/>
  <c r="K278" i="6"/>
  <c r="L278" i="6"/>
  <c r="J278" i="6"/>
  <c r="M278" i="6"/>
  <c r="K279" i="6"/>
  <c r="L279" i="6"/>
  <c r="J279" i="6"/>
  <c r="M279" i="6"/>
  <c r="K280" i="6"/>
  <c r="L280" i="6"/>
  <c r="J280" i="6"/>
  <c r="M280" i="6"/>
  <c r="K281" i="6"/>
  <c r="L281" i="6"/>
  <c r="J281" i="6"/>
  <c r="M281" i="6"/>
  <c r="K282" i="6"/>
  <c r="L282" i="6"/>
  <c r="J282" i="6"/>
  <c r="M282" i="6"/>
  <c r="K283" i="6"/>
  <c r="L283" i="6"/>
  <c r="J283" i="6"/>
  <c r="M283" i="6"/>
  <c r="K284" i="6"/>
  <c r="L284" i="6"/>
  <c r="J284" i="6"/>
  <c r="M284" i="6"/>
  <c r="K285" i="6"/>
  <c r="L285" i="6"/>
  <c r="J285" i="6"/>
  <c r="M285" i="6"/>
  <c r="K286" i="6"/>
  <c r="L286" i="6"/>
  <c r="J286" i="6"/>
  <c r="M286" i="6"/>
  <c r="K287" i="6"/>
  <c r="L287" i="6"/>
  <c r="J287" i="6"/>
  <c r="M287" i="6"/>
  <c r="K288" i="6"/>
  <c r="L288" i="6"/>
  <c r="J288" i="6"/>
  <c r="M288" i="6"/>
  <c r="K289" i="6"/>
  <c r="L289" i="6"/>
  <c r="J289" i="6"/>
  <c r="M289" i="6"/>
  <c r="K290" i="6"/>
  <c r="L290" i="6"/>
  <c r="J290" i="6"/>
  <c r="M290" i="6"/>
  <c r="K291" i="6"/>
  <c r="L291" i="6"/>
  <c r="J291" i="6"/>
  <c r="M291" i="6"/>
  <c r="K292" i="6"/>
  <c r="L292" i="6"/>
  <c r="J292" i="6"/>
  <c r="M292" i="6"/>
  <c r="K293" i="6"/>
  <c r="L293" i="6"/>
  <c r="J293" i="6"/>
  <c r="M293" i="6"/>
  <c r="K294" i="6"/>
  <c r="L294" i="6"/>
  <c r="J294" i="6"/>
  <c r="M294" i="6"/>
  <c r="K295" i="6"/>
  <c r="L295" i="6"/>
  <c r="J295" i="6"/>
  <c r="M295" i="6"/>
  <c r="K296" i="6"/>
  <c r="L296" i="6"/>
  <c r="J296" i="6"/>
  <c r="M296" i="6"/>
  <c r="K297" i="6"/>
  <c r="L297" i="6"/>
  <c r="J297" i="6"/>
  <c r="M297" i="6"/>
  <c r="K298" i="6"/>
  <c r="L298" i="6"/>
  <c r="J298" i="6"/>
  <c r="M298" i="6"/>
  <c r="K299" i="6"/>
  <c r="L299" i="6"/>
  <c r="J299" i="6"/>
  <c r="M299" i="6"/>
  <c r="K300" i="6"/>
  <c r="L300" i="6"/>
  <c r="J300" i="6"/>
  <c r="M300" i="6"/>
  <c r="K301" i="6"/>
  <c r="L301" i="6"/>
  <c r="J301" i="6"/>
  <c r="M301" i="6"/>
  <c r="K302" i="6"/>
  <c r="L302" i="6"/>
  <c r="J302" i="6"/>
  <c r="M302" i="6"/>
  <c r="K303" i="6"/>
  <c r="L303" i="6"/>
  <c r="J303" i="6"/>
  <c r="M303" i="6"/>
  <c r="K304" i="6"/>
  <c r="L304" i="6"/>
  <c r="J304" i="6"/>
  <c r="M304" i="6"/>
  <c r="K305" i="6"/>
  <c r="L305" i="6"/>
  <c r="J305" i="6"/>
  <c r="M305" i="6"/>
  <c r="K306" i="6"/>
  <c r="L306" i="6"/>
  <c r="J306" i="6"/>
  <c r="M306" i="6"/>
  <c r="K307" i="6"/>
  <c r="L307" i="6"/>
  <c r="J307" i="6"/>
  <c r="M307" i="6"/>
  <c r="K308" i="6"/>
  <c r="L308" i="6"/>
  <c r="J308" i="6"/>
  <c r="M308" i="6"/>
  <c r="K309" i="6"/>
  <c r="L309" i="6"/>
  <c r="J309" i="6"/>
  <c r="M309" i="6"/>
  <c r="K310" i="6"/>
  <c r="L310" i="6"/>
  <c r="J310" i="6"/>
  <c r="M310" i="6"/>
  <c r="K311" i="6"/>
  <c r="L311" i="6"/>
  <c r="J311" i="6"/>
  <c r="M311" i="6"/>
  <c r="K312" i="6"/>
  <c r="L312" i="6"/>
  <c r="J312" i="6"/>
  <c r="M312" i="6"/>
  <c r="K313" i="6"/>
  <c r="L313" i="6"/>
  <c r="J313" i="6"/>
  <c r="M313" i="6"/>
  <c r="K314" i="6"/>
  <c r="L314" i="6"/>
  <c r="J314" i="6"/>
  <c r="M314" i="6"/>
  <c r="K315" i="6"/>
  <c r="L315" i="6"/>
  <c r="J315" i="6"/>
  <c r="M315" i="6"/>
  <c r="K316" i="6"/>
  <c r="L316" i="6"/>
  <c r="J316" i="6"/>
  <c r="M316" i="6"/>
  <c r="K317" i="6"/>
  <c r="L317" i="6"/>
  <c r="J317" i="6"/>
  <c r="M317" i="6"/>
  <c r="K318" i="6"/>
  <c r="L318" i="6"/>
  <c r="J318" i="6"/>
  <c r="M318" i="6"/>
  <c r="K319" i="6"/>
  <c r="L319" i="6"/>
  <c r="J319" i="6"/>
  <c r="M319" i="6"/>
  <c r="K320" i="6"/>
  <c r="L320" i="6"/>
  <c r="J320" i="6"/>
  <c r="M320" i="6"/>
  <c r="K321" i="6"/>
  <c r="L321" i="6"/>
  <c r="J321" i="6"/>
  <c r="M321" i="6"/>
  <c r="K322" i="6"/>
  <c r="L322" i="6"/>
  <c r="J322" i="6"/>
  <c r="M322" i="6"/>
  <c r="K323" i="6"/>
  <c r="L323" i="6"/>
  <c r="J323" i="6"/>
  <c r="M323" i="6"/>
  <c r="K324" i="6"/>
  <c r="L324" i="6"/>
  <c r="J324" i="6"/>
  <c r="M324" i="6"/>
  <c r="K325" i="6"/>
  <c r="L325" i="6"/>
  <c r="J325" i="6"/>
  <c r="M325" i="6"/>
  <c r="K326" i="6"/>
  <c r="L326" i="6"/>
  <c r="J326" i="6"/>
  <c r="M326" i="6"/>
  <c r="K327" i="6"/>
  <c r="L327" i="6"/>
  <c r="J327" i="6"/>
  <c r="M327" i="6"/>
  <c r="K328" i="6"/>
  <c r="L328" i="6"/>
  <c r="J328" i="6"/>
  <c r="M328" i="6"/>
  <c r="K329" i="6"/>
  <c r="L329" i="6"/>
  <c r="J329" i="6"/>
  <c r="M329" i="6"/>
  <c r="K330" i="6"/>
  <c r="L330" i="6"/>
  <c r="J330" i="6"/>
  <c r="M330" i="6"/>
  <c r="K331" i="6"/>
  <c r="L331" i="6"/>
  <c r="J331" i="6"/>
  <c r="M331" i="6"/>
  <c r="K332" i="6"/>
  <c r="L332" i="6"/>
  <c r="J332" i="6"/>
  <c r="M332" i="6"/>
  <c r="K333" i="6"/>
  <c r="L333" i="6"/>
  <c r="J333" i="6"/>
  <c r="M333" i="6"/>
  <c r="K334" i="6"/>
  <c r="L334" i="6"/>
  <c r="J334" i="6"/>
  <c r="M334" i="6"/>
  <c r="K335" i="6"/>
  <c r="L335" i="6"/>
  <c r="J335" i="6"/>
  <c r="M335" i="6"/>
  <c r="K336" i="6"/>
  <c r="L336" i="6"/>
  <c r="J336" i="6"/>
  <c r="M336" i="6"/>
  <c r="K337" i="6"/>
  <c r="L337" i="6"/>
  <c r="J337" i="6"/>
  <c r="M337" i="6"/>
  <c r="K338" i="6"/>
  <c r="L338" i="6"/>
  <c r="J338" i="6"/>
  <c r="M338" i="6"/>
  <c r="K339" i="6"/>
  <c r="L339" i="6"/>
  <c r="J339" i="6"/>
  <c r="M339" i="6"/>
  <c r="K340" i="6"/>
  <c r="L340" i="6"/>
  <c r="J340" i="6"/>
  <c r="M340" i="6"/>
  <c r="K341" i="6"/>
  <c r="L341" i="6"/>
  <c r="J341" i="6"/>
  <c r="M341" i="6"/>
  <c r="K342" i="6"/>
  <c r="L342" i="6"/>
  <c r="J342" i="6"/>
  <c r="M342" i="6"/>
  <c r="K343" i="6"/>
  <c r="L343" i="6"/>
  <c r="J343" i="6"/>
  <c r="M343" i="6"/>
  <c r="K344" i="6"/>
  <c r="L344" i="6"/>
  <c r="J344" i="6"/>
  <c r="M344" i="6"/>
  <c r="K345" i="6"/>
  <c r="L345" i="6"/>
  <c r="J345" i="6"/>
  <c r="M345" i="6"/>
  <c r="K346" i="6"/>
  <c r="L346" i="6"/>
  <c r="J346" i="6"/>
  <c r="M346" i="6"/>
  <c r="K347" i="6"/>
  <c r="L347" i="6"/>
  <c r="J347" i="6"/>
  <c r="M347" i="6"/>
  <c r="K348" i="6"/>
  <c r="L348" i="6"/>
  <c r="J348" i="6"/>
  <c r="M348" i="6"/>
  <c r="K349" i="6"/>
  <c r="L349" i="6"/>
  <c r="J349" i="6"/>
  <c r="M349" i="6"/>
  <c r="K350" i="6"/>
  <c r="L350" i="6"/>
  <c r="J350" i="6"/>
  <c r="M350" i="6"/>
  <c r="K351" i="6"/>
  <c r="L351" i="6"/>
  <c r="J351" i="6"/>
  <c r="M351" i="6"/>
  <c r="K352" i="6"/>
  <c r="L352" i="6"/>
  <c r="J352" i="6"/>
  <c r="M352" i="6"/>
  <c r="K353" i="6"/>
  <c r="L353" i="6"/>
  <c r="J353" i="6"/>
  <c r="M353" i="6"/>
  <c r="K354" i="6"/>
  <c r="L354" i="6"/>
  <c r="J354" i="6"/>
  <c r="M354" i="6"/>
  <c r="K355" i="6"/>
  <c r="L355" i="6"/>
  <c r="J355" i="6"/>
  <c r="M355" i="6"/>
  <c r="K356" i="6"/>
  <c r="L356" i="6"/>
  <c r="J356" i="6"/>
  <c r="M356" i="6"/>
  <c r="K357" i="6"/>
  <c r="L357" i="6"/>
  <c r="J357" i="6"/>
  <c r="M357" i="6"/>
  <c r="K358" i="6"/>
  <c r="L358" i="6"/>
  <c r="J358" i="6"/>
  <c r="M358" i="6"/>
  <c r="K359" i="6"/>
  <c r="L359" i="6"/>
  <c r="J359" i="6"/>
  <c r="M359" i="6"/>
  <c r="K360" i="6"/>
  <c r="L360" i="6"/>
  <c r="J360" i="6"/>
  <c r="M360" i="6"/>
  <c r="K361" i="6"/>
  <c r="L361" i="6"/>
  <c r="J361" i="6"/>
  <c r="M361" i="6"/>
  <c r="K362" i="6"/>
  <c r="L362" i="6"/>
  <c r="J362" i="6"/>
  <c r="M362" i="6"/>
  <c r="K363" i="6"/>
  <c r="L363" i="6"/>
  <c r="J363" i="6"/>
  <c r="M363" i="6"/>
  <c r="K364" i="6"/>
  <c r="L364" i="6"/>
  <c r="J364" i="6"/>
  <c r="M364" i="6"/>
  <c r="K365" i="6"/>
  <c r="L365" i="6"/>
  <c r="J365" i="6"/>
  <c r="M365" i="6"/>
  <c r="K366" i="6"/>
  <c r="L366" i="6"/>
  <c r="J366" i="6"/>
  <c r="M366" i="6"/>
  <c r="K367" i="6"/>
  <c r="L367" i="6"/>
  <c r="J367" i="6"/>
  <c r="M367" i="6"/>
  <c r="K368" i="6"/>
  <c r="L368" i="6"/>
  <c r="J368" i="6"/>
  <c r="M368" i="6"/>
  <c r="K369" i="6"/>
  <c r="L369" i="6"/>
  <c r="J369" i="6"/>
  <c r="M369" i="6"/>
  <c r="K370" i="6"/>
  <c r="L370" i="6"/>
  <c r="J370" i="6"/>
  <c r="M370" i="6"/>
  <c r="K371" i="6"/>
  <c r="L371" i="6"/>
  <c r="J371" i="6"/>
  <c r="M371" i="6"/>
  <c r="K372" i="6"/>
  <c r="L372" i="6"/>
  <c r="J372" i="6"/>
  <c r="M372" i="6"/>
  <c r="K373" i="6"/>
  <c r="L373" i="6"/>
  <c r="J373" i="6"/>
  <c r="M373" i="6"/>
  <c r="K374" i="6"/>
  <c r="L374" i="6"/>
  <c r="J374" i="6"/>
  <c r="M374" i="6"/>
  <c r="K375" i="6"/>
  <c r="L375" i="6"/>
  <c r="J375" i="6"/>
  <c r="M375" i="6"/>
  <c r="K376" i="6"/>
  <c r="L376" i="6"/>
  <c r="J376" i="6"/>
  <c r="M376" i="6"/>
  <c r="K377" i="6"/>
  <c r="L377" i="6"/>
  <c r="J377" i="6"/>
  <c r="M377" i="6"/>
  <c r="K378" i="6"/>
  <c r="L378" i="6"/>
  <c r="J378" i="6"/>
  <c r="M378" i="6"/>
  <c r="K379" i="6"/>
  <c r="L379" i="6"/>
  <c r="J379" i="6"/>
  <c r="M379" i="6"/>
  <c r="K380" i="6"/>
  <c r="L380" i="6"/>
  <c r="J380" i="6"/>
  <c r="M380" i="6"/>
  <c r="K381" i="6"/>
  <c r="L381" i="6"/>
  <c r="J381" i="6"/>
  <c r="M381" i="6"/>
  <c r="K382" i="6"/>
  <c r="L382" i="6"/>
  <c r="J382" i="6"/>
  <c r="M382" i="6"/>
  <c r="K383" i="6"/>
  <c r="L383" i="6"/>
  <c r="J383" i="6"/>
  <c r="M383" i="6"/>
  <c r="K384" i="6"/>
  <c r="L384" i="6"/>
  <c r="J384" i="6"/>
  <c r="M384" i="6"/>
  <c r="K385" i="6"/>
  <c r="L385" i="6"/>
  <c r="J385" i="6"/>
  <c r="M385" i="6"/>
  <c r="K386" i="6"/>
  <c r="L386" i="6"/>
  <c r="J386" i="6"/>
  <c r="M386" i="6"/>
  <c r="K387" i="6"/>
  <c r="L387" i="6"/>
  <c r="J387" i="6"/>
  <c r="M387" i="6"/>
  <c r="K388" i="6"/>
  <c r="L388" i="6"/>
  <c r="J388" i="6"/>
  <c r="M388" i="6"/>
  <c r="K389" i="6"/>
  <c r="L389" i="6"/>
  <c r="J389" i="6"/>
  <c r="M389" i="6"/>
  <c r="K390" i="6"/>
  <c r="L390" i="6"/>
  <c r="J390" i="6"/>
  <c r="M390" i="6"/>
  <c r="K391" i="6"/>
  <c r="L391" i="6"/>
  <c r="J391" i="6"/>
  <c r="M391" i="6"/>
  <c r="K392" i="6"/>
  <c r="L392" i="6"/>
  <c r="J392" i="6"/>
  <c r="M392" i="6"/>
  <c r="K393" i="6"/>
  <c r="L393" i="6"/>
  <c r="J393" i="6"/>
  <c r="M393" i="6"/>
  <c r="K394" i="6"/>
  <c r="L394" i="6"/>
  <c r="J394" i="6"/>
  <c r="M394" i="6"/>
  <c r="K395" i="6"/>
  <c r="L395" i="6"/>
  <c r="J395" i="6"/>
  <c r="M395" i="6"/>
  <c r="K396" i="6"/>
  <c r="L396" i="6"/>
  <c r="J396" i="6"/>
  <c r="M396" i="6"/>
  <c r="K397" i="6"/>
  <c r="L397" i="6"/>
  <c r="J397" i="6"/>
  <c r="M397" i="6"/>
  <c r="K398" i="6"/>
  <c r="L398" i="6"/>
  <c r="J398" i="6"/>
  <c r="M398" i="6"/>
  <c r="K399" i="6"/>
  <c r="L399" i="6"/>
  <c r="J399" i="6"/>
  <c r="M399" i="6"/>
  <c r="K400" i="6"/>
  <c r="L400" i="6"/>
  <c r="J400" i="6"/>
  <c r="M400" i="6"/>
  <c r="K401" i="6"/>
  <c r="L401" i="6"/>
  <c r="J401" i="6"/>
  <c r="M401" i="6"/>
  <c r="K402" i="6"/>
  <c r="L402" i="6"/>
  <c r="J402" i="6"/>
  <c r="M402" i="6"/>
  <c r="K403" i="6"/>
  <c r="L403" i="6"/>
  <c r="J403" i="6"/>
  <c r="M403" i="6"/>
  <c r="K404" i="6"/>
  <c r="L404" i="6"/>
  <c r="J404" i="6"/>
  <c r="M404" i="6"/>
  <c r="K405" i="6"/>
  <c r="L405" i="6"/>
  <c r="J405" i="6"/>
  <c r="M405" i="6"/>
  <c r="K406" i="6"/>
  <c r="L406" i="6"/>
  <c r="J406" i="6"/>
  <c r="M406" i="6"/>
  <c r="K407" i="6"/>
  <c r="L407" i="6"/>
  <c r="J407" i="6"/>
  <c r="M407" i="6"/>
  <c r="K408" i="6"/>
  <c r="L408" i="6"/>
  <c r="J408" i="6"/>
  <c r="M408" i="6"/>
  <c r="K409" i="6"/>
  <c r="L409" i="6"/>
  <c r="J409" i="6"/>
  <c r="M409" i="6"/>
  <c r="K410" i="6"/>
  <c r="L410" i="6"/>
  <c r="J410" i="6"/>
  <c r="M410" i="6"/>
  <c r="K411" i="6"/>
  <c r="L411" i="6"/>
  <c r="J411" i="6"/>
  <c r="M411" i="6"/>
  <c r="K412" i="6"/>
  <c r="L412" i="6"/>
  <c r="J412" i="6"/>
  <c r="M412" i="6"/>
  <c r="K413" i="6"/>
  <c r="L413" i="6"/>
  <c r="J413" i="6"/>
  <c r="M413" i="6"/>
  <c r="K414" i="6"/>
  <c r="L414" i="6"/>
  <c r="J414" i="6"/>
  <c r="M414" i="6"/>
  <c r="K415" i="6"/>
  <c r="L415" i="6"/>
  <c r="J415" i="6"/>
  <c r="M415" i="6"/>
  <c r="K416" i="6"/>
  <c r="L416" i="6"/>
  <c r="J416" i="6"/>
  <c r="M416" i="6"/>
  <c r="K417" i="6"/>
  <c r="L417" i="6"/>
  <c r="J417" i="6"/>
  <c r="M417" i="6"/>
  <c r="K418" i="6"/>
  <c r="L418" i="6"/>
  <c r="J418" i="6"/>
  <c r="M418" i="6"/>
  <c r="K419" i="6"/>
  <c r="L419" i="6"/>
  <c r="J419" i="6"/>
  <c r="M419" i="6"/>
  <c r="K420" i="6"/>
  <c r="L420" i="6"/>
  <c r="J420" i="6"/>
  <c r="M420" i="6"/>
  <c r="K421" i="6"/>
  <c r="L421" i="6"/>
  <c r="J421" i="6"/>
  <c r="M421" i="6"/>
  <c r="K422" i="6"/>
  <c r="L422" i="6"/>
  <c r="J422" i="6"/>
  <c r="M422" i="6"/>
  <c r="K423" i="6"/>
  <c r="L423" i="6"/>
  <c r="J423" i="6"/>
  <c r="M423" i="6"/>
  <c r="K424" i="6"/>
  <c r="L424" i="6"/>
  <c r="J424" i="6"/>
  <c r="M424" i="6"/>
  <c r="K425" i="6"/>
  <c r="L425" i="6"/>
  <c r="J425" i="6"/>
  <c r="M425" i="6"/>
  <c r="K426" i="6"/>
  <c r="L426" i="6"/>
  <c r="J426" i="6"/>
  <c r="M426" i="6"/>
  <c r="K427" i="6"/>
  <c r="L427" i="6"/>
  <c r="J427" i="6"/>
  <c r="M427" i="6"/>
  <c r="K428" i="6"/>
  <c r="L428" i="6"/>
  <c r="J428" i="6"/>
  <c r="M428" i="6"/>
  <c r="K429" i="6"/>
  <c r="L429" i="6"/>
  <c r="J429" i="6"/>
  <c r="M429" i="6"/>
  <c r="K430" i="6"/>
  <c r="L430" i="6"/>
  <c r="J430" i="6"/>
  <c r="M430" i="6"/>
  <c r="K431" i="6"/>
  <c r="L431" i="6"/>
  <c r="J431" i="6"/>
  <c r="M431" i="6"/>
  <c r="K432" i="6"/>
  <c r="L432" i="6"/>
  <c r="J432" i="6"/>
  <c r="M432" i="6"/>
  <c r="K433" i="6"/>
  <c r="L433" i="6"/>
  <c r="J433" i="6"/>
  <c r="M433" i="6"/>
  <c r="K434" i="6"/>
  <c r="L434" i="6"/>
  <c r="J434" i="6"/>
  <c r="M434" i="6"/>
  <c r="K435" i="6"/>
  <c r="L435" i="6"/>
  <c r="J435" i="6"/>
  <c r="M435" i="6"/>
  <c r="K436" i="6"/>
  <c r="L436" i="6"/>
  <c r="J436" i="6"/>
  <c r="M436" i="6"/>
  <c r="K437" i="6"/>
  <c r="L437" i="6"/>
  <c r="J437" i="6"/>
  <c r="M437" i="6"/>
  <c r="K438" i="6"/>
  <c r="L438" i="6"/>
  <c r="J438" i="6"/>
  <c r="M438" i="6"/>
  <c r="K439" i="6"/>
  <c r="L439" i="6"/>
  <c r="J439" i="6"/>
  <c r="M439" i="6"/>
  <c r="K440" i="6"/>
  <c r="L440" i="6"/>
  <c r="J440" i="6"/>
  <c r="M440" i="6"/>
  <c r="K441" i="6"/>
  <c r="L441" i="6"/>
  <c r="J441" i="6"/>
  <c r="M441" i="6"/>
  <c r="K442" i="6"/>
  <c r="L442" i="6"/>
  <c r="J442" i="6"/>
  <c r="M442" i="6"/>
  <c r="K443" i="6"/>
  <c r="L443" i="6"/>
  <c r="J443" i="6"/>
  <c r="M443" i="6"/>
  <c r="K444" i="6"/>
  <c r="L444" i="6"/>
  <c r="J444" i="6"/>
  <c r="M444" i="6"/>
  <c r="K445" i="6"/>
  <c r="L445" i="6"/>
  <c r="J445" i="6"/>
  <c r="M445" i="6"/>
  <c r="K446" i="6"/>
  <c r="L446" i="6"/>
  <c r="J446" i="6"/>
  <c r="M446" i="6"/>
  <c r="K447" i="6"/>
  <c r="L447" i="6"/>
  <c r="J447" i="6"/>
  <c r="M447" i="6"/>
  <c r="K448" i="6"/>
  <c r="L448" i="6"/>
  <c r="J448" i="6"/>
  <c r="M448" i="6"/>
  <c r="K449" i="6"/>
  <c r="L449" i="6"/>
  <c r="J449" i="6"/>
  <c r="M449" i="6"/>
  <c r="K450" i="6"/>
  <c r="L450" i="6"/>
  <c r="J450" i="6"/>
  <c r="M450" i="6"/>
  <c r="K451" i="6"/>
  <c r="L451" i="6"/>
  <c r="J451" i="6"/>
  <c r="M451" i="6"/>
  <c r="K452" i="6"/>
  <c r="L452" i="6"/>
  <c r="J452" i="6"/>
  <c r="M452" i="6"/>
  <c r="L14" i="6"/>
  <c r="M14" i="6"/>
  <c r="L15" i="6"/>
  <c r="M15" i="6"/>
  <c r="L16" i="6"/>
  <c r="M16" i="6"/>
  <c r="L17" i="6"/>
  <c r="M17" i="6"/>
  <c r="L18" i="6"/>
  <c r="M18" i="6"/>
  <c r="L19" i="6"/>
  <c r="M19" i="6"/>
  <c r="L20" i="6"/>
  <c r="M20" i="6"/>
  <c r="L21" i="6"/>
  <c r="M21" i="6"/>
  <c r="L22" i="6"/>
  <c r="M22" i="6"/>
  <c r="L23" i="6"/>
  <c r="M23" i="6"/>
  <c r="L24" i="6"/>
  <c r="M24" i="6"/>
  <c r="L25" i="6"/>
  <c r="M25" i="6"/>
  <c r="L26" i="6"/>
  <c r="M26" i="6"/>
  <c r="L27" i="6"/>
  <c r="M27" i="6"/>
  <c r="L28" i="6"/>
  <c r="M28" i="6"/>
  <c r="L29" i="6"/>
  <c r="M29" i="6"/>
  <c r="L30" i="6"/>
  <c r="M30" i="6"/>
  <c r="L31" i="6"/>
  <c r="M31" i="6"/>
  <c r="L32" i="6"/>
  <c r="M32" i="6"/>
  <c r="L33" i="6"/>
  <c r="M33" i="6"/>
  <c r="L34" i="6"/>
  <c r="M34" i="6"/>
  <c r="L35" i="6"/>
  <c r="M35" i="6"/>
  <c r="L36" i="6"/>
  <c r="M36" i="6"/>
  <c r="L37" i="6"/>
  <c r="M37" i="6"/>
  <c r="L38" i="6"/>
  <c r="M38" i="6"/>
  <c r="L39" i="6"/>
  <c r="M39" i="6"/>
  <c r="L40" i="6"/>
  <c r="M40" i="6"/>
  <c r="L41" i="6"/>
  <c r="M41" i="6"/>
  <c r="L42" i="6"/>
  <c r="M42" i="6"/>
  <c r="L43" i="6"/>
  <c r="M43" i="6"/>
  <c r="L44" i="6"/>
  <c r="M44" i="6"/>
  <c r="L45" i="6"/>
  <c r="M45" i="6"/>
  <c r="L46" i="6"/>
  <c r="M46" i="6"/>
  <c r="L47" i="6"/>
  <c r="M47" i="6"/>
  <c r="L48" i="6"/>
  <c r="M48" i="6"/>
  <c r="L49" i="6"/>
  <c r="M49" i="6"/>
  <c r="L50" i="6"/>
  <c r="M50" i="6"/>
  <c r="L51" i="6"/>
  <c r="M51" i="6"/>
  <c r="L52" i="6"/>
  <c r="M52" i="6"/>
  <c r="L53" i="6"/>
  <c r="M53" i="6"/>
  <c r="L54" i="6"/>
  <c r="M54" i="6"/>
  <c r="L55" i="6"/>
  <c r="M55" i="6"/>
  <c r="L56" i="6"/>
  <c r="M56" i="6"/>
  <c r="L57" i="6"/>
  <c r="M57" i="6"/>
  <c r="L58" i="6"/>
  <c r="M58" i="6"/>
  <c r="L59" i="6"/>
  <c r="M59" i="6"/>
  <c r="L60" i="6"/>
  <c r="M60" i="6"/>
  <c r="L61" i="6"/>
  <c r="M61" i="6"/>
  <c r="L62" i="6"/>
  <c r="M62" i="6"/>
  <c r="K63" i="6"/>
  <c r="L63" i="6"/>
  <c r="M63" i="6"/>
  <c r="K64" i="6"/>
  <c r="L64" i="6"/>
  <c r="M64" i="6"/>
  <c r="K65" i="6"/>
  <c r="L65" i="6"/>
  <c r="M65" i="6"/>
  <c r="K66" i="6"/>
  <c r="L66" i="6"/>
  <c r="M66" i="6"/>
  <c r="M13" i="6"/>
  <c r="L13" i="6"/>
  <c r="J8" i="6" l="1"/>
  <c r="BZ143" i="5"/>
  <c r="BX143" i="5"/>
  <c r="BW143" i="5"/>
  <c r="BZ142" i="5"/>
  <c r="BX142" i="5"/>
  <c r="BW142" i="5"/>
  <c r="BZ141" i="5"/>
  <c r="BX141" i="5"/>
  <c r="BW141" i="5"/>
  <c r="BZ140" i="5"/>
  <c r="BX140" i="5"/>
  <c r="BW140" i="5"/>
  <c r="BZ139" i="5"/>
  <c r="BX139" i="5"/>
  <c r="BW139" i="5"/>
  <c r="BZ138" i="5"/>
  <c r="BX138" i="5"/>
  <c r="BW138" i="5"/>
  <c r="BZ137" i="5"/>
  <c r="BX137" i="5"/>
  <c r="BW137" i="5"/>
  <c r="BZ136" i="5"/>
  <c r="BX136" i="5"/>
  <c r="BW136" i="5"/>
  <c r="BZ135" i="5"/>
  <c r="BX135" i="5"/>
  <c r="BW135" i="5"/>
  <c r="BZ134" i="5"/>
  <c r="BX134" i="5"/>
  <c r="BW134" i="5"/>
  <c r="BZ133" i="5"/>
  <c r="BX133" i="5"/>
  <c r="BW133" i="5"/>
  <c r="BZ132" i="5"/>
  <c r="BX132" i="5"/>
  <c r="BW132" i="5"/>
  <c r="BZ131" i="5"/>
  <c r="BX131" i="5"/>
  <c r="BW131" i="5"/>
  <c r="BZ130" i="5"/>
  <c r="BX130" i="5"/>
  <c r="BW130" i="5"/>
  <c r="BZ129" i="5"/>
  <c r="BX129" i="5"/>
  <c r="BW129" i="5"/>
  <c r="BZ128" i="5"/>
  <c r="BX128" i="5"/>
  <c r="BW128" i="5"/>
  <c r="BZ127" i="5"/>
  <c r="BX127" i="5"/>
  <c r="BW127" i="5"/>
  <c r="BZ126" i="5"/>
  <c r="BX126" i="5"/>
  <c r="BW126" i="5"/>
  <c r="BZ125" i="5"/>
  <c r="BX125" i="5"/>
  <c r="BW125" i="5"/>
  <c r="BZ124" i="5"/>
  <c r="BX124" i="5"/>
  <c r="BW124" i="5"/>
  <c r="BZ123" i="5"/>
  <c r="BX123" i="5"/>
  <c r="BW123" i="5"/>
  <c r="BZ122" i="5"/>
  <c r="BX122" i="5"/>
  <c r="BW122" i="5"/>
  <c r="BZ121" i="5"/>
  <c r="BX121" i="5"/>
  <c r="BW121" i="5"/>
  <c r="BZ120" i="5"/>
  <c r="BX120" i="5"/>
  <c r="BW120" i="5"/>
  <c r="BZ119" i="5"/>
  <c r="BX119" i="5"/>
  <c r="BW119" i="5"/>
  <c r="CA118" i="5"/>
  <c r="BZ118" i="5"/>
  <c r="BX118" i="5"/>
  <c r="BW118" i="5"/>
  <c r="CA117" i="5"/>
  <c r="BZ117" i="5"/>
  <c r="BX117" i="5"/>
  <c r="BW117" i="5"/>
  <c r="CA116" i="5"/>
  <c r="BZ116" i="5"/>
  <c r="BX116" i="5"/>
  <c r="BW116" i="5"/>
  <c r="CA115" i="5"/>
  <c r="BZ115" i="5"/>
  <c r="BX115" i="5"/>
  <c r="BW115" i="5"/>
  <c r="CA114" i="5"/>
  <c r="BZ114" i="5"/>
  <c r="BX114" i="5"/>
  <c r="BW114" i="5"/>
  <c r="CA113" i="5"/>
  <c r="BZ113" i="5"/>
  <c r="BX113" i="5"/>
  <c r="BW113" i="5"/>
  <c r="CA112" i="5"/>
  <c r="BZ112" i="5"/>
  <c r="BX112" i="5"/>
  <c r="BW112" i="5"/>
  <c r="CA111" i="5"/>
  <c r="BZ111" i="5"/>
  <c r="BX111" i="5"/>
  <c r="BW111" i="5"/>
  <c r="CA110" i="5"/>
  <c r="BZ110" i="5"/>
  <c r="BX110" i="5"/>
  <c r="BW110" i="5"/>
  <c r="CA109" i="5"/>
  <c r="BZ109" i="5"/>
  <c r="BX109" i="5"/>
  <c r="BW109" i="5"/>
  <c r="CA108" i="5"/>
  <c r="BZ108" i="5"/>
  <c r="BX108" i="5"/>
  <c r="BW108" i="5"/>
  <c r="CA107" i="5"/>
  <c r="BZ107" i="5"/>
  <c r="BX107" i="5"/>
  <c r="BW107" i="5"/>
  <c r="CA106" i="5"/>
  <c r="BZ106" i="5"/>
  <c r="BX106" i="5"/>
  <c r="BW106" i="5"/>
  <c r="CA105" i="5"/>
  <c r="BZ105" i="5"/>
  <c r="BX105" i="5"/>
  <c r="BW105" i="5"/>
  <c r="CA104" i="5"/>
  <c r="BZ104" i="5"/>
  <c r="BX104" i="5"/>
  <c r="BW104" i="5"/>
  <c r="CA103" i="5"/>
  <c r="BZ103" i="5"/>
  <c r="BX103" i="5"/>
  <c r="BW103" i="5"/>
  <c r="CA102" i="5"/>
  <c r="BZ102" i="5"/>
  <c r="BX102" i="5"/>
  <c r="BW102" i="5"/>
  <c r="CA101" i="5"/>
  <c r="BZ101" i="5"/>
  <c r="BX101" i="5"/>
  <c r="BW101" i="5"/>
  <c r="CA100" i="5"/>
  <c r="BZ100" i="5"/>
  <c r="BX100" i="5"/>
  <c r="BW100" i="5"/>
  <c r="CA99" i="5"/>
  <c r="BZ99" i="5"/>
  <c r="BX99" i="5"/>
  <c r="BW99" i="5"/>
  <c r="CA98" i="5"/>
  <c r="BZ98" i="5"/>
  <c r="BX98" i="5"/>
  <c r="BW98" i="5"/>
  <c r="CA97" i="5"/>
  <c r="BZ97" i="5"/>
  <c r="BX97" i="5"/>
  <c r="BW97" i="5"/>
  <c r="CA96" i="5"/>
  <c r="BZ96" i="5"/>
  <c r="BX96" i="5"/>
  <c r="BW96" i="5"/>
  <c r="CA95" i="5"/>
  <c r="BZ95" i="5"/>
  <c r="BX95" i="5"/>
  <c r="BW95" i="5"/>
  <c r="CA94" i="5"/>
  <c r="BZ94" i="5"/>
  <c r="BX94" i="5"/>
  <c r="BW94" i="5"/>
  <c r="CA93" i="5"/>
  <c r="BZ93" i="5"/>
  <c r="BX93" i="5"/>
  <c r="BW93" i="5"/>
  <c r="CA92" i="5"/>
  <c r="BZ92" i="5"/>
  <c r="BX92" i="5"/>
  <c r="BW92" i="5"/>
  <c r="CA91" i="5"/>
  <c r="BZ91" i="5"/>
  <c r="BX91" i="5"/>
  <c r="BW91" i="5"/>
  <c r="CA90" i="5"/>
  <c r="BZ90" i="5"/>
  <c r="BX90" i="5"/>
  <c r="BW90" i="5"/>
  <c r="CA89" i="5"/>
  <c r="BZ89" i="5"/>
  <c r="BX89" i="5"/>
  <c r="BW89" i="5"/>
  <c r="CA88" i="5"/>
  <c r="BZ88" i="5"/>
  <c r="BX88" i="5"/>
  <c r="BW88" i="5"/>
  <c r="CA87" i="5"/>
  <c r="BZ87" i="5"/>
  <c r="BX87" i="5"/>
  <c r="BW87" i="5"/>
  <c r="CA86" i="5"/>
  <c r="BZ86" i="5"/>
  <c r="BX86" i="5"/>
  <c r="BW86" i="5"/>
  <c r="CA85" i="5"/>
  <c r="BZ85" i="5"/>
  <c r="BX85" i="5"/>
  <c r="BW85" i="5"/>
  <c r="CA84" i="5"/>
  <c r="BZ84" i="5"/>
  <c r="BX84" i="5"/>
  <c r="BW84" i="5"/>
  <c r="CA83" i="5"/>
  <c r="BZ83" i="5"/>
  <c r="BX83" i="5"/>
  <c r="BW83" i="5"/>
  <c r="CA82" i="5"/>
  <c r="BZ82" i="5"/>
  <c r="BX82" i="5"/>
  <c r="BW82" i="5"/>
  <c r="CA81" i="5"/>
  <c r="BZ81" i="5"/>
  <c r="BX81" i="5"/>
  <c r="BW81" i="5"/>
  <c r="CA80" i="5"/>
  <c r="BZ80" i="5"/>
  <c r="BX80" i="5"/>
  <c r="BW80" i="5"/>
  <c r="CA79" i="5"/>
  <c r="BZ79" i="5"/>
  <c r="BX79" i="5"/>
  <c r="BW79" i="5"/>
  <c r="CA78" i="5"/>
  <c r="BZ78" i="5"/>
  <c r="BX78" i="5"/>
  <c r="BW78" i="5"/>
  <c r="CA77" i="5"/>
  <c r="BZ77" i="5"/>
  <c r="BX77" i="5"/>
  <c r="BW77" i="5"/>
  <c r="CA76" i="5"/>
  <c r="BZ76" i="5"/>
  <c r="BX76" i="5"/>
  <c r="BW76" i="5"/>
  <c r="CA75" i="5"/>
  <c r="BZ75" i="5"/>
  <c r="BX75" i="5"/>
  <c r="BW75" i="5"/>
  <c r="CA74" i="5"/>
  <c r="BZ74" i="5"/>
  <c r="BX74" i="5"/>
  <c r="BW74" i="5"/>
  <c r="CA73" i="5"/>
  <c r="BZ73" i="5"/>
  <c r="BX73" i="5"/>
  <c r="BW73" i="5"/>
  <c r="CA72" i="5"/>
  <c r="BZ72" i="5"/>
  <c r="BX72" i="5"/>
  <c r="BW72" i="5"/>
  <c r="CA71" i="5"/>
  <c r="BZ71" i="5"/>
  <c r="BX71" i="5"/>
  <c r="BW71" i="5"/>
  <c r="CA70" i="5"/>
  <c r="BZ70" i="5"/>
  <c r="BX70" i="5"/>
  <c r="BW70" i="5"/>
  <c r="CA69" i="5"/>
  <c r="BZ69" i="5"/>
  <c r="BX69" i="5"/>
  <c r="BW69" i="5"/>
  <c r="CA68" i="5"/>
  <c r="BZ68" i="5"/>
  <c r="BX68" i="5"/>
  <c r="BW68" i="5"/>
  <c r="CA67" i="5"/>
  <c r="BZ67" i="5"/>
  <c r="BX67" i="5"/>
  <c r="BW67" i="5"/>
  <c r="CA66" i="5"/>
  <c r="BZ66" i="5"/>
  <c r="BX66" i="5"/>
  <c r="BW66" i="5"/>
  <c r="BZ65" i="5"/>
  <c r="BX65" i="5"/>
  <c r="BW65" i="5"/>
  <c r="BZ64" i="5"/>
  <c r="BX64" i="5"/>
  <c r="BW64" i="5"/>
  <c r="BZ63" i="5"/>
  <c r="BX63" i="5"/>
  <c r="BW63" i="5"/>
  <c r="BZ62" i="5"/>
  <c r="BX62" i="5"/>
  <c r="BW62" i="5"/>
  <c r="BZ61" i="5"/>
  <c r="BX61" i="5"/>
  <c r="BW61" i="5"/>
  <c r="BZ60" i="5"/>
  <c r="BX60" i="5"/>
  <c r="BW60" i="5"/>
  <c r="BZ59" i="5"/>
  <c r="BX59" i="5"/>
  <c r="BW59" i="5"/>
  <c r="BZ58" i="5"/>
  <c r="BX58" i="5"/>
  <c r="BW58" i="5"/>
  <c r="BZ57" i="5"/>
  <c r="BX57" i="5"/>
  <c r="BW57" i="5"/>
  <c r="BZ56" i="5"/>
  <c r="BX56" i="5"/>
  <c r="BW56" i="5"/>
  <c r="BZ55" i="5"/>
  <c r="BY55" i="5"/>
  <c r="BX55" i="5"/>
  <c r="BW55" i="5"/>
  <c r="BZ54" i="5"/>
  <c r="BY54" i="5"/>
  <c r="BX54" i="5"/>
  <c r="BW54" i="5"/>
  <c r="CA53" i="5"/>
  <c r="BZ53" i="5"/>
  <c r="BY53" i="5"/>
  <c r="BX53" i="5"/>
  <c r="BW53" i="5"/>
  <c r="CA52" i="5"/>
  <c r="BZ52" i="5"/>
  <c r="BY52" i="5"/>
  <c r="BX52" i="5"/>
  <c r="BW52" i="5"/>
  <c r="CA51" i="5"/>
  <c r="BZ51" i="5"/>
  <c r="BY51" i="5"/>
  <c r="BX51" i="5"/>
  <c r="BW51" i="5"/>
  <c r="CA50" i="5"/>
  <c r="BZ50" i="5"/>
  <c r="BY50" i="5"/>
  <c r="BX50" i="5"/>
  <c r="BW50" i="5"/>
  <c r="CA49" i="5"/>
  <c r="BZ49" i="5"/>
  <c r="BY49" i="5"/>
  <c r="BX49" i="5"/>
  <c r="BW49" i="5"/>
  <c r="CA48" i="5"/>
  <c r="BZ48" i="5"/>
  <c r="BY48" i="5"/>
  <c r="BX48" i="5"/>
  <c r="BW48" i="5"/>
  <c r="CA47" i="5"/>
  <c r="BZ47" i="5"/>
  <c r="BY47" i="5"/>
  <c r="BX47" i="5"/>
  <c r="BW47" i="5"/>
  <c r="CA46" i="5"/>
  <c r="BZ46" i="5"/>
  <c r="BY46" i="5"/>
  <c r="BX46" i="5"/>
  <c r="BW46" i="5"/>
  <c r="CA45" i="5"/>
  <c r="BZ45" i="5"/>
  <c r="BY45" i="5"/>
  <c r="BX45" i="5"/>
  <c r="BW45" i="5"/>
  <c r="CA44" i="5"/>
  <c r="BZ44" i="5"/>
  <c r="BY44" i="5"/>
  <c r="BX44" i="5"/>
  <c r="BW44" i="5"/>
  <c r="CA43" i="5"/>
  <c r="BZ43" i="5"/>
  <c r="BY43" i="5"/>
  <c r="BX43" i="5"/>
  <c r="BW43" i="5"/>
  <c r="CA42" i="5"/>
  <c r="BZ42" i="5"/>
  <c r="BY42" i="5"/>
  <c r="BX42" i="5"/>
  <c r="BW42" i="5"/>
  <c r="CA41" i="5"/>
  <c r="BZ41" i="5"/>
  <c r="BY41" i="5"/>
  <c r="BX41" i="5"/>
  <c r="BW41" i="5"/>
  <c r="CA40" i="5"/>
  <c r="BZ40" i="5"/>
  <c r="BY40" i="5"/>
  <c r="BX40" i="5"/>
  <c r="BW40" i="5"/>
  <c r="CA39" i="5"/>
  <c r="BZ39" i="5"/>
  <c r="BY39" i="5"/>
  <c r="BX39" i="5"/>
  <c r="BW39" i="5"/>
  <c r="CA38" i="5"/>
  <c r="BZ38" i="5"/>
  <c r="BY38" i="5"/>
  <c r="BX38" i="5"/>
  <c r="BW38" i="5"/>
  <c r="CA37" i="5"/>
  <c r="BZ37" i="5"/>
  <c r="BY37" i="5"/>
  <c r="BX37" i="5"/>
  <c r="BW37" i="5"/>
  <c r="CA36" i="5"/>
  <c r="BZ36" i="5"/>
  <c r="BY36" i="5"/>
  <c r="BX36" i="5"/>
  <c r="BW36" i="5"/>
  <c r="CA35" i="5"/>
  <c r="BZ35" i="5"/>
  <c r="BY35" i="5"/>
  <c r="BX35" i="5"/>
  <c r="BW35" i="5"/>
  <c r="CA34" i="5"/>
  <c r="BZ34" i="5"/>
  <c r="BY34" i="5"/>
  <c r="BX34" i="5"/>
  <c r="BW34" i="5"/>
  <c r="CA33" i="5"/>
  <c r="BZ33" i="5"/>
  <c r="BY33" i="5"/>
  <c r="BX33" i="5"/>
  <c r="BW33" i="5"/>
  <c r="CA32" i="5"/>
  <c r="BZ32" i="5"/>
  <c r="BY32" i="5"/>
  <c r="BX32" i="5"/>
  <c r="BW32" i="5"/>
  <c r="CA31" i="5"/>
  <c r="BZ31" i="5"/>
  <c r="BY31" i="5"/>
  <c r="BX31" i="5"/>
  <c r="BW31" i="5"/>
  <c r="CA30" i="5"/>
  <c r="BZ30" i="5"/>
  <c r="BY30" i="5"/>
  <c r="BX30" i="5"/>
  <c r="BW30" i="5"/>
  <c r="CA29" i="5"/>
  <c r="BZ29" i="5"/>
  <c r="BY29" i="5"/>
  <c r="BX29" i="5"/>
  <c r="BW29" i="5"/>
  <c r="BZ28" i="5"/>
  <c r="BY28" i="5"/>
  <c r="BX28" i="5"/>
  <c r="BW28" i="5"/>
  <c r="BZ27" i="5"/>
  <c r="BY27" i="5"/>
  <c r="BX27" i="5"/>
  <c r="BW27" i="5"/>
  <c r="BZ26" i="5"/>
  <c r="BY26" i="5"/>
  <c r="BX26" i="5"/>
  <c r="BW26" i="5"/>
  <c r="BZ25" i="5"/>
  <c r="BY25" i="5"/>
  <c r="BX25" i="5"/>
  <c r="BW25" i="5"/>
  <c r="AR143" i="5"/>
  <c r="AP143" i="5"/>
  <c r="AO143" i="5"/>
  <c r="AR142" i="5"/>
  <c r="AP142" i="5"/>
  <c r="AO142" i="5"/>
  <c r="AR141" i="5"/>
  <c r="AP141" i="5"/>
  <c r="AO141" i="5"/>
  <c r="AR140" i="5"/>
  <c r="AP140" i="5"/>
  <c r="AO140" i="5"/>
  <c r="AR139" i="5"/>
  <c r="AP139" i="5"/>
  <c r="AO139" i="5"/>
  <c r="AR138" i="5"/>
  <c r="AP138" i="5"/>
  <c r="AO138" i="5"/>
  <c r="AR137" i="5"/>
  <c r="AQ137" i="5"/>
  <c r="AP137" i="5"/>
  <c r="AO137" i="5"/>
  <c r="AR136" i="5"/>
  <c r="AQ136" i="5"/>
  <c r="AP136" i="5"/>
  <c r="AO136" i="5"/>
  <c r="AR135" i="5"/>
  <c r="AQ135" i="5"/>
  <c r="AP135" i="5"/>
  <c r="AO135" i="5"/>
  <c r="AR134" i="5"/>
  <c r="AQ134" i="5"/>
  <c r="AP134" i="5"/>
  <c r="AO134" i="5"/>
  <c r="AR133" i="5"/>
  <c r="AQ133" i="5"/>
  <c r="AP133" i="5"/>
  <c r="AO133" i="5"/>
  <c r="AR132" i="5"/>
  <c r="AQ132" i="5"/>
  <c r="AP132" i="5"/>
  <c r="AO132" i="5"/>
  <c r="AR131" i="5"/>
  <c r="AQ131" i="5"/>
  <c r="AP131" i="5"/>
  <c r="AO131" i="5"/>
  <c r="AR130" i="5"/>
  <c r="AQ130" i="5"/>
  <c r="AP130" i="5"/>
  <c r="AO130" i="5"/>
  <c r="AR129" i="5"/>
  <c r="AQ129" i="5"/>
  <c r="AP129" i="5"/>
  <c r="AO129" i="5"/>
  <c r="AR128" i="5"/>
  <c r="AQ128" i="5"/>
  <c r="AP128" i="5"/>
  <c r="AO128" i="5"/>
  <c r="AR127" i="5"/>
  <c r="AQ127" i="5"/>
  <c r="AP127" i="5"/>
  <c r="AO127" i="5"/>
  <c r="AR126" i="5"/>
  <c r="AQ126" i="5"/>
  <c r="AP126" i="5"/>
  <c r="AO126" i="5"/>
  <c r="AR125" i="5"/>
  <c r="AQ125" i="5"/>
  <c r="AP125" i="5"/>
  <c r="AO125" i="5"/>
  <c r="AR124" i="5"/>
  <c r="AQ124" i="5"/>
  <c r="AP124" i="5"/>
  <c r="AO124" i="5"/>
  <c r="AR123" i="5"/>
  <c r="AQ123" i="5"/>
  <c r="AP123" i="5"/>
  <c r="AO123" i="5"/>
  <c r="AR122" i="5"/>
  <c r="AQ122" i="5"/>
  <c r="AP122" i="5"/>
  <c r="AO122" i="5"/>
  <c r="AR121" i="5"/>
  <c r="AQ121" i="5"/>
  <c r="AP121" i="5"/>
  <c r="AO121" i="5"/>
  <c r="AR120" i="5"/>
  <c r="AQ120" i="5"/>
  <c r="AP120" i="5"/>
  <c r="AO120" i="5"/>
  <c r="AR119" i="5"/>
  <c r="AQ119" i="5"/>
  <c r="AP119" i="5"/>
  <c r="AO119" i="5"/>
  <c r="AS118" i="5"/>
  <c r="AR118" i="5"/>
  <c r="AQ118" i="5"/>
  <c r="AP118" i="5"/>
  <c r="AO118" i="5"/>
  <c r="AS117" i="5"/>
  <c r="AR117" i="5"/>
  <c r="AQ117" i="5"/>
  <c r="AP117" i="5"/>
  <c r="AO117" i="5"/>
  <c r="AS116" i="5"/>
  <c r="AR116" i="5"/>
  <c r="AQ116" i="5"/>
  <c r="AP116" i="5"/>
  <c r="AO116" i="5"/>
  <c r="AS115" i="5"/>
  <c r="AR115" i="5"/>
  <c r="AQ115" i="5"/>
  <c r="AP115" i="5"/>
  <c r="AO115" i="5"/>
  <c r="AS114" i="5"/>
  <c r="AR114" i="5"/>
  <c r="AQ114" i="5"/>
  <c r="AP114" i="5"/>
  <c r="AO114" i="5"/>
  <c r="AS113" i="5"/>
  <c r="AR113" i="5"/>
  <c r="AQ113" i="5"/>
  <c r="AP113" i="5"/>
  <c r="AO113" i="5"/>
  <c r="AS112" i="5"/>
  <c r="AR112" i="5"/>
  <c r="AQ112" i="5"/>
  <c r="AP112" i="5"/>
  <c r="AO112" i="5"/>
  <c r="AS111" i="5"/>
  <c r="AR111" i="5"/>
  <c r="AQ111" i="5"/>
  <c r="AP111" i="5"/>
  <c r="AO111" i="5"/>
  <c r="AS110" i="5"/>
  <c r="AR110" i="5"/>
  <c r="AQ110" i="5"/>
  <c r="AP110" i="5"/>
  <c r="AO110" i="5"/>
  <c r="AS109" i="5"/>
  <c r="AR109" i="5"/>
  <c r="AQ109" i="5"/>
  <c r="AP109" i="5"/>
  <c r="AO109" i="5"/>
  <c r="AS108" i="5"/>
  <c r="AR108" i="5"/>
  <c r="AQ108" i="5"/>
  <c r="AP108" i="5"/>
  <c r="AO108" i="5"/>
  <c r="AS107" i="5"/>
  <c r="AR107" i="5"/>
  <c r="AQ107" i="5"/>
  <c r="AP107" i="5"/>
  <c r="AO107" i="5"/>
  <c r="AS106" i="5"/>
  <c r="AR106" i="5"/>
  <c r="AQ106" i="5"/>
  <c r="AP106" i="5"/>
  <c r="AO106" i="5"/>
  <c r="AS105" i="5"/>
  <c r="AR105" i="5"/>
  <c r="AQ105" i="5"/>
  <c r="AP105" i="5"/>
  <c r="AO105" i="5"/>
  <c r="AS104" i="5"/>
  <c r="AR104" i="5"/>
  <c r="AQ104" i="5"/>
  <c r="AP104" i="5"/>
  <c r="AO104" i="5"/>
  <c r="AS103" i="5"/>
  <c r="AR103" i="5"/>
  <c r="AQ103" i="5"/>
  <c r="AP103" i="5"/>
  <c r="AO103" i="5"/>
  <c r="AS102" i="5"/>
  <c r="AR102" i="5"/>
  <c r="AQ102" i="5"/>
  <c r="AP102" i="5"/>
  <c r="AO102" i="5"/>
  <c r="AS101" i="5"/>
  <c r="AR101" i="5"/>
  <c r="AQ101" i="5"/>
  <c r="AP101" i="5"/>
  <c r="AO101" i="5"/>
  <c r="AS100" i="5"/>
  <c r="AR100" i="5"/>
  <c r="AQ100" i="5"/>
  <c r="AP100" i="5"/>
  <c r="AO100" i="5"/>
  <c r="AS99" i="5"/>
  <c r="AR99" i="5"/>
  <c r="AQ99" i="5"/>
  <c r="AP99" i="5"/>
  <c r="AO99" i="5"/>
  <c r="AS98" i="5"/>
  <c r="AR98" i="5"/>
  <c r="AQ98" i="5"/>
  <c r="AP98" i="5"/>
  <c r="AO98" i="5"/>
  <c r="AS97" i="5"/>
  <c r="AR97" i="5"/>
  <c r="AQ97" i="5"/>
  <c r="AP97" i="5"/>
  <c r="AO97" i="5"/>
  <c r="AS96" i="5"/>
  <c r="AR96" i="5"/>
  <c r="AQ96" i="5"/>
  <c r="AP96" i="5"/>
  <c r="AO96" i="5"/>
  <c r="AS95" i="5"/>
  <c r="AR95" i="5"/>
  <c r="AQ95" i="5"/>
  <c r="AP95" i="5"/>
  <c r="AO95" i="5"/>
  <c r="AS94" i="5"/>
  <c r="AR94" i="5"/>
  <c r="AQ94" i="5"/>
  <c r="AP94" i="5"/>
  <c r="AO94" i="5"/>
  <c r="AS93" i="5"/>
  <c r="AR93" i="5"/>
  <c r="AQ93" i="5"/>
  <c r="AP93" i="5"/>
  <c r="AO93" i="5"/>
  <c r="AS92" i="5"/>
  <c r="AR92" i="5"/>
  <c r="AQ92" i="5"/>
  <c r="AP92" i="5"/>
  <c r="AO92" i="5"/>
  <c r="AS91" i="5"/>
  <c r="AR91" i="5"/>
  <c r="AQ91" i="5"/>
  <c r="AP91" i="5"/>
  <c r="AO91" i="5"/>
  <c r="AS90" i="5"/>
  <c r="AR90" i="5"/>
  <c r="AQ90" i="5"/>
  <c r="AP90" i="5"/>
  <c r="AO90" i="5"/>
  <c r="AS89" i="5"/>
  <c r="AR89" i="5"/>
  <c r="AQ89" i="5"/>
  <c r="AP89" i="5"/>
  <c r="AO89" i="5"/>
  <c r="AS88" i="5"/>
  <c r="AR88" i="5"/>
  <c r="AQ88" i="5"/>
  <c r="AP88" i="5"/>
  <c r="AO88" i="5"/>
  <c r="AS87" i="5"/>
  <c r="AR87" i="5"/>
  <c r="AQ87" i="5"/>
  <c r="AP87" i="5"/>
  <c r="AO87" i="5"/>
  <c r="AS86" i="5"/>
  <c r="AR86" i="5"/>
  <c r="AQ86" i="5"/>
  <c r="AP86" i="5"/>
  <c r="AO86" i="5"/>
  <c r="AS85" i="5"/>
  <c r="AR85" i="5"/>
  <c r="AQ85" i="5"/>
  <c r="AP85" i="5"/>
  <c r="AO85" i="5"/>
  <c r="AS84" i="5"/>
  <c r="AR84" i="5"/>
  <c r="AQ84" i="5"/>
  <c r="AP84" i="5"/>
  <c r="AO84" i="5"/>
  <c r="AS83" i="5"/>
  <c r="AR83" i="5"/>
  <c r="AQ83" i="5"/>
  <c r="AP83" i="5"/>
  <c r="AO83" i="5"/>
  <c r="AS82" i="5"/>
  <c r="AR82" i="5"/>
  <c r="AQ82" i="5"/>
  <c r="AP82" i="5"/>
  <c r="AO82" i="5"/>
  <c r="AS81" i="5"/>
  <c r="AR81" i="5"/>
  <c r="AQ81" i="5"/>
  <c r="AP81" i="5"/>
  <c r="AO81" i="5"/>
  <c r="AS80" i="5"/>
  <c r="AR80" i="5"/>
  <c r="AQ80" i="5"/>
  <c r="AP80" i="5"/>
  <c r="AO80" i="5"/>
  <c r="AS79" i="5"/>
  <c r="AR79" i="5"/>
  <c r="AQ79" i="5"/>
  <c r="AP79" i="5"/>
  <c r="AO79" i="5"/>
  <c r="AS78" i="5"/>
  <c r="AR78" i="5"/>
  <c r="AQ78" i="5"/>
  <c r="AP78" i="5"/>
  <c r="AO78" i="5"/>
  <c r="AS77" i="5"/>
  <c r="AR77" i="5"/>
  <c r="AQ77" i="5"/>
  <c r="AP77" i="5"/>
  <c r="AO77" i="5"/>
  <c r="AS76" i="5"/>
  <c r="AR76" i="5"/>
  <c r="AQ76" i="5"/>
  <c r="AP76" i="5"/>
  <c r="AO76" i="5"/>
  <c r="AS75" i="5"/>
  <c r="AR75" i="5"/>
  <c r="AQ75" i="5"/>
  <c r="AP75" i="5"/>
  <c r="AO75" i="5"/>
  <c r="AS74" i="5"/>
  <c r="AR74" i="5"/>
  <c r="AQ74" i="5"/>
  <c r="AP74" i="5"/>
  <c r="AO74" i="5"/>
  <c r="AS73" i="5"/>
  <c r="AR73" i="5"/>
  <c r="AQ73" i="5"/>
  <c r="AP73" i="5"/>
  <c r="AO73" i="5"/>
  <c r="AS72" i="5"/>
  <c r="AR72" i="5"/>
  <c r="AQ72" i="5"/>
  <c r="AP72" i="5"/>
  <c r="AO72" i="5"/>
  <c r="AS71" i="5"/>
  <c r="AR71" i="5"/>
  <c r="AQ71" i="5"/>
  <c r="AP71" i="5"/>
  <c r="AO71" i="5"/>
  <c r="AS70" i="5"/>
  <c r="AR70" i="5"/>
  <c r="AQ70" i="5"/>
  <c r="AP70" i="5"/>
  <c r="AO70" i="5"/>
  <c r="AS69" i="5"/>
  <c r="AR69" i="5"/>
  <c r="AQ69" i="5"/>
  <c r="AP69" i="5"/>
  <c r="AO69" i="5"/>
  <c r="AS68" i="5"/>
  <c r="AR68" i="5"/>
  <c r="AQ68" i="5"/>
  <c r="AP68" i="5"/>
  <c r="AO68" i="5"/>
  <c r="AS67" i="5"/>
  <c r="AR67" i="5"/>
  <c r="AQ67" i="5"/>
  <c r="AP67" i="5"/>
  <c r="AO67" i="5"/>
  <c r="AS66" i="5"/>
  <c r="AR66" i="5"/>
  <c r="AQ66" i="5"/>
  <c r="AP66" i="5"/>
  <c r="AO66" i="5"/>
  <c r="AR65" i="5"/>
  <c r="AQ65" i="5"/>
  <c r="AP65" i="5"/>
  <c r="AO65" i="5"/>
  <c r="AR64" i="5"/>
  <c r="AQ64" i="5"/>
  <c r="AP64" i="5"/>
  <c r="AO64" i="5"/>
  <c r="AR63" i="5"/>
  <c r="AQ63" i="5"/>
  <c r="AP63" i="5"/>
  <c r="AO63" i="5"/>
  <c r="AR62" i="5"/>
  <c r="AQ62" i="5"/>
  <c r="AP62" i="5"/>
  <c r="AO62" i="5"/>
  <c r="AR61" i="5"/>
  <c r="AQ61" i="5"/>
  <c r="AP61" i="5"/>
  <c r="AO61" i="5"/>
  <c r="AR60" i="5"/>
  <c r="AQ60" i="5"/>
  <c r="AP60" i="5"/>
  <c r="AO60" i="5"/>
  <c r="AR59" i="5"/>
  <c r="AQ59" i="5"/>
  <c r="AP59" i="5"/>
  <c r="AO59" i="5"/>
  <c r="AR58" i="5"/>
  <c r="AQ58" i="5"/>
  <c r="AP58" i="5"/>
  <c r="AO58" i="5"/>
  <c r="AR57" i="5"/>
  <c r="AQ57" i="5"/>
  <c r="AP57" i="5"/>
  <c r="AO57" i="5"/>
  <c r="AR56" i="5"/>
  <c r="AQ56" i="5"/>
  <c r="AP56" i="5"/>
  <c r="AO56" i="5"/>
  <c r="AR55" i="5"/>
  <c r="AQ55" i="5"/>
  <c r="AP55" i="5"/>
  <c r="AO55" i="5"/>
  <c r="AR54" i="5"/>
  <c r="AQ54" i="5"/>
  <c r="AP54" i="5"/>
  <c r="AO54" i="5"/>
  <c r="AS53" i="5"/>
  <c r="AR53" i="5"/>
  <c r="AQ53" i="5"/>
  <c r="AP53" i="5"/>
  <c r="AO53" i="5"/>
  <c r="AS52" i="5"/>
  <c r="AR52" i="5"/>
  <c r="AQ52" i="5"/>
  <c r="AP52" i="5"/>
  <c r="AO52" i="5"/>
  <c r="AS51" i="5"/>
  <c r="AR51" i="5"/>
  <c r="AQ51" i="5"/>
  <c r="AP51" i="5"/>
  <c r="AO51" i="5"/>
  <c r="AS50" i="5"/>
  <c r="AR50" i="5"/>
  <c r="AQ50" i="5"/>
  <c r="AP50" i="5"/>
  <c r="AO50" i="5"/>
  <c r="AS49" i="5"/>
  <c r="AR49" i="5"/>
  <c r="AQ49" i="5"/>
  <c r="AP49" i="5"/>
  <c r="AO49" i="5"/>
  <c r="AS48" i="5"/>
  <c r="AR48" i="5"/>
  <c r="AQ48" i="5"/>
  <c r="AP48" i="5"/>
  <c r="AO48" i="5"/>
  <c r="AS47" i="5"/>
  <c r="AR47" i="5"/>
  <c r="AQ47" i="5"/>
  <c r="AP47" i="5"/>
  <c r="AO47" i="5"/>
  <c r="AS46" i="5"/>
  <c r="AR46" i="5"/>
  <c r="AQ46" i="5"/>
  <c r="AP46" i="5"/>
  <c r="AO46" i="5"/>
  <c r="AS45" i="5"/>
  <c r="AR45" i="5"/>
  <c r="AQ45" i="5"/>
  <c r="AP45" i="5"/>
  <c r="AO45" i="5"/>
  <c r="AS44" i="5"/>
  <c r="AR44" i="5"/>
  <c r="AQ44" i="5"/>
  <c r="AP44" i="5"/>
  <c r="AO44" i="5"/>
  <c r="AS43" i="5"/>
  <c r="AR43" i="5"/>
  <c r="AQ43" i="5"/>
  <c r="AP43" i="5"/>
  <c r="AO43" i="5"/>
  <c r="AS42" i="5"/>
  <c r="AR42" i="5"/>
  <c r="AQ42" i="5"/>
  <c r="AP42" i="5"/>
  <c r="AO42" i="5"/>
  <c r="AS41" i="5"/>
  <c r="AR41" i="5"/>
  <c r="AQ41" i="5"/>
  <c r="AP41" i="5"/>
  <c r="AO41" i="5"/>
  <c r="AS40" i="5"/>
  <c r="AR40" i="5"/>
  <c r="AQ40" i="5"/>
  <c r="AP40" i="5"/>
  <c r="AO40" i="5"/>
  <c r="AS39" i="5"/>
  <c r="AR39" i="5"/>
  <c r="AQ39" i="5"/>
  <c r="AP39" i="5"/>
  <c r="AO39" i="5"/>
  <c r="AS38" i="5"/>
  <c r="AR38" i="5"/>
  <c r="AQ38" i="5"/>
  <c r="AP38" i="5"/>
  <c r="AO38" i="5"/>
  <c r="AS37" i="5"/>
  <c r="AR37" i="5"/>
  <c r="AQ37" i="5"/>
  <c r="AP37" i="5"/>
  <c r="AO37" i="5"/>
  <c r="AS36" i="5"/>
  <c r="AR36" i="5"/>
  <c r="AQ36" i="5"/>
  <c r="AP36" i="5"/>
  <c r="AO36" i="5"/>
  <c r="AS35" i="5"/>
  <c r="AR35" i="5"/>
  <c r="AQ35" i="5"/>
  <c r="AP35" i="5"/>
  <c r="AO35" i="5"/>
  <c r="AS34" i="5"/>
  <c r="AR34" i="5"/>
  <c r="AQ34" i="5"/>
  <c r="AP34" i="5"/>
  <c r="AO34" i="5"/>
  <c r="AS33" i="5"/>
  <c r="AR33" i="5"/>
  <c r="AQ33" i="5"/>
  <c r="AP33" i="5"/>
  <c r="AO33" i="5"/>
  <c r="AS32" i="5"/>
  <c r="AR32" i="5"/>
  <c r="AQ32" i="5"/>
  <c r="AP32" i="5"/>
  <c r="AO32" i="5"/>
  <c r="AS31" i="5"/>
  <c r="AR31" i="5"/>
  <c r="AQ31" i="5"/>
  <c r="AP31" i="5"/>
  <c r="AO31" i="5"/>
  <c r="AS30" i="5"/>
  <c r="AR30" i="5"/>
  <c r="AQ30" i="5"/>
  <c r="AP30" i="5"/>
  <c r="AO30" i="5"/>
  <c r="AS29" i="5"/>
  <c r="AR29" i="5"/>
  <c r="AQ29" i="5"/>
  <c r="AP29" i="5"/>
  <c r="AO29" i="5"/>
  <c r="AR28" i="5"/>
  <c r="AQ28" i="5"/>
  <c r="AP28" i="5"/>
  <c r="AO28" i="5"/>
  <c r="AR27" i="5"/>
  <c r="AQ27" i="5"/>
  <c r="AP27" i="5"/>
  <c r="AO27" i="5"/>
  <c r="AR26" i="5"/>
  <c r="AQ26" i="5"/>
  <c r="AP26" i="5"/>
  <c r="AO26" i="5"/>
  <c r="AR25" i="5"/>
  <c r="AQ25" i="5"/>
  <c r="AP25" i="5"/>
  <c r="AO25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78" i="5"/>
  <c r="K79" i="5"/>
  <c r="K80" i="5"/>
  <c r="K81" i="5"/>
  <c r="K82" i="5"/>
  <c r="K83" i="5"/>
  <c r="K84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1" i="5"/>
  <c r="K142" i="5"/>
  <c r="K143" i="5"/>
  <c r="K144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25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25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26" i="5"/>
  <c r="H27" i="5"/>
  <c r="H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66" i="5"/>
  <c r="L67" i="5"/>
  <c r="L68" i="5"/>
  <c r="L69" i="5"/>
  <c r="L70" i="5"/>
  <c r="L71" i="5"/>
  <c r="L72" i="5"/>
  <c r="L73" i="5"/>
  <c r="L74" i="5"/>
  <c r="L75" i="5"/>
  <c r="L76" i="5"/>
  <c r="L77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91" i="5"/>
  <c r="L92" i="5"/>
  <c r="L93" i="5"/>
  <c r="L94" i="5"/>
  <c r="L95" i="5"/>
  <c r="L96" i="5"/>
  <c r="L97" i="5"/>
  <c r="L98" i="5"/>
  <c r="L99" i="5"/>
  <c r="L100" i="5"/>
  <c r="L101" i="5"/>
  <c r="L102" i="5"/>
  <c r="L103" i="5"/>
  <c r="L104" i="5"/>
  <c r="L105" i="5"/>
  <c r="L106" i="5"/>
  <c r="L107" i="5"/>
  <c r="L108" i="5"/>
  <c r="L109" i="5"/>
  <c r="L110" i="5"/>
  <c r="L111" i="5"/>
  <c r="L112" i="5"/>
  <c r="L113" i="5"/>
  <c r="L114" i="5"/>
  <c r="L115" i="5"/>
  <c r="L116" i="5"/>
  <c r="L117" i="5"/>
  <c r="L118" i="5"/>
  <c r="K47" i="1" l="1"/>
  <c r="K46" i="1"/>
  <c r="D46" i="1"/>
  <c r="C47" i="1" s="1"/>
  <c r="H47" i="1" s="1"/>
  <c r="I47" i="1" s="1"/>
  <c r="J47" i="1" s="1"/>
  <c r="C46" i="1"/>
  <c r="H46" i="1" s="1"/>
  <c r="I46" i="1" s="1"/>
  <c r="J46" i="1" s="1"/>
  <c r="K45" i="1"/>
  <c r="C45" i="1"/>
  <c r="H45" i="1" s="1"/>
  <c r="I45" i="1" s="1"/>
  <c r="J45" i="1" s="1"/>
  <c r="K44" i="1"/>
  <c r="C44" i="1"/>
  <c r="H44" i="1" s="1"/>
  <c r="I44" i="1" s="1"/>
  <c r="J44" i="1" s="1"/>
  <c r="K43" i="1"/>
  <c r="H43" i="1"/>
  <c r="I43" i="1" s="1"/>
  <c r="J43" i="1" s="1"/>
  <c r="C43" i="1"/>
  <c r="K42" i="1"/>
  <c r="C42" i="1"/>
  <c r="H42" i="1" s="1"/>
  <c r="I42" i="1" s="1"/>
  <c r="J42" i="1" s="1"/>
  <c r="K41" i="1"/>
  <c r="H41" i="1"/>
  <c r="I41" i="1" s="1"/>
  <c r="J41" i="1" s="1"/>
  <c r="C41" i="1"/>
  <c r="K40" i="1"/>
  <c r="H40" i="1"/>
  <c r="I40" i="1" s="1"/>
  <c r="J40" i="1" s="1"/>
  <c r="C40" i="1"/>
  <c r="K39" i="1"/>
  <c r="C39" i="1"/>
  <c r="H39" i="1" s="1"/>
  <c r="I39" i="1" s="1"/>
  <c r="J39" i="1" s="1"/>
  <c r="K38" i="1"/>
  <c r="C38" i="1"/>
  <c r="H38" i="1" s="1"/>
  <c r="I38" i="1" s="1"/>
  <c r="J38" i="1" s="1"/>
  <c r="K37" i="1"/>
  <c r="C37" i="1"/>
  <c r="H37" i="1" s="1"/>
  <c r="I37" i="1" s="1"/>
  <c r="J37" i="1" s="1"/>
  <c r="K36" i="1"/>
  <c r="C36" i="1"/>
  <c r="H36" i="1" s="1"/>
  <c r="I36" i="1" s="1"/>
  <c r="J36" i="1" s="1"/>
  <c r="K35" i="1"/>
  <c r="C35" i="1"/>
  <c r="H35" i="1" s="1"/>
  <c r="I35" i="1" s="1"/>
  <c r="J35" i="1" s="1"/>
  <c r="K34" i="1"/>
  <c r="C34" i="1"/>
  <c r="H34" i="1" s="1"/>
  <c r="I34" i="1" s="1"/>
  <c r="J34" i="1" s="1"/>
  <c r="K33" i="1"/>
  <c r="C33" i="1"/>
  <c r="H33" i="1" s="1"/>
  <c r="I33" i="1" s="1"/>
  <c r="J33" i="1" s="1"/>
  <c r="K32" i="1"/>
  <c r="C32" i="1"/>
  <c r="H32" i="1" s="1"/>
  <c r="I32" i="1" s="1"/>
  <c r="J32" i="1" s="1"/>
  <c r="K31" i="1"/>
  <c r="H31" i="1"/>
  <c r="I31" i="1" s="1"/>
  <c r="J31" i="1" s="1"/>
  <c r="C31" i="1"/>
  <c r="K30" i="1"/>
  <c r="C30" i="1"/>
  <c r="H30" i="1" s="1"/>
  <c r="I30" i="1" s="1"/>
  <c r="J30" i="1" s="1"/>
  <c r="K29" i="1"/>
  <c r="H29" i="1"/>
  <c r="I29" i="1" s="1"/>
  <c r="J29" i="1" s="1"/>
  <c r="C29" i="1"/>
  <c r="K28" i="1"/>
  <c r="H28" i="1"/>
  <c r="I28" i="1" s="1"/>
  <c r="J28" i="1" s="1"/>
  <c r="C28" i="1"/>
  <c r="K27" i="1"/>
  <c r="C27" i="1"/>
  <c r="H27" i="1" s="1"/>
  <c r="I27" i="1" s="1"/>
  <c r="J27" i="1" s="1"/>
  <c r="K26" i="1"/>
  <c r="C26" i="1"/>
  <c r="H26" i="1" s="1"/>
  <c r="I26" i="1" s="1"/>
  <c r="J26" i="1" s="1"/>
  <c r="K25" i="1"/>
  <c r="C25" i="1"/>
  <c r="H25" i="1" s="1"/>
  <c r="I25" i="1" s="1"/>
  <c r="J25" i="1" s="1"/>
  <c r="K24" i="1"/>
  <c r="C24" i="1"/>
  <c r="H24" i="1" s="1"/>
  <c r="I24" i="1" s="1"/>
  <c r="J24" i="1" s="1"/>
  <c r="K23" i="1"/>
  <c r="I23" i="1"/>
  <c r="J23" i="1" s="1"/>
  <c r="H23" i="1"/>
  <c r="D22" i="1"/>
  <c r="C2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<sst xmlns="http://schemas.openxmlformats.org/spreadsheetml/2006/main" count="595" uniqueCount="175">
  <si>
    <t xml:space="preserve">Paramerter </t>
  </si>
  <si>
    <t>Section</t>
  </si>
  <si>
    <t>Top</t>
  </si>
  <si>
    <t>Bottom</t>
  </si>
  <si>
    <t>D, top</t>
  </si>
  <si>
    <t>D, bottom</t>
  </si>
  <si>
    <t>t</t>
  </si>
  <si>
    <t>[m]</t>
  </si>
  <si>
    <t>[mm]</t>
  </si>
  <si>
    <t>Length</t>
  </si>
  <si>
    <t>Slope</t>
  </si>
  <si>
    <t>Weight</t>
  </si>
  <si>
    <t>D/t</t>
  </si>
  <si>
    <t>[°]</t>
  </si>
  <si>
    <t>[t]</t>
  </si>
  <si>
    <t>[-]</t>
  </si>
  <si>
    <t xml:space="preserve">Load from DB </t>
  </si>
  <si>
    <t>cd</t>
  </si>
  <si>
    <t>cm</t>
  </si>
  <si>
    <t>comment</t>
  </si>
  <si>
    <t>Marine Growth</t>
  </si>
  <si>
    <t>z_trans</t>
  </si>
  <si>
    <t>z_enbedded</t>
  </si>
  <si>
    <t>z_waterline</t>
  </si>
  <si>
    <t>z_max_slope</t>
  </si>
  <si>
    <t>z_min_slope</t>
  </si>
  <si>
    <t>Constrains</t>
  </si>
  <si>
    <t>Parameter</t>
  </si>
  <si>
    <t>min</t>
  </si>
  <si>
    <t>max</t>
  </si>
  <si>
    <t>len straight</t>
  </si>
  <si>
    <t>len sloped</t>
  </si>
  <si>
    <t xml:space="preserve">tapering </t>
  </si>
  <si>
    <t>slope</t>
  </si>
  <si>
    <t>weight straight</t>
  </si>
  <si>
    <t>weight sloped</t>
  </si>
  <si>
    <t>value</t>
  </si>
  <si>
    <t>dz_min</t>
  </si>
  <si>
    <t>dz_pref</t>
  </si>
  <si>
    <t>length_wiggleroom</t>
  </si>
  <si>
    <t>wiggle_side</t>
  </si>
  <si>
    <t>devison_mode</t>
  </si>
  <si>
    <t>Global Dimensions</t>
  </si>
  <si>
    <t xml:space="preserve">Generataion Fine Tuning </t>
  </si>
  <si>
    <t>explanation</t>
  </si>
  <si>
    <t>Generate</t>
  </si>
  <si>
    <t xml:space="preserve">Output Structure (read only) </t>
  </si>
  <si>
    <t>&lt;&lt;&lt;&lt;&lt;&lt;&lt;&lt;</t>
  </si>
  <si>
    <t>Plots</t>
  </si>
  <si>
    <t>LAT</t>
  </si>
  <si>
    <t>Have Excel interface to input boundary conditions, and to show output</t>
  </si>
  <si>
    <t>Read in MP Tool (geometries)</t>
  </si>
  <si>
    <t>Run database solution in background where tower models incl. point masses and RNA models are accessible</t>
  </si>
  <si>
    <t>Implement interfaces to:</t>
  </si>
  <si>
    <t>DNV Bladed</t>
  </si>
  <si>
    <t>DNV Sesam</t>
  </si>
  <si>
    <t>JBOOST</t>
  </si>
  <si>
    <t>ANSYS</t>
  </si>
  <si>
    <t>etc.</t>
  </si>
  <si>
    <t>Transfer also soil curve converter tool into this tool, to model full structure</t>
  </si>
  <si>
    <t>Capable of also modelling jackets?</t>
  </si>
  <si>
    <t>Automatically apply Skirt for wave load input files</t>
  </si>
  <si>
    <t>Lumped mass and "Zusätzliche Eingaben massen" - two different set-ups necessary for JBOOST and waveloadgen file</t>
  </si>
  <si>
    <t>Bladed postprocessing nodes definition</t>
  </si>
  <si>
    <t>Input for our postproc tools with repsect to heights/nodes evaluated</t>
  </si>
  <si>
    <t>Buttons to insert MP/TPs from MP-Tools (template exists in LoadSummary tool)</t>
  </si>
  <si>
    <t>Whole MP geometry from top to end of pile (way below mudline - right now, geometry must be cut at mudline level for Bladed model, JBOOST model)</t>
  </si>
  <si>
    <t>Optional warnings (for new heights in model - right now, they come permanently)</t>
  </si>
  <si>
    <t>Additional masses shall not be in descending order but in random order</t>
  </si>
  <si>
    <t>Prio</t>
  </si>
  <si>
    <t>MP</t>
  </si>
  <si>
    <t>C:\Users\aaron.lange\Desktop\Projekte\Geometrie_Converter\GeometrieConverter\databases\TP.db</t>
  </si>
  <si>
    <t>LOADED</t>
  </si>
  <si>
    <t>NEW</t>
  </si>
  <si>
    <t>(edit for new db entry)</t>
  </si>
  <si>
    <t>don't sort</t>
  </si>
  <si>
    <t>click to show db data</t>
  </si>
  <si>
    <t xml:space="preserve">Unchanged data Saved in DB </t>
  </si>
  <si>
    <t>(edits change db entry when saved!!)</t>
  </si>
  <si>
    <t>TOWER</t>
  </si>
  <si>
    <t>Phase</t>
  </si>
  <si>
    <t>Identifier</t>
  </si>
  <si>
    <t>Project ID</t>
  </si>
  <si>
    <t>Structure ID</t>
  </si>
  <si>
    <t>24A535_FEED_DP-A1_L0_G0_S0</t>
  </si>
  <si>
    <t>24A535</t>
  </si>
  <si>
    <t>FEED</t>
  </si>
  <si>
    <t>DP-A1_L0_G0_S0</t>
  </si>
  <si>
    <t>-</t>
  </si>
  <si>
    <t>24A535_FEED_DP-A1_L0_G1_S1</t>
  </si>
  <si>
    <t>24A536</t>
  </si>
  <si>
    <t>DP-A1_L0_G1_S1</t>
  </si>
  <si>
    <t>D, top [m]</t>
  </si>
  <si>
    <t>D, bottom [m]</t>
  </si>
  <si>
    <t>t [mm]</t>
  </si>
  <si>
    <t xml:space="preserve">TP  </t>
  </si>
  <si>
    <t>C:\Users\aaron.lange\Desktop\Projekte\Geometrie_Converter\GeometrieConverter\databases\TOWER.db</t>
  </si>
  <si>
    <t>C:\Users\aaron.lange\Desktop\Projekte\Geometrie_Converter\GeometrieConverter\databases\MP.db</t>
  </si>
  <si>
    <t>local Section</t>
  </si>
  <si>
    <t>TP</t>
  </si>
  <si>
    <t>Weight [t]</t>
  </si>
  <si>
    <t>Affiliation</t>
  </si>
  <si>
    <t>Bolting Platform</t>
  </si>
  <si>
    <t>commment</t>
  </si>
  <si>
    <t>Mass [kg]</t>
  </si>
  <si>
    <t>TP/MP flange</t>
  </si>
  <si>
    <t>Airtight platform</t>
  </si>
  <si>
    <t>Skirt</t>
  </si>
  <si>
    <t>Skirt Lower end</t>
  </si>
  <si>
    <t>dummy to have same number of Bladed nodes as in DP B1 v2</t>
  </si>
  <si>
    <t>TP-sided flange to tower</t>
  </si>
  <si>
    <t>Service Platform</t>
  </si>
  <si>
    <t>Junction Box Platform</t>
  </si>
  <si>
    <t>Internal Access System</t>
  </si>
  <si>
    <t>MSL</t>
  </si>
  <si>
    <t>Bottom [m]</t>
  </si>
  <si>
    <t>Top [m]</t>
  </si>
  <si>
    <t>vertical displacement</t>
  </si>
  <si>
    <t>Elevation [m]</t>
  </si>
  <si>
    <t>Geometry</t>
  </si>
  <si>
    <t>Added Masses</t>
  </si>
  <si>
    <t>Hydro Coefficients</t>
  </si>
  <si>
    <r>
      <t xml:space="preserve">Skirt </t>
    </r>
    <r>
      <rPr>
        <sz val="22"/>
        <color theme="1"/>
        <rFont val="Aptos Narrow"/>
        <family val="2"/>
        <scheme val="minor"/>
      </rPr>
      <t>(has to be added manually to Added Masses)</t>
    </r>
  </si>
  <si>
    <t>Marine Growth [mm]</t>
  </si>
  <si>
    <t>C:\Users\aaron.lange\Desktop\Projekte\Geometrie_Converter\Example_Exports\JBOOST</t>
  </si>
  <si>
    <t>ModelName</t>
  </si>
  <si>
    <t>struct</t>
  </si>
  <si>
    <t>EModul</t>
  </si>
  <si>
    <t>dens</t>
  </si>
  <si>
    <t>Value</t>
  </si>
  <si>
    <t>Unit</t>
  </si>
  <si>
    <t>kg·m−1·s−2</t>
  </si>
  <si>
    <t>kg ·m-3</t>
  </si>
  <si>
    <t>deflection MP</t>
  </si>
  <si>
    <t>deg</t>
  </si>
  <si>
    <t>deflection TOWER</t>
  </si>
  <si>
    <t>mm/m</t>
  </si>
  <si>
    <t>deflection TP</t>
  </si>
  <si>
    <t>used as name for .lua file</t>
  </si>
  <si>
    <t>RNA</t>
  </si>
  <si>
    <t>Inertia [kg·m²]</t>
  </si>
  <si>
    <t>Offset TT_COG [m]</t>
  </si>
  <si>
    <t>GE-13.0-210</t>
  </si>
  <si>
    <t>Mass [t]</t>
  </si>
  <si>
    <t>Point masses</t>
  </si>
  <si>
    <t>Height Reference</t>
  </si>
  <si>
    <t xml:space="preserve">Water level </t>
  </si>
  <si>
    <t>Model Name</t>
  </si>
  <si>
    <t>m</t>
  </si>
  <si>
    <t>Seabed level</t>
  </si>
  <si>
    <t>Water Depth [m]</t>
  </si>
  <si>
    <t>Comments</t>
  </si>
  <si>
    <t>Dimensional tolerance for node generating [m]</t>
  </si>
  <si>
    <t>GESAMT</t>
  </si>
  <si>
    <t>Structure</t>
  </si>
  <si>
    <t>Power [MW]</t>
  </si>
  <si>
    <t>Rotor Diameter [m]</t>
  </si>
  <si>
    <t>SKIRT</t>
  </si>
  <si>
    <t>CLICK TO SHOW META TABLE</t>
  </si>
  <si>
    <t>relative to TP</t>
  </si>
  <si>
    <t>absolute</t>
  </si>
  <si>
    <t>C:\Users\aaron.lange\Desktop\Projekte\Geometrie_Converter\GeometrieConverter\databases\RNAs.db</t>
  </si>
  <si>
    <t>Siemens-3.6-120</t>
  </si>
  <si>
    <t>Bard-5.0-122</t>
  </si>
  <si>
    <t>Siemens-4.0-130</t>
  </si>
  <si>
    <t>Aerodyn-6.0-142 , 2 Blade</t>
  </si>
  <si>
    <t>Siemens-8.0-164</t>
  </si>
  <si>
    <t>Vestas-9.5-174</t>
  </si>
  <si>
    <t>Vestas-10.0-180</t>
  </si>
  <si>
    <t>GE-12.0-220</t>
  </si>
  <si>
    <t>GE-15.0-220</t>
  </si>
  <si>
    <t>Vestas</t>
  </si>
  <si>
    <t>GE-15.0-240</t>
  </si>
  <si>
    <t>//</t>
  </si>
  <si>
    <t>Inertia [kg m^2]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</si>
</sst>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.00\ [$€-1]_-;\-* #,##0.00\ [$€-1]_-;_-* &quot;-&quot;??\ [$€-1]_-"/>
    <numFmt numFmtId="165" formatCode="#,##0_ ;\-#,##0\ "/>
    <numFmt numFmtId="166" formatCode="0.000"/>
    <numFmt numFmtId="167" formatCode="0.0"/>
    <numFmt numFmtId="168" formatCode="0.0000"/>
  </numFmts>
  <fonts count="1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rgb="FF000000"/>
      <name val="Aptos Narrow"/>
      <family val="2"/>
    </font>
    <font>
      <b/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8"/>
      <color rgb="FF000000"/>
      <name val="Segoe UI"/>
      <family val="2"/>
    </font>
    <font>
      <sz val="11"/>
      <color theme="1"/>
      <name val="Arial"/>
      <family val="2"/>
    </font>
    <font>
      <b/>
      <sz val="24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499984740745262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rgb="FF000000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9.9978637043366805E-2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164" fontId="1" fillId="0" borderId="0"/>
  </cellStyleXfs>
  <cellXfs count="120">
    <xf numFmtId="0" fontId="0" fillId="0" borderId="0" xfId="0"/>
    <xf numFmtId="164" fontId="2" fillId="2" borderId="2" xfId="1" applyFont="1" applyFill="1" applyBorder="1" applyAlignment="1">
      <alignment horizontal="center" vertical="center"/>
    </xf>
    <xf numFmtId="165" fontId="4" fillId="2" borderId="2" xfId="1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 applyProtection="1">
      <alignment horizontal="center" vertical="center"/>
      <protection locked="0"/>
    </xf>
    <xf numFmtId="1" fontId="5" fillId="3" borderId="2" xfId="0" applyNumberFormat="1" applyFont="1" applyFill="1" applyBorder="1" applyAlignment="1" applyProtection="1">
      <alignment horizontal="center" vertical="center"/>
      <protection locked="0"/>
    </xf>
    <xf numFmtId="2" fontId="5" fillId="4" borderId="2" xfId="0" applyNumberFormat="1" applyFont="1" applyFill="1" applyBorder="1" applyAlignment="1">
      <alignment horizontal="center" vertical="center"/>
    </xf>
    <xf numFmtId="2" fontId="5" fillId="5" borderId="2" xfId="1" applyNumberFormat="1" applyFont="1" applyFill="1" applyBorder="1" applyAlignment="1">
      <alignment horizontal="center" vertical="center"/>
    </xf>
    <xf numFmtId="166" fontId="5" fillId="5" borderId="2" xfId="1" applyNumberFormat="1" applyFont="1" applyFill="1" applyBorder="1" applyAlignment="1">
      <alignment horizontal="center" vertical="center"/>
    </xf>
    <xf numFmtId="167" fontId="0" fillId="4" borderId="2" xfId="1" applyNumberFormat="1" applyFont="1" applyFill="1" applyBorder="1" applyAlignment="1">
      <alignment horizontal="center" vertical="center"/>
    </xf>
    <xf numFmtId="0" fontId="0" fillId="6" borderId="2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16" xfId="0" applyFill="1" applyBorder="1"/>
    <xf numFmtId="0" fontId="0" fillId="6" borderId="17" xfId="0" applyFill="1" applyBorder="1"/>
    <xf numFmtId="0" fontId="0" fillId="6" borderId="18" xfId="0" applyFill="1" applyBorder="1"/>
    <xf numFmtId="0" fontId="0" fillId="7" borderId="2" xfId="0" applyFill="1" applyBorder="1"/>
    <xf numFmtId="0" fontId="0" fillId="7" borderId="14" xfId="0" applyFill="1" applyBorder="1"/>
    <xf numFmtId="0" fontId="0" fillId="7" borderId="15" xfId="0" applyFill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0" fontId="0" fillId="8" borderId="2" xfId="0" applyFill="1" applyBorder="1"/>
    <xf numFmtId="0" fontId="0" fillId="8" borderId="14" xfId="0" applyFill="1" applyBorder="1"/>
    <xf numFmtId="0" fontId="0" fillId="8" borderId="15" xfId="0" applyFill="1" applyBorder="1"/>
    <xf numFmtId="0" fontId="0" fillId="8" borderId="16" xfId="0" applyFill="1" applyBorder="1"/>
    <xf numFmtId="0" fontId="0" fillId="8" borderId="17" xfId="0" applyFill="1" applyBorder="1"/>
    <xf numFmtId="0" fontId="0" fillId="8" borderId="18" xfId="0" applyFill="1" applyBorder="1"/>
    <xf numFmtId="0" fontId="0" fillId="9" borderId="11" xfId="0" applyFill="1" applyBorder="1"/>
    <xf numFmtId="0" fontId="0" fillId="9" borderId="0" xfId="0" applyFill="1"/>
    <xf numFmtId="0" fontId="0" fillId="9" borderId="12" xfId="0" applyFill="1" applyBorder="1"/>
    <xf numFmtId="0" fontId="0" fillId="10" borderId="11" xfId="0" applyFill="1" applyBorder="1"/>
    <xf numFmtId="0" fontId="0" fillId="10" borderId="0" xfId="0" applyFill="1"/>
    <xf numFmtId="0" fontId="0" fillId="10" borderId="12" xfId="0" applyFill="1" applyBorder="1"/>
    <xf numFmtId="0" fontId="0" fillId="11" borderId="11" xfId="0" applyFill="1" applyBorder="1"/>
    <xf numFmtId="0" fontId="0" fillId="11" borderId="0" xfId="0" applyFill="1"/>
    <xf numFmtId="0" fontId="0" fillId="11" borderId="12" xfId="0" applyFill="1" applyBorder="1"/>
    <xf numFmtId="0" fontId="0" fillId="12" borderId="5" xfId="0" applyFill="1" applyBorder="1"/>
    <xf numFmtId="0" fontId="0" fillId="12" borderId="13" xfId="0" applyFill="1" applyBorder="1"/>
    <xf numFmtId="0" fontId="0" fillId="12" borderId="4" xfId="0" applyFill="1" applyBorder="1"/>
    <xf numFmtId="0" fontId="0" fillId="12" borderId="12" xfId="0" applyFill="1" applyBorder="1"/>
    <xf numFmtId="0" fontId="0" fillId="12" borderId="0" xfId="0" applyFill="1"/>
    <xf numFmtId="0" fontId="0" fillId="12" borderId="11" xfId="0" applyFill="1" applyBorder="1"/>
    <xf numFmtId="0" fontId="0" fillId="12" borderId="9" xfId="0" applyFill="1" applyBorder="1"/>
    <xf numFmtId="0" fontId="0" fillId="12" borderId="10" xfId="0" applyFill="1" applyBorder="1"/>
    <xf numFmtId="0" fontId="6" fillId="12" borderId="0" xfId="0" applyFont="1" applyFill="1"/>
    <xf numFmtId="0" fontId="0" fillId="12" borderId="8" xfId="0" applyFill="1" applyBorder="1"/>
    <xf numFmtId="0" fontId="3" fillId="12" borderId="0" xfId="0" applyFont="1" applyFill="1"/>
    <xf numFmtId="164" fontId="2" fillId="2" borderId="1" xfId="1" applyFont="1" applyFill="1" applyBorder="1" applyAlignment="1">
      <alignment horizontal="center" vertical="center"/>
    </xf>
    <xf numFmtId="164" fontId="2" fillId="2" borderId="3" xfId="1" applyFont="1" applyFill="1" applyBorder="1" applyAlignment="1">
      <alignment horizontal="center" vertical="center"/>
    </xf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2" fillId="14" borderId="21" xfId="0" applyFont="1" applyFill="1" applyBorder="1"/>
    <xf numFmtId="0" fontId="2" fillId="14" borderId="22" xfId="0" applyFont="1" applyFill="1" applyBorder="1"/>
    <xf numFmtId="0" fontId="0" fillId="15" borderId="23" xfId="0" applyFill="1" applyBorder="1" applyAlignment="1">
      <alignment horizontal="center"/>
    </xf>
    <xf numFmtId="1" fontId="0" fillId="15" borderId="23" xfId="0" applyNumberFormat="1" applyFill="1" applyBorder="1" applyAlignment="1">
      <alignment horizontal="center"/>
    </xf>
    <xf numFmtId="0" fontId="0" fillId="15" borderId="0" xfId="0" applyFill="1" applyAlignment="1">
      <alignment horizontal="center"/>
    </xf>
    <xf numFmtId="0" fontId="0" fillId="0" borderId="7" xfId="0" applyBorder="1"/>
    <xf numFmtId="0" fontId="0" fillId="0" borderId="19" xfId="0" applyBorder="1"/>
    <xf numFmtId="0" fontId="0" fillId="0" borderId="20" xfId="0" applyBorder="1"/>
    <xf numFmtId="0" fontId="5" fillId="0" borderId="6" xfId="0" applyFont="1" applyBorder="1"/>
    <xf numFmtId="0" fontId="0" fillId="0" borderId="6" xfId="0" applyBorder="1"/>
    <xf numFmtId="0" fontId="2" fillId="14" borderId="21" xfId="0" applyFont="1" applyFill="1" applyBorder="1" applyAlignment="1">
      <alignment horizontal="left"/>
    </xf>
    <xf numFmtId="0" fontId="2" fillId="14" borderId="24" xfId="0" applyFont="1" applyFill="1" applyBorder="1" applyAlignment="1">
      <alignment horizontal="left"/>
    </xf>
    <xf numFmtId="0" fontId="13" fillId="0" borderId="0" xfId="0" applyFont="1" applyAlignment="1">
      <alignment horizontal="left"/>
    </xf>
    <xf numFmtId="167" fontId="0" fillId="0" borderId="0" xfId="0" applyNumberFormat="1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11" xfId="0" applyBorder="1"/>
    <xf numFmtId="0" fontId="4" fillId="0" borderId="0" xfId="0" applyFont="1"/>
    <xf numFmtId="0" fontId="0" fillId="0" borderId="12" xfId="0" applyBorder="1"/>
    <xf numFmtId="0" fontId="9" fillId="0" borderId="0" xfId="0" applyFont="1"/>
    <xf numFmtId="0" fontId="0" fillId="0" borderId="0" xfId="0" applyAlignment="1">
      <alignment vertical="center"/>
    </xf>
    <xf numFmtId="0" fontId="3" fillId="0" borderId="11" xfId="0" applyFont="1" applyBorder="1" applyAlignment="1">
      <alignment horizontal="right"/>
    </xf>
    <xf numFmtId="0" fontId="0" fillId="0" borderId="11" xfId="0" applyBorder="1" applyAlignment="1">
      <alignment horizontal="right"/>
    </xf>
    <xf numFmtId="0" fontId="0" fillId="13" borderId="0" xfId="0" applyFill="1"/>
    <xf numFmtId="0" fontId="3" fillId="0" borderId="0" xfId="0" applyFont="1"/>
    <xf numFmtId="168" fontId="0" fillId="0" borderId="0" xfId="0" applyNumberFormat="1"/>
    <xf numFmtId="2" fontId="0" fillId="13" borderId="0" xfId="0" applyNumberFormat="1" applyFill="1"/>
    <xf numFmtId="0" fontId="9" fillId="0" borderId="11" xfId="0" applyFont="1" applyBorder="1"/>
    <xf numFmtId="2" fontId="12" fillId="0" borderId="0" xfId="0" applyNumberFormat="1" applyFont="1" applyAlignment="1" applyProtection="1">
      <alignment horizontal="center" vertical="center"/>
      <protection locked="0"/>
    </xf>
    <xf numFmtId="0" fontId="2" fillId="14" borderId="22" xfId="0" applyFont="1" applyFill="1" applyBorder="1" applyAlignment="1">
      <alignment horizontal="center"/>
    </xf>
    <xf numFmtId="0" fontId="0" fillId="15" borderId="25" xfId="0" applyFill="1" applyBorder="1"/>
    <xf numFmtId="0" fontId="0" fillId="0" borderId="25" xfId="0" applyBorder="1"/>
    <xf numFmtId="0" fontId="0" fillId="15" borderId="26" xfId="0" applyFill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15" borderId="27" xfId="0" applyFill="1" applyBorder="1" applyAlignment="1">
      <alignment horizontal="center"/>
    </xf>
    <xf numFmtId="2" fontId="0" fillId="0" borderId="0" xfId="0" applyNumberFormat="1"/>
    <xf numFmtId="0" fontId="3" fillId="14" borderId="22" xfId="0" applyFont="1" applyFill="1" applyBorder="1" applyAlignment="1">
      <alignment horizontal="center"/>
    </xf>
    <xf numFmtId="0" fontId="3" fillId="0" borderId="12" xfId="0" applyFont="1" applyBorder="1"/>
    <xf numFmtId="0" fontId="2" fillId="14" borderId="26" xfId="0" applyFont="1" applyFill="1" applyBorder="1"/>
    <xf numFmtId="0" fontId="3" fillId="9" borderId="8" xfId="0" applyFont="1" applyFill="1" applyBorder="1" applyAlignment="1">
      <alignment horizontal="center"/>
    </xf>
    <xf numFmtId="0" fontId="3" fillId="9" borderId="9" xfId="0" applyFont="1" applyFill="1" applyBorder="1" applyAlignment="1">
      <alignment horizontal="center"/>
    </xf>
    <xf numFmtId="0" fontId="3" fillId="9" borderId="10" xfId="0" applyFont="1" applyFill="1" applyBorder="1" applyAlignment="1">
      <alignment horizontal="center"/>
    </xf>
    <xf numFmtId="0" fontId="3" fillId="10" borderId="8" xfId="0" applyFont="1" applyFill="1" applyBorder="1" applyAlignment="1">
      <alignment horizontal="center"/>
    </xf>
    <xf numFmtId="0" fontId="3" fillId="10" borderId="9" xfId="0" applyFont="1" applyFill="1" applyBorder="1" applyAlignment="1">
      <alignment horizontal="center"/>
    </xf>
    <xf numFmtId="0" fontId="3" fillId="10" borderId="10" xfId="0" applyFont="1" applyFill="1" applyBorder="1" applyAlignment="1">
      <alignment horizontal="center"/>
    </xf>
    <xf numFmtId="0" fontId="3" fillId="11" borderId="8" xfId="0" applyFont="1" applyFill="1" applyBorder="1" applyAlignment="1">
      <alignment horizontal="center"/>
    </xf>
    <xf numFmtId="0" fontId="3" fillId="11" borderId="9" xfId="0" applyFont="1" applyFill="1" applyBorder="1" applyAlignment="1">
      <alignment horizontal="center"/>
    </xf>
    <xf numFmtId="0" fontId="3" fillId="11" borderId="10" xfId="0" applyFont="1" applyFill="1" applyBorder="1" applyAlignment="1">
      <alignment horizontal="center"/>
    </xf>
    <xf numFmtId="0" fontId="3" fillId="16" borderId="12" xfId="0" applyFont="1" applyFill="1" applyBorder="1"/>
    <xf numFmtId="0" fontId="0" fillId="16" borderId="12" xfId="0" applyFill="1" applyBorder="1"/>
    <xf numFmtId="0" fontId="0" fillId="0" borderId="0" xfId="0" applyFill="1"/>
    <xf numFmtId="0" fontId="0" fillId="0" borderId="11" xfId="0" applyFill="1" applyBorder="1"/>
    <xf numFmtId="2" fontId="12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Font="1"/>
    <xf numFmtId="0" fontId="0" fillId="0" borderId="11" xfId="0" applyFont="1" applyFill="1" applyBorder="1" applyAlignment="1">
      <alignment horizontal="left"/>
    </xf>
    <xf numFmtId="0" fontId="0" fillId="0" borderId="0" xfId="0" applyFont="1" applyFill="1" applyAlignment="1">
      <alignment horizontal="left"/>
    </xf>
    <xf numFmtId="0" fontId="0" fillId="0" borderId="22" xfId="0" applyFont="1" applyFill="1" applyBorder="1" applyAlignment="1">
      <alignment horizontal="left"/>
    </xf>
    <xf numFmtId="0" fontId="0" fillId="0" borderId="0" xfId="0" applyFill="1" applyAlignment="1">
      <alignment horizontal="center"/>
    </xf>
    <xf numFmtId="0" fontId="0" fillId="0" borderId="23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13" borderId="0" xfId="0" applyFill="1" applyBorder="1" applyAlignment="1">
      <alignment horizontal="center"/>
    </xf>
    <xf numFmtId="0" fontId="0" fillId="0" borderId="23" xfId="0" applyFont="1" applyFill="1" applyBorder="1" applyAlignment="1">
      <alignment horizontal="left"/>
    </xf>
    <xf numFmtId="0" fontId="0" fillId="15" borderId="0" xfId="0" applyFont="1" applyFill="1" applyBorder="1" applyAlignment="1">
      <alignment horizontal="center"/>
    </xf>
    <xf numFmtId="168" fontId="0" fillId="0" borderId="0" xfId="0" applyNumberFormat="1" applyFont="1" applyFill="1" applyAlignment="1">
      <alignment horizontal="left"/>
    </xf>
  </cellXfs>
  <cellStyles count="2">
    <cellStyle name="Standard" xfId="0" builtinId="0"/>
    <cellStyle name="Standard 4" xfId="1" xr:uid="{7C2E7282-4006-4D40-8AAC-8E6944058B8E}"/>
  </cellStyles>
  <dxfs count="276"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theme="4" tint="0.79998168889431442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fgColor theme="4" tint="0.79998168889431442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theme="4" tint="0.79998168889431442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2" formatCode="0.00"/>
      <fill>
        <patternFill patternType="solid">
          <fgColor indexed="64"/>
          <bgColor rgb="FFFFF2CC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  <protection locked="0" hidden="0"/>
    </dxf>
    <dxf>
      <font>
        <color rgb="FF000000"/>
        <name val="Arial"/>
        <family val="2"/>
        <scheme val="none"/>
      </font>
      <numFmt numFmtId="2" formatCode="0.00"/>
      <fill>
        <patternFill patternType="solid">
          <fgColor indexed="64"/>
          <bgColor rgb="FFFFF2CC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  <protection locked="0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7" formatCode="0.0"/>
      <alignment horizontal="center" vertical="bottom" textRotation="0" wrapText="0" indent="0" justifyLastLine="0" shrinkToFit="0" readingOrder="0"/>
    </dxf>
    <dxf>
      <numFmt numFmtId="167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Wall thickness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WT[mm]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73"/>
              <c:pt idx="0">
                <c:v>30</c:v>
              </c:pt>
              <c:pt idx="1">
                <c:v>30</c:v>
              </c:pt>
              <c:pt idx="2">
                <c:v>26</c:v>
              </c:pt>
              <c:pt idx="3">
                <c:v>26</c:v>
              </c:pt>
              <c:pt idx="4">
                <c:v>22.3</c:v>
              </c:pt>
              <c:pt idx="5">
                <c:v>22.3</c:v>
              </c:pt>
              <c:pt idx="6">
                <c:v>22.3</c:v>
              </c:pt>
              <c:pt idx="7">
                <c:v>22.3</c:v>
              </c:pt>
              <c:pt idx="8">
                <c:v>21.8</c:v>
              </c:pt>
              <c:pt idx="9">
                <c:v>21.8</c:v>
              </c:pt>
              <c:pt idx="10">
                <c:v>21.8</c:v>
              </c:pt>
              <c:pt idx="11">
                <c:v>21.8</c:v>
              </c:pt>
              <c:pt idx="12">
                <c:v>21.5</c:v>
              </c:pt>
              <c:pt idx="13">
                <c:v>21.5</c:v>
              </c:pt>
              <c:pt idx="14">
                <c:v>21.5</c:v>
              </c:pt>
              <c:pt idx="15">
                <c:v>21.5</c:v>
              </c:pt>
              <c:pt idx="16">
                <c:v>21.6</c:v>
              </c:pt>
              <c:pt idx="17">
                <c:v>21.6</c:v>
              </c:pt>
              <c:pt idx="18">
                <c:v>19.599999999999998</c:v>
              </c:pt>
              <c:pt idx="19">
                <c:v>19.599999999999998</c:v>
              </c:pt>
              <c:pt idx="20">
                <c:v>20.100000000000001</c:v>
              </c:pt>
              <c:pt idx="21">
                <c:v>20.100000000000001</c:v>
              </c:pt>
              <c:pt idx="22">
                <c:v>20.6</c:v>
              </c:pt>
              <c:pt idx="23">
                <c:v>20.6</c:v>
              </c:pt>
              <c:pt idx="24">
                <c:v>21.5</c:v>
              </c:pt>
              <c:pt idx="25">
                <c:v>21.5</c:v>
              </c:pt>
              <c:pt idx="26">
                <c:v>22.4</c:v>
              </c:pt>
              <c:pt idx="27">
                <c:v>22.4</c:v>
              </c:pt>
              <c:pt idx="28">
                <c:v>23.099999999999998</c:v>
              </c:pt>
              <c:pt idx="29">
                <c:v>23.099999999999998</c:v>
              </c:pt>
              <c:pt idx="30">
                <c:v>23.099999999999998</c:v>
              </c:pt>
              <c:pt idx="31">
                <c:v>23.099999999999998</c:v>
              </c:pt>
              <c:pt idx="32">
                <c:v>23.099999999999998</c:v>
              </c:pt>
              <c:pt idx="33">
                <c:v>23.099999999999998</c:v>
              </c:pt>
              <c:pt idx="34">
                <c:v>23.099999999999998</c:v>
              </c:pt>
              <c:pt idx="35">
                <c:v>23.099999999999998</c:v>
              </c:pt>
              <c:pt idx="36">
                <c:v>23.099999999999998</c:v>
              </c:pt>
              <c:pt idx="37">
                <c:v>23.099999999999998</c:v>
              </c:pt>
              <c:pt idx="38">
                <c:v>23.099999999999998</c:v>
              </c:pt>
              <c:pt idx="39">
                <c:v>23.099999999999998</c:v>
              </c:pt>
              <c:pt idx="40">
                <c:v>23.5</c:v>
              </c:pt>
              <c:pt idx="41">
                <c:v>23.5</c:v>
              </c:pt>
              <c:pt idx="42">
                <c:v>24.299999999999997</c:v>
              </c:pt>
              <c:pt idx="43">
                <c:v>24.299999999999997</c:v>
              </c:pt>
              <c:pt idx="44">
                <c:v>25.2</c:v>
              </c:pt>
              <c:pt idx="45">
                <c:v>25.2</c:v>
              </c:pt>
              <c:pt idx="46">
                <c:v>25.6</c:v>
              </c:pt>
              <c:pt idx="47">
                <c:v>25.6</c:v>
              </c:pt>
              <c:pt idx="48">
                <c:v>25.8</c:v>
              </c:pt>
              <c:pt idx="49">
                <c:v>25.8</c:v>
              </c:pt>
              <c:pt idx="50">
                <c:v>26</c:v>
              </c:pt>
              <c:pt idx="51">
                <c:v>26</c:v>
              </c:pt>
              <c:pt idx="52">
                <c:v>26.599999999999998</c:v>
              </c:pt>
              <c:pt idx="53">
                <c:v>26.599999999999998</c:v>
              </c:pt>
              <c:pt idx="54">
                <c:v>27.3</c:v>
              </c:pt>
              <c:pt idx="55">
                <c:v>27.3</c:v>
              </c:pt>
              <c:pt idx="56">
                <c:v>27.900000000000002</c:v>
              </c:pt>
              <c:pt idx="57">
                <c:v>27.900000000000002</c:v>
              </c:pt>
              <c:pt idx="58">
                <c:v>28.6</c:v>
              </c:pt>
              <c:pt idx="59">
                <c:v>28.6</c:v>
              </c:pt>
              <c:pt idx="60">
                <c:v>29.2</c:v>
              </c:pt>
              <c:pt idx="61">
                <c:v>29.2</c:v>
              </c:pt>
              <c:pt idx="62">
                <c:v>29.8</c:v>
              </c:pt>
              <c:pt idx="63">
                <c:v>29.8</c:v>
              </c:pt>
              <c:pt idx="64">
                <c:v>30.4</c:v>
              </c:pt>
              <c:pt idx="65">
                <c:v>30.4</c:v>
              </c:pt>
              <c:pt idx="66">
                <c:v>32</c:v>
              </c:pt>
              <c:pt idx="67">
                <c:v>32</c:v>
              </c:pt>
              <c:pt idx="68">
                <c:v>32</c:v>
              </c:pt>
              <c:pt idx="69">
                <c:v>32</c:v>
              </c:pt>
              <c:pt idx="70">
                <c:v>32</c:v>
              </c:pt>
              <c:pt idx="71">
                <c:v>32</c:v>
              </c:pt>
              <c:pt idx="72">
                <c:v>32</c:v>
              </c:pt>
              <c:pt idx="73">
                <c:v>32</c:v>
              </c:pt>
              <c:pt idx="74">
                <c:v>32</c:v>
              </c:pt>
              <c:pt idx="75">
                <c:v>32</c:v>
              </c:pt>
              <c:pt idx="76">
                <c:v>32</c:v>
              </c:pt>
              <c:pt idx="77">
                <c:v>32</c:v>
              </c:pt>
              <c:pt idx="78">
                <c:v>31.7</c:v>
              </c:pt>
              <c:pt idx="79">
                <c:v>31.7</c:v>
              </c:pt>
              <c:pt idx="80">
                <c:v>32.300000000000004</c:v>
              </c:pt>
              <c:pt idx="81">
                <c:v>32.300000000000004</c:v>
              </c:pt>
              <c:pt idx="82">
                <c:v>32.800000000000004</c:v>
              </c:pt>
              <c:pt idx="83">
                <c:v>32.800000000000004</c:v>
              </c:pt>
              <c:pt idx="84">
                <c:v>33.4</c:v>
              </c:pt>
              <c:pt idx="85">
                <c:v>33.4</c:v>
              </c:pt>
              <c:pt idx="86">
                <c:v>33.9</c:v>
              </c:pt>
              <c:pt idx="87">
                <c:v>33.9</c:v>
              </c:pt>
              <c:pt idx="88">
                <c:v>34.4</c:v>
              </c:pt>
              <c:pt idx="89">
                <c:v>34.4</c:v>
              </c:pt>
              <c:pt idx="90">
                <c:v>34.9</c:v>
              </c:pt>
              <c:pt idx="91">
                <c:v>34.9</c:v>
              </c:pt>
              <c:pt idx="92">
                <c:v>35.4</c:v>
              </c:pt>
              <c:pt idx="93">
                <c:v>35.4</c:v>
              </c:pt>
              <c:pt idx="94">
                <c:v>35.799999999999997</c:v>
              </c:pt>
              <c:pt idx="95">
                <c:v>35.799999999999997</c:v>
              </c:pt>
              <c:pt idx="96">
                <c:v>36.4</c:v>
              </c:pt>
              <c:pt idx="97">
                <c:v>36.4</c:v>
              </c:pt>
              <c:pt idx="98">
                <c:v>39.5</c:v>
              </c:pt>
              <c:pt idx="99">
                <c:v>39.5</c:v>
              </c:pt>
              <c:pt idx="100">
                <c:v>39.5</c:v>
              </c:pt>
              <c:pt idx="101">
                <c:v>39.5</c:v>
              </c:pt>
              <c:pt idx="102">
                <c:v>39.5</c:v>
              </c:pt>
              <c:pt idx="103">
                <c:v>39.5</c:v>
              </c:pt>
              <c:pt idx="104">
                <c:v>39.5</c:v>
              </c:pt>
              <c:pt idx="105">
                <c:v>39.5</c:v>
              </c:pt>
              <c:pt idx="106">
                <c:v>39.5</c:v>
              </c:pt>
              <c:pt idx="107">
                <c:v>39.5</c:v>
              </c:pt>
              <c:pt idx="108">
                <c:v>38</c:v>
              </c:pt>
              <c:pt idx="109">
                <c:v>38</c:v>
              </c:pt>
              <c:pt idx="110">
                <c:v>38</c:v>
              </c:pt>
              <c:pt idx="111">
                <c:v>38</c:v>
              </c:pt>
              <c:pt idx="112">
                <c:v>38.800000000000004</c:v>
              </c:pt>
              <c:pt idx="113">
                <c:v>38.800000000000004</c:v>
              </c:pt>
              <c:pt idx="114">
                <c:v>40.4</c:v>
              </c:pt>
              <c:pt idx="115">
                <c:v>40.4</c:v>
              </c:pt>
              <c:pt idx="116">
                <c:v>41.2</c:v>
              </c:pt>
              <c:pt idx="117">
                <c:v>41.2</c:v>
              </c:pt>
              <c:pt idx="118">
                <c:v>42.1</c:v>
              </c:pt>
              <c:pt idx="119">
                <c:v>42.1</c:v>
              </c:pt>
              <c:pt idx="120">
                <c:v>43</c:v>
              </c:pt>
              <c:pt idx="121">
                <c:v>43</c:v>
              </c:pt>
              <c:pt idx="122">
                <c:v>64.5</c:v>
              </c:pt>
              <c:pt idx="123">
                <c:v>64.5</c:v>
              </c:pt>
              <c:pt idx="124">
                <c:v>64.5</c:v>
              </c:pt>
              <c:pt idx="125">
                <c:v>64.5</c:v>
              </c:pt>
              <c:pt idx="126">
                <c:v>64.5</c:v>
              </c:pt>
              <c:pt idx="127">
                <c:v>64.5</c:v>
              </c:pt>
              <c:pt idx="128">
                <c:v>64.5</c:v>
              </c:pt>
              <c:pt idx="129">
                <c:v>64.5</c:v>
              </c:pt>
              <c:pt idx="130">
                <c:v>64.5</c:v>
              </c:pt>
              <c:pt idx="131">
                <c:v>64.5</c:v>
              </c:pt>
              <c:pt idx="132">
                <c:v>64.5</c:v>
              </c:pt>
              <c:pt idx="133">
                <c:v>64.5</c:v>
              </c:pt>
              <c:pt idx="134">
                <c:v>64.5</c:v>
              </c:pt>
              <c:pt idx="135">
                <c:v>64.5</c:v>
              </c:pt>
              <c:pt idx="136">
                <c:v>86</c:v>
              </c:pt>
              <c:pt idx="137">
                <c:v>86</c:v>
              </c:pt>
              <c:pt idx="138">
                <c:v>86</c:v>
              </c:pt>
              <c:pt idx="139">
                <c:v>86</c:v>
              </c:pt>
              <c:pt idx="140">
                <c:v>88</c:v>
              </c:pt>
              <c:pt idx="141">
                <c:v>88</c:v>
              </c:pt>
              <c:pt idx="142">
                <c:v>92</c:v>
              </c:pt>
              <c:pt idx="143">
                <c:v>92</c:v>
              </c:pt>
              <c:pt idx="144">
                <c:v>100</c:v>
              </c:pt>
              <c:pt idx="145">
                <c:v>100</c:v>
              </c:pt>
              <c:pt idx="146">
                <c:v>60</c:v>
              </c:pt>
              <c:pt idx="147">
                <c:v>60</c:v>
              </c:pt>
              <c:pt idx="148">
                <c:v>60</c:v>
              </c:pt>
              <c:pt idx="149">
                <c:v>60</c:v>
              </c:pt>
              <c:pt idx="150">
                <c:v>62</c:v>
              </c:pt>
              <c:pt idx="151">
                <c:v>62</c:v>
              </c:pt>
              <c:pt idx="152">
                <c:v>64</c:v>
              </c:pt>
              <c:pt idx="153">
                <c:v>64</c:v>
              </c:pt>
              <c:pt idx="154">
                <c:v>66</c:v>
              </c:pt>
              <c:pt idx="155">
                <c:v>66</c:v>
              </c:pt>
              <c:pt idx="156">
                <c:v>60</c:v>
              </c:pt>
              <c:pt idx="157">
                <c:v>60</c:v>
              </c:pt>
              <c:pt idx="158">
                <c:v>62</c:v>
              </c:pt>
              <c:pt idx="159">
                <c:v>62</c:v>
              </c:pt>
              <c:pt idx="160">
                <c:v>64</c:v>
              </c:pt>
              <c:pt idx="161">
                <c:v>64</c:v>
              </c:pt>
              <c:pt idx="162">
                <c:v>66</c:v>
              </c:pt>
              <c:pt idx="163">
                <c:v>66</c:v>
              </c:pt>
              <c:pt idx="164">
                <c:v>68</c:v>
              </c:pt>
              <c:pt idx="165">
                <c:v>68</c:v>
              </c:pt>
              <c:pt idx="166">
                <c:v>72</c:v>
              </c:pt>
              <c:pt idx="167">
                <c:v>72</c:v>
              </c:pt>
              <c:pt idx="168">
                <c:v>77</c:v>
              </c:pt>
              <c:pt idx="169">
                <c:v>77</c:v>
              </c:pt>
              <c:pt idx="170">
                <c:v>82</c:v>
              </c:pt>
              <c:pt idx="171">
                <c:v>#N/A</c:v>
              </c:pt>
              <c:pt idx="172">
                <c:v>82</c:v>
              </c:pt>
            </c:numLit>
          </c:xVal>
          <c:yVal>
            <c:numLit>
              <c:formatCode>General</c:formatCode>
              <c:ptCount val="173"/>
              <c:pt idx="0">
                <c:v>139.70000000000002</c:v>
              </c:pt>
              <c:pt idx="1">
                <c:v>139.62</c:v>
              </c:pt>
              <c:pt idx="2">
                <c:v>139.62</c:v>
              </c:pt>
              <c:pt idx="3">
                <c:v>139.57</c:v>
              </c:pt>
              <c:pt idx="4">
                <c:v>139.57</c:v>
              </c:pt>
              <c:pt idx="5">
                <c:v>138.72</c:v>
              </c:pt>
              <c:pt idx="6">
                <c:v>138.72</c:v>
              </c:pt>
              <c:pt idx="7">
                <c:v>138.602</c:v>
              </c:pt>
              <c:pt idx="8">
                <c:v>138.602</c:v>
              </c:pt>
              <c:pt idx="9">
                <c:v>136.524</c:v>
              </c:pt>
              <c:pt idx="10">
                <c:v>136.524</c:v>
              </c:pt>
              <c:pt idx="11">
                <c:v>135.708</c:v>
              </c:pt>
              <c:pt idx="12">
                <c:v>135.708</c:v>
              </c:pt>
              <c:pt idx="13">
                <c:v>133.73699999999999</c:v>
              </c:pt>
              <c:pt idx="14">
                <c:v>133.73699999999999</c:v>
              </c:pt>
              <c:pt idx="15">
                <c:v>133.71100000000001</c:v>
              </c:pt>
              <c:pt idx="16">
                <c:v>133.71100000000001</c:v>
              </c:pt>
              <c:pt idx="17">
                <c:v>130.953</c:v>
              </c:pt>
              <c:pt idx="18">
                <c:v>130.953</c:v>
              </c:pt>
              <c:pt idx="19">
                <c:v>128.16899999999998</c:v>
              </c:pt>
              <c:pt idx="20">
                <c:v>128.16899999999998</c:v>
              </c:pt>
              <c:pt idx="21">
                <c:v>125.386</c:v>
              </c:pt>
              <c:pt idx="22">
                <c:v>125.386</c:v>
              </c:pt>
              <c:pt idx="23">
                <c:v>122.60599999999999</c:v>
              </c:pt>
              <c:pt idx="24">
                <c:v>122.60599999999999</c:v>
              </c:pt>
              <c:pt idx="25">
                <c:v>119.82599999999999</c:v>
              </c:pt>
              <c:pt idx="26">
                <c:v>119.82599999999999</c:v>
              </c:pt>
              <c:pt idx="27">
                <c:v>117.047</c:v>
              </c:pt>
              <c:pt idx="28">
                <c:v>117.047</c:v>
              </c:pt>
              <c:pt idx="29">
                <c:v>114.271</c:v>
              </c:pt>
              <c:pt idx="30">
                <c:v>114.271</c:v>
              </c:pt>
              <c:pt idx="31">
                <c:v>114.241</c:v>
              </c:pt>
              <c:pt idx="32">
                <c:v>114.241</c:v>
              </c:pt>
              <c:pt idx="33">
                <c:v>114.121</c:v>
              </c:pt>
              <c:pt idx="34">
                <c:v>114.121</c:v>
              </c:pt>
              <c:pt idx="35">
                <c:v>114.001</c:v>
              </c:pt>
              <c:pt idx="36">
                <c:v>114.001</c:v>
              </c:pt>
              <c:pt idx="37">
                <c:v>113.971</c:v>
              </c:pt>
              <c:pt idx="38">
                <c:v>113.971</c:v>
              </c:pt>
              <c:pt idx="39">
                <c:v>112.82299999999999</c:v>
              </c:pt>
              <c:pt idx="40">
                <c:v>112.82299999999999</c:v>
              </c:pt>
              <c:pt idx="41">
                <c:v>112.614</c:v>
              </c:pt>
              <c:pt idx="42">
                <c:v>112.614</c:v>
              </c:pt>
              <c:pt idx="43">
                <c:v>111.191</c:v>
              </c:pt>
              <c:pt idx="44">
                <c:v>111.191</c:v>
              </c:pt>
              <c:pt idx="45">
                <c:v>108.41500000000001</c:v>
              </c:pt>
              <c:pt idx="46">
                <c:v>108.41500000000001</c:v>
              </c:pt>
              <c:pt idx="47">
                <c:v>105.64</c:v>
              </c:pt>
              <c:pt idx="48">
                <c:v>105.64</c:v>
              </c:pt>
              <c:pt idx="49">
                <c:v>102.866</c:v>
              </c:pt>
              <c:pt idx="50">
                <c:v>102.866</c:v>
              </c:pt>
              <c:pt idx="51">
                <c:v>100.095</c:v>
              </c:pt>
              <c:pt idx="52">
                <c:v>100.095</c:v>
              </c:pt>
              <c:pt idx="53">
                <c:v>97.323999999999998</c:v>
              </c:pt>
              <c:pt idx="54">
                <c:v>97.323999999999998</c:v>
              </c:pt>
              <c:pt idx="55">
                <c:v>94.554000000000002</c:v>
              </c:pt>
              <c:pt idx="56">
                <c:v>94.554000000000002</c:v>
              </c:pt>
              <c:pt idx="57">
                <c:v>91.787000000000006</c:v>
              </c:pt>
              <c:pt idx="58">
                <c:v>91.787000000000006</c:v>
              </c:pt>
              <c:pt idx="59">
                <c:v>89.02</c:v>
              </c:pt>
              <c:pt idx="60">
                <c:v>89.02</c:v>
              </c:pt>
              <c:pt idx="61">
                <c:v>86.254000000000005</c:v>
              </c:pt>
              <c:pt idx="62">
                <c:v>86.254000000000005</c:v>
              </c:pt>
              <c:pt idx="63">
                <c:v>83.49</c:v>
              </c:pt>
              <c:pt idx="64">
                <c:v>83.49</c:v>
              </c:pt>
              <c:pt idx="65">
                <c:v>80.72699999999999</c:v>
              </c:pt>
              <c:pt idx="66">
                <c:v>80.72699999999999</c:v>
              </c:pt>
              <c:pt idx="67">
                <c:v>77.965000000000003</c:v>
              </c:pt>
              <c:pt idx="68">
                <c:v>77.965000000000003</c:v>
              </c:pt>
              <c:pt idx="69">
                <c:v>77.92</c:v>
              </c:pt>
              <c:pt idx="70">
                <c:v>77.92</c:v>
              </c:pt>
              <c:pt idx="71">
                <c:v>77.789999999999992</c:v>
              </c:pt>
              <c:pt idx="72">
                <c:v>77.789999999999992</c:v>
              </c:pt>
              <c:pt idx="73">
                <c:v>77.661000000000001</c:v>
              </c:pt>
              <c:pt idx="74">
                <c:v>77.661000000000001</c:v>
              </c:pt>
              <c:pt idx="75">
                <c:v>77.616</c:v>
              </c:pt>
              <c:pt idx="76">
                <c:v>77.616</c:v>
              </c:pt>
              <c:pt idx="77">
                <c:v>76.492999999999995</c:v>
              </c:pt>
              <c:pt idx="78">
                <c:v>76.492999999999995</c:v>
              </c:pt>
              <c:pt idx="79">
                <c:v>75.292999999999992</c:v>
              </c:pt>
              <c:pt idx="80">
                <c:v>75.292999999999992</c:v>
              </c:pt>
              <c:pt idx="81">
                <c:v>72.531999999999996</c:v>
              </c:pt>
              <c:pt idx="82">
                <c:v>72.531999999999996</c:v>
              </c:pt>
              <c:pt idx="83">
                <c:v>69.774000000000001</c:v>
              </c:pt>
              <c:pt idx="84">
                <c:v>69.774000000000001</c:v>
              </c:pt>
              <c:pt idx="85">
                <c:v>67.015999999999991</c:v>
              </c:pt>
              <c:pt idx="86">
                <c:v>67.015999999999991</c:v>
              </c:pt>
              <c:pt idx="87">
                <c:v>64.259</c:v>
              </c:pt>
              <c:pt idx="88">
                <c:v>64.259</c:v>
              </c:pt>
              <c:pt idx="89">
                <c:v>61.503999999999991</c:v>
              </c:pt>
              <c:pt idx="90">
                <c:v>61.503999999999991</c:v>
              </c:pt>
              <c:pt idx="91">
                <c:v>58.75</c:v>
              </c:pt>
              <c:pt idx="92">
                <c:v>58.75</c:v>
              </c:pt>
              <c:pt idx="93">
                <c:v>55.997</c:v>
              </c:pt>
              <c:pt idx="94">
                <c:v>55.997</c:v>
              </c:pt>
              <c:pt idx="95">
                <c:v>53.24499999999999</c:v>
              </c:pt>
              <c:pt idx="96">
                <c:v>53.24499999999999</c:v>
              </c:pt>
              <c:pt idx="97">
                <c:v>50.494999999999997</c:v>
              </c:pt>
              <c:pt idx="98">
                <c:v>50.494999999999997</c:v>
              </c:pt>
              <c:pt idx="99">
                <c:v>47.745999999999995</c:v>
              </c:pt>
              <c:pt idx="100">
                <c:v>47.745999999999995</c:v>
              </c:pt>
              <c:pt idx="101">
                <c:v>44.997999999999998</c:v>
              </c:pt>
              <c:pt idx="102">
                <c:v>44.997999999999998</c:v>
              </c:pt>
              <c:pt idx="103">
                <c:v>44.952999999999996</c:v>
              </c:pt>
              <c:pt idx="104">
                <c:v>44.952999999999996</c:v>
              </c:pt>
              <c:pt idx="105">
                <c:v>44.812999999999995</c:v>
              </c:pt>
              <c:pt idx="106">
                <c:v>44.812999999999995</c:v>
              </c:pt>
              <c:pt idx="107">
                <c:v>44.673999999999992</c:v>
              </c:pt>
              <c:pt idx="108">
                <c:v>44.673999999999992</c:v>
              </c:pt>
              <c:pt idx="109">
                <c:v>44.628999999999998</c:v>
              </c:pt>
              <c:pt idx="110">
                <c:v>44.628999999999998</c:v>
              </c:pt>
              <c:pt idx="111">
                <c:v>43.515999999999991</c:v>
              </c:pt>
              <c:pt idx="112">
                <c:v>43.515999999999991</c:v>
              </c:pt>
              <c:pt idx="113">
                <c:v>41.718999999999994</c:v>
              </c:pt>
              <c:pt idx="114">
                <c:v>41.718999999999994</c:v>
              </c:pt>
              <c:pt idx="115">
                <c:v>38.795000000000002</c:v>
              </c:pt>
              <c:pt idx="116">
                <c:v>38.795000000000002</c:v>
              </c:pt>
              <c:pt idx="117">
                <c:v>35.870999999999995</c:v>
              </c:pt>
              <c:pt idx="118">
                <c:v>35.870999999999995</c:v>
              </c:pt>
              <c:pt idx="119">
                <c:v>32.945999999999998</c:v>
              </c:pt>
              <c:pt idx="120">
                <c:v>32.945999999999998</c:v>
              </c:pt>
              <c:pt idx="121">
                <c:v>30.022000000000002</c:v>
              </c:pt>
              <c:pt idx="122">
                <c:v>30.022000000000002</c:v>
              </c:pt>
              <c:pt idx="123">
                <c:v>27.097000000000001</c:v>
              </c:pt>
              <c:pt idx="124">
                <c:v>27.097000000000001</c:v>
              </c:pt>
              <c:pt idx="125">
                <c:v>25.021000000000001</c:v>
              </c:pt>
              <c:pt idx="126">
                <c:v>25.021000000000001</c:v>
              </c:pt>
              <c:pt idx="127">
                <c:v>22.495999999999999</c:v>
              </c:pt>
              <c:pt idx="128">
                <c:v>22.495999999999999</c:v>
              </c:pt>
              <c:pt idx="129">
                <c:v>22.097000000000001</c:v>
              </c:pt>
              <c:pt idx="130">
                <c:v>22.097000000000001</c:v>
              </c:pt>
              <c:pt idx="131">
                <c:v>20.71</c:v>
              </c:pt>
              <c:pt idx="132">
                <c:v>20.71</c:v>
              </c:pt>
              <c:pt idx="133">
                <c:v>20.655000000000001</c:v>
              </c:pt>
              <c:pt idx="134">
                <c:v>20.655000000000001</c:v>
              </c:pt>
              <c:pt idx="135">
                <c:v>20.5</c:v>
              </c:pt>
              <c:pt idx="136">
                <c:v>20.5</c:v>
              </c:pt>
              <c:pt idx="137">
                <c:v>20.25</c:v>
              </c:pt>
              <c:pt idx="138">
                <c:v>20.25</c:v>
              </c:pt>
              <c:pt idx="139">
                <c:v>17.8</c:v>
              </c:pt>
              <c:pt idx="140">
                <c:v>17.8</c:v>
              </c:pt>
              <c:pt idx="141">
                <c:v>14.8</c:v>
              </c:pt>
              <c:pt idx="142">
                <c:v>14.8</c:v>
              </c:pt>
              <c:pt idx="143">
                <c:v>10.8</c:v>
              </c:pt>
              <c:pt idx="144">
                <c:v>10.8</c:v>
              </c:pt>
              <c:pt idx="145">
                <c:v>7.3</c:v>
              </c:pt>
              <c:pt idx="146">
                <c:v>7.3</c:v>
              </c:pt>
              <c:pt idx="147">
                <c:v>4.3</c:v>
              </c:pt>
              <c:pt idx="148">
                <c:v>4.3</c:v>
              </c:pt>
              <c:pt idx="149">
                <c:v>1.3</c:v>
              </c:pt>
              <c:pt idx="150">
                <c:v>1.3</c:v>
              </c:pt>
              <c:pt idx="151">
                <c:v>-1.7</c:v>
              </c:pt>
              <c:pt idx="152">
                <c:v>-1.7</c:v>
              </c:pt>
              <c:pt idx="153">
                <c:v>-4.7</c:v>
              </c:pt>
              <c:pt idx="154">
                <c:v>-4.7</c:v>
              </c:pt>
              <c:pt idx="155">
                <c:v>-8</c:v>
              </c:pt>
              <c:pt idx="156">
                <c:v>1.4</c:v>
              </c:pt>
              <c:pt idx="157">
                <c:v>-2.1</c:v>
              </c:pt>
              <c:pt idx="158">
                <c:v>-2.1</c:v>
              </c:pt>
              <c:pt idx="159">
                <c:v>-5.6</c:v>
              </c:pt>
              <c:pt idx="160">
                <c:v>-5.6</c:v>
              </c:pt>
              <c:pt idx="161">
                <c:v>-9.1</c:v>
              </c:pt>
              <c:pt idx="162">
                <c:v>-9.1</c:v>
              </c:pt>
              <c:pt idx="163">
                <c:v>-12.6</c:v>
              </c:pt>
              <c:pt idx="164">
                <c:v>-12.6</c:v>
              </c:pt>
              <c:pt idx="165">
                <c:v>-16.100000000000001</c:v>
              </c:pt>
              <c:pt idx="166">
                <c:v>-16.100000000000001</c:v>
              </c:pt>
              <c:pt idx="167">
                <c:v>-19.600000000000001</c:v>
              </c:pt>
              <c:pt idx="168">
                <c:v>-19.600000000000001</c:v>
              </c:pt>
              <c:pt idx="169">
                <c:v>-23.1</c:v>
              </c:pt>
              <c:pt idx="170">
                <c:v>-23.1</c:v>
              </c:pt>
              <c:pt idx="171">
                <c:v>#N/A</c:v>
              </c:pt>
              <c:pt idx="172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4D4C-45B9-9C25-EE2F998CA6E8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4D4C-45B9-9C25-EE2F998CA6E8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D4C-45B9-9C25-EE2F998CA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0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WT[mm]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Diameter</a:t>
            </a:r>
            <a:r>
              <a:rPr lang="de-DE" sz="2000" baseline="0"/>
              <a:t>s</a:t>
            </a:r>
            <a:endParaRPr lang="de-DE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Diam[m]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87"/>
              <c:pt idx="0">
                <c:v>5.7039999999999997</c:v>
              </c:pt>
              <c:pt idx="1">
                <c:v>5.7039999999999997</c:v>
              </c:pt>
              <c:pt idx="2">
                <c:v>5.7</c:v>
              </c:pt>
              <c:pt idx="3">
                <c:v>5.7023000000000001</c:v>
              </c:pt>
              <c:pt idx="4">
                <c:v>5.7051999999999996</c:v>
              </c:pt>
              <c:pt idx="5">
                <c:v>5.7557999999999998</c:v>
              </c:pt>
              <c:pt idx="6">
                <c:v>5.7717999999999998</c:v>
              </c:pt>
              <c:pt idx="7">
                <c:v>5.8105000000000002</c:v>
              </c:pt>
              <c:pt idx="8">
                <c:v>5.8109999999999999</c:v>
              </c:pt>
              <c:pt idx="9">
                <c:v>5.8646000000000003</c:v>
              </c:pt>
              <c:pt idx="10">
                <c:v>5.9176000000000002</c:v>
              </c:pt>
              <c:pt idx="11">
                <c:v>5.9721000000000002</c:v>
              </c:pt>
              <c:pt idx="12">
                <c:v>6.0275999999999996</c:v>
              </c:pt>
              <c:pt idx="13">
                <c:v>6.0824999999999996</c:v>
              </c:pt>
              <c:pt idx="14">
                <c:v>6.1383999999999999</c:v>
              </c:pt>
              <c:pt idx="15">
                <c:v>6.1931000000000003</c:v>
              </c:pt>
              <c:pt idx="16">
                <c:v>6.1931000000000003</c:v>
              </c:pt>
              <c:pt idx="17">
                <c:v>6.1931000000000003</c:v>
              </c:pt>
              <c:pt idx="18">
                <c:v>6.1931000000000003</c:v>
              </c:pt>
              <c:pt idx="19">
                <c:v>6.1931000000000003</c:v>
              </c:pt>
              <c:pt idx="20">
                <c:v>6.2171000000000003</c:v>
              </c:pt>
              <c:pt idx="21">
                <c:v>6.2214999999999998</c:v>
              </c:pt>
              <c:pt idx="22">
                <c:v>6.2492999999999999</c:v>
              </c:pt>
              <c:pt idx="23">
                <c:v>6.3041999999999998</c:v>
              </c:pt>
              <c:pt idx="24">
                <c:v>6.3586</c:v>
              </c:pt>
              <c:pt idx="25">
                <c:v>6.4127999999999998</c:v>
              </c:pt>
              <c:pt idx="26">
                <c:v>6.4669999999999996</c:v>
              </c:pt>
              <c:pt idx="27">
                <c:v>6.5206</c:v>
              </c:pt>
              <c:pt idx="28">
                <c:v>6.5753000000000004</c:v>
              </c:pt>
              <c:pt idx="29">
                <c:v>6.6299000000000001</c:v>
              </c:pt>
              <c:pt idx="30">
                <c:v>6.6836000000000002</c:v>
              </c:pt>
              <c:pt idx="31">
                <c:v>6.7382</c:v>
              </c:pt>
              <c:pt idx="32">
                <c:v>6.7927999999999997</c:v>
              </c:pt>
              <c:pt idx="33">
                <c:v>6.8464</c:v>
              </c:pt>
              <c:pt idx="34">
                <c:v>6.9020000000000001</c:v>
              </c:pt>
              <c:pt idx="35">
                <c:v>6.9020000000000001</c:v>
              </c:pt>
              <c:pt idx="36">
                <c:v>6.9020000000000001</c:v>
              </c:pt>
              <c:pt idx="37">
                <c:v>6.9020000000000001</c:v>
              </c:pt>
              <c:pt idx="38">
                <c:v>6.9020000000000001</c:v>
              </c:pt>
              <c:pt idx="39">
                <c:v>6.9241000000000001</c:v>
              </c:pt>
              <c:pt idx="40">
                <c:v>6.9477000000000002</c:v>
              </c:pt>
              <c:pt idx="41">
                <c:v>7.0012999999999996</c:v>
              </c:pt>
              <c:pt idx="42">
                <c:v>7.0548000000000002</c:v>
              </c:pt>
              <c:pt idx="43">
                <c:v>7.1083999999999996</c:v>
              </c:pt>
              <c:pt idx="44">
                <c:v>7.1619000000000002</c:v>
              </c:pt>
              <c:pt idx="45">
                <c:v>7.2164000000000001</c:v>
              </c:pt>
              <c:pt idx="46">
                <c:v>7.2698999999999998</c:v>
              </c:pt>
              <c:pt idx="47">
                <c:v>7.3234000000000004</c:v>
              </c:pt>
              <c:pt idx="48">
                <c:v>7.3768000000000002</c:v>
              </c:pt>
              <c:pt idx="49">
                <c:v>7.4303999999999997</c:v>
              </c:pt>
              <c:pt idx="50">
                <c:v>7.4749999999999996</c:v>
              </c:pt>
              <c:pt idx="51">
                <c:v>7.4749999999999996</c:v>
              </c:pt>
              <c:pt idx="52">
                <c:v>7.4749999999999996</c:v>
              </c:pt>
              <c:pt idx="53">
                <c:v>7.4749999999999996</c:v>
              </c:pt>
              <c:pt idx="54">
                <c:v>7.4749999999999996</c:v>
              </c:pt>
              <c:pt idx="55">
                <c:v>7.4749999999999996</c:v>
              </c:pt>
              <c:pt idx="56">
                <c:v>7.4749999999999996</c:v>
              </c:pt>
              <c:pt idx="57">
                <c:v>7.4749999999999996</c:v>
              </c:pt>
              <c:pt idx="58">
                <c:v>7.4749999999999996</c:v>
              </c:pt>
              <c:pt idx="59">
                <c:v>7.4767000000000001</c:v>
              </c:pt>
              <c:pt idx="60">
                <c:v>7.4775999999999998</c:v>
              </c:pt>
              <c:pt idx="61">
                <c:v>7.4785000000000004</c:v>
              </c:pt>
              <c:pt idx="62">
                <c:v>7.5</c:v>
              </c:pt>
              <c:pt idx="63">
                <c:v>7.5</c:v>
              </c:pt>
              <c:pt idx="64">
                <c:v>7.5</c:v>
              </c:pt>
              <c:pt idx="65">
                <c:v>7.5</c:v>
              </c:pt>
              <c:pt idx="66">
                <c:v>7.5</c:v>
              </c:pt>
              <c:pt idx="67">
                <c:v>7.5</c:v>
              </c:pt>
              <c:pt idx="68">
                <c:v>7.5</c:v>
              </c:pt>
              <c:pt idx="69">
                <c:v>7.5</c:v>
              </c:pt>
              <c:pt idx="70">
                <c:v>7.5</c:v>
              </c:pt>
              <c:pt idx="71">
                <c:v>7.5</c:v>
              </c:pt>
              <c:pt idx="72">
                <c:v>7.5</c:v>
              </c:pt>
              <c:pt idx="73">
                <c:v>7.8729801669480493</c:v>
              </c:pt>
              <c:pt idx="74">
                <c:v>8.1926774529035207</c:v>
              </c:pt>
              <c:pt idx="75">
                <c:v>8.5123747388589912</c:v>
              </c:pt>
              <c:pt idx="76">
                <c:v>8.8320720248144617</c:v>
              </c:pt>
              <c:pt idx="77">
                <c:v>9.1517693107699323</c:v>
              </c:pt>
              <c:pt idx="78">
                <c:v>7.3817181626604764</c:v>
              </c:pt>
              <c:pt idx="79">
                <c:v>7.7546983296085257</c:v>
              </c:pt>
              <c:pt idx="80">
                <c:v>8.1276784965565749</c:v>
              </c:pt>
              <c:pt idx="81">
                <c:v>8.5006586635046251</c:v>
              </c:pt>
              <c:pt idx="82">
                <c:v>8.8736388304526752</c:v>
              </c:pt>
              <c:pt idx="83">
                <c:v>9.2466189974007253</c:v>
              </c:pt>
              <c:pt idx="84">
                <c:v>9.6195991643487755</c:v>
              </c:pt>
              <c:pt idx="85">
                <c:v>10</c:v>
              </c:pt>
              <c:pt idx="86">
                <c:v>10</c:v>
              </c:pt>
            </c:numLit>
          </c:xVal>
          <c:yVal>
            <c:numLit>
              <c:formatCode>General</c:formatCode>
              <c:ptCount val="87"/>
              <c:pt idx="0">
                <c:v>139.70000000000002</c:v>
              </c:pt>
              <c:pt idx="1">
                <c:v>139.62</c:v>
              </c:pt>
              <c:pt idx="2">
                <c:v>139.57</c:v>
              </c:pt>
              <c:pt idx="3">
                <c:v>138.72</c:v>
              </c:pt>
              <c:pt idx="4">
                <c:v>138.602</c:v>
              </c:pt>
              <c:pt idx="5">
                <c:v>136.524</c:v>
              </c:pt>
              <c:pt idx="6">
                <c:v>135.708</c:v>
              </c:pt>
              <c:pt idx="7">
                <c:v>133.73699999999999</c:v>
              </c:pt>
              <c:pt idx="8">
                <c:v>133.71100000000001</c:v>
              </c:pt>
              <c:pt idx="9">
                <c:v>130.953</c:v>
              </c:pt>
              <c:pt idx="10">
                <c:v>128.16899999999998</c:v>
              </c:pt>
              <c:pt idx="11">
                <c:v>125.386</c:v>
              </c:pt>
              <c:pt idx="12">
                <c:v>122.60599999999999</c:v>
              </c:pt>
              <c:pt idx="13">
                <c:v>119.82599999999999</c:v>
              </c:pt>
              <c:pt idx="14">
                <c:v>117.047</c:v>
              </c:pt>
              <c:pt idx="15">
                <c:v>114.271</c:v>
              </c:pt>
              <c:pt idx="16">
                <c:v>114.241</c:v>
              </c:pt>
              <c:pt idx="17">
                <c:v>114.121</c:v>
              </c:pt>
              <c:pt idx="18">
                <c:v>114.001</c:v>
              </c:pt>
              <c:pt idx="19">
                <c:v>113.971</c:v>
              </c:pt>
              <c:pt idx="20">
                <c:v>112.82299999999999</c:v>
              </c:pt>
              <c:pt idx="21">
                <c:v>112.614</c:v>
              </c:pt>
              <c:pt idx="22">
                <c:v>111.191</c:v>
              </c:pt>
              <c:pt idx="23">
                <c:v>108.41500000000001</c:v>
              </c:pt>
              <c:pt idx="24">
                <c:v>105.64</c:v>
              </c:pt>
              <c:pt idx="25">
                <c:v>102.866</c:v>
              </c:pt>
              <c:pt idx="26">
                <c:v>100.095</c:v>
              </c:pt>
              <c:pt idx="27">
                <c:v>97.323999999999998</c:v>
              </c:pt>
              <c:pt idx="28">
                <c:v>94.554000000000002</c:v>
              </c:pt>
              <c:pt idx="29">
                <c:v>91.787000000000006</c:v>
              </c:pt>
              <c:pt idx="30">
                <c:v>89.02</c:v>
              </c:pt>
              <c:pt idx="31">
                <c:v>86.254000000000005</c:v>
              </c:pt>
              <c:pt idx="32">
                <c:v>83.49</c:v>
              </c:pt>
              <c:pt idx="33">
                <c:v>80.72699999999999</c:v>
              </c:pt>
              <c:pt idx="34">
                <c:v>77.965000000000003</c:v>
              </c:pt>
              <c:pt idx="35">
                <c:v>77.92</c:v>
              </c:pt>
              <c:pt idx="36">
                <c:v>77.789999999999992</c:v>
              </c:pt>
              <c:pt idx="37">
                <c:v>77.661000000000001</c:v>
              </c:pt>
              <c:pt idx="38">
                <c:v>77.616</c:v>
              </c:pt>
              <c:pt idx="39">
                <c:v>76.492999999999995</c:v>
              </c:pt>
              <c:pt idx="40">
                <c:v>75.292999999999992</c:v>
              </c:pt>
              <c:pt idx="41">
                <c:v>72.531999999999996</c:v>
              </c:pt>
              <c:pt idx="42">
                <c:v>69.774000000000001</c:v>
              </c:pt>
              <c:pt idx="43">
                <c:v>67.015999999999991</c:v>
              </c:pt>
              <c:pt idx="44">
                <c:v>64.259</c:v>
              </c:pt>
              <c:pt idx="45">
                <c:v>61.503999999999991</c:v>
              </c:pt>
              <c:pt idx="46">
                <c:v>58.75</c:v>
              </c:pt>
              <c:pt idx="47">
                <c:v>55.997</c:v>
              </c:pt>
              <c:pt idx="48">
                <c:v>53.24499999999999</c:v>
              </c:pt>
              <c:pt idx="49">
                <c:v>50.494999999999997</c:v>
              </c:pt>
              <c:pt idx="50">
                <c:v>47.745999999999995</c:v>
              </c:pt>
              <c:pt idx="51">
                <c:v>44.997999999999998</c:v>
              </c:pt>
              <c:pt idx="52">
                <c:v>44.952999999999996</c:v>
              </c:pt>
              <c:pt idx="53">
                <c:v>44.812999999999995</c:v>
              </c:pt>
              <c:pt idx="54">
                <c:v>44.673999999999992</c:v>
              </c:pt>
              <c:pt idx="55">
                <c:v>44.628999999999998</c:v>
              </c:pt>
              <c:pt idx="56">
                <c:v>43.515999999999991</c:v>
              </c:pt>
              <c:pt idx="57">
                <c:v>41.718999999999994</c:v>
              </c:pt>
              <c:pt idx="58">
                <c:v>38.795000000000002</c:v>
              </c:pt>
              <c:pt idx="59">
                <c:v>35.870999999999995</c:v>
              </c:pt>
              <c:pt idx="60">
                <c:v>32.945999999999998</c:v>
              </c:pt>
              <c:pt idx="61">
                <c:v>30.022000000000002</c:v>
              </c:pt>
              <c:pt idx="62">
                <c:v>27.097000000000001</c:v>
              </c:pt>
              <c:pt idx="63">
                <c:v>25.021000000000001</c:v>
              </c:pt>
              <c:pt idx="64">
                <c:v>22.495999999999999</c:v>
              </c:pt>
              <c:pt idx="65">
                <c:v>22.097000000000001</c:v>
              </c:pt>
              <c:pt idx="66">
                <c:v>20.71</c:v>
              </c:pt>
              <c:pt idx="67">
                <c:v>20.655000000000001</c:v>
              </c:pt>
              <c:pt idx="68">
                <c:v>20.5</c:v>
              </c:pt>
              <c:pt idx="69">
                <c:v>20.25</c:v>
              </c:pt>
              <c:pt idx="70">
                <c:v>17.8</c:v>
              </c:pt>
              <c:pt idx="71">
                <c:v>14.8</c:v>
              </c:pt>
              <c:pt idx="72">
                <c:v>10.8</c:v>
              </c:pt>
              <c:pt idx="73">
                <c:v>7.3</c:v>
              </c:pt>
              <c:pt idx="74">
                <c:v>4.3</c:v>
              </c:pt>
              <c:pt idx="75">
                <c:v>1.3</c:v>
              </c:pt>
              <c:pt idx="76">
                <c:v>-1.7</c:v>
              </c:pt>
              <c:pt idx="77">
                <c:v>-4.7</c:v>
              </c:pt>
              <c:pt idx="78">
                <c:v>1.4</c:v>
              </c:pt>
              <c:pt idx="79">
                <c:v>-2.1</c:v>
              </c:pt>
              <c:pt idx="80">
                <c:v>-5.6</c:v>
              </c:pt>
              <c:pt idx="81">
                <c:v>-9.1</c:v>
              </c:pt>
              <c:pt idx="82">
                <c:v>-12.6</c:v>
              </c:pt>
              <c:pt idx="83">
                <c:v>-16.100000000000001</c:v>
              </c:pt>
              <c:pt idx="84">
                <c:v>-19.600000000000001</c:v>
              </c:pt>
              <c:pt idx="85">
                <c:v>-23.1</c:v>
              </c:pt>
              <c:pt idx="86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687-4D19-92F1-5318E0F5EE9B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687-4D19-92F1-5318E0F5EE9B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687-4D19-92F1-5318E0F5E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2"/>
          <c:min val="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Diam[m]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Drop" dropStyle="combo" dx="26" noThreeD="1" sel="1" val="0">
  <itemLst>
    <item val="24A535_FEED_DP-A1_L0_G0_S0"/>
    <item val="24A535_FEED_DP-A1_L0_G1_S1"/>
  </itemLst>
</formControlPr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Style="combo" dx="26" noThreeD="1" sel="2" val="0">
  <itemLst>
    <item val="24A535_FEED_DP-A1_L0_G0_S0"/>
    <item val="24A535_FEED_DP-A1_L0_G1_S1"/>
  </itemLst>
</formControlPr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Drop" dropStyle="combo" dx="26" noThreeD="1" sel="1" val="0">
  <itemLst>
    <item val="24A535_FEED_DP-A1_L0_G0_S0"/>
    <item val="24A535_FEED_DP-A1_L0_G1_S1"/>
  </itemLst>
</formControlPr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CheckBox" checked="Checked" fmlaLink="USE_TP" lockText="1" noThreeD="1"/>
</file>

<file path=xl/ctrlProps/ctrlProp23.xml><?xml version="1.0" encoding="utf-8"?>
<formControlPr xmlns="http://schemas.microsoft.com/office/spreadsheetml/2009/9/main" objectType="CheckBox" checked="Checked" fmlaLink="Use_MP" lockText="1" noThreeD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Drop" dropStyle="combo" dx="26" noThreeD="1" sel="3" val="0">
  <itemLst>
    <item val="Siemens-3.6-120"/>
    <item val="Bard-5.0-122"/>
    <item val="Siemens-4.0-130"/>
    <item val="Aerodyn-6.0-142 , 2 Blade"/>
    <item val="Siemens-8.0-164"/>
    <item val="Vestas-9.5-174"/>
    <item val="Vestas-10.0-180"/>
    <item val="GE-13.0-210"/>
    <item val="GE-12.0-220"/>
    <item val="GE-15.0-220"/>
    <item val="Vestas"/>
    <item val="GE-15.0-240"/>
  </itemLst>
</formControlPr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295275</xdr:colOff>
          <xdr:row>13</xdr:row>
          <xdr:rowOff>104775</xdr:rowOff>
        </xdr:from>
        <xdr:to>
          <xdr:col>3</xdr:col>
          <xdr:colOff>552450</xdr:colOff>
          <xdr:row>16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13</xdr:row>
          <xdr:rowOff>123825</xdr:rowOff>
        </xdr:from>
        <xdr:to>
          <xdr:col>5</xdr:col>
          <xdr:colOff>495300</xdr:colOff>
          <xdr:row>16</xdr:row>
          <xdr:rowOff>85725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Drawing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13</xdr:row>
          <xdr:rowOff>123825</xdr:rowOff>
        </xdr:from>
        <xdr:to>
          <xdr:col>2</xdr:col>
          <xdr:colOff>28575</xdr:colOff>
          <xdr:row>16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Structure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163286</xdr:colOff>
      <xdr:row>20</xdr:row>
      <xdr:rowOff>53068</xdr:rowOff>
    </xdr:from>
    <xdr:to>
      <xdr:col>16</xdr:col>
      <xdr:colOff>381000</xdr:colOff>
      <xdr:row>64</xdr:row>
      <xdr:rowOff>122464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F3E0C3FA-6CFC-429C-AC0A-9E2C023A74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612322</xdr:colOff>
      <xdr:row>20</xdr:row>
      <xdr:rowOff>66675</xdr:rowOff>
    </xdr:from>
    <xdr:to>
      <xdr:col>21</xdr:col>
      <xdr:colOff>258535</xdr:colOff>
      <xdr:row>64</xdr:row>
      <xdr:rowOff>163284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ABFCE6BF-024C-416F-902B-5C620C6729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819150</xdr:colOff>
          <xdr:row>13</xdr:row>
          <xdr:rowOff>133350</xdr:rowOff>
        </xdr:from>
        <xdr:to>
          <xdr:col>7</xdr:col>
          <xdr:colOff>371475</xdr:colOff>
          <xdr:row>16</xdr:row>
          <xdr:rowOff>104775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Pick this generation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13</xdr:row>
          <xdr:rowOff>228600</xdr:rowOff>
        </xdr:from>
        <xdr:to>
          <xdr:col>2</xdr:col>
          <xdr:colOff>190500</xdr:colOff>
          <xdr:row>14</xdr:row>
          <xdr:rowOff>228600</xdr:rowOff>
        </xdr:to>
        <xdr:sp macro="" textlink="">
          <xdr:nvSpPr>
            <xdr:cNvPr id="4102" name="Dropdown_MP_Structures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12</xdr:row>
          <xdr:rowOff>28575</xdr:rowOff>
        </xdr:from>
        <xdr:to>
          <xdr:col>1</xdr:col>
          <xdr:colOff>1076325</xdr:colOff>
          <xdr:row>12</xdr:row>
          <xdr:rowOff>276225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17</xdr:row>
          <xdr:rowOff>19050</xdr:rowOff>
        </xdr:from>
        <xdr:to>
          <xdr:col>14</xdr:col>
          <xdr:colOff>1343025</xdr:colOff>
          <xdr:row>21</xdr:row>
          <xdr:rowOff>142875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361950</xdr:colOff>
          <xdr:row>16</xdr:row>
          <xdr:rowOff>171450</xdr:rowOff>
        </xdr:from>
        <xdr:to>
          <xdr:col>11</xdr:col>
          <xdr:colOff>819150</xdr:colOff>
          <xdr:row>21</xdr:row>
          <xdr:rowOff>133350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123825</xdr:rowOff>
        </xdr:from>
        <xdr:to>
          <xdr:col>4</xdr:col>
          <xdr:colOff>133350</xdr:colOff>
          <xdr:row>3</xdr:row>
          <xdr:rowOff>142875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1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Assemble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4</xdr:row>
          <xdr:rowOff>95250</xdr:rowOff>
        </xdr:from>
        <xdr:to>
          <xdr:col>2</xdr:col>
          <xdr:colOff>285750</xdr:colOff>
          <xdr:row>7</xdr:row>
          <xdr:rowOff>171450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1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Structure from MP Tool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38100</xdr:colOff>
          <xdr:row>13</xdr:row>
          <xdr:rowOff>161925</xdr:rowOff>
        </xdr:from>
        <xdr:to>
          <xdr:col>36</xdr:col>
          <xdr:colOff>371475</xdr:colOff>
          <xdr:row>14</xdr:row>
          <xdr:rowOff>152400</xdr:rowOff>
        </xdr:to>
        <xdr:sp macro="" textlink="">
          <xdr:nvSpPr>
            <xdr:cNvPr id="4117" name="Dropdown_TP_Structures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1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28575</xdr:colOff>
          <xdr:row>12</xdr:row>
          <xdr:rowOff>28575</xdr:rowOff>
        </xdr:from>
        <xdr:to>
          <xdr:col>34</xdr:col>
          <xdr:colOff>800100</xdr:colOff>
          <xdr:row>12</xdr:row>
          <xdr:rowOff>257175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1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38100</xdr:colOff>
          <xdr:row>17</xdr:row>
          <xdr:rowOff>19050</xdr:rowOff>
        </xdr:from>
        <xdr:to>
          <xdr:col>47</xdr:col>
          <xdr:colOff>1343025</xdr:colOff>
          <xdr:row>21</xdr:row>
          <xdr:rowOff>142875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1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276225</xdr:colOff>
          <xdr:row>17</xdr:row>
          <xdr:rowOff>47625</xdr:rowOff>
        </xdr:from>
        <xdr:to>
          <xdr:col>45</xdr:col>
          <xdr:colOff>762000</xdr:colOff>
          <xdr:row>21</xdr:row>
          <xdr:rowOff>152400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1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38100</xdr:colOff>
          <xdr:row>13</xdr:row>
          <xdr:rowOff>161925</xdr:rowOff>
        </xdr:from>
        <xdr:to>
          <xdr:col>70</xdr:col>
          <xdr:colOff>390525</xdr:colOff>
          <xdr:row>14</xdr:row>
          <xdr:rowOff>152400</xdr:rowOff>
        </xdr:to>
        <xdr:sp macro="" textlink="">
          <xdr:nvSpPr>
            <xdr:cNvPr id="4122" name="Dropdown_TOWER_Structures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1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38100</xdr:colOff>
          <xdr:row>12</xdr:row>
          <xdr:rowOff>38100</xdr:rowOff>
        </xdr:from>
        <xdr:to>
          <xdr:col>68</xdr:col>
          <xdr:colOff>790575</xdr:colOff>
          <xdr:row>12</xdr:row>
          <xdr:rowOff>266700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1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80</xdr:col>
          <xdr:colOff>866775</xdr:colOff>
          <xdr:row>17</xdr:row>
          <xdr:rowOff>19050</xdr:rowOff>
        </xdr:from>
        <xdr:to>
          <xdr:col>81</xdr:col>
          <xdr:colOff>2171700</xdr:colOff>
          <xdr:row>21</xdr:row>
          <xdr:rowOff>142875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1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78</xdr:col>
          <xdr:colOff>333375</xdr:colOff>
          <xdr:row>16</xdr:row>
          <xdr:rowOff>171450</xdr:rowOff>
        </xdr:from>
        <xdr:to>
          <xdr:col>80</xdr:col>
          <xdr:colOff>809625</xdr:colOff>
          <xdr:row>21</xdr:row>
          <xdr:rowOff>133350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1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1095375</xdr:colOff>
          <xdr:row>12</xdr:row>
          <xdr:rowOff>28575</xdr:rowOff>
        </xdr:from>
        <xdr:to>
          <xdr:col>1</xdr:col>
          <xdr:colOff>2552700</xdr:colOff>
          <xdr:row>12</xdr:row>
          <xdr:rowOff>266700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1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838200</xdr:colOff>
          <xdr:row>12</xdr:row>
          <xdr:rowOff>19050</xdr:rowOff>
        </xdr:from>
        <xdr:to>
          <xdr:col>35</xdr:col>
          <xdr:colOff>0</xdr:colOff>
          <xdr:row>12</xdr:row>
          <xdr:rowOff>247650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1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819150</xdr:colOff>
          <xdr:row>12</xdr:row>
          <xdr:rowOff>19050</xdr:rowOff>
        </xdr:from>
        <xdr:to>
          <xdr:col>69</xdr:col>
          <xdr:colOff>9525</xdr:colOff>
          <xdr:row>12</xdr:row>
          <xdr:rowOff>257175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1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6</xdr:row>
          <xdr:rowOff>19050</xdr:rowOff>
        </xdr:from>
        <xdr:to>
          <xdr:col>3</xdr:col>
          <xdr:colOff>866775</xdr:colOff>
          <xdr:row>8</xdr:row>
          <xdr:rowOff>133350</xdr:rowOff>
        </xdr:to>
        <xdr:sp macro="" textlink="">
          <xdr:nvSpPr>
            <xdr:cNvPr id="4130" name="Import_MP_use_TP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1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TP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4</xdr:row>
          <xdr:rowOff>38100</xdr:rowOff>
        </xdr:from>
        <xdr:to>
          <xdr:col>3</xdr:col>
          <xdr:colOff>942975</xdr:colOff>
          <xdr:row>6</xdr:row>
          <xdr:rowOff>133350</xdr:rowOff>
        </xdr:to>
        <xdr:sp macro="" textlink="">
          <xdr:nvSpPr>
            <xdr:cNvPr id="4131" name="Import_MP_use_MP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1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Use MP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14</xdr:row>
          <xdr:rowOff>0</xdr:rowOff>
        </xdr:from>
        <xdr:to>
          <xdr:col>7</xdr:col>
          <xdr:colOff>704850</xdr:colOff>
          <xdr:row>14</xdr:row>
          <xdr:rowOff>247650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1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move stucture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57150</xdr:colOff>
          <xdr:row>14</xdr:row>
          <xdr:rowOff>0</xdr:rowOff>
        </xdr:from>
        <xdr:to>
          <xdr:col>42</xdr:col>
          <xdr:colOff>733425</xdr:colOff>
          <xdr:row>14</xdr:row>
          <xdr:rowOff>247650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1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move stucture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102</xdr:col>
          <xdr:colOff>38100</xdr:colOff>
          <xdr:row>13</xdr:row>
          <xdr:rowOff>161925</xdr:rowOff>
        </xdr:from>
        <xdr:to>
          <xdr:col>104</xdr:col>
          <xdr:colOff>152400</xdr:colOff>
          <xdr:row>14</xdr:row>
          <xdr:rowOff>152400</xdr:rowOff>
        </xdr:to>
        <xdr:sp macro="" textlink="">
          <xdr:nvSpPr>
            <xdr:cNvPr id="4135" name="Dropdown_RNA_Structures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1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102</xdr:col>
          <xdr:colOff>38100</xdr:colOff>
          <xdr:row>12</xdr:row>
          <xdr:rowOff>38100</xdr:rowOff>
        </xdr:from>
        <xdr:to>
          <xdr:col>102</xdr:col>
          <xdr:colOff>790575</xdr:colOff>
          <xdr:row>12</xdr:row>
          <xdr:rowOff>266700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1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106</xdr:col>
          <xdr:colOff>856129</xdr:colOff>
          <xdr:row>13</xdr:row>
          <xdr:rowOff>30256</xdr:rowOff>
        </xdr:from>
        <xdr:to>
          <xdr:col>107</xdr:col>
          <xdr:colOff>1591235</xdr:colOff>
          <xdr:row>15</xdr:row>
          <xdr:rowOff>154081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1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102</xdr:col>
          <xdr:colOff>819150</xdr:colOff>
          <xdr:row>12</xdr:row>
          <xdr:rowOff>19050</xdr:rowOff>
        </xdr:from>
        <xdr:to>
          <xdr:col>103</xdr:col>
          <xdr:colOff>9525</xdr:colOff>
          <xdr:row>12</xdr:row>
          <xdr:rowOff>257175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1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142875</xdr:rowOff>
        </xdr:from>
        <xdr:to>
          <xdr:col>1</xdr:col>
          <xdr:colOff>1038225</xdr:colOff>
          <xdr:row>4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pick dir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1085850</xdr:colOff>
          <xdr:row>3</xdr:row>
          <xdr:rowOff>142875</xdr:rowOff>
        </xdr:from>
        <xdr:to>
          <xdr:col>1</xdr:col>
          <xdr:colOff>2114550</xdr:colOff>
          <xdr:row>4</xdr:row>
          <xdr:rowOff>219075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JBOOST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I:\2024\A\24A525_EnBW_Dreekant_FEED\02_Statik\03_Gr&#252;ndungsstruktur\01_MP\01_FEED\22MW\MPTP_DP-B1_L0_G0_S0.xlsm" TargetMode="External"/><Relationship Id="rId1" Type="http://schemas.openxmlformats.org/officeDocument/2006/relationships/externalLinkPath" Target="file:///I:\2024\A\24A525_EnBW_Dreekant_FEED\02_Statik\03_Gr&#252;ndungsstruktur\01_MP\01_FEED\22MW\MPTP_DP-B1_L0_G0_S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nual"/>
      <sheetName val="Rev info"/>
      <sheetName val="Control"/>
      <sheetName val="Notes"/>
      <sheetName val="Geometry"/>
      <sheetName val="Eff. thickness (DNVGL-RP-C203)"/>
      <sheetName val="Loads"/>
      <sheetName val="Background_data"/>
      <sheetName val="Steel grades"/>
      <sheetName val="Draw.Gen. TP"/>
      <sheetName val="Draw.Gen. MP"/>
      <sheetName val="Geometry_loads"/>
      <sheetName val="FLS TP"/>
      <sheetName val="FLS MP"/>
      <sheetName val="ULS TP"/>
      <sheetName val="ULS MP"/>
      <sheetName val="ULS MP (driving)"/>
      <sheetName val="FLS MP (driving)"/>
      <sheetName val="FLS driv. welds"/>
      <sheetName val="FLS driv. attachments"/>
    </sheetNames>
    <sheetDataSet>
      <sheetData sheetId="0"/>
      <sheetData sheetId="1"/>
      <sheetData sheetId="2">
        <row r="7">
          <cell r="F7" t="str">
            <v>LAT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1AF5F9E-A6E5-4BA1-83BE-2546351DAE06}" name="MP_META" displayName="MP_META" ref="B18:H19" totalsRowShown="0" headerRowDxfId="275" dataDxfId="274">
  <autoFilter ref="B18:H19" xr:uid="{51AF5F9E-A6E5-4BA1-83BE-2546351DAE06}"/>
  <tableColumns count="7">
    <tableColumn id="1" xr3:uid="{8004DE55-01A0-4AB5-A007-D379F8ED184F}" name="Identifier" dataDxfId="273"/>
    <tableColumn id="2" xr3:uid="{73AEE22B-B9CF-4401-B31E-64902257C6A9}" name="Project ID" dataDxfId="272"/>
    <tableColumn id="3" xr3:uid="{6CD7BEF9-707B-4F7D-A334-46DB51B6F454}" name="Phase" dataDxfId="271"/>
    <tableColumn id="4" xr3:uid="{5572AB9F-884A-4001-85E7-5E708A2DFC71}" name="Structure ID" dataDxfId="270"/>
    <tableColumn id="5" xr3:uid="{AFCB5F1D-C5C1-4D21-A7C0-310C0D52F9E4}" name="Water Depth [m]" dataDxfId="269"/>
    <tableColumn id="6" xr3:uid="{149EEBB8-62A5-42C4-97FD-484848DB0825}" name="Height Reference" dataDxfId="268"/>
    <tableColumn id="7" xr3:uid="{82ECC3EB-0382-490B-8CE7-963B13E4D1A1}" name="Comments" dataDxfId="26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8117B73-5FCA-4002-A528-31B3F83BDE75}" name="MP_META_NEW" displayName="MP_META_NEW" ref="B21:H23" totalsRowShown="0" headerRowDxfId="266" dataDxfId="265">
  <autoFilter ref="B21:H23" xr:uid="{58117B73-5FCA-4002-A528-31B3F83BDE75}"/>
  <tableColumns count="7">
    <tableColumn id="1" xr3:uid="{5C484AAB-AA0F-4FBD-9543-28D80EB7F84D}" name="Identifier" dataDxfId="264"/>
    <tableColumn id="2" xr3:uid="{87603448-795E-499B-8754-D6455D5FF52F}" name="Project ID" dataDxfId="263"/>
    <tableColumn id="3" xr3:uid="{51EA6487-4EF3-43A9-B440-34893EEEEAB2}" name="Phase" dataDxfId="262"/>
    <tableColumn id="4" xr3:uid="{4AC48BB5-6D2E-492F-89B1-5662010991A8}" name="Structure ID" dataDxfId="261"/>
    <tableColumn id="5" xr3:uid="{2AE3ED2D-7CAB-45B8-AA43-6197A5DBB9C2}" name="Water Depth [m]" dataDxfId="260"/>
    <tableColumn id="6" xr3:uid="{BC0E3E2E-DE67-4FD9-94E9-5C112B52D3FD}" name="Height Reference" dataDxfId="259"/>
    <tableColumn id="7" xr3:uid="{16928D7F-3DB7-43BD-BCF5-5C279A3E16F5}" name="Comments" dataDxfId="25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9C31EE9-6B44-4D67-9597-BD108F88B355}" name="MP_DATA" displayName="MP_DATA" ref="B24:G49" totalsRowShown="0" headerRowDxfId="257" dataDxfId="256">
  <autoFilter ref="B24:G49" xr:uid="{C9C31EE9-6B44-4D67-9597-BD108F88B355}"/>
  <sortState xmlns:xlrd2="http://schemas.microsoft.com/office/spreadsheetml/2017/richdata2" ref="B25:L49">
    <sortCondition ref="B24:B49"/>
  </sortState>
  <tableColumns count="6">
    <tableColumn id="1" xr3:uid="{15F53C56-04A7-4EA4-A64D-A2A5A78E2AA2}" name="Section" dataDxfId="255"/>
    <tableColumn id="2" xr3:uid="{01B5124C-F6E1-40D2-9236-F2D6BE941DD3}" name="Top [m]" dataDxfId="254"/>
    <tableColumn id="3" xr3:uid="{0537C90E-D320-4AC4-8392-2A7C45CE31A1}" name="Bottom [m]" dataDxfId="253"/>
    <tableColumn id="4" xr3:uid="{3F0DC3DB-26F8-4D70-A358-70EF5E1596F5}" name="D, top [m]" dataDxfId="252"/>
    <tableColumn id="5" xr3:uid="{25F6B1D8-AC49-468F-BDCD-72AC07BB3CD0}" name="D, bottom [m]" dataDxfId="251"/>
    <tableColumn id="6" xr3:uid="{3ED99EE5-BCA8-4244-A3E5-81C6F22A9AB2}" name="t [mm]" dataDxfId="25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6B677D-4D25-4464-BE0D-6A1E644518C5}" name="MP_META_TRUE" displayName="MP_META_TRUE" ref="P18:V19" totalsRowShown="0" headerRowDxfId="249" dataDxfId="248">
  <autoFilter ref="P18:V19" xr:uid="{F46B677D-4D25-4464-BE0D-6A1E644518C5}"/>
  <tableColumns count="7">
    <tableColumn id="1" xr3:uid="{ECD0389F-015D-412B-9FF1-D5BEAAD27FC1}" name="Identifier" dataDxfId="247"/>
    <tableColumn id="2" xr3:uid="{90794316-AE1E-4D40-A728-B5B995A9CF65}" name="Project ID" dataDxfId="246"/>
    <tableColumn id="3" xr3:uid="{B8C9242D-AC32-4E57-A861-DB7E615D6A1C}" name="Phase" dataDxfId="245"/>
    <tableColumn id="4" xr3:uid="{1EEB510B-3010-431D-B8C6-870D9180A629}" name="Structure ID" dataDxfId="244"/>
    <tableColumn id="5" xr3:uid="{B6F5C20C-83C1-4B16-B4D3-933D066BB6A0}" name="Water Depth [m]" dataDxfId="243"/>
    <tableColumn id="6" xr3:uid="{26EA3A2D-14E0-4809-9795-74592B4984AD}" name="Height Reference" dataDxfId="242"/>
    <tableColumn id="7" xr3:uid="{9AC62F3C-D12C-40A1-8AF4-F7C9B043F1FB}" name="Comments" dataDxfId="24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6FD7C67-BF9C-41F4-B134-682EDE7A007C}" name="MP_META_FULL" displayName="MP_META_FULL" ref="AA18:AG20" totalsRowShown="0" headerRowDxfId="240" dataDxfId="239">
  <autoFilter ref="AA18:AG20" xr:uid="{46FD7C67-BF9C-41F4-B134-682EDE7A007C}"/>
  <sortState xmlns:xlrd2="http://schemas.microsoft.com/office/spreadsheetml/2017/richdata2" ref="AA19:AE20">
    <sortCondition descending="1" ref="AC18:AC20"/>
  </sortState>
  <tableColumns count="7">
    <tableColumn id="1" xr3:uid="{43AB1C43-FBC5-42AE-8DFA-4651B77C56A0}" name="Identifier" dataDxfId="238"/>
    <tableColumn id="2" xr3:uid="{75FB6F15-9784-4F9D-9947-41C8E7DD1CC9}" name="Project ID" dataDxfId="237"/>
    <tableColumn id="3" xr3:uid="{DF3379D9-9371-4EDE-B715-A6A40C072275}" name="Phase" dataDxfId="236"/>
    <tableColumn id="4" xr3:uid="{B2F66CA1-64D8-49D4-A1DA-28FD14EC75C2}" name="Structure ID" dataDxfId="235"/>
    <tableColumn id="5" xr3:uid="{E0EC4989-22E7-49A3-8DAC-034A87568E19}" name="Water Depth [m]" dataDxfId="234"/>
    <tableColumn id="6" xr3:uid="{9873A46F-D488-4AA7-BC64-C1E65C65D808}" name="Height Reference" dataDxfId="233"/>
    <tableColumn id="7" xr3:uid="{CD60E691-17C5-40B2-9E26-571B6CB0C11D}" name="Comments" dataDxfId="23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6CFF05-2CD9-405C-829A-5AD7B62A8ACE}" name="MP_DATA_TRUE" displayName="MP_DATA_TRUE" ref="P24:U49" totalsRowShown="0" headerRowDxfId="231" dataDxfId="230">
  <autoFilter ref="P24:U49" xr:uid="{186CFF05-2CD9-405C-829A-5AD7B62A8ACE}"/>
  <sortState xmlns:xlrd2="http://schemas.microsoft.com/office/spreadsheetml/2017/richdata2" ref="P25:Z49">
    <sortCondition ref="P24:P49"/>
  </sortState>
  <tableColumns count="6">
    <tableColumn id="1" xr3:uid="{66D6C4E1-74CA-4A30-A085-277EA5E62B3C}" name="Section" dataDxfId="229"/>
    <tableColumn id="2" xr3:uid="{D0F6ECD2-6414-48B2-9B47-1C3B8BAC860B}" name="Top [m]" dataDxfId="228"/>
    <tableColumn id="3" xr3:uid="{575FC20A-0259-4081-83F8-71040557AEA8}" name="Bottom [m]" dataDxfId="227"/>
    <tableColumn id="4" xr3:uid="{529E5CD0-69F2-4E59-86A7-A3E6F1B39E96}" name="D, top [m]" dataDxfId="226"/>
    <tableColumn id="5" xr3:uid="{7F90AAFA-52D7-47DB-A99D-3E3E0AEE6541}" name="D, bottom [m]" dataDxfId="225"/>
    <tableColumn id="6" xr3:uid="{1B01547B-4485-4B79-8DB3-FCEA1C806B60}" name="t [mm]" dataDxfId="22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C2F2D263-B298-4967-B7BA-2043D2636A28}" name="MP_MASSES" displayName="MP_MASSES" ref="M24:O29" totalsRowShown="0" headerRowDxfId="223" dataDxfId="222">
  <autoFilter ref="M24:O29" xr:uid="{C2F2D263-B298-4967-B7BA-2043D2636A28}"/>
  <tableColumns count="3">
    <tableColumn id="2" xr3:uid="{365B74CD-D14D-4F75-ABA6-B5CBD126E6F2}" name="Elevation [m]" dataDxfId="221"/>
    <tableColumn id="12" xr3:uid="{3CC0B321-8A95-4AEE-8DFB-77DAE8FAB528}" name="Mass [kg]" dataDxfId="220"/>
    <tableColumn id="3" xr3:uid="{29EF80FE-079C-4A10-9ADB-03D595E35311}" name="commment" dataDxfId="21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4D5B4094-2520-4C0E-83CB-05269AAFC062}" name="MP_MASSES_TRUE" displayName="MP_MASSES_TRUE" ref="W24:Y29" totalsRowShown="0" headerRowDxfId="218" dataDxfId="217">
  <autoFilter ref="W24:Y29" xr:uid="{4D5B4094-2520-4C0E-83CB-05269AAFC062}"/>
  <tableColumns count="3">
    <tableColumn id="1" xr3:uid="{C2D9CE8B-C220-46E5-BFE0-3791AC870182}" name="Elevation [m]" dataDxfId="216"/>
    <tableColumn id="2" xr3:uid="{1DE92BEA-EA77-4A06-9EE3-C4BCA53FA4BA}" name="Mass [kg]" dataDxfId="215"/>
    <tableColumn id="3" xr3:uid="{6F0C1064-8277-4D7C-890E-7B7872EA90CF}" name="commment" dataDxfId="21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B04AF76-1113-4DD9-A88C-A478EB316C6E}" name="TP_META" displayName="TP_META" ref="AI18:AO19" totalsRowShown="0" headerRowDxfId="213" dataDxfId="212">
  <autoFilter ref="AI18:AO19" xr:uid="{0B04AF76-1113-4DD9-A88C-A478EB316C6E}"/>
  <tableColumns count="7">
    <tableColumn id="1" xr3:uid="{58455F34-16BF-4A81-8A57-F2B2E3E28892}" name="Identifier" dataDxfId="211"/>
    <tableColumn id="2" xr3:uid="{BDC511B7-0336-49CC-A0D7-40D96154D38D}" name="Project ID" dataDxfId="210"/>
    <tableColumn id="3" xr3:uid="{2D75BE55-2BF9-456C-AE5A-2A1218318BAA}" name="Phase" dataDxfId="209"/>
    <tableColumn id="4" xr3:uid="{2B0B47A1-6AA2-4D55-8DF5-A88A949DEAB3}" name="Structure ID" dataDxfId="208"/>
    <tableColumn id="5" xr3:uid="{24994B91-D518-4335-8AFB-5B728F5B9A9A}" name="Water Depth [m]" dataDxfId="207"/>
    <tableColumn id="6" xr3:uid="{BC674145-8AD9-4667-B204-310C7780D8BD}" name="Height Reference" dataDxfId="206"/>
    <tableColumn id="7" xr3:uid="{8574AD8B-5882-49EF-B1C0-6AEBD6820423}" name="Comments" dataDxfId="20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5DB58A4-E4A6-44E9-9800-F1D5AD7D9AA7}" name="TP_META_NEW" displayName="TP_META_NEW" ref="AI21:AO22" insertRow="1" totalsRowShown="0" headerRowDxfId="204" dataDxfId="203">
  <autoFilter ref="AI21:AO22" xr:uid="{05DB58A4-E4A6-44E9-9800-F1D5AD7D9AA7}"/>
  <tableColumns count="7">
    <tableColumn id="1" xr3:uid="{2E834674-089F-43C8-8D07-2A374229A7BC}" name="Identifier" dataDxfId="202"/>
    <tableColumn id="2" xr3:uid="{6BEA972F-3506-4C48-AEB4-7F07A56A7185}" name="Project ID" dataDxfId="201"/>
    <tableColumn id="3" xr3:uid="{4E216AD3-8A97-4909-B2FD-78BAAFF0AD26}" name="Phase" dataDxfId="200"/>
    <tableColumn id="4" xr3:uid="{787011D0-F0FA-4EDD-881B-22121DF4902E}" name="Structure ID" dataDxfId="199"/>
    <tableColumn id="5" xr3:uid="{2067DA19-30E8-4DC2-9605-F5989A843C96}" name="Water Depth [m]" dataDxfId="198"/>
    <tableColumn id="6" xr3:uid="{E1008977-49E5-479B-9DB3-40A483860F73}" name="Height Reference" dataDxfId="197"/>
    <tableColumn id="7" xr3:uid="{F3EB13E3-9193-4095-B8C2-92AB811162B8}" name="Comments" dataDxfId="19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63505FA-4645-4E01-B220-9A826ACB16FB}" name="TP_DATA" displayName="TP_DATA" ref="AI24:AN28" totalsRowShown="0" headerRowDxfId="195" dataDxfId="194">
  <autoFilter ref="AI24:AN28" xr:uid="{463505FA-4645-4E01-B220-9A826ACB16FB}"/>
  <sortState xmlns:xlrd2="http://schemas.microsoft.com/office/spreadsheetml/2017/richdata2" ref="AI25:AS49">
    <sortCondition ref="AI24:AI49"/>
  </sortState>
  <tableColumns count="6">
    <tableColumn id="1" xr3:uid="{B63189BD-DBD1-4507-A787-F69DD84B759C}" name="Section" dataDxfId="193"/>
    <tableColumn id="2" xr3:uid="{20DD1485-D982-4D84-8836-A1F004AD90A8}" name="Top [m]" dataDxfId="192"/>
    <tableColumn id="3" xr3:uid="{A05F4E1F-5C83-413A-B9BE-2BBE3AB13A3B}" name="Bottom [m]" dataDxfId="191"/>
    <tableColumn id="4" xr3:uid="{EBAC8D31-17F8-4535-9E03-9B656FFD2B81}" name="D, top [m]" dataDxfId="190"/>
    <tableColumn id="5" xr3:uid="{A4A3D92C-C993-453F-AF5C-E4B75CB27682}" name="D, bottom [m]" dataDxfId="189"/>
    <tableColumn id="6" xr3:uid="{32AD350F-83E6-4938-BC67-33A5C8B767FF}" name="t [mm]" dataDxfId="188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ED14D31-21E8-495C-899A-C1BE36AC7D57}" name="TP_META_TRUE" displayName="TP_META_TRUE" ref="AX18:BD19" totalsRowShown="0" headerRowDxfId="187" dataDxfId="186">
  <autoFilter ref="AX18:BD19" xr:uid="{6ED14D31-21E8-495C-899A-C1BE36AC7D57}"/>
  <tableColumns count="7">
    <tableColumn id="1" xr3:uid="{DA9D700C-EEF5-42F6-A311-BAEEF88B1BB7}" name="Identifier" dataDxfId="185"/>
    <tableColumn id="2" xr3:uid="{F3154507-C41A-47B8-8944-C5C95FFA02DB}" name="Project ID" dataDxfId="184"/>
    <tableColumn id="3" xr3:uid="{80771C1F-325D-4BE1-93EC-AEBADAEF8C45}" name="Phase" dataDxfId="183"/>
    <tableColumn id="4" xr3:uid="{58EF9147-D484-4AD2-85BC-FC61A3DF1B06}" name="Structure ID" dataDxfId="182"/>
    <tableColumn id="5" xr3:uid="{08D6C2E1-6DB9-491C-8175-4D57250F03F8}" name="Water Depth [m]" dataDxfId="181"/>
    <tableColumn id="6" xr3:uid="{6D129076-7D09-47E2-9F0F-2301ACE416A2}" name="Height Reference" dataDxfId="180"/>
    <tableColumn id="7" xr3:uid="{F96CE66F-661C-4D0F-869C-6075FFBE1D63}" name="Comments" dataDxfId="179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3895FE4-33B0-49A8-99F6-25EAD4C42C05}" name="TP_META_FULL" displayName="TP_META_FULL" ref="BI18:BO20" totalsRowShown="0" headerRowDxfId="178" dataDxfId="177">
  <autoFilter ref="BI18:BO20" xr:uid="{C3895FE4-33B0-49A8-99F6-25EAD4C42C05}"/>
  <sortState xmlns:xlrd2="http://schemas.microsoft.com/office/spreadsheetml/2017/richdata2" ref="BI19:BM20">
    <sortCondition descending="1" ref="BK18:BK20"/>
  </sortState>
  <tableColumns count="7">
    <tableColumn id="1" xr3:uid="{39574F94-1416-4BF2-B8F9-333B3F24B77C}" name="Identifier" dataDxfId="176"/>
    <tableColumn id="2" xr3:uid="{10221FF0-6669-415E-A4C9-1A925A636E0E}" name="Project ID" dataDxfId="175"/>
    <tableColumn id="3" xr3:uid="{51ED7DEE-637C-4EB3-BD51-712CBF1C3A3F}" name="Phase" dataDxfId="174"/>
    <tableColumn id="4" xr3:uid="{1FA8653A-38E1-49B7-812A-65D83A87164E}" name="Structure ID" dataDxfId="173"/>
    <tableColumn id="5" xr3:uid="{6C9EA130-8028-4AEB-8FB2-AF4D80F48270}" name="Water Depth [m]" dataDxfId="172"/>
    <tableColumn id="6" xr3:uid="{83CD3E29-C555-4D73-9F88-767BB7CFEAA2}" name="Height Reference" dataDxfId="171"/>
    <tableColumn id="7" xr3:uid="{E5776344-EC8E-455B-8C7D-2D48B57F6EF9}" name="Comments" dataDxfId="170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2A1D9C7-47A9-4F63-8343-1C661E8816F7}" name="TP_DATA_TRUE" displayName="TP_DATA_TRUE" ref="AX24:BC28" totalsRowShown="0" headerRowDxfId="169" dataDxfId="168">
  <autoFilter ref="AX24:BC28" xr:uid="{62A1D9C7-47A9-4F63-8343-1C661E8816F7}"/>
  <sortState xmlns:xlrd2="http://schemas.microsoft.com/office/spreadsheetml/2017/richdata2" ref="AX25:BH49">
    <sortCondition ref="AX24:AX49"/>
  </sortState>
  <tableColumns count="6">
    <tableColumn id="1" xr3:uid="{E243C011-FF5E-4AF1-A1B3-9F3C7CF7C9AA}" name="Section" dataDxfId="167"/>
    <tableColumn id="2" xr3:uid="{00F60C63-2770-42C2-B48C-5D66D3C52BC7}" name="Top [m]" dataDxfId="166"/>
    <tableColumn id="3" xr3:uid="{B0C70BDD-2B8F-4EF1-9287-C431F103B9ED}" name="Bottom [m]" dataDxfId="165"/>
    <tableColumn id="4" xr3:uid="{5762D413-3034-4D8C-93B6-FD4630B02B90}" name="D, top [m]" dataDxfId="164"/>
    <tableColumn id="5" xr3:uid="{14D973BE-EA8A-4E59-909A-5E1466E24A50}" name="D, bottom [m]" dataDxfId="163"/>
    <tableColumn id="6" xr3:uid="{7BFD2029-1F5C-43ED-A6F8-296E86962F79}" name="t [mm]" dataDxfId="162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F6AB3BF-A5B9-4898-A2AA-B1E2D904FCE0}" name="TP_MASSES" displayName="TP_MASSES" ref="AT24:AV29" totalsRowShown="0" headerRowDxfId="161" dataDxfId="160">
  <autoFilter ref="AT24:AV29" xr:uid="{EF6AB3BF-A5B9-4898-A2AA-B1E2D904FCE0}"/>
  <tableColumns count="3">
    <tableColumn id="1" xr3:uid="{1A53106D-E4B7-4076-A33D-6CE63AD9AC29}" name="Elevation [m]" dataDxfId="159"/>
    <tableColumn id="2" xr3:uid="{9D7DAE9F-A86B-4D74-801F-55226E9F4D94}" name="Mass [kg]" dataDxfId="158"/>
    <tableColumn id="3" xr3:uid="{3FD5DC94-754D-4B55-A30B-0CF2D12CDE7F}" name="commment" dataDxfId="157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190E545-CB48-44A3-A5CA-9A97C610D06A}" name="TP_MASSES_TRUE" displayName="TP_MASSES_TRUE" ref="BE24:BG29" totalsRowShown="0" headerRowDxfId="156" dataDxfId="155">
  <autoFilter ref="BE24:BG29" xr:uid="{6190E545-CB48-44A3-A5CA-9A97C610D06A}"/>
  <tableColumns count="3">
    <tableColumn id="1" xr3:uid="{1CD0DD89-8DB0-4FF9-B740-5D74EB586B63}" name="Elevation [m]" dataDxfId="154"/>
    <tableColumn id="2" xr3:uid="{229F8007-E6CC-45A8-B672-6374F80B1923}" name="Mass [kg]" dataDxfId="153"/>
    <tableColumn id="3" xr3:uid="{23823EA6-A689-44B2-958B-8A7D00EFF106}" name="commment" dataDxfId="15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70D3808-2D33-45AA-AE67-BB82CAED07EC}" name="TOWER_META" displayName="TOWER_META" ref="BQ18:BW19" totalsRowShown="0" headerRowDxfId="151" dataDxfId="34">
  <autoFilter ref="BQ18:BW19" xr:uid="{570D3808-2D33-45AA-AE67-BB82CAED07EC}"/>
  <tableColumns count="7">
    <tableColumn id="1" xr3:uid="{CCDDEDAF-7D35-44BE-9711-5BB94A7933B5}" name="Identifier" dataDxfId="41"/>
    <tableColumn id="2" xr3:uid="{A6622A20-5B2E-4695-A263-CDE9418E44CF}" name="Project ID" dataDxfId="40"/>
    <tableColumn id="3" xr3:uid="{352D7C0A-3620-4627-BAFA-7328A9D0D37D}" name="Phase" dataDxfId="39"/>
    <tableColumn id="4" xr3:uid="{B321ED1F-34C0-412F-A702-8500F62ECCC6}" name="Structure ID" dataDxfId="38"/>
    <tableColumn id="5" xr3:uid="{80D47030-3591-4982-92EF-BACC66E1FE86}" name="Water Depth [m]" dataDxfId="37"/>
    <tableColumn id="6" xr3:uid="{EF78C918-5D9E-4AE9-872B-673153622FEA}" name="Height Reference" dataDxfId="36"/>
    <tableColumn id="7" xr3:uid="{170AACDE-B844-4EEC-A0B3-69E2508B4EDA}" name="Comments" dataDxfId="35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35A6DD8B-1B03-4405-8692-950A70C42223}" name="TOWER_META_NEW" displayName="TOWER_META_NEW" ref="BQ21:BW22" insertRow="1" totalsRowShown="0" headerRowDxfId="150" dataDxfId="149">
  <autoFilter ref="BQ21:BW22" xr:uid="{35A6DD8B-1B03-4405-8692-950A70C42223}"/>
  <tableColumns count="7">
    <tableColumn id="1" xr3:uid="{1E986C31-3F41-4D2E-A5B3-1F241849BF8F}" name="Identifier" dataDxfId="148"/>
    <tableColumn id="2" xr3:uid="{BFA6A302-1312-44A9-9D24-00404B96F93D}" name="Project ID" dataDxfId="147"/>
    <tableColumn id="3" xr3:uid="{6FC4FB3D-D4AD-4191-B505-D0037CFE0AE6}" name="Phase" dataDxfId="146"/>
    <tableColumn id="4" xr3:uid="{869514EC-8FC7-48A8-9C17-94321EE95FF7}" name="Structure ID" dataDxfId="145"/>
    <tableColumn id="5" xr3:uid="{863DC3E8-E570-4145-B742-09AB28340D03}" name="Water Depth [m]" dataDxfId="144"/>
    <tableColumn id="6" xr3:uid="{9DF4DE17-029C-4704-967A-33C81C46070E}" name="Height Reference" dataDxfId="143"/>
    <tableColumn id="7" xr3:uid="{769D8177-1D18-4F53-87D2-AB6EDE9D675F}" name="Comments" dataDxfId="142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CCFBE8E-EBFA-4AA0-A18D-3AB7BDB6B464}" name="TOWER_DATA" displayName="TOWER_DATA" ref="BQ24:BV49" totalsRowShown="0" headerRowDxfId="141" dataDxfId="27">
  <autoFilter ref="BQ24:BV49" xr:uid="{6CCFBE8E-EBFA-4AA0-A18D-3AB7BDB6B464}"/>
  <sortState xmlns:xlrd2="http://schemas.microsoft.com/office/spreadsheetml/2017/richdata2" ref="BQ25:CA49">
    <sortCondition ref="BQ24:BQ49"/>
  </sortState>
  <tableColumns count="6">
    <tableColumn id="1" xr3:uid="{85C28FF3-9287-4D46-8CEF-6A66D92B23F6}" name="Section" dataDxfId="33"/>
    <tableColumn id="2" xr3:uid="{BC63B096-D7B8-47B5-B5E9-FC896BC9868B}" name="Top [m]" dataDxfId="32"/>
    <tableColumn id="3" xr3:uid="{B9C7376D-FAD6-493B-8287-40DCA419DD50}" name="Bottom [m]" dataDxfId="31"/>
    <tableColumn id="4" xr3:uid="{6DC756E0-08B6-443E-9B2C-8D790BB94B8D}" name="D, top [m]" dataDxfId="30"/>
    <tableColumn id="5" xr3:uid="{BBD13E2B-0AEF-41AA-A565-50855C7E6296}" name="D, bottom [m]" dataDxfId="29"/>
    <tableColumn id="6" xr3:uid="{123F9676-EB92-4044-A35A-E032C3EBF8E7}" name="t [mm]" dataDxfId="28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C714A6A-8D53-444B-883B-7E7991C4738D}" name="TOWER_META_TRUE" displayName="TOWER_META_TRUE" ref="CF18:CL19" totalsRowShown="0" headerRowDxfId="140" dataDxfId="139">
  <autoFilter ref="CF18:CL19" xr:uid="{BC714A6A-8D53-444B-883B-7E7991C4738D}"/>
  <tableColumns count="7">
    <tableColumn id="1" xr3:uid="{2851D88E-C4FF-4F89-9EC3-EAFBEA54B71F}" name="Identifier" dataDxfId="138"/>
    <tableColumn id="2" xr3:uid="{02792EA3-7910-49BB-A8F1-6C715F3370FC}" name="Project ID" dataDxfId="137"/>
    <tableColumn id="3" xr3:uid="{E61B3620-9AD6-47D6-B636-C8C2AD063634}" name="Phase" dataDxfId="136"/>
    <tableColumn id="4" xr3:uid="{605E5017-0F2F-4443-A933-4E5CD08A4C23}" name="Structure ID" dataDxfId="135"/>
    <tableColumn id="5" xr3:uid="{BDF5F12B-CA8B-48E8-87A7-7D0364DE2FB2}" name="Water Depth [m]" dataDxfId="134"/>
    <tableColumn id="6" xr3:uid="{EE01736A-C2DC-472E-BB17-6D42BEB50FD3}" name="Height Reference" dataDxfId="133"/>
    <tableColumn id="7" xr3:uid="{89F52D24-3700-4E96-A3EE-54C0BD6E6850}" name="Comments" dataDxfId="132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4707D43-E248-4B9D-AB58-3D0829DFBB4F}" name="TOWER_META_FULL" displayName="TOWER_META_FULL" ref="CQ18:CW20" totalsRowShown="0" headerRowDxfId="131" dataDxfId="130">
  <autoFilter ref="CQ18:CW20" xr:uid="{B4707D43-E248-4B9D-AB58-3D0829DFBB4F}"/>
  <sortState xmlns:xlrd2="http://schemas.microsoft.com/office/spreadsheetml/2017/richdata2" ref="CQ19:CU20">
    <sortCondition descending="1" ref="CS18:CS20"/>
  </sortState>
  <tableColumns count="7">
    <tableColumn id="1" xr3:uid="{7672BA03-0DF7-4E41-B249-02049D4F4A5C}" name="Identifier" dataDxfId="129"/>
    <tableColumn id="2" xr3:uid="{BCD09FD8-ED15-428C-A59B-CFD0BF079641}" name="Project ID" dataDxfId="128"/>
    <tableColumn id="3" xr3:uid="{76AFB3BE-3FC3-4189-A098-6A9EA54A5EC9}" name="Phase" dataDxfId="127"/>
    <tableColumn id="4" xr3:uid="{33378BDF-E99D-44A7-8811-811CD7F1395F}" name="Structure ID" dataDxfId="126"/>
    <tableColumn id="5" xr3:uid="{DE6D6C26-BA61-4AFF-8E06-02AD273B29E8}" name="Water Depth [m]" dataDxfId="125"/>
    <tableColumn id="6" xr3:uid="{B865CAD0-836B-45FC-8185-9945C6562913}" name="Height Reference" dataDxfId="124"/>
    <tableColumn id="7" xr3:uid="{1F656F81-71F7-4B46-A4A6-8B1FC6147EC5}" name="Comments" dataDxfId="123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DE222362-04CC-46F7-A72F-CA8E23DD0237}" name="TOWER_DATA_TRUE" displayName="TOWER_DATA_TRUE" ref="CF24:CK49" totalsRowShown="0" headerRowDxfId="122" dataDxfId="121">
  <autoFilter ref="CF24:CK49" xr:uid="{DE222362-04CC-46F7-A72F-CA8E23DD0237}"/>
  <sortState xmlns:xlrd2="http://schemas.microsoft.com/office/spreadsheetml/2017/richdata2" ref="CF25:CP49">
    <sortCondition ref="CF24:CF49"/>
  </sortState>
  <tableColumns count="6">
    <tableColumn id="1" xr3:uid="{A9C701CB-47B4-48F4-AFAB-2A8641408C96}" name="Section" dataDxfId="120"/>
    <tableColumn id="2" xr3:uid="{B6685CB3-8DE6-43F6-B6B6-9EE349AFDB7E}" name="Top [m]" dataDxfId="119"/>
    <tableColumn id="3" xr3:uid="{DF0BDC05-BDC5-4912-B19E-FE92634C630E}" name="Bottom [m]" dataDxfId="118"/>
    <tableColumn id="4" xr3:uid="{FE62A509-C225-4EE7-9E1A-92FB7B34D915}" name="D, top [m]" dataDxfId="117"/>
    <tableColumn id="5" xr3:uid="{40198B9A-CE5F-48D3-B6CF-9F426B6E0187}" name="D, bottom [m]" dataDxfId="116"/>
    <tableColumn id="6" xr3:uid="{9098A7F1-A089-4645-9946-FA698633501A}" name="t [mm]" dataDxfId="115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E785A247-6678-47FD-8A48-16CD1A0703D0}" name="TOWER_MASSES" displayName="TOWER_MASSES" ref="CB24:CD29" totalsRowShown="0" headerRowDxfId="114" dataDxfId="23">
  <autoFilter ref="CB24:CD29" xr:uid="{E785A247-6678-47FD-8A48-16CD1A0703D0}"/>
  <tableColumns count="3">
    <tableColumn id="1" xr3:uid="{D015FF14-679F-4C4B-AD11-FD169A799F7D}" name="Elevation [m]" dataDxfId="26"/>
    <tableColumn id="2" xr3:uid="{F6B0D10D-7C44-41C3-9301-C37A6304C787}" name="Mass [kg]" dataDxfId="25"/>
    <tableColumn id="3" xr3:uid="{F049C52E-CCD6-4E67-9C8C-52FA82F691D9}" name="commment" dataDxfId="24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3F664A08-9F40-4B2F-8151-7F221D68F245}" name="TOWER_MASSES_TRUE" displayName="TOWER_MASSES_TRUE" ref="CM24:CO29" totalsRowShown="0" headerRowDxfId="113" dataDxfId="112">
  <autoFilter ref="CM24:CO29" xr:uid="{3F664A08-9F40-4B2F-8151-7F221D68F245}"/>
  <tableColumns count="3">
    <tableColumn id="1" xr3:uid="{D4114F81-D70E-4B19-A7AB-C51B4DC07220}" name="Elevation [m]" dataDxfId="111"/>
    <tableColumn id="2" xr3:uid="{55470CA8-68EE-4770-B151-4A1CCF576822}" name="Mass [kg]" dataDxfId="110"/>
    <tableColumn id="3" xr3:uid="{78453B6F-A529-4D07-BA22-75B01F2D871E}" name="commment" dataDxfId="109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FEE1C0E0-398B-48E1-9521-CCB187180413}" name="RNA_DATA" displayName="RNA_DATA" ref="CY18:DE30" totalsRowShown="0" headerRowDxfId="108" dataDxfId="13">
  <autoFilter ref="CY18:DE30" xr:uid="{FEE1C0E0-398B-48E1-9521-CCB187180413}"/>
  <sortState xmlns:xlrd2="http://schemas.microsoft.com/office/spreadsheetml/2017/richdata2" ref="CY19:DI43">
    <sortCondition ref="CY18:CY43"/>
  </sortState>
  <tableColumns count="7">
    <tableColumn id="1" xr3:uid="{03A8E757-56E6-48B0-929F-24FBFFC0EAA8}" name="Identifier" dataDxfId="20"/>
    <tableColumn id="2" xr3:uid="{BF4DEE24-7E2F-4B20-9B44-27C601C754F1}" name="Mass [t]" dataDxfId="19"/>
    <tableColumn id="3" xr3:uid="{4CBE937C-DD0F-4596-BD90-BE03828E4CA7}" name="Power [MW]" dataDxfId="18"/>
    <tableColumn id="4" xr3:uid="{DE89D440-DA99-4425-B50C-30544DB961F5}" name="Rotor Diameter [m]" dataDxfId="17"/>
    <tableColumn id="5" xr3:uid="{E2FB4084-506E-4EC7-9BC8-8255DFE52EE0}" name="Inertia [kg·m²]" dataDxfId="16"/>
    <tableColumn id="6" xr3:uid="{18C2BBB8-192B-4BEC-B9C5-5B12B65B00E4}" name="Offset TT_COG [m]" dataDxfId="15"/>
    <tableColumn id="7" xr3:uid="{224A58F0-EA11-4A11-9268-3AE211EDB8B3}" name="comment" dataDxfId="14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6273375F-28C8-4A14-A545-8B988B5C9E65}" name="RNA_DATA_TRUE" displayName="RNA_DATA_TRUE" ref="DG18:DM30" totalsRowShown="0" headerRowDxfId="49" dataDxfId="42">
  <autoFilter ref="DG18:DM30" xr:uid="{6273375F-28C8-4A14-A545-8B988B5C9E65}"/>
  <tableColumns count="7">
    <tableColumn id="1" xr3:uid="{C3AE8FB7-66D2-47E1-8AA6-F0260BDFFCB8}" name="Identifier" dataDxfId="48"/>
    <tableColumn id="2" xr3:uid="{5F848737-A14E-44D6-9231-85AB48A55526}" name="Mass [t]" dataDxfId="47"/>
    <tableColumn id="3" xr3:uid="{2C93533D-1E27-4EB2-B7E6-3A19FEC55632}" name="Power [MW]" dataDxfId="46"/>
    <tableColumn id="4" xr3:uid="{9D1780E5-E668-4D12-AF46-0A1DF433FA8A}" name="Rotor Diameter [m]" dataDxfId="45"/>
    <tableColumn id="5" xr3:uid="{1CA8A517-990E-4959-826C-118C5EC0C261}" name="Inertia [kg·m²]" dataDxfId="44"/>
    <tableColumn id="6" xr3:uid="{9FFE4A1F-E32A-49E7-8031-A24CF653CD8C}" name="Offset TT_COG [m]" dataDxfId="43"/>
    <tableColumn id="8" xr3:uid="{C481EB76-DD37-4979-8B5D-F3C81E38423E}" name="comment" dataDxfId="21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6964430C-2D65-45C4-817F-08653037EDFC}" name="WHOLE_STRUCTURE" displayName="WHOLE_STRUCTURE" ref="B12:I66" totalsRowShown="0" headerRowDxfId="107" dataDxfId="106">
  <autoFilter ref="B12:I66" xr:uid="{6964430C-2D65-45C4-817F-08653037EDFC}"/>
  <tableColumns count="8">
    <tableColumn id="1" xr3:uid="{1C924510-54DB-4186-8521-598E5FD7BF93}" name="Section" dataDxfId="105"/>
    <tableColumn id="2" xr3:uid="{29F8F207-72DF-4027-A39E-C3D956F79382}" name="Affiliation" dataDxfId="104"/>
    <tableColumn id="3" xr3:uid="{F1A86E12-282B-4FE8-A989-9056549BE251}" name="local Section" dataDxfId="103"/>
    <tableColumn id="4" xr3:uid="{1F0B5480-90D3-4DBF-AAEC-010EB8A46507}" name="Top [m]" dataDxfId="102"/>
    <tableColumn id="5" xr3:uid="{2F9EEEB1-AE18-4058-A215-9A6EAD23E6F0}" name="Bottom [m]" dataDxfId="101"/>
    <tableColumn id="6" xr3:uid="{CAF3E9FD-22BF-4C53-97D3-15DEA70C9DE2}" name="D, top [m]" dataDxfId="100"/>
    <tableColumn id="7" xr3:uid="{EE4449DD-273C-4967-8180-25E33E65F937}" name="D, bottom [m]" dataDxfId="99"/>
    <tableColumn id="8" xr3:uid="{0EE8182A-58FD-432D-A87C-9A474A081C7F}" name="t [mm]" dataDxfId="98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99775F4D-8879-4247-BCBB-9E55004F5FE5}" name="ALL_ADDED_MASSES" displayName="ALL_ADDED_MASSES" ref="O12:R27" totalsRowShown="0" headerRowDxfId="97" dataDxfId="96">
  <autoFilter ref="O12:R27" xr:uid="{99775F4D-8879-4247-BCBB-9E55004F5FE5}"/>
  <tableColumns count="4">
    <tableColumn id="8" xr3:uid="{4222E379-EA2F-436F-A27E-F66347A2B7A2}" name="Affiliation" dataDxfId="95"/>
    <tableColumn id="1" xr3:uid="{00244646-90F3-4DDD-AB6B-0373781AFF60}" name="Elevation [m]" dataDxfId="94"/>
    <tableColumn id="2" xr3:uid="{6305BA78-EC7F-4D5E-A143-DF4E3CB9A56C}" name="Mass [kg]" dataDxfId="93"/>
    <tableColumn id="3" xr3:uid="{156C5A02-52CD-48BE-87D5-E9BF8F935E99}" name="comment" dataDxfId="92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A1E86920-59C8-4A34-A4FA-D52D35DC047E}" name="SKIRT" displayName="SKIRT" ref="T16:Y17" totalsRowShown="0" headerRowDxfId="91" dataDxfId="89" headerRowBorderDxfId="90" tableBorderDxfId="88" totalsRowBorderDxfId="87">
  <autoFilter ref="T16:Y17" xr:uid="{A1E86920-59C8-4A34-A4FA-D52D35DC047E}"/>
  <tableColumns count="6">
    <tableColumn id="1" xr3:uid="{D7BA5792-F27A-42AB-84A6-1A5C5073E624}" name="Affiliation" dataDxfId="86"/>
    <tableColumn id="3" xr3:uid="{F299E913-54CD-48A0-BB41-0880A93754FE}" name="Top [m]" dataDxfId="85"/>
    <tableColumn id="4" xr3:uid="{3FE7280C-AE16-43A5-98C5-AC81567063F8}" name="Bottom [m]" dataDxfId="84"/>
    <tableColumn id="5" xr3:uid="{494E1F17-E9F7-4B30-BF2F-0D837AD6C9EB}" name="D, top [m]" dataDxfId="83"/>
    <tableColumn id="6" xr3:uid="{9D18588B-23C1-495C-A81D-3BA5AF2F1DDD}" name="D, bottom [m]" dataDxfId="82"/>
    <tableColumn id="7" xr3:uid="{C3BA2567-9ACF-4834-A3FA-9599A0D98796}" name="t [mm]" dataDxfId="81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CD52EECF-AB78-4C57-8765-66AA1058C0CF}" name="SKIRT_POINTMASS" displayName="SKIRT_POINTMASS" ref="T12:W13" totalsRowShown="0" dataDxfId="79" headerRowBorderDxfId="80" tableBorderDxfId="78">
  <autoFilter ref="T12:W13" xr:uid="{CD52EECF-AB78-4C57-8765-66AA1058C0CF}"/>
  <tableColumns count="4">
    <tableColumn id="1" xr3:uid="{035BC3C9-B7CD-47B5-94D2-F8D64A04FD6C}" name="Affiliation" dataDxfId="77"/>
    <tableColumn id="2" xr3:uid="{9093341A-644E-4005-A4B0-0B05612EE421}" name="Elevation [m]" dataDxfId="76"/>
    <tableColumn id="3" xr3:uid="{71FE16E7-7251-4F14-B28B-4C6055F6AED1}" name="Mass [t]" dataDxfId="75"/>
    <tableColumn id="4" xr3:uid="{87F4221A-61DF-4C79-A116-8098A7C6FAAE}" name="comment" dataDxfId="74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8D334D84-754D-4685-9A4A-6A66B2E4FFB9}" name="MARINE_GROWTH" displayName="MARINE_GROWTH" ref="AI12:AK15" totalsRowShown="0" headerRowDxfId="73" dataDxfId="72">
  <autoFilter ref="AI12:AK15" xr:uid="{8D334D84-754D-4685-9A4A-6A66B2E4FFB9}"/>
  <tableColumns count="3">
    <tableColumn id="1" xr3:uid="{DB673771-BB6D-4B68-81A2-B0DFC2758DC6}" name="Bottom [m]" dataDxfId="71">
      <calculatedColumnFormula>IF(ISBLANK(AJ13),"",AJ12)</calculatedColumnFormula>
    </tableColumn>
    <tableColumn id="2" xr3:uid="{88DBAEFE-0CE9-43B7-BBD5-30E29A54DD0E}" name="Top [m]" dataDxfId="70"/>
    <tableColumn id="3" xr3:uid="{88F4E89D-F5DC-463C-AE91-5C5F8B82A591}" name="Marine Growth [mm]" dataDxfId="69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7B4A03F-1005-4720-8887-A14737394284}" name="HYDRO_COEFFICIENTS" displayName="HYDRO_COEFFICIENTS" ref="AM12:AP14" totalsRowShown="0" headerRowDxfId="68">
  <autoFilter ref="AM12:AP14" xr:uid="{87B4A03F-1005-4720-8887-A14737394284}"/>
  <tableColumns count="4">
    <tableColumn id="1" xr3:uid="{79B3039B-DCB3-4DB5-9657-9170C1A7D7A1}" name="Bottom [m]" dataDxfId="67"/>
    <tableColumn id="2" xr3:uid="{798BD679-C372-4555-9ABA-DF12AF1BEB7B}" name="Top [m]" dataDxfId="66"/>
    <tableColumn id="3" xr3:uid="{C28B4B73-F57A-4DF1-B531-CD436CEA398C}" name="cd" dataDxfId="65"/>
    <tableColumn id="4" xr3:uid="{B75141CC-AB54-4904-90B7-845CA3D69A1B}" name="cm" dataDxfId="64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72CE8A2A-6760-4548-BB1E-BCA204D8C1BA}" name="RNA" displayName="RNA" ref="AA12:AG13" totalsRowShown="0" dataDxfId="62" headerRowBorderDxfId="63" tableBorderDxfId="61" totalsRowBorderDxfId="60">
  <autoFilter ref="AA12:AG13" xr:uid="{72CE8A2A-6760-4548-BB1E-BCA204D8C1BA}"/>
  <tableColumns count="7">
    <tableColumn id="1" xr3:uid="{46A5A21B-3002-456C-8AD9-5ECB42AC421F}" name="Identifier" dataDxfId="59"/>
    <tableColumn id="2" xr3:uid="{F5B4AC32-29FD-42F7-91EC-62CC42FCE0D7}" name="Power [MW]" dataDxfId="58"/>
    <tableColumn id="3" xr3:uid="{F6A77E93-EA0B-4A7B-91D9-D14361BC8B1A}" name="Rotor Diameter [m]" dataDxfId="57"/>
    <tableColumn id="4" xr3:uid="{324F57B3-0BB2-4A0A-864F-C4E295BA1417}" name="Mass [kg]" dataDxfId="56"/>
    <tableColumn id="5" xr3:uid="{498958C1-FF10-460A-950F-D28B6D477E67}" name="Inertia [kg m^2]" dataDxfId="55"/>
    <tableColumn id="6" xr3:uid="{9A250389-A125-48C0-9709-4FC870698E51}" name="Offset TT_COG [m]" dataDxfId="22"/>
    <tableColumn id="7" xr3:uid="{7481D65D-D15B-4189-850C-213AFF247093}" name="comment" dataDxfId="12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C35E7AB2-603F-4F8E-A683-CC2DB9E03260}" name="STRUCTURE_META" displayName="STRUCTURE_META" ref="B2:D6" totalsRowShown="0" dataDxfId="54">
  <autoFilter ref="B2:D6" xr:uid="{C35E7AB2-603F-4F8E-A683-CC2DB9E03260}"/>
  <tableColumns count="3">
    <tableColumn id="1" xr3:uid="{249E4AC0-B025-41CE-B64B-B1C47A8B108A}" name="Parameter" dataDxfId="53"/>
    <tableColumn id="2" xr3:uid="{96957327-E448-409A-A132-2F66C10F1B05}" name="Value" dataDxfId="52"/>
    <tableColumn id="3" xr3:uid="{9BA3C973-0D4E-4458-9364-B9F23256E516}" name="Unit" dataDxfId="51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D00F4F6D-0F31-4182-BC4A-31C745F7BBA9}" name="JBOOST_PARAMETER" displayName="JBOOST_PARAMETER" ref="B8:E15" totalsRowShown="0">
  <autoFilter ref="B8:E15" xr:uid="{D00F4F6D-0F31-4182-BC4A-31C745F7BBA9}"/>
  <tableColumns count="4">
    <tableColumn id="1" xr3:uid="{3E7E42D1-2471-409C-AC2F-75B5A8095375}" name="Parameter"/>
    <tableColumn id="2" xr3:uid="{6C705FCB-5D10-4250-9912-E9DAC119643B}" name="Value" dataDxfId="50"/>
    <tableColumn id="3" xr3:uid="{871A325F-4286-41C3-A6A6-BD4642988E4A}" name="Unit"/>
    <tableColumn id="4" xr3:uid="{99EC9FE1-9CC9-4583-9D9D-230249F64D0F}" name="comme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22" row="1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B0E3ABB-1AE5-40D2-9EB7-1A578E8463DC}">
  <we:reference id="wa200008175" version="1.0.0.0" store="de-DE" storeType="OMEX"/>
  <we:alternateReferences>
    <we:reference id="WA200008175" version="1.0.0.0" store="WA200008175" storeType="OMEX"/>
  </we:alternateReferences>
  <we:properties>
    <we:property name="main.py" value="&quot;\&quot;\&quot;\&quot;\nxlwings Lite allows you to define\nautomation scripts and custom functions\nwith Python instead of VBA\/Office Scripts.\n\nSelect a function in the green dropdown\nabove and run it by clicking the button or\nor by pressing F5. One of the sample\nscripts will insert custom functions,\nwhich are defined using the @func\ndecorator. You can add, delete, or edit\nfunctions in this file.\&quot;\&quot;\&quot;\n\nimport datetime as dt\nimport numpy as np\nimport pandas as pd\nimport seaborn as sns\nimport xlwings as xw\nfrom xlwings import func, script\n\n\n@script\ndef hello_world(book: xw.Book):\n    # Scripts require the @script decorator and the type-hinted\n    # book argument (book: xw.Book)\n    selected_range = book.selection\n    selected_range.value = \&quot;Hello World!\&quot;\n    selected_range.color = \&quot;#FFFF00\&quot;  # yellow\n\n\n@script\ndef seaborn_sample(book: xw.Book):\n    # Create a pandas DataFrame from a CSV on GitHub and print its info\n    df = pd.read_csv(\n        \&quot;https:\/\/raw.githubusercontent.com\/mwaskom\/seaborn-data\/master\/penguins.csv\&quot;\n    )\n    print(df.info())\n\n    # Add a new sheet, write the DataFrame out, and format it as Table\n    sheet = book.sheets.add()\n\n    # Add a styled title\n    title_cell = sheet[\&quot;A1\&quot;]\n    title_cell.value = \&quot;The Penguin Dataset\&quot;\n    title_cell.font.bold = True\n    title_cell.font.size = 22\n    title_cell.font.color = \&quot;#156082\&quot;\n    title_cell.font.name = \&quot;Comic Sans MS\&quot;\n\n    # Write out the DataFrame\n    sheet[\&quot;A3\&quot;].options(index=False).value = df\n    sheet.tables.add(sheet[\&quot;A3\&quot;].resize(len(df) + 1, len(df.columns)))\n\n    # Add a Seaborn plot as picture\n    plot = sns.jointplot(\n        data=df, x=\&quot;flipper_length_mm\&quot;, y=\&quot;bill_length_mm\&quot;, hue=\&quot;species\&quot;\n    )\n    sheet.pictures.add(plot.fig, anchor=sheet[\&quot;B10\&quot;])\n\n    # Activate the new sheet\n    sheet.activate()\n\n\n@script\ndef insert_custom_functions(book: xw.Book):\n    # This script inserts the custom functions below\n    # so you can try them out easily\n    sheet = book.sheets.add()\n    sheet[\&quot;A1\&quot;].value = \&quot;This sheet shows the usage of custom functions\&quot;\n    sheet[\&quot;A3\&quot;].value = '=HELLO(\&quot;xlwings\&quot;)'\n    sheet[\&quot;A5\&quot;].value = \&quot;=STANDARD_NORMAL(3, 4)\&quot;\n    sheet[\&quot;A10\&quot;].value = \&quot;=CORREL2(A5#)\&quot;\n    sheet.activate()\n\n\n@func\ndef hello(name: str):\n    # This is the easiest custom function\n    return f\&quot;Hello {name}!\&quot;\n\n\n@func\ndef standard_normal(rows, cols):\n    # Returns an array of standard normally distributed pseudo random numbers\n    rng = np.random.default_rng()\n    matrix = rng.standard_normal(size=(rows, cols))\n    date_rng = pd.date_range(start=dt.datetime(2025, 6, 15), periods=rows, freq=\&quot;D\&quot;)\n    df = pd.DataFrame(\n        matrix, columns=[f\&quot;col{i + 1}\&quot; for i in range(matrix.shape[1])], index=date_rng\n    )\n    return df\n\n\n@func\ndef correl2(df: pd.DataFrame):\n    # Like CORREL, but it works on whole matrices instead of just 2 arrays.\n    # The type hint converts the values of the range into a pandas DataFrame.\n    # Use this function on the output of the standard_normal function from above.\n    return df.corr()\n\n&quot;"/>
    <we:property name="pyodideVersion" value="&quot;0.27.5&quot;"/>
    <we:property name="addinVersion" value="&quot;1.0.0.0-13&quot;"/>
    <we:property name="requirements.txt" value="&quot;# Pin the version of packages that are installed from PyPI.\n# Don't pin the version if they are on this list:\n# https:\/\/pyodide.org\/en\/stable\/usage\/packages-in-pyodide.html\n#\n# New packages are installed on the fly.\n# However, the following situations require a restart:\n# - removing a package\n# - changing the version of a package\n# - adding an optional dependency of xlwings, e.g, polars\n\nxlwings==0.33.12  # required\npython-dotenv==1.1.0  # required\npyodide-http  # required\nblack  # required\npandas\nmatplotlib\nseaborn\n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.xml"/><Relationship Id="rId18" Type="http://schemas.openxmlformats.org/officeDocument/2006/relationships/ctrlProp" Target="../ctrlProps/ctrlProp19.xml"/><Relationship Id="rId26" Type="http://schemas.openxmlformats.org/officeDocument/2006/relationships/ctrlProp" Target="../ctrlProps/ctrlProp27.xml"/><Relationship Id="rId39" Type="http://schemas.openxmlformats.org/officeDocument/2006/relationships/table" Target="../tables/table11.xml"/><Relationship Id="rId21" Type="http://schemas.openxmlformats.org/officeDocument/2006/relationships/ctrlProp" Target="../ctrlProps/ctrlProp22.xml"/><Relationship Id="rId34" Type="http://schemas.openxmlformats.org/officeDocument/2006/relationships/table" Target="../tables/table6.xml"/><Relationship Id="rId42" Type="http://schemas.openxmlformats.org/officeDocument/2006/relationships/table" Target="../tables/table14.xml"/><Relationship Id="rId47" Type="http://schemas.openxmlformats.org/officeDocument/2006/relationships/table" Target="../tables/table19.xml"/><Relationship Id="rId50" Type="http://schemas.openxmlformats.org/officeDocument/2006/relationships/table" Target="../tables/table22.x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7.xml"/><Relationship Id="rId29" Type="http://schemas.openxmlformats.org/officeDocument/2006/relationships/table" Target="../tables/table1.xml"/><Relationship Id="rId11" Type="http://schemas.openxmlformats.org/officeDocument/2006/relationships/ctrlProp" Target="../ctrlProps/ctrlProp12.xml"/><Relationship Id="rId24" Type="http://schemas.openxmlformats.org/officeDocument/2006/relationships/ctrlProp" Target="../ctrlProps/ctrlProp25.xml"/><Relationship Id="rId32" Type="http://schemas.openxmlformats.org/officeDocument/2006/relationships/table" Target="../tables/table4.xml"/><Relationship Id="rId37" Type="http://schemas.openxmlformats.org/officeDocument/2006/relationships/table" Target="../tables/table9.xml"/><Relationship Id="rId40" Type="http://schemas.openxmlformats.org/officeDocument/2006/relationships/table" Target="../tables/table12.xml"/><Relationship Id="rId45" Type="http://schemas.openxmlformats.org/officeDocument/2006/relationships/table" Target="../tables/table17.xml"/><Relationship Id="rId53" Type="http://schemas.openxmlformats.org/officeDocument/2006/relationships/table" Target="../tables/table25.xml"/><Relationship Id="rId5" Type="http://schemas.openxmlformats.org/officeDocument/2006/relationships/ctrlProp" Target="../ctrlProps/ctrlProp6.xml"/><Relationship Id="rId10" Type="http://schemas.openxmlformats.org/officeDocument/2006/relationships/ctrlProp" Target="../ctrlProps/ctrlProp11.xml"/><Relationship Id="rId19" Type="http://schemas.openxmlformats.org/officeDocument/2006/relationships/ctrlProp" Target="../ctrlProps/ctrlProp20.xml"/><Relationship Id="rId31" Type="http://schemas.openxmlformats.org/officeDocument/2006/relationships/table" Target="../tables/table3.xml"/><Relationship Id="rId44" Type="http://schemas.openxmlformats.org/officeDocument/2006/relationships/table" Target="../tables/table16.xml"/><Relationship Id="rId52" Type="http://schemas.openxmlformats.org/officeDocument/2006/relationships/table" Target="../tables/table24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Relationship Id="rId22" Type="http://schemas.openxmlformats.org/officeDocument/2006/relationships/ctrlProp" Target="../ctrlProps/ctrlProp23.xml"/><Relationship Id="rId27" Type="http://schemas.openxmlformats.org/officeDocument/2006/relationships/ctrlProp" Target="../ctrlProps/ctrlProp28.xml"/><Relationship Id="rId30" Type="http://schemas.openxmlformats.org/officeDocument/2006/relationships/table" Target="../tables/table2.xml"/><Relationship Id="rId35" Type="http://schemas.openxmlformats.org/officeDocument/2006/relationships/table" Target="../tables/table7.xml"/><Relationship Id="rId43" Type="http://schemas.openxmlformats.org/officeDocument/2006/relationships/table" Target="../tables/table15.xml"/><Relationship Id="rId48" Type="http://schemas.openxmlformats.org/officeDocument/2006/relationships/table" Target="../tables/table20.xml"/><Relationship Id="rId8" Type="http://schemas.openxmlformats.org/officeDocument/2006/relationships/ctrlProp" Target="../ctrlProps/ctrlProp9.xml"/><Relationship Id="rId51" Type="http://schemas.openxmlformats.org/officeDocument/2006/relationships/table" Target="../tables/table23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3.xml"/><Relationship Id="rId17" Type="http://schemas.openxmlformats.org/officeDocument/2006/relationships/ctrlProp" Target="../ctrlProps/ctrlProp18.xml"/><Relationship Id="rId25" Type="http://schemas.openxmlformats.org/officeDocument/2006/relationships/ctrlProp" Target="../ctrlProps/ctrlProp26.xml"/><Relationship Id="rId33" Type="http://schemas.openxmlformats.org/officeDocument/2006/relationships/table" Target="../tables/table5.xml"/><Relationship Id="rId38" Type="http://schemas.openxmlformats.org/officeDocument/2006/relationships/table" Target="../tables/table10.xml"/><Relationship Id="rId46" Type="http://schemas.openxmlformats.org/officeDocument/2006/relationships/table" Target="../tables/table18.xml"/><Relationship Id="rId20" Type="http://schemas.openxmlformats.org/officeDocument/2006/relationships/ctrlProp" Target="../ctrlProps/ctrlProp21.xml"/><Relationship Id="rId41" Type="http://schemas.openxmlformats.org/officeDocument/2006/relationships/table" Target="../tables/table13.xml"/><Relationship Id="rId54" Type="http://schemas.openxmlformats.org/officeDocument/2006/relationships/table" Target="../tables/table2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5" Type="http://schemas.openxmlformats.org/officeDocument/2006/relationships/ctrlProp" Target="../ctrlProps/ctrlProp16.xml"/><Relationship Id="rId23" Type="http://schemas.openxmlformats.org/officeDocument/2006/relationships/ctrlProp" Target="../ctrlProps/ctrlProp24.xml"/><Relationship Id="rId28" Type="http://schemas.openxmlformats.org/officeDocument/2006/relationships/ctrlProp" Target="../ctrlProps/ctrlProp29.xml"/><Relationship Id="rId36" Type="http://schemas.openxmlformats.org/officeDocument/2006/relationships/table" Target="../tables/table8.xml"/><Relationship Id="rId49" Type="http://schemas.openxmlformats.org/officeDocument/2006/relationships/table" Target="../tables/table2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3.xml"/><Relationship Id="rId3" Type="http://schemas.openxmlformats.org/officeDocument/2006/relationships/table" Target="../tables/table28.xml"/><Relationship Id="rId7" Type="http://schemas.openxmlformats.org/officeDocument/2006/relationships/table" Target="../tables/table32.xml"/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1.xml"/><Relationship Id="rId5" Type="http://schemas.openxmlformats.org/officeDocument/2006/relationships/table" Target="../tables/table30.xml"/><Relationship Id="rId4" Type="http://schemas.openxmlformats.org/officeDocument/2006/relationships/table" Target="../tables/table29.xml"/><Relationship Id="rId9" Type="http://schemas.openxmlformats.org/officeDocument/2006/relationships/table" Target="../tables/table3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35.xml"/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9B116-DA22-4D7E-9EC8-BCCA5323E816}">
  <sheetPr codeName="Tabelle2"/>
  <dimension ref="A1:X67"/>
  <sheetViews>
    <sheetView zoomScaleNormal="100" workbookViewId="0">
      <selection activeCell="E72" sqref="E72"/>
    </sheetView>
  </sheetViews>
  <sheetFormatPr baseColWidth="10" defaultRowHeight="15" x14ac:dyDescent="0.25"/>
  <cols>
    <col min="2" max="2" width="17.85546875" customWidth="1"/>
    <col min="3" max="3" width="13.28515625" customWidth="1"/>
    <col min="4" max="4" width="13.5703125" customWidth="1"/>
    <col min="6" max="6" width="14.85546875" customWidth="1"/>
    <col min="9" max="9" width="14.140625" customWidth="1"/>
    <col min="11" max="11" width="20.28515625" customWidth="1"/>
  </cols>
  <sheetData>
    <row r="1" spans="1:24" x14ac:dyDescent="0.25">
      <c r="A1" s="45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5"/>
      <c r="P1" s="42"/>
      <c r="Q1" s="42"/>
      <c r="R1" s="43"/>
    </row>
    <row r="2" spans="1:24" ht="15.75" x14ac:dyDescent="0.25">
      <c r="A2" s="41"/>
      <c r="B2" s="44" t="s">
        <v>45</v>
      </c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1"/>
      <c r="P2" s="46" t="s">
        <v>16</v>
      </c>
      <c r="Q2" s="40"/>
      <c r="R2" s="39"/>
    </row>
    <row r="3" spans="1:24" ht="15.75" thickBot="1" x14ac:dyDescent="0.3">
      <c r="A3" s="41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1"/>
      <c r="P3" s="40"/>
      <c r="Q3" s="40"/>
      <c r="R3" s="39"/>
    </row>
    <row r="4" spans="1:24" x14ac:dyDescent="0.25">
      <c r="A4" s="41"/>
      <c r="B4" s="95" t="s">
        <v>42</v>
      </c>
      <c r="C4" s="96"/>
      <c r="D4" s="97"/>
      <c r="E4" s="40"/>
      <c r="F4" s="98" t="s">
        <v>26</v>
      </c>
      <c r="G4" s="99"/>
      <c r="H4" s="99"/>
      <c r="I4" s="100"/>
      <c r="J4" s="40"/>
      <c r="K4" s="101" t="s">
        <v>43</v>
      </c>
      <c r="L4" s="102"/>
      <c r="M4" s="103"/>
      <c r="N4" s="40"/>
      <c r="O4" s="41"/>
      <c r="P4" s="40"/>
      <c r="Q4" s="40"/>
      <c r="R4" s="39"/>
    </row>
    <row r="5" spans="1:24" x14ac:dyDescent="0.25">
      <c r="A5" s="41"/>
      <c r="B5" s="27"/>
      <c r="C5" s="28"/>
      <c r="D5" s="29"/>
      <c r="E5" s="40"/>
      <c r="F5" s="30"/>
      <c r="G5" s="31"/>
      <c r="H5" s="31"/>
      <c r="I5" s="32"/>
      <c r="J5" s="40"/>
      <c r="K5" s="33"/>
      <c r="L5" s="34"/>
      <c r="M5" s="35"/>
      <c r="N5" s="40"/>
      <c r="O5" s="41"/>
      <c r="P5" s="40"/>
      <c r="Q5" s="40"/>
      <c r="R5" s="39"/>
    </row>
    <row r="6" spans="1:24" x14ac:dyDescent="0.25">
      <c r="A6" s="41"/>
      <c r="B6" s="10" t="s">
        <v>0</v>
      </c>
      <c r="C6" s="9" t="s">
        <v>36</v>
      </c>
      <c r="D6" s="11" t="s">
        <v>44</v>
      </c>
      <c r="E6" s="40"/>
      <c r="F6" s="16" t="s">
        <v>27</v>
      </c>
      <c r="G6" s="15" t="s">
        <v>28</v>
      </c>
      <c r="H6" s="15" t="s">
        <v>29</v>
      </c>
      <c r="I6" s="17" t="s">
        <v>44</v>
      </c>
      <c r="J6" s="40"/>
      <c r="K6" s="22" t="s">
        <v>27</v>
      </c>
      <c r="L6" s="21" t="s">
        <v>36</v>
      </c>
      <c r="M6" s="23" t="s">
        <v>44</v>
      </c>
      <c r="N6" s="40"/>
      <c r="O6" s="41"/>
      <c r="P6" s="40"/>
      <c r="Q6" s="40"/>
      <c r="R6" s="39"/>
    </row>
    <row r="7" spans="1:24" x14ac:dyDescent="0.25">
      <c r="A7" s="41"/>
      <c r="B7" s="10" t="s">
        <v>21</v>
      </c>
      <c r="C7" s="9"/>
      <c r="D7" s="11"/>
      <c r="E7" s="40"/>
      <c r="F7" s="16" t="s">
        <v>30</v>
      </c>
      <c r="G7" s="15"/>
      <c r="H7" s="15"/>
      <c r="I7" s="17"/>
      <c r="J7" s="40"/>
      <c r="K7" s="22" t="s">
        <v>37</v>
      </c>
      <c r="L7" s="21"/>
      <c r="M7" s="23"/>
      <c r="N7" s="40"/>
      <c r="O7" s="41"/>
      <c r="P7" s="40"/>
      <c r="Q7" s="40"/>
      <c r="R7" s="39"/>
    </row>
    <row r="8" spans="1:24" x14ac:dyDescent="0.25">
      <c r="A8" s="41"/>
      <c r="B8" s="10" t="s">
        <v>22</v>
      </c>
      <c r="C8" s="9"/>
      <c r="D8" s="11"/>
      <c r="E8" s="40"/>
      <c r="F8" s="16" t="s">
        <v>31</v>
      </c>
      <c r="G8" s="15"/>
      <c r="H8" s="15"/>
      <c r="I8" s="17"/>
      <c r="J8" s="40"/>
      <c r="K8" s="22" t="s">
        <v>38</v>
      </c>
      <c r="L8" s="21"/>
      <c r="M8" s="23"/>
      <c r="N8" s="40"/>
      <c r="O8" s="41"/>
      <c r="P8" s="40"/>
      <c r="Q8" s="40"/>
      <c r="R8" s="39"/>
    </row>
    <row r="9" spans="1:24" x14ac:dyDescent="0.25">
      <c r="A9" s="41"/>
      <c r="B9" s="10" t="s">
        <v>23</v>
      </c>
      <c r="C9" s="9"/>
      <c r="D9" s="11"/>
      <c r="E9" s="40"/>
      <c r="F9" s="16" t="s">
        <v>32</v>
      </c>
      <c r="G9" s="15"/>
      <c r="H9" s="15"/>
      <c r="I9" s="17"/>
      <c r="J9" s="40"/>
      <c r="K9" s="22" t="s">
        <v>39</v>
      </c>
      <c r="L9" s="21"/>
      <c r="M9" s="23"/>
      <c r="N9" s="40"/>
      <c r="O9" s="41"/>
      <c r="P9" s="40"/>
      <c r="Q9" s="40"/>
      <c r="R9" s="39"/>
    </row>
    <row r="10" spans="1:24" x14ac:dyDescent="0.25">
      <c r="A10" s="41"/>
      <c r="B10" s="10" t="s">
        <v>24</v>
      </c>
      <c r="C10" s="9"/>
      <c r="D10" s="11"/>
      <c r="E10" s="40"/>
      <c r="F10" s="16" t="s">
        <v>33</v>
      </c>
      <c r="G10" s="15"/>
      <c r="H10" s="15"/>
      <c r="I10" s="17"/>
      <c r="J10" s="40"/>
      <c r="K10" s="22" t="s">
        <v>40</v>
      </c>
      <c r="L10" s="21"/>
      <c r="M10" s="23"/>
      <c r="N10" s="40"/>
      <c r="O10" s="41"/>
      <c r="P10" s="40"/>
      <c r="Q10" s="40"/>
      <c r="R10" s="39"/>
    </row>
    <row r="11" spans="1:24" x14ac:dyDescent="0.25">
      <c r="A11" s="41"/>
      <c r="B11" s="10" t="s">
        <v>25</v>
      </c>
      <c r="C11" s="9"/>
      <c r="D11" s="11"/>
      <c r="E11" s="40"/>
      <c r="F11" s="16" t="s">
        <v>34</v>
      </c>
      <c r="G11" s="15"/>
      <c r="H11" s="15"/>
      <c r="I11" s="17"/>
      <c r="J11" s="40"/>
      <c r="K11" s="22" t="s">
        <v>41</v>
      </c>
      <c r="L11" s="21"/>
      <c r="M11" s="23"/>
      <c r="N11" s="40"/>
      <c r="O11" s="41"/>
      <c r="P11" s="40"/>
      <c r="Q11" s="40"/>
      <c r="R11" s="39"/>
    </row>
    <row r="12" spans="1:24" ht="15.75" thickBot="1" x14ac:dyDescent="0.3">
      <c r="A12" s="41"/>
      <c r="B12" s="12"/>
      <c r="C12" s="13"/>
      <c r="D12" s="14"/>
      <c r="E12" s="40"/>
      <c r="F12" s="18" t="s">
        <v>35</v>
      </c>
      <c r="G12" s="19"/>
      <c r="H12" s="19"/>
      <c r="I12" s="20"/>
      <c r="J12" s="40"/>
      <c r="K12" s="24"/>
      <c r="L12" s="25"/>
      <c r="M12" s="26"/>
      <c r="N12" s="40"/>
      <c r="O12" s="41"/>
      <c r="P12" s="40"/>
      <c r="Q12" s="40"/>
      <c r="R12" s="39"/>
    </row>
    <row r="13" spans="1:24" ht="15.75" thickBot="1" x14ac:dyDescent="0.3">
      <c r="A13" s="41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1"/>
      <c r="P13" s="40"/>
      <c r="Q13" s="40"/>
      <c r="R13" s="39"/>
    </row>
    <row r="14" spans="1:24" x14ac:dyDescent="0.25">
      <c r="A14" s="45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3"/>
      <c r="O14" s="41"/>
      <c r="P14" s="40"/>
      <c r="Q14" s="40"/>
      <c r="R14" s="39"/>
    </row>
    <row r="15" spans="1:24" x14ac:dyDescent="0.25">
      <c r="A15" s="41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39"/>
      <c r="O15" s="41"/>
      <c r="P15" s="40"/>
      <c r="Q15" s="40"/>
      <c r="R15" s="39"/>
      <c r="X15" t="s">
        <v>47</v>
      </c>
    </row>
    <row r="16" spans="1:24" x14ac:dyDescent="0.25">
      <c r="A16" s="41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39"/>
      <c r="O16" s="41"/>
      <c r="P16" s="40"/>
      <c r="Q16" s="40"/>
      <c r="R16" s="39"/>
    </row>
    <row r="17" spans="1:22" ht="15.75" thickBot="1" x14ac:dyDescent="0.3">
      <c r="A17" s="36"/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8"/>
      <c r="O17" s="41"/>
      <c r="P17" s="40"/>
      <c r="Q17" s="40"/>
      <c r="R17" s="39"/>
    </row>
    <row r="18" spans="1:22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5"/>
      <c r="N18" s="42"/>
      <c r="O18" s="42"/>
      <c r="P18" s="42"/>
      <c r="Q18" s="42"/>
      <c r="R18" s="42"/>
      <c r="S18" s="42"/>
      <c r="T18" s="42"/>
      <c r="U18" s="42"/>
      <c r="V18" s="43"/>
    </row>
    <row r="19" spans="1:22" ht="15" customHeight="1" x14ac:dyDescent="0.25">
      <c r="A19" s="41"/>
      <c r="B19" s="44" t="s">
        <v>46</v>
      </c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1"/>
      <c r="N19" s="44" t="s">
        <v>48</v>
      </c>
      <c r="O19" s="40"/>
      <c r="P19" s="40"/>
      <c r="Q19" s="40"/>
      <c r="R19" s="40"/>
      <c r="S19" s="40"/>
      <c r="T19" s="40"/>
      <c r="U19" s="40"/>
      <c r="V19" s="39"/>
    </row>
    <row r="20" spans="1:22" x14ac:dyDescent="0.25">
      <c r="A20" s="41"/>
      <c r="B20" s="40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1"/>
      <c r="N20" s="40"/>
      <c r="O20" s="40"/>
      <c r="P20" s="40"/>
      <c r="Q20" s="40"/>
      <c r="R20" s="40"/>
      <c r="S20" s="40"/>
      <c r="T20" s="40"/>
      <c r="U20" s="40"/>
      <c r="V20" s="39"/>
    </row>
    <row r="21" spans="1:22" x14ac:dyDescent="0.25">
      <c r="A21" s="41"/>
      <c r="B21" s="47" t="s">
        <v>1</v>
      </c>
      <c r="C21" s="1" t="s">
        <v>2</v>
      </c>
      <c r="D21" s="1" t="s">
        <v>3</v>
      </c>
      <c r="E21" s="1" t="s">
        <v>4</v>
      </c>
      <c r="F21" s="1" t="s">
        <v>5</v>
      </c>
      <c r="G21" s="1" t="s">
        <v>6</v>
      </c>
      <c r="H21" s="1" t="s">
        <v>9</v>
      </c>
      <c r="I21" s="1" t="s">
        <v>10</v>
      </c>
      <c r="J21" s="1" t="s">
        <v>11</v>
      </c>
      <c r="K21" s="1" t="s">
        <v>12</v>
      </c>
      <c r="L21" s="40"/>
      <c r="M21" s="41"/>
      <c r="N21" s="40"/>
      <c r="O21" s="40"/>
      <c r="P21" s="40"/>
      <c r="Q21" s="40"/>
      <c r="R21" s="40"/>
      <c r="S21" s="40"/>
      <c r="T21" s="40"/>
      <c r="U21" s="40"/>
      <c r="V21" s="39"/>
    </row>
    <row r="22" spans="1:22" x14ac:dyDescent="0.25">
      <c r="A22" s="41"/>
      <c r="B22" s="48"/>
      <c r="C22" s="1" t="str">
        <f>"[m"&amp;[1]Control!$F$7&amp;"]"</f>
        <v>[mLAT]</v>
      </c>
      <c r="D22" s="1" t="str">
        <f>"[m"&amp;[1]Control!$F$7&amp;"]"</f>
        <v>[mLAT]</v>
      </c>
      <c r="E22" s="1" t="s">
        <v>7</v>
      </c>
      <c r="F22" s="1" t="s">
        <v>7</v>
      </c>
      <c r="G22" s="1" t="s">
        <v>8</v>
      </c>
      <c r="H22" s="1" t="s">
        <v>7</v>
      </c>
      <c r="I22" s="1" t="s">
        <v>13</v>
      </c>
      <c r="J22" s="1" t="s">
        <v>14</v>
      </c>
      <c r="K22" s="1" t="s">
        <v>15</v>
      </c>
      <c r="L22" s="40"/>
      <c r="M22" s="41"/>
      <c r="N22" s="40"/>
      <c r="O22" s="40"/>
      <c r="P22" s="40"/>
      <c r="Q22" s="40"/>
      <c r="R22" s="40"/>
      <c r="S22" s="40"/>
      <c r="T22" s="40"/>
      <c r="U22" s="40"/>
      <c r="V22" s="39"/>
    </row>
    <row r="23" spans="1:22" x14ac:dyDescent="0.25">
      <c r="A23" s="41"/>
      <c r="B23" s="2">
        <v>1</v>
      </c>
      <c r="C23" s="3">
        <v>5.8</v>
      </c>
      <c r="D23" s="3">
        <v>2.6</v>
      </c>
      <c r="E23" s="3">
        <v>8</v>
      </c>
      <c r="F23" s="3">
        <v>8</v>
      </c>
      <c r="G23" s="4">
        <v>115</v>
      </c>
      <c r="H23" s="6">
        <f t="shared" ref="H23:H35" si="0">C23-D23</f>
        <v>3.1999999999999997</v>
      </c>
      <c r="I23" s="7">
        <f>ATAN((F23-E23)/(2*H23))/PI()*180</f>
        <v>0</v>
      </c>
      <c r="J23" s="8">
        <f>IF(I23=0,PI()/4*(E23^2-(E23-(2*G23/1000))^2)*H23*7850/1000,(H23*PI()/12)*((F23^2+F23*E23+E23^2)-((F23-2*(G23/1000))^2+(F23-(2*G23/1000))*(E23-(2*G23/1000))+(E23-(2*G23/1000))^2))*7850/1000)</f>
        <v>71.559788082887295</v>
      </c>
      <c r="K23" s="8">
        <f>MAX(E23:F23)/G23*1000</f>
        <v>69.565217391304344</v>
      </c>
      <c r="L23" s="40"/>
      <c r="M23" s="41"/>
      <c r="N23" s="40"/>
      <c r="O23" s="40"/>
      <c r="P23" s="40"/>
      <c r="Q23" s="40"/>
      <c r="R23" s="40"/>
      <c r="S23" s="40"/>
      <c r="T23" s="40"/>
      <c r="U23" s="40"/>
      <c r="V23" s="39"/>
    </row>
    <row r="24" spans="1:22" x14ac:dyDescent="0.25">
      <c r="A24" s="41"/>
      <c r="B24" s="2">
        <v>2</v>
      </c>
      <c r="C24" s="5">
        <f>D23</f>
        <v>2.6</v>
      </c>
      <c r="D24" s="3">
        <v>-0.6</v>
      </c>
      <c r="E24" s="3">
        <v>8</v>
      </c>
      <c r="F24" s="3">
        <v>8</v>
      </c>
      <c r="G24" s="4">
        <v>120</v>
      </c>
      <c r="H24" s="6">
        <f t="shared" si="0"/>
        <v>3.2</v>
      </c>
      <c r="I24" s="7">
        <f t="shared" ref="I24:I35" si="1">ATAN((F24-E24)/(2*H24))/PI()*180</f>
        <v>0</v>
      </c>
      <c r="J24" s="8">
        <f t="shared" ref="J24:J35" si="2">IF(I24=0,PI()/4*(E24^2-(E24-(2*G24/1000))^2)*H24*7850/1000,(H24*PI()/12)*((F24^2+F24*E24+E24^2)-((F24-2*(G24/1000))^2+(F24-(2*G24/1000))*(E24-(2*G24/1000))+(E24-(2*G24/1000))^2))*7850/1000)</f>
        <v>74.623733132450909</v>
      </c>
      <c r="K24" s="8">
        <f t="shared" ref="K24:K35" si="3">MAX(E24:F24)/G24*1000</f>
        <v>66.666666666666671</v>
      </c>
      <c r="L24" s="40"/>
      <c r="M24" s="41"/>
      <c r="N24" s="40"/>
      <c r="O24" s="40"/>
      <c r="P24" s="40"/>
      <c r="Q24" s="40"/>
      <c r="R24" s="40"/>
      <c r="S24" s="40"/>
      <c r="T24" s="40"/>
      <c r="U24" s="40"/>
      <c r="V24" s="39"/>
    </row>
    <row r="25" spans="1:22" x14ac:dyDescent="0.25">
      <c r="A25" s="41"/>
      <c r="B25" s="2">
        <v>3</v>
      </c>
      <c r="C25" s="5">
        <f t="shared" ref="C25:C34" si="4">D24</f>
        <v>-0.6</v>
      </c>
      <c r="D25" s="3">
        <v>-3.8</v>
      </c>
      <c r="E25" s="3">
        <v>8</v>
      </c>
      <c r="F25" s="3">
        <v>8</v>
      </c>
      <c r="G25" s="4">
        <v>130</v>
      </c>
      <c r="H25" s="6">
        <f t="shared" si="0"/>
        <v>3.1999999999999997</v>
      </c>
      <c r="I25" s="7">
        <f t="shared" si="1"/>
        <v>0</v>
      </c>
      <c r="J25" s="8">
        <f t="shared" si="2"/>
        <v>80.739785710459415</v>
      </c>
      <c r="K25" s="8">
        <f t="shared" si="3"/>
        <v>61.53846153846154</v>
      </c>
      <c r="L25" s="40"/>
      <c r="M25" s="41"/>
      <c r="N25" s="40"/>
      <c r="O25" s="40"/>
      <c r="P25" s="40"/>
      <c r="Q25" s="40"/>
      <c r="R25" s="40"/>
      <c r="S25" s="40"/>
      <c r="T25" s="40"/>
      <c r="U25" s="40"/>
      <c r="V25" s="39"/>
    </row>
    <row r="26" spans="1:22" x14ac:dyDescent="0.25">
      <c r="A26" s="41"/>
      <c r="B26" s="2">
        <v>4</v>
      </c>
      <c r="C26" s="5">
        <f t="shared" si="4"/>
        <v>-3.8</v>
      </c>
      <c r="D26" s="3">
        <v>-7.3</v>
      </c>
      <c r="E26" s="3">
        <v>8</v>
      </c>
      <c r="F26" s="3">
        <v>8.4377999999999993</v>
      </c>
      <c r="G26" s="4">
        <v>130</v>
      </c>
      <c r="H26" s="6">
        <f t="shared" si="0"/>
        <v>3.5</v>
      </c>
      <c r="I26" s="7">
        <f t="shared" si="1"/>
        <v>3.5787803472726449</v>
      </c>
      <c r="J26" s="8">
        <f t="shared" si="2"/>
        <v>90.765413922199599</v>
      </c>
      <c r="K26" s="8">
        <f t="shared" si="3"/>
        <v>64.906153846153842</v>
      </c>
      <c r="L26" s="40"/>
      <c r="M26" s="41"/>
      <c r="N26" s="40"/>
      <c r="O26" s="40"/>
      <c r="P26" s="40"/>
      <c r="Q26" s="40"/>
      <c r="R26" s="40"/>
      <c r="S26" s="40"/>
      <c r="T26" s="40"/>
      <c r="U26" s="40"/>
      <c r="V26" s="39"/>
    </row>
    <row r="27" spans="1:22" x14ac:dyDescent="0.25">
      <c r="A27" s="41"/>
      <c r="B27" s="2">
        <v>5</v>
      </c>
      <c r="C27" s="5">
        <f t="shared" si="4"/>
        <v>-7.3</v>
      </c>
      <c r="D27" s="3">
        <v>-10.8</v>
      </c>
      <c r="E27" s="3">
        <v>8.4377999999999993</v>
      </c>
      <c r="F27" s="3">
        <v>8.8756000000000004</v>
      </c>
      <c r="G27" s="4">
        <v>110</v>
      </c>
      <c r="H27" s="6">
        <f t="shared" si="0"/>
        <v>3.5000000000000009</v>
      </c>
      <c r="I27" s="7">
        <f t="shared" si="1"/>
        <v>3.5787803472726587</v>
      </c>
      <c r="J27" s="8">
        <f t="shared" si="2"/>
        <v>81.148167858304589</v>
      </c>
      <c r="K27" s="8">
        <f t="shared" si="3"/>
        <v>80.687272727272727</v>
      </c>
      <c r="L27" s="40"/>
      <c r="M27" s="41"/>
      <c r="N27" s="40"/>
      <c r="O27" s="40"/>
      <c r="P27" s="40"/>
      <c r="Q27" s="40"/>
      <c r="R27" s="40"/>
      <c r="S27" s="40"/>
      <c r="T27" s="40"/>
      <c r="U27" s="40"/>
      <c r="V27" s="39"/>
    </row>
    <row r="28" spans="1:22" x14ac:dyDescent="0.25">
      <c r="A28" s="41"/>
      <c r="B28" s="2">
        <v>6</v>
      </c>
      <c r="C28" s="5">
        <f t="shared" si="4"/>
        <v>-10.8</v>
      </c>
      <c r="D28" s="3">
        <v>-14.3</v>
      </c>
      <c r="E28" s="3">
        <v>8.8756000000000004</v>
      </c>
      <c r="F28" s="3">
        <v>9.3133999999999997</v>
      </c>
      <c r="G28" s="4">
        <v>124</v>
      </c>
      <c r="H28" s="6">
        <f t="shared" si="0"/>
        <v>3.5</v>
      </c>
      <c r="I28" s="7">
        <f t="shared" si="1"/>
        <v>3.5787803472726449</v>
      </c>
      <c r="J28" s="8">
        <f t="shared" si="2"/>
        <v>96.012086889295531</v>
      </c>
      <c r="K28" s="8">
        <f t="shared" si="3"/>
        <v>75.108064516129033</v>
      </c>
      <c r="L28" s="40"/>
      <c r="M28" s="41"/>
      <c r="N28" s="40"/>
      <c r="O28" s="40"/>
      <c r="P28" s="40"/>
      <c r="Q28" s="40"/>
      <c r="R28" s="40"/>
      <c r="S28" s="40"/>
      <c r="T28" s="40"/>
      <c r="U28" s="40"/>
      <c r="V28" s="39"/>
    </row>
    <row r="29" spans="1:22" x14ac:dyDescent="0.25">
      <c r="A29" s="41"/>
      <c r="B29" s="2">
        <v>7</v>
      </c>
      <c r="C29" s="5">
        <f t="shared" si="4"/>
        <v>-14.3</v>
      </c>
      <c r="D29" s="3">
        <v>-17.8</v>
      </c>
      <c r="E29" s="3">
        <v>9.3133999999999997</v>
      </c>
      <c r="F29" s="3">
        <v>9.7510999999999992</v>
      </c>
      <c r="G29" s="4">
        <v>109</v>
      </c>
      <c r="H29" s="6">
        <f t="shared" si="0"/>
        <v>3.5</v>
      </c>
      <c r="I29" s="7">
        <f t="shared" si="1"/>
        <v>3.5779650246316992</v>
      </c>
      <c r="J29" s="8">
        <f t="shared" si="2"/>
        <v>88.657357951036289</v>
      </c>
      <c r="K29" s="8">
        <f t="shared" si="3"/>
        <v>89.459633027522926</v>
      </c>
      <c r="L29" s="40"/>
      <c r="M29" s="41"/>
      <c r="N29" s="40"/>
      <c r="O29" s="40"/>
      <c r="P29" s="40"/>
      <c r="Q29" s="40"/>
      <c r="R29" s="40"/>
      <c r="S29" s="40"/>
      <c r="T29" s="40"/>
      <c r="U29" s="40"/>
      <c r="V29" s="39"/>
    </row>
    <row r="30" spans="1:22" x14ac:dyDescent="0.25">
      <c r="A30" s="41"/>
      <c r="B30" s="2">
        <v>8</v>
      </c>
      <c r="C30" s="5">
        <f t="shared" si="4"/>
        <v>-17.8</v>
      </c>
      <c r="D30" s="3">
        <v>-21.3</v>
      </c>
      <c r="E30" s="3">
        <v>9.7510999999999992</v>
      </c>
      <c r="F30" s="3">
        <v>10.1889</v>
      </c>
      <c r="G30" s="4">
        <v>98</v>
      </c>
      <c r="H30" s="6">
        <f t="shared" si="0"/>
        <v>3.5</v>
      </c>
      <c r="I30" s="7">
        <f t="shared" si="1"/>
        <v>3.5787803472726605</v>
      </c>
      <c r="J30" s="8">
        <f t="shared" si="2"/>
        <v>83.506214395905687</v>
      </c>
      <c r="K30" s="8">
        <f t="shared" si="3"/>
        <v>103.96836734693878</v>
      </c>
      <c r="L30" s="40"/>
      <c r="M30" s="41"/>
      <c r="N30" s="40"/>
      <c r="O30" s="40"/>
      <c r="P30" s="40"/>
      <c r="Q30" s="40"/>
      <c r="R30" s="40"/>
      <c r="S30" s="40"/>
      <c r="T30" s="40"/>
      <c r="U30" s="40"/>
      <c r="V30" s="39"/>
    </row>
    <row r="31" spans="1:22" x14ac:dyDescent="0.25">
      <c r="A31" s="41"/>
      <c r="B31" s="2">
        <v>9</v>
      </c>
      <c r="C31" s="5">
        <f t="shared" si="4"/>
        <v>-21.3</v>
      </c>
      <c r="D31" s="3">
        <v>-24.8</v>
      </c>
      <c r="E31" s="3">
        <v>10.1889</v>
      </c>
      <c r="F31" s="3">
        <v>10.6267</v>
      </c>
      <c r="G31" s="4">
        <v>98</v>
      </c>
      <c r="H31" s="6">
        <f t="shared" si="0"/>
        <v>3.5</v>
      </c>
      <c r="I31" s="7">
        <f t="shared" si="1"/>
        <v>3.5787803472726449</v>
      </c>
      <c r="J31" s="8">
        <f t="shared" si="2"/>
        <v>87.209518757992953</v>
      </c>
      <c r="K31" s="8">
        <f t="shared" si="3"/>
        <v>108.43571428571428</v>
      </c>
      <c r="L31" s="40"/>
      <c r="M31" s="41"/>
      <c r="N31" s="40"/>
      <c r="O31" s="40"/>
      <c r="P31" s="40"/>
      <c r="Q31" s="40"/>
      <c r="R31" s="40"/>
      <c r="S31" s="40"/>
      <c r="T31" s="40"/>
      <c r="U31" s="40"/>
      <c r="V31" s="39"/>
    </row>
    <row r="32" spans="1:22" x14ac:dyDescent="0.25">
      <c r="A32" s="41"/>
      <c r="B32" s="2">
        <v>10</v>
      </c>
      <c r="C32" s="5">
        <f t="shared" si="4"/>
        <v>-24.8</v>
      </c>
      <c r="D32" s="3">
        <v>-28.3</v>
      </c>
      <c r="E32" s="3">
        <v>10.6267</v>
      </c>
      <c r="F32" s="3">
        <v>11.064500000000001</v>
      </c>
      <c r="G32" s="4">
        <v>98</v>
      </c>
      <c r="H32" s="6">
        <f t="shared" si="0"/>
        <v>3.5</v>
      </c>
      <c r="I32" s="7">
        <f t="shared" si="1"/>
        <v>3.5787803472726605</v>
      </c>
      <c r="J32" s="8">
        <f t="shared" si="2"/>
        <v>90.912823120080617</v>
      </c>
      <c r="K32" s="8">
        <f t="shared" si="3"/>
        <v>112.9030612244898</v>
      </c>
      <c r="L32" s="40"/>
      <c r="M32" s="41"/>
      <c r="N32" s="40"/>
      <c r="O32" s="40"/>
      <c r="P32" s="40"/>
      <c r="Q32" s="40"/>
      <c r="R32" s="40"/>
      <c r="S32" s="40"/>
      <c r="T32" s="40"/>
      <c r="U32" s="40"/>
      <c r="V32" s="39"/>
    </row>
    <row r="33" spans="1:22" x14ac:dyDescent="0.25">
      <c r="A33" s="41"/>
      <c r="B33" s="2">
        <v>11</v>
      </c>
      <c r="C33" s="5">
        <f t="shared" si="4"/>
        <v>-28.3</v>
      </c>
      <c r="D33" s="3">
        <v>-31.8</v>
      </c>
      <c r="E33" s="3">
        <v>11.064500000000001</v>
      </c>
      <c r="F33" s="3">
        <v>11.5</v>
      </c>
      <c r="G33" s="4">
        <v>98</v>
      </c>
      <c r="H33" s="6">
        <f t="shared" si="0"/>
        <v>3.5</v>
      </c>
      <c r="I33" s="7">
        <f t="shared" si="1"/>
        <v>3.5600275600241904</v>
      </c>
      <c r="J33" s="8">
        <f t="shared" si="2"/>
        <v>94.606399752574163</v>
      </c>
      <c r="K33" s="8">
        <f t="shared" si="3"/>
        <v>117.34693877551021</v>
      </c>
      <c r="L33" s="40"/>
      <c r="M33" s="41"/>
      <c r="N33" s="40"/>
      <c r="O33" s="40"/>
      <c r="P33" s="40"/>
      <c r="Q33" s="40"/>
      <c r="R33" s="40"/>
      <c r="S33" s="40"/>
      <c r="T33" s="40"/>
      <c r="U33" s="40"/>
      <c r="V33" s="39"/>
    </row>
    <row r="34" spans="1:22" x14ac:dyDescent="0.25">
      <c r="A34" s="41"/>
      <c r="B34" s="2">
        <v>12</v>
      </c>
      <c r="C34" s="5">
        <f t="shared" si="4"/>
        <v>-31.8</v>
      </c>
      <c r="D34" s="3">
        <v>-35.299999999999997</v>
      </c>
      <c r="E34" s="3">
        <v>11.5</v>
      </c>
      <c r="F34" s="3">
        <v>11.5</v>
      </c>
      <c r="G34" s="4">
        <v>98</v>
      </c>
      <c r="H34" s="6">
        <f t="shared" si="0"/>
        <v>3.4999999999999964</v>
      </c>
      <c r="I34" s="7">
        <f t="shared" si="1"/>
        <v>0</v>
      </c>
      <c r="J34" s="8">
        <f t="shared" si="2"/>
        <v>96.448324204023137</v>
      </c>
      <c r="K34" s="8">
        <f t="shared" si="3"/>
        <v>117.34693877551021</v>
      </c>
      <c r="L34" s="40"/>
      <c r="M34" s="41"/>
      <c r="N34" s="40"/>
      <c r="O34" s="40"/>
      <c r="P34" s="40"/>
      <c r="Q34" s="40"/>
      <c r="R34" s="40"/>
      <c r="S34" s="40"/>
      <c r="T34" s="40"/>
      <c r="U34" s="40"/>
      <c r="V34" s="39"/>
    </row>
    <row r="35" spans="1:22" x14ac:dyDescent="0.25">
      <c r="A35" s="41"/>
      <c r="B35" s="2">
        <v>13</v>
      </c>
      <c r="C35" s="5">
        <f>D34</f>
        <v>-35.299999999999997</v>
      </c>
      <c r="D35" s="3">
        <v>-38.6</v>
      </c>
      <c r="E35" s="3">
        <v>11.5</v>
      </c>
      <c r="F35" s="3">
        <v>11.5</v>
      </c>
      <c r="G35" s="4">
        <v>98</v>
      </c>
      <c r="H35" s="6">
        <f t="shared" si="0"/>
        <v>3.3000000000000043</v>
      </c>
      <c r="I35" s="7">
        <f t="shared" si="1"/>
        <v>0</v>
      </c>
      <c r="J35" s="8">
        <f t="shared" si="2"/>
        <v>90.936991392364888</v>
      </c>
      <c r="K35" s="8">
        <f t="shared" si="3"/>
        <v>117.34693877551021</v>
      </c>
      <c r="L35" s="40"/>
      <c r="M35" s="41"/>
      <c r="N35" s="40"/>
      <c r="O35" s="40"/>
      <c r="P35" s="40"/>
      <c r="Q35" s="40"/>
      <c r="R35" s="40"/>
      <c r="S35" s="40"/>
      <c r="T35" s="40"/>
      <c r="U35" s="40"/>
      <c r="V35" s="39"/>
    </row>
    <row r="36" spans="1:22" x14ac:dyDescent="0.25">
      <c r="A36" s="41"/>
      <c r="B36" s="2">
        <v>14</v>
      </c>
      <c r="C36" s="5">
        <f t="shared" ref="C36:C47" si="5">D35</f>
        <v>-38.6</v>
      </c>
      <c r="D36" s="3">
        <v>-41.9</v>
      </c>
      <c r="E36" s="3">
        <v>11.5</v>
      </c>
      <c r="F36" s="3">
        <v>11.5</v>
      </c>
      <c r="G36" s="4">
        <v>98</v>
      </c>
      <c r="H36" s="6">
        <f>C36-D36</f>
        <v>3.2999999999999972</v>
      </c>
      <c r="I36" s="7">
        <f>ATAN((F36-E36)/(2*H36))/PI()*180</f>
        <v>0</v>
      </c>
      <c r="J36" s="8">
        <f>IF(I36=0,PI()/4*(E36^2-(E36-(2*G36/1000))^2)*H36*7850/1000,(H36*PI()/12)*((F36^2+F36*E36+E36^2)-((F36-2*(G36/1000))^2+(F36-(2*G36/1000))*(E36-(2*G36/1000))+(E36-(2*G36/1000))^2))*7850/1000)</f>
        <v>90.936991392364675</v>
      </c>
      <c r="K36" s="8">
        <f>MAX(E36:F36)/G36*1000</f>
        <v>117.34693877551021</v>
      </c>
      <c r="L36" s="40"/>
      <c r="M36" s="41"/>
      <c r="N36" s="40"/>
      <c r="O36" s="40"/>
      <c r="P36" s="40"/>
      <c r="Q36" s="40"/>
      <c r="R36" s="40"/>
      <c r="S36" s="40"/>
      <c r="T36" s="40"/>
      <c r="U36" s="40"/>
      <c r="V36" s="39"/>
    </row>
    <row r="37" spans="1:22" x14ac:dyDescent="0.25">
      <c r="A37" s="41"/>
      <c r="B37" s="2">
        <v>15</v>
      </c>
      <c r="C37" s="5">
        <f t="shared" si="5"/>
        <v>-41.9</v>
      </c>
      <c r="D37" s="3">
        <v>-45.2</v>
      </c>
      <c r="E37" s="3">
        <v>11.5</v>
      </c>
      <c r="F37" s="3">
        <v>11.5</v>
      </c>
      <c r="G37" s="4">
        <v>100</v>
      </c>
      <c r="H37" s="6">
        <f t="shared" ref="H37:H47" si="6">C37-D37</f>
        <v>3.3000000000000043</v>
      </c>
      <c r="I37" s="7">
        <f t="shared" ref="I37:I47" si="7">ATAN((F37-E37)/(2*H37))/PI()*180</f>
        <v>0</v>
      </c>
      <c r="J37" s="8">
        <f t="shared" ref="J37:J47" si="8">IF(I37=0,PI()/4*(E37^2-(E37-(2*G37/1000))^2)*H37*7850/1000,(H37*PI()/12)*((F37^2+F37*E37+E37^2)-((F37-2*(G37/1000))^2+(F37-(2*G37/1000))*(E37-(2*G37/1000))+(E37-(2*G37/1000))^2))*7850/1000)</f>
        <v>92.776571768017575</v>
      </c>
      <c r="K37" s="8">
        <f t="shared" ref="K37:K47" si="9">MAX(E37:F37)/G37*1000</f>
        <v>115</v>
      </c>
      <c r="L37" s="40"/>
      <c r="M37" s="41"/>
      <c r="N37" s="40"/>
      <c r="O37" s="40"/>
      <c r="P37" s="40"/>
      <c r="Q37" s="40"/>
      <c r="R37" s="40"/>
      <c r="S37" s="40"/>
      <c r="T37" s="40"/>
      <c r="U37" s="40"/>
      <c r="V37" s="39"/>
    </row>
    <row r="38" spans="1:22" x14ac:dyDescent="0.25">
      <c r="A38" s="41"/>
      <c r="B38" s="2">
        <v>16</v>
      </c>
      <c r="C38" s="5">
        <f t="shared" si="5"/>
        <v>-45.2</v>
      </c>
      <c r="D38" s="3">
        <v>-48.5</v>
      </c>
      <c r="E38" s="3">
        <v>11.5</v>
      </c>
      <c r="F38" s="3">
        <v>11.5</v>
      </c>
      <c r="G38" s="4">
        <v>98</v>
      </c>
      <c r="H38" s="6">
        <f t="shared" si="6"/>
        <v>3.2999999999999972</v>
      </c>
      <c r="I38" s="7">
        <f t="shared" si="7"/>
        <v>0</v>
      </c>
      <c r="J38" s="8">
        <f t="shared" si="8"/>
        <v>90.936991392364675</v>
      </c>
      <c r="K38" s="8">
        <f t="shared" si="9"/>
        <v>117.34693877551021</v>
      </c>
      <c r="L38" s="40"/>
      <c r="M38" s="41"/>
      <c r="N38" s="40"/>
      <c r="O38" s="40"/>
      <c r="P38" s="40"/>
      <c r="Q38" s="40"/>
      <c r="R38" s="40"/>
      <c r="S38" s="40"/>
      <c r="T38" s="40"/>
      <c r="U38" s="40"/>
      <c r="V38" s="39"/>
    </row>
    <row r="39" spans="1:22" x14ac:dyDescent="0.25">
      <c r="A39" s="41"/>
      <c r="B39" s="2">
        <v>17</v>
      </c>
      <c r="C39" s="5">
        <f t="shared" si="5"/>
        <v>-48.5</v>
      </c>
      <c r="D39" s="3">
        <v>-51.9</v>
      </c>
      <c r="E39" s="3">
        <v>11.5</v>
      </c>
      <c r="F39" s="3">
        <v>11.5</v>
      </c>
      <c r="G39" s="4">
        <v>96</v>
      </c>
      <c r="H39" s="6">
        <f t="shared" si="6"/>
        <v>3.3999999999999986</v>
      </c>
      <c r="I39" s="7">
        <f t="shared" si="7"/>
        <v>0</v>
      </c>
      <c r="J39" s="8">
        <f t="shared" si="8"/>
        <v>91.796661769809532</v>
      </c>
      <c r="K39" s="8">
        <f t="shared" si="9"/>
        <v>119.79166666666667</v>
      </c>
      <c r="L39" s="40"/>
      <c r="M39" s="41"/>
      <c r="N39" s="40"/>
      <c r="O39" s="40"/>
      <c r="P39" s="40"/>
      <c r="Q39" s="40"/>
      <c r="R39" s="40"/>
      <c r="S39" s="40"/>
      <c r="T39" s="40"/>
      <c r="U39" s="40"/>
      <c r="V39" s="39"/>
    </row>
    <row r="40" spans="1:22" x14ac:dyDescent="0.25">
      <c r="A40" s="41"/>
      <c r="B40" s="2">
        <v>18</v>
      </c>
      <c r="C40" s="5">
        <f t="shared" si="5"/>
        <v>-51.9</v>
      </c>
      <c r="D40" s="3">
        <v>-55.9</v>
      </c>
      <c r="E40" s="3">
        <v>11.5</v>
      </c>
      <c r="F40" s="3">
        <v>11.5</v>
      </c>
      <c r="G40" s="4">
        <v>93</v>
      </c>
      <c r="H40" s="6">
        <f t="shared" si="6"/>
        <v>4</v>
      </c>
      <c r="I40" s="7">
        <f t="shared" si="7"/>
        <v>0</v>
      </c>
      <c r="J40" s="8">
        <f t="shared" si="8"/>
        <v>104.64871763601626</v>
      </c>
      <c r="K40" s="8">
        <f t="shared" si="9"/>
        <v>123.65591397849462</v>
      </c>
      <c r="L40" s="40"/>
      <c r="M40" s="41"/>
      <c r="N40" s="40"/>
      <c r="O40" s="40"/>
      <c r="P40" s="40"/>
      <c r="Q40" s="40"/>
      <c r="R40" s="40"/>
      <c r="S40" s="40"/>
      <c r="T40" s="40"/>
      <c r="U40" s="40"/>
      <c r="V40" s="39"/>
    </row>
    <row r="41" spans="1:22" x14ac:dyDescent="0.25">
      <c r="A41" s="41"/>
      <c r="B41" s="2">
        <v>19</v>
      </c>
      <c r="C41" s="5">
        <f t="shared" si="5"/>
        <v>-55.9</v>
      </c>
      <c r="D41" s="3">
        <v>-59.9</v>
      </c>
      <c r="E41" s="3">
        <v>11.5</v>
      </c>
      <c r="F41" s="3">
        <v>11.5</v>
      </c>
      <c r="G41" s="4">
        <v>93</v>
      </c>
      <c r="H41" s="6">
        <f t="shared" si="6"/>
        <v>4</v>
      </c>
      <c r="I41" s="7">
        <f t="shared" si="7"/>
        <v>0</v>
      </c>
      <c r="J41" s="8">
        <f t="shared" si="8"/>
        <v>104.64871763601626</v>
      </c>
      <c r="K41" s="8">
        <f t="shared" si="9"/>
        <v>123.65591397849462</v>
      </c>
      <c r="L41" s="40"/>
      <c r="M41" s="41"/>
      <c r="N41" s="40"/>
      <c r="O41" s="40"/>
      <c r="P41" s="40"/>
      <c r="Q41" s="40"/>
      <c r="R41" s="40"/>
      <c r="S41" s="40"/>
      <c r="T41" s="40"/>
      <c r="U41" s="40"/>
      <c r="V41" s="39"/>
    </row>
    <row r="42" spans="1:22" x14ac:dyDescent="0.25">
      <c r="A42" s="41"/>
      <c r="B42" s="2">
        <v>20</v>
      </c>
      <c r="C42" s="5">
        <f t="shared" si="5"/>
        <v>-59.9</v>
      </c>
      <c r="D42" s="3">
        <v>-63.9</v>
      </c>
      <c r="E42" s="3">
        <v>11.5</v>
      </c>
      <c r="F42" s="3">
        <v>11.5</v>
      </c>
      <c r="G42" s="4">
        <v>93</v>
      </c>
      <c r="H42" s="6">
        <f t="shared" si="6"/>
        <v>4</v>
      </c>
      <c r="I42" s="7">
        <f t="shared" si="7"/>
        <v>0</v>
      </c>
      <c r="J42" s="8">
        <f t="shared" si="8"/>
        <v>104.64871763601626</v>
      </c>
      <c r="K42" s="8">
        <f t="shared" si="9"/>
        <v>123.65591397849462</v>
      </c>
      <c r="L42" s="40"/>
      <c r="M42" s="41"/>
      <c r="N42" s="40"/>
      <c r="O42" s="40"/>
      <c r="P42" s="40"/>
      <c r="Q42" s="40"/>
      <c r="R42" s="40"/>
      <c r="S42" s="40"/>
      <c r="T42" s="40"/>
      <c r="U42" s="40"/>
      <c r="V42" s="39"/>
    </row>
    <row r="43" spans="1:22" x14ac:dyDescent="0.25">
      <c r="A43" s="41"/>
      <c r="B43" s="2">
        <v>21</v>
      </c>
      <c r="C43" s="5">
        <f t="shared" si="5"/>
        <v>-63.9</v>
      </c>
      <c r="D43" s="3">
        <v>-67.900000000000006</v>
      </c>
      <c r="E43" s="3">
        <v>11.5</v>
      </c>
      <c r="F43" s="3">
        <v>11.5</v>
      </c>
      <c r="G43" s="4">
        <v>93</v>
      </c>
      <c r="H43" s="6">
        <f t="shared" si="6"/>
        <v>4.0000000000000071</v>
      </c>
      <c r="I43" s="7">
        <f t="shared" si="7"/>
        <v>0</v>
      </c>
      <c r="J43" s="8">
        <f t="shared" si="8"/>
        <v>104.64871763601644</v>
      </c>
      <c r="K43" s="8">
        <f t="shared" si="9"/>
        <v>123.65591397849462</v>
      </c>
      <c r="L43" s="40"/>
      <c r="M43" s="41"/>
      <c r="N43" s="40"/>
      <c r="O43" s="40"/>
      <c r="P43" s="40"/>
      <c r="Q43" s="40"/>
      <c r="R43" s="40"/>
      <c r="S43" s="40"/>
      <c r="T43" s="40"/>
      <c r="U43" s="40"/>
      <c r="V43" s="39"/>
    </row>
    <row r="44" spans="1:22" x14ac:dyDescent="0.25">
      <c r="A44" s="41"/>
      <c r="B44" s="2">
        <v>22</v>
      </c>
      <c r="C44" s="5">
        <f t="shared" si="5"/>
        <v>-67.900000000000006</v>
      </c>
      <c r="D44" s="3">
        <v>-71.900000000000006</v>
      </c>
      <c r="E44" s="3">
        <v>11.5</v>
      </c>
      <c r="F44" s="3">
        <v>11.5</v>
      </c>
      <c r="G44" s="4">
        <v>93</v>
      </c>
      <c r="H44" s="6">
        <f t="shared" si="6"/>
        <v>4</v>
      </c>
      <c r="I44" s="7">
        <f t="shared" si="7"/>
        <v>0</v>
      </c>
      <c r="J44" s="8">
        <f t="shared" si="8"/>
        <v>104.64871763601626</v>
      </c>
      <c r="K44" s="8">
        <f t="shared" si="9"/>
        <v>123.65591397849462</v>
      </c>
      <c r="L44" s="40"/>
      <c r="M44" s="41"/>
      <c r="N44" s="40"/>
      <c r="O44" s="40"/>
      <c r="P44" s="40"/>
      <c r="Q44" s="40"/>
      <c r="R44" s="40"/>
      <c r="S44" s="40"/>
      <c r="T44" s="40"/>
      <c r="U44" s="40"/>
      <c r="V44" s="39"/>
    </row>
    <row r="45" spans="1:22" x14ac:dyDescent="0.25">
      <c r="A45" s="41"/>
      <c r="B45" s="2">
        <v>23</v>
      </c>
      <c r="C45" s="5">
        <f t="shared" si="5"/>
        <v>-71.900000000000006</v>
      </c>
      <c r="D45" s="3">
        <v>-75.7</v>
      </c>
      <c r="E45" s="3">
        <v>11.5</v>
      </c>
      <c r="F45" s="3">
        <v>11.5</v>
      </c>
      <c r="G45" s="4">
        <v>96</v>
      </c>
      <c r="H45" s="6">
        <f t="shared" si="6"/>
        <v>3.7999999999999972</v>
      </c>
      <c r="I45" s="7">
        <f t="shared" si="7"/>
        <v>0</v>
      </c>
      <c r="J45" s="8">
        <f t="shared" si="8"/>
        <v>102.59626903684591</v>
      </c>
      <c r="K45" s="8">
        <f t="shared" si="9"/>
        <v>119.79166666666667</v>
      </c>
      <c r="L45" s="40"/>
      <c r="M45" s="41"/>
      <c r="N45" s="40"/>
      <c r="O45" s="40"/>
      <c r="P45" s="40"/>
      <c r="Q45" s="40"/>
      <c r="R45" s="40"/>
      <c r="S45" s="40"/>
      <c r="T45" s="40"/>
      <c r="U45" s="40"/>
      <c r="V45" s="39"/>
    </row>
    <row r="46" spans="1:22" x14ac:dyDescent="0.25">
      <c r="A46" s="41"/>
      <c r="B46" s="2">
        <v>24</v>
      </c>
      <c r="C46" s="5">
        <f t="shared" si="5"/>
        <v>-75.7</v>
      </c>
      <c r="D46" s="3">
        <f>D47+3</f>
        <v>-79.37</v>
      </c>
      <c r="E46" s="3">
        <v>11.5</v>
      </c>
      <c r="F46" s="3">
        <v>11.5</v>
      </c>
      <c r="G46" s="4">
        <v>100</v>
      </c>
      <c r="H46" s="6">
        <f t="shared" si="6"/>
        <v>3.6700000000000017</v>
      </c>
      <c r="I46" s="7">
        <f t="shared" si="7"/>
        <v>0</v>
      </c>
      <c r="J46" s="8">
        <f t="shared" si="8"/>
        <v>103.17879345109823</v>
      </c>
      <c r="K46" s="8">
        <f t="shared" si="9"/>
        <v>115</v>
      </c>
      <c r="L46" s="40"/>
      <c r="M46" s="41"/>
      <c r="N46" s="40"/>
      <c r="O46" s="40"/>
      <c r="P46" s="40"/>
      <c r="Q46" s="40"/>
      <c r="R46" s="40"/>
      <c r="S46" s="40"/>
      <c r="T46" s="40"/>
      <c r="U46" s="40"/>
      <c r="V46" s="39"/>
    </row>
    <row r="47" spans="1:22" x14ac:dyDescent="0.25">
      <c r="A47" s="41"/>
      <c r="B47" s="2">
        <v>25</v>
      </c>
      <c r="C47" s="5">
        <f t="shared" si="5"/>
        <v>-79.37</v>
      </c>
      <c r="D47" s="3">
        <v>-82.37</v>
      </c>
      <c r="E47" s="3">
        <v>11.5</v>
      </c>
      <c r="F47" s="3">
        <v>11.5</v>
      </c>
      <c r="G47" s="4">
        <v>105</v>
      </c>
      <c r="H47" s="6">
        <f t="shared" si="6"/>
        <v>3</v>
      </c>
      <c r="I47" s="7">
        <f t="shared" si="7"/>
        <v>0</v>
      </c>
      <c r="J47" s="8">
        <f t="shared" si="8"/>
        <v>88.520613003300838</v>
      </c>
      <c r="K47" s="8">
        <f t="shared" si="9"/>
        <v>109.52380952380952</v>
      </c>
      <c r="L47" s="40"/>
      <c r="M47" s="41"/>
      <c r="N47" s="40"/>
      <c r="O47" s="40"/>
      <c r="P47" s="40"/>
      <c r="Q47" s="40"/>
      <c r="R47" s="40"/>
      <c r="S47" s="40"/>
      <c r="T47" s="40"/>
      <c r="U47" s="40"/>
      <c r="V47" s="39"/>
    </row>
    <row r="48" spans="1:22" x14ac:dyDescent="0.25">
      <c r="A48" s="41"/>
      <c r="B48" s="40"/>
      <c r="C48" s="40"/>
      <c r="D48" s="40"/>
      <c r="E48" s="40"/>
      <c r="F48" s="40"/>
      <c r="G48" s="40"/>
      <c r="H48" s="40"/>
      <c r="I48" s="40"/>
      <c r="J48" s="40"/>
      <c r="K48" s="40"/>
      <c r="L48" s="40"/>
      <c r="M48" s="41"/>
      <c r="N48" s="40"/>
      <c r="O48" s="40"/>
      <c r="P48" s="40"/>
      <c r="Q48" s="40"/>
      <c r="R48" s="40"/>
      <c r="S48" s="40"/>
      <c r="T48" s="40"/>
      <c r="U48" s="40"/>
      <c r="V48" s="39"/>
    </row>
    <row r="49" spans="1:22" x14ac:dyDescent="0.25">
      <c r="A49" s="41"/>
      <c r="B49" s="40"/>
      <c r="C49" s="40"/>
      <c r="D49" s="40"/>
      <c r="E49" s="40"/>
      <c r="F49" s="40"/>
      <c r="G49" s="40"/>
      <c r="H49" s="40"/>
      <c r="I49" s="40"/>
      <c r="J49" s="40"/>
      <c r="K49" s="40"/>
      <c r="L49" s="40"/>
      <c r="M49" s="41"/>
      <c r="N49" s="40"/>
      <c r="O49" s="40"/>
      <c r="P49" s="40"/>
      <c r="Q49" s="40"/>
      <c r="R49" s="40"/>
      <c r="S49" s="40"/>
      <c r="T49" s="40"/>
      <c r="U49" s="40"/>
      <c r="V49" s="39"/>
    </row>
    <row r="50" spans="1:22" x14ac:dyDescent="0.25">
      <c r="A50" s="41"/>
      <c r="B50" s="40"/>
      <c r="C50" s="40"/>
      <c r="D50" s="40"/>
      <c r="E50" s="40"/>
      <c r="F50" s="40"/>
      <c r="G50" s="40"/>
      <c r="H50" s="40"/>
      <c r="I50" s="40"/>
      <c r="J50" s="40"/>
      <c r="K50" s="40"/>
      <c r="L50" s="40"/>
      <c r="M50" s="41"/>
      <c r="N50" s="40"/>
      <c r="O50" s="40"/>
      <c r="P50" s="40"/>
      <c r="Q50" s="40"/>
      <c r="R50" s="40"/>
      <c r="S50" s="40"/>
      <c r="T50" s="40"/>
      <c r="U50" s="40"/>
      <c r="V50" s="39"/>
    </row>
    <row r="51" spans="1:22" x14ac:dyDescent="0.25">
      <c r="A51" s="41"/>
      <c r="B51" s="40"/>
      <c r="C51" s="40"/>
      <c r="D51" s="40"/>
      <c r="E51" s="40"/>
      <c r="F51" s="40"/>
      <c r="G51" s="40"/>
      <c r="H51" s="40"/>
      <c r="I51" s="40"/>
      <c r="J51" s="40"/>
      <c r="K51" s="40"/>
      <c r="L51" s="40"/>
      <c r="M51" s="41"/>
      <c r="N51" s="40"/>
      <c r="O51" s="40"/>
      <c r="P51" s="40"/>
      <c r="Q51" s="40"/>
      <c r="R51" s="40"/>
      <c r="S51" s="40"/>
      <c r="T51" s="40"/>
      <c r="U51" s="40"/>
      <c r="V51" s="39"/>
    </row>
    <row r="52" spans="1:22" x14ac:dyDescent="0.25">
      <c r="A52" s="41"/>
      <c r="B52" s="40"/>
      <c r="C52" s="40"/>
      <c r="D52" s="40"/>
      <c r="E52" s="40"/>
      <c r="F52" s="40"/>
      <c r="G52" s="40"/>
      <c r="H52" s="40"/>
      <c r="I52" s="40"/>
      <c r="J52" s="40"/>
      <c r="K52" s="40"/>
      <c r="L52" s="40"/>
      <c r="M52" s="41"/>
      <c r="N52" s="40"/>
      <c r="O52" s="40"/>
      <c r="P52" s="40"/>
      <c r="Q52" s="40"/>
      <c r="R52" s="40"/>
      <c r="S52" s="40"/>
      <c r="T52" s="40"/>
      <c r="U52" s="40"/>
      <c r="V52" s="39"/>
    </row>
    <row r="53" spans="1:22" x14ac:dyDescent="0.25">
      <c r="A53" s="41"/>
      <c r="B53" s="40"/>
      <c r="C53" s="40"/>
      <c r="D53" s="40"/>
      <c r="E53" s="40"/>
      <c r="F53" s="40"/>
      <c r="G53" s="40"/>
      <c r="H53" s="40"/>
      <c r="I53" s="40"/>
      <c r="J53" s="40"/>
      <c r="K53" s="40"/>
      <c r="L53" s="40"/>
      <c r="M53" s="41"/>
      <c r="N53" s="40"/>
      <c r="O53" s="40"/>
      <c r="P53" s="40"/>
      <c r="Q53" s="40"/>
      <c r="R53" s="40"/>
      <c r="S53" s="40"/>
      <c r="T53" s="40"/>
      <c r="U53" s="40"/>
      <c r="V53" s="39"/>
    </row>
    <row r="54" spans="1:22" x14ac:dyDescent="0.25">
      <c r="A54" s="41"/>
      <c r="B54" s="40"/>
      <c r="C54" s="40"/>
      <c r="D54" s="40"/>
      <c r="E54" s="40"/>
      <c r="F54" s="40"/>
      <c r="G54" s="40"/>
      <c r="H54" s="40"/>
      <c r="I54" s="40"/>
      <c r="J54" s="40"/>
      <c r="K54" s="40"/>
      <c r="L54" s="40"/>
      <c r="M54" s="41"/>
      <c r="N54" s="40"/>
      <c r="O54" s="40"/>
      <c r="P54" s="40"/>
      <c r="Q54" s="40"/>
      <c r="R54" s="40"/>
      <c r="S54" s="40"/>
      <c r="T54" s="40"/>
      <c r="U54" s="40"/>
      <c r="V54" s="39"/>
    </row>
    <row r="55" spans="1:22" x14ac:dyDescent="0.25">
      <c r="A55" s="41"/>
      <c r="B55" s="40"/>
      <c r="C55" s="40"/>
      <c r="D55" s="40"/>
      <c r="E55" s="40"/>
      <c r="F55" s="40"/>
      <c r="G55" s="40"/>
      <c r="H55" s="40"/>
      <c r="I55" s="40"/>
      <c r="J55" s="40"/>
      <c r="K55" s="40"/>
      <c r="L55" s="40"/>
      <c r="M55" s="41"/>
      <c r="N55" s="40"/>
      <c r="O55" s="40"/>
      <c r="P55" s="40"/>
      <c r="Q55" s="40"/>
      <c r="R55" s="40"/>
      <c r="S55" s="40"/>
      <c r="T55" s="40"/>
      <c r="U55" s="40"/>
      <c r="V55" s="39"/>
    </row>
    <row r="56" spans="1:22" x14ac:dyDescent="0.25">
      <c r="A56" s="41"/>
      <c r="B56" s="40"/>
      <c r="C56" s="40"/>
      <c r="D56" s="40"/>
      <c r="E56" s="40"/>
      <c r="F56" s="40"/>
      <c r="G56" s="40"/>
      <c r="H56" s="40"/>
      <c r="I56" s="40"/>
      <c r="J56" s="40"/>
      <c r="K56" s="40"/>
      <c r="L56" s="40"/>
      <c r="M56" s="41"/>
      <c r="N56" s="40"/>
      <c r="O56" s="40"/>
      <c r="P56" s="40"/>
      <c r="Q56" s="40"/>
      <c r="R56" s="40"/>
      <c r="S56" s="40"/>
      <c r="T56" s="40"/>
      <c r="U56" s="40"/>
      <c r="V56" s="39"/>
    </row>
    <row r="57" spans="1:22" x14ac:dyDescent="0.25">
      <c r="A57" s="41"/>
      <c r="B57" s="40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1"/>
      <c r="N57" s="40"/>
      <c r="O57" s="40"/>
      <c r="P57" s="40"/>
      <c r="Q57" s="40"/>
      <c r="R57" s="40"/>
      <c r="S57" s="40"/>
      <c r="T57" s="40"/>
      <c r="U57" s="40"/>
      <c r="V57" s="39"/>
    </row>
    <row r="58" spans="1:22" x14ac:dyDescent="0.25">
      <c r="A58" s="41"/>
      <c r="B58" s="40"/>
      <c r="C58" s="40"/>
      <c r="D58" s="40"/>
      <c r="E58" s="40"/>
      <c r="F58" s="40"/>
      <c r="G58" s="40"/>
      <c r="H58" s="40"/>
      <c r="I58" s="40"/>
      <c r="J58" s="40"/>
      <c r="K58" s="40"/>
      <c r="L58" s="40"/>
      <c r="M58" s="41"/>
      <c r="N58" s="40"/>
      <c r="O58" s="40"/>
      <c r="P58" s="40"/>
      <c r="Q58" s="40"/>
      <c r="R58" s="40"/>
      <c r="S58" s="40"/>
      <c r="T58" s="40"/>
      <c r="U58" s="40"/>
      <c r="V58" s="39"/>
    </row>
    <row r="59" spans="1:22" x14ac:dyDescent="0.25">
      <c r="A59" s="41"/>
      <c r="B59" s="40"/>
      <c r="C59" s="40"/>
      <c r="D59" s="40"/>
      <c r="E59" s="40"/>
      <c r="F59" s="40"/>
      <c r="G59" s="40"/>
      <c r="H59" s="40"/>
      <c r="I59" s="40"/>
      <c r="J59" s="40"/>
      <c r="K59" s="40"/>
      <c r="L59" s="40"/>
      <c r="M59" s="41"/>
      <c r="N59" s="40"/>
      <c r="O59" s="40"/>
      <c r="P59" s="40"/>
      <c r="Q59" s="40"/>
      <c r="R59" s="40"/>
      <c r="S59" s="40"/>
      <c r="T59" s="40"/>
      <c r="U59" s="40"/>
      <c r="V59" s="39"/>
    </row>
    <row r="60" spans="1:22" x14ac:dyDescent="0.25">
      <c r="A60" s="41"/>
      <c r="B60" s="40"/>
      <c r="C60" s="40"/>
      <c r="D60" s="40"/>
      <c r="E60" s="40"/>
      <c r="F60" s="40"/>
      <c r="G60" s="40"/>
      <c r="H60" s="40"/>
      <c r="I60" s="40"/>
      <c r="J60" s="40"/>
      <c r="K60" s="40"/>
      <c r="L60" s="40"/>
      <c r="M60" s="41"/>
      <c r="N60" s="40"/>
      <c r="O60" s="40"/>
      <c r="P60" s="40"/>
      <c r="Q60" s="40"/>
      <c r="R60" s="40"/>
      <c r="S60" s="40"/>
      <c r="T60" s="40"/>
      <c r="U60" s="40"/>
      <c r="V60" s="39"/>
    </row>
    <row r="61" spans="1:22" x14ac:dyDescent="0.25">
      <c r="A61" s="41"/>
      <c r="B61" s="40"/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1"/>
      <c r="N61" s="40"/>
      <c r="O61" s="40"/>
      <c r="P61" s="40"/>
      <c r="Q61" s="40"/>
      <c r="R61" s="40"/>
      <c r="S61" s="40"/>
      <c r="T61" s="40"/>
      <c r="U61" s="40"/>
      <c r="V61" s="39"/>
    </row>
    <row r="62" spans="1:22" x14ac:dyDescent="0.25">
      <c r="A62" s="41"/>
      <c r="B62" s="40"/>
      <c r="C62" s="40"/>
      <c r="D62" s="40"/>
      <c r="E62" s="40"/>
      <c r="F62" s="40"/>
      <c r="G62" s="40"/>
      <c r="H62" s="40"/>
      <c r="I62" s="40"/>
      <c r="J62" s="40"/>
      <c r="K62" s="40"/>
      <c r="L62" s="40"/>
      <c r="M62" s="41"/>
      <c r="N62" s="40"/>
      <c r="O62" s="40"/>
      <c r="P62" s="40"/>
      <c r="Q62" s="40"/>
      <c r="R62" s="40"/>
      <c r="S62" s="40"/>
      <c r="T62" s="40"/>
      <c r="U62" s="40"/>
      <c r="V62" s="39"/>
    </row>
    <row r="63" spans="1:22" x14ac:dyDescent="0.25">
      <c r="A63" s="41"/>
      <c r="B63" s="40"/>
      <c r="C63" s="40"/>
      <c r="D63" s="40"/>
      <c r="E63" s="40"/>
      <c r="F63" s="40"/>
      <c r="G63" s="40"/>
      <c r="H63" s="40"/>
      <c r="I63" s="40"/>
      <c r="J63" s="40"/>
      <c r="K63" s="40"/>
      <c r="L63" s="40"/>
      <c r="M63" s="41"/>
      <c r="N63" s="40"/>
      <c r="O63" s="40"/>
      <c r="P63" s="40"/>
      <c r="Q63" s="40"/>
      <c r="R63" s="40"/>
      <c r="S63" s="40"/>
      <c r="T63" s="40"/>
      <c r="U63" s="40"/>
      <c r="V63" s="39"/>
    </row>
    <row r="64" spans="1:22" x14ac:dyDescent="0.25">
      <c r="A64" s="41"/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1"/>
      <c r="N64" s="40"/>
      <c r="O64" s="40"/>
      <c r="P64" s="40"/>
      <c r="Q64" s="40"/>
      <c r="R64" s="40"/>
      <c r="S64" s="40"/>
      <c r="T64" s="40"/>
      <c r="U64" s="40"/>
      <c r="V64" s="39"/>
    </row>
    <row r="65" spans="1:22" x14ac:dyDescent="0.25">
      <c r="A65" s="41"/>
      <c r="B65" s="40"/>
      <c r="C65" s="40"/>
      <c r="D65" s="40"/>
      <c r="E65" s="40"/>
      <c r="F65" s="40"/>
      <c r="G65" s="40"/>
      <c r="H65" s="40"/>
      <c r="I65" s="40"/>
      <c r="J65" s="40"/>
      <c r="K65" s="40"/>
      <c r="L65" s="40"/>
      <c r="M65" s="41"/>
      <c r="N65" s="40"/>
      <c r="O65" s="40"/>
      <c r="P65" s="40"/>
      <c r="Q65" s="40"/>
      <c r="R65" s="40"/>
      <c r="S65" s="40"/>
      <c r="T65" s="40"/>
      <c r="U65" s="40"/>
      <c r="V65" s="39"/>
    </row>
    <row r="66" spans="1:22" x14ac:dyDescent="0.25">
      <c r="A66" s="41"/>
      <c r="B66" s="40"/>
      <c r="C66" s="40"/>
      <c r="D66" s="40"/>
      <c r="E66" s="40"/>
      <c r="F66" s="40"/>
      <c r="G66" s="40"/>
      <c r="H66" s="40"/>
      <c r="I66" s="40"/>
      <c r="J66" s="40"/>
      <c r="K66" s="40"/>
      <c r="L66" s="40"/>
      <c r="M66" s="41"/>
      <c r="N66" s="40"/>
      <c r="O66" s="40"/>
      <c r="P66" s="40"/>
      <c r="Q66" s="40"/>
      <c r="R66" s="40"/>
      <c r="S66" s="40"/>
      <c r="T66" s="40"/>
      <c r="U66" s="40"/>
      <c r="V66" s="39"/>
    </row>
    <row r="67" spans="1:22" ht="15.75" thickBot="1" x14ac:dyDescent="0.3">
      <c r="A67" s="41"/>
      <c r="B67" s="40"/>
      <c r="C67" s="40"/>
      <c r="D67" s="40"/>
      <c r="E67" s="40"/>
      <c r="F67" s="40"/>
      <c r="G67" s="40"/>
      <c r="H67" s="40"/>
      <c r="I67" s="40"/>
      <c r="J67" s="40"/>
      <c r="K67" s="40"/>
      <c r="L67" s="40"/>
      <c r="M67" s="36"/>
      <c r="N67" s="37"/>
      <c r="O67" s="37"/>
      <c r="P67" s="37"/>
      <c r="Q67" s="37"/>
      <c r="R67" s="37"/>
      <c r="S67" s="37"/>
      <c r="T67" s="37"/>
      <c r="U67" s="37"/>
      <c r="V67" s="38"/>
    </row>
  </sheetData>
  <mergeCells count="3">
    <mergeCell ref="B4:D4"/>
    <mergeCell ref="F4:I4"/>
    <mergeCell ref="K4:M4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ot">
                <anchor moveWithCells="1" sizeWithCells="1">
                  <from>
                    <xdr:col>2</xdr:col>
                    <xdr:colOff>295275</xdr:colOff>
                    <xdr:row>13</xdr:row>
                    <xdr:rowOff>104775</xdr:rowOff>
                  </from>
                  <to>
                    <xdr:col>3</xdr:col>
                    <xdr:colOff>552450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Plot">
                <anchor moveWithCells="1" sizeWithCells="1">
                  <from>
                    <xdr:col>4</xdr:col>
                    <xdr:colOff>47625</xdr:colOff>
                    <xdr:row>13</xdr:row>
                    <xdr:rowOff>123825</xdr:rowOff>
                  </from>
                  <to>
                    <xdr:col>5</xdr:col>
                    <xdr:colOff>495300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Plot">
                <anchor moveWithCells="1" sizeWithCells="1">
                  <from>
                    <xdr:col>1</xdr:col>
                    <xdr:colOff>9525</xdr:colOff>
                    <xdr:row>13</xdr:row>
                    <xdr:rowOff>123825</xdr:rowOff>
                  </from>
                  <to>
                    <xdr:col>2</xdr:col>
                    <xdr:colOff>28575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Plot">
                <anchor moveWithCells="1" sizeWithCells="1">
                  <from>
                    <xdr:col>5</xdr:col>
                    <xdr:colOff>819150</xdr:colOff>
                    <xdr:row>13</xdr:row>
                    <xdr:rowOff>133350</xdr:rowOff>
                  </from>
                  <to>
                    <xdr:col>7</xdr:col>
                    <xdr:colOff>371475</xdr:colOff>
                    <xdr:row>16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903C7-ED49-4829-81EA-1588CEA502C8}">
  <sheetPr codeName="Tabelle1"/>
  <dimension ref="A1:DO145"/>
  <sheetViews>
    <sheetView zoomScale="85" zoomScaleNormal="85" workbookViewId="0">
      <selection activeCell="DC6" sqref="DC6"/>
    </sheetView>
  </sheetViews>
  <sheetFormatPr baseColWidth="10" defaultColWidth="11.28515625" defaultRowHeight="15" outlineLevelCol="2" x14ac:dyDescent="0.25"/>
  <cols>
    <col min="1" max="1" width="43.28515625" style="71" customWidth="1"/>
    <col min="2" max="2" width="37.42578125" customWidth="1"/>
    <col min="3" max="4" width="17.28515625" customWidth="1"/>
    <col min="5" max="5" width="14.5703125" customWidth="1"/>
    <col min="6" max="6" width="19.28515625" customWidth="1"/>
    <col min="7" max="10" width="11.28515625" customWidth="1"/>
    <col min="11" max="11" width="11.85546875" customWidth="1"/>
    <col min="12" max="12" width="12.28515625" customWidth="1"/>
    <col min="13" max="13" width="21.7109375" customWidth="1"/>
    <col min="14" max="14" width="16.28515625" customWidth="1"/>
    <col min="15" max="15" width="32.42578125" customWidth="1"/>
    <col min="16" max="16" width="11.28515625" hidden="1" customWidth="1" outlineLevel="1"/>
    <col min="17" max="17" width="12.7109375" hidden="1" customWidth="1" outlineLevel="1"/>
    <col min="18" max="18" width="11.28515625" hidden="1" customWidth="1" outlineLevel="1"/>
    <col min="19" max="19" width="14.5703125" hidden="1" customWidth="1" outlineLevel="1"/>
    <col min="20" max="25" width="11.28515625" hidden="1" customWidth="1" outlineLevel="1"/>
    <col min="26" max="26" width="11.28515625" collapsed="1"/>
    <col min="27" max="27" width="28.28515625" hidden="1" customWidth="1" outlineLevel="1"/>
    <col min="28" max="29" width="11.28515625" hidden="1" customWidth="1" outlineLevel="1"/>
    <col min="30" max="30" width="22" hidden="1" customWidth="1" outlineLevel="1"/>
    <col min="31" max="31" width="11.28515625" hidden="1" customWidth="1" outlineLevel="1"/>
    <col min="32" max="33" width="15.42578125" hidden="1" customWidth="1" outlineLevel="1"/>
    <col min="34" max="34" width="24.42578125" style="73" customWidth="1" collapsed="1"/>
    <col min="35" max="35" width="23.140625" style="71" customWidth="1"/>
    <col min="36" max="36" width="11.28515625" customWidth="1"/>
    <col min="48" max="48" width="25" customWidth="1"/>
    <col min="50" max="59" width="11.28515625" hidden="1" customWidth="1" outlineLevel="1"/>
    <col min="60" max="60" width="11.28515625" collapsed="1"/>
    <col min="61" max="67" width="11.28515625" hidden="1" customWidth="1" outlineLevel="2"/>
    <col min="68" max="68" width="24.5703125" style="105" customWidth="1" collapsed="1"/>
    <col min="69" max="69" width="23.140625" style="71" customWidth="1"/>
    <col min="81" max="81" width="17.28515625" customWidth="1"/>
    <col min="82" max="82" width="39.5703125" customWidth="1"/>
    <col min="84" max="93" width="11.28515625" hidden="1" customWidth="1" outlineLevel="1"/>
    <col min="94" max="94" width="11.28515625" collapsed="1"/>
    <col min="95" max="101" width="0" hidden="1" customWidth="1" outlineLevel="1"/>
    <col min="102" max="102" width="24.140625" style="73" customWidth="1" collapsed="1"/>
    <col min="103" max="103" width="23.140625" style="71" customWidth="1"/>
    <col min="104" max="104" width="14.7109375" customWidth="1"/>
    <col min="105" max="105" width="21.28515625" customWidth="1"/>
    <col min="106" max="106" width="22.42578125" customWidth="1"/>
    <col min="107" max="107" width="16.7109375" customWidth="1"/>
    <col min="108" max="108" width="24.28515625" customWidth="1"/>
    <col min="111" max="112" width="11.28515625" customWidth="1" outlineLevel="1"/>
    <col min="113" max="113" width="13.28515625" customWidth="1" outlineLevel="1"/>
    <col min="114" max="114" width="19.28515625" customWidth="1" outlineLevel="1"/>
    <col min="115" max="115" width="15.140625" customWidth="1" outlineLevel="1"/>
    <col min="116" max="116" width="18.85546875" customWidth="1" outlineLevel="1"/>
  </cols>
  <sheetData>
    <row r="1" spans="2:104" x14ac:dyDescent="0.25">
      <c r="AH1" s="93" t="s">
        <v>158</v>
      </c>
      <c r="BP1" s="104" t="s">
        <v>158</v>
      </c>
      <c r="CX1" s="93" t="s">
        <v>158</v>
      </c>
    </row>
    <row r="5" spans="2:104" x14ac:dyDescent="0.25">
      <c r="E5" s="72"/>
    </row>
    <row r="6" spans="2:104" x14ac:dyDescent="0.25">
      <c r="E6" s="72" t="b">
        <v>1</v>
      </c>
    </row>
    <row r="7" spans="2:104" x14ac:dyDescent="0.25">
      <c r="E7" s="72"/>
    </row>
    <row r="8" spans="2:104" x14ac:dyDescent="0.25">
      <c r="E8" s="72" t="b">
        <v>1</v>
      </c>
    </row>
    <row r="9" spans="2:104" ht="24" customHeight="1" x14ac:dyDescent="0.25"/>
    <row r="11" spans="2:104" ht="18.75" x14ac:dyDescent="0.3">
      <c r="B11" s="74" t="s">
        <v>70</v>
      </c>
      <c r="AI11" s="82" t="s">
        <v>95</v>
      </c>
      <c r="AW11" t="s">
        <v>76</v>
      </c>
      <c r="BQ11" s="82" t="s">
        <v>79</v>
      </c>
      <c r="CE11" t="s">
        <v>76</v>
      </c>
      <c r="CY11" s="82" t="s">
        <v>139</v>
      </c>
    </row>
    <row r="13" spans="2:104" ht="23.45" customHeight="1" x14ac:dyDescent="0.25">
      <c r="C13" s="75" t="s">
        <v>97</v>
      </c>
      <c r="AJ13" s="75" t="s">
        <v>71</v>
      </c>
      <c r="BR13" s="75" t="s">
        <v>96</v>
      </c>
      <c r="CZ13" s="75" t="s">
        <v>161</v>
      </c>
    </row>
    <row r="14" spans="2:104" ht="21.6" customHeight="1" thickBot="1" x14ac:dyDescent="0.3"/>
    <row r="15" spans="2:104" ht="21.6" customHeight="1" thickBot="1" x14ac:dyDescent="0.3">
      <c r="D15" s="61" t="s">
        <v>117</v>
      </c>
      <c r="E15" s="62"/>
      <c r="F15" s="64"/>
      <c r="G15" s="62"/>
      <c r="H15" s="63"/>
      <c r="AM15" s="61" t="s">
        <v>117</v>
      </c>
      <c r="AN15" s="62"/>
      <c r="AO15" s="65"/>
      <c r="AP15" s="62"/>
      <c r="AQ15" s="63"/>
    </row>
    <row r="18" spans="1:117" x14ac:dyDescent="0.25">
      <c r="A18" s="76" t="s">
        <v>72</v>
      </c>
      <c r="B18" t="s">
        <v>81</v>
      </c>
      <c r="C18" t="s">
        <v>82</v>
      </c>
      <c r="D18" t="s">
        <v>80</v>
      </c>
      <c r="E18" t="s">
        <v>83</v>
      </c>
      <c r="F18" t="s">
        <v>150</v>
      </c>
      <c r="G18" t="s">
        <v>145</v>
      </c>
      <c r="H18" t="s">
        <v>151</v>
      </c>
      <c r="P18" t="s">
        <v>81</v>
      </c>
      <c r="Q18" t="s">
        <v>82</v>
      </c>
      <c r="R18" t="s">
        <v>80</v>
      </c>
      <c r="S18" t="s">
        <v>83</v>
      </c>
      <c r="T18" t="s">
        <v>150</v>
      </c>
      <c r="U18" t="s">
        <v>145</v>
      </c>
      <c r="V18" t="s">
        <v>151</v>
      </c>
      <c r="AA18" t="s">
        <v>81</v>
      </c>
      <c r="AB18" t="s">
        <v>82</v>
      </c>
      <c r="AC18" t="s">
        <v>80</v>
      </c>
      <c r="AD18" t="s">
        <v>83</v>
      </c>
      <c r="AE18" t="s">
        <v>150</v>
      </c>
      <c r="AF18" t="s">
        <v>145</v>
      </c>
      <c r="AG18" t="s">
        <v>151</v>
      </c>
      <c r="AI18" s="71" t="s">
        <v>81</v>
      </c>
      <c r="AJ18" t="s">
        <v>82</v>
      </c>
      <c r="AK18" t="s">
        <v>80</v>
      </c>
      <c r="AL18" t="s">
        <v>83</v>
      </c>
      <c r="AM18" t="s">
        <v>150</v>
      </c>
      <c r="AN18" t="s">
        <v>145</v>
      </c>
      <c r="AO18" t="s">
        <v>151</v>
      </c>
      <c r="AX18" t="s">
        <v>81</v>
      </c>
      <c r="AY18" t="s">
        <v>82</v>
      </c>
      <c r="AZ18" t="s">
        <v>80</v>
      </c>
      <c r="BA18" t="s">
        <v>83</v>
      </c>
      <c r="BB18" t="s">
        <v>150</v>
      </c>
      <c r="BC18" t="s">
        <v>145</v>
      </c>
      <c r="BD18" t="s">
        <v>151</v>
      </c>
      <c r="BI18" t="s">
        <v>81</v>
      </c>
      <c r="BJ18" t="s">
        <v>82</v>
      </c>
      <c r="BK18" t="s">
        <v>80</v>
      </c>
      <c r="BL18" t="s">
        <v>83</v>
      </c>
      <c r="BM18" t="s">
        <v>150</v>
      </c>
      <c r="BN18" t="s">
        <v>145</v>
      </c>
      <c r="BO18" t="s">
        <v>151</v>
      </c>
      <c r="BQ18" s="71" t="s">
        <v>81</v>
      </c>
      <c r="BR18" t="s">
        <v>82</v>
      </c>
      <c r="BS18" t="s">
        <v>80</v>
      </c>
      <c r="BT18" t="s">
        <v>83</v>
      </c>
      <c r="BU18" t="s">
        <v>150</v>
      </c>
      <c r="BV18" t="s">
        <v>145</v>
      </c>
      <c r="BW18" t="s">
        <v>151</v>
      </c>
      <c r="CF18" t="s">
        <v>81</v>
      </c>
      <c r="CG18" t="s">
        <v>82</v>
      </c>
      <c r="CH18" t="s">
        <v>80</v>
      </c>
      <c r="CI18" t="s">
        <v>83</v>
      </c>
      <c r="CJ18" t="s">
        <v>150</v>
      </c>
      <c r="CK18" t="s">
        <v>145</v>
      </c>
      <c r="CL18" t="s">
        <v>151</v>
      </c>
      <c r="CQ18" t="s">
        <v>81</v>
      </c>
      <c r="CR18" t="s">
        <v>82</v>
      </c>
      <c r="CS18" t="s">
        <v>80</v>
      </c>
      <c r="CT18" t="s">
        <v>83</v>
      </c>
      <c r="CU18" t="s">
        <v>150</v>
      </c>
      <c r="CV18" t="s">
        <v>145</v>
      </c>
      <c r="CW18" t="s">
        <v>151</v>
      </c>
      <c r="CY18" s="84" t="s">
        <v>81</v>
      </c>
      <c r="CZ18" s="84" t="s">
        <v>143</v>
      </c>
      <c r="DA18" t="s">
        <v>155</v>
      </c>
      <c r="DB18" t="s">
        <v>156</v>
      </c>
      <c r="DC18" s="92" t="s">
        <v>140</v>
      </c>
      <c r="DD18" s="92" t="s">
        <v>141</v>
      </c>
      <c r="DE18" s="109" t="s">
        <v>19</v>
      </c>
      <c r="DF18" s="109"/>
      <c r="DG18" s="84" t="s">
        <v>81</v>
      </c>
      <c r="DH18" s="84" t="s">
        <v>143</v>
      </c>
      <c r="DI18" t="s">
        <v>155</v>
      </c>
      <c r="DJ18" t="s">
        <v>156</v>
      </c>
      <c r="DK18" s="92" t="s">
        <v>140</v>
      </c>
      <c r="DL18" s="92" t="s">
        <v>141</v>
      </c>
      <c r="DM18" s="92" t="s">
        <v>19</v>
      </c>
    </row>
    <row r="19" spans="1:117" x14ac:dyDescent="0.25">
      <c r="A19" s="77" t="s">
        <v>78</v>
      </c>
      <c r="B19" t="s">
        <v>84</v>
      </c>
      <c r="C19" t="s">
        <v>85</v>
      </c>
      <c r="D19" t="s">
        <v>86</v>
      </c>
      <c r="E19" t="s">
        <v>87</v>
      </c>
      <c r="F19">
        <v>39.799999999999997</v>
      </c>
      <c r="G19" t="s">
        <v>114</v>
      </c>
      <c r="H19" t="s">
        <v>88</v>
      </c>
      <c r="P19" t="s">
        <v>84</v>
      </c>
      <c r="Q19" t="s">
        <v>85</v>
      </c>
      <c r="R19" t="s">
        <v>86</v>
      </c>
      <c r="S19" t="s">
        <v>87</v>
      </c>
      <c r="T19">
        <v>39.799999999999997</v>
      </c>
      <c r="U19" t="s">
        <v>114</v>
      </c>
      <c r="V19" t="s">
        <v>88</v>
      </c>
      <c r="AA19" t="s">
        <v>84</v>
      </c>
      <c r="AB19" t="s">
        <v>85</v>
      </c>
      <c r="AC19" t="s">
        <v>86</v>
      </c>
      <c r="AD19" t="s">
        <v>87</v>
      </c>
      <c r="AE19">
        <v>39.799999999999997</v>
      </c>
      <c r="AF19" t="s">
        <v>114</v>
      </c>
      <c r="AG19" t="s">
        <v>88</v>
      </c>
      <c r="AI19" s="71" t="s">
        <v>89</v>
      </c>
      <c r="AJ19" t="s">
        <v>90</v>
      </c>
      <c r="AK19" t="s">
        <v>86</v>
      </c>
      <c r="AL19" t="s">
        <v>91</v>
      </c>
      <c r="AM19">
        <v>39.799999999999997</v>
      </c>
      <c r="AN19" s="78"/>
      <c r="AO19" t="s">
        <v>88</v>
      </c>
      <c r="AX19" t="s">
        <v>89</v>
      </c>
      <c r="AY19" t="s">
        <v>90</v>
      </c>
      <c r="AZ19" t="s">
        <v>86</v>
      </c>
      <c r="BA19" t="s">
        <v>91</v>
      </c>
      <c r="BB19">
        <v>39.799999999999997</v>
      </c>
      <c r="BC19" t="s">
        <v>114</v>
      </c>
      <c r="BD19" t="s">
        <v>88</v>
      </c>
      <c r="BI19" t="s">
        <v>84</v>
      </c>
      <c r="BJ19" t="s">
        <v>85</v>
      </c>
      <c r="BK19" t="s">
        <v>86</v>
      </c>
      <c r="BL19" t="s">
        <v>87</v>
      </c>
      <c r="BM19">
        <v>39.799999999999997</v>
      </c>
      <c r="BN19" t="s">
        <v>49</v>
      </c>
      <c r="BO19" t="s">
        <v>88</v>
      </c>
      <c r="BQ19" s="107" t="s">
        <v>84</v>
      </c>
      <c r="BR19" s="106" t="s">
        <v>85</v>
      </c>
      <c r="BS19" s="106" t="s">
        <v>86</v>
      </c>
      <c r="BT19" s="106" t="s">
        <v>87</v>
      </c>
      <c r="BU19" s="106">
        <v>39.799999999999997</v>
      </c>
      <c r="BV19" s="106" t="s">
        <v>114</v>
      </c>
      <c r="BW19" s="106" t="s">
        <v>88</v>
      </c>
      <c r="CF19" t="s">
        <v>84</v>
      </c>
      <c r="CG19" t="s">
        <v>85</v>
      </c>
      <c r="CH19" t="s">
        <v>86</v>
      </c>
      <c r="CI19" t="s">
        <v>87</v>
      </c>
      <c r="CJ19">
        <v>39.799999999999997</v>
      </c>
      <c r="CK19" t="s">
        <v>114</v>
      </c>
      <c r="CL19" t="s">
        <v>88</v>
      </c>
      <c r="CQ19" t="s">
        <v>84</v>
      </c>
      <c r="CR19" t="s">
        <v>85</v>
      </c>
      <c r="CS19" t="s">
        <v>86</v>
      </c>
      <c r="CT19" t="s">
        <v>87</v>
      </c>
      <c r="CU19">
        <v>39.799999999999997</v>
      </c>
      <c r="CV19" t="s">
        <v>114</v>
      </c>
      <c r="CW19" t="s">
        <v>88</v>
      </c>
      <c r="CY19" s="117" t="s">
        <v>162</v>
      </c>
      <c r="CZ19" s="117">
        <v>3.6</v>
      </c>
      <c r="DA19" s="111">
        <v>120</v>
      </c>
      <c r="DB19" s="111">
        <v>237804</v>
      </c>
      <c r="DC19" s="111">
        <v>20595330</v>
      </c>
      <c r="DD19" s="111">
        <v>2.2000000000000002</v>
      </c>
      <c r="DE19" s="119" t="str">
        <f>DE27</f>
        <v>//</v>
      </c>
      <c r="DF19" s="111"/>
      <c r="DG19" s="114" t="s">
        <v>162</v>
      </c>
      <c r="DH19" s="114">
        <v>3.6</v>
      </c>
      <c r="DI19" s="106">
        <v>120</v>
      </c>
      <c r="DJ19" s="106">
        <v>237804</v>
      </c>
      <c r="DK19" s="113">
        <v>20595330</v>
      </c>
      <c r="DL19" s="113">
        <v>2.2000000000000002</v>
      </c>
      <c r="DM19" s="113" t="s">
        <v>173</v>
      </c>
    </row>
    <row r="20" spans="1:117" x14ac:dyDescent="0.25">
      <c r="A20" s="77"/>
      <c r="P20" s="78"/>
      <c r="Q20" s="78"/>
      <c r="R20" s="78"/>
      <c r="S20" s="78"/>
      <c r="T20" s="78"/>
      <c r="U20" s="78"/>
      <c r="AA20" t="s">
        <v>89</v>
      </c>
      <c r="AB20" t="s">
        <v>90</v>
      </c>
      <c r="AC20" t="s">
        <v>86</v>
      </c>
      <c r="AD20" t="s">
        <v>91</v>
      </c>
      <c r="AE20">
        <v>39.799999999999997</v>
      </c>
      <c r="AF20" t="s">
        <v>49</v>
      </c>
      <c r="AG20" t="s">
        <v>88</v>
      </c>
      <c r="AX20" s="78"/>
      <c r="AY20" s="78"/>
      <c r="AZ20" s="78"/>
      <c r="BA20" s="78"/>
      <c r="BB20" s="78"/>
      <c r="BI20" t="s">
        <v>89</v>
      </c>
      <c r="BJ20" t="s">
        <v>90</v>
      </c>
      <c r="BK20" t="s">
        <v>86</v>
      </c>
      <c r="BL20" t="s">
        <v>91</v>
      </c>
      <c r="BM20">
        <v>39.799999999999997</v>
      </c>
      <c r="BN20" t="s">
        <v>114</v>
      </c>
      <c r="BO20" t="s">
        <v>88</v>
      </c>
      <c r="CF20" s="78"/>
      <c r="CG20" s="78"/>
      <c r="CH20" s="78"/>
      <c r="CI20" s="78"/>
      <c r="CJ20" s="78"/>
      <c r="CQ20" t="s">
        <v>89</v>
      </c>
      <c r="CR20" t="s">
        <v>90</v>
      </c>
      <c r="CS20" t="s">
        <v>86</v>
      </c>
      <c r="CT20" t="s">
        <v>91</v>
      </c>
      <c r="CU20">
        <v>39.799999999999997</v>
      </c>
      <c r="CV20" t="s">
        <v>49</v>
      </c>
      <c r="CW20" t="s">
        <v>88</v>
      </c>
      <c r="CY20" s="110" t="s">
        <v>163</v>
      </c>
      <c r="CZ20" s="111">
        <v>5</v>
      </c>
      <c r="DA20" s="111">
        <v>122</v>
      </c>
      <c r="DB20" s="111">
        <v>427397</v>
      </c>
      <c r="DC20" s="111">
        <v>37230240</v>
      </c>
      <c r="DD20" s="111">
        <v>3.2</v>
      </c>
      <c r="DE20" s="111" t="s">
        <v>173</v>
      </c>
      <c r="DF20" s="111"/>
      <c r="DG20" s="114" t="s">
        <v>163</v>
      </c>
      <c r="DH20" s="114">
        <v>5</v>
      </c>
      <c r="DI20" s="106">
        <v>122</v>
      </c>
      <c r="DJ20" s="106">
        <v>427397</v>
      </c>
      <c r="DK20" s="113">
        <v>37230240</v>
      </c>
      <c r="DL20" s="113">
        <v>3.2</v>
      </c>
      <c r="DM20" s="113" t="s">
        <v>173</v>
      </c>
    </row>
    <row r="21" spans="1:117" x14ac:dyDescent="0.25">
      <c r="A21" s="76" t="s">
        <v>73</v>
      </c>
      <c r="B21" t="s">
        <v>81</v>
      </c>
      <c r="C21" t="s">
        <v>82</v>
      </c>
      <c r="D21" t="s">
        <v>80</v>
      </c>
      <c r="E21" t="s">
        <v>83</v>
      </c>
      <c r="F21" t="s">
        <v>150</v>
      </c>
      <c r="G21" t="s">
        <v>145</v>
      </c>
      <c r="H21" t="s">
        <v>151</v>
      </c>
      <c r="AI21" s="71" t="s">
        <v>81</v>
      </c>
      <c r="AJ21" t="s">
        <v>82</v>
      </c>
      <c r="AK21" t="s">
        <v>80</v>
      </c>
      <c r="AL21" t="s">
        <v>83</v>
      </c>
      <c r="AM21" t="s">
        <v>150</v>
      </c>
      <c r="AN21" t="s">
        <v>145</v>
      </c>
      <c r="AO21" t="s">
        <v>151</v>
      </c>
      <c r="BQ21" s="71" t="s">
        <v>81</v>
      </c>
      <c r="BR21" t="s">
        <v>82</v>
      </c>
      <c r="BS21" t="s">
        <v>80</v>
      </c>
      <c r="BT21" t="s">
        <v>83</v>
      </c>
      <c r="BU21" t="s">
        <v>150</v>
      </c>
      <c r="BV21" t="s">
        <v>145</v>
      </c>
      <c r="BW21" t="s">
        <v>151</v>
      </c>
      <c r="CY21" s="112" t="s">
        <v>164</v>
      </c>
      <c r="CZ21" s="112">
        <v>4</v>
      </c>
      <c r="DA21" s="111">
        <v>130</v>
      </c>
      <c r="DB21" s="111">
        <v>239664</v>
      </c>
      <c r="DC21" s="112">
        <v>23265890</v>
      </c>
      <c r="DD21" s="112">
        <v>2.2000000000000002</v>
      </c>
      <c r="DE21" s="111" t="s">
        <v>173</v>
      </c>
      <c r="DF21" s="111"/>
      <c r="DG21" s="115" t="s">
        <v>164</v>
      </c>
      <c r="DH21" s="115">
        <v>4</v>
      </c>
      <c r="DI21" s="106">
        <v>130</v>
      </c>
      <c r="DJ21" s="106">
        <v>239664</v>
      </c>
      <c r="DK21" s="113">
        <v>23265890</v>
      </c>
      <c r="DL21" s="113">
        <v>2.2000000000000002</v>
      </c>
      <c r="DM21" s="113" t="s">
        <v>173</v>
      </c>
    </row>
    <row r="22" spans="1:117" x14ac:dyDescent="0.25">
      <c r="A22" s="77" t="s">
        <v>74</v>
      </c>
      <c r="P22" s="79" t="s">
        <v>77</v>
      </c>
      <c r="AX22" s="79" t="s">
        <v>77</v>
      </c>
      <c r="CF22" s="79" t="s">
        <v>77</v>
      </c>
      <c r="CY22" s="110" t="s">
        <v>165</v>
      </c>
      <c r="CZ22" s="111">
        <v>6</v>
      </c>
      <c r="DA22" s="111">
        <v>142</v>
      </c>
      <c r="DB22" s="111">
        <v>312142</v>
      </c>
      <c r="DC22" s="111">
        <v>59416040</v>
      </c>
      <c r="DD22" s="111">
        <v>2.85</v>
      </c>
      <c r="DE22" s="111" t="s">
        <v>173</v>
      </c>
      <c r="DF22" s="111"/>
      <c r="DG22" s="115" t="s">
        <v>165</v>
      </c>
      <c r="DH22" s="115">
        <v>6</v>
      </c>
      <c r="DI22" s="106">
        <v>142</v>
      </c>
      <c r="DJ22" s="106">
        <v>312142</v>
      </c>
      <c r="DK22" s="113">
        <v>59416040</v>
      </c>
      <c r="DL22" s="113">
        <v>2.85</v>
      </c>
      <c r="DM22" s="113" t="s">
        <v>173</v>
      </c>
    </row>
    <row r="23" spans="1:117" x14ac:dyDescent="0.25">
      <c r="A23" s="77"/>
      <c r="CY23" s="110" t="s">
        <v>166</v>
      </c>
      <c r="CZ23" s="111">
        <v>8</v>
      </c>
      <c r="DA23" s="111">
        <v>164</v>
      </c>
      <c r="DB23" s="111">
        <v>450972</v>
      </c>
      <c r="DC23" s="111">
        <v>72350120</v>
      </c>
      <c r="DD23" s="111">
        <v>2.29</v>
      </c>
      <c r="DE23" s="111" t="s">
        <v>173</v>
      </c>
      <c r="DF23" s="111"/>
      <c r="DG23" s="115" t="s">
        <v>166</v>
      </c>
      <c r="DH23" s="115">
        <v>8</v>
      </c>
      <c r="DI23" s="106">
        <v>164</v>
      </c>
      <c r="DJ23" s="106">
        <v>450972</v>
      </c>
      <c r="DK23" s="113">
        <v>72350120</v>
      </c>
      <c r="DL23" s="113">
        <v>2.29</v>
      </c>
      <c r="DM23" s="113" t="s">
        <v>173</v>
      </c>
    </row>
    <row r="24" spans="1:117" x14ac:dyDescent="0.25">
      <c r="A24" s="77" t="s">
        <v>75</v>
      </c>
      <c r="B24" t="s">
        <v>1</v>
      </c>
      <c r="C24" t="s">
        <v>116</v>
      </c>
      <c r="D24" t="s">
        <v>115</v>
      </c>
      <c r="E24" t="s">
        <v>92</v>
      </c>
      <c r="F24" t="s">
        <v>93</v>
      </c>
      <c r="G24" t="s">
        <v>94</v>
      </c>
      <c r="H24" t="s">
        <v>9</v>
      </c>
      <c r="I24" t="s">
        <v>10</v>
      </c>
      <c r="J24" t="s">
        <v>11</v>
      </c>
      <c r="K24" t="s">
        <v>12</v>
      </c>
      <c r="M24" t="s">
        <v>118</v>
      </c>
      <c r="N24" t="s">
        <v>104</v>
      </c>
      <c r="O24" t="s">
        <v>103</v>
      </c>
      <c r="P24" t="s">
        <v>1</v>
      </c>
      <c r="Q24" t="s">
        <v>116</v>
      </c>
      <c r="R24" t="s">
        <v>115</v>
      </c>
      <c r="S24" t="s">
        <v>92</v>
      </c>
      <c r="T24" t="s">
        <v>93</v>
      </c>
      <c r="U24" t="s">
        <v>94</v>
      </c>
      <c r="W24" t="s">
        <v>118</v>
      </c>
      <c r="X24" t="s">
        <v>104</v>
      </c>
      <c r="Y24" t="s">
        <v>103</v>
      </c>
      <c r="AI24" s="71" t="s">
        <v>1</v>
      </c>
      <c r="AJ24" t="s">
        <v>116</v>
      </c>
      <c r="AK24" t="s">
        <v>115</v>
      </c>
      <c r="AL24" t="s">
        <v>92</v>
      </c>
      <c r="AM24" t="s">
        <v>93</v>
      </c>
      <c r="AN24" t="s">
        <v>94</v>
      </c>
      <c r="AO24" t="s">
        <v>9</v>
      </c>
      <c r="AP24" t="s">
        <v>10</v>
      </c>
      <c r="AQ24" t="s">
        <v>11</v>
      </c>
      <c r="AR24" t="s">
        <v>12</v>
      </c>
      <c r="AT24" t="s">
        <v>118</v>
      </c>
      <c r="AU24" t="s">
        <v>104</v>
      </c>
      <c r="AV24" t="s">
        <v>103</v>
      </c>
      <c r="AX24" t="s">
        <v>1</v>
      </c>
      <c r="AY24" t="s">
        <v>116</v>
      </c>
      <c r="AZ24" t="s">
        <v>115</v>
      </c>
      <c r="BA24" t="s">
        <v>92</v>
      </c>
      <c r="BB24" t="s">
        <v>93</v>
      </c>
      <c r="BC24" t="s">
        <v>94</v>
      </c>
      <c r="BE24" t="s">
        <v>118</v>
      </c>
      <c r="BF24" t="s">
        <v>104</v>
      </c>
      <c r="BG24" t="s">
        <v>103</v>
      </c>
      <c r="BQ24" s="71" t="s">
        <v>1</v>
      </c>
      <c r="BR24" t="s">
        <v>116</v>
      </c>
      <c r="BS24" t="s">
        <v>115</v>
      </c>
      <c r="BT24" t="s">
        <v>92</v>
      </c>
      <c r="BU24" t="s">
        <v>93</v>
      </c>
      <c r="BV24" t="s">
        <v>94</v>
      </c>
      <c r="BW24" t="s">
        <v>9</v>
      </c>
      <c r="BX24" t="s">
        <v>10</v>
      </c>
      <c r="BY24" t="s">
        <v>11</v>
      </c>
      <c r="BZ24" t="s">
        <v>12</v>
      </c>
      <c r="CB24" t="s">
        <v>118</v>
      </c>
      <c r="CC24" t="s">
        <v>104</v>
      </c>
      <c r="CD24" t="s">
        <v>103</v>
      </c>
      <c r="CF24" t="s">
        <v>1</v>
      </c>
      <c r="CG24" t="s">
        <v>116</v>
      </c>
      <c r="CH24" t="s">
        <v>115</v>
      </c>
      <c r="CI24" t="s">
        <v>92</v>
      </c>
      <c r="CJ24" t="s">
        <v>93</v>
      </c>
      <c r="CK24" t="s">
        <v>94</v>
      </c>
      <c r="CM24" t="s">
        <v>118</v>
      </c>
      <c r="CN24" t="s">
        <v>104</v>
      </c>
      <c r="CO24" t="s">
        <v>103</v>
      </c>
      <c r="CY24" s="112" t="s">
        <v>167</v>
      </c>
      <c r="CZ24" s="112">
        <v>9.5</v>
      </c>
      <c r="DA24" s="111">
        <v>174</v>
      </c>
      <c r="DB24" s="111">
        <v>484588</v>
      </c>
      <c r="DC24" s="112">
        <v>83636270</v>
      </c>
      <c r="DD24" s="112">
        <v>3.5</v>
      </c>
      <c r="DE24" s="111" t="s">
        <v>173</v>
      </c>
      <c r="DF24" s="111"/>
      <c r="DG24" s="115" t="s">
        <v>167</v>
      </c>
      <c r="DH24" s="115">
        <v>9.5</v>
      </c>
      <c r="DI24" s="106">
        <v>174</v>
      </c>
      <c r="DJ24" s="106">
        <v>484588</v>
      </c>
      <c r="DK24" s="113">
        <v>83636270</v>
      </c>
      <c r="DL24" s="113">
        <v>3.5</v>
      </c>
      <c r="DM24" s="113" t="s">
        <v>173</v>
      </c>
    </row>
    <row r="25" spans="1:117" x14ac:dyDescent="0.25">
      <c r="B25">
        <v>1</v>
      </c>
      <c r="C25" s="91">
        <v>5.8</v>
      </c>
      <c r="D25" s="91">
        <v>2.6</v>
      </c>
      <c r="E25">
        <v>8</v>
      </c>
      <c r="F25">
        <v>8</v>
      </c>
      <c r="G25">
        <v>115</v>
      </c>
      <c r="H25" s="80">
        <f>IFERROR(MP_DATA[[#This Row],[Bottom '[m']]]-MP_DATA[[#This Row],[D, top '[m']]], "")</f>
        <v>-5.4</v>
      </c>
      <c r="I25" s="80">
        <f>IFERROR(-(MP_DATA[[#This Row],[D, bottom '[m']]]-MP_DATA[[#This Row],[D, top '[m']]])/(MP_DATA[[#This Row],[Bottom '[m']]]-MP_DATA[[#This Row],[Top '[m']]]),"")</f>
        <v>0</v>
      </c>
      <c r="J25" s="80">
        <f t="shared" ref="J25:J56" si="0">IF(7850/1000*(1/3)*PI()*ABS(C25-D25)*((E25/2)^2+(E25/2)*(F25/2)+(F25/2)^2-(E25/2-G25/1000)^2-(E25/2-G25/1000)*(F25/2-G25/1000)-(F25/2-G25/1000)^2)=0,"",7850/1000*(1/3)*PI()*ABS(C25-D25)*((E25/2)^2+(E25/2)*(F25/2)+(F25/2)^2-(E25/2-G25/1000)^2-(E25/2-G25/1000)*(F25/2-G25/1000)-(F25/2-G25/1000)^2))</f>
        <v>71.55978808288738</v>
      </c>
      <c r="K25" s="80">
        <f>IFERROR((MP_DATA[[#This Row],[D, bottom '[m']]]+MP_DATA[[#This Row],[D, top '[m']]])/(2*MP_DATA[[#This Row],[t '[mm']]]/1000),"")</f>
        <v>69.565217391304344</v>
      </c>
      <c r="M25">
        <v>5.6</v>
      </c>
      <c r="N25">
        <v>70000</v>
      </c>
      <c r="O25" t="s">
        <v>105</v>
      </c>
      <c r="P25" s="78">
        <v>1</v>
      </c>
      <c r="Q25" s="81">
        <v>5.8</v>
      </c>
      <c r="R25" s="81">
        <v>2.6</v>
      </c>
      <c r="S25">
        <v>8</v>
      </c>
      <c r="T25" s="78">
        <v>8</v>
      </c>
      <c r="U25">
        <v>115</v>
      </c>
      <c r="W25">
        <v>5.6</v>
      </c>
      <c r="X25">
        <v>70000</v>
      </c>
      <c r="Y25" t="s">
        <v>105</v>
      </c>
      <c r="AI25" s="71">
        <v>1</v>
      </c>
      <c r="AJ25" s="78">
        <v>19.47</v>
      </c>
      <c r="AK25" s="78">
        <v>15.5</v>
      </c>
      <c r="AL25">
        <v>8</v>
      </c>
      <c r="AM25">
        <v>8</v>
      </c>
      <c r="AN25">
        <v>117</v>
      </c>
      <c r="AO25" s="80">
        <f>IFERROR(TP_DATA[[#This Row],[Bottom '[m']]]-TP_DATA[[#This Row],[D, top '[m']]], "")</f>
        <v>7.5</v>
      </c>
      <c r="AP25" s="80">
        <f>IFERROR(-(TP_DATA[[#This Row],[D, bottom '[m']]]-TP_DATA[[#This Row],[D, top '[m']]])/(TP_DATA[[#This Row],[Bottom '[m']]]-TP_DATA[[#This Row],[Top '[m']]]),"")</f>
        <v>0</v>
      </c>
      <c r="AQ25" s="80">
        <f t="shared" ref="AQ25:AQ88" si="1">IF(7850/1000*(1/3)*PI()*ABS(AJ25-AK25)*((AL25/2)^2+(AL25/2)*(AM25/2)+(AM25/2)^2-(AL25/2-AN25/1000)^2-(AL25/2-AN25/1000)*(AM25/2-AN25/1000)-(AM25/2-AN25/1000)^2)=0,"",7850/1000*(1/3)*PI()*ABS(AJ25-AK25)*((AL25/2)^2+(AL25/2)*(AM25/2)+(AM25/2)^2-(AL25/2-AN25/1000)^2-(AL25/2-AN25/1000)*(AM25/2-AN25/1000)-(AM25/2-AN25/1000)^2))</f>
        <v>90.299932258163409</v>
      </c>
      <c r="AR25" s="80">
        <f>IFERROR((TP_DATA[[#This Row],[D, bottom '[m']]]+TP_DATA[[#This Row],[D, top '[m']]])/(2*TP_DATA[[#This Row],[t '[mm']]]/1000),"")</f>
        <v>68.376068376068375</v>
      </c>
      <c r="AT25" s="78">
        <v>19.47</v>
      </c>
      <c r="AU25">
        <v>30000</v>
      </c>
      <c r="AV25" t="s">
        <v>110</v>
      </c>
      <c r="AX25" s="78">
        <v>1</v>
      </c>
      <c r="AY25" s="78">
        <v>21.47</v>
      </c>
      <c r="AZ25" s="78">
        <v>17.5</v>
      </c>
      <c r="BA25">
        <v>8</v>
      </c>
      <c r="BB25" s="78">
        <v>8</v>
      </c>
      <c r="BC25">
        <v>117</v>
      </c>
      <c r="BE25">
        <v>21.47</v>
      </c>
      <c r="BF25">
        <v>30000</v>
      </c>
      <c r="BG25" t="s">
        <v>110</v>
      </c>
      <c r="BQ25" s="107">
        <v>1</v>
      </c>
      <c r="BR25" s="106">
        <v>5.8</v>
      </c>
      <c r="BS25" s="106">
        <v>2.6</v>
      </c>
      <c r="BT25" s="106">
        <v>8</v>
      </c>
      <c r="BU25" s="106">
        <v>8</v>
      </c>
      <c r="BV25" s="106">
        <v>115</v>
      </c>
      <c r="BW25" s="80">
        <f>IFERROR(TOWER_DATA[[#This Row],[Bottom '[m']]]-TOWER_DATA[[#This Row],[D, top '[m']]], "")</f>
        <v>-5.4</v>
      </c>
      <c r="BX25" s="80">
        <f>IFERROR(-(TOWER_DATA[[#This Row],[D, bottom '[m']]]-TOWER_DATA[[#This Row],[D, top '[m']]])/(TOWER_DATA[[#This Row],[Bottom '[m']]]-TOWER_DATA[[#This Row],[Top '[m']]]),"")</f>
        <v>0</v>
      </c>
      <c r="BY25" s="80">
        <f t="shared" ref="BY25:BY88" si="2">IF(7850/1000*(1/3)*PI()*ABS(BR25-BS25)*((BT25/2)^2+(BT25/2)*(BU25/2)+(BU25/2)^2-(BT25/2-BV25/1000)^2-(BT25/2-BV25/1000)*(BU25/2-BV25/1000)-(BU25/2-BV25/1000)^2)=0,"",7850/1000*(1/3)*PI()*ABS(BR25-BS25)*((BT25/2)^2+(BT25/2)*(BU25/2)+(BU25/2)^2-(BT25/2-BV25/1000)^2-(BT25/2-BV25/1000)*(BU25/2-BV25/1000)-(BU25/2-BV25/1000)^2))</f>
        <v>71.55978808288738</v>
      </c>
      <c r="BZ25" s="80">
        <f>IFERROR((TOWER_DATA[[#This Row],[D, bottom '[m']]]+TOWER_DATA[[#This Row],[D, top '[m']]])/(2*TOWER_DATA[[#This Row],[t '[mm']]]/1000),"")</f>
        <v>69.565217391304344</v>
      </c>
      <c r="CB25" s="108">
        <v>5.6</v>
      </c>
      <c r="CC25" s="108">
        <v>70000</v>
      </c>
      <c r="CD25" s="108" t="s">
        <v>105</v>
      </c>
      <c r="CF25" s="78">
        <v>1</v>
      </c>
      <c r="CG25" s="78">
        <v>5.8</v>
      </c>
      <c r="CH25" s="78">
        <v>2.6</v>
      </c>
      <c r="CI25">
        <v>8</v>
      </c>
      <c r="CJ25" s="78">
        <v>8</v>
      </c>
      <c r="CK25">
        <v>115</v>
      </c>
      <c r="CM25">
        <v>5.6</v>
      </c>
      <c r="CN25">
        <v>70000</v>
      </c>
      <c r="CO25" t="s">
        <v>105</v>
      </c>
      <c r="CY25" s="110" t="s">
        <v>168</v>
      </c>
      <c r="CZ25" s="111">
        <v>10</v>
      </c>
      <c r="DA25" s="111">
        <v>180</v>
      </c>
      <c r="DB25" s="111">
        <v>673916</v>
      </c>
      <c r="DC25" s="111">
        <v>102240300</v>
      </c>
      <c r="DD25" s="111">
        <v>3.5</v>
      </c>
      <c r="DE25" s="119" t="s">
        <v>173</v>
      </c>
      <c r="DF25" s="119"/>
      <c r="DG25" s="115" t="s">
        <v>168</v>
      </c>
      <c r="DH25" s="115">
        <v>10</v>
      </c>
      <c r="DI25" s="106">
        <v>180</v>
      </c>
      <c r="DJ25" s="106">
        <v>673916</v>
      </c>
      <c r="DK25" s="113">
        <v>102240300</v>
      </c>
      <c r="DL25" s="113">
        <v>3.5</v>
      </c>
      <c r="DM25" s="113" t="s">
        <v>173</v>
      </c>
    </row>
    <row r="26" spans="1:117" x14ac:dyDescent="0.25">
      <c r="B26">
        <v>2</v>
      </c>
      <c r="C26" s="91">
        <v>2.6</v>
      </c>
      <c r="D26" s="91">
        <v>-0.6</v>
      </c>
      <c r="E26">
        <v>8</v>
      </c>
      <c r="F26">
        <v>8</v>
      </c>
      <c r="G26">
        <v>115</v>
      </c>
      <c r="H26" s="80">
        <f>IFERROR(MP_DATA[[#This Row],[Bottom '[m']]]-MP_DATA[[#This Row],[D, top '[m']]], "")</f>
        <v>-8.6</v>
      </c>
      <c r="I26" s="80">
        <f>IFERROR(-(MP_DATA[[#This Row],[D, bottom '[m']]]-MP_DATA[[#This Row],[D, top '[m']]])/(MP_DATA[[#This Row],[Bottom '[m']]]-MP_DATA[[#This Row],[Top '[m']]]),"")</f>
        <v>0</v>
      </c>
      <c r="J26" s="80">
        <f t="shared" si="0"/>
        <v>71.55978808288738</v>
      </c>
      <c r="K26" s="80">
        <f>IFERROR((MP_DATA[[#This Row],[D, bottom '[m']]]+MP_DATA[[#This Row],[D, top '[m']]])/(2*MP_DATA[[#This Row],[t '[mm']]]/1000),"")</f>
        <v>69.565217391304344</v>
      </c>
      <c r="M26">
        <v>4.2</v>
      </c>
      <c r="N26">
        <v>9000</v>
      </c>
      <c r="O26" t="s">
        <v>106</v>
      </c>
      <c r="P26" s="78">
        <v>2</v>
      </c>
      <c r="Q26" s="81">
        <v>2.6</v>
      </c>
      <c r="R26" s="81">
        <v>-0.6</v>
      </c>
      <c r="S26">
        <v>8</v>
      </c>
      <c r="T26" s="78">
        <v>8</v>
      </c>
      <c r="U26">
        <v>115</v>
      </c>
      <c r="W26">
        <v>4.2</v>
      </c>
      <c r="X26">
        <v>9000</v>
      </c>
      <c r="Y26" t="s">
        <v>106</v>
      </c>
      <c r="AI26" s="71">
        <v>2</v>
      </c>
      <c r="AJ26" s="78">
        <v>15.5</v>
      </c>
      <c r="AK26" s="78">
        <v>11.5</v>
      </c>
      <c r="AL26">
        <v>8</v>
      </c>
      <c r="AM26">
        <v>8</v>
      </c>
      <c r="AN26">
        <v>117</v>
      </c>
      <c r="AO26" s="80">
        <f>IFERROR(TP_DATA[[#This Row],[Bottom '[m']]]-TP_DATA[[#This Row],[D, top '[m']]], "")</f>
        <v>3.5</v>
      </c>
      <c r="AP26" s="80">
        <f>IFERROR(-(TP_DATA[[#This Row],[D, bottom '[m']]]-TP_DATA[[#This Row],[D, top '[m']]])/(TP_DATA[[#This Row],[Bottom '[m']]]-TP_DATA[[#This Row],[Top '[m']]]),"")</f>
        <v>0</v>
      </c>
      <c r="AQ26" s="80">
        <f t="shared" si="1"/>
        <v>90.982299504446786</v>
      </c>
      <c r="AR26" s="80">
        <f>IFERROR((TP_DATA[[#This Row],[D, bottom '[m']]]+TP_DATA[[#This Row],[D, top '[m']]])/(2*TP_DATA[[#This Row],[t '[mm']]]/1000),"")</f>
        <v>68.376068376068375</v>
      </c>
      <c r="AT26" s="78">
        <v>18.7</v>
      </c>
      <c r="AU26">
        <v>20000</v>
      </c>
      <c r="AV26" t="s">
        <v>111</v>
      </c>
      <c r="AX26" s="78">
        <v>2</v>
      </c>
      <c r="AY26" s="78">
        <v>17.5</v>
      </c>
      <c r="AZ26" s="78">
        <v>13.5</v>
      </c>
      <c r="BA26">
        <v>8</v>
      </c>
      <c r="BB26" s="78">
        <v>8</v>
      </c>
      <c r="BC26">
        <v>117</v>
      </c>
      <c r="BE26">
        <v>20.7</v>
      </c>
      <c r="BF26">
        <v>20000</v>
      </c>
      <c r="BG26" t="s">
        <v>111</v>
      </c>
      <c r="BQ26" s="107">
        <v>2</v>
      </c>
      <c r="BR26" s="106">
        <v>2.6</v>
      </c>
      <c r="BS26" s="106">
        <v>-0.6</v>
      </c>
      <c r="BT26" s="106">
        <v>8</v>
      </c>
      <c r="BU26" s="106">
        <v>8</v>
      </c>
      <c r="BV26" s="106">
        <v>115</v>
      </c>
      <c r="BW26" s="80">
        <f>IFERROR(TOWER_DATA[[#This Row],[Bottom '[m']]]-TOWER_DATA[[#This Row],[D, top '[m']]], "")</f>
        <v>-8.6</v>
      </c>
      <c r="BX26" s="80">
        <f>IFERROR(-(TOWER_DATA[[#This Row],[D, bottom '[m']]]-TOWER_DATA[[#This Row],[D, top '[m']]])/(TOWER_DATA[[#This Row],[Bottom '[m']]]-TOWER_DATA[[#This Row],[Top '[m']]]),"")</f>
        <v>0</v>
      </c>
      <c r="BY26" s="80">
        <f t="shared" si="2"/>
        <v>71.55978808288738</v>
      </c>
      <c r="BZ26" s="80">
        <f>IFERROR((TOWER_DATA[[#This Row],[D, bottom '[m']]]+TOWER_DATA[[#This Row],[D, top '[m']]])/(2*TOWER_DATA[[#This Row],[t '[mm']]]/1000),"")</f>
        <v>69.565217391304344</v>
      </c>
      <c r="CB26" s="108">
        <v>4.2</v>
      </c>
      <c r="CC26" s="108">
        <v>9000</v>
      </c>
      <c r="CD26" s="108" t="s">
        <v>106</v>
      </c>
      <c r="CF26" s="78">
        <v>2</v>
      </c>
      <c r="CG26" s="78">
        <v>2.6</v>
      </c>
      <c r="CH26" s="78">
        <v>-0.6</v>
      </c>
      <c r="CI26">
        <v>8</v>
      </c>
      <c r="CJ26" s="78">
        <v>8</v>
      </c>
      <c r="CK26">
        <v>115</v>
      </c>
      <c r="CM26">
        <v>4.2</v>
      </c>
      <c r="CN26">
        <v>9000</v>
      </c>
      <c r="CO26" t="s">
        <v>106</v>
      </c>
      <c r="CY26" s="110" t="s">
        <v>142</v>
      </c>
      <c r="CZ26" s="111">
        <v>13</v>
      </c>
      <c r="DA26" s="111">
        <v>210</v>
      </c>
      <c r="DB26" s="111">
        <v>777534</v>
      </c>
      <c r="DC26" s="111">
        <v>197394400</v>
      </c>
      <c r="DD26" s="111">
        <v>3.4</v>
      </c>
      <c r="DE26" s="119" t="s">
        <v>173</v>
      </c>
      <c r="DF26" s="119"/>
      <c r="DG26" s="115" t="s">
        <v>142</v>
      </c>
      <c r="DH26" s="116">
        <v>13</v>
      </c>
      <c r="DI26" s="106">
        <v>210</v>
      </c>
      <c r="DJ26" s="106">
        <v>777534</v>
      </c>
      <c r="DK26" s="113">
        <v>197394400</v>
      </c>
      <c r="DL26" s="113">
        <v>3.4</v>
      </c>
      <c r="DM26" s="113" t="s">
        <v>173</v>
      </c>
    </row>
    <row r="27" spans="1:117" x14ac:dyDescent="0.25">
      <c r="B27">
        <v>3</v>
      </c>
      <c r="C27" s="91">
        <v>-0.6</v>
      </c>
      <c r="D27" s="91">
        <v>-3.8</v>
      </c>
      <c r="E27">
        <v>8</v>
      </c>
      <c r="F27">
        <v>8</v>
      </c>
      <c r="G27">
        <v>125</v>
      </c>
      <c r="H27" s="80">
        <f>IFERROR(MP_DATA[[#This Row],[Bottom '[m']]]-MP_DATA[[#This Row],[D, top '[m']]], "")</f>
        <v>-11.8</v>
      </c>
      <c r="I27" s="80">
        <f>IFERROR(-(MP_DATA[[#This Row],[D, bottom '[m']]]-MP_DATA[[#This Row],[D, top '[m']]])/(MP_DATA[[#This Row],[Bottom '[m']]]-MP_DATA[[#This Row],[Top '[m']]]),"")</f>
        <v>0</v>
      </c>
      <c r="J27" s="80">
        <f t="shared" si="0"/>
        <v>77.683732341641587</v>
      </c>
      <c r="K27" s="80">
        <f>IFERROR((MP_DATA[[#This Row],[D, bottom '[m']]]+MP_DATA[[#This Row],[D, top '[m']]])/(2*MP_DATA[[#This Row],[t '[mm']]]/1000),"")</f>
        <v>64</v>
      </c>
      <c r="M27">
        <v>0.3</v>
      </c>
      <c r="N27">
        <v>100000</v>
      </c>
      <c r="O27" t="s">
        <v>107</v>
      </c>
      <c r="P27" s="78">
        <v>3</v>
      </c>
      <c r="Q27" s="81">
        <v>-0.6</v>
      </c>
      <c r="R27" s="81">
        <v>-3.8</v>
      </c>
      <c r="S27">
        <v>8</v>
      </c>
      <c r="T27" s="78">
        <v>8</v>
      </c>
      <c r="U27">
        <v>125</v>
      </c>
      <c r="W27">
        <v>0.3</v>
      </c>
      <c r="X27">
        <v>100000</v>
      </c>
      <c r="Y27" t="s">
        <v>107</v>
      </c>
      <c r="AI27" s="71">
        <v>3</v>
      </c>
      <c r="AJ27" s="78">
        <v>11.5</v>
      </c>
      <c r="AK27" s="78">
        <v>7.5</v>
      </c>
      <c r="AL27">
        <v>8</v>
      </c>
      <c r="AM27">
        <v>8</v>
      </c>
      <c r="AN27">
        <v>124</v>
      </c>
      <c r="AO27" s="80">
        <f>IFERROR(TP_DATA[[#This Row],[Bottom '[m']]]-TP_DATA[[#This Row],[D, top '[m']]], "")</f>
        <v>-0.5</v>
      </c>
      <c r="AP27" s="80">
        <f>IFERROR(-(TP_DATA[[#This Row],[D, bottom '[m']]]-TP_DATA[[#This Row],[D, top '[m']]])/(TP_DATA[[#This Row],[Bottom '[m']]]-TP_DATA[[#This Row],[Top '[m']]]),"")</f>
        <v>0</v>
      </c>
      <c r="AQ27" s="80">
        <f t="shared" si="1"/>
        <v>96.340060208791698</v>
      </c>
      <c r="AR27" s="80">
        <f>IFERROR((TP_DATA[[#This Row],[D, bottom '[m']]]+TP_DATA[[#This Row],[D, top '[m']]])/(2*TP_DATA[[#This Row],[t '[mm']]]/1000),"")</f>
        <v>64.516129032258064</v>
      </c>
      <c r="AT27" s="78">
        <v>18.100000000000001</v>
      </c>
      <c r="AU27">
        <v>5000</v>
      </c>
      <c r="AV27" t="s">
        <v>102</v>
      </c>
      <c r="AX27" s="78">
        <v>3</v>
      </c>
      <c r="AY27" s="78">
        <v>13.5</v>
      </c>
      <c r="AZ27" s="78">
        <v>9.5</v>
      </c>
      <c r="BA27">
        <v>8</v>
      </c>
      <c r="BB27" s="78">
        <v>8</v>
      </c>
      <c r="BC27">
        <v>124</v>
      </c>
      <c r="BE27">
        <v>20.100000000000001</v>
      </c>
      <c r="BF27">
        <v>5000</v>
      </c>
      <c r="BG27" t="s">
        <v>102</v>
      </c>
      <c r="BQ27" s="107">
        <v>3</v>
      </c>
      <c r="BR27" s="106">
        <v>-0.6</v>
      </c>
      <c r="BS27" s="106">
        <v>-3.8</v>
      </c>
      <c r="BT27" s="106">
        <v>8</v>
      </c>
      <c r="BU27" s="106">
        <v>8</v>
      </c>
      <c r="BV27" s="106">
        <v>125</v>
      </c>
      <c r="BW27" s="80">
        <f>IFERROR(TOWER_DATA[[#This Row],[Bottom '[m']]]-TOWER_DATA[[#This Row],[D, top '[m']]], "")</f>
        <v>-11.8</v>
      </c>
      <c r="BX27" s="80">
        <f>IFERROR(-(TOWER_DATA[[#This Row],[D, bottom '[m']]]-TOWER_DATA[[#This Row],[D, top '[m']]])/(TOWER_DATA[[#This Row],[Bottom '[m']]]-TOWER_DATA[[#This Row],[Top '[m']]]),"")</f>
        <v>0</v>
      </c>
      <c r="BY27" s="80">
        <f t="shared" si="2"/>
        <v>77.683732341641587</v>
      </c>
      <c r="BZ27" s="80">
        <f>IFERROR((TOWER_DATA[[#This Row],[D, bottom '[m']]]+TOWER_DATA[[#This Row],[D, top '[m']]])/(2*TOWER_DATA[[#This Row],[t '[mm']]]/1000),"")</f>
        <v>64</v>
      </c>
      <c r="CB27" s="108">
        <v>0.3</v>
      </c>
      <c r="CC27" s="108">
        <v>100000</v>
      </c>
      <c r="CD27" s="108" t="s">
        <v>107</v>
      </c>
      <c r="CF27" s="78">
        <v>3</v>
      </c>
      <c r="CG27" s="78">
        <v>-0.6</v>
      </c>
      <c r="CH27" s="78">
        <v>-3.8</v>
      </c>
      <c r="CI27">
        <v>8</v>
      </c>
      <c r="CJ27" s="78">
        <v>8</v>
      </c>
      <c r="CK27">
        <v>125</v>
      </c>
      <c r="CM27">
        <v>0.3</v>
      </c>
      <c r="CN27">
        <v>100000</v>
      </c>
      <c r="CO27" t="s">
        <v>107</v>
      </c>
      <c r="CY27" s="110" t="s">
        <v>169</v>
      </c>
      <c r="CZ27" s="111">
        <v>12</v>
      </c>
      <c r="DA27" s="111">
        <v>220</v>
      </c>
      <c r="DB27" s="111">
        <v>775567</v>
      </c>
      <c r="DC27" s="111">
        <v>198819700</v>
      </c>
      <c r="DD27" s="111">
        <v>3.4</v>
      </c>
      <c r="DE27" s="119" t="s">
        <v>173</v>
      </c>
      <c r="DF27" s="119"/>
      <c r="DG27" s="115" t="s">
        <v>169</v>
      </c>
      <c r="DH27" s="115">
        <v>12</v>
      </c>
      <c r="DI27" s="106">
        <v>220</v>
      </c>
      <c r="DJ27" s="106">
        <v>775567</v>
      </c>
      <c r="DK27" s="113">
        <v>198819700</v>
      </c>
      <c r="DL27" s="113">
        <v>3.4</v>
      </c>
      <c r="DM27" s="113" t="s">
        <v>173</v>
      </c>
    </row>
    <row r="28" spans="1:117" x14ac:dyDescent="0.25">
      <c r="B28">
        <v>4</v>
      </c>
      <c r="C28" s="91">
        <v>-3.8</v>
      </c>
      <c r="D28" s="91">
        <v>-7.3</v>
      </c>
      <c r="E28">
        <v>8</v>
      </c>
      <c r="F28">
        <v>8.44</v>
      </c>
      <c r="G28">
        <v>125</v>
      </c>
      <c r="H28" s="80">
        <f>IFERROR(MP_DATA[[#This Row],[Bottom '[m']]]-MP_DATA[[#This Row],[D, top '[m']]], "")</f>
        <v>-15.3</v>
      </c>
      <c r="I28" s="80">
        <f>IFERROR(-(MP_DATA[[#This Row],[D, bottom '[m']]]-MP_DATA[[#This Row],[D, top '[m']]])/(MP_DATA[[#This Row],[Bottom '[m']]]-MP_DATA[[#This Row],[Top '[m']]]),"")</f>
        <v>0.12571428571428558</v>
      </c>
      <c r="J28" s="80">
        <f t="shared" si="0"/>
        <v>87.340251847998317</v>
      </c>
      <c r="K28" s="80">
        <f>IFERROR((MP_DATA[[#This Row],[D, bottom '[m']]]+MP_DATA[[#This Row],[D, top '[m']]])/(2*MP_DATA[[#This Row],[t '[mm']]]/1000),"")</f>
        <v>65.759999999999991</v>
      </c>
      <c r="M28">
        <v>-5</v>
      </c>
      <c r="N28">
        <v>1</v>
      </c>
      <c r="O28" t="s">
        <v>108</v>
      </c>
      <c r="P28" s="78">
        <v>4</v>
      </c>
      <c r="Q28" s="81">
        <v>-3.8</v>
      </c>
      <c r="R28" s="81">
        <v>-7.3</v>
      </c>
      <c r="S28">
        <v>8</v>
      </c>
      <c r="T28" s="78">
        <v>8.44</v>
      </c>
      <c r="U28">
        <v>125</v>
      </c>
      <c r="W28">
        <v>-5</v>
      </c>
      <c r="X28">
        <v>1</v>
      </c>
      <c r="Y28" t="s">
        <v>108</v>
      </c>
      <c r="AI28" s="71">
        <v>4</v>
      </c>
      <c r="AJ28" s="78">
        <v>7.5</v>
      </c>
      <c r="AK28" s="78">
        <v>3.8</v>
      </c>
      <c r="AL28">
        <v>8</v>
      </c>
      <c r="AM28">
        <v>8</v>
      </c>
      <c r="AN28">
        <v>120</v>
      </c>
      <c r="AO28" s="80">
        <f>IFERROR(TP_DATA[[#This Row],[Bottom '[m']]]-TP_DATA[[#This Row],[D, top '[m']]], "")</f>
        <v>-4.2</v>
      </c>
      <c r="AP28" s="80">
        <f>IFERROR(-(TP_DATA[[#This Row],[D, bottom '[m']]]-TP_DATA[[#This Row],[D, top '[m']]])/(TP_DATA[[#This Row],[Bottom '[m']]]-TP_DATA[[#This Row],[Top '[m']]]),"")</f>
        <v>0</v>
      </c>
      <c r="AQ28" s="80">
        <f t="shared" si="1"/>
        <v>86.283691434396232</v>
      </c>
      <c r="AR28" s="80">
        <f>IFERROR((TP_DATA[[#This Row],[D, bottom '[m']]]+TP_DATA[[#This Row],[D, top '[m']]])/(2*TP_DATA[[#This Row],[t '[mm']]]/1000),"")</f>
        <v>66.666666666666671</v>
      </c>
      <c r="AT28" s="78">
        <v>12</v>
      </c>
      <c r="AU28">
        <v>5000</v>
      </c>
      <c r="AV28" t="s">
        <v>112</v>
      </c>
      <c r="AX28" s="78">
        <v>4</v>
      </c>
      <c r="AY28" s="78">
        <v>9.5</v>
      </c>
      <c r="AZ28" s="78">
        <v>5.8</v>
      </c>
      <c r="BA28">
        <v>8</v>
      </c>
      <c r="BB28" s="78">
        <v>8</v>
      </c>
      <c r="BC28">
        <v>120</v>
      </c>
      <c r="BE28">
        <v>14</v>
      </c>
      <c r="BF28">
        <v>5000</v>
      </c>
      <c r="BG28" t="s">
        <v>112</v>
      </c>
      <c r="BQ28" s="107">
        <v>4</v>
      </c>
      <c r="BR28" s="106">
        <v>-3.8</v>
      </c>
      <c r="BS28" s="106">
        <v>-7.3</v>
      </c>
      <c r="BT28" s="106">
        <v>8</v>
      </c>
      <c r="BU28" s="106">
        <v>8.44</v>
      </c>
      <c r="BV28" s="106">
        <v>125</v>
      </c>
      <c r="BW28" s="80">
        <f>IFERROR(TOWER_DATA[[#This Row],[Bottom '[m']]]-TOWER_DATA[[#This Row],[D, top '[m']]], "")</f>
        <v>-15.3</v>
      </c>
      <c r="BX28" s="80">
        <f>IFERROR(-(TOWER_DATA[[#This Row],[D, bottom '[m']]]-TOWER_DATA[[#This Row],[D, top '[m']]])/(TOWER_DATA[[#This Row],[Bottom '[m']]]-TOWER_DATA[[#This Row],[Top '[m']]]),"")</f>
        <v>0.12571428571428558</v>
      </c>
      <c r="BY28" s="80">
        <f t="shared" si="2"/>
        <v>87.340251847998317</v>
      </c>
      <c r="BZ28" s="80">
        <f>IFERROR((TOWER_DATA[[#This Row],[D, bottom '[m']]]+TOWER_DATA[[#This Row],[D, top '[m']]])/(2*TOWER_DATA[[#This Row],[t '[mm']]]/1000),"")</f>
        <v>65.759999999999991</v>
      </c>
      <c r="CB28" s="108">
        <v>-5</v>
      </c>
      <c r="CC28" s="108">
        <v>1</v>
      </c>
      <c r="CD28" s="108" t="s">
        <v>108</v>
      </c>
      <c r="CF28" s="78">
        <v>4</v>
      </c>
      <c r="CG28" s="78">
        <v>-3.8</v>
      </c>
      <c r="CH28" s="78">
        <v>-7.3</v>
      </c>
      <c r="CI28">
        <v>8</v>
      </c>
      <c r="CJ28" s="78">
        <v>8.44</v>
      </c>
      <c r="CK28">
        <v>125</v>
      </c>
      <c r="CM28">
        <v>-5</v>
      </c>
      <c r="CN28">
        <v>1</v>
      </c>
      <c r="CO28" t="s">
        <v>108</v>
      </c>
      <c r="CY28" s="110" t="s">
        <v>170</v>
      </c>
      <c r="CZ28" s="111">
        <v>15</v>
      </c>
      <c r="DA28" s="111">
        <v>220</v>
      </c>
      <c r="DB28" s="111">
        <v>1166238</v>
      </c>
      <c r="DC28" s="111">
        <v>205031400</v>
      </c>
      <c r="DD28" s="111">
        <v>3.4</v>
      </c>
      <c r="DE28" s="119" t="s">
        <v>173</v>
      </c>
      <c r="DF28" s="119"/>
      <c r="DG28" s="115" t="s">
        <v>170</v>
      </c>
      <c r="DH28" s="115">
        <v>15</v>
      </c>
      <c r="DI28" s="106">
        <v>220</v>
      </c>
      <c r="DJ28" s="106">
        <v>1166238</v>
      </c>
      <c r="DK28" s="113">
        <v>205031400</v>
      </c>
      <c r="DL28" s="113">
        <v>3.4</v>
      </c>
      <c r="DM28" s="113" t="s">
        <v>173</v>
      </c>
    </row>
    <row r="29" spans="1:117" x14ac:dyDescent="0.25">
      <c r="B29">
        <v>5</v>
      </c>
      <c r="C29" s="91">
        <v>-7.3</v>
      </c>
      <c r="D29" s="91">
        <v>-10.8</v>
      </c>
      <c r="E29">
        <v>8.44</v>
      </c>
      <c r="F29">
        <v>8.8800000000000008</v>
      </c>
      <c r="G29">
        <v>106</v>
      </c>
      <c r="H29" s="80">
        <f>IFERROR(MP_DATA[[#This Row],[Bottom '[m']]]-MP_DATA[[#This Row],[D, top '[m']]], "")</f>
        <v>-19.240000000000002</v>
      </c>
      <c r="I29" s="80">
        <f>IFERROR(-(MP_DATA[[#This Row],[D, bottom '[m']]]-MP_DATA[[#This Row],[D, top '[m']]])/(MP_DATA[[#This Row],[Bottom '[m']]]-MP_DATA[[#This Row],[Top '[m']]]),"")</f>
        <v>0.12571428571428606</v>
      </c>
      <c r="J29" s="80">
        <f t="shared" si="0"/>
        <v>78.26411613749147</v>
      </c>
      <c r="K29" s="80">
        <f>IFERROR((MP_DATA[[#This Row],[D, bottom '[m']]]+MP_DATA[[#This Row],[D, top '[m']]])/(2*MP_DATA[[#This Row],[t '[mm']]]/1000),"")</f>
        <v>81.698113207547181</v>
      </c>
      <c r="L29" s="80" t="str">
        <f>IFERROR((MP_DATA[[#This Row],[D, bottom '[m']]]+#REF!)/(2*#REF!/1000),"")</f>
        <v/>
      </c>
      <c r="M29">
        <v>-43.3</v>
      </c>
      <c r="N29">
        <v>1</v>
      </c>
      <c r="O29" t="s">
        <v>109</v>
      </c>
      <c r="P29" s="78">
        <v>5</v>
      </c>
      <c r="Q29" s="81">
        <v>-7.3</v>
      </c>
      <c r="R29" s="81">
        <v>-10.8</v>
      </c>
      <c r="S29" s="78">
        <v>8.44</v>
      </c>
      <c r="T29" s="78">
        <v>8.8800000000000008</v>
      </c>
      <c r="U29" s="78">
        <v>106</v>
      </c>
      <c r="W29">
        <v>-43.3</v>
      </c>
      <c r="X29">
        <v>1</v>
      </c>
      <c r="Y29" t="s">
        <v>109</v>
      </c>
      <c r="AO29" s="80" t="str">
        <f>IFERROR(TP_DATA[[#This Row],[Bottom '[m']]]-TP_DATA[[#This Row],[D, top '[m']]], "")</f>
        <v/>
      </c>
      <c r="AP29" s="80" t="str">
        <f>IFERROR(-(TP_DATA[[#This Row],[D, bottom '[m']]]-TP_DATA[[#This Row],[D, top '[m']]])/(TP_DATA[[#This Row],[Bottom '[m']]]-TP_DATA[[#This Row],[Top '[m']]]),"")</f>
        <v/>
      </c>
      <c r="AQ29" s="80" t="str">
        <f t="shared" si="1"/>
        <v/>
      </c>
      <c r="AR29" s="80" t="str">
        <f>IFERROR((TP_DATA[[#This Row],[D, bottom '[m']]]+TP_DATA[[#This Row],[D, top '[m']]])/(2*TP_DATA[[#This Row],[t '[mm']]]/1000),"")</f>
        <v/>
      </c>
      <c r="AS29" s="80" t="str">
        <f>IFERROR((TP_DATA[[#This Row],[D, bottom '[m']]]+#REF!)/(2*#REF!/1000),"")</f>
        <v/>
      </c>
      <c r="AT29" s="78">
        <v>4.0999999999999996</v>
      </c>
      <c r="AU29">
        <v>200</v>
      </c>
      <c r="AV29" t="s">
        <v>113</v>
      </c>
      <c r="AX29" s="78"/>
      <c r="AY29" s="78"/>
      <c r="AZ29" s="78"/>
      <c r="BA29" s="78"/>
      <c r="BB29" s="78"/>
      <c r="BC29" s="78"/>
      <c r="BE29">
        <v>6.1</v>
      </c>
      <c r="BF29">
        <v>200</v>
      </c>
      <c r="BG29" t="s">
        <v>113</v>
      </c>
      <c r="BQ29" s="107">
        <v>5</v>
      </c>
      <c r="BR29" s="106">
        <v>-7.3</v>
      </c>
      <c r="BS29" s="106">
        <v>-10.8</v>
      </c>
      <c r="BT29" s="106">
        <v>8.44</v>
      </c>
      <c r="BU29" s="106">
        <v>8.8800000000000008</v>
      </c>
      <c r="BV29" s="106">
        <v>106</v>
      </c>
      <c r="BW29" s="80">
        <f>IFERROR(TOWER_DATA[[#This Row],[Bottom '[m']]]-TOWER_DATA[[#This Row],[D, top '[m']]], "")</f>
        <v>-19.240000000000002</v>
      </c>
      <c r="BX29" s="80">
        <f>IFERROR(-(TOWER_DATA[[#This Row],[D, bottom '[m']]]-TOWER_DATA[[#This Row],[D, top '[m']]])/(TOWER_DATA[[#This Row],[Bottom '[m']]]-TOWER_DATA[[#This Row],[Top '[m']]]),"")</f>
        <v>0.12571428571428606</v>
      </c>
      <c r="BY29" s="80">
        <f t="shared" si="2"/>
        <v>78.26411613749147</v>
      </c>
      <c r="BZ29" s="80">
        <f>IFERROR((TOWER_DATA[[#This Row],[D, bottom '[m']]]+TOWER_DATA[[#This Row],[D, top '[m']]])/(2*TOWER_DATA[[#This Row],[t '[mm']]]/1000),"")</f>
        <v>81.698113207547181</v>
      </c>
      <c r="CA29" s="80" t="str">
        <f>IFERROR((TOWER_DATA[[#This Row],[D, bottom '[m']]]+#REF!)/(2*#REF!/1000),"")</f>
        <v/>
      </c>
      <c r="CB29" s="108">
        <v>-43.3</v>
      </c>
      <c r="CC29" s="108">
        <v>1</v>
      </c>
      <c r="CD29" s="108" t="s">
        <v>109</v>
      </c>
      <c r="CF29" s="78">
        <v>5</v>
      </c>
      <c r="CG29" s="78">
        <v>-7.3</v>
      </c>
      <c r="CH29" s="78">
        <v>-10.8</v>
      </c>
      <c r="CI29" s="78">
        <v>8.44</v>
      </c>
      <c r="CJ29" s="78">
        <v>8.8800000000000008</v>
      </c>
      <c r="CK29" s="78">
        <v>106</v>
      </c>
      <c r="CM29">
        <v>-43.3</v>
      </c>
      <c r="CN29">
        <v>1</v>
      </c>
      <c r="CO29" t="s">
        <v>109</v>
      </c>
      <c r="CY29" s="110" t="s">
        <v>171</v>
      </c>
      <c r="CZ29" s="111"/>
      <c r="DA29" s="111">
        <v>236</v>
      </c>
      <c r="DB29" s="111">
        <v>565481</v>
      </c>
      <c r="DC29" s="111">
        <v>241746700</v>
      </c>
      <c r="DD29" s="111">
        <v>3.5</v>
      </c>
      <c r="DE29" s="119" t="s">
        <v>173</v>
      </c>
      <c r="DF29" s="119"/>
      <c r="DG29" s="115" t="s">
        <v>171</v>
      </c>
      <c r="DH29" s="115"/>
      <c r="DI29" s="106">
        <v>236</v>
      </c>
      <c r="DJ29" s="106">
        <v>565481</v>
      </c>
      <c r="DK29" s="113">
        <v>241746700</v>
      </c>
      <c r="DL29" s="113">
        <v>3.5</v>
      </c>
      <c r="DM29" s="113" t="s">
        <v>173</v>
      </c>
    </row>
    <row r="30" spans="1:117" x14ac:dyDescent="0.25">
      <c r="B30">
        <v>6</v>
      </c>
      <c r="C30" s="91">
        <v>-10.8</v>
      </c>
      <c r="D30" s="91">
        <v>-14.3</v>
      </c>
      <c r="E30">
        <v>8.8800000000000008</v>
      </c>
      <c r="F30">
        <v>9.31</v>
      </c>
      <c r="G30">
        <v>116</v>
      </c>
      <c r="H30" s="80">
        <f>IFERROR(MP_DATA[[#This Row],[Bottom '[m']]]-MP_DATA[[#This Row],[D, top '[m']]], "")</f>
        <v>-23.18</v>
      </c>
      <c r="I30" s="80">
        <f>IFERROR(-(MP_DATA[[#This Row],[D, bottom '[m']]]-MP_DATA[[#This Row],[D, top '[m']]])/(MP_DATA[[#This Row],[Bottom '[m']]]-MP_DATA[[#This Row],[Top '[m']]]),"")</f>
        <v>0.12285714285714278</v>
      </c>
      <c r="J30" s="80">
        <f t="shared" si="0"/>
        <v>89.902865547432455</v>
      </c>
      <c r="K30" s="80">
        <f>IFERROR((MP_DATA[[#This Row],[D, bottom '[m']]]+MP_DATA[[#This Row],[D, top '[m']]])/(2*MP_DATA[[#This Row],[t '[mm']]]/1000),"")</f>
        <v>78.40517241379311</v>
      </c>
      <c r="L30" s="80" t="str">
        <f>IFERROR((MP_DATA[[#This Row],[D, bottom '[m']]]+#REF!)/(2*#REF!/1000),"")</f>
        <v/>
      </c>
      <c r="P30" s="78">
        <v>6</v>
      </c>
      <c r="Q30" s="81">
        <v>-10.8</v>
      </c>
      <c r="R30" s="81">
        <v>-14.3</v>
      </c>
      <c r="S30" s="78">
        <v>8.8800000000000008</v>
      </c>
      <c r="T30" s="78">
        <v>9.31</v>
      </c>
      <c r="U30" s="78">
        <v>116</v>
      </c>
      <c r="AO30" s="80" t="str">
        <f>IFERROR(TP_DATA[[#This Row],[Bottom '[m']]]-TP_DATA[[#This Row],[D, top '[m']]], "")</f>
        <v/>
      </c>
      <c r="AP30" s="80" t="str">
        <f>IFERROR(-(TP_DATA[[#This Row],[D, bottom '[m']]]-TP_DATA[[#This Row],[D, top '[m']]])/(TP_DATA[[#This Row],[Bottom '[m']]]-TP_DATA[[#This Row],[Top '[m']]]),"")</f>
        <v/>
      </c>
      <c r="AQ30" s="80" t="str">
        <f t="shared" si="1"/>
        <v/>
      </c>
      <c r="AR30" s="80" t="str">
        <f>IFERROR((TP_DATA[[#This Row],[D, bottom '[m']]]+TP_DATA[[#This Row],[D, top '[m']]])/(2*TP_DATA[[#This Row],[t '[mm']]]/1000),"")</f>
        <v/>
      </c>
      <c r="AS30" s="80" t="str">
        <f>IFERROR((TP_DATA[[#This Row],[D, bottom '[m']]]+#REF!)/(2*#REF!/1000),"")</f>
        <v/>
      </c>
      <c r="AX30" s="78"/>
      <c r="AY30" s="78"/>
      <c r="AZ30" s="78"/>
      <c r="BA30" s="78"/>
      <c r="BB30" s="78"/>
      <c r="BC30" s="78"/>
      <c r="BQ30" s="107">
        <v>6</v>
      </c>
      <c r="BR30" s="106">
        <v>-10.8</v>
      </c>
      <c r="BS30" s="106">
        <v>-14.3</v>
      </c>
      <c r="BT30" s="106">
        <v>8.8800000000000008</v>
      </c>
      <c r="BU30" s="106">
        <v>9.31</v>
      </c>
      <c r="BV30" s="106">
        <v>116</v>
      </c>
      <c r="BW30" s="80">
        <f>IFERROR(TOWER_DATA[[#This Row],[Bottom '[m']]]-TOWER_DATA[[#This Row],[D, top '[m']]], "")</f>
        <v>-23.18</v>
      </c>
      <c r="BX30" s="80">
        <f>IFERROR(-(TOWER_DATA[[#This Row],[D, bottom '[m']]]-TOWER_DATA[[#This Row],[D, top '[m']]])/(TOWER_DATA[[#This Row],[Bottom '[m']]]-TOWER_DATA[[#This Row],[Top '[m']]]),"")</f>
        <v>0.12285714285714278</v>
      </c>
      <c r="BY30" s="80">
        <f t="shared" si="2"/>
        <v>89.902865547432455</v>
      </c>
      <c r="BZ30" s="80">
        <f>IFERROR((TOWER_DATA[[#This Row],[D, bottom '[m']]]+TOWER_DATA[[#This Row],[D, top '[m']]])/(2*TOWER_DATA[[#This Row],[t '[mm']]]/1000),"")</f>
        <v>78.40517241379311</v>
      </c>
      <c r="CA30" s="80" t="str">
        <f>IFERROR((TOWER_DATA[[#This Row],[D, bottom '[m']]]+#REF!)/(2*#REF!/1000),"")</f>
        <v/>
      </c>
      <c r="CB30" s="83"/>
      <c r="CC30" s="83"/>
      <c r="CD30" s="83"/>
      <c r="CF30" s="78">
        <v>6</v>
      </c>
      <c r="CG30" s="78">
        <v>-10.8</v>
      </c>
      <c r="CH30" s="78">
        <v>-14.3</v>
      </c>
      <c r="CI30" s="78">
        <v>8.8800000000000008</v>
      </c>
      <c r="CJ30" s="78">
        <v>9.31</v>
      </c>
      <c r="CK30" s="78">
        <v>116</v>
      </c>
      <c r="CY30" s="110" t="s">
        <v>172</v>
      </c>
      <c r="CZ30" s="111">
        <v>15</v>
      </c>
      <c r="DA30" s="111">
        <v>240</v>
      </c>
      <c r="DB30" s="111">
        <v>1102065</v>
      </c>
      <c r="DC30" s="111">
        <v>276287200</v>
      </c>
      <c r="DD30" s="111">
        <v>3.4</v>
      </c>
      <c r="DE30" s="119" t="s">
        <v>173</v>
      </c>
      <c r="DF30" s="119"/>
      <c r="DG30" s="115" t="s">
        <v>172</v>
      </c>
      <c r="DH30" s="115">
        <v>15</v>
      </c>
      <c r="DI30" s="106">
        <v>240</v>
      </c>
      <c r="DJ30" s="106">
        <v>1102065</v>
      </c>
      <c r="DK30" s="113">
        <v>276287200</v>
      </c>
      <c r="DL30" s="113">
        <v>3.4</v>
      </c>
      <c r="DM30" s="113" t="s">
        <v>173</v>
      </c>
    </row>
    <row r="31" spans="1:117" x14ac:dyDescent="0.25">
      <c r="B31">
        <v>7</v>
      </c>
      <c r="C31" s="91">
        <v>-14.3</v>
      </c>
      <c r="D31" s="91">
        <v>-17.8</v>
      </c>
      <c r="E31">
        <v>9.31</v>
      </c>
      <c r="F31">
        <v>9.75</v>
      </c>
      <c r="G31">
        <v>103</v>
      </c>
      <c r="H31" s="80">
        <f>IFERROR(MP_DATA[[#This Row],[Bottom '[m']]]-MP_DATA[[#This Row],[D, top '[m']]], "")</f>
        <v>-27.11</v>
      </c>
      <c r="I31" s="80">
        <f>IFERROR(-(MP_DATA[[#This Row],[D, bottom '[m']]]-MP_DATA[[#This Row],[D, top '[m']]])/(MP_DATA[[#This Row],[Bottom '[m']]]-MP_DATA[[#This Row],[Top '[m']]]),"")</f>
        <v>0.12571428571428558</v>
      </c>
      <c r="J31" s="80">
        <f t="shared" si="0"/>
        <v>83.810475680910201</v>
      </c>
      <c r="K31" s="80">
        <f>IFERROR((MP_DATA[[#This Row],[D, bottom '[m']]]+MP_DATA[[#This Row],[D, top '[m']]])/(2*MP_DATA[[#This Row],[t '[mm']]]/1000),"")</f>
        <v>92.524271844660205</v>
      </c>
      <c r="L31" s="80" t="str">
        <f>IFERROR((MP_DATA[[#This Row],[D, bottom '[m']]]+#REF!)/(2*#REF!/1000),"")</f>
        <v/>
      </c>
      <c r="P31" s="78">
        <v>7</v>
      </c>
      <c r="Q31" s="81">
        <v>-14.3</v>
      </c>
      <c r="R31" s="81">
        <v>-17.8</v>
      </c>
      <c r="S31" s="78">
        <v>9.31</v>
      </c>
      <c r="T31" s="78">
        <v>9.75</v>
      </c>
      <c r="U31" s="78">
        <v>103</v>
      </c>
      <c r="AO31" s="80" t="str">
        <f>IFERROR(TP_DATA[[#This Row],[Bottom '[m']]]-TP_DATA[[#This Row],[D, top '[m']]], "")</f>
        <v/>
      </c>
      <c r="AP31" s="80" t="str">
        <f>IFERROR(-(TP_DATA[[#This Row],[D, bottom '[m']]]-TP_DATA[[#This Row],[D, top '[m']]])/(TP_DATA[[#This Row],[Bottom '[m']]]-TP_DATA[[#This Row],[Top '[m']]]),"")</f>
        <v/>
      </c>
      <c r="AQ31" s="80" t="str">
        <f t="shared" si="1"/>
        <v/>
      </c>
      <c r="AR31" s="80" t="str">
        <f>IFERROR((TP_DATA[[#This Row],[D, bottom '[m']]]+TP_DATA[[#This Row],[D, top '[m']]])/(2*TP_DATA[[#This Row],[t '[mm']]]/1000),"")</f>
        <v/>
      </c>
      <c r="AS31" s="80" t="str">
        <f>IFERROR((TP_DATA[[#This Row],[D, bottom '[m']]]+#REF!)/(2*#REF!/1000),"")</f>
        <v/>
      </c>
      <c r="AX31" s="78"/>
      <c r="AY31" s="78"/>
      <c r="AZ31" s="78"/>
      <c r="BA31" s="78"/>
      <c r="BB31" s="78"/>
      <c r="BC31" s="78"/>
      <c r="BQ31" s="107">
        <v>7</v>
      </c>
      <c r="BR31" s="106">
        <v>-14.3</v>
      </c>
      <c r="BS31" s="106">
        <v>-17.8</v>
      </c>
      <c r="BT31" s="106">
        <v>9.31</v>
      </c>
      <c r="BU31" s="106">
        <v>9.75</v>
      </c>
      <c r="BV31" s="106">
        <v>103</v>
      </c>
      <c r="BW31" s="80">
        <f>IFERROR(TOWER_DATA[[#This Row],[Bottom '[m']]]-TOWER_DATA[[#This Row],[D, top '[m']]], "")</f>
        <v>-27.11</v>
      </c>
      <c r="BX31" s="80">
        <f>IFERROR(-(TOWER_DATA[[#This Row],[D, bottom '[m']]]-TOWER_DATA[[#This Row],[D, top '[m']]])/(TOWER_DATA[[#This Row],[Bottom '[m']]]-TOWER_DATA[[#This Row],[Top '[m']]]),"")</f>
        <v>0.12571428571428558</v>
      </c>
      <c r="BY31" s="80">
        <f t="shared" si="2"/>
        <v>83.810475680910201</v>
      </c>
      <c r="BZ31" s="80">
        <f>IFERROR((TOWER_DATA[[#This Row],[D, bottom '[m']]]+TOWER_DATA[[#This Row],[D, top '[m']]])/(2*TOWER_DATA[[#This Row],[t '[mm']]]/1000),"")</f>
        <v>92.524271844660205</v>
      </c>
      <c r="CA31" s="80" t="str">
        <f>IFERROR((TOWER_DATA[[#This Row],[D, bottom '[m']]]+#REF!)/(2*#REF!/1000),"")</f>
        <v/>
      </c>
      <c r="CB31" s="83"/>
      <c r="CC31" s="83"/>
      <c r="CD31" s="83"/>
      <c r="CF31" s="78">
        <v>7</v>
      </c>
      <c r="CG31" s="78">
        <v>-14.3</v>
      </c>
      <c r="CH31" s="78">
        <v>-17.8</v>
      </c>
      <c r="CI31" s="78">
        <v>9.31</v>
      </c>
      <c r="CJ31" s="78">
        <v>9.75</v>
      </c>
      <c r="CK31" s="78">
        <v>103</v>
      </c>
      <c r="DE31" s="80"/>
      <c r="DF31" s="80"/>
      <c r="DG31" s="106"/>
      <c r="DH31" s="106"/>
      <c r="DI31" s="106"/>
      <c r="DJ31" s="106"/>
      <c r="DK31" s="106"/>
      <c r="DL31" s="106"/>
      <c r="DM31" s="106"/>
    </row>
    <row r="32" spans="1:117" x14ac:dyDescent="0.25">
      <c r="B32">
        <v>8</v>
      </c>
      <c r="C32" s="91">
        <v>-17.8</v>
      </c>
      <c r="D32" s="91">
        <v>-21.3</v>
      </c>
      <c r="E32">
        <v>9.75</v>
      </c>
      <c r="F32">
        <v>10.19</v>
      </c>
      <c r="G32">
        <v>98</v>
      </c>
      <c r="H32" s="80">
        <f>IFERROR(MP_DATA[[#This Row],[Bottom '[m']]]-MP_DATA[[#This Row],[D, top '[m']]], "")</f>
        <v>-31.05</v>
      </c>
      <c r="I32" s="80">
        <f>IFERROR(-(MP_DATA[[#This Row],[D, bottom '[m']]]-MP_DATA[[#This Row],[D, top '[m']]])/(MP_DATA[[#This Row],[Bottom '[m']]]-MP_DATA[[#This Row],[Top '[m']]]),"")</f>
        <v>0.12571428571428558</v>
      </c>
      <c r="J32" s="80">
        <f t="shared" si="0"/>
        <v>83.506214395905459</v>
      </c>
      <c r="K32" s="80">
        <f>IFERROR((MP_DATA[[#This Row],[D, bottom '[m']]]+MP_DATA[[#This Row],[D, top '[m']]])/(2*MP_DATA[[#This Row],[t '[mm']]]/1000),"")</f>
        <v>101.73469387755101</v>
      </c>
      <c r="L32" s="80" t="str">
        <f>IFERROR((MP_DATA[[#This Row],[D, bottom '[m']]]+#REF!)/(2*#REF!/1000),"")</f>
        <v/>
      </c>
      <c r="P32" s="78">
        <v>8</v>
      </c>
      <c r="Q32" s="81">
        <v>-17.8</v>
      </c>
      <c r="R32" s="81">
        <v>-21.3</v>
      </c>
      <c r="S32" s="78">
        <v>9.75</v>
      </c>
      <c r="T32" s="78">
        <v>10.19</v>
      </c>
      <c r="U32" s="78">
        <v>98</v>
      </c>
      <c r="W32" s="78"/>
      <c r="X32" s="78"/>
      <c r="Y32" s="78"/>
      <c r="AO32" s="80" t="str">
        <f>IFERROR(TP_DATA[[#This Row],[Bottom '[m']]]-TP_DATA[[#This Row],[D, top '[m']]], "")</f>
        <v/>
      </c>
      <c r="AP32" s="80" t="str">
        <f>IFERROR(-(TP_DATA[[#This Row],[D, bottom '[m']]]-TP_DATA[[#This Row],[D, top '[m']]])/(TP_DATA[[#This Row],[Bottom '[m']]]-TP_DATA[[#This Row],[Top '[m']]]),"")</f>
        <v/>
      </c>
      <c r="AQ32" s="80" t="str">
        <f t="shared" si="1"/>
        <v/>
      </c>
      <c r="AR32" s="80" t="str">
        <f>IFERROR((TP_DATA[[#This Row],[D, bottom '[m']]]+TP_DATA[[#This Row],[D, top '[m']]])/(2*TP_DATA[[#This Row],[t '[mm']]]/1000),"")</f>
        <v/>
      </c>
      <c r="AS32" s="80" t="str">
        <f>IFERROR((TP_DATA[[#This Row],[D, bottom '[m']]]+#REF!)/(2*#REF!/1000),"")</f>
        <v/>
      </c>
      <c r="AX32" s="78"/>
      <c r="AY32" s="78"/>
      <c r="AZ32" s="78"/>
      <c r="BA32" s="78"/>
      <c r="BB32" s="78"/>
      <c r="BC32" s="78"/>
      <c r="BE32" s="78"/>
      <c r="BF32" s="78"/>
      <c r="BG32" s="78"/>
      <c r="BQ32" s="107">
        <v>8</v>
      </c>
      <c r="BR32" s="106">
        <v>-17.8</v>
      </c>
      <c r="BS32" s="106">
        <v>-21.3</v>
      </c>
      <c r="BT32" s="106">
        <v>9.75</v>
      </c>
      <c r="BU32" s="106">
        <v>10.19</v>
      </c>
      <c r="BV32" s="106">
        <v>98</v>
      </c>
      <c r="BW32" s="80">
        <f>IFERROR(TOWER_DATA[[#This Row],[Bottom '[m']]]-TOWER_DATA[[#This Row],[D, top '[m']]], "")</f>
        <v>-31.05</v>
      </c>
      <c r="BX32" s="80">
        <f>IFERROR(-(TOWER_DATA[[#This Row],[D, bottom '[m']]]-TOWER_DATA[[#This Row],[D, top '[m']]])/(TOWER_DATA[[#This Row],[Bottom '[m']]]-TOWER_DATA[[#This Row],[Top '[m']]]),"")</f>
        <v>0.12571428571428558</v>
      </c>
      <c r="BY32" s="80">
        <f t="shared" si="2"/>
        <v>83.506214395905459</v>
      </c>
      <c r="BZ32" s="80">
        <f>IFERROR((TOWER_DATA[[#This Row],[D, bottom '[m']]]+TOWER_DATA[[#This Row],[D, top '[m']]])/(2*TOWER_DATA[[#This Row],[t '[mm']]]/1000),"")</f>
        <v>101.73469387755101</v>
      </c>
      <c r="CA32" s="80" t="str">
        <f>IFERROR((TOWER_DATA[[#This Row],[D, bottom '[m']]]+#REF!)/(2*#REF!/1000),"")</f>
        <v/>
      </c>
      <c r="CB32" s="83"/>
      <c r="CC32" s="83"/>
      <c r="CD32" s="83"/>
      <c r="CF32" s="78">
        <v>8</v>
      </c>
      <c r="CG32" s="78">
        <v>-17.8</v>
      </c>
      <c r="CH32" s="78">
        <v>-21.3</v>
      </c>
      <c r="CI32" s="78">
        <v>9.75</v>
      </c>
      <c r="CJ32" s="78">
        <v>10.19</v>
      </c>
      <c r="CK32" s="78">
        <v>98</v>
      </c>
      <c r="CM32" s="78"/>
      <c r="CN32" s="78"/>
      <c r="CO32" s="78"/>
      <c r="DE32" s="80"/>
      <c r="DF32" s="80"/>
      <c r="DG32" s="106"/>
      <c r="DH32" s="106"/>
      <c r="DI32" s="106"/>
      <c r="DJ32" s="106"/>
      <c r="DK32" s="106"/>
      <c r="DL32" s="106"/>
      <c r="DM32" s="106"/>
    </row>
    <row r="33" spans="2:117" x14ac:dyDescent="0.25">
      <c r="B33">
        <v>9</v>
      </c>
      <c r="C33" s="91">
        <v>-21.3</v>
      </c>
      <c r="D33" s="91">
        <v>-24.8</v>
      </c>
      <c r="E33">
        <v>10.19</v>
      </c>
      <c r="F33">
        <v>10.63</v>
      </c>
      <c r="G33">
        <v>98</v>
      </c>
      <c r="H33" s="80">
        <f>IFERROR(MP_DATA[[#This Row],[Bottom '[m']]]-MP_DATA[[#This Row],[D, top '[m']]], "")</f>
        <v>-34.99</v>
      </c>
      <c r="I33" s="80">
        <f>IFERROR(-(MP_DATA[[#This Row],[D, bottom '[m']]]-MP_DATA[[#This Row],[D, top '[m']]])/(MP_DATA[[#This Row],[Bottom '[m']]]-MP_DATA[[#This Row],[Top '[m']]]),"")</f>
        <v>0.12571428571428608</v>
      </c>
      <c r="J33" s="80">
        <f t="shared" si="0"/>
        <v>87.228128327651717</v>
      </c>
      <c r="K33" s="80">
        <f>IFERROR((MP_DATA[[#This Row],[D, bottom '[m']]]+MP_DATA[[#This Row],[D, top '[m']]])/(2*MP_DATA[[#This Row],[t '[mm']]]/1000),"")</f>
        <v>106.22448979591836</v>
      </c>
      <c r="L33" s="80" t="str">
        <f>IFERROR((MP_DATA[[#This Row],[D, bottom '[m']]]+#REF!)/(2*#REF!/1000),"")</f>
        <v/>
      </c>
      <c r="P33" s="78">
        <v>9</v>
      </c>
      <c r="Q33" s="81">
        <v>-21.3</v>
      </c>
      <c r="R33" s="81">
        <v>-24.8</v>
      </c>
      <c r="S33" s="78">
        <v>10.19</v>
      </c>
      <c r="T33" s="78">
        <v>10.63</v>
      </c>
      <c r="U33" s="78">
        <v>98</v>
      </c>
      <c r="W33" s="78"/>
      <c r="X33" s="78"/>
      <c r="Y33" s="78"/>
      <c r="AO33" s="80" t="str">
        <f>IFERROR(TP_DATA[[#This Row],[Bottom '[m']]]-TP_DATA[[#This Row],[D, top '[m']]], "")</f>
        <v/>
      </c>
      <c r="AP33" s="80" t="str">
        <f>IFERROR(-(TP_DATA[[#This Row],[D, bottom '[m']]]-TP_DATA[[#This Row],[D, top '[m']]])/(TP_DATA[[#This Row],[Bottom '[m']]]-TP_DATA[[#This Row],[Top '[m']]]),"")</f>
        <v/>
      </c>
      <c r="AQ33" s="80" t="str">
        <f t="shared" si="1"/>
        <v/>
      </c>
      <c r="AR33" s="80" t="str">
        <f>IFERROR((TP_DATA[[#This Row],[D, bottom '[m']]]+TP_DATA[[#This Row],[D, top '[m']]])/(2*TP_DATA[[#This Row],[t '[mm']]]/1000),"")</f>
        <v/>
      </c>
      <c r="AS33" s="80" t="str">
        <f>IFERROR((TP_DATA[[#This Row],[D, bottom '[m']]]+#REF!)/(2*#REF!/1000),"")</f>
        <v/>
      </c>
      <c r="AX33" s="78"/>
      <c r="AY33" s="78"/>
      <c r="AZ33" s="78"/>
      <c r="BA33" s="78"/>
      <c r="BB33" s="78"/>
      <c r="BC33" s="78"/>
      <c r="BE33" s="78"/>
      <c r="BF33" s="78"/>
      <c r="BG33" s="78"/>
      <c r="BQ33" s="107">
        <v>9</v>
      </c>
      <c r="BR33" s="106">
        <v>-21.3</v>
      </c>
      <c r="BS33" s="106">
        <v>-24.8</v>
      </c>
      <c r="BT33" s="106">
        <v>10.19</v>
      </c>
      <c r="BU33" s="106">
        <v>10.63</v>
      </c>
      <c r="BV33" s="106">
        <v>98</v>
      </c>
      <c r="BW33" s="80">
        <f>IFERROR(TOWER_DATA[[#This Row],[Bottom '[m']]]-TOWER_DATA[[#This Row],[D, top '[m']]], "")</f>
        <v>-34.99</v>
      </c>
      <c r="BX33" s="80">
        <f>IFERROR(-(TOWER_DATA[[#This Row],[D, bottom '[m']]]-TOWER_DATA[[#This Row],[D, top '[m']]])/(TOWER_DATA[[#This Row],[Bottom '[m']]]-TOWER_DATA[[#This Row],[Top '[m']]]),"")</f>
        <v>0.12571428571428608</v>
      </c>
      <c r="BY33" s="80">
        <f t="shared" si="2"/>
        <v>87.228128327651717</v>
      </c>
      <c r="BZ33" s="80">
        <f>IFERROR((TOWER_DATA[[#This Row],[D, bottom '[m']]]+TOWER_DATA[[#This Row],[D, top '[m']]])/(2*TOWER_DATA[[#This Row],[t '[mm']]]/1000),"")</f>
        <v>106.22448979591836</v>
      </c>
      <c r="CA33" s="80" t="str">
        <f>IFERROR((TOWER_DATA[[#This Row],[D, bottom '[m']]]+#REF!)/(2*#REF!/1000),"")</f>
        <v/>
      </c>
      <c r="CB33" s="83"/>
      <c r="CC33" s="83"/>
      <c r="CD33" s="83"/>
      <c r="CF33" s="78">
        <v>9</v>
      </c>
      <c r="CG33" s="78">
        <v>-21.3</v>
      </c>
      <c r="CH33" s="78">
        <v>-24.8</v>
      </c>
      <c r="CI33" s="78">
        <v>10.19</v>
      </c>
      <c r="CJ33" s="78">
        <v>10.63</v>
      </c>
      <c r="CK33" s="78">
        <v>98</v>
      </c>
      <c r="CM33" s="78"/>
      <c r="CN33" s="78"/>
      <c r="CO33" s="78"/>
      <c r="DE33" s="80"/>
      <c r="DF33" s="80"/>
      <c r="DG33" s="106"/>
      <c r="DH33" s="106"/>
      <c r="DI33" s="106"/>
      <c r="DJ33" s="106"/>
      <c r="DK33" s="106"/>
      <c r="DL33" s="106"/>
      <c r="DM33" s="106"/>
    </row>
    <row r="34" spans="2:117" x14ac:dyDescent="0.25">
      <c r="B34">
        <v>10</v>
      </c>
      <c r="C34" s="91">
        <v>-24.8</v>
      </c>
      <c r="D34" s="91">
        <v>-28.3</v>
      </c>
      <c r="E34">
        <v>10.63</v>
      </c>
      <c r="F34">
        <v>11.06</v>
      </c>
      <c r="G34">
        <v>98</v>
      </c>
      <c r="H34" s="80">
        <f>IFERROR(MP_DATA[[#This Row],[Bottom '[m']]]-MP_DATA[[#This Row],[D, top '[m']]], "")</f>
        <v>-38.93</v>
      </c>
      <c r="I34" s="80">
        <f>IFERROR(-(MP_DATA[[#This Row],[D, bottom '[m']]]-MP_DATA[[#This Row],[D, top '[m']]])/(MP_DATA[[#This Row],[Bottom '[m']]]-MP_DATA[[#This Row],[Top '[m']]]),"")</f>
        <v>0.12285714285714278</v>
      </c>
      <c r="J34" s="80">
        <f t="shared" si="0"/>
        <v>90.907747782900842</v>
      </c>
      <c r="K34" s="80">
        <f>IFERROR((MP_DATA[[#This Row],[D, bottom '[m']]]+MP_DATA[[#This Row],[D, top '[m']]])/(2*MP_DATA[[#This Row],[t '[mm']]]/1000),"")</f>
        <v>110.66326530612245</v>
      </c>
      <c r="L34" s="80" t="str">
        <f>IFERROR((MP_DATA[[#This Row],[D, bottom '[m']]]+#REF!)/(2*#REF!/1000),"")</f>
        <v/>
      </c>
      <c r="P34" s="78">
        <v>10</v>
      </c>
      <c r="Q34" s="81">
        <v>-24.8</v>
      </c>
      <c r="R34" s="81">
        <v>-28.3</v>
      </c>
      <c r="S34" s="78">
        <v>10.63</v>
      </c>
      <c r="T34" s="78">
        <v>11.06</v>
      </c>
      <c r="U34" s="78">
        <v>98</v>
      </c>
      <c r="W34" s="78"/>
      <c r="X34" s="78"/>
      <c r="Y34" s="78"/>
      <c r="AO34" s="80" t="str">
        <f>IFERROR(TP_DATA[[#This Row],[Bottom '[m']]]-TP_DATA[[#This Row],[D, top '[m']]], "")</f>
        <v/>
      </c>
      <c r="AP34" s="80" t="str">
        <f>IFERROR(-(TP_DATA[[#This Row],[D, bottom '[m']]]-TP_DATA[[#This Row],[D, top '[m']]])/(TP_DATA[[#This Row],[Bottom '[m']]]-TP_DATA[[#This Row],[Top '[m']]]),"")</f>
        <v/>
      </c>
      <c r="AQ34" s="80" t="str">
        <f t="shared" si="1"/>
        <v/>
      </c>
      <c r="AR34" s="80" t="str">
        <f>IFERROR((TP_DATA[[#This Row],[D, bottom '[m']]]+TP_DATA[[#This Row],[D, top '[m']]])/(2*TP_DATA[[#This Row],[t '[mm']]]/1000),"")</f>
        <v/>
      </c>
      <c r="AS34" s="80" t="str">
        <f>IFERROR((TP_DATA[[#This Row],[D, bottom '[m']]]+#REF!)/(2*#REF!/1000),"")</f>
        <v/>
      </c>
      <c r="AX34" s="78"/>
      <c r="AY34" s="78"/>
      <c r="AZ34" s="78"/>
      <c r="BA34" s="78"/>
      <c r="BB34" s="78"/>
      <c r="BC34" s="78"/>
      <c r="BE34" s="78"/>
      <c r="BF34" s="78"/>
      <c r="BG34" s="78"/>
      <c r="BQ34" s="107">
        <v>10</v>
      </c>
      <c r="BR34" s="106">
        <v>-24.8</v>
      </c>
      <c r="BS34" s="106">
        <v>-28.3</v>
      </c>
      <c r="BT34" s="106">
        <v>10.63</v>
      </c>
      <c r="BU34" s="106">
        <v>11.06</v>
      </c>
      <c r="BV34" s="106">
        <v>98</v>
      </c>
      <c r="BW34" s="80">
        <f>IFERROR(TOWER_DATA[[#This Row],[Bottom '[m']]]-TOWER_DATA[[#This Row],[D, top '[m']]], "")</f>
        <v>-38.93</v>
      </c>
      <c r="BX34" s="80">
        <f>IFERROR(-(TOWER_DATA[[#This Row],[D, bottom '[m']]]-TOWER_DATA[[#This Row],[D, top '[m']]])/(TOWER_DATA[[#This Row],[Bottom '[m']]]-TOWER_DATA[[#This Row],[Top '[m']]]),"")</f>
        <v>0.12285714285714278</v>
      </c>
      <c r="BY34" s="80">
        <f t="shared" si="2"/>
        <v>90.907747782900842</v>
      </c>
      <c r="BZ34" s="80">
        <f>IFERROR((TOWER_DATA[[#This Row],[D, bottom '[m']]]+TOWER_DATA[[#This Row],[D, top '[m']]])/(2*TOWER_DATA[[#This Row],[t '[mm']]]/1000),"")</f>
        <v>110.66326530612245</v>
      </c>
      <c r="CA34" s="80" t="str">
        <f>IFERROR((TOWER_DATA[[#This Row],[D, bottom '[m']]]+#REF!)/(2*#REF!/1000),"")</f>
        <v/>
      </c>
      <c r="CB34" s="83"/>
      <c r="CC34" s="83"/>
      <c r="CD34" s="83"/>
      <c r="CF34" s="78">
        <v>10</v>
      </c>
      <c r="CG34" s="78">
        <v>-24.8</v>
      </c>
      <c r="CH34" s="78">
        <v>-28.3</v>
      </c>
      <c r="CI34" s="78">
        <v>10.63</v>
      </c>
      <c r="CJ34" s="78">
        <v>11.06</v>
      </c>
      <c r="CK34" s="78">
        <v>98</v>
      </c>
      <c r="CM34" s="78"/>
      <c r="CN34" s="78"/>
      <c r="CO34" s="78"/>
      <c r="DE34" s="80"/>
      <c r="DF34" s="80"/>
      <c r="DG34" s="106"/>
      <c r="DH34" s="106"/>
      <c r="DI34" s="106"/>
      <c r="DJ34" s="106"/>
      <c r="DK34" s="106"/>
      <c r="DL34" s="106"/>
      <c r="DM34" s="106"/>
    </row>
    <row r="35" spans="2:117" x14ac:dyDescent="0.25">
      <c r="B35">
        <v>11</v>
      </c>
      <c r="C35" s="91">
        <v>-28.3</v>
      </c>
      <c r="D35" s="91">
        <v>-31.8</v>
      </c>
      <c r="E35">
        <v>11.06</v>
      </c>
      <c r="F35">
        <v>11.5</v>
      </c>
      <c r="G35">
        <v>98</v>
      </c>
      <c r="H35" s="80">
        <f>IFERROR(MP_DATA[[#This Row],[Bottom '[m']]]-MP_DATA[[#This Row],[D, top '[m']]], "")</f>
        <v>-42.86</v>
      </c>
      <c r="I35" s="80">
        <f>IFERROR(-(MP_DATA[[#This Row],[D, bottom '[m']]]-MP_DATA[[#This Row],[D, top '[m']]])/(MP_DATA[[#This Row],[Bottom '[m']]]-MP_DATA[[#This Row],[Top '[m']]]),"")</f>
        <v>0.12571428571428558</v>
      </c>
      <c r="J35" s="80">
        <f t="shared" si="0"/>
        <v>94.587367238149838</v>
      </c>
      <c r="K35" s="80">
        <f>IFERROR((MP_DATA[[#This Row],[D, bottom '[m']]]+MP_DATA[[#This Row],[D, top '[m']]])/(2*MP_DATA[[#This Row],[t '[mm']]]/1000),"")</f>
        <v>115.10204081632654</v>
      </c>
      <c r="L35" s="80" t="str">
        <f>IFERROR((MP_DATA[[#This Row],[D, bottom '[m']]]+#REF!)/(2*#REF!/1000),"")</f>
        <v/>
      </c>
      <c r="P35" s="78">
        <v>11</v>
      </c>
      <c r="Q35" s="81">
        <v>-28.3</v>
      </c>
      <c r="R35" s="81">
        <v>-31.8</v>
      </c>
      <c r="S35" s="78">
        <v>11.06</v>
      </c>
      <c r="T35" s="78">
        <v>11.5</v>
      </c>
      <c r="U35" s="78">
        <v>98</v>
      </c>
      <c r="AO35" s="80" t="str">
        <f>IFERROR(TP_DATA[[#This Row],[Bottom '[m']]]-TP_DATA[[#This Row],[D, top '[m']]], "")</f>
        <v/>
      </c>
      <c r="AP35" s="80" t="str">
        <f>IFERROR(-(TP_DATA[[#This Row],[D, bottom '[m']]]-TP_DATA[[#This Row],[D, top '[m']]])/(TP_DATA[[#This Row],[Bottom '[m']]]-TP_DATA[[#This Row],[Top '[m']]]),"")</f>
        <v/>
      </c>
      <c r="AQ35" s="80" t="str">
        <f t="shared" si="1"/>
        <v/>
      </c>
      <c r="AR35" s="80" t="str">
        <f>IFERROR((TP_DATA[[#This Row],[D, bottom '[m']]]+TP_DATA[[#This Row],[D, top '[m']]])/(2*TP_DATA[[#This Row],[t '[mm']]]/1000),"")</f>
        <v/>
      </c>
      <c r="AS35" s="80" t="str">
        <f>IFERROR((TP_DATA[[#This Row],[D, bottom '[m']]]+#REF!)/(2*#REF!/1000),"")</f>
        <v/>
      </c>
      <c r="AX35" s="78"/>
      <c r="AY35" s="78"/>
      <c r="AZ35" s="78"/>
      <c r="BA35" s="78"/>
      <c r="BB35" s="78"/>
      <c r="BC35" s="78"/>
      <c r="BQ35" s="107">
        <v>11</v>
      </c>
      <c r="BR35" s="106">
        <v>-28.3</v>
      </c>
      <c r="BS35" s="106">
        <v>-31.8</v>
      </c>
      <c r="BT35" s="106">
        <v>11.06</v>
      </c>
      <c r="BU35" s="106">
        <v>11.5</v>
      </c>
      <c r="BV35" s="106">
        <v>98</v>
      </c>
      <c r="BW35" s="80">
        <f>IFERROR(TOWER_DATA[[#This Row],[Bottom '[m']]]-TOWER_DATA[[#This Row],[D, top '[m']]], "")</f>
        <v>-42.86</v>
      </c>
      <c r="BX35" s="80">
        <f>IFERROR(-(TOWER_DATA[[#This Row],[D, bottom '[m']]]-TOWER_DATA[[#This Row],[D, top '[m']]])/(TOWER_DATA[[#This Row],[Bottom '[m']]]-TOWER_DATA[[#This Row],[Top '[m']]]),"")</f>
        <v>0.12571428571428558</v>
      </c>
      <c r="BY35" s="80">
        <f t="shared" si="2"/>
        <v>94.587367238149838</v>
      </c>
      <c r="BZ35" s="80">
        <f>IFERROR((TOWER_DATA[[#This Row],[D, bottom '[m']]]+TOWER_DATA[[#This Row],[D, top '[m']]])/(2*TOWER_DATA[[#This Row],[t '[mm']]]/1000),"")</f>
        <v>115.10204081632654</v>
      </c>
      <c r="CA35" s="80" t="str">
        <f>IFERROR((TOWER_DATA[[#This Row],[D, bottom '[m']]]+#REF!)/(2*#REF!/1000),"")</f>
        <v/>
      </c>
      <c r="CB35" s="83"/>
      <c r="CC35" s="83"/>
      <c r="CD35" s="83"/>
      <c r="CF35" s="78">
        <v>11</v>
      </c>
      <c r="CG35" s="78">
        <v>-28.3</v>
      </c>
      <c r="CH35" s="78">
        <v>-31.8</v>
      </c>
      <c r="CI35" s="78">
        <v>11.06</v>
      </c>
      <c r="CJ35" s="78">
        <v>11.5</v>
      </c>
      <c r="CK35" s="78">
        <v>98</v>
      </c>
      <c r="DE35" s="80"/>
      <c r="DF35" s="80"/>
      <c r="DG35" s="106"/>
      <c r="DH35" s="106"/>
      <c r="DI35" s="106"/>
      <c r="DJ35" s="106"/>
      <c r="DK35" s="106"/>
      <c r="DL35" s="106"/>
      <c r="DM35" s="106"/>
    </row>
    <row r="36" spans="2:117" x14ac:dyDescent="0.25">
      <c r="B36">
        <v>12</v>
      </c>
      <c r="C36" s="91">
        <v>-31.8</v>
      </c>
      <c r="D36" s="91">
        <v>-35.299999999999997</v>
      </c>
      <c r="E36">
        <v>11.5</v>
      </c>
      <c r="F36">
        <v>11.5</v>
      </c>
      <c r="G36">
        <v>98</v>
      </c>
      <c r="H36" s="80">
        <f>IFERROR(MP_DATA[[#This Row],[Bottom '[m']]]-MP_DATA[[#This Row],[D, top '[m']]], "")</f>
        <v>-46.8</v>
      </c>
      <c r="I36" s="80">
        <f>IFERROR(-(MP_DATA[[#This Row],[D, bottom '[m']]]-MP_DATA[[#This Row],[D, top '[m']]])/(MP_DATA[[#This Row],[Bottom '[m']]]-MP_DATA[[#This Row],[Top '[m']]]),"")</f>
        <v>0</v>
      </c>
      <c r="J36" s="80">
        <f t="shared" si="0"/>
        <v>96.448324204023137</v>
      </c>
      <c r="K36" s="80">
        <f>IFERROR((MP_DATA[[#This Row],[D, bottom '[m']]]+MP_DATA[[#This Row],[D, top '[m']]])/(2*MP_DATA[[#This Row],[t '[mm']]]/1000),"")</f>
        <v>117.3469387755102</v>
      </c>
      <c r="L36" s="80" t="str">
        <f>IFERROR((MP_DATA[[#This Row],[D, bottom '[m']]]+#REF!)/(2*#REF!/1000),"")</f>
        <v/>
      </c>
      <c r="P36" s="78">
        <v>12</v>
      </c>
      <c r="Q36" s="81">
        <v>-31.8</v>
      </c>
      <c r="R36" s="81">
        <v>-35.299999999999997</v>
      </c>
      <c r="S36" s="78">
        <v>11.5</v>
      </c>
      <c r="T36" s="78">
        <v>11.5</v>
      </c>
      <c r="U36" s="78">
        <v>98</v>
      </c>
      <c r="AO36" s="80" t="str">
        <f>IFERROR(TP_DATA[[#This Row],[Bottom '[m']]]-TP_DATA[[#This Row],[D, top '[m']]], "")</f>
        <v/>
      </c>
      <c r="AP36" s="80" t="str">
        <f>IFERROR(-(TP_DATA[[#This Row],[D, bottom '[m']]]-TP_DATA[[#This Row],[D, top '[m']]])/(TP_DATA[[#This Row],[Bottom '[m']]]-TP_DATA[[#This Row],[Top '[m']]]),"")</f>
        <v/>
      </c>
      <c r="AQ36" s="80" t="str">
        <f t="shared" si="1"/>
        <v/>
      </c>
      <c r="AR36" s="80" t="str">
        <f>IFERROR((TP_DATA[[#This Row],[D, bottom '[m']]]+TP_DATA[[#This Row],[D, top '[m']]])/(2*TP_DATA[[#This Row],[t '[mm']]]/1000),"")</f>
        <v/>
      </c>
      <c r="AS36" s="80" t="str">
        <f>IFERROR((TP_DATA[[#This Row],[D, bottom '[m']]]+#REF!)/(2*#REF!/1000),"")</f>
        <v/>
      </c>
      <c r="AX36" s="78"/>
      <c r="AY36" s="78"/>
      <c r="AZ36" s="78"/>
      <c r="BA36" s="78"/>
      <c r="BB36" s="78"/>
      <c r="BC36" s="78"/>
      <c r="BQ36" s="107">
        <v>12</v>
      </c>
      <c r="BR36" s="106">
        <v>-31.8</v>
      </c>
      <c r="BS36" s="106">
        <v>-35.299999999999997</v>
      </c>
      <c r="BT36" s="106">
        <v>11.5</v>
      </c>
      <c r="BU36" s="106">
        <v>11.5</v>
      </c>
      <c r="BV36" s="106">
        <v>98</v>
      </c>
      <c r="BW36" s="80">
        <f>IFERROR(TOWER_DATA[[#This Row],[Bottom '[m']]]-TOWER_DATA[[#This Row],[D, top '[m']]], "")</f>
        <v>-46.8</v>
      </c>
      <c r="BX36" s="80">
        <f>IFERROR(-(TOWER_DATA[[#This Row],[D, bottom '[m']]]-TOWER_DATA[[#This Row],[D, top '[m']]])/(TOWER_DATA[[#This Row],[Bottom '[m']]]-TOWER_DATA[[#This Row],[Top '[m']]]),"")</f>
        <v>0</v>
      </c>
      <c r="BY36" s="80">
        <f t="shared" si="2"/>
        <v>96.448324204023137</v>
      </c>
      <c r="BZ36" s="80">
        <f>IFERROR((TOWER_DATA[[#This Row],[D, bottom '[m']]]+TOWER_DATA[[#This Row],[D, top '[m']]])/(2*TOWER_DATA[[#This Row],[t '[mm']]]/1000),"")</f>
        <v>117.3469387755102</v>
      </c>
      <c r="CA36" s="80" t="str">
        <f>IFERROR((TOWER_DATA[[#This Row],[D, bottom '[m']]]+#REF!)/(2*#REF!/1000),"")</f>
        <v/>
      </c>
      <c r="CB36" s="83"/>
      <c r="CC36" s="83"/>
      <c r="CD36" s="83"/>
      <c r="CF36" s="78">
        <v>12</v>
      </c>
      <c r="CG36" s="78">
        <v>-31.8</v>
      </c>
      <c r="CH36" s="78">
        <v>-35.299999999999997</v>
      </c>
      <c r="CI36" s="78">
        <v>11.5</v>
      </c>
      <c r="CJ36" s="78">
        <v>11.5</v>
      </c>
      <c r="CK36" s="78">
        <v>98</v>
      </c>
      <c r="DE36" s="80"/>
      <c r="DF36" s="80"/>
      <c r="DG36" s="106"/>
      <c r="DH36" s="106"/>
      <c r="DI36" s="106"/>
      <c r="DJ36" s="106"/>
      <c r="DK36" s="106"/>
      <c r="DL36" s="106"/>
      <c r="DM36" s="106"/>
    </row>
    <row r="37" spans="2:117" x14ac:dyDescent="0.25">
      <c r="B37">
        <v>13</v>
      </c>
      <c r="C37" s="91">
        <v>-35.299999999999997</v>
      </c>
      <c r="D37" s="91">
        <v>-38.6</v>
      </c>
      <c r="E37">
        <v>11.5</v>
      </c>
      <c r="F37">
        <v>11.5</v>
      </c>
      <c r="G37">
        <v>100</v>
      </c>
      <c r="H37" s="80">
        <f>IFERROR(MP_DATA[[#This Row],[Bottom '[m']]]-MP_DATA[[#This Row],[D, top '[m']]], "")</f>
        <v>-50.1</v>
      </c>
      <c r="I37" s="80">
        <f>IFERROR(-(MP_DATA[[#This Row],[D, bottom '[m']]]-MP_DATA[[#This Row],[D, top '[m']]])/(MP_DATA[[#This Row],[Bottom '[m']]]-MP_DATA[[#This Row],[Top '[m']]]),"")</f>
        <v>0</v>
      </c>
      <c r="J37" s="80">
        <f t="shared" si="0"/>
        <v>92.776571768017746</v>
      </c>
      <c r="K37" s="80">
        <f>IFERROR((MP_DATA[[#This Row],[D, bottom '[m']]]+MP_DATA[[#This Row],[D, top '[m']]])/(2*MP_DATA[[#This Row],[t '[mm']]]/1000),"")</f>
        <v>115</v>
      </c>
      <c r="L37" s="80" t="str">
        <f>IFERROR((MP_DATA[[#This Row],[D, bottom '[m']]]+#REF!)/(2*#REF!/1000),"")</f>
        <v/>
      </c>
      <c r="P37" s="78">
        <v>13</v>
      </c>
      <c r="Q37" s="81">
        <v>-35.299999999999997</v>
      </c>
      <c r="R37" s="81">
        <v>-38.6</v>
      </c>
      <c r="S37" s="78">
        <v>11.5</v>
      </c>
      <c r="T37" s="78">
        <v>11.5</v>
      </c>
      <c r="U37" s="78">
        <v>100</v>
      </c>
      <c r="AO37" s="80" t="str">
        <f>IFERROR(TP_DATA[[#This Row],[Bottom '[m']]]-TP_DATA[[#This Row],[D, top '[m']]], "")</f>
        <v/>
      </c>
      <c r="AP37" s="80" t="str">
        <f>IFERROR(-(TP_DATA[[#This Row],[D, bottom '[m']]]-TP_DATA[[#This Row],[D, top '[m']]])/(TP_DATA[[#This Row],[Bottom '[m']]]-TP_DATA[[#This Row],[Top '[m']]]),"")</f>
        <v/>
      </c>
      <c r="AQ37" s="80" t="str">
        <f t="shared" si="1"/>
        <v/>
      </c>
      <c r="AR37" s="80" t="str">
        <f>IFERROR((TP_DATA[[#This Row],[D, bottom '[m']]]+TP_DATA[[#This Row],[D, top '[m']]])/(2*TP_DATA[[#This Row],[t '[mm']]]/1000),"")</f>
        <v/>
      </c>
      <c r="AS37" s="80" t="str">
        <f>IFERROR((TP_DATA[[#This Row],[D, bottom '[m']]]+#REF!)/(2*#REF!/1000),"")</f>
        <v/>
      </c>
      <c r="AX37" s="78"/>
      <c r="AY37" s="78"/>
      <c r="AZ37" s="78"/>
      <c r="BA37" s="78"/>
      <c r="BB37" s="78"/>
      <c r="BC37" s="78"/>
      <c r="BQ37" s="107">
        <v>13</v>
      </c>
      <c r="BR37" s="106">
        <v>-35.299999999999997</v>
      </c>
      <c r="BS37" s="106">
        <v>-38.6</v>
      </c>
      <c r="BT37" s="106">
        <v>11.5</v>
      </c>
      <c r="BU37" s="106">
        <v>11.5</v>
      </c>
      <c r="BV37" s="106">
        <v>100</v>
      </c>
      <c r="BW37" s="80">
        <f>IFERROR(TOWER_DATA[[#This Row],[Bottom '[m']]]-TOWER_DATA[[#This Row],[D, top '[m']]], "")</f>
        <v>-50.1</v>
      </c>
      <c r="BX37" s="80">
        <f>IFERROR(-(TOWER_DATA[[#This Row],[D, bottom '[m']]]-TOWER_DATA[[#This Row],[D, top '[m']]])/(TOWER_DATA[[#This Row],[Bottom '[m']]]-TOWER_DATA[[#This Row],[Top '[m']]]),"")</f>
        <v>0</v>
      </c>
      <c r="BY37" s="80">
        <f t="shared" si="2"/>
        <v>92.776571768017746</v>
      </c>
      <c r="BZ37" s="80">
        <f>IFERROR((TOWER_DATA[[#This Row],[D, bottom '[m']]]+TOWER_DATA[[#This Row],[D, top '[m']]])/(2*TOWER_DATA[[#This Row],[t '[mm']]]/1000),"")</f>
        <v>115</v>
      </c>
      <c r="CA37" s="80" t="str">
        <f>IFERROR((TOWER_DATA[[#This Row],[D, bottom '[m']]]+#REF!)/(2*#REF!/1000),"")</f>
        <v/>
      </c>
      <c r="CB37" s="83"/>
      <c r="CC37" s="83"/>
      <c r="CD37" s="83"/>
      <c r="CF37" s="78">
        <v>13</v>
      </c>
      <c r="CG37" s="78">
        <v>-35.299999999999997</v>
      </c>
      <c r="CH37" s="78">
        <v>-38.6</v>
      </c>
      <c r="CI37" s="78">
        <v>11.5</v>
      </c>
      <c r="CJ37" s="78">
        <v>11.5</v>
      </c>
      <c r="CK37" s="78">
        <v>100</v>
      </c>
      <c r="DE37" s="80"/>
      <c r="DF37" s="80"/>
      <c r="DG37" s="106"/>
      <c r="DH37" s="106"/>
      <c r="DI37" s="106"/>
      <c r="DJ37" s="106"/>
      <c r="DK37" s="106"/>
      <c r="DL37" s="106"/>
      <c r="DM37" s="106"/>
    </row>
    <row r="38" spans="2:117" x14ac:dyDescent="0.25">
      <c r="B38">
        <v>14</v>
      </c>
      <c r="C38" s="91">
        <v>-38.6</v>
      </c>
      <c r="D38" s="91">
        <v>-41.9</v>
      </c>
      <c r="E38">
        <v>11.5</v>
      </c>
      <c r="F38">
        <v>11.5</v>
      </c>
      <c r="G38">
        <v>98</v>
      </c>
      <c r="H38" s="80">
        <f>IFERROR(MP_DATA[[#This Row],[Bottom '[m']]]-MP_DATA[[#This Row],[D, top '[m']]], "")</f>
        <v>-53.4</v>
      </c>
      <c r="I38" s="80">
        <f>IFERROR(-(MP_DATA[[#This Row],[D, bottom '[m']]]-MP_DATA[[#This Row],[D, top '[m']]])/(MP_DATA[[#This Row],[Bottom '[m']]]-MP_DATA[[#This Row],[Top '[m']]]),"")</f>
        <v>0</v>
      </c>
      <c r="J38" s="80">
        <f t="shared" si="0"/>
        <v>90.936991392364675</v>
      </c>
      <c r="K38" s="80">
        <f>IFERROR((MP_DATA[[#This Row],[D, bottom '[m']]]+MP_DATA[[#This Row],[D, top '[m']]])/(2*MP_DATA[[#This Row],[t '[mm']]]/1000),"")</f>
        <v>117.3469387755102</v>
      </c>
      <c r="L38" s="80" t="str">
        <f>IFERROR((MP_DATA[[#This Row],[D, bottom '[m']]]+#REF!)/(2*#REF!/1000),"")</f>
        <v/>
      </c>
      <c r="P38" s="78">
        <v>14</v>
      </c>
      <c r="Q38" s="81">
        <v>-38.6</v>
      </c>
      <c r="R38" s="81">
        <v>-41.9</v>
      </c>
      <c r="S38" s="78">
        <v>11.5</v>
      </c>
      <c r="T38" s="78">
        <v>11.5</v>
      </c>
      <c r="U38" s="78">
        <v>98</v>
      </c>
      <c r="AO38" s="80" t="str">
        <f>IFERROR(TP_DATA[[#This Row],[Bottom '[m']]]-TP_DATA[[#This Row],[D, top '[m']]], "")</f>
        <v/>
      </c>
      <c r="AP38" s="80" t="str">
        <f>IFERROR(-(TP_DATA[[#This Row],[D, bottom '[m']]]-TP_DATA[[#This Row],[D, top '[m']]])/(TP_DATA[[#This Row],[Bottom '[m']]]-TP_DATA[[#This Row],[Top '[m']]]),"")</f>
        <v/>
      </c>
      <c r="AQ38" s="80" t="str">
        <f t="shared" si="1"/>
        <v/>
      </c>
      <c r="AR38" s="80" t="str">
        <f>IFERROR((TP_DATA[[#This Row],[D, bottom '[m']]]+TP_DATA[[#This Row],[D, top '[m']]])/(2*TP_DATA[[#This Row],[t '[mm']]]/1000),"")</f>
        <v/>
      </c>
      <c r="AS38" s="80" t="str">
        <f>IFERROR((TP_DATA[[#This Row],[D, bottom '[m']]]+#REF!)/(2*#REF!/1000),"")</f>
        <v/>
      </c>
      <c r="AX38" s="78"/>
      <c r="AY38" s="78"/>
      <c r="AZ38" s="78"/>
      <c r="BA38" s="78"/>
      <c r="BB38" s="78"/>
      <c r="BC38" s="78"/>
      <c r="BQ38" s="107">
        <v>14</v>
      </c>
      <c r="BR38" s="106">
        <v>-38.6</v>
      </c>
      <c r="BS38" s="106">
        <v>-41.9</v>
      </c>
      <c r="BT38" s="106">
        <v>11.5</v>
      </c>
      <c r="BU38" s="106">
        <v>11.5</v>
      </c>
      <c r="BV38" s="106">
        <v>98</v>
      </c>
      <c r="BW38" s="80">
        <f>IFERROR(TOWER_DATA[[#This Row],[Bottom '[m']]]-TOWER_DATA[[#This Row],[D, top '[m']]], "")</f>
        <v>-53.4</v>
      </c>
      <c r="BX38" s="80">
        <f>IFERROR(-(TOWER_DATA[[#This Row],[D, bottom '[m']]]-TOWER_DATA[[#This Row],[D, top '[m']]])/(TOWER_DATA[[#This Row],[Bottom '[m']]]-TOWER_DATA[[#This Row],[Top '[m']]]),"")</f>
        <v>0</v>
      </c>
      <c r="BY38" s="80">
        <f t="shared" si="2"/>
        <v>90.936991392364675</v>
      </c>
      <c r="BZ38" s="80">
        <f>IFERROR((TOWER_DATA[[#This Row],[D, bottom '[m']]]+TOWER_DATA[[#This Row],[D, top '[m']]])/(2*TOWER_DATA[[#This Row],[t '[mm']]]/1000),"")</f>
        <v>117.3469387755102</v>
      </c>
      <c r="CA38" s="80" t="str">
        <f>IFERROR((TOWER_DATA[[#This Row],[D, bottom '[m']]]+#REF!)/(2*#REF!/1000),"")</f>
        <v/>
      </c>
      <c r="CB38" s="83"/>
      <c r="CC38" s="83"/>
      <c r="CD38" s="83"/>
      <c r="CF38" s="78">
        <v>14</v>
      </c>
      <c r="CG38" s="78">
        <v>-38.6</v>
      </c>
      <c r="CH38" s="78">
        <v>-41.9</v>
      </c>
      <c r="CI38" s="78">
        <v>11.5</v>
      </c>
      <c r="CJ38" s="78">
        <v>11.5</v>
      </c>
      <c r="CK38" s="78">
        <v>98</v>
      </c>
      <c r="DE38" s="80"/>
      <c r="DF38" s="80"/>
      <c r="DG38" s="106"/>
      <c r="DH38" s="106"/>
      <c r="DI38" s="106"/>
      <c r="DJ38" s="106"/>
      <c r="DK38" s="106"/>
      <c r="DL38" s="106"/>
      <c r="DM38" s="106"/>
    </row>
    <row r="39" spans="2:117" x14ac:dyDescent="0.25">
      <c r="B39">
        <v>15</v>
      </c>
      <c r="C39" s="91">
        <v>-41.9</v>
      </c>
      <c r="D39" s="91">
        <v>-45.2</v>
      </c>
      <c r="E39">
        <v>11.5</v>
      </c>
      <c r="F39">
        <v>11.5</v>
      </c>
      <c r="G39">
        <v>95</v>
      </c>
      <c r="H39" s="80">
        <f>IFERROR(MP_DATA[[#This Row],[Bottom '[m']]]-MP_DATA[[#This Row],[D, top '[m']]], "")</f>
        <v>-56.7</v>
      </c>
      <c r="I39" s="80">
        <f>IFERROR(-(MP_DATA[[#This Row],[D, bottom '[m']]]-MP_DATA[[#This Row],[D, top '[m']]])/(MP_DATA[[#This Row],[Bottom '[m']]]-MP_DATA[[#This Row],[Top '[m']]]),"")</f>
        <v>0</v>
      </c>
      <c r="J39" s="80">
        <f t="shared" si="0"/>
        <v>88.17640008451977</v>
      </c>
      <c r="K39" s="80">
        <f>IFERROR((MP_DATA[[#This Row],[D, bottom '[m']]]+MP_DATA[[#This Row],[D, top '[m']]])/(2*MP_DATA[[#This Row],[t '[mm']]]/1000),"")</f>
        <v>121.05263157894737</v>
      </c>
      <c r="L39" s="80" t="str">
        <f>IFERROR((MP_DATA[[#This Row],[D, bottom '[m']]]+#REF!)/(2*#REF!/1000),"")</f>
        <v/>
      </c>
      <c r="P39" s="78">
        <v>15</v>
      </c>
      <c r="Q39" s="81">
        <v>-41.9</v>
      </c>
      <c r="R39" s="81">
        <v>-45.2</v>
      </c>
      <c r="S39" s="78">
        <v>11.5</v>
      </c>
      <c r="T39" s="78">
        <v>11.5</v>
      </c>
      <c r="U39" s="78">
        <v>95</v>
      </c>
      <c r="AO39" s="80" t="str">
        <f>IFERROR(TP_DATA[[#This Row],[Bottom '[m']]]-TP_DATA[[#This Row],[D, top '[m']]], "")</f>
        <v/>
      </c>
      <c r="AP39" s="80" t="str">
        <f>IFERROR(-(TP_DATA[[#This Row],[D, bottom '[m']]]-TP_DATA[[#This Row],[D, top '[m']]])/(TP_DATA[[#This Row],[Bottom '[m']]]-TP_DATA[[#This Row],[Top '[m']]]),"")</f>
        <v/>
      </c>
      <c r="AQ39" s="80" t="str">
        <f t="shared" si="1"/>
        <v/>
      </c>
      <c r="AR39" s="80" t="str">
        <f>IFERROR((TP_DATA[[#This Row],[D, bottom '[m']]]+TP_DATA[[#This Row],[D, top '[m']]])/(2*TP_DATA[[#This Row],[t '[mm']]]/1000),"")</f>
        <v/>
      </c>
      <c r="AS39" s="80" t="str">
        <f>IFERROR((TP_DATA[[#This Row],[D, bottom '[m']]]+#REF!)/(2*#REF!/1000),"")</f>
        <v/>
      </c>
      <c r="AX39" s="78"/>
      <c r="AY39" s="78"/>
      <c r="AZ39" s="78"/>
      <c r="BA39" s="78"/>
      <c r="BB39" s="78"/>
      <c r="BC39" s="78"/>
      <c r="BQ39" s="107">
        <v>15</v>
      </c>
      <c r="BR39" s="106">
        <v>-41.9</v>
      </c>
      <c r="BS39" s="106">
        <v>-45.2</v>
      </c>
      <c r="BT39" s="106">
        <v>11.5</v>
      </c>
      <c r="BU39" s="106">
        <v>11.5</v>
      </c>
      <c r="BV39" s="106">
        <v>95</v>
      </c>
      <c r="BW39" s="80">
        <f>IFERROR(TOWER_DATA[[#This Row],[Bottom '[m']]]-TOWER_DATA[[#This Row],[D, top '[m']]], "")</f>
        <v>-56.7</v>
      </c>
      <c r="BX39" s="80">
        <f>IFERROR(-(TOWER_DATA[[#This Row],[D, bottom '[m']]]-TOWER_DATA[[#This Row],[D, top '[m']]])/(TOWER_DATA[[#This Row],[Bottom '[m']]]-TOWER_DATA[[#This Row],[Top '[m']]]),"")</f>
        <v>0</v>
      </c>
      <c r="BY39" s="80">
        <f t="shared" si="2"/>
        <v>88.17640008451977</v>
      </c>
      <c r="BZ39" s="80">
        <f>IFERROR((TOWER_DATA[[#This Row],[D, bottom '[m']]]+TOWER_DATA[[#This Row],[D, top '[m']]])/(2*TOWER_DATA[[#This Row],[t '[mm']]]/1000),"")</f>
        <v>121.05263157894737</v>
      </c>
      <c r="CA39" s="80" t="str">
        <f>IFERROR((TOWER_DATA[[#This Row],[D, bottom '[m']]]+#REF!)/(2*#REF!/1000),"")</f>
        <v/>
      </c>
      <c r="CB39" s="83"/>
      <c r="CC39" s="83"/>
      <c r="CD39" s="83"/>
      <c r="CF39" s="78">
        <v>15</v>
      </c>
      <c r="CG39" s="78">
        <v>-41.9</v>
      </c>
      <c r="CH39" s="78">
        <v>-45.2</v>
      </c>
      <c r="CI39" s="78">
        <v>11.5</v>
      </c>
      <c r="CJ39" s="78">
        <v>11.5</v>
      </c>
      <c r="CK39" s="78">
        <v>95</v>
      </c>
      <c r="DE39" s="80"/>
      <c r="DF39" s="80"/>
      <c r="DG39" s="106"/>
      <c r="DH39" s="106"/>
      <c r="DI39" s="106"/>
      <c r="DJ39" s="106"/>
      <c r="DK39" s="106"/>
      <c r="DL39" s="106"/>
      <c r="DM39" s="106"/>
    </row>
    <row r="40" spans="2:117" x14ac:dyDescent="0.25">
      <c r="B40">
        <v>16</v>
      </c>
      <c r="C40" s="91">
        <v>-45.2</v>
      </c>
      <c r="D40" s="91">
        <v>-48.5</v>
      </c>
      <c r="E40">
        <v>11.5</v>
      </c>
      <c r="F40">
        <v>11.5</v>
      </c>
      <c r="G40">
        <v>95</v>
      </c>
      <c r="H40" s="80">
        <f>IFERROR(MP_DATA[[#This Row],[Bottom '[m']]]-MP_DATA[[#This Row],[D, top '[m']]], "")</f>
        <v>-60</v>
      </c>
      <c r="I40" s="80">
        <f>IFERROR(-(MP_DATA[[#This Row],[D, bottom '[m']]]-MP_DATA[[#This Row],[D, top '[m']]])/(MP_DATA[[#This Row],[Bottom '[m']]]-MP_DATA[[#This Row],[Top '[m']]]),"")</f>
        <v>0</v>
      </c>
      <c r="J40" s="80">
        <f t="shared" si="0"/>
        <v>88.176400084519571</v>
      </c>
      <c r="K40" s="80">
        <f>IFERROR((MP_DATA[[#This Row],[D, bottom '[m']]]+MP_DATA[[#This Row],[D, top '[m']]])/(2*MP_DATA[[#This Row],[t '[mm']]]/1000),"")</f>
        <v>121.05263157894737</v>
      </c>
      <c r="L40" s="80" t="str">
        <f>IFERROR((MP_DATA[[#This Row],[D, bottom '[m']]]+#REF!)/(2*#REF!/1000),"")</f>
        <v/>
      </c>
      <c r="P40" s="78">
        <v>16</v>
      </c>
      <c r="Q40" s="81">
        <v>-45.2</v>
      </c>
      <c r="R40" s="81">
        <v>-48.5</v>
      </c>
      <c r="S40" s="78">
        <v>11.5</v>
      </c>
      <c r="T40" s="78">
        <v>11.5</v>
      </c>
      <c r="U40" s="78">
        <v>95</v>
      </c>
      <c r="AO40" s="80" t="str">
        <f>IFERROR(TP_DATA[[#This Row],[Bottom '[m']]]-TP_DATA[[#This Row],[D, top '[m']]], "")</f>
        <v/>
      </c>
      <c r="AP40" s="80" t="str">
        <f>IFERROR(-(TP_DATA[[#This Row],[D, bottom '[m']]]-TP_DATA[[#This Row],[D, top '[m']]])/(TP_DATA[[#This Row],[Bottom '[m']]]-TP_DATA[[#This Row],[Top '[m']]]),"")</f>
        <v/>
      </c>
      <c r="AQ40" s="80" t="str">
        <f t="shared" si="1"/>
        <v/>
      </c>
      <c r="AR40" s="80" t="str">
        <f>IFERROR((TP_DATA[[#This Row],[D, bottom '[m']]]+TP_DATA[[#This Row],[D, top '[m']]])/(2*TP_DATA[[#This Row],[t '[mm']]]/1000),"")</f>
        <v/>
      </c>
      <c r="AS40" s="80" t="str">
        <f>IFERROR((TP_DATA[[#This Row],[D, bottom '[m']]]+#REF!)/(2*#REF!/1000),"")</f>
        <v/>
      </c>
      <c r="AX40" s="78"/>
      <c r="AY40" s="78"/>
      <c r="AZ40" s="78"/>
      <c r="BA40" s="78"/>
      <c r="BB40" s="78"/>
      <c r="BC40" s="78"/>
      <c r="BQ40" s="107">
        <v>16</v>
      </c>
      <c r="BR40" s="106">
        <v>-45.2</v>
      </c>
      <c r="BS40" s="106">
        <v>-48.5</v>
      </c>
      <c r="BT40" s="106">
        <v>11.5</v>
      </c>
      <c r="BU40" s="106">
        <v>11.5</v>
      </c>
      <c r="BV40" s="106">
        <v>95</v>
      </c>
      <c r="BW40" s="80">
        <f>IFERROR(TOWER_DATA[[#This Row],[Bottom '[m']]]-TOWER_DATA[[#This Row],[D, top '[m']]], "")</f>
        <v>-60</v>
      </c>
      <c r="BX40" s="80">
        <f>IFERROR(-(TOWER_DATA[[#This Row],[D, bottom '[m']]]-TOWER_DATA[[#This Row],[D, top '[m']]])/(TOWER_DATA[[#This Row],[Bottom '[m']]]-TOWER_DATA[[#This Row],[Top '[m']]]),"")</f>
        <v>0</v>
      </c>
      <c r="BY40" s="80">
        <f t="shared" si="2"/>
        <v>88.176400084519571</v>
      </c>
      <c r="BZ40" s="80">
        <f>IFERROR((TOWER_DATA[[#This Row],[D, bottom '[m']]]+TOWER_DATA[[#This Row],[D, top '[m']]])/(2*TOWER_DATA[[#This Row],[t '[mm']]]/1000),"")</f>
        <v>121.05263157894737</v>
      </c>
      <c r="CA40" s="80" t="str">
        <f>IFERROR((TOWER_DATA[[#This Row],[D, bottom '[m']]]+#REF!)/(2*#REF!/1000),"")</f>
        <v/>
      </c>
      <c r="CB40" s="83"/>
      <c r="CC40" s="83"/>
      <c r="CD40" s="83"/>
      <c r="CF40" s="78">
        <v>16</v>
      </c>
      <c r="CG40" s="78">
        <v>-45.2</v>
      </c>
      <c r="CH40" s="78">
        <v>-48.5</v>
      </c>
      <c r="CI40" s="78">
        <v>11.5</v>
      </c>
      <c r="CJ40" s="78">
        <v>11.5</v>
      </c>
      <c r="CK40" s="78">
        <v>95</v>
      </c>
      <c r="DE40" s="80"/>
      <c r="DF40" s="80"/>
      <c r="DG40" s="106"/>
      <c r="DH40" s="106"/>
      <c r="DI40" s="106"/>
      <c r="DJ40" s="106"/>
      <c r="DK40" s="106"/>
      <c r="DL40" s="106"/>
      <c r="DM40" s="106"/>
    </row>
    <row r="41" spans="2:117" x14ac:dyDescent="0.25">
      <c r="B41">
        <v>17</v>
      </c>
      <c r="C41" s="91">
        <v>-48.5</v>
      </c>
      <c r="D41" s="91">
        <v>-51.7</v>
      </c>
      <c r="E41">
        <v>11.5</v>
      </c>
      <c r="F41">
        <v>11.5</v>
      </c>
      <c r="G41">
        <v>95</v>
      </c>
      <c r="H41" s="80">
        <f>IFERROR(MP_DATA[[#This Row],[Bottom '[m']]]-MP_DATA[[#This Row],[D, top '[m']]], "")</f>
        <v>-63.2</v>
      </c>
      <c r="I41" s="80">
        <f>IFERROR(-(MP_DATA[[#This Row],[D, bottom '[m']]]-MP_DATA[[#This Row],[D, top '[m']]])/(MP_DATA[[#This Row],[Bottom '[m']]]-MP_DATA[[#This Row],[Top '[m']]]),"")</f>
        <v>0</v>
      </c>
      <c r="J41" s="80">
        <f t="shared" si="0"/>
        <v>85.504387960746399</v>
      </c>
      <c r="K41" s="80">
        <f>IFERROR((MP_DATA[[#This Row],[D, bottom '[m']]]+MP_DATA[[#This Row],[D, top '[m']]])/(2*MP_DATA[[#This Row],[t '[mm']]]/1000),"")</f>
        <v>121.05263157894737</v>
      </c>
      <c r="L41" s="80" t="str">
        <f>IFERROR((MP_DATA[[#This Row],[D, bottom '[m']]]+#REF!)/(2*#REF!/1000),"")</f>
        <v/>
      </c>
      <c r="P41" s="78">
        <v>17</v>
      </c>
      <c r="Q41" s="81">
        <v>-48.5</v>
      </c>
      <c r="R41" s="81">
        <v>-51.7</v>
      </c>
      <c r="S41" s="78">
        <v>11.5</v>
      </c>
      <c r="T41" s="78">
        <v>11.5</v>
      </c>
      <c r="U41" s="78">
        <v>95</v>
      </c>
      <c r="AO41" s="80" t="str">
        <f>IFERROR(TP_DATA[[#This Row],[Bottom '[m']]]-TP_DATA[[#This Row],[D, top '[m']]], "")</f>
        <v/>
      </c>
      <c r="AP41" s="80" t="str">
        <f>IFERROR(-(TP_DATA[[#This Row],[D, bottom '[m']]]-TP_DATA[[#This Row],[D, top '[m']]])/(TP_DATA[[#This Row],[Bottom '[m']]]-TP_DATA[[#This Row],[Top '[m']]]),"")</f>
        <v/>
      </c>
      <c r="AQ41" s="80" t="str">
        <f t="shared" si="1"/>
        <v/>
      </c>
      <c r="AR41" s="80" t="str">
        <f>IFERROR((TP_DATA[[#This Row],[D, bottom '[m']]]+TP_DATA[[#This Row],[D, top '[m']]])/(2*TP_DATA[[#This Row],[t '[mm']]]/1000),"")</f>
        <v/>
      </c>
      <c r="AS41" s="80" t="str">
        <f>IFERROR((TP_DATA[[#This Row],[D, bottom '[m']]]+#REF!)/(2*#REF!/1000),"")</f>
        <v/>
      </c>
      <c r="AX41" s="78"/>
      <c r="AY41" s="78"/>
      <c r="AZ41" s="78"/>
      <c r="BA41" s="78"/>
      <c r="BB41" s="78"/>
      <c r="BC41" s="78"/>
      <c r="BQ41" s="107">
        <v>17</v>
      </c>
      <c r="BR41" s="106">
        <v>-48.5</v>
      </c>
      <c r="BS41" s="106">
        <v>-51.7</v>
      </c>
      <c r="BT41" s="106">
        <v>11.5</v>
      </c>
      <c r="BU41" s="106">
        <v>11.5</v>
      </c>
      <c r="BV41" s="106">
        <v>95</v>
      </c>
      <c r="BW41" s="80">
        <f>IFERROR(TOWER_DATA[[#This Row],[Bottom '[m']]]-TOWER_DATA[[#This Row],[D, top '[m']]], "")</f>
        <v>-63.2</v>
      </c>
      <c r="BX41" s="80">
        <f>IFERROR(-(TOWER_DATA[[#This Row],[D, bottom '[m']]]-TOWER_DATA[[#This Row],[D, top '[m']]])/(TOWER_DATA[[#This Row],[Bottom '[m']]]-TOWER_DATA[[#This Row],[Top '[m']]]),"")</f>
        <v>0</v>
      </c>
      <c r="BY41" s="80">
        <f t="shared" si="2"/>
        <v>85.504387960746399</v>
      </c>
      <c r="BZ41" s="80">
        <f>IFERROR((TOWER_DATA[[#This Row],[D, bottom '[m']]]+TOWER_DATA[[#This Row],[D, top '[m']]])/(2*TOWER_DATA[[#This Row],[t '[mm']]]/1000),"")</f>
        <v>121.05263157894737</v>
      </c>
      <c r="CA41" s="80" t="str">
        <f>IFERROR((TOWER_DATA[[#This Row],[D, bottom '[m']]]+#REF!)/(2*#REF!/1000),"")</f>
        <v/>
      </c>
      <c r="CB41" s="83"/>
      <c r="CC41" s="83"/>
      <c r="CD41" s="83"/>
      <c r="CF41" s="78">
        <v>17</v>
      </c>
      <c r="CG41" s="78">
        <v>-48.5</v>
      </c>
      <c r="CH41" s="78">
        <v>-51.7</v>
      </c>
      <c r="CI41" s="78">
        <v>11.5</v>
      </c>
      <c r="CJ41" s="78">
        <v>11.5</v>
      </c>
      <c r="CK41" s="78">
        <v>95</v>
      </c>
      <c r="DE41" s="80"/>
      <c r="DF41" s="80"/>
      <c r="DG41" s="106"/>
      <c r="DH41" s="106"/>
      <c r="DI41" s="106"/>
      <c r="DJ41" s="106"/>
      <c r="DK41" s="106"/>
      <c r="DL41" s="106"/>
      <c r="DM41" s="106"/>
    </row>
    <row r="42" spans="2:117" x14ac:dyDescent="0.25">
      <c r="B42">
        <v>18</v>
      </c>
      <c r="C42" s="91">
        <v>-51.7</v>
      </c>
      <c r="D42" s="91">
        <v>-55.3</v>
      </c>
      <c r="E42">
        <v>11.5</v>
      </c>
      <c r="F42">
        <v>11.5</v>
      </c>
      <c r="G42">
        <v>93</v>
      </c>
      <c r="H42" s="80">
        <f>IFERROR(MP_DATA[[#This Row],[Bottom '[m']]]-MP_DATA[[#This Row],[D, top '[m']]], "")</f>
        <v>-66.8</v>
      </c>
      <c r="I42" s="80">
        <f>IFERROR(-(MP_DATA[[#This Row],[D, bottom '[m']]]-MP_DATA[[#This Row],[D, top '[m']]])/(MP_DATA[[#This Row],[Bottom '[m']]]-MP_DATA[[#This Row],[Top '[m']]]),"")</f>
        <v>0</v>
      </c>
      <c r="J42" s="80">
        <f t="shared" si="0"/>
        <v>94.183845872414466</v>
      </c>
      <c r="K42" s="80">
        <f>IFERROR((MP_DATA[[#This Row],[D, bottom '[m']]]+MP_DATA[[#This Row],[D, top '[m']]])/(2*MP_DATA[[#This Row],[t '[mm']]]/1000),"")</f>
        <v>123.65591397849462</v>
      </c>
      <c r="L42" s="80" t="str">
        <f>IFERROR((MP_DATA[[#This Row],[D, bottom '[m']]]+#REF!)/(2*#REF!/1000),"")</f>
        <v/>
      </c>
      <c r="P42" s="78">
        <v>18</v>
      </c>
      <c r="Q42" s="81">
        <v>-51.7</v>
      </c>
      <c r="R42" s="81">
        <v>-55.3</v>
      </c>
      <c r="S42" s="78">
        <v>11.5</v>
      </c>
      <c r="T42" s="78">
        <v>11.5</v>
      </c>
      <c r="U42" s="78">
        <v>93</v>
      </c>
      <c r="AO42" s="80" t="str">
        <f>IFERROR(TP_DATA[[#This Row],[Bottom '[m']]]-TP_DATA[[#This Row],[D, top '[m']]], "")</f>
        <v/>
      </c>
      <c r="AP42" s="80" t="str">
        <f>IFERROR(-(TP_DATA[[#This Row],[D, bottom '[m']]]-TP_DATA[[#This Row],[D, top '[m']]])/(TP_DATA[[#This Row],[Bottom '[m']]]-TP_DATA[[#This Row],[Top '[m']]]),"")</f>
        <v/>
      </c>
      <c r="AQ42" s="80" t="str">
        <f t="shared" si="1"/>
        <v/>
      </c>
      <c r="AR42" s="80" t="str">
        <f>IFERROR((TP_DATA[[#This Row],[D, bottom '[m']]]+TP_DATA[[#This Row],[D, top '[m']]])/(2*TP_DATA[[#This Row],[t '[mm']]]/1000),"")</f>
        <v/>
      </c>
      <c r="AS42" s="80" t="str">
        <f>IFERROR((TP_DATA[[#This Row],[D, bottom '[m']]]+#REF!)/(2*#REF!/1000),"")</f>
        <v/>
      </c>
      <c r="AX42" s="78"/>
      <c r="AY42" s="78"/>
      <c r="AZ42" s="78"/>
      <c r="BA42" s="78"/>
      <c r="BB42" s="78"/>
      <c r="BC42" s="78"/>
      <c r="BQ42" s="107">
        <v>18</v>
      </c>
      <c r="BR42" s="106">
        <v>-51.7</v>
      </c>
      <c r="BS42" s="106">
        <v>-55.3</v>
      </c>
      <c r="BT42" s="106">
        <v>11.5</v>
      </c>
      <c r="BU42" s="106">
        <v>11.5</v>
      </c>
      <c r="BV42" s="106">
        <v>93</v>
      </c>
      <c r="BW42" s="80">
        <f>IFERROR(TOWER_DATA[[#This Row],[Bottom '[m']]]-TOWER_DATA[[#This Row],[D, top '[m']]], "")</f>
        <v>-66.8</v>
      </c>
      <c r="BX42" s="80">
        <f>IFERROR(-(TOWER_DATA[[#This Row],[D, bottom '[m']]]-TOWER_DATA[[#This Row],[D, top '[m']]])/(TOWER_DATA[[#This Row],[Bottom '[m']]]-TOWER_DATA[[#This Row],[Top '[m']]]),"")</f>
        <v>0</v>
      </c>
      <c r="BY42" s="80">
        <f t="shared" si="2"/>
        <v>94.183845872414466</v>
      </c>
      <c r="BZ42" s="80">
        <f>IFERROR((TOWER_DATA[[#This Row],[D, bottom '[m']]]+TOWER_DATA[[#This Row],[D, top '[m']]])/(2*TOWER_DATA[[#This Row],[t '[mm']]]/1000),"")</f>
        <v>123.65591397849462</v>
      </c>
      <c r="CA42" s="80" t="str">
        <f>IFERROR((TOWER_DATA[[#This Row],[D, bottom '[m']]]+#REF!)/(2*#REF!/1000),"")</f>
        <v/>
      </c>
      <c r="CB42" s="83"/>
      <c r="CC42" s="83"/>
      <c r="CD42" s="83"/>
      <c r="CF42" s="78">
        <v>18</v>
      </c>
      <c r="CG42" s="78">
        <v>-51.7</v>
      </c>
      <c r="CH42" s="78">
        <v>-55.3</v>
      </c>
      <c r="CI42" s="78">
        <v>11.5</v>
      </c>
      <c r="CJ42" s="78">
        <v>11.5</v>
      </c>
      <c r="CK42" s="78">
        <v>93</v>
      </c>
      <c r="DE42" s="80"/>
      <c r="DF42" s="80"/>
      <c r="DG42" s="106"/>
      <c r="DH42" s="106"/>
      <c r="DI42" s="106"/>
      <c r="DJ42" s="106"/>
      <c r="DK42" s="106"/>
      <c r="DL42" s="106"/>
      <c r="DM42" s="106"/>
    </row>
    <row r="43" spans="2:117" x14ac:dyDescent="0.25">
      <c r="B43">
        <v>19</v>
      </c>
      <c r="C43" s="91">
        <v>-55.3</v>
      </c>
      <c r="D43" s="91">
        <v>-59.3</v>
      </c>
      <c r="E43">
        <v>11.5</v>
      </c>
      <c r="F43">
        <v>11.5</v>
      </c>
      <c r="G43">
        <v>93</v>
      </c>
      <c r="H43" s="80">
        <f>IFERROR(MP_DATA[[#This Row],[Bottom '[m']]]-MP_DATA[[#This Row],[D, top '[m']]], "")</f>
        <v>-70.8</v>
      </c>
      <c r="I43" s="80">
        <f>IFERROR(-(MP_DATA[[#This Row],[D, bottom '[m']]]-MP_DATA[[#This Row],[D, top '[m']]])/(MP_DATA[[#This Row],[Bottom '[m']]]-MP_DATA[[#This Row],[Top '[m']]]),"")</f>
        <v>0</v>
      </c>
      <c r="J43" s="80">
        <f t="shared" si="0"/>
        <v>104.64871763601624</v>
      </c>
      <c r="K43" s="80">
        <f>IFERROR((MP_DATA[[#This Row],[D, bottom '[m']]]+MP_DATA[[#This Row],[D, top '[m']]])/(2*MP_DATA[[#This Row],[t '[mm']]]/1000),"")</f>
        <v>123.65591397849462</v>
      </c>
      <c r="L43" s="80" t="str">
        <f>IFERROR((MP_DATA[[#This Row],[D, bottom '[m']]]+#REF!)/(2*#REF!/1000),"")</f>
        <v/>
      </c>
      <c r="P43" s="78">
        <v>19</v>
      </c>
      <c r="Q43" s="81">
        <v>-55.3</v>
      </c>
      <c r="R43" s="81">
        <v>-59.3</v>
      </c>
      <c r="S43" s="78">
        <v>11.5</v>
      </c>
      <c r="T43" s="78">
        <v>11.5</v>
      </c>
      <c r="U43" s="78">
        <v>93</v>
      </c>
      <c r="AO43" s="80" t="str">
        <f>IFERROR(TP_DATA[[#This Row],[Bottom '[m']]]-TP_DATA[[#This Row],[D, top '[m']]], "")</f>
        <v/>
      </c>
      <c r="AP43" s="80" t="str">
        <f>IFERROR(-(TP_DATA[[#This Row],[D, bottom '[m']]]-TP_DATA[[#This Row],[D, top '[m']]])/(TP_DATA[[#This Row],[Bottom '[m']]]-TP_DATA[[#This Row],[Top '[m']]]),"")</f>
        <v/>
      </c>
      <c r="AQ43" s="80" t="str">
        <f t="shared" si="1"/>
        <v/>
      </c>
      <c r="AR43" s="80" t="str">
        <f>IFERROR((TP_DATA[[#This Row],[D, bottom '[m']]]+TP_DATA[[#This Row],[D, top '[m']]])/(2*TP_DATA[[#This Row],[t '[mm']]]/1000),"")</f>
        <v/>
      </c>
      <c r="AS43" s="80" t="str">
        <f>IFERROR((TP_DATA[[#This Row],[D, bottom '[m']]]+#REF!)/(2*#REF!/1000),"")</f>
        <v/>
      </c>
      <c r="AX43" s="78"/>
      <c r="AY43" s="78"/>
      <c r="AZ43" s="78"/>
      <c r="BA43" s="78"/>
      <c r="BB43" s="78"/>
      <c r="BC43" s="78"/>
      <c r="BQ43" s="107">
        <v>19</v>
      </c>
      <c r="BR43" s="106">
        <v>-55.3</v>
      </c>
      <c r="BS43" s="106">
        <v>-59.3</v>
      </c>
      <c r="BT43" s="106">
        <v>11.5</v>
      </c>
      <c r="BU43" s="106">
        <v>11.5</v>
      </c>
      <c r="BV43" s="106">
        <v>93</v>
      </c>
      <c r="BW43" s="80">
        <f>IFERROR(TOWER_DATA[[#This Row],[Bottom '[m']]]-TOWER_DATA[[#This Row],[D, top '[m']]], "")</f>
        <v>-70.8</v>
      </c>
      <c r="BX43" s="80">
        <f>IFERROR(-(TOWER_DATA[[#This Row],[D, bottom '[m']]]-TOWER_DATA[[#This Row],[D, top '[m']]])/(TOWER_DATA[[#This Row],[Bottom '[m']]]-TOWER_DATA[[#This Row],[Top '[m']]]),"")</f>
        <v>0</v>
      </c>
      <c r="BY43" s="80">
        <f t="shared" si="2"/>
        <v>104.64871763601624</v>
      </c>
      <c r="BZ43" s="80">
        <f>IFERROR((TOWER_DATA[[#This Row],[D, bottom '[m']]]+TOWER_DATA[[#This Row],[D, top '[m']]])/(2*TOWER_DATA[[#This Row],[t '[mm']]]/1000),"")</f>
        <v>123.65591397849462</v>
      </c>
      <c r="CA43" s="80" t="str">
        <f>IFERROR((TOWER_DATA[[#This Row],[D, bottom '[m']]]+#REF!)/(2*#REF!/1000),"")</f>
        <v/>
      </c>
      <c r="CB43" s="83"/>
      <c r="CC43" s="83"/>
      <c r="CD43" s="83"/>
      <c r="CF43" s="78">
        <v>19</v>
      </c>
      <c r="CG43" s="78">
        <v>-55.3</v>
      </c>
      <c r="CH43" s="78">
        <v>-59.3</v>
      </c>
      <c r="CI43" s="78">
        <v>11.5</v>
      </c>
      <c r="CJ43" s="78">
        <v>11.5</v>
      </c>
      <c r="CK43" s="78">
        <v>93</v>
      </c>
      <c r="DE43" s="80"/>
      <c r="DF43" s="80"/>
      <c r="DG43" s="106"/>
      <c r="DH43" s="106"/>
      <c r="DI43" s="106"/>
      <c r="DJ43" s="106"/>
      <c r="DK43" s="106"/>
      <c r="DL43" s="106"/>
      <c r="DM43" s="106"/>
    </row>
    <row r="44" spans="2:117" x14ac:dyDescent="0.25">
      <c r="B44">
        <v>20</v>
      </c>
      <c r="C44" s="91">
        <v>-59.3</v>
      </c>
      <c r="D44" s="91">
        <v>-63.3</v>
      </c>
      <c r="E44">
        <v>11.5</v>
      </c>
      <c r="F44">
        <v>11.5</v>
      </c>
      <c r="G44">
        <v>93</v>
      </c>
      <c r="H44" s="80">
        <f>IFERROR(MP_DATA[[#This Row],[Bottom '[m']]]-MP_DATA[[#This Row],[D, top '[m']]], "")</f>
        <v>-74.8</v>
      </c>
      <c r="I44" s="80">
        <f>IFERROR(-(MP_DATA[[#This Row],[D, bottom '[m']]]-MP_DATA[[#This Row],[D, top '[m']]])/(MP_DATA[[#This Row],[Bottom '[m']]]-MP_DATA[[#This Row],[Top '[m']]]),"")</f>
        <v>0</v>
      </c>
      <c r="J44" s="80">
        <f t="shared" si="0"/>
        <v>104.64871763601624</v>
      </c>
      <c r="K44" s="80">
        <f>IFERROR((MP_DATA[[#This Row],[D, bottom '[m']]]+MP_DATA[[#This Row],[D, top '[m']]])/(2*MP_DATA[[#This Row],[t '[mm']]]/1000),"")</f>
        <v>123.65591397849462</v>
      </c>
      <c r="L44" s="80" t="str">
        <f>IFERROR((MP_DATA[[#This Row],[D, bottom '[m']]]+#REF!)/(2*#REF!/1000),"")</f>
        <v/>
      </c>
      <c r="P44" s="78">
        <v>20</v>
      </c>
      <c r="Q44" s="81">
        <v>-59.3</v>
      </c>
      <c r="R44" s="81">
        <v>-63.3</v>
      </c>
      <c r="S44" s="78">
        <v>11.5</v>
      </c>
      <c r="T44" s="78">
        <v>11.5</v>
      </c>
      <c r="U44" s="78">
        <v>93</v>
      </c>
      <c r="AO44" s="80" t="str">
        <f>IFERROR(TP_DATA[[#This Row],[Bottom '[m']]]-TP_DATA[[#This Row],[D, top '[m']]], "")</f>
        <v/>
      </c>
      <c r="AP44" s="80" t="str">
        <f>IFERROR(-(TP_DATA[[#This Row],[D, bottom '[m']]]-TP_DATA[[#This Row],[D, top '[m']]])/(TP_DATA[[#This Row],[Bottom '[m']]]-TP_DATA[[#This Row],[Top '[m']]]),"")</f>
        <v/>
      </c>
      <c r="AQ44" s="80" t="str">
        <f t="shared" si="1"/>
        <v/>
      </c>
      <c r="AR44" s="80" t="str">
        <f>IFERROR((TP_DATA[[#This Row],[D, bottom '[m']]]+TP_DATA[[#This Row],[D, top '[m']]])/(2*TP_DATA[[#This Row],[t '[mm']]]/1000),"")</f>
        <v/>
      </c>
      <c r="AS44" s="80" t="str">
        <f>IFERROR((TP_DATA[[#This Row],[D, bottom '[m']]]+#REF!)/(2*#REF!/1000),"")</f>
        <v/>
      </c>
      <c r="AX44" s="78"/>
      <c r="AY44" s="78"/>
      <c r="AZ44" s="78"/>
      <c r="BA44" s="78"/>
      <c r="BB44" s="78"/>
      <c r="BC44" s="78"/>
      <c r="BQ44" s="107">
        <v>20</v>
      </c>
      <c r="BR44" s="106">
        <v>-59.3</v>
      </c>
      <c r="BS44" s="106">
        <v>-63.3</v>
      </c>
      <c r="BT44" s="106">
        <v>11.5</v>
      </c>
      <c r="BU44" s="106">
        <v>11.5</v>
      </c>
      <c r="BV44" s="106">
        <v>93</v>
      </c>
      <c r="BW44" s="80">
        <f>IFERROR(TOWER_DATA[[#This Row],[Bottom '[m']]]-TOWER_DATA[[#This Row],[D, top '[m']]], "")</f>
        <v>-74.8</v>
      </c>
      <c r="BX44" s="80">
        <f>IFERROR(-(TOWER_DATA[[#This Row],[D, bottom '[m']]]-TOWER_DATA[[#This Row],[D, top '[m']]])/(TOWER_DATA[[#This Row],[Bottom '[m']]]-TOWER_DATA[[#This Row],[Top '[m']]]),"")</f>
        <v>0</v>
      </c>
      <c r="BY44" s="80">
        <f t="shared" si="2"/>
        <v>104.64871763601624</v>
      </c>
      <c r="BZ44" s="80">
        <f>IFERROR((TOWER_DATA[[#This Row],[D, bottom '[m']]]+TOWER_DATA[[#This Row],[D, top '[m']]])/(2*TOWER_DATA[[#This Row],[t '[mm']]]/1000),"")</f>
        <v>123.65591397849462</v>
      </c>
      <c r="CA44" s="80" t="str">
        <f>IFERROR((TOWER_DATA[[#This Row],[D, bottom '[m']]]+#REF!)/(2*#REF!/1000),"")</f>
        <v/>
      </c>
      <c r="CB44" s="83"/>
      <c r="CC44" s="83"/>
      <c r="CD44" s="83"/>
      <c r="CF44" s="78">
        <v>20</v>
      </c>
      <c r="CG44" s="78">
        <v>-59.3</v>
      </c>
      <c r="CH44" s="78">
        <v>-63.3</v>
      </c>
      <c r="CI44" s="78">
        <v>11.5</v>
      </c>
      <c r="CJ44" s="78">
        <v>11.5</v>
      </c>
      <c r="CK44" s="78">
        <v>93</v>
      </c>
      <c r="DE44" s="80"/>
      <c r="DF44" s="80"/>
      <c r="DG44" s="106"/>
      <c r="DH44" s="106"/>
      <c r="DI44" s="106"/>
      <c r="DJ44" s="106"/>
      <c r="DK44" s="106"/>
      <c r="DL44" s="106"/>
      <c r="DM44" s="106"/>
    </row>
    <row r="45" spans="2:117" x14ac:dyDescent="0.25">
      <c r="B45">
        <v>21</v>
      </c>
      <c r="C45" s="91">
        <v>-63.3</v>
      </c>
      <c r="D45" s="91">
        <v>-67.3</v>
      </c>
      <c r="E45">
        <v>11.5</v>
      </c>
      <c r="F45">
        <v>11.5</v>
      </c>
      <c r="G45">
        <v>93</v>
      </c>
      <c r="H45" s="80">
        <f>IFERROR(MP_DATA[[#This Row],[Bottom '[m']]]-MP_DATA[[#This Row],[D, top '[m']]], "")</f>
        <v>-78.8</v>
      </c>
      <c r="I45" s="80">
        <f>IFERROR(-(MP_DATA[[#This Row],[D, bottom '[m']]]-MP_DATA[[#This Row],[D, top '[m']]])/(MP_DATA[[#This Row],[Bottom '[m']]]-MP_DATA[[#This Row],[Top '[m']]]),"")</f>
        <v>0</v>
      </c>
      <c r="J45" s="80">
        <f t="shared" si="0"/>
        <v>104.64871763601624</v>
      </c>
      <c r="K45" s="80">
        <f>IFERROR((MP_DATA[[#This Row],[D, bottom '[m']]]+MP_DATA[[#This Row],[D, top '[m']]])/(2*MP_DATA[[#This Row],[t '[mm']]]/1000),"")</f>
        <v>123.65591397849462</v>
      </c>
      <c r="L45" s="80" t="str">
        <f>IFERROR((MP_DATA[[#This Row],[D, bottom '[m']]]+#REF!)/(2*#REF!/1000),"")</f>
        <v/>
      </c>
      <c r="P45" s="78">
        <v>21</v>
      </c>
      <c r="Q45" s="81">
        <v>-63.3</v>
      </c>
      <c r="R45" s="81">
        <v>-67.3</v>
      </c>
      <c r="S45" s="78">
        <v>11.5</v>
      </c>
      <c r="T45" s="78">
        <v>11.5</v>
      </c>
      <c r="U45" s="78">
        <v>93</v>
      </c>
      <c r="AO45" s="80" t="str">
        <f>IFERROR(TP_DATA[[#This Row],[Bottom '[m']]]-TP_DATA[[#This Row],[D, top '[m']]], "")</f>
        <v/>
      </c>
      <c r="AP45" s="80" t="str">
        <f>IFERROR(-(TP_DATA[[#This Row],[D, bottom '[m']]]-TP_DATA[[#This Row],[D, top '[m']]])/(TP_DATA[[#This Row],[Bottom '[m']]]-TP_DATA[[#This Row],[Top '[m']]]),"")</f>
        <v/>
      </c>
      <c r="AQ45" s="80" t="str">
        <f t="shared" si="1"/>
        <v/>
      </c>
      <c r="AR45" s="80" t="str">
        <f>IFERROR((TP_DATA[[#This Row],[D, bottom '[m']]]+TP_DATA[[#This Row],[D, top '[m']]])/(2*TP_DATA[[#This Row],[t '[mm']]]/1000),"")</f>
        <v/>
      </c>
      <c r="AS45" s="80" t="str">
        <f>IFERROR((TP_DATA[[#This Row],[D, bottom '[m']]]+#REF!)/(2*#REF!/1000),"")</f>
        <v/>
      </c>
      <c r="AX45" s="78"/>
      <c r="AY45" s="78"/>
      <c r="AZ45" s="78"/>
      <c r="BA45" s="78"/>
      <c r="BB45" s="78"/>
      <c r="BC45" s="78"/>
      <c r="BQ45" s="107">
        <v>21</v>
      </c>
      <c r="BR45" s="106">
        <v>-63.3</v>
      </c>
      <c r="BS45" s="106">
        <v>-67.3</v>
      </c>
      <c r="BT45" s="106">
        <v>11.5</v>
      </c>
      <c r="BU45" s="106">
        <v>11.5</v>
      </c>
      <c r="BV45" s="106">
        <v>93</v>
      </c>
      <c r="BW45" s="80">
        <f>IFERROR(TOWER_DATA[[#This Row],[Bottom '[m']]]-TOWER_DATA[[#This Row],[D, top '[m']]], "")</f>
        <v>-78.8</v>
      </c>
      <c r="BX45" s="80">
        <f>IFERROR(-(TOWER_DATA[[#This Row],[D, bottom '[m']]]-TOWER_DATA[[#This Row],[D, top '[m']]])/(TOWER_DATA[[#This Row],[Bottom '[m']]]-TOWER_DATA[[#This Row],[Top '[m']]]),"")</f>
        <v>0</v>
      </c>
      <c r="BY45" s="80">
        <f t="shared" si="2"/>
        <v>104.64871763601624</v>
      </c>
      <c r="BZ45" s="80">
        <f>IFERROR((TOWER_DATA[[#This Row],[D, bottom '[m']]]+TOWER_DATA[[#This Row],[D, top '[m']]])/(2*TOWER_DATA[[#This Row],[t '[mm']]]/1000),"")</f>
        <v>123.65591397849462</v>
      </c>
      <c r="CA45" s="80" t="str">
        <f>IFERROR((TOWER_DATA[[#This Row],[D, bottom '[m']]]+#REF!)/(2*#REF!/1000),"")</f>
        <v/>
      </c>
      <c r="CB45" s="83"/>
      <c r="CC45" s="83"/>
      <c r="CD45" s="83"/>
      <c r="CF45" s="78">
        <v>21</v>
      </c>
      <c r="CG45" s="78">
        <v>-63.3</v>
      </c>
      <c r="CH45" s="78">
        <v>-67.3</v>
      </c>
      <c r="CI45" s="78">
        <v>11.5</v>
      </c>
      <c r="CJ45" s="78">
        <v>11.5</v>
      </c>
      <c r="CK45" s="78">
        <v>93</v>
      </c>
      <c r="DE45" s="80"/>
      <c r="DF45" s="80"/>
      <c r="DG45" s="106"/>
      <c r="DH45" s="106"/>
      <c r="DI45" s="106"/>
      <c r="DJ45" s="106"/>
      <c r="DK45" s="106"/>
      <c r="DL45" s="106"/>
      <c r="DM45" s="106"/>
    </row>
    <row r="46" spans="2:117" x14ac:dyDescent="0.25">
      <c r="B46">
        <v>22</v>
      </c>
      <c r="C46" s="91">
        <v>-67.3</v>
      </c>
      <c r="D46" s="91">
        <v>-71</v>
      </c>
      <c r="E46">
        <v>11.5</v>
      </c>
      <c r="F46">
        <v>11.5</v>
      </c>
      <c r="G46">
        <v>96</v>
      </c>
      <c r="H46" s="80">
        <f>IFERROR(MP_DATA[[#This Row],[Bottom '[m']]]-MP_DATA[[#This Row],[D, top '[m']]], "")</f>
        <v>-82.5</v>
      </c>
      <c r="I46" s="80">
        <f>IFERROR(-(MP_DATA[[#This Row],[D, bottom '[m']]]-MP_DATA[[#This Row],[D, top '[m']]])/(MP_DATA[[#This Row],[Bottom '[m']]]-MP_DATA[[#This Row],[Top '[m']]]),"")</f>
        <v>0</v>
      </c>
      <c r="J46" s="80">
        <f t="shared" si="0"/>
        <v>99.896367220087171</v>
      </c>
      <c r="K46" s="80">
        <f>IFERROR((MP_DATA[[#This Row],[D, bottom '[m']]]+MP_DATA[[#This Row],[D, top '[m']]])/(2*MP_DATA[[#This Row],[t '[mm']]]/1000),"")</f>
        <v>119.79166666666666</v>
      </c>
      <c r="L46" s="80" t="str">
        <f>IFERROR((MP_DATA[[#This Row],[D, bottom '[m']]]+#REF!)/(2*#REF!/1000),"")</f>
        <v/>
      </c>
      <c r="P46" s="78">
        <v>22</v>
      </c>
      <c r="Q46" s="81">
        <v>-67.3</v>
      </c>
      <c r="R46" s="81">
        <v>-71</v>
      </c>
      <c r="S46" s="78">
        <v>11.5</v>
      </c>
      <c r="T46" s="78">
        <v>11.5</v>
      </c>
      <c r="U46" s="78">
        <v>96</v>
      </c>
      <c r="AO46" s="80" t="str">
        <f>IFERROR(TP_DATA[[#This Row],[Bottom '[m']]]-TP_DATA[[#This Row],[D, top '[m']]], "")</f>
        <v/>
      </c>
      <c r="AP46" s="80" t="str">
        <f>IFERROR(-(TP_DATA[[#This Row],[D, bottom '[m']]]-TP_DATA[[#This Row],[D, top '[m']]])/(TP_DATA[[#This Row],[Bottom '[m']]]-TP_DATA[[#This Row],[Top '[m']]]),"")</f>
        <v/>
      </c>
      <c r="AQ46" s="80" t="str">
        <f t="shared" si="1"/>
        <v/>
      </c>
      <c r="AR46" s="80" t="str">
        <f>IFERROR((TP_DATA[[#This Row],[D, bottom '[m']]]+TP_DATA[[#This Row],[D, top '[m']]])/(2*TP_DATA[[#This Row],[t '[mm']]]/1000),"")</f>
        <v/>
      </c>
      <c r="AS46" s="80" t="str">
        <f>IFERROR((TP_DATA[[#This Row],[D, bottom '[m']]]+#REF!)/(2*#REF!/1000),"")</f>
        <v/>
      </c>
      <c r="AX46" s="78"/>
      <c r="AY46" s="78"/>
      <c r="AZ46" s="78"/>
      <c r="BA46" s="78"/>
      <c r="BB46" s="78"/>
      <c r="BC46" s="78"/>
      <c r="BQ46" s="107">
        <v>22</v>
      </c>
      <c r="BR46" s="106">
        <v>-67.3</v>
      </c>
      <c r="BS46" s="106">
        <v>-71</v>
      </c>
      <c r="BT46" s="106">
        <v>11.5</v>
      </c>
      <c r="BU46" s="106">
        <v>11.5</v>
      </c>
      <c r="BV46" s="106">
        <v>96</v>
      </c>
      <c r="BW46" s="80">
        <f>IFERROR(TOWER_DATA[[#This Row],[Bottom '[m']]]-TOWER_DATA[[#This Row],[D, top '[m']]], "")</f>
        <v>-82.5</v>
      </c>
      <c r="BX46" s="80">
        <f>IFERROR(-(TOWER_DATA[[#This Row],[D, bottom '[m']]]-TOWER_DATA[[#This Row],[D, top '[m']]])/(TOWER_DATA[[#This Row],[Bottom '[m']]]-TOWER_DATA[[#This Row],[Top '[m']]]),"")</f>
        <v>0</v>
      </c>
      <c r="BY46" s="80">
        <f t="shared" si="2"/>
        <v>99.896367220087171</v>
      </c>
      <c r="BZ46" s="80">
        <f>IFERROR((TOWER_DATA[[#This Row],[D, bottom '[m']]]+TOWER_DATA[[#This Row],[D, top '[m']]])/(2*TOWER_DATA[[#This Row],[t '[mm']]]/1000),"")</f>
        <v>119.79166666666666</v>
      </c>
      <c r="CA46" s="80" t="str">
        <f>IFERROR((TOWER_DATA[[#This Row],[D, bottom '[m']]]+#REF!)/(2*#REF!/1000),"")</f>
        <v/>
      </c>
      <c r="CB46" s="83"/>
      <c r="CC46" s="83"/>
      <c r="CD46" s="83"/>
      <c r="CF46" s="78">
        <v>22</v>
      </c>
      <c r="CG46" s="78">
        <v>-67.3</v>
      </c>
      <c r="CH46" s="78">
        <v>-71</v>
      </c>
      <c r="CI46" s="78">
        <v>11.5</v>
      </c>
      <c r="CJ46" s="78">
        <v>11.5</v>
      </c>
      <c r="CK46" s="78">
        <v>96</v>
      </c>
      <c r="DE46" s="80"/>
      <c r="DF46" s="80"/>
      <c r="DG46" s="106"/>
      <c r="DH46" s="106"/>
      <c r="DI46" s="106"/>
      <c r="DJ46" s="106"/>
      <c r="DK46" s="106"/>
      <c r="DL46" s="106"/>
      <c r="DM46" s="106"/>
    </row>
    <row r="47" spans="2:117" x14ac:dyDescent="0.25">
      <c r="B47">
        <v>23</v>
      </c>
      <c r="C47" s="91">
        <v>-71</v>
      </c>
      <c r="D47" s="91">
        <v>-74.3</v>
      </c>
      <c r="E47">
        <v>11.5</v>
      </c>
      <c r="F47">
        <v>11.5</v>
      </c>
      <c r="G47">
        <v>96</v>
      </c>
      <c r="H47" s="80">
        <f>IFERROR(MP_DATA[[#This Row],[Bottom '[m']]]-MP_DATA[[#This Row],[D, top '[m']]], "")</f>
        <v>-85.8</v>
      </c>
      <c r="I47" s="80">
        <f>IFERROR(-(MP_DATA[[#This Row],[D, bottom '[m']]]-MP_DATA[[#This Row],[D, top '[m']]])/(MP_DATA[[#This Row],[Bottom '[m']]]-MP_DATA[[#This Row],[Top '[m']]]),"")</f>
        <v>0</v>
      </c>
      <c r="J47" s="80">
        <f t="shared" si="0"/>
        <v>89.096759953050565</v>
      </c>
      <c r="K47" s="80">
        <f>IFERROR((MP_DATA[[#This Row],[D, bottom '[m']]]+MP_DATA[[#This Row],[D, top '[m']]])/(2*MP_DATA[[#This Row],[t '[mm']]]/1000),"")</f>
        <v>119.79166666666666</v>
      </c>
      <c r="L47" s="80" t="str">
        <f>IFERROR((MP_DATA[[#This Row],[D, bottom '[m']]]+#REF!)/(2*#REF!/1000),"")</f>
        <v/>
      </c>
      <c r="P47" s="78">
        <v>23</v>
      </c>
      <c r="Q47" s="81">
        <v>-71</v>
      </c>
      <c r="R47" s="81">
        <v>-74.3</v>
      </c>
      <c r="S47" s="78">
        <v>11.5</v>
      </c>
      <c r="T47" s="78">
        <v>11.5</v>
      </c>
      <c r="U47" s="78">
        <v>96</v>
      </c>
      <c r="AO47" s="80" t="str">
        <f>IFERROR(TP_DATA[[#This Row],[Bottom '[m']]]-TP_DATA[[#This Row],[D, top '[m']]], "")</f>
        <v/>
      </c>
      <c r="AP47" s="80" t="str">
        <f>IFERROR(-(TP_DATA[[#This Row],[D, bottom '[m']]]-TP_DATA[[#This Row],[D, top '[m']]])/(TP_DATA[[#This Row],[Bottom '[m']]]-TP_DATA[[#This Row],[Top '[m']]]),"")</f>
        <v/>
      </c>
      <c r="AQ47" s="80" t="str">
        <f t="shared" si="1"/>
        <v/>
      </c>
      <c r="AR47" s="80" t="str">
        <f>IFERROR((TP_DATA[[#This Row],[D, bottom '[m']]]+TP_DATA[[#This Row],[D, top '[m']]])/(2*TP_DATA[[#This Row],[t '[mm']]]/1000),"")</f>
        <v/>
      </c>
      <c r="AS47" s="80" t="str">
        <f>IFERROR((TP_DATA[[#This Row],[D, bottom '[m']]]+#REF!)/(2*#REF!/1000),"")</f>
        <v/>
      </c>
      <c r="AX47" s="78"/>
      <c r="AY47" s="78"/>
      <c r="AZ47" s="78"/>
      <c r="BA47" s="78"/>
      <c r="BB47" s="78"/>
      <c r="BC47" s="78"/>
      <c r="BQ47" s="107">
        <v>23</v>
      </c>
      <c r="BR47" s="106">
        <v>-71</v>
      </c>
      <c r="BS47" s="106">
        <v>-74.3</v>
      </c>
      <c r="BT47" s="106">
        <v>11.5</v>
      </c>
      <c r="BU47" s="106">
        <v>11.5</v>
      </c>
      <c r="BV47" s="106">
        <v>96</v>
      </c>
      <c r="BW47" s="80">
        <f>IFERROR(TOWER_DATA[[#This Row],[Bottom '[m']]]-TOWER_DATA[[#This Row],[D, top '[m']]], "")</f>
        <v>-85.8</v>
      </c>
      <c r="BX47" s="80">
        <f>IFERROR(-(TOWER_DATA[[#This Row],[D, bottom '[m']]]-TOWER_DATA[[#This Row],[D, top '[m']]])/(TOWER_DATA[[#This Row],[Bottom '[m']]]-TOWER_DATA[[#This Row],[Top '[m']]]),"")</f>
        <v>0</v>
      </c>
      <c r="BY47" s="80">
        <f t="shared" si="2"/>
        <v>89.096759953050565</v>
      </c>
      <c r="BZ47" s="80">
        <f>IFERROR((TOWER_DATA[[#This Row],[D, bottom '[m']]]+TOWER_DATA[[#This Row],[D, top '[m']]])/(2*TOWER_DATA[[#This Row],[t '[mm']]]/1000),"")</f>
        <v>119.79166666666666</v>
      </c>
      <c r="CA47" s="80" t="str">
        <f>IFERROR((TOWER_DATA[[#This Row],[D, bottom '[m']]]+#REF!)/(2*#REF!/1000),"")</f>
        <v/>
      </c>
      <c r="CB47" s="83"/>
      <c r="CC47" s="83"/>
      <c r="CD47" s="83"/>
      <c r="CF47" s="78">
        <v>23</v>
      </c>
      <c r="CG47" s="78">
        <v>-71</v>
      </c>
      <c r="CH47" s="78">
        <v>-74.3</v>
      </c>
      <c r="CI47" s="78">
        <v>11.5</v>
      </c>
      <c r="CJ47" s="78">
        <v>11.5</v>
      </c>
      <c r="CK47" s="78">
        <v>96</v>
      </c>
      <c r="DE47" s="80"/>
      <c r="DF47" s="80"/>
      <c r="DG47" s="106"/>
      <c r="DH47" s="106"/>
      <c r="DI47" s="106"/>
      <c r="DJ47" s="106"/>
      <c r="DK47" s="106"/>
      <c r="DL47" s="106"/>
      <c r="DM47" s="106"/>
    </row>
    <row r="48" spans="2:117" x14ac:dyDescent="0.25">
      <c r="B48">
        <v>24</v>
      </c>
      <c r="C48" s="91">
        <v>-74.3</v>
      </c>
      <c r="D48" s="91">
        <v>-77.44</v>
      </c>
      <c r="E48">
        <v>11.5</v>
      </c>
      <c r="F48">
        <v>11.5</v>
      </c>
      <c r="G48">
        <v>100</v>
      </c>
      <c r="H48" s="80">
        <f>IFERROR(MP_DATA[[#This Row],[Bottom '[m']]]-MP_DATA[[#This Row],[D, top '[m']]], "")</f>
        <v>-88.94</v>
      </c>
      <c r="I48" s="80">
        <f>IFERROR(-(MP_DATA[[#This Row],[D, bottom '[m']]]-MP_DATA[[#This Row],[D, top '[m']]])/(MP_DATA[[#This Row],[Bottom '[m']]]-MP_DATA[[#This Row],[Top '[m']]]),"")</f>
        <v>0</v>
      </c>
      <c r="J48" s="80">
        <f t="shared" si="0"/>
        <v>88.278313742901631</v>
      </c>
      <c r="K48" s="80">
        <f>IFERROR((MP_DATA[[#This Row],[D, bottom '[m']]]+MP_DATA[[#This Row],[D, top '[m']]])/(2*MP_DATA[[#This Row],[t '[mm']]]/1000),"")</f>
        <v>115</v>
      </c>
      <c r="L48" s="80" t="str">
        <f>IFERROR((MP_DATA[[#This Row],[D, bottom '[m']]]+#REF!)/(2*#REF!/1000),"")</f>
        <v/>
      </c>
      <c r="P48" s="78">
        <v>24</v>
      </c>
      <c r="Q48" s="81">
        <v>-74.3</v>
      </c>
      <c r="R48" s="81">
        <v>-77.44</v>
      </c>
      <c r="S48" s="78">
        <v>11.5</v>
      </c>
      <c r="T48" s="78">
        <v>11.5</v>
      </c>
      <c r="U48" s="78">
        <v>100</v>
      </c>
      <c r="AO48" s="80" t="str">
        <f>IFERROR(TP_DATA[[#This Row],[Bottom '[m']]]-TP_DATA[[#This Row],[D, top '[m']]], "")</f>
        <v/>
      </c>
      <c r="AP48" s="80" t="str">
        <f>IFERROR(-(TP_DATA[[#This Row],[D, bottom '[m']]]-TP_DATA[[#This Row],[D, top '[m']]])/(TP_DATA[[#This Row],[Bottom '[m']]]-TP_DATA[[#This Row],[Top '[m']]]),"")</f>
        <v/>
      </c>
      <c r="AQ48" s="80" t="str">
        <f t="shared" si="1"/>
        <v/>
      </c>
      <c r="AR48" s="80" t="str">
        <f>IFERROR((TP_DATA[[#This Row],[D, bottom '[m']]]+TP_DATA[[#This Row],[D, top '[m']]])/(2*TP_DATA[[#This Row],[t '[mm']]]/1000),"")</f>
        <v/>
      </c>
      <c r="AS48" s="80" t="str">
        <f>IFERROR((TP_DATA[[#This Row],[D, bottom '[m']]]+#REF!)/(2*#REF!/1000),"")</f>
        <v/>
      </c>
      <c r="AX48" s="78"/>
      <c r="AY48" s="78"/>
      <c r="AZ48" s="78"/>
      <c r="BA48" s="78"/>
      <c r="BB48" s="78"/>
      <c r="BC48" s="78"/>
      <c r="BQ48" s="107">
        <v>24</v>
      </c>
      <c r="BR48" s="106">
        <v>-74.3</v>
      </c>
      <c r="BS48" s="106">
        <v>-77.44</v>
      </c>
      <c r="BT48" s="106">
        <v>11.5</v>
      </c>
      <c r="BU48" s="106">
        <v>11.5</v>
      </c>
      <c r="BV48" s="106">
        <v>100</v>
      </c>
      <c r="BW48" s="80">
        <f>IFERROR(TOWER_DATA[[#This Row],[Bottom '[m']]]-TOWER_DATA[[#This Row],[D, top '[m']]], "")</f>
        <v>-88.94</v>
      </c>
      <c r="BX48" s="80">
        <f>IFERROR(-(TOWER_DATA[[#This Row],[D, bottom '[m']]]-TOWER_DATA[[#This Row],[D, top '[m']]])/(TOWER_DATA[[#This Row],[Bottom '[m']]]-TOWER_DATA[[#This Row],[Top '[m']]]),"")</f>
        <v>0</v>
      </c>
      <c r="BY48" s="80">
        <f t="shared" si="2"/>
        <v>88.278313742901631</v>
      </c>
      <c r="BZ48" s="80">
        <f>IFERROR((TOWER_DATA[[#This Row],[D, bottom '[m']]]+TOWER_DATA[[#This Row],[D, top '[m']]])/(2*TOWER_DATA[[#This Row],[t '[mm']]]/1000),"")</f>
        <v>115</v>
      </c>
      <c r="CA48" s="80" t="str">
        <f>IFERROR((TOWER_DATA[[#This Row],[D, bottom '[m']]]+#REF!)/(2*#REF!/1000),"")</f>
        <v/>
      </c>
      <c r="CB48" s="83"/>
      <c r="CC48" s="83"/>
      <c r="CD48" s="83"/>
      <c r="CF48" s="78">
        <v>24</v>
      </c>
      <c r="CG48" s="78">
        <v>-74.3</v>
      </c>
      <c r="CH48" s="78">
        <v>-77.44</v>
      </c>
      <c r="CI48" s="78">
        <v>11.5</v>
      </c>
      <c r="CJ48" s="78">
        <v>11.5</v>
      </c>
      <c r="CK48" s="78">
        <v>100</v>
      </c>
      <c r="DE48" s="80"/>
      <c r="DF48" s="80"/>
      <c r="DG48" s="106"/>
      <c r="DH48" s="106"/>
      <c r="DI48" s="106"/>
      <c r="DJ48" s="106"/>
      <c r="DK48" s="106"/>
      <c r="DL48" s="106"/>
      <c r="DM48" s="106"/>
    </row>
    <row r="49" spans="2:117" x14ac:dyDescent="0.25">
      <c r="B49">
        <v>25</v>
      </c>
      <c r="C49" s="91">
        <v>-77.44</v>
      </c>
      <c r="D49" s="91">
        <v>-80.44</v>
      </c>
      <c r="E49">
        <v>11.5</v>
      </c>
      <c r="F49">
        <v>11.5</v>
      </c>
      <c r="G49">
        <v>105</v>
      </c>
      <c r="H49" s="80">
        <f>IFERROR(MP_DATA[[#This Row],[Bottom '[m']]]-MP_DATA[[#This Row],[D, top '[m']]], "")</f>
        <v>-91.94</v>
      </c>
      <c r="I49" s="80">
        <f>IFERROR(-(MP_DATA[[#This Row],[D, bottom '[m']]]-MP_DATA[[#This Row],[D, top '[m']]])/(MP_DATA[[#This Row],[Bottom '[m']]]-MP_DATA[[#This Row],[Top '[m']]]),"")</f>
        <v>0</v>
      </c>
      <c r="J49" s="80">
        <f t="shared" si="0"/>
        <v>88.520613003301008</v>
      </c>
      <c r="K49" s="80">
        <f>IFERROR((MP_DATA[[#This Row],[D, bottom '[m']]]+MP_DATA[[#This Row],[D, top '[m']]])/(2*MP_DATA[[#This Row],[t '[mm']]]/1000),"")</f>
        <v>109.52380952380953</v>
      </c>
      <c r="L49" s="80" t="str">
        <f>IFERROR((MP_DATA[[#This Row],[D, bottom '[m']]]+#REF!)/(2*#REF!/1000),"")</f>
        <v/>
      </c>
      <c r="P49" s="78">
        <v>25</v>
      </c>
      <c r="Q49" s="81">
        <v>-77.44</v>
      </c>
      <c r="R49" s="81">
        <v>-80.44</v>
      </c>
      <c r="S49" s="78">
        <v>11.5</v>
      </c>
      <c r="T49" s="78">
        <v>11.5</v>
      </c>
      <c r="U49" s="78">
        <v>105</v>
      </c>
      <c r="AO49" s="80" t="str">
        <f>IFERROR(TP_DATA[[#This Row],[Bottom '[m']]]-TP_DATA[[#This Row],[D, top '[m']]], "")</f>
        <v/>
      </c>
      <c r="AP49" s="80" t="str">
        <f>IFERROR(-(TP_DATA[[#This Row],[D, bottom '[m']]]-TP_DATA[[#This Row],[D, top '[m']]])/(TP_DATA[[#This Row],[Bottom '[m']]]-TP_DATA[[#This Row],[Top '[m']]]),"")</f>
        <v/>
      </c>
      <c r="AQ49" s="80" t="str">
        <f t="shared" si="1"/>
        <v/>
      </c>
      <c r="AR49" s="80" t="str">
        <f>IFERROR((TP_DATA[[#This Row],[D, bottom '[m']]]+TP_DATA[[#This Row],[D, top '[m']]])/(2*TP_DATA[[#This Row],[t '[mm']]]/1000),"")</f>
        <v/>
      </c>
      <c r="AS49" s="80" t="str">
        <f>IFERROR((TP_DATA[[#This Row],[D, bottom '[m']]]+#REF!)/(2*#REF!/1000),"")</f>
        <v/>
      </c>
      <c r="AX49" s="78"/>
      <c r="AY49" s="78"/>
      <c r="AZ49" s="78"/>
      <c r="BA49" s="78"/>
      <c r="BB49" s="78"/>
      <c r="BC49" s="78"/>
      <c r="BQ49" s="107">
        <v>25</v>
      </c>
      <c r="BR49" s="106">
        <v>-77.44</v>
      </c>
      <c r="BS49" s="106">
        <v>-80.44</v>
      </c>
      <c r="BT49" s="106">
        <v>11.5</v>
      </c>
      <c r="BU49" s="106">
        <v>11.5</v>
      </c>
      <c r="BV49" s="106">
        <v>105</v>
      </c>
      <c r="BW49" s="80">
        <f>IFERROR(TOWER_DATA[[#This Row],[Bottom '[m']]]-TOWER_DATA[[#This Row],[D, top '[m']]], "")</f>
        <v>-91.94</v>
      </c>
      <c r="BX49" s="80">
        <f>IFERROR(-(TOWER_DATA[[#This Row],[D, bottom '[m']]]-TOWER_DATA[[#This Row],[D, top '[m']]])/(TOWER_DATA[[#This Row],[Bottom '[m']]]-TOWER_DATA[[#This Row],[Top '[m']]]),"")</f>
        <v>0</v>
      </c>
      <c r="BY49" s="80">
        <f t="shared" si="2"/>
        <v>88.520613003301008</v>
      </c>
      <c r="BZ49" s="80">
        <f>IFERROR((TOWER_DATA[[#This Row],[D, bottom '[m']]]+TOWER_DATA[[#This Row],[D, top '[m']]])/(2*TOWER_DATA[[#This Row],[t '[mm']]]/1000),"")</f>
        <v>109.52380952380953</v>
      </c>
      <c r="CA49" s="80" t="str">
        <f>IFERROR((TOWER_DATA[[#This Row],[D, bottom '[m']]]+#REF!)/(2*#REF!/1000),"")</f>
        <v/>
      </c>
      <c r="CB49" s="83"/>
      <c r="CC49" s="83"/>
      <c r="CD49" s="83"/>
      <c r="CF49" s="78">
        <v>25</v>
      </c>
      <c r="CG49" s="78">
        <v>-77.44</v>
      </c>
      <c r="CH49" s="78">
        <v>-80.44</v>
      </c>
      <c r="CI49" s="78">
        <v>11.5</v>
      </c>
      <c r="CJ49" s="78">
        <v>11.5</v>
      </c>
      <c r="CK49" s="78">
        <v>105</v>
      </c>
      <c r="DE49" s="80"/>
      <c r="DF49" s="80"/>
      <c r="DG49" s="106"/>
      <c r="DH49" s="106"/>
      <c r="DI49" s="106"/>
      <c r="DJ49" s="106"/>
      <c r="DK49" s="106"/>
      <c r="DL49" s="106"/>
      <c r="DM49" s="106"/>
    </row>
    <row r="50" spans="2:117" x14ac:dyDescent="0.25">
      <c r="H50" s="80" t="str">
        <f>IFERROR(MP_DATA[[#This Row],[Bottom '[m']]]-MP_DATA[[#This Row],[D, top '[m']]], "")</f>
        <v/>
      </c>
      <c r="I50" s="80" t="str">
        <f>IFERROR(-(MP_DATA[[#This Row],[D, bottom '[m']]]-MP_DATA[[#This Row],[D, top '[m']]])/(MP_DATA[[#This Row],[Bottom '[m']]]-MP_DATA[[#This Row],[Top '[m']]]),"")</f>
        <v/>
      </c>
      <c r="J50" s="80" t="str">
        <f t="shared" si="0"/>
        <v/>
      </c>
      <c r="K50" s="80" t="str">
        <f>IFERROR((MP_DATA[[#This Row],[D, bottom '[m']]]+MP_DATA[[#This Row],[D, top '[m']]])/(2*MP_DATA[[#This Row],[t '[mm']]]/1000),"")</f>
        <v/>
      </c>
      <c r="L50" s="80" t="str">
        <f>IFERROR((MP_DATA[[#This Row],[D, bottom '[m']]]+#REF!)/(2*#REF!/1000),"")</f>
        <v/>
      </c>
      <c r="AO50" s="80" t="str">
        <f>IFERROR(TP_DATA[[#This Row],[Bottom '[m']]]-TP_DATA[[#This Row],[D, top '[m']]], "")</f>
        <v/>
      </c>
      <c r="AP50" s="80" t="str">
        <f>IFERROR(-(TP_DATA[[#This Row],[D, bottom '[m']]]-TP_DATA[[#This Row],[D, top '[m']]])/(TP_DATA[[#This Row],[Bottom '[m']]]-TP_DATA[[#This Row],[Top '[m']]]),"")</f>
        <v/>
      </c>
      <c r="AQ50" s="80" t="str">
        <f t="shared" si="1"/>
        <v/>
      </c>
      <c r="AR50" s="80" t="str">
        <f>IFERROR((TP_DATA[[#This Row],[D, bottom '[m']]]+TP_DATA[[#This Row],[D, top '[m']]])/(2*TP_DATA[[#This Row],[t '[mm']]]/1000),"")</f>
        <v/>
      </c>
      <c r="AS50" s="80" t="str">
        <f>IFERROR((TP_DATA[[#This Row],[D, bottom '[m']]]+#REF!)/(2*#REF!/1000),"")</f>
        <v/>
      </c>
      <c r="BW50" s="80" t="str">
        <f>IFERROR(TOWER_DATA[[#This Row],[Bottom '[m']]]-TOWER_DATA[[#This Row],[D, top '[m']]], "")</f>
        <v/>
      </c>
      <c r="BX50" s="80" t="str">
        <f>IFERROR(-(TOWER_DATA[[#This Row],[D, bottom '[m']]]-TOWER_DATA[[#This Row],[D, top '[m']]])/(TOWER_DATA[[#This Row],[Bottom '[m']]]-TOWER_DATA[[#This Row],[Top '[m']]]),"")</f>
        <v/>
      </c>
      <c r="BY50" s="80" t="str">
        <f t="shared" si="2"/>
        <v/>
      </c>
      <c r="BZ50" s="80" t="str">
        <f>IFERROR((TOWER_DATA[[#This Row],[D, bottom '[m']]]+TOWER_DATA[[#This Row],[D, top '[m']]])/(2*TOWER_DATA[[#This Row],[t '[mm']]]/1000),"")</f>
        <v/>
      </c>
      <c r="CA50" s="80" t="str">
        <f>IFERROR((TOWER_DATA[[#This Row],[D, bottom '[m']]]+#REF!)/(2*#REF!/1000),"")</f>
        <v/>
      </c>
      <c r="CF50" s="78"/>
      <c r="CG50" s="78"/>
      <c r="CH50" s="78"/>
      <c r="CJ50" s="78"/>
      <c r="DE50" s="80"/>
      <c r="DF50" s="80"/>
      <c r="DG50" s="106"/>
      <c r="DH50" s="106"/>
      <c r="DI50" s="106"/>
      <c r="DJ50" s="106"/>
      <c r="DK50" s="106"/>
      <c r="DL50" s="106"/>
      <c r="DM50" s="106"/>
    </row>
    <row r="51" spans="2:117" x14ac:dyDescent="0.25">
      <c r="H51" s="80" t="str">
        <f>IFERROR(MP_DATA[[#This Row],[Bottom '[m']]]-MP_DATA[[#This Row],[D, top '[m']]], "")</f>
        <v/>
      </c>
      <c r="I51" s="80" t="str">
        <f>IFERROR(-(MP_DATA[[#This Row],[D, bottom '[m']]]-MP_DATA[[#This Row],[D, top '[m']]])/(MP_DATA[[#This Row],[Bottom '[m']]]-MP_DATA[[#This Row],[Top '[m']]]),"")</f>
        <v/>
      </c>
      <c r="J51" s="80" t="str">
        <f t="shared" si="0"/>
        <v/>
      </c>
      <c r="K51" s="80" t="str">
        <f>IFERROR((MP_DATA[[#This Row],[D, bottom '[m']]]+MP_DATA[[#This Row],[D, top '[m']]])/(2*MP_DATA[[#This Row],[t '[mm']]]/1000),"")</f>
        <v/>
      </c>
      <c r="L51" s="80" t="str">
        <f>IFERROR((MP_DATA[[#This Row],[D, bottom '[m']]]+#REF!)/(2*#REF!/1000),"")</f>
        <v/>
      </c>
      <c r="AO51" s="80" t="str">
        <f>IFERROR(TP_DATA[[#This Row],[Bottom '[m']]]-TP_DATA[[#This Row],[D, top '[m']]], "")</f>
        <v/>
      </c>
      <c r="AP51" s="80" t="str">
        <f>IFERROR(-(TP_DATA[[#This Row],[D, bottom '[m']]]-TP_DATA[[#This Row],[D, top '[m']]])/(TP_DATA[[#This Row],[Bottom '[m']]]-TP_DATA[[#This Row],[Top '[m']]]),"")</f>
        <v/>
      </c>
      <c r="AQ51" s="80" t="str">
        <f t="shared" si="1"/>
        <v/>
      </c>
      <c r="AR51" s="80" t="str">
        <f>IFERROR((TP_DATA[[#This Row],[D, bottom '[m']]]+TP_DATA[[#This Row],[D, top '[m']]])/(2*TP_DATA[[#This Row],[t '[mm']]]/1000),"")</f>
        <v/>
      </c>
      <c r="AS51" s="80" t="str">
        <f>IFERROR((TP_DATA[[#This Row],[D, bottom '[m']]]+#REF!)/(2*#REF!/1000),"")</f>
        <v/>
      </c>
      <c r="BW51" s="80" t="str">
        <f>IFERROR(TOWER_DATA[[#This Row],[Bottom '[m']]]-TOWER_DATA[[#This Row],[D, top '[m']]], "")</f>
        <v/>
      </c>
      <c r="BX51" s="80" t="str">
        <f>IFERROR(-(TOWER_DATA[[#This Row],[D, bottom '[m']]]-TOWER_DATA[[#This Row],[D, top '[m']]])/(TOWER_DATA[[#This Row],[Bottom '[m']]]-TOWER_DATA[[#This Row],[Top '[m']]]),"")</f>
        <v/>
      </c>
      <c r="BY51" s="80" t="str">
        <f t="shared" si="2"/>
        <v/>
      </c>
      <c r="BZ51" s="80" t="str">
        <f>IFERROR((TOWER_DATA[[#This Row],[D, bottom '[m']]]+TOWER_DATA[[#This Row],[D, top '[m']]])/(2*TOWER_DATA[[#This Row],[t '[mm']]]/1000),"")</f>
        <v/>
      </c>
      <c r="CA51" s="80" t="str">
        <f>IFERROR((TOWER_DATA[[#This Row],[D, bottom '[m']]]+#REF!)/(2*#REF!/1000),"")</f>
        <v/>
      </c>
      <c r="CF51" s="78"/>
      <c r="CG51" s="78"/>
      <c r="CH51" s="78"/>
      <c r="CJ51" s="78"/>
      <c r="DE51" s="80"/>
      <c r="DF51" s="80"/>
      <c r="DG51" s="106"/>
      <c r="DH51" s="106"/>
      <c r="DI51" s="106"/>
      <c r="DJ51" s="106"/>
      <c r="DK51" s="106"/>
      <c r="DL51" s="106"/>
      <c r="DM51" s="106"/>
    </row>
    <row r="52" spans="2:117" x14ac:dyDescent="0.25">
      <c r="H52" s="80" t="str">
        <f>IFERROR(MP_DATA[[#This Row],[Bottom '[m']]]-MP_DATA[[#This Row],[D, top '[m']]], "")</f>
        <v/>
      </c>
      <c r="I52" s="80" t="str">
        <f>IFERROR(-(MP_DATA[[#This Row],[D, bottom '[m']]]-MP_DATA[[#This Row],[D, top '[m']]])/(MP_DATA[[#This Row],[Bottom '[m']]]-MP_DATA[[#This Row],[Top '[m']]]),"")</f>
        <v/>
      </c>
      <c r="J52" s="80" t="str">
        <f t="shared" si="0"/>
        <v/>
      </c>
      <c r="K52" s="80" t="str">
        <f>IFERROR((MP_DATA[[#This Row],[D, bottom '[m']]]+MP_DATA[[#This Row],[D, top '[m']]])/(2*MP_DATA[[#This Row],[t '[mm']]]/1000),"")</f>
        <v/>
      </c>
      <c r="L52" s="80" t="str">
        <f>IFERROR((MP_DATA[[#This Row],[D, bottom '[m']]]+#REF!)/(2*#REF!/1000),"")</f>
        <v/>
      </c>
      <c r="AO52" s="80" t="str">
        <f>IFERROR(TP_DATA[[#This Row],[Bottom '[m']]]-TP_DATA[[#This Row],[D, top '[m']]], "")</f>
        <v/>
      </c>
      <c r="AP52" s="80" t="str">
        <f>IFERROR(-(TP_DATA[[#This Row],[D, bottom '[m']]]-TP_DATA[[#This Row],[D, top '[m']]])/(TP_DATA[[#This Row],[Bottom '[m']]]-TP_DATA[[#This Row],[Top '[m']]]),"")</f>
        <v/>
      </c>
      <c r="AQ52" s="80" t="str">
        <f t="shared" si="1"/>
        <v/>
      </c>
      <c r="AR52" s="80" t="str">
        <f>IFERROR((TP_DATA[[#This Row],[D, bottom '[m']]]+TP_DATA[[#This Row],[D, top '[m']]])/(2*TP_DATA[[#This Row],[t '[mm']]]/1000),"")</f>
        <v/>
      </c>
      <c r="AS52" s="80" t="str">
        <f>IFERROR((TP_DATA[[#This Row],[D, bottom '[m']]]+#REF!)/(2*#REF!/1000),"")</f>
        <v/>
      </c>
      <c r="BW52" s="80" t="str">
        <f>IFERROR(TOWER_DATA[[#This Row],[Bottom '[m']]]-TOWER_DATA[[#This Row],[D, top '[m']]], "")</f>
        <v/>
      </c>
      <c r="BX52" s="80" t="str">
        <f>IFERROR(-(TOWER_DATA[[#This Row],[D, bottom '[m']]]-TOWER_DATA[[#This Row],[D, top '[m']]])/(TOWER_DATA[[#This Row],[Bottom '[m']]]-TOWER_DATA[[#This Row],[Top '[m']]]),"")</f>
        <v/>
      </c>
      <c r="BY52" s="80" t="str">
        <f t="shared" si="2"/>
        <v/>
      </c>
      <c r="BZ52" s="80" t="str">
        <f>IFERROR((TOWER_DATA[[#This Row],[D, bottom '[m']]]+TOWER_DATA[[#This Row],[D, top '[m']]])/(2*TOWER_DATA[[#This Row],[t '[mm']]]/1000),"")</f>
        <v/>
      </c>
      <c r="CA52" s="80" t="str">
        <f>IFERROR((TOWER_DATA[[#This Row],[D, bottom '[m']]]+#REF!)/(2*#REF!/1000),"")</f>
        <v/>
      </c>
      <c r="CF52" s="78"/>
      <c r="CG52" s="78"/>
      <c r="CH52" s="78"/>
      <c r="CJ52" s="78"/>
      <c r="DE52" s="80"/>
      <c r="DF52" s="80"/>
      <c r="DG52" s="106"/>
      <c r="DH52" s="106"/>
      <c r="DI52" s="106"/>
      <c r="DJ52" s="106"/>
      <c r="DK52" s="106"/>
      <c r="DL52" s="106"/>
      <c r="DM52" s="106"/>
    </row>
    <row r="53" spans="2:117" x14ac:dyDescent="0.25">
      <c r="H53" s="80" t="str">
        <f>IFERROR(MP_DATA[[#This Row],[Bottom '[m']]]-MP_DATA[[#This Row],[D, top '[m']]], "")</f>
        <v/>
      </c>
      <c r="I53" s="80" t="str">
        <f>IFERROR(-(MP_DATA[[#This Row],[D, bottom '[m']]]-MP_DATA[[#This Row],[D, top '[m']]])/(MP_DATA[[#This Row],[Bottom '[m']]]-MP_DATA[[#This Row],[Top '[m']]]),"")</f>
        <v/>
      </c>
      <c r="J53" s="80" t="str">
        <f t="shared" si="0"/>
        <v/>
      </c>
      <c r="K53" s="80" t="str">
        <f>IFERROR((MP_DATA[[#This Row],[D, bottom '[m']]]+MP_DATA[[#This Row],[D, top '[m']]])/(2*MP_DATA[[#This Row],[t '[mm']]]/1000),"")</f>
        <v/>
      </c>
      <c r="L53" s="80" t="str">
        <f>IFERROR((MP_DATA[[#This Row],[D, bottom '[m']]]+#REF!)/(2*#REF!/1000),"")</f>
        <v/>
      </c>
      <c r="AO53" s="80" t="str">
        <f>IFERROR(TP_DATA[[#This Row],[Bottom '[m']]]-TP_DATA[[#This Row],[D, top '[m']]], "")</f>
        <v/>
      </c>
      <c r="AP53" s="80" t="str">
        <f>IFERROR(-(TP_DATA[[#This Row],[D, bottom '[m']]]-TP_DATA[[#This Row],[D, top '[m']]])/(TP_DATA[[#This Row],[Bottom '[m']]]-TP_DATA[[#This Row],[Top '[m']]]),"")</f>
        <v/>
      </c>
      <c r="AQ53" s="80" t="str">
        <f t="shared" si="1"/>
        <v/>
      </c>
      <c r="AR53" s="80" t="str">
        <f>IFERROR((TP_DATA[[#This Row],[D, bottom '[m']]]+TP_DATA[[#This Row],[D, top '[m']]])/(2*TP_DATA[[#This Row],[t '[mm']]]/1000),"")</f>
        <v/>
      </c>
      <c r="AS53" s="80" t="str">
        <f>IFERROR((TP_DATA[[#This Row],[D, bottom '[m']]]+#REF!)/(2*#REF!/1000),"")</f>
        <v/>
      </c>
      <c r="BW53" s="80" t="str">
        <f>IFERROR(TOWER_DATA[[#This Row],[Bottom '[m']]]-TOWER_DATA[[#This Row],[D, top '[m']]], "")</f>
        <v/>
      </c>
      <c r="BX53" s="80" t="str">
        <f>IFERROR(-(TOWER_DATA[[#This Row],[D, bottom '[m']]]-TOWER_DATA[[#This Row],[D, top '[m']]])/(TOWER_DATA[[#This Row],[Bottom '[m']]]-TOWER_DATA[[#This Row],[Top '[m']]]),"")</f>
        <v/>
      </c>
      <c r="BY53" s="80" t="str">
        <f t="shared" si="2"/>
        <v/>
      </c>
      <c r="BZ53" s="80" t="str">
        <f>IFERROR((TOWER_DATA[[#This Row],[D, bottom '[m']]]+TOWER_DATA[[#This Row],[D, top '[m']]])/(2*TOWER_DATA[[#This Row],[t '[mm']]]/1000),"")</f>
        <v/>
      </c>
      <c r="CA53" s="80" t="str">
        <f>IFERROR((TOWER_DATA[[#This Row],[D, bottom '[m']]]+#REF!)/(2*#REF!/1000),"")</f>
        <v/>
      </c>
      <c r="CF53" s="78"/>
      <c r="CG53" s="78"/>
      <c r="CH53" s="78"/>
      <c r="CJ53" s="78"/>
      <c r="DE53" s="80"/>
      <c r="DF53" s="80"/>
      <c r="DG53" s="106"/>
      <c r="DH53" s="106"/>
      <c r="DI53" s="106"/>
      <c r="DJ53" s="106"/>
      <c r="DK53" s="106"/>
      <c r="DL53" s="106"/>
      <c r="DM53" s="106"/>
    </row>
    <row r="54" spans="2:117" x14ac:dyDescent="0.25">
      <c r="H54" s="80" t="str">
        <f>IFERROR(MP_DATA[[#This Row],[Bottom '[m']]]-MP_DATA[[#This Row],[D, top '[m']]], "")</f>
        <v/>
      </c>
      <c r="I54" s="80" t="str">
        <f>IFERROR(-(MP_DATA[[#This Row],[D, bottom '[m']]]-MP_DATA[[#This Row],[D, top '[m']]])/(MP_DATA[[#This Row],[Bottom '[m']]]-MP_DATA[[#This Row],[Top '[m']]]),"")</f>
        <v/>
      </c>
      <c r="J54" s="80" t="str">
        <f t="shared" si="0"/>
        <v/>
      </c>
      <c r="K54" s="80" t="str">
        <f>IFERROR((MP_DATA[[#This Row],[D, bottom '[m']]]+MP_DATA[[#This Row],[D, top '[m']]])/(2*MP_DATA[[#This Row],[t '[mm']]]/1000),"")</f>
        <v/>
      </c>
      <c r="L54" s="80"/>
      <c r="AO54" s="80" t="str">
        <f>IFERROR(TP_DATA[[#This Row],[Bottom '[m']]]-TP_DATA[[#This Row],[D, top '[m']]], "")</f>
        <v/>
      </c>
      <c r="AP54" s="80" t="str">
        <f>IFERROR(-(TP_DATA[[#This Row],[D, bottom '[m']]]-TP_DATA[[#This Row],[D, top '[m']]])/(TP_DATA[[#This Row],[Bottom '[m']]]-TP_DATA[[#This Row],[Top '[m']]]),"")</f>
        <v/>
      </c>
      <c r="AQ54" s="80" t="str">
        <f t="shared" si="1"/>
        <v/>
      </c>
      <c r="AR54" s="80" t="str">
        <f>IFERROR((TP_DATA[[#This Row],[D, bottom '[m']]]+TP_DATA[[#This Row],[D, top '[m']]])/(2*TP_DATA[[#This Row],[t '[mm']]]/1000),"")</f>
        <v/>
      </c>
      <c r="AS54" s="80"/>
      <c r="BW54" s="80" t="str">
        <f>IFERROR(TOWER_DATA[[#This Row],[Bottom '[m']]]-TOWER_DATA[[#This Row],[D, top '[m']]], "")</f>
        <v/>
      </c>
      <c r="BX54" s="80" t="str">
        <f>IFERROR(-(TOWER_DATA[[#This Row],[D, bottom '[m']]]-TOWER_DATA[[#This Row],[D, top '[m']]])/(TOWER_DATA[[#This Row],[Bottom '[m']]]-TOWER_DATA[[#This Row],[Top '[m']]]),"")</f>
        <v/>
      </c>
      <c r="BY54" s="80" t="str">
        <f t="shared" si="2"/>
        <v/>
      </c>
      <c r="BZ54" s="80" t="str">
        <f>IFERROR((TOWER_DATA[[#This Row],[D, bottom '[m']]]+TOWER_DATA[[#This Row],[D, top '[m']]])/(2*TOWER_DATA[[#This Row],[t '[mm']]]/1000),"")</f>
        <v/>
      </c>
      <c r="CA54" s="80"/>
      <c r="CF54" s="78"/>
      <c r="CG54" s="78"/>
      <c r="CH54" s="78"/>
      <c r="CJ54" s="78"/>
      <c r="DE54" s="80"/>
      <c r="DF54" s="80"/>
      <c r="DG54" s="106"/>
      <c r="DH54" s="106"/>
      <c r="DI54" s="106"/>
      <c r="DJ54" s="106"/>
      <c r="DK54" s="106"/>
      <c r="DL54" s="106"/>
      <c r="DM54" s="106"/>
    </row>
    <row r="55" spans="2:117" x14ac:dyDescent="0.25">
      <c r="H55" s="80" t="str">
        <f>IFERROR(MP_DATA[[#This Row],[Bottom '[m']]]-MP_DATA[[#This Row],[D, top '[m']]], "")</f>
        <v/>
      </c>
      <c r="I55" s="80" t="str">
        <f>IFERROR(-(MP_DATA[[#This Row],[D, bottom '[m']]]-MP_DATA[[#This Row],[D, top '[m']]])/(MP_DATA[[#This Row],[Bottom '[m']]]-MP_DATA[[#This Row],[Top '[m']]]),"")</f>
        <v/>
      </c>
      <c r="J55" s="80" t="str">
        <f t="shared" si="0"/>
        <v/>
      </c>
      <c r="K55" s="80" t="str">
        <f>IFERROR((MP_DATA[[#This Row],[D, bottom '[m']]]+MP_DATA[[#This Row],[D, top '[m']]])/(2*MP_DATA[[#This Row],[t '[mm']]]/1000),"")</f>
        <v/>
      </c>
      <c r="L55" s="80"/>
      <c r="AO55" s="80" t="str">
        <f>IFERROR(TP_DATA[[#This Row],[Bottom '[m']]]-TP_DATA[[#This Row],[D, top '[m']]], "")</f>
        <v/>
      </c>
      <c r="AP55" s="80" t="str">
        <f>IFERROR(-(TP_DATA[[#This Row],[D, bottom '[m']]]-TP_DATA[[#This Row],[D, top '[m']]])/(TP_DATA[[#This Row],[Bottom '[m']]]-TP_DATA[[#This Row],[Top '[m']]]),"")</f>
        <v/>
      </c>
      <c r="AQ55" s="80" t="str">
        <f t="shared" si="1"/>
        <v/>
      </c>
      <c r="AR55" s="80" t="str">
        <f>IFERROR((TP_DATA[[#This Row],[D, bottom '[m']]]+TP_DATA[[#This Row],[D, top '[m']]])/(2*TP_DATA[[#This Row],[t '[mm']]]/1000),"")</f>
        <v/>
      </c>
      <c r="AS55" s="80"/>
      <c r="BW55" s="80" t="str">
        <f>IFERROR(TOWER_DATA[[#This Row],[Bottom '[m']]]-TOWER_DATA[[#This Row],[D, top '[m']]], "")</f>
        <v/>
      </c>
      <c r="BX55" s="80" t="str">
        <f>IFERROR(-(TOWER_DATA[[#This Row],[D, bottom '[m']]]-TOWER_DATA[[#This Row],[D, top '[m']]])/(TOWER_DATA[[#This Row],[Bottom '[m']]]-TOWER_DATA[[#This Row],[Top '[m']]]),"")</f>
        <v/>
      </c>
      <c r="BY55" s="80" t="str">
        <f t="shared" si="2"/>
        <v/>
      </c>
      <c r="BZ55" s="80" t="str">
        <f>IFERROR((TOWER_DATA[[#This Row],[D, bottom '[m']]]+TOWER_DATA[[#This Row],[D, top '[m']]])/(2*TOWER_DATA[[#This Row],[t '[mm']]]/1000),"")</f>
        <v/>
      </c>
      <c r="CA55" s="80"/>
      <c r="CF55" s="78"/>
      <c r="CG55" s="78"/>
      <c r="CH55" s="78"/>
      <c r="CJ55" s="78"/>
      <c r="DE55" s="80"/>
      <c r="DF55" s="80"/>
      <c r="DG55" s="106"/>
      <c r="DH55" s="106"/>
      <c r="DI55" s="106"/>
      <c r="DJ55" s="106"/>
      <c r="DK55" s="106"/>
      <c r="DL55" s="106"/>
      <c r="DM55" s="106"/>
    </row>
    <row r="56" spans="2:117" x14ac:dyDescent="0.25">
      <c r="H56" s="80" t="str">
        <f>IFERROR(MP_DATA[[#This Row],[Bottom '[m']]]-MP_DATA[[#This Row],[D, top '[m']]], "")</f>
        <v/>
      </c>
      <c r="I56" s="80" t="str">
        <f>IFERROR(-(MP_DATA[[#This Row],[D, bottom '[m']]]-MP_DATA[[#This Row],[D, top '[m']]])/(MP_DATA[[#This Row],[Bottom '[m']]]-MP_DATA[[#This Row],[Top '[m']]]),"")</f>
        <v/>
      </c>
      <c r="J56" s="80" t="str">
        <f t="shared" si="0"/>
        <v/>
      </c>
      <c r="K56" s="80" t="str">
        <f>IFERROR((MP_DATA[[#This Row],[D, bottom '[m']]]+MP_DATA[[#This Row],[D, top '[m']]])/(2*MP_DATA[[#This Row],[t '[mm']]]/1000),"")</f>
        <v/>
      </c>
      <c r="L56" s="80"/>
      <c r="AO56" s="80" t="str">
        <f>IFERROR(TP_DATA[[#This Row],[Bottom '[m']]]-TP_DATA[[#This Row],[D, top '[m']]], "")</f>
        <v/>
      </c>
      <c r="AP56" s="80" t="str">
        <f>IFERROR(-(TP_DATA[[#This Row],[D, bottom '[m']]]-TP_DATA[[#This Row],[D, top '[m']]])/(TP_DATA[[#This Row],[Bottom '[m']]]-TP_DATA[[#This Row],[Top '[m']]]),"")</f>
        <v/>
      </c>
      <c r="AQ56" s="80" t="str">
        <f t="shared" si="1"/>
        <v/>
      </c>
      <c r="AR56" s="80" t="str">
        <f>IFERROR((TP_DATA[[#This Row],[D, bottom '[m']]]+TP_DATA[[#This Row],[D, top '[m']]])/(2*TP_DATA[[#This Row],[t '[mm']]]/1000),"")</f>
        <v/>
      </c>
      <c r="AS56" s="80"/>
      <c r="BW56" s="80" t="str">
        <f>IFERROR(TOWER_DATA[[#This Row],[Bottom '[m']]]-TOWER_DATA[[#This Row],[D, top '[m']]], "")</f>
        <v/>
      </c>
      <c r="BX56" s="80" t="str">
        <f>IFERROR(-(TOWER_DATA[[#This Row],[D, bottom '[m']]]-TOWER_DATA[[#This Row],[D, top '[m']]])/(TOWER_DATA[[#This Row],[Bottom '[m']]]-TOWER_DATA[[#This Row],[Top '[m']]]),"")</f>
        <v/>
      </c>
      <c r="BY56" s="80" t="str">
        <f t="shared" si="2"/>
        <v/>
      </c>
      <c r="BZ56" s="80" t="str">
        <f>IFERROR((TOWER_DATA[[#This Row],[D, bottom '[m']]]+TOWER_DATA[[#This Row],[D, top '[m']]])/(2*TOWER_DATA[[#This Row],[t '[mm']]]/1000),"")</f>
        <v/>
      </c>
      <c r="CA56" s="80"/>
      <c r="CF56" s="78"/>
      <c r="CG56" s="78"/>
      <c r="CH56" s="78"/>
      <c r="CJ56" s="78"/>
      <c r="DE56" s="80"/>
      <c r="DF56" s="80"/>
      <c r="DG56" s="106"/>
      <c r="DH56" s="106"/>
      <c r="DI56" s="106"/>
      <c r="DJ56" s="106"/>
      <c r="DK56" s="106"/>
      <c r="DL56" s="106"/>
      <c r="DM56" s="106"/>
    </row>
    <row r="57" spans="2:117" x14ac:dyDescent="0.25">
      <c r="H57" s="80" t="str">
        <f>IFERROR(MP_DATA[[#This Row],[Bottom '[m']]]-MP_DATA[[#This Row],[D, top '[m']]], "")</f>
        <v/>
      </c>
      <c r="I57" s="80" t="str">
        <f>IFERROR(-(MP_DATA[[#This Row],[D, bottom '[m']]]-MP_DATA[[#This Row],[D, top '[m']]])/(MP_DATA[[#This Row],[Bottom '[m']]]-MP_DATA[[#This Row],[Top '[m']]]),"")</f>
        <v/>
      </c>
      <c r="J57" s="80" t="str">
        <f t="shared" ref="J57:J88" si="3">IF(7850/1000*(1/3)*PI()*ABS(C57-D57)*((E57/2)^2+(E57/2)*(F57/2)+(F57/2)^2-(E57/2-G57/1000)^2-(E57/2-G57/1000)*(F57/2-G57/1000)-(F57/2-G57/1000)^2)=0,"",7850/1000*(1/3)*PI()*ABS(C57-D57)*((E57/2)^2+(E57/2)*(F57/2)+(F57/2)^2-(E57/2-G57/1000)^2-(E57/2-G57/1000)*(F57/2-G57/1000)-(F57/2-G57/1000)^2))</f>
        <v/>
      </c>
      <c r="K57" s="80" t="str">
        <f>IFERROR((MP_DATA[[#This Row],[D, bottom '[m']]]+MP_DATA[[#This Row],[D, top '[m']]])/(2*MP_DATA[[#This Row],[t '[mm']]]/1000),"")</f>
        <v/>
      </c>
      <c r="L57" s="80"/>
      <c r="AO57" s="80" t="str">
        <f>IFERROR(TP_DATA[[#This Row],[Bottom '[m']]]-TP_DATA[[#This Row],[D, top '[m']]], "")</f>
        <v/>
      </c>
      <c r="AP57" s="80" t="str">
        <f>IFERROR(-(TP_DATA[[#This Row],[D, bottom '[m']]]-TP_DATA[[#This Row],[D, top '[m']]])/(TP_DATA[[#This Row],[Bottom '[m']]]-TP_DATA[[#This Row],[Top '[m']]]),"")</f>
        <v/>
      </c>
      <c r="AQ57" s="80" t="str">
        <f t="shared" si="1"/>
        <v/>
      </c>
      <c r="AR57" s="80" t="str">
        <f>IFERROR((TP_DATA[[#This Row],[D, bottom '[m']]]+TP_DATA[[#This Row],[D, top '[m']]])/(2*TP_DATA[[#This Row],[t '[mm']]]/1000),"")</f>
        <v/>
      </c>
      <c r="AS57" s="80"/>
      <c r="BW57" s="80" t="str">
        <f>IFERROR(TOWER_DATA[[#This Row],[Bottom '[m']]]-TOWER_DATA[[#This Row],[D, top '[m']]], "")</f>
        <v/>
      </c>
      <c r="BX57" s="80" t="str">
        <f>IFERROR(-(TOWER_DATA[[#This Row],[D, bottom '[m']]]-TOWER_DATA[[#This Row],[D, top '[m']]])/(TOWER_DATA[[#This Row],[Bottom '[m']]]-TOWER_DATA[[#This Row],[Top '[m']]]),"")</f>
        <v/>
      </c>
      <c r="BY57" s="80" t="str">
        <f t="shared" si="2"/>
        <v/>
      </c>
      <c r="BZ57" s="80" t="str">
        <f>IFERROR((TOWER_DATA[[#This Row],[D, bottom '[m']]]+TOWER_DATA[[#This Row],[D, top '[m']]])/(2*TOWER_DATA[[#This Row],[t '[mm']]]/1000),"")</f>
        <v/>
      </c>
      <c r="CA57" s="80"/>
      <c r="CF57" s="78"/>
      <c r="CG57" s="78"/>
      <c r="CH57" s="78"/>
      <c r="CJ57" s="78"/>
      <c r="DE57" s="80"/>
      <c r="DF57" s="80"/>
      <c r="DG57" s="106"/>
      <c r="DH57" s="106"/>
      <c r="DI57" s="106"/>
      <c r="DJ57" s="106"/>
      <c r="DK57" s="106"/>
      <c r="DL57" s="106"/>
      <c r="DM57" s="106"/>
    </row>
    <row r="58" spans="2:117" x14ac:dyDescent="0.25">
      <c r="H58" s="80" t="str">
        <f>IFERROR(MP_DATA[[#This Row],[Bottom '[m']]]-MP_DATA[[#This Row],[D, top '[m']]], "")</f>
        <v/>
      </c>
      <c r="I58" s="80" t="str">
        <f>IFERROR(-(MP_DATA[[#This Row],[D, bottom '[m']]]-MP_DATA[[#This Row],[D, top '[m']]])/(MP_DATA[[#This Row],[Bottom '[m']]]-MP_DATA[[#This Row],[Top '[m']]]),"")</f>
        <v/>
      </c>
      <c r="J58" s="80" t="str">
        <f t="shared" si="3"/>
        <v/>
      </c>
      <c r="K58" s="80" t="str">
        <f>IFERROR((MP_DATA[[#This Row],[D, bottom '[m']]]+MP_DATA[[#This Row],[D, top '[m']]])/(2*MP_DATA[[#This Row],[t '[mm']]]/1000),"")</f>
        <v/>
      </c>
      <c r="L58" s="80"/>
      <c r="AO58" s="80" t="str">
        <f>IFERROR(TP_DATA[[#This Row],[Bottom '[m']]]-TP_DATA[[#This Row],[D, top '[m']]], "")</f>
        <v/>
      </c>
      <c r="AP58" s="80" t="str">
        <f>IFERROR(-(TP_DATA[[#This Row],[D, bottom '[m']]]-TP_DATA[[#This Row],[D, top '[m']]])/(TP_DATA[[#This Row],[Bottom '[m']]]-TP_DATA[[#This Row],[Top '[m']]]),"")</f>
        <v/>
      </c>
      <c r="AQ58" s="80" t="str">
        <f t="shared" si="1"/>
        <v/>
      </c>
      <c r="AR58" s="80" t="str">
        <f>IFERROR((TP_DATA[[#This Row],[D, bottom '[m']]]+TP_DATA[[#This Row],[D, top '[m']]])/(2*TP_DATA[[#This Row],[t '[mm']]]/1000),"")</f>
        <v/>
      </c>
      <c r="AS58" s="80"/>
      <c r="BW58" s="80" t="str">
        <f>IFERROR(TOWER_DATA[[#This Row],[Bottom '[m']]]-TOWER_DATA[[#This Row],[D, top '[m']]], "")</f>
        <v/>
      </c>
      <c r="BX58" s="80" t="str">
        <f>IFERROR(-(TOWER_DATA[[#This Row],[D, bottom '[m']]]-TOWER_DATA[[#This Row],[D, top '[m']]])/(TOWER_DATA[[#This Row],[Bottom '[m']]]-TOWER_DATA[[#This Row],[Top '[m']]]),"")</f>
        <v/>
      </c>
      <c r="BY58" s="80" t="str">
        <f t="shared" si="2"/>
        <v/>
      </c>
      <c r="BZ58" s="80" t="str">
        <f>IFERROR((TOWER_DATA[[#This Row],[D, bottom '[m']]]+TOWER_DATA[[#This Row],[D, top '[m']]])/(2*TOWER_DATA[[#This Row],[t '[mm']]]/1000),"")</f>
        <v/>
      </c>
      <c r="CA58" s="80"/>
      <c r="CF58" s="78"/>
      <c r="CG58" s="78"/>
      <c r="CH58" s="78"/>
      <c r="CJ58" s="78"/>
      <c r="DE58" s="80"/>
      <c r="DF58" s="80"/>
      <c r="DG58" s="106"/>
      <c r="DH58" s="106"/>
      <c r="DI58" s="106"/>
      <c r="DJ58" s="106"/>
      <c r="DK58" s="106"/>
      <c r="DL58" s="106"/>
      <c r="DM58" s="106"/>
    </row>
    <row r="59" spans="2:117" x14ac:dyDescent="0.25">
      <c r="H59" s="80" t="str">
        <f>IFERROR(MP_DATA[[#This Row],[Bottom '[m']]]-MP_DATA[[#This Row],[D, top '[m']]], "")</f>
        <v/>
      </c>
      <c r="I59" s="80" t="str">
        <f>IFERROR(-(MP_DATA[[#This Row],[D, bottom '[m']]]-MP_DATA[[#This Row],[D, top '[m']]])/(MP_DATA[[#This Row],[Bottom '[m']]]-MP_DATA[[#This Row],[Top '[m']]]),"")</f>
        <v/>
      </c>
      <c r="J59" s="80" t="str">
        <f t="shared" si="3"/>
        <v/>
      </c>
      <c r="K59" s="80" t="str">
        <f>IFERROR((MP_DATA[[#This Row],[D, bottom '[m']]]+MP_DATA[[#This Row],[D, top '[m']]])/(2*MP_DATA[[#This Row],[t '[mm']]]/1000),"")</f>
        <v/>
      </c>
      <c r="L59" s="80"/>
      <c r="AO59" s="80" t="str">
        <f>IFERROR(TP_DATA[[#This Row],[Bottom '[m']]]-TP_DATA[[#This Row],[D, top '[m']]], "")</f>
        <v/>
      </c>
      <c r="AP59" s="80" t="str">
        <f>IFERROR(-(TP_DATA[[#This Row],[D, bottom '[m']]]-TP_DATA[[#This Row],[D, top '[m']]])/(TP_DATA[[#This Row],[Bottom '[m']]]-TP_DATA[[#This Row],[Top '[m']]]),"")</f>
        <v/>
      </c>
      <c r="AQ59" s="80" t="str">
        <f t="shared" si="1"/>
        <v/>
      </c>
      <c r="AR59" s="80" t="str">
        <f>IFERROR((TP_DATA[[#This Row],[D, bottom '[m']]]+TP_DATA[[#This Row],[D, top '[m']]])/(2*TP_DATA[[#This Row],[t '[mm']]]/1000),"")</f>
        <v/>
      </c>
      <c r="AS59" s="80"/>
      <c r="BW59" s="80" t="str">
        <f>IFERROR(TOWER_DATA[[#This Row],[Bottom '[m']]]-TOWER_DATA[[#This Row],[D, top '[m']]], "")</f>
        <v/>
      </c>
      <c r="BX59" s="80" t="str">
        <f>IFERROR(-(TOWER_DATA[[#This Row],[D, bottom '[m']]]-TOWER_DATA[[#This Row],[D, top '[m']]])/(TOWER_DATA[[#This Row],[Bottom '[m']]]-TOWER_DATA[[#This Row],[Top '[m']]]),"")</f>
        <v/>
      </c>
      <c r="BY59" s="80" t="str">
        <f t="shared" si="2"/>
        <v/>
      </c>
      <c r="BZ59" s="80" t="str">
        <f>IFERROR((TOWER_DATA[[#This Row],[D, bottom '[m']]]+TOWER_DATA[[#This Row],[D, top '[m']]])/(2*TOWER_DATA[[#This Row],[t '[mm']]]/1000),"")</f>
        <v/>
      </c>
      <c r="CA59" s="80"/>
      <c r="CF59" s="78"/>
      <c r="CG59" s="78"/>
      <c r="CH59" s="78"/>
      <c r="CJ59" s="78"/>
      <c r="DE59" s="80"/>
      <c r="DF59" s="80"/>
      <c r="DG59" s="106"/>
      <c r="DH59" s="106"/>
      <c r="DI59" s="106"/>
      <c r="DJ59" s="106"/>
      <c r="DK59" s="106"/>
      <c r="DL59" s="106"/>
      <c r="DM59" s="106"/>
    </row>
    <row r="60" spans="2:117" x14ac:dyDescent="0.25">
      <c r="H60" s="80" t="str">
        <f>IFERROR(MP_DATA[[#This Row],[Bottom '[m']]]-MP_DATA[[#This Row],[D, top '[m']]], "")</f>
        <v/>
      </c>
      <c r="I60" s="80" t="str">
        <f>IFERROR(-(MP_DATA[[#This Row],[D, bottom '[m']]]-MP_DATA[[#This Row],[D, top '[m']]])/(MP_DATA[[#This Row],[Bottom '[m']]]-MP_DATA[[#This Row],[Top '[m']]]),"")</f>
        <v/>
      </c>
      <c r="J60" s="80" t="str">
        <f t="shared" si="3"/>
        <v/>
      </c>
      <c r="K60" s="80" t="str">
        <f>IFERROR((MP_DATA[[#This Row],[D, bottom '[m']]]+MP_DATA[[#This Row],[D, top '[m']]])/(2*MP_DATA[[#This Row],[t '[mm']]]/1000),"")</f>
        <v/>
      </c>
      <c r="L60" s="80"/>
      <c r="AO60" s="80" t="str">
        <f>IFERROR(TP_DATA[[#This Row],[Bottom '[m']]]-TP_DATA[[#This Row],[D, top '[m']]], "")</f>
        <v/>
      </c>
      <c r="AP60" s="80" t="str">
        <f>IFERROR(-(TP_DATA[[#This Row],[D, bottom '[m']]]-TP_DATA[[#This Row],[D, top '[m']]])/(TP_DATA[[#This Row],[Bottom '[m']]]-TP_DATA[[#This Row],[Top '[m']]]),"")</f>
        <v/>
      </c>
      <c r="AQ60" s="80" t="str">
        <f t="shared" si="1"/>
        <v/>
      </c>
      <c r="AR60" s="80" t="str">
        <f>IFERROR((TP_DATA[[#This Row],[D, bottom '[m']]]+TP_DATA[[#This Row],[D, top '[m']]])/(2*TP_DATA[[#This Row],[t '[mm']]]/1000),"")</f>
        <v/>
      </c>
      <c r="AS60" s="80"/>
      <c r="BW60" s="80" t="str">
        <f>IFERROR(TOWER_DATA[[#This Row],[Bottom '[m']]]-TOWER_DATA[[#This Row],[D, top '[m']]], "")</f>
        <v/>
      </c>
      <c r="BX60" s="80" t="str">
        <f>IFERROR(-(TOWER_DATA[[#This Row],[D, bottom '[m']]]-TOWER_DATA[[#This Row],[D, top '[m']]])/(TOWER_DATA[[#This Row],[Bottom '[m']]]-TOWER_DATA[[#This Row],[Top '[m']]]),"")</f>
        <v/>
      </c>
      <c r="BY60" s="80" t="str">
        <f t="shared" si="2"/>
        <v/>
      </c>
      <c r="BZ60" s="80" t="str">
        <f>IFERROR((TOWER_DATA[[#This Row],[D, bottom '[m']]]+TOWER_DATA[[#This Row],[D, top '[m']]])/(2*TOWER_DATA[[#This Row],[t '[mm']]]/1000),"")</f>
        <v/>
      </c>
      <c r="CA60" s="80"/>
      <c r="CF60" s="78"/>
      <c r="CG60" s="78"/>
      <c r="CH60" s="78"/>
      <c r="CJ60" s="78"/>
      <c r="DE60" s="80"/>
      <c r="DF60" s="80"/>
      <c r="DG60" s="106"/>
      <c r="DH60" s="106"/>
      <c r="DI60" s="106"/>
      <c r="DJ60" s="106"/>
      <c r="DK60" s="106"/>
      <c r="DL60" s="106"/>
      <c r="DM60" s="106"/>
    </row>
    <row r="61" spans="2:117" x14ac:dyDescent="0.25">
      <c r="H61" s="80" t="str">
        <f>IFERROR(MP_DATA[[#This Row],[Bottom '[m']]]-MP_DATA[[#This Row],[D, top '[m']]], "")</f>
        <v/>
      </c>
      <c r="I61" s="80" t="str">
        <f>IFERROR(-(MP_DATA[[#This Row],[D, bottom '[m']]]-MP_DATA[[#This Row],[D, top '[m']]])/(MP_DATA[[#This Row],[Bottom '[m']]]-MP_DATA[[#This Row],[Top '[m']]]),"")</f>
        <v/>
      </c>
      <c r="J61" s="80" t="str">
        <f t="shared" si="3"/>
        <v/>
      </c>
      <c r="K61" s="80" t="str">
        <f>IFERROR((MP_DATA[[#This Row],[D, bottom '[m']]]+MP_DATA[[#This Row],[D, top '[m']]])/(2*MP_DATA[[#This Row],[t '[mm']]]/1000),"")</f>
        <v/>
      </c>
      <c r="L61" s="80"/>
      <c r="AO61" s="80" t="str">
        <f>IFERROR(TP_DATA[[#This Row],[Bottom '[m']]]-TP_DATA[[#This Row],[D, top '[m']]], "")</f>
        <v/>
      </c>
      <c r="AP61" s="80" t="str">
        <f>IFERROR(-(TP_DATA[[#This Row],[D, bottom '[m']]]-TP_DATA[[#This Row],[D, top '[m']]])/(TP_DATA[[#This Row],[Bottom '[m']]]-TP_DATA[[#This Row],[Top '[m']]]),"")</f>
        <v/>
      </c>
      <c r="AQ61" s="80" t="str">
        <f t="shared" si="1"/>
        <v/>
      </c>
      <c r="AR61" s="80" t="str">
        <f>IFERROR((TP_DATA[[#This Row],[D, bottom '[m']]]+TP_DATA[[#This Row],[D, top '[m']]])/(2*TP_DATA[[#This Row],[t '[mm']]]/1000),"")</f>
        <v/>
      </c>
      <c r="AS61" s="80"/>
      <c r="BW61" s="80" t="str">
        <f>IFERROR(TOWER_DATA[[#This Row],[Bottom '[m']]]-TOWER_DATA[[#This Row],[D, top '[m']]], "")</f>
        <v/>
      </c>
      <c r="BX61" s="80" t="str">
        <f>IFERROR(-(TOWER_DATA[[#This Row],[D, bottom '[m']]]-TOWER_DATA[[#This Row],[D, top '[m']]])/(TOWER_DATA[[#This Row],[Bottom '[m']]]-TOWER_DATA[[#This Row],[Top '[m']]]),"")</f>
        <v/>
      </c>
      <c r="BY61" s="80" t="str">
        <f t="shared" si="2"/>
        <v/>
      </c>
      <c r="BZ61" s="80" t="str">
        <f>IFERROR((TOWER_DATA[[#This Row],[D, bottom '[m']]]+TOWER_DATA[[#This Row],[D, top '[m']]])/(2*TOWER_DATA[[#This Row],[t '[mm']]]/1000),"")</f>
        <v/>
      </c>
      <c r="CA61" s="80"/>
      <c r="CF61" s="78"/>
      <c r="CG61" s="78"/>
      <c r="CH61" s="78"/>
      <c r="CJ61" s="78"/>
      <c r="DE61" s="80"/>
      <c r="DF61" s="80"/>
      <c r="DG61" s="106"/>
      <c r="DH61" s="106"/>
      <c r="DI61" s="106"/>
      <c r="DJ61" s="106"/>
      <c r="DK61" s="106"/>
      <c r="DL61" s="106"/>
      <c r="DM61" s="106"/>
    </row>
    <row r="62" spans="2:117" x14ac:dyDescent="0.25">
      <c r="H62" s="80" t="str">
        <f>IFERROR(MP_DATA[[#This Row],[Bottom '[m']]]-MP_DATA[[#This Row],[D, top '[m']]], "")</f>
        <v/>
      </c>
      <c r="I62" s="80" t="str">
        <f>IFERROR(-(MP_DATA[[#This Row],[D, bottom '[m']]]-MP_DATA[[#This Row],[D, top '[m']]])/(MP_DATA[[#This Row],[Bottom '[m']]]-MP_DATA[[#This Row],[Top '[m']]]),"")</f>
        <v/>
      </c>
      <c r="J62" s="80" t="str">
        <f t="shared" si="3"/>
        <v/>
      </c>
      <c r="K62" s="80" t="str">
        <f>IFERROR((MP_DATA[[#This Row],[D, bottom '[m']]]+MP_DATA[[#This Row],[D, top '[m']]])/(2*MP_DATA[[#This Row],[t '[mm']]]/1000),"")</f>
        <v/>
      </c>
      <c r="L62" s="80"/>
      <c r="AO62" s="80" t="str">
        <f>IFERROR(TP_DATA[[#This Row],[Bottom '[m']]]-TP_DATA[[#This Row],[D, top '[m']]], "")</f>
        <v/>
      </c>
      <c r="AP62" s="80" t="str">
        <f>IFERROR(-(TP_DATA[[#This Row],[D, bottom '[m']]]-TP_DATA[[#This Row],[D, top '[m']]])/(TP_DATA[[#This Row],[Bottom '[m']]]-TP_DATA[[#This Row],[Top '[m']]]),"")</f>
        <v/>
      </c>
      <c r="AQ62" s="80" t="str">
        <f t="shared" si="1"/>
        <v/>
      </c>
      <c r="AR62" s="80" t="str">
        <f>IFERROR((TP_DATA[[#This Row],[D, bottom '[m']]]+TP_DATA[[#This Row],[D, top '[m']]])/(2*TP_DATA[[#This Row],[t '[mm']]]/1000),"")</f>
        <v/>
      </c>
      <c r="AS62" s="80"/>
      <c r="BW62" s="80" t="str">
        <f>IFERROR(TOWER_DATA[[#This Row],[Bottom '[m']]]-TOWER_DATA[[#This Row],[D, top '[m']]], "")</f>
        <v/>
      </c>
      <c r="BX62" s="80" t="str">
        <f>IFERROR(-(TOWER_DATA[[#This Row],[D, bottom '[m']]]-TOWER_DATA[[#This Row],[D, top '[m']]])/(TOWER_DATA[[#This Row],[Bottom '[m']]]-TOWER_DATA[[#This Row],[Top '[m']]]),"")</f>
        <v/>
      </c>
      <c r="BY62" s="80" t="str">
        <f t="shared" si="2"/>
        <v/>
      </c>
      <c r="BZ62" s="80" t="str">
        <f>IFERROR((TOWER_DATA[[#This Row],[D, bottom '[m']]]+TOWER_DATA[[#This Row],[D, top '[m']]])/(2*TOWER_DATA[[#This Row],[t '[mm']]]/1000),"")</f>
        <v/>
      </c>
      <c r="CA62" s="80"/>
      <c r="CF62" s="78"/>
      <c r="CG62" s="78"/>
      <c r="CH62" s="78"/>
      <c r="CJ62" s="78"/>
      <c r="DE62" s="80"/>
      <c r="DF62" s="80"/>
      <c r="DG62" s="106"/>
      <c r="DH62" s="106"/>
      <c r="DI62" s="106"/>
      <c r="DJ62" s="106"/>
      <c r="DK62" s="106"/>
      <c r="DL62" s="106"/>
      <c r="DM62" s="106"/>
    </row>
    <row r="63" spans="2:117" x14ac:dyDescent="0.25">
      <c r="H63" s="80" t="str">
        <f>IFERROR(MP_DATA[[#This Row],[Bottom '[m']]]-MP_DATA[[#This Row],[D, top '[m']]], "")</f>
        <v/>
      </c>
      <c r="I63" s="80" t="str">
        <f>IFERROR(-(MP_DATA[[#This Row],[D, bottom '[m']]]-MP_DATA[[#This Row],[D, top '[m']]])/(MP_DATA[[#This Row],[Bottom '[m']]]-MP_DATA[[#This Row],[Top '[m']]]),"")</f>
        <v/>
      </c>
      <c r="J63" s="80" t="str">
        <f t="shared" si="3"/>
        <v/>
      </c>
      <c r="K63" s="80" t="str">
        <f>IFERROR((MP_DATA[[#This Row],[D, bottom '[m']]]+MP_DATA[[#This Row],[D, top '[m']]])/(2*MP_DATA[[#This Row],[t '[mm']]]/1000),"")</f>
        <v/>
      </c>
      <c r="L63" s="80"/>
      <c r="AO63" s="80" t="str">
        <f>IFERROR(TP_DATA[[#This Row],[Bottom '[m']]]-TP_DATA[[#This Row],[D, top '[m']]], "")</f>
        <v/>
      </c>
      <c r="AP63" s="80" t="str">
        <f>IFERROR(-(TP_DATA[[#This Row],[D, bottom '[m']]]-TP_DATA[[#This Row],[D, top '[m']]])/(TP_DATA[[#This Row],[Bottom '[m']]]-TP_DATA[[#This Row],[Top '[m']]]),"")</f>
        <v/>
      </c>
      <c r="AQ63" s="80" t="str">
        <f t="shared" si="1"/>
        <v/>
      </c>
      <c r="AR63" s="80" t="str">
        <f>IFERROR((TP_DATA[[#This Row],[D, bottom '[m']]]+TP_DATA[[#This Row],[D, top '[m']]])/(2*TP_DATA[[#This Row],[t '[mm']]]/1000),"")</f>
        <v/>
      </c>
      <c r="AS63" s="80"/>
      <c r="BW63" s="80" t="str">
        <f>IFERROR(TOWER_DATA[[#This Row],[Bottom '[m']]]-TOWER_DATA[[#This Row],[D, top '[m']]], "")</f>
        <v/>
      </c>
      <c r="BX63" s="80" t="str">
        <f>IFERROR(-(TOWER_DATA[[#This Row],[D, bottom '[m']]]-TOWER_DATA[[#This Row],[D, top '[m']]])/(TOWER_DATA[[#This Row],[Bottom '[m']]]-TOWER_DATA[[#This Row],[Top '[m']]]),"")</f>
        <v/>
      </c>
      <c r="BY63" s="80" t="str">
        <f t="shared" si="2"/>
        <v/>
      </c>
      <c r="BZ63" s="80" t="str">
        <f>IFERROR((TOWER_DATA[[#This Row],[D, bottom '[m']]]+TOWER_DATA[[#This Row],[D, top '[m']]])/(2*TOWER_DATA[[#This Row],[t '[mm']]]/1000),"")</f>
        <v/>
      </c>
      <c r="CA63" s="80"/>
      <c r="CF63" s="78"/>
      <c r="CG63" s="78"/>
      <c r="CH63" s="78"/>
      <c r="CJ63" s="78"/>
      <c r="DE63" s="80"/>
      <c r="DF63" s="80"/>
      <c r="DG63" s="106"/>
      <c r="DH63" s="106"/>
      <c r="DI63" s="106"/>
      <c r="DJ63" s="106"/>
      <c r="DK63" s="106"/>
      <c r="DL63" s="106"/>
      <c r="DM63" s="106"/>
    </row>
    <row r="64" spans="2:117" x14ac:dyDescent="0.25">
      <c r="H64" s="80" t="str">
        <f>IFERROR(MP_DATA[[#This Row],[Bottom '[m']]]-MP_DATA[[#This Row],[D, top '[m']]], "")</f>
        <v/>
      </c>
      <c r="I64" s="80" t="str">
        <f>IFERROR(-(MP_DATA[[#This Row],[D, bottom '[m']]]-MP_DATA[[#This Row],[D, top '[m']]])/(MP_DATA[[#This Row],[Bottom '[m']]]-MP_DATA[[#This Row],[Top '[m']]]),"")</f>
        <v/>
      </c>
      <c r="J64" s="80" t="str">
        <f t="shared" si="3"/>
        <v/>
      </c>
      <c r="K64" s="80" t="str">
        <f>IFERROR((MP_DATA[[#This Row],[D, bottom '[m']]]+MP_DATA[[#This Row],[D, top '[m']]])/(2*MP_DATA[[#This Row],[t '[mm']]]/1000),"")</f>
        <v/>
      </c>
      <c r="L64" s="80"/>
      <c r="AO64" s="80" t="str">
        <f>IFERROR(TP_DATA[[#This Row],[Bottom '[m']]]-TP_DATA[[#This Row],[D, top '[m']]], "")</f>
        <v/>
      </c>
      <c r="AP64" s="80" t="str">
        <f>IFERROR(-(TP_DATA[[#This Row],[D, bottom '[m']]]-TP_DATA[[#This Row],[D, top '[m']]])/(TP_DATA[[#This Row],[Bottom '[m']]]-TP_DATA[[#This Row],[Top '[m']]]),"")</f>
        <v/>
      </c>
      <c r="AQ64" s="80" t="str">
        <f t="shared" si="1"/>
        <v/>
      </c>
      <c r="AR64" s="80" t="str">
        <f>IFERROR((TP_DATA[[#This Row],[D, bottom '[m']]]+TP_DATA[[#This Row],[D, top '[m']]])/(2*TP_DATA[[#This Row],[t '[mm']]]/1000),"")</f>
        <v/>
      </c>
      <c r="AS64" s="80"/>
      <c r="BW64" s="80" t="str">
        <f>IFERROR(TOWER_DATA[[#This Row],[Bottom '[m']]]-TOWER_DATA[[#This Row],[D, top '[m']]], "")</f>
        <v/>
      </c>
      <c r="BX64" s="80" t="str">
        <f>IFERROR(-(TOWER_DATA[[#This Row],[D, bottom '[m']]]-TOWER_DATA[[#This Row],[D, top '[m']]])/(TOWER_DATA[[#This Row],[Bottom '[m']]]-TOWER_DATA[[#This Row],[Top '[m']]]),"")</f>
        <v/>
      </c>
      <c r="BY64" s="80" t="str">
        <f t="shared" si="2"/>
        <v/>
      </c>
      <c r="BZ64" s="80" t="str">
        <f>IFERROR((TOWER_DATA[[#This Row],[D, bottom '[m']]]+TOWER_DATA[[#This Row],[D, top '[m']]])/(2*TOWER_DATA[[#This Row],[t '[mm']]]/1000),"")</f>
        <v/>
      </c>
      <c r="CA64" s="80"/>
      <c r="CF64" s="78"/>
      <c r="CG64" s="78"/>
      <c r="CH64" s="78"/>
      <c r="CJ64" s="78"/>
      <c r="DE64" s="80"/>
      <c r="DF64" s="80"/>
      <c r="DG64" s="106"/>
      <c r="DH64" s="106"/>
      <c r="DI64" s="106"/>
      <c r="DJ64" s="106"/>
      <c r="DK64" s="106"/>
      <c r="DL64" s="106"/>
      <c r="DM64" s="106"/>
    </row>
    <row r="65" spans="8:117" x14ac:dyDescent="0.25">
      <c r="H65" s="80" t="str">
        <f>IFERROR(MP_DATA[[#This Row],[Bottom '[m']]]-MP_DATA[[#This Row],[D, top '[m']]], "")</f>
        <v/>
      </c>
      <c r="I65" s="80" t="str">
        <f>IFERROR(-(MP_DATA[[#This Row],[D, bottom '[m']]]-MP_DATA[[#This Row],[D, top '[m']]])/(MP_DATA[[#This Row],[Bottom '[m']]]-MP_DATA[[#This Row],[Top '[m']]]),"")</f>
        <v/>
      </c>
      <c r="J65" s="80" t="str">
        <f t="shared" si="3"/>
        <v/>
      </c>
      <c r="K65" s="80" t="str">
        <f>IFERROR((MP_DATA[[#This Row],[D, bottom '[m']]]+MP_DATA[[#This Row],[D, top '[m']]])/(2*MP_DATA[[#This Row],[t '[mm']]]/1000),"")</f>
        <v/>
      </c>
      <c r="L65" s="80"/>
      <c r="AO65" s="80" t="str">
        <f>IFERROR(TP_DATA[[#This Row],[Bottom '[m']]]-TP_DATA[[#This Row],[D, top '[m']]], "")</f>
        <v/>
      </c>
      <c r="AP65" s="80" t="str">
        <f>IFERROR(-(TP_DATA[[#This Row],[D, bottom '[m']]]-TP_DATA[[#This Row],[D, top '[m']]])/(TP_DATA[[#This Row],[Bottom '[m']]]-TP_DATA[[#This Row],[Top '[m']]]),"")</f>
        <v/>
      </c>
      <c r="AQ65" s="80" t="str">
        <f t="shared" si="1"/>
        <v/>
      </c>
      <c r="AR65" s="80" t="str">
        <f>IFERROR((TP_DATA[[#This Row],[D, bottom '[m']]]+TP_DATA[[#This Row],[D, top '[m']]])/(2*TP_DATA[[#This Row],[t '[mm']]]/1000),"")</f>
        <v/>
      </c>
      <c r="AS65" s="80"/>
      <c r="BW65" s="80" t="str">
        <f>IFERROR(TOWER_DATA[[#This Row],[Bottom '[m']]]-TOWER_DATA[[#This Row],[D, top '[m']]], "")</f>
        <v/>
      </c>
      <c r="BX65" s="80" t="str">
        <f>IFERROR(-(TOWER_DATA[[#This Row],[D, bottom '[m']]]-TOWER_DATA[[#This Row],[D, top '[m']]])/(TOWER_DATA[[#This Row],[Bottom '[m']]]-TOWER_DATA[[#This Row],[Top '[m']]]),"")</f>
        <v/>
      </c>
      <c r="BY65" s="80" t="str">
        <f t="shared" si="2"/>
        <v/>
      </c>
      <c r="BZ65" s="80" t="str">
        <f>IFERROR((TOWER_DATA[[#This Row],[D, bottom '[m']]]+TOWER_DATA[[#This Row],[D, top '[m']]])/(2*TOWER_DATA[[#This Row],[t '[mm']]]/1000),"")</f>
        <v/>
      </c>
      <c r="CA65" s="80"/>
      <c r="CF65" s="78"/>
      <c r="CG65" s="78"/>
      <c r="CH65" s="78"/>
      <c r="CJ65" s="78"/>
      <c r="DE65" s="80"/>
      <c r="DF65" s="80"/>
      <c r="DG65" s="106"/>
      <c r="DH65" s="106"/>
      <c r="DI65" s="106"/>
      <c r="DJ65" s="106"/>
      <c r="DK65" s="106"/>
      <c r="DL65" s="106"/>
      <c r="DM65" s="106"/>
    </row>
    <row r="66" spans="8:117" x14ac:dyDescent="0.25">
      <c r="H66" s="80" t="str">
        <f>IFERROR(MP_DATA[[#This Row],[Bottom '[m']]]-MP_DATA[[#This Row],[D, top '[m']]], "")</f>
        <v/>
      </c>
      <c r="I66" s="80" t="str">
        <f>IFERROR(-(MP_DATA[[#This Row],[D, bottom '[m']]]-MP_DATA[[#This Row],[D, top '[m']]])/(MP_DATA[[#This Row],[Bottom '[m']]]-MP_DATA[[#This Row],[Top '[m']]]),"")</f>
        <v/>
      </c>
      <c r="J66" s="80" t="str">
        <f t="shared" si="3"/>
        <v/>
      </c>
      <c r="K66" s="80" t="str">
        <f>IFERROR((MP_DATA[[#This Row],[D, bottom '[m']]]+MP_DATA[[#This Row],[D, top '[m']]])/(2*MP_DATA[[#This Row],[t '[mm']]]/1000),"")</f>
        <v/>
      </c>
      <c r="L66" s="80" t="str">
        <f>IFERROR((MP_DATA[[#This Row],[D, bottom '[m']]]+#REF!)/(2*#REF!/1000),"")</f>
        <v/>
      </c>
      <c r="AO66" s="80" t="str">
        <f>IFERROR(TP_DATA[[#This Row],[Bottom '[m']]]-TP_DATA[[#This Row],[D, top '[m']]], "")</f>
        <v/>
      </c>
      <c r="AP66" s="80" t="str">
        <f>IFERROR(-(TP_DATA[[#This Row],[D, bottom '[m']]]-TP_DATA[[#This Row],[D, top '[m']]])/(TP_DATA[[#This Row],[Bottom '[m']]]-TP_DATA[[#This Row],[Top '[m']]]),"")</f>
        <v/>
      </c>
      <c r="AQ66" s="80" t="str">
        <f t="shared" si="1"/>
        <v/>
      </c>
      <c r="AR66" s="80" t="str">
        <f>IFERROR((TP_DATA[[#This Row],[D, bottom '[m']]]+TP_DATA[[#This Row],[D, top '[m']]])/(2*TP_DATA[[#This Row],[t '[mm']]]/1000),"")</f>
        <v/>
      </c>
      <c r="AS66" s="80" t="str">
        <f>IFERROR((TP_DATA[[#This Row],[D, bottom '[m']]]+#REF!)/(2*#REF!/1000),"")</f>
        <v/>
      </c>
      <c r="BW66" s="80" t="str">
        <f>IFERROR(TOWER_DATA[[#This Row],[Bottom '[m']]]-TOWER_DATA[[#This Row],[D, top '[m']]], "")</f>
        <v/>
      </c>
      <c r="BX66" s="80" t="str">
        <f>IFERROR(-(TOWER_DATA[[#This Row],[D, bottom '[m']]]-TOWER_DATA[[#This Row],[D, top '[m']]])/(TOWER_DATA[[#This Row],[Bottom '[m']]]-TOWER_DATA[[#This Row],[Top '[m']]]),"")</f>
        <v/>
      </c>
      <c r="BY66" s="80" t="str">
        <f t="shared" si="2"/>
        <v/>
      </c>
      <c r="BZ66" s="80" t="str">
        <f>IFERROR((TOWER_DATA[[#This Row],[D, bottom '[m']]]+TOWER_DATA[[#This Row],[D, top '[m']]])/(2*TOWER_DATA[[#This Row],[t '[mm']]]/1000),"")</f>
        <v/>
      </c>
      <c r="CA66" s="80" t="str">
        <f>IFERROR((TOWER_DATA[[#This Row],[D, bottom '[m']]]+#REF!)/(2*#REF!/1000),"")</f>
        <v/>
      </c>
      <c r="CF66" s="78"/>
      <c r="CG66" s="78"/>
      <c r="CH66" s="78"/>
      <c r="CJ66" s="78"/>
      <c r="DE66" s="80"/>
      <c r="DF66" s="80"/>
      <c r="DG66" s="106"/>
      <c r="DH66" s="106"/>
      <c r="DI66" s="106"/>
      <c r="DJ66" s="106"/>
      <c r="DK66" s="106"/>
      <c r="DL66" s="106"/>
      <c r="DM66" s="106"/>
    </row>
    <row r="67" spans="8:117" x14ac:dyDescent="0.25">
      <c r="H67" s="80" t="str">
        <f>IFERROR(MP_DATA[[#This Row],[Bottom '[m']]]-MP_DATA[[#This Row],[D, top '[m']]], "")</f>
        <v/>
      </c>
      <c r="I67" s="80" t="str">
        <f>IFERROR(-(MP_DATA[[#This Row],[D, bottom '[m']]]-MP_DATA[[#This Row],[D, top '[m']]])/(MP_DATA[[#This Row],[Bottom '[m']]]-MP_DATA[[#This Row],[Top '[m']]]),"")</f>
        <v/>
      </c>
      <c r="J67" s="80" t="str">
        <f t="shared" si="3"/>
        <v/>
      </c>
      <c r="K67" s="80" t="str">
        <f>IFERROR((MP_DATA[[#This Row],[D, bottom '[m']]]+MP_DATA[[#This Row],[D, top '[m']]])/(2*MP_DATA[[#This Row],[t '[mm']]]/1000),"")</f>
        <v/>
      </c>
      <c r="L67" s="80" t="str">
        <f>IFERROR((MP_DATA[[#This Row],[D, bottom '[m']]]+#REF!)/(2*#REF!/1000),"")</f>
        <v/>
      </c>
      <c r="AO67" s="80" t="str">
        <f>IFERROR(TP_DATA[[#This Row],[Bottom '[m']]]-TP_DATA[[#This Row],[D, top '[m']]], "")</f>
        <v/>
      </c>
      <c r="AP67" s="80" t="str">
        <f>IFERROR(-(TP_DATA[[#This Row],[D, bottom '[m']]]-TP_DATA[[#This Row],[D, top '[m']]])/(TP_DATA[[#This Row],[Bottom '[m']]]-TP_DATA[[#This Row],[Top '[m']]]),"")</f>
        <v/>
      </c>
      <c r="AQ67" s="80" t="str">
        <f t="shared" si="1"/>
        <v/>
      </c>
      <c r="AR67" s="80" t="str">
        <f>IFERROR((TP_DATA[[#This Row],[D, bottom '[m']]]+TP_DATA[[#This Row],[D, top '[m']]])/(2*TP_DATA[[#This Row],[t '[mm']]]/1000),"")</f>
        <v/>
      </c>
      <c r="AS67" s="80" t="str">
        <f>IFERROR((TP_DATA[[#This Row],[D, bottom '[m']]]+#REF!)/(2*#REF!/1000),"")</f>
        <v/>
      </c>
      <c r="BW67" s="80" t="str">
        <f>IFERROR(TOWER_DATA[[#This Row],[Bottom '[m']]]-TOWER_DATA[[#This Row],[D, top '[m']]], "")</f>
        <v/>
      </c>
      <c r="BX67" s="80" t="str">
        <f>IFERROR(-(TOWER_DATA[[#This Row],[D, bottom '[m']]]-TOWER_DATA[[#This Row],[D, top '[m']]])/(TOWER_DATA[[#This Row],[Bottom '[m']]]-TOWER_DATA[[#This Row],[Top '[m']]]),"")</f>
        <v/>
      </c>
      <c r="BY67" s="80" t="str">
        <f t="shared" si="2"/>
        <v/>
      </c>
      <c r="BZ67" s="80" t="str">
        <f>IFERROR((TOWER_DATA[[#This Row],[D, bottom '[m']]]+TOWER_DATA[[#This Row],[D, top '[m']]])/(2*TOWER_DATA[[#This Row],[t '[mm']]]/1000),"")</f>
        <v/>
      </c>
      <c r="CA67" s="80" t="str">
        <f>IFERROR((TOWER_DATA[[#This Row],[D, bottom '[m']]]+#REF!)/(2*#REF!/1000),"")</f>
        <v/>
      </c>
      <c r="CF67" s="78"/>
      <c r="CG67" s="78"/>
      <c r="CH67" s="78"/>
      <c r="CJ67" s="78"/>
      <c r="DE67" s="80"/>
      <c r="DF67" s="80"/>
      <c r="DG67" s="106"/>
      <c r="DH67" s="106"/>
      <c r="DI67" s="106"/>
      <c r="DJ67" s="106"/>
      <c r="DK67" s="106"/>
      <c r="DL67" s="106"/>
      <c r="DM67" s="106"/>
    </row>
    <row r="68" spans="8:117" x14ac:dyDescent="0.25">
      <c r="H68" s="80" t="str">
        <f>IFERROR(MP_DATA[[#This Row],[Bottom '[m']]]-MP_DATA[[#This Row],[D, top '[m']]], "")</f>
        <v/>
      </c>
      <c r="I68" s="80" t="str">
        <f>IFERROR(-(MP_DATA[[#This Row],[D, bottom '[m']]]-MP_DATA[[#This Row],[D, top '[m']]])/(MP_DATA[[#This Row],[Bottom '[m']]]-MP_DATA[[#This Row],[Top '[m']]]),"")</f>
        <v/>
      </c>
      <c r="J68" s="80" t="str">
        <f t="shared" si="3"/>
        <v/>
      </c>
      <c r="K68" s="80" t="str">
        <f>IFERROR((MP_DATA[[#This Row],[D, bottom '[m']]]+MP_DATA[[#This Row],[D, top '[m']]])/(2*MP_DATA[[#This Row],[t '[mm']]]/1000),"")</f>
        <v/>
      </c>
      <c r="L68" s="80" t="str">
        <f>IFERROR((MP_DATA[[#This Row],[D, bottom '[m']]]+#REF!)/(2*#REF!/1000),"")</f>
        <v/>
      </c>
      <c r="AO68" s="80" t="str">
        <f>IFERROR(TP_DATA[[#This Row],[Bottom '[m']]]-TP_DATA[[#This Row],[D, top '[m']]], "")</f>
        <v/>
      </c>
      <c r="AP68" s="80" t="str">
        <f>IFERROR(-(TP_DATA[[#This Row],[D, bottom '[m']]]-TP_DATA[[#This Row],[D, top '[m']]])/(TP_DATA[[#This Row],[Bottom '[m']]]-TP_DATA[[#This Row],[Top '[m']]]),"")</f>
        <v/>
      </c>
      <c r="AQ68" s="80" t="str">
        <f t="shared" si="1"/>
        <v/>
      </c>
      <c r="AR68" s="80" t="str">
        <f>IFERROR((TP_DATA[[#This Row],[D, bottom '[m']]]+TP_DATA[[#This Row],[D, top '[m']]])/(2*TP_DATA[[#This Row],[t '[mm']]]/1000),"")</f>
        <v/>
      </c>
      <c r="AS68" s="80" t="str">
        <f>IFERROR((TP_DATA[[#This Row],[D, bottom '[m']]]+#REF!)/(2*#REF!/1000),"")</f>
        <v/>
      </c>
      <c r="BW68" s="80" t="str">
        <f>IFERROR(TOWER_DATA[[#This Row],[Bottom '[m']]]-TOWER_DATA[[#This Row],[D, top '[m']]], "")</f>
        <v/>
      </c>
      <c r="BX68" s="80" t="str">
        <f>IFERROR(-(TOWER_DATA[[#This Row],[D, bottom '[m']]]-TOWER_DATA[[#This Row],[D, top '[m']]])/(TOWER_DATA[[#This Row],[Bottom '[m']]]-TOWER_DATA[[#This Row],[Top '[m']]]),"")</f>
        <v/>
      </c>
      <c r="BY68" s="80" t="str">
        <f t="shared" si="2"/>
        <v/>
      </c>
      <c r="BZ68" s="80" t="str">
        <f>IFERROR((TOWER_DATA[[#This Row],[D, bottom '[m']]]+TOWER_DATA[[#This Row],[D, top '[m']]])/(2*TOWER_DATA[[#This Row],[t '[mm']]]/1000),"")</f>
        <v/>
      </c>
      <c r="CA68" s="80" t="str">
        <f>IFERROR((TOWER_DATA[[#This Row],[D, bottom '[m']]]+#REF!)/(2*#REF!/1000),"")</f>
        <v/>
      </c>
      <c r="CF68" s="78"/>
      <c r="CG68" s="78"/>
      <c r="CH68" s="78"/>
      <c r="CJ68" s="78"/>
      <c r="DE68" s="80"/>
      <c r="DF68" s="80"/>
      <c r="DG68" s="106"/>
      <c r="DH68" s="106"/>
      <c r="DI68" s="106"/>
      <c r="DJ68" s="106"/>
      <c r="DK68" s="106"/>
      <c r="DL68" s="106"/>
      <c r="DM68" s="106"/>
    </row>
    <row r="69" spans="8:117" x14ac:dyDescent="0.25">
      <c r="H69" s="80" t="str">
        <f>IFERROR(MP_DATA[[#This Row],[Bottom '[m']]]-MP_DATA[[#This Row],[D, top '[m']]], "")</f>
        <v/>
      </c>
      <c r="I69" s="80" t="str">
        <f>IFERROR(-(MP_DATA[[#This Row],[D, bottom '[m']]]-MP_DATA[[#This Row],[D, top '[m']]])/(MP_DATA[[#This Row],[Bottom '[m']]]-MP_DATA[[#This Row],[Top '[m']]]),"")</f>
        <v/>
      </c>
      <c r="J69" s="80" t="str">
        <f t="shared" si="3"/>
        <v/>
      </c>
      <c r="K69" s="80" t="str">
        <f>IFERROR((MP_DATA[[#This Row],[D, bottom '[m']]]+MP_DATA[[#This Row],[D, top '[m']]])/(2*MP_DATA[[#This Row],[t '[mm']]]/1000),"")</f>
        <v/>
      </c>
      <c r="L69" s="80" t="str">
        <f>IFERROR((MP_DATA[[#This Row],[D, bottom '[m']]]+#REF!)/(2*#REF!/1000),"")</f>
        <v/>
      </c>
      <c r="AO69" s="80" t="str">
        <f>IFERROR(TP_DATA[[#This Row],[Bottom '[m']]]-TP_DATA[[#This Row],[D, top '[m']]], "")</f>
        <v/>
      </c>
      <c r="AP69" s="80" t="str">
        <f>IFERROR(-(TP_DATA[[#This Row],[D, bottom '[m']]]-TP_DATA[[#This Row],[D, top '[m']]])/(TP_DATA[[#This Row],[Bottom '[m']]]-TP_DATA[[#This Row],[Top '[m']]]),"")</f>
        <v/>
      </c>
      <c r="AQ69" s="80" t="str">
        <f t="shared" si="1"/>
        <v/>
      </c>
      <c r="AR69" s="80" t="str">
        <f>IFERROR((TP_DATA[[#This Row],[D, bottom '[m']]]+TP_DATA[[#This Row],[D, top '[m']]])/(2*TP_DATA[[#This Row],[t '[mm']]]/1000),"")</f>
        <v/>
      </c>
      <c r="AS69" s="80" t="str">
        <f>IFERROR((TP_DATA[[#This Row],[D, bottom '[m']]]+#REF!)/(2*#REF!/1000),"")</f>
        <v/>
      </c>
      <c r="BW69" s="80" t="str">
        <f>IFERROR(TOWER_DATA[[#This Row],[Bottom '[m']]]-TOWER_DATA[[#This Row],[D, top '[m']]], "")</f>
        <v/>
      </c>
      <c r="BX69" s="80" t="str">
        <f>IFERROR(-(TOWER_DATA[[#This Row],[D, bottom '[m']]]-TOWER_DATA[[#This Row],[D, top '[m']]])/(TOWER_DATA[[#This Row],[Bottom '[m']]]-TOWER_DATA[[#This Row],[Top '[m']]]),"")</f>
        <v/>
      </c>
      <c r="BY69" s="80" t="str">
        <f t="shared" si="2"/>
        <v/>
      </c>
      <c r="BZ69" s="80" t="str">
        <f>IFERROR((TOWER_DATA[[#This Row],[D, bottom '[m']]]+TOWER_DATA[[#This Row],[D, top '[m']]])/(2*TOWER_DATA[[#This Row],[t '[mm']]]/1000),"")</f>
        <v/>
      </c>
      <c r="CA69" s="80" t="str">
        <f>IFERROR((TOWER_DATA[[#This Row],[D, bottom '[m']]]+#REF!)/(2*#REF!/1000),"")</f>
        <v/>
      </c>
      <c r="CF69" s="78"/>
      <c r="CG69" s="78"/>
      <c r="CH69" s="78"/>
      <c r="CJ69" s="78"/>
      <c r="DE69" s="80"/>
      <c r="DF69" s="80"/>
      <c r="DG69" s="106"/>
      <c r="DH69" s="106"/>
      <c r="DI69" s="106"/>
      <c r="DJ69" s="106"/>
      <c r="DK69" s="106"/>
      <c r="DL69" s="106"/>
      <c r="DM69" s="106"/>
    </row>
    <row r="70" spans="8:117" x14ac:dyDescent="0.25">
      <c r="H70" s="80" t="str">
        <f>IFERROR(MP_DATA[[#This Row],[Bottom '[m']]]-MP_DATA[[#This Row],[D, top '[m']]], "")</f>
        <v/>
      </c>
      <c r="I70" s="80" t="str">
        <f>IFERROR(-(MP_DATA[[#This Row],[D, bottom '[m']]]-MP_DATA[[#This Row],[D, top '[m']]])/(MP_DATA[[#This Row],[Bottom '[m']]]-MP_DATA[[#This Row],[Top '[m']]]),"")</f>
        <v/>
      </c>
      <c r="J70" s="80" t="str">
        <f t="shared" si="3"/>
        <v/>
      </c>
      <c r="K70" s="80" t="str">
        <f>IFERROR((MP_DATA[[#This Row],[D, bottom '[m']]]+MP_DATA[[#This Row],[D, top '[m']]])/(2*MP_DATA[[#This Row],[t '[mm']]]/1000),"")</f>
        <v/>
      </c>
      <c r="L70" s="80" t="str">
        <f>IFERROR((MP_DATA[[#This Row],[D, bottom '[m']]]+#REF!)/(2*#REF!/1000),"")</f>
        <v/>
      </c>
      <c r="AO70" s="80" t="str">
        <f>IFERROR(TP_DATA[[#This Row],[Bottom '[m']]]-TP_DATA[[#This Row],[D, top '[m']]], "")</f>
        <v/>
      </c>
      <c r="AP70" s="80" t="str">
        <f>IFERROR(-(TP_DATA[[#This Row],[D, bottom '[m']]]-TP_DATA[[#This Row],[D, top '[m']]])/(TP_DATA[[#This Row],[Bottom '[m']]]-TP_DATA[[#This Row],[Top '[m']]]),"")</f>
        <v/>
      </c>
      <c r="AQ70" s="80" t="str">
        <f t="shared" si="1"/>
        <v/>
      </c>
      <c r="AR70" s="80" t="str">
        <f>IFERROR((TP_DATA[[#This Row],[D, bottom '[m']]]+TP_DATA[[#This Row],[D, top '[m']]])/(2*TP_DATA[[#This Row],[t '[mm']]]/1000),"")</f>
        <v/>
      </c>
      <c r="AS70" s="80" t="str">
        <f>IFERROR((TP_DATA[[#This Row],[D, bottom '[m']]]+#REF!)/(2*#REF!/1000),"")</f>
        <v/>
      </c>
      <c r="BW70" s="80" t="str">
        <f>IFERROR(TOWER_DATA[[#This Row],[Bottom '[m']]]-TOWER_DATA[[#This Row],[D, top '[m']]], "")</f>
        <v/>
      </c>
      <c r="BX70" s="80" t="str">
        <f>IFERROR(-(TOWER_DATA[[#This Row],[D, bottom '[m']]]-TOWER_DATA[[#This Row],[D, top '[m']]])/(TOWER_DATA[[#This Row],[Bottom '[m']]]-TOWER_DATA[[#This Row],[Top '[m']]]),"")</f>
        <v/>
      </c>
      <c r="BY70" s="80" t="str">
        <f t="shared" si="2"/>
        <v/>
      </c>
      <c r="BZ70" s="80" t="str">
        <f>IFERROR((TOWER_DATA[[#This Row],[D, bottom '[m']]]+TOWER_DATA[[#This Row],[D, top '[m']]])/(2*TOWER_DATA[[#This Row],[t '[mm']]]/1000),"")</f>
        <v/>
      </c>
      <c r="CA70" s="80" t="str">
        <f>IFERROR((TOWER_DATA[[#This Row],[D, bottom '[m']]]+#REF!)/(2*#REF!/1000),"")</f>
        <v/>
      </c>
      <c r="CF70" s="78"/>
      <c r="CG70" s="78"/>
      <c r="CH70" s="78"/>
      <c r="CJ70" s="78"/>
      <c r="DE70" s="80"/>
      <c r="DF70" s="80"/>
      <c r="DG70" s="106"/>
      <c r="DH70" s="106"/>
      <c r="DI70" s="106"/>
      <c r="DJ70" s="106"/>
      <c r="DK70" s="106"/>
      <c r="DL70" s="106"/>
      <c r="DM70" s="106"/>
    </row>
    <row r="71" spans="8:117" x14ac:dyDescent="0.25">
      <c r="H71" s="80" t="str">
        <f>IFERROR(MP_DATA[[#This Row],[Bottom '[m']]]-MP_DATA[[#This Row],[D, top '[m']]], "")</f>
        <v/>
      </c>
      <c r="I71" s="80" t="str">
        <f>IFERROR(-(MP_DATA[[#This Row],[D, bottom '[m']]]-MP_DATA[[#This Row],[D, top '[m']]])/(MP_DATA[[#This Row],[Bottom '[m']]]-MP_DATA[[#This Row],[Top '[m']]]),"")</f>
        <v/>
      </c>
      <c r="J71" s="80" t="str">
        <f t="shared" si="3"/>
        <v/>
      </c>
      <c r="K71" s="80" t="str">
        <f>IFERROR((MP_DATA[[#This Row],[D, bottom '[m']]]+MP_DATA[[#This Row],[D, top '[m']]])/(2*MP_DATA[[#This Row],[t '[mm']]]/1000),"")</f>
        <v/>
      </c>
      <c r="L71" s="80" t="str">
        <f>IFERROR((MP_DATA[[#This Row],[D, bottom '[m']]]+#REF!)/(2*#REF!/1000),"")</f>
        <v/>
      </c>
      <c r="AO71" s="80" t="str">
        <f>IFERROR(TP_DATA[[#This Row],[Bottom '[m']]]-TP_DATA[[#This Row],[D, top '[m']]], "")</f>
        <v/>
      </c>
      <c r="AP71" s="80" t="str">
        <f>IFERROR(-(TP_DATA[[#This Row],[D, bottom '[m']]]-TP_DATA[[#This Row],[D, top '[m']]])/(TP_DATA[[#This Row],[Bottom '[m']]]-TP_DATA[[#This Row],[Top '[m']]]),"")</f>
        <v/>
      </c>
      <c r="AQ71" s="80" t="str">
        <f t="shared" si="1"/>
        <v/>
      </c>
      <c r="AR71" s="80" t="str">
        <f>IFERROR((TP_DATA[[#This Row],[D, bottom '[m']]]+TP_DATA[[#This Row],[D, top '[m']]])/(2*TP_DATA[[#This Row],[t '[mm']]]/1000),"")</f>
        <v/>
      </c>
      <c r="AS71" s="80" t="str">
        <f>IFERROR((TP_DATA[[#This Row],[D, bottom '[m']]]+#REF!)/(2*#REF!/1000),"")</f>
        <v/>
      </c>
      <c r="BW71" s="80" t="str">
        <f>IFERROR(TOWER_DATA[[#This Row],[Bottom '[m']]]-TOWER_DATA[[#This Row],[D, top '[m']]], "")</f>
        <v/>
      </c>
      <c r="BX71" s="80" t="str">
        <f>IFERROR(-(TOWER_DATA[[#This Row],[D, bottom '[m']]]-TOWER_DATA[[#This Row],[D, top '[m']]])/(TOWER_DATA[[#This Row],[Bottom '[m']]]-TOWER_DATA[[#This Row],[Top '[m']]]),"")</f>
        <v/>
      </c>
      <c r="BY71" s="80" t="str">
        <f t="shared" si="2"/>
        <v/>
      </c>
      <c r="BZ71" s="80" t="str">
        <f>IFERROR((TOWER_DATA[[#This Row],[D, bottom '[m']]]+TOWER_DATA[[#This Row],[D, top '[m']]])/(2*TOWER_DATA[[#This Row],[t '[mm']]]/1000),"")</f>
        <v/>
      </c>
      <c r="CA71" s="80" t="str">
        <f>IFERROR((TOWER_DATA[[#This Row],[D, bottom '[m']]]+#REF!)/(2*#REF!/1000),"")</f>
        <v/>
      </c>
      <c r="CF71" s="78"/>
      <c r="CG71" s="78"/>
      <c r="CH71" s="78"/>
      <c r="CJ71" s="78"/>
      <c r="DE71" s="80"/>
      <c r="DF71" s="80"/>
      <c r="DG71" s="106"/>
      <c r="DH71" s="106"/>
      <c r="DI71" s="106"/>
      <c r="DJ71" s="106"/>
      <c r="DK71" s="106"/>
      <c r="DL71" s="106"/>
      <c r="DM71" s="106"/>
    </row>
    <row r="72" spans="8:117" x14ac:dyDescent="0.25">
      <c r="H72" s="80" t="str">
        <f>IFERROR(MP_DATA[[#This Row],[Bottom '[m']]]-MP_DATA[[#This Row],[D, top '[m']]], "")</f>
        <v/>
      </c>
      <c r="I72" s="80" t="str">
        <f>IFERROR(-(MP_DATA[[#This Row],[D, bottom '[m']]]-MP_DATA[[#This Row],[D, top '[m']]])/(MP_DATA[[#This Row],[Bottom '[m']]]-MP_DATA[[#This Row],[Top '[m']]]),"")</f>
        <v/>
      </c>
      <c r="J72" s="80" t="str">
        <f t="shared" si="3"/>
        <v/>
      </c>
      <c r="K72" s="80" t="str">
        <f>IFERROR((MP_DATA[[#This Row],[D, bottom '[m']]]+MP_DATA[[#This Row],[D, top '[m']]])/(2*MP_DATA[[#This Row],[t '[mm']]]/1000),"")</f>
        <v/>
      </c>
      <c r="L72" s="80" t="str">
        <f>IFERROR((MP_DATA[[#This Row],[D, bottom '[m']]]+#REF!)/(2*#REF!/1000),"")</f>
        <v/>
      </c>
      <c r="AO72" s="80" t="str">
        <f>IFERROR(TP_DATA[[#This Row],[Bottom '[m']]]-TP_DATA[[#This Row],[D, top '[m']]], "")</f>
        <v/>
      </c>
      <c r="AP72" s="80" t="str">
        <f>IFERROR(-(TP_DATA[[#This Row],[D, bottom '[m']]]-TP_DATA[[#This Row],[D, top '[m']]])/(TP_DATA[[#This Row],[Bottom '[m']]]-TP_DATA[[#This Row],[Top '[m']]]),"")</f>
        <v/>
      </c>
      <c r="AQ72" s="80" t="str">
        <f t="shared" si="1"/>
        <v/>
      </c>
      <c r="AR72" s="80" t="str">
        <f>IFERROR((TP_DATA[[#This Row],[D, bottom '[m']]]+TP_DATA[[#This Row],[D, top '[m']]])/(2*TP_DATA[[#This Row],[t '[mm']]]/1000),"")</f>
        <v/>
      </c>
      <c r="AS72" s="80" t="str">
        <f>IFERROR((TP_DATA[[#This Row],[D, bottom '[m']]]+#REF!)/(2*#REF!/1000),"")</f>
        <v/>
      </c>
      <c r="BW72" s="80" t="str">
        <f>IFERROR(TOWER_DATA[[#This Row],[Bottom '[m']]]-TOWER_DATA[[#This Row],[D, top '[m']]], "")</f>
        <v/>
      </c>
      <c r="BX72" s="80" t="str">
        <f>IFERROR(-(TOWER_DATA[[#This Row],[D, bottom '[m']]]-TOWER_DATA[[#This Row],[D, top '[m']]])/(TOWER_DATA[[#This Row],[Bottom '[m']]]-TOWER_DATA[[#This Row],[Top '[m']]]),"")</f>
        <v/>
      </c>
      <c r="BY72" s="80" t="str">
        <f t="shared" si="2"/>
        <v/>
      </c>
      <c r="BZ72" s="80" t="str">
        <f>IFERROR((TOWER_DATA[[#This Row],[D, bottom '[m']]]+TOWER_DATA[[#This Row],[D, top '[m']]])/(2*TOWER_DATA[[#This Row],[t '[mm']]]/1000),"")</f>
        <v/>
      </c>
      <c r="CA72" s="80" t="str">
        <f>IFERROR((TOWER_DATA[[#This Row],[D, bottom '[m']]]+#REF!)/(2*#REF!/1000),"")</f>
        <v/>
      </c>
      <c r="CF72" s="78"/>
      <c r="CG72" s="78"/>
      <c r="CH72" s="78"/>
      <c r="CJ72" s="78"/>
      <c r="DE72" s="80"/>
      <c r="DF72" s="80"/>
      <c r="DG72" s="106"/>
      <c r="DH72" s="106"/>
      <c r="DI72" s="106"/>
      <c r="DJ72" s="106"/>
      <c r="DK72" s="106"/>
      <c r="DL72" s="106"/>
      <c r="DM72" s="106"/>
    </row>
    <row r="73" spans="8:117" x14ac:dyDescent="0.25">
      <c r="H73" s="80" t="str">
        <f>IFERROR(MP_DATA[[#This Row],[Bottom '[m']]]-MP_DATA[[#This Row],[D, top '[m']]], "")</f>
        <v/>
      </c>
      <c r="I73" s="80" t="str">
        <f>IFERROR(-(MP_DATA[[#This Row],[D, bottom '[m']]]-MP_DATA[[#This Row],[D, top '[m']]])/(MP_DATA[[#This Row],[Bottom '[m']]]-MP_DATA[[#This Row],[Top '[m']]]),"")</f>
        <v/>
      </c>
      <c r="J73" s="80" t="str">
        <f t="shared" si="3"/>
        <v/>
      </c>
      <c r="K73" s="80" t="str">
        <f>IFERROR((MP_DATA[[#This Row],[D, bottom '[m']]]+MP_DATA[[#This Row],[D, top '[m']]])/(2*MP_DATA[[#This Row],[t '[mm']]]/1000),"")</f>
        <v/>
      </c>
      <c r="L73" s="80" t="str">
        <f>IFERROR((MP_DATA[[#This Row],[D, bottom '[m']]]+#REF!)/(2*#REF!/1000),"")</f>
        <v/>
      </c>
      <c r="AO73" s="80" t="str">
        <f>IFERROR(TP_DATA[[#This Row],[Bottom '[m']]]-TP_DATA[[#This Row],[D, top '[m']]], "")</f>
        <v/>
      </c>
      <c r="AP73" s="80" t="str">
        <f>IFERROR(-(TP_DATA[[#This Row],[D, bottom '[m']]]-TP_DATA[[#This Row],[D, top '[m']]])/(TP_DATA[[#This Row],[Bottom '[m']]]-TP_DATA[[#This Row],[Top '[m']]]),"")</f>
        <v/>
      </c>
      <c r="AQ73" s="80" t="str">
        <f t="shared" si="1"/>
        <v/>
      </c>
      <c r="AR73" s="80" t="str">
        <f>IFERROR((TP_DATA[[#This Row],[D, bottom '[m']]]+TP_DATA[[#This Row],[D, top '[m']]])/(2*TP_DATA[[#This Row],[t '[mm']]]/1000),"")</f>
        <v/>
      </c>
      <c r="AS73" s="80" t="str">
        <f>IFERROR((TP_DATA[[#This Row],[D, bottom '[m']]]+#REF!)/(2*#REF!/1000),"")</f>
        <v/>
      </c>
      <c r="BW73" s="80" t="str">
        <f>IFERROR(TOWER_DATA[[#This Row],[Bottom '[m']]]-TOWER_DATA[[#This Row],[D, top '[m']]], "")</f>
        <v/>
      </c>
      <c r="BX73" s="80" t="str">
        <f>IFERROR(-(TOWER_DATA[[#This Row],[D, bottom '[m']]]-TOWER_DATA[[#This Row],[D, top '[m']]])/(TOWER_DATA[[#This Row],[Bottom '[m']]]-TOWER_DATA[[#This Row],[Top '[m']]]),"")</f>
        <v/>
      </c>
      <c r="BY73" s="80" t="str">
        <f t="shared" si="2"/>
        <v/>
      </c>
      <c r="BZ73" s="80" t="str">
        <f>IFERROR((TOWER_DATA[[#This Row],[D, bottom '[m']]]+TOWER_DATA[[#This Row],[D, top '[m']]])/(2*TOWER_DATA[[#This Row],[t '[mm']]]/1000),"")</f>
        <v/>
      </c>
      <c r="CA73" s="80" t="str">
        <f>IFERROR((TOWER_DATA[[#This Row],[D, bottom '[m']]]+#REF!)/(2*#REF!/1000),"")</f>
        <v/>
      </c>
      <c r="CF73" s="78"/>
      <c r="CG73" s="78"/>
      <c r="CH73" s="78"/>
      <c r="CJ73" s="78"/>
      <c r="DE73" s="80"/>
      <c r="DF73" s="80"/>
      <c r="DG73" s="106"/>
      <c r="DH73" s="106"/>
      <c r="DI73" s="106"/>
      <c r="DJ73" s="106"/>
      <c r="DK73" s="106"/>
      <c r="DL73" s="106"/>
      <c r="DM73" s="106"/>
    </row>
    <row r="74" spans="8:117" x14ac:dyDescent="0.25">
      <c r="H74" s="80" t="str">
        <f>IFERROR(MP_DATA[[#This Row],[Bottom '[m']]]-MP_DATA[[#This Row],[D, top '[m']]], "")</f>
        <v/>
      </c>
      <c r="I74" s="80" t="str">
        <f>IFERROR(-(MP_DATA[[#This Row],[D, bottom '[m']]]-MP_DATA[[#This Row],[D, top '[m']]])/(MP_DATA[[#This Row],[Bottom '[m']]]-MP_DATA[[#This Row],[Top '[m']]]),"")</f>
        <v/>
      </c>
      <c r="J74" s="80" t="str">
        <f t="shared" si="3"/>
        <v/>
      </c>
      <c r="K74" s="80" t="str">
        <f>IFERROR((MP_DATA[[#This Row],[D, bottom '[m']]]+MP_DATA[[#This Row],[D, top '[m']]])/(2*MP_DATA[[#This Row],[t '[mm']]]/1000),"")</f>
        <v/>
      </c>
      <c r="L74" s="80" t="str">
        <f>IFERROR((MP_DATA[[#This Row],[D, bottom '[m']]]+#REF!)/(2*#REF!/1000),"")</f>
        <v/>
      </c>
      <c r="AO74" s="80" t="str">
        <f>IFERROR(TP_DATA[[#This Row],[Bottom '[m']]]-TP_DATA[[#This Row],[D, top '[m']]], "")</f>
        <v/>
      </c>
      <c r="AP74" s="80" t="str">
        <f>IFERROR(-(TP_DATA[[#This Row],[D, bottom '[m']]]-TP_DATA[[#This Row],[D, top '[m']]])/(TP_DATA[[#This Row],[Bottom '[m']]]-TP_DATA[[#This Row],[Top '[m']]]),"")</f>
        <v/>
      </c>
      <c r="AQ74" s="80" t="str">
        <f t="shared" si="1"/>
        <v/>
      </c>
      <c r="AR74" s="80" t="str">
        <f>IFERROR((TP_DATA[[#This Row],[D, bottom '[m']]]+TP_DATA[[#This Row],[D, top '[m']]])/(2*TP_DATA[[#This Row],[t '[mm']]]/1000),"")</f>
        <v/>
      </c>
      <c r="AS74" s="80" t="str">
        <f>IFERROR((TP_DATA[[#This Row],[D, bottom '[m']]]+#REF!)/(2*#REF!/1000),"")</f>
        <v/>
      </c>
      <c r="BW74" s="80" t="str">
        <f>IFERROR(TOWER_DATA[[#This Row],[Bottom '[m']]]-TOWER_DATA[[#This Row],[D, top '[m']]], "")</f>
        <v/>
      </c>
      <c r="BX74" s="80" t="str">
        <f>IFERROR(-(TOWER_DATA[[#This Row],[D, bottom '[m']]]-TOWER_DATA[[#This Row],[D, top '[m']]])/(TOWER_DATA[[#This Row],[Bottom '[m']]]-TOWER_DATA[[#This Row],[Top '[m']]]),"")</f>
        <v/>
      </c>
      <c r="BY74" s="80" t="str">
        <f t="shared" si="2"/>
        <v/>
      </c>
      <c r="BZ74" s="80" t="str">
        <f>IFERROR((TOWER_DATA[[#This Row],[D, bottom '[m']]]+TOWER_DATA[[#This Row],[D, top '[m']]])/(2*TOWER_DATA[[#This Row],[t '[mm']]]/1000),"")</f>
        <v/>
      </c>
      <c r="CA74" s="80" t="str">
        <f>IFERROR((TOWER_DATA[[#This Row],[D, bottom '[m']]]+#REF!)/(2*#REF!/1000),"")</f>
        <v/>
      </c>
      <c r="CF74" s="78"/>
      <c r="CG74" s="78"/>
      <c r="CH74" s="78"/>
      <c r="CJ74" s="78"/>
      <c r="DE74" s="80"/>
      <c r="DF74" s="80"/>
      <c r="DG74" s="106"/>
      <c r="DH74" s="106"/>
      <c r="DI74" s="106"/>
      <c r="DJ74" s="106"/>
      <c r="DK74" s="106"/>
      <c r="DL74" s="106"/>
      <c r="DM74" s="106"/>
    </row>
    <row r="75" spans="8:117" x14ac:dyDescent="0.25">
      <c r="H75" s="80" t="str">
        <f>IFERROR(MP_DATA[[#This Row],[Bottom '[m']]]-MP_DATA[[#This Row],[D, top '[m']]], "")</f>
        <v/>
      </c>
      <c r="I75" s="80" t="str">
        <f>IFERROR(-(MP_DATA[[#This Row],[D, bottom '[m']]]-MP_DATA[[#This Row],[D, top '[m']]])/(MP_DATA[[#This Row],[Bottom '[m']]]-MP_DATA[[#This Row],[Top '[m']]]),"")</f>
        <v/>
      </c>
      <c r="J75" s="80" t="str">
        <f t="shared" si="3"/>
        <v/>
      </c>
      <c r="K75" s="80" t="str">
        <f>IFERROR((MP_DATA[[#This Row],[D, bottom '[m']]]+MP_DATA[[#This Row],[D, top '[m']]])/(2*MP_DATA[[#This Row],[t '[mm']]]/1000),"")</f>
        <v/>
      </c>
      <c r="L75" s="80" t="str">
        <f>IFERROR((MP_DATA[[#This Row],[D, bottom '[m']]]+#REF!)/(2*#REF!/1000),"")</f>
        <v/>
      </c>
      <c r="AO75" s="80" t="str">
        <f>IFERROR(TP_DATA[[#This Row],[Bottom '[m']]]-TP_DATA[[#This Row],[D, top '[m']]], "")</f>
        <v/>
      </c>
      <c r="AP75" s="80" t="str">
        <f>IFERROR(-(TP_DATA[[#This Row],[D, bottom '[m']]]-TP_DATA[[#This Row],[D, top '[m']]])/(TP_DATA[[#This Row],[Bottom '[m']]]-TP_DATA[[#This Row],[Top '[m']]]),"")</f>
        <v/>
      </c>
      <c r="AQ75" s="80" t="str">
        <f t="shared" si="1"/>
        <v/>
      </c>
      <c r="AR75" s="80" t="str">
        <f>IFERROR((TP_DATA[[#This Row],[D, bottom '[m']]]+TP_DATA[[#This Row],[D, top '[m']]])/(2*TP_DATA[[#This Row],[t '[mm']]]/1000),"")</f>
        <v/>
      </c>
      <c r="AS75" s="80" t="str">
        <f>IFERROR((TP_DATA[[#This Row],[D, bottom '[m']]]+#REF!)/(2*#REF!/1000),"")</f>
        <v/>
      </c>
      <c r="BW75" s="80" t="str">
        <f>IFERROR(TOWER_DATA[[#This Row],[Bottom '[m']]]-TOWER_DATA[[#This Row],[D, top '[m']]], "")</f>
        <v/>
      </c>
      <c r="BX75" s="80" t="str">
        <f>IFERROR(-(TOWER_DATA[[#This Row],[D, bottom '[m']]]-TOWER_DATA[[#This Row],[D, top '[m']]])/(TOWER_DATA[[#This Row],[Bottom '[m']]]-TOWER_DATA[[#This Row],[Top '[m']]]),"")</f>
        <v/>
      </c>
      <c r="BY75" s="80" t="str">
        <f t="shared" si="2"/>
        <v/>
      </c>
      <c r="BZ75" s="80" t="str">
        <f>IFERROR((TOWER_DATA[[#This Row],[D, bottom '[m']]]+TOWER_DATA[[#This Row],[D, top '[m']]])/(2*TOWER_DATA[[#This Row],[t '[mm']]]/1000),"")</f>
        <v/>
      </c>
      <c r="CA75" s="80" t="str">
        <f>IFERROR((TOWER_DATA[[#This Row],[D, bottom '[m']]]+#REF!)/(2*#REF!/1000),"")</f>
        <v/>
      </c>
      <c r="CF75" s="78"/>
      <c r="CG75" s="78"/>
      <c r="CH75" s="78"/>
      <c r="CJ75" s="78"/>
      <c r="DE75" s="80"/>
      <c r="DF75" s="80"/>
      <c r="DG75" s="106"/>
      <c r="DH75" s="106"/>
      <c r="DI75" s="106"/>
      <c r="DJ75" s="106"/>
      <c r="DK75" s="106"/>
      <c r="DL75" s="106"/>
      <c r="DM75" s="106"/>
    </row>
    <row r="76" spans="8:117" x14ac:dyDescent="0.25">
      <c r="H76" s="80" t="str">
        <f>IFERROR(MP_DATA[[#This Row],[Bottom '[m']]]-MP_DATA[[#This Row],[D, top '[m']]], "")</f>
        <v/>
      </c>
      <c r="I76" s="80" t="str">
        <f>IFERROR(-(MP_DATA[[#This Row],[D, bottom '[m']]]-MP_DATA[[#This Row],[D, top '[m']]])/(MP_DATA[[#This Row],[Bottom '[m']]]-MP_DATA[[#This Row],[Top '[m']]]),"")</f>
        <v/>
      </c>
      <c r="J76" s="80" t="str">
        <f t="shared" si="3"/>
        <v/>
      </c>
      <c r="K76" s="80" t="str">
        <f>IFERROR((MP_DATA[[#This Row],[D, bottom '[m']]]+MP_DATA[[#This Row],[D, top '[m']]])/(2*MP_DATA[[#This Row],[t '[mm']]]/1000),"")</f>
        <v/>
      </c>
      <c r="L76" s="80" t="str">
        <f>IFERROR((MP_DATA[[#This Row],[D, bottom '[m']]]+#REF!)/(2*#REF!/1000),"")</f>
        <v/>
      </c>
      <c r="AO76" s="80" t="str">
        <f>IFERROR(TP_DATA[[#This Row],[Bottom '[m']]]-TP_DATA[[#This Row],[D, top '[m']]], "")</f>
        <v/>
      </c>
      <c r="AP76" s="80" t="str">
        <f>IFERROR(-(TP_DATA[[#This Row],[D, bottom '[m']]]-TP_DATA[[#This Row],[D, top '[m']]])/(TP_DATA[[#This Row],[Bottom '[m']]]-TP_DATA[[#This Row],[Top '[m']]]),"")</f>
        <v/>
      </c>
      <c r="AQ76" s="80" t="str">
        <f t="shared" si="1"/>
        <v/>
      </c>
      <c r="AR76" s="80" t="str">
        <f>IFERROR((TP_DATA[[#This Row],[D, bottom '[m']]]+TP_DATA[[#This Row],[D, top '[m']]])/(2*TP_DATA[[#This Row],[t '[mm']]]/1000),"")</f>
        <v/>
      </c>
      <c r="AS76" s="80" t="str">
        <f>IFERROR((TP_DATA[[#This Row],[D, bottom '[m']]]+#REF!)/(2*#REF!/1000),"")</f>
        <v/>
      </c>
      <c r="BW76" s="80" t="str">
        <f>IFERROR(TOWER_DATA[[#This Row],[Bottom '[m']]]-TOWER_DATA[[#This Row],[D, top '[m']]], "")</f>
        <v/>
      </c>
      <c r="BX76" s="80" t="str">
        <f>IFERROR(-(TOWER_DATA[[#This Row],[D, bottom '[m']]]-TOWER_DATA[[#This Row],[D, top '[m']]])/(TOWER_DATA[[#This Row],[Bottom '[m']]]-TOWER_DATA[[#This Row],[Top '[m']]]),"")</f>
        <v/>
      </c>
      <c r="BY76" s="80" t="str">
        <f t="shared" si="2"/>
        <v/>
      </c>
      <c r="BZ76" s="80" t="str">
        <f>IFERROR((TOWER_DATA[[#This Row],[D, bottom '[m']]]+TOWER_DATA[[#This Row],[D, top '[m']]])/(2*TOWER_DATA[[#This Row],[t '[mm']]]/1000),"")</f>
        <v/>
      </c>
      <c r="CA76" s="80" t="str">
        <f>IFERROR((TOWER_DATA[[#This Row],[D, bottom '[m']]]+#REF!)/(2*#REF!/1000),"")</f>
        <v/>
      </c>
      <c r="CF76" s="78"/>
      <c r="CG76" s="78"/>
      <c r="CH76" s="78"/>
      <c r="CJ76" s="78"/>
      <c r="DE76" s="80"/>
      <c r="DF76" s="80"/>
      <c r="DG76" s="106"/>
      <c r="DH76" s="106"/>
      <c r="DI76" s="106"/>
      <c r="DJ76" s="106"/>
      <c r="DK76" s="106"/>
      <c r="DL76" s="106"/>
      <c r="DM76" s="106"/>
    </row>
    <row r="77" spans="8:117" x14ac:dyDescent="0.25">
      <c r="H77" s="80" t="str">
        <f>IFERROR(MP_DATA[[#This Row],[Bottom '[m']]]-MP_DATA[[#This Row],[D, top '[m']]], "")</f>
        <v/>
      </c>
      <c r="I77" s="80" t="str">
        <f>IFERROR(-(MP_DATA[[#This Row],[D, bottom '[m']]]-MP_DATA[[#This Row],[D, top '[m']]])/(MP_DATA[[#This Row],[Bottom '[m']]]-MP_DATA[[#This Row],[Top '[m']]]),"")</f>
        <v/>
      </c>
      <c r="J77" s="80" t="str">
        <f t="shared" si="3"/>
        <v/>
      </c>
      <c r="K77" s="80" t="str">
        <f>IFERROR((MP_DATA[[#This Row],[D, bottom '[m']]]+MP_DATA[[#This Row],[D, top '[m']]])/(2*MP_DATA[[#This Row],[t '[mm']]]/1000),"")</f>
        <v/>
      </c>
      <c r="L77" s="80" t="str">
        <f>IFERROR((MP_DATA[[#This Row],[D, bottom '[m']]]+#REF!)/(2*#REF!/1000),"")</f>
        <v/>
      </c>
      <c r="AO77" s="80" t="str">
        <f>IFERROR(TP_DATA[[#This Row],[Bottom '[m']]]-TP_DATA[[#This Row],[D, top '[m']]], "")</f>
        <v/>
      </c>
      <c r="AP77" s="80" t="str">
        <f>IFERROR(-(TP_DATA[[#This Row],[D, bottom '[m']]]-TP_DATA[[#This Row],[D, top '[m']]])/(TP_DATA[[#This Row],[Bottom '[m']]]-TP_DATA[[#This Row],[Top '[m']]]),"")</f>
        <v/>
      </c>
      <c r="AQ77" s="80" t="str">
        <f t="shared" si="1"/>
        <v/>
      </c>
      <c r="AR77" s="80" t="str">
        <f>IFERROR((TP_DATA[[#This Row],[D, bottom '[m']]]+TP_DATA[[#This Row],[D, top '[m']]])/(2*TP_DATA[[#This Row],[t '[mm']]]/1000),"")</f>
        <v/>
      </c>
      <c r="AS77" s="80" t="str">
        <f>IFERROR((TP_DATA[[#This Row],[D, bottom '[m']]]+#REF!)/(2*#REF!/1000),"")</f>
        <v/>
      </c>
      <c r="BW77" s="80" t="str">
        <f>IFERROR(TOWER_DATA[[#This Row],[Bottom '[m']]]-TOWER_DATA[[#This Row],[D, top '[m']]], "")</f>
        <v/>
      </c>
      <c r="BX77" s="80" t="str">
        <f>IFERROR(-(TOWER_DATA[[#This Row],[D, bottom '[m']]]-TOWER_DATA[[#This Row],[D, top '[m']]])/(TOWER_DATA[[#This Row],[Bottom '[m']]]-TOWER_DATA[[#This Row],[Top '[m']]]),"")</f>
        <v/>
      </c>
      <c r="BY77" s="80" t="str">
        <f t="shared" si="2"/>
        <v/>
      </c>
      <c r="BZ77" s="80" t="str">
        <f>IFERROR((TOWER_DATA[[#This Row],[D, bottom '[m']]]+TOWER_DATA[[#This Row],[D, top '[m']]])/(2*TOWER_DATA[[#This Row],[t '[mm']]]/1000),"")</f>
        <v/>
      </c>
      <c r="CA77" s="80" t="str">
        <f>IFERROR((TOWER_DATA[[#This Row],[D, bottom '[m']]]+#REF!)/(2*#REF!/1000),"")</f>
        <v/>
      </c>
      <c r="CF77" s="78"/>
      <c r="CG77" s="78"/>
      <c r="CH77" s="78"/>
      <c r="CJ77" s="78"/>
      <c r="DE77" s="80"/>
      <c r="DF77" s="80"/>
      <c r="DG77" s="106"/>
      <c r="DH77" s="106"/>
      <c r="DI77" s="106"/>
      <c r="DJ77" s="106"/>
      <c r="DK77" s="106"/>
      <c r="DL77" s="106"/>
      <c r="DM77" s="106"/>
    </row>
    <row r="78" spans="8:117" x14ac:dyDescent="0.25">
      <c r="H78" s="80" t="str">
        <f>IFERROR(MP_DATA[[#This Row],[Bottom '[m']]]-MP_DATA[[#This Row],[D, top '[m']]], "")</f>
        <v/>
      </c>
      <c r="I78" s="80" t="str">
        <f>IFERROR(-(MP_DATA[[#This Row],[D, bottom '[m']]]-MP_DATA[[#This Row],[D, top '[m']]])/(MP_DATA[[#This Row],[Bottom '[m']]]-MP_DATA[[#This Row],[Top '[m']]]),"")</f>
        <v/>
      </c>
      <c r="J78" s="80" t="str">
        <f t="shared" si="3"/>
        <v/>
      </c>
      <c r="K78" s="80" t="str">
        <f>IFERROR((MP_DATA[[#This Row],[D, bottom '[m']]]+MP_DATA[[#This Row],[D, top '[m']]])/(2*MP_DATA[[#This Row],[t '[mm']]]/1000),"")</f>
        <v/>
      </c>
      <c r="L78" s="80" t="str">
        <f>IFERROR((MP_DATA[[#This Row],[D, bottom '[m']]]+#REF!)/(2*#REF!/1000),"")</f>
        <v/>
      </c>
      <c r="AO78" s="80" t="str">
        <f>IFERROR(TP_DATA[[#This Row],[Bottom '[m']]]-TP_DATA[[#This Row],[D, top '[m']]], "")</f>
        <v/>
      </c>
      <c r="AP78" s="80" t="str">
        <f>IFERROR(-(TP_DATA[[#This Row],[D, bottom '[m']]]-TP_DATA[[#This Row],[D, top '[m']]])/(TP_DATA[[#This Row],[Bottom '[m']]]-TP_DATA[[#This Row],[Top '[m']]]),"")</f>
        <v/>
      </c>
      <c r="AQ78" s="80" t="str">
        <f t="shared" si="1"/>
        <v/>
      </c>
      <c r="AR78" s="80" t="str">
        <f>IFERROR((TP_DATA[[#This Row],[D, bottom '[m']]]+TP_DATA[[#This Row],[D, top '[m']]])/(2*TP_DATA[[#This Row],[t '[mm']]]/1000),"")</f>
        <v/>
      </c>
      <c r="AS78" s="80" t="str">
        <f>IFERROR((TP_DATA[[#This Row],[D, bottom '[m']]]+#REF!)/(2*#REF!/1000),"")</f>
        <v/>
      </c>
      <c r="BW78" s="80" t="str">
        <f>IFERROR(TOWER_DATA[[#This Row],[Bottom '[m']]]-TOWER_DATA[[#This Row],[D, top '[m']]], "")</f>
        <v/>
      </c>
      <c r="BX78" s="80" t="str">
        <f>IFERROR(-(TOWER_DATA[[#This Row],[D, bottom '[m']]]-TOWER_DATA[[#This Row],[D, top '[m']]])/(TOWER_DATA[[#This Row],[Bottom '[m']]]-TOWER_DATA[[#This Row],[Top '[m']]]),"")</f>
        <v/>
      </c>
      <c r="BY78" s="80" t="str">
        <f t="shared" si="2"/>
        <v/>
      </c>
      <c r="BZ78" s="80" t="str">
        <f>IFERROR((TOWER_DATA[[#This Row],[D, bottom '[m']]]+TOWER_DATA[[#This Row],[D, top '[m']]])/(2*TOWER_DATA[[#This Row],[t '[mm']]]/1000),"")</f>
        <v/>
      </c>
      <c r="CA78" s="80" t="str">
        <f>IFERROR((TOWER_DATA[[#This Row],[D, bottom '[m']]]+#REF!)/(2*#REF!/1000),"")</f>
        <v/>
      </c>
      <c r="CF78" s="78"/>
      <c r="CG78" s="78"/>
      <c r="CH78" s="78"/>
      <c r="CJ78" s="78"/>
      <c r="DE78" s="80"/>
      <c r="DF78" s="80"/>
      <c r="DG78" s="106"/>
      <c r="DH78" s="106"/>
      <c r="DI78" s="106"/>
      <c r="DJ78" s="106"/>
      <c r="DK78" s="106"/>
      <c r="DL78" s="106"/>
      <c r="DM78" s="106"/>
    </row>
    <row r="79" spans="8:117" x14ac:dyDescent="0.25">
      <c r="H79" s="80" t="str">
        <f>IFERROR(MP_DATA[[#This Row],[Bottom '[m']]]-MP_DATA[[#This Row],[D, top '[m']]], "")</f>
        <v/>
      </c>
      <c r="I79" s="80" t="str">
        <f>IFERROR(-(MP_DATA[[#This Row],[D, bottom '[m']]]-MP_DATA[[#This Row],[D, top '[m']]])/(MP_DATA[[#This Row],[Bottom '[m']]]-MP_DATA[[#This Row],[Top '[m']]]),"")</f>
        <v/>
      </c>
      <c r="J79" s="80" t="str">
        <f t="shared" si="3"/>
        <v/>
      </c>
      <c r="K79" s="80" t="str">
        <f>IFERROR((MP_DATA[[#This Row],[D, bottom '[m']]]+MP_DATA[[#This Row],[D, top '[m']]])/(2*MP_DATA[[#This Row],[t '[mm']]]/1000),"")</f>
        <v/>
      </c>
      <c r="L79" s="80" t="str">
        <f>IFERROR((MP_DATA[[#This Row],[D, bottom '[m']]]+#REF!)/(2*#REF!/1000),"")</f>
        <v/>
      </c>
      <c r="AO79" s="80" t="str">
        <f>IFERROR(TP_DATA[[#This Row],[Bottom '[m']]]-TP_DATA[[#This Row],[D, top '[m']]], "")</f>
        <v/>
      </c>
      <c r="AP79" s="80" t="str">
        <f>IFERROR(-(TP_DATA[[#This Row],[D, bottom '[m']]]-TP_DATA[[#This Row],[D, top '[m']]])/(TP_DATA[[#This Row],[Bottom '[m']]]-TP_DATA[[#This Row],[Top '[m']]]),"")</f>
        <v/>
      </c>
      <c r="AQ79" s="80" t="str">
        <f t="shared" si="1"/>
        <v/>
      </c>
      <c r="AR79" s="80" t="str">
        <f>IFERROR((TP_DATA[[#This Row],[D, bottom '[m']]]+TP_DATA[[#This Row],[D, top '[m']]])/(2*TP_DATA[[#This Row],[t '[mm']]]/1000),"")</f>
        <v/>
      </c>
      <c r="AS79" s="80" t="str">
        <f>IFERROR((TP_DATA[[#This Row],[D, bottom '[m']]]+#REF!)/(2*#REF!/1000),"")</f>
        <v/>
      </c>
      <c r="BW79" s="80" t="str">
        <f>IFERROR(TOWER_DATA[[#This Row],[Bottom '[m']]]-TOWER_DATA[[#This Row],[D, top '[m']]], "")</f>
        <v/>
      </c>
      <c r="BX79" s="80" t="str">
        <f>IFERROR(-(TOWER_DATA[[#This Row],[D, bottom '[m']]]-TOWER_DATA[[#This Row],[D, top '[m']]])/(TOWER_DATA[[#This Row],[Bottom '[m']]]-TOWER_DATA[[#This Row],[Top '[m']]]),"")</f>
        <v/>
      </c>
      <c r="BY79" s="80" t="str">
        <f t="shared" si="2"/>
        <v/>
      </c>
      <c r="BZ79" s="80" t="str">
        <f>IFERROR((TOWER_DATA[[#This Row],[D, bottom '[m']]]+TOWER_DATA[[#This Row],[D, top '[m']]])/(2*TOWER_DATA[[#This Row],[t '[mm']]]/1000),"")</f>
        <v/>
      </c>
      <c r="CA79" s="80" t="str">
        <f>IFERROR((TOWER_DATA[[#This Row],[D, bottom '[m']]]+#REF!)/(2*#REF!/1000),"")</f>
        <v/>
      </c>
      <c r="CF79" s="78"/>
      <c r="CG79" s="78"/>
      <c r="CH79" s="78"/>
      <c r="CJ79" s="78"/>
      <c r="DE79" s="80"/>
      <c r="DF79" s="80"/>
      <c r="DG79" s="106"/>
      <c r="DH79" s="106"/>
      <c r="DI79" s="106"/>
      <c r="DJ79" s="106"/>
      <c r="DK79" s="106"/>
      <c r="DL79" s="106"/>
      <c r="DM79" s="106"/>
    </row>
    <row r="80" spans="8:117" x14ac:dyDescent="0.25">
      <c r="H80" s="80" t="str">
        <f>IFERROR(MP_DATA[[#This Row],[Bottom '[m']]]-MP_DATA[[#This Row],[D, top '[m']]], "")</f>
        <v/>
      </c>
      <c r="I80" s="80" t="str">
        <f>IFERROR(-(MP_DATA[[#This Row],[D, bottom '[m']]]-MP_DATA[[#This Row],[D, top '[m']]])/(MP_DATA[[#This Row],[Bottom '[m']]]-MP_DATA[[#This Row],[Top '[m']]]),"")</f>
        <v/>
      </c>
      <c r="J80" s="80" t="str">
        <f t="shared" si="3"/>
        <v/>
      </c>
      <c r="K80" s="80" t="str">
        <f>IFERROR((MP_DATA[[#This Row],[D, bottom '[m']]]+MP_DATA[[#This Row],[D, top '[m']]])/(2*MP_DATA[[#This Row],[t '[mm']]]/1000),"")</f>
        <v/>
      </c>
      <c r="L80" s="80" t="str">
        <f>IFERROR((MP_DATA[[#This Row],[D, bottom '[m']]]+#REF!)/(2*#REF!/1000),"")</f>
        <v/>
      </c>
      <c r="AO80" s="80" t="str">
        <f>IFERROR(TP_DATA[[#This Row],[Bottom '[m']]]-TP_DATA[[#This Row],[D, top '[m']]], "")</f>
        <v/>
      </c>
      <c r="AP80" s="80" t="str">
        <f>IFERROR(-(TP_DATA[[#This Row],[D, bottom '[m']]]-TP_DATA[[#This Row],[D, top '[m']]])/(TP_DATA[[#This Row],[Bottom '[m']]]-TP_DATA[[#This Row],[Top '[m']]]),"")</f>
        <v/>
      </c>
      <c r="AQ80" s="80" t="str">
        <f t="shared" si="1"/>
        <v/>
      </c>
      <c r="AR80" s="80" t="str">
        <f>IFERROR((TP_DATA[[#This Row],[D, bottom '[m']]]+TP_DATA[[#This Row],[D, top '[m']]])/(2*TP_DATA[[#This Row],[t '[mm']]]/1000),"")</f>
        <v/>
      </c>
      <c r="AS80" s="80" t="str">
        <f>IFERROR((TP_DATA[[#This Row],[D, bottom '[m']]]+#REF!)/(2*#REF!/1000),"")</f>
        <v/>
      </c>
      <c r="BW80" s="80" t="str">
        <f>IFERROR(TOWER_DATA[[#This Row],[Bottom '[m']]]-TOWER_DATA[[#This Row],[D, top '[m']]], "")</f>
        <v/>
      </c>
      <c r="BX80" s="80" t="str">
        <f>IFERROR(-(TOWER_DATA[[#This Row],[D, bottom '[m']]]-TOWER_DATA[[#This Row],[D, top '[m']]])/(TOWER_DATA[[#This Row],[Bottom '[m']]]-TOWER_DATA[[#This Row],[Top '[m']]]),"")</f>
        <v/>
      </c>
      <c r="BY80" s="80" t="str">
        <f t="shared" si="2"/>
        <v/>
      </c>
      <c r="BZ80" s="80" t="str">
        <f>IFERROR((TOWER_DATA[[#This Row],[D, bottom '[m']]]+TOWER_DATA[[#This Row],[D, top '[m']]])/(2*TOWER_DATA[[#This Row],[t '[mm']]]/1000),"")</f>
        <v/>
      </c>
      <c r="CA80" s="80" t="str">
        <f>IFERROR((TOWER_DATA[[#This Row],[D, bottom '[m']]]+#REF!)/(2*#REF!/1000),"")</f>
        <v/>
      </c>
      <c r="CF80" s="78"/>
      <c r="CG80" s="78"/>
      <c r="CH80" s="78"/>
      <c r="CJ80" s="78"/>
      <c r="DE80" s="80"/>
      <c r="DF80" s="80"/>
      <c r="DG80" s="106"/>
      <c r="DH80" s="106"/>
      <c r="DI80" s="106"/>
      <c r="DJ80" s="106"/>
      <c r="DK80" s="106"/>
      <c r="DL80" s="106"/>
      <c r="DM80" s="106"/>
    </row>
    <row r="81" spans="8:117" x14ac:dyDescent="0.25">
      <c r="H81" s="80" t="str">
        <f>IFERROR(MP_DATA[[#This Row],[Bottom '[m']]]-MP_DATA[[#This Row],[D, top '[m']]], "")</f>
        <v/>
      </c>
      <c r="I81" s="80" t="str">
        <f>IFERROR(-(MP_DATA[[#This Row],[D, bottom '[m']]]-MP_DATA[[#This Row],[D, top '[m']]])/(MP_DATA[[#This Row],[Bottom '[m']]]-MP_DATA[[#This Row],[Top '[m']]]),"")</f>
        <v/>
      </c>
      <c r="J81" s="80" t="str">
        <f t="shared" si="3"/>
        <v/>
      </c>
      <c r="K81" s="80" t="str">
        <f>IFERROR((MP_DATA[[#This Row],[D, bottom '[m']]]+MP_DATA[[#This Row],[D, top '[m']]])/(2*MP_DATA[[#This Row],[t '[mm']]]/1000),"")</f>
        <v/>
      </c>
      <c r="L81" s="80" t="str">
        <f>IFERROR((MP_DATA[[#This Row],[D, bottom '[m']]]+#REF!)/(2*#REF!/1000),"")</f>
        <v/>
      </c>
      <c r="AO81" s="80" t="str">
        <f>IFERROR(TP_DATA[[#This Row],[Bottom '[m']]]-TP_DATA[[#This Row],[D, top '[m']]], "")</f>
        <v/>
      </c>
      <c r="AP81" s="80" t="str">
        <f>IFERROR(-(TP_DATA[[#This Row],[D, bottom '[m']]]-TP_DATA[[#This Row],[D, top '[m']]])/(TP_DATA[[#This Row],[Bottom '[m']]]-TP_DATA[[#This Row],[Top '[m']]]),"")</f>
        <v/>
      </c>
      <c r="AQ81" s="80" t="str">
        <f t="shared" si="1"/>
        <v/>
      </c>
      <c r="AR81" s="80" t="str">
        <f>IFERROR((TP_DATA[[#This Row],[D, bottom '[m']]]+TP_DATA[[#This Row],[D, top '[m']]])/(2*TP_DATA[[#This Row],[t '[mm']]]/1000),"")</f>
        <v/>
      </c>
      <c r="AS81" s="80" t="str">
        <f>IFERROR((TP_DATA[[#This Row],[D, bottom '[m']]]+#REF!)/(2*#REF!/1000),"")</f>
        <v/>
      </c>
      <c r="BW81" s="80" t="str">
        <f>IFERROR(TOWER_DATA[[#This Row],[Bottom '[m']]]-TOWER_DATA[[#This Row],[D, top '[m']]], "")</f>
        <v/>
      </c>
      <c r="BX81" s="80" t="str">
        <f>IFERROR(-(TOWER_DATA[[#This Row],[D, bottom '[m']]]-TOWER_DATA[[#This Row],[D, top '[m']]])/(TOWER_DATA[[#This Row],[Bottom '[m']]]-TOWER_DATA[[#This Row],[Top '[m']]]),"")</f>
        <v/>
      </c>
      <c r="BY81" s="80" t="str">
        <f t="shared" si="2"/>
        <v/>
      </c>
      <c r="BZ81" s="80" t="str">
        <f>IFERROR((TOWER_DATA[[#This Row],[D, bottom '[m']]]+TOWER_DATA[[#This Row],[D, top '[m']]])/(2*TOWER_DATA[[#This Row],[t '[mm']]]/1000),"")</f>
        <v/>
      </c>
      <c r="CA81" s="80" t="str">
        <f>IFERROR((TOWER_DATA[[#This Row],[D, bottom '[m']]]+#REF!)/(2*#REF!/1000),"")</f>
        <v/>
      </c>
      <c r="CF81" s="78"/>
      <c r="CG81" s="78"/>
      <c r="CH81" s="78"/>
      <c r="CJ81" s="78"/>
      <c r="DE81" s="80"/>
      <c r="DF81" s="80"/>
      <c r="DG81" s="106"/>
      <c r="DH81" s="106"/>
      <c r="DI81" s="106"/>
      <c r="DJ81" s="106"/>
      <c r="DK81" s="106"/>
      <c r="DL81" s="106"/>
      <c r="DM81" s="106"/>
    </row>
    <row r="82" spans="8:117" x14ac:dyDescent="0.25">
      <c r="H82" s="80" t="str">
        <f>IFERROR(MP_DATA[[#This Row],[Bottom '[m']]]-MP_DATA[[#This Row],[D, top '[m']]], "")</f>
        <v/>
      </c>
      <c r="I82" s="80" t="str">
        <f>IFERROR(-(MP_DATA[[#This Row],[D, bottom '[m']]]-MP_DATA[[#This Row],[D, top '[m']]])/(MP_DATA[[#This Row],[Bottom '[m']]]-MP_DATA[[#This Row],[Top '[m']]]),"")</f>
        <v/>
      </c>
      <c r="J82" s="80" t="str">
        <f t="shared" si="3"/>
        <v/>
      </c>
      <c r="K82" s="80" t="str">
        <f>IFERROR((MP_DATA[[#This Row],[D, bottom '[m']]]+MP_DATA[[#This Row],[D, top '[m']]])/(2*MP_DATA[[#This Row],[t '[mm']]]/1000),"")</f>
        <v/>
      </c>
      <c r="L82" s="80" t="str">
        <f>IFERROR((MP_DATA[[#This Row],[D, bottom '[m']]]+#REF!)/(2*#REF!/1000),"")</f>
        <v/>
      </c>
      <c r="AO82" s="80" t="str">
        <f>IFERROR(TP_DATA[[#This Row],[Bottom '[m']]]-TP_DATA[[#This Row],[D, top '[m']]], "")</f>
        <v/>
      </c>
      <c r="AP82" s="80" t="str">
        <f>IFERROR(-(TP_DATA[[#This Row],[D, bottom '[m']]]-TP_DATA[[#This Row],[D, top '[m']]])/(TP_DATA[[#This Row],[Bottom '[m']]]-TP_DATA[[#This Row],[Top '[m']]]),"")</f>
        <v/>
      </c>
      <c r="AQ82" s="80" t="str">
        <f t="shared" si="1"/>
        <v/>
      </c>
      <c r="AR82" s="80" t="str">
        <f>IFERROR((TP_DATA[[#This Row],[D, bottom '[m']]]+TP_DATA[[#This Row],[D, top '[m']]])/(2*TP_DATA[[#This Row],[t '[mm']]]/1000),"")</f>
        <v/>
      </c>
      <c r="AS82" s="80" t="str">
        <f>IFERROR((TP_DATA[[#This Row],[D, bottom '[m']]]+#REF!)/(2*#REF!/1000),"")</f>
        <v/>
      </c>
      <c r="BW82" s="80" t="str">
        <f>IFERROR(TOWER_DATA[[#This Row],[Bottom '[m']]]-TOWER_DATA[[#This Row],[D, top '[m']]], "")</f>
        <v/>
      </c>
      <c r="BX82" s="80" t="str">
        <f>IFERROR(-(TOWER_DATA[[#This Row],[D, bottom '[m']]]-TOWER_DATA[[#This Row],[D, top '[m']]])/(TOWER_DATA[[#This Row],[Bottom '[m']]]-TOWER_DATA[[#This Row],[Top '[m']]]),"")</f>
        <v/>
      </c>
      <c r="BY82" s="80" t="str">
        <f t="shared" si="2"/>
        <v/>
      </c>
      <c r="BZ82" s="80" t="str">
        <f>IFERROR((TOWER_DATA[[#This Row],[D, bottom '[m']]]+TOWER_DATA[[#This Row],[D, top '[m']]])/(2*TOWER_DATA[[#This Row],[t '[mm']]]/1000),"")</f>
        <v/>
      </c>
      <c r="CA82" s="80" t="str">
        <f>IFERROR((TOWER_DATA[[#This Row],[D, bottom '[m']]]+#REF!)/(2*#REF!/1000),"")</f>
        <v/>
      </c>
      <c r="CF82" s="78"/>
      <c r="CG82" s="78"/>
      <c r="CH82" s="78"/>
      <c r="CJ82" s="78"/>
      <c r="DE82" s="80"/>
      <c r="DF82" s="80"/>
      <c r="DG82" s="106"/>
      <c r="DH82" s="106"/>
      <c r="DI82" s="106"/>
      <c r="DJ82" s="106"/>
      <c r="DK82" s="106"/>
      <c r="DL82" s="106"/>
      <c r="DM82" s="106"/>
    </row>
    <row r="83" spans="8:117" x14ac:dyDescent="0.25">
      <c r="H83" s="80" t="str">
        <f>IFERROR(MP_DATA[[#This Row],[Bottom '[m']]]-MP_DATA[[#This Row],[D, top '[m']]], "")</f>
        <v/>
      </c>
      <c r="I83" s="80" t="str">
        <f>IFERROR(-(MP_DATA[[#This Row],[D, bottom '[m']]]-MP_DATA[[#This Row],[D, top '[m']]])/(MP_DATA[[#This Row],[Bottom '[m']]]-MP_DATA[[#This Row],[Top '[m']]]),"")</f>
        <v/>
      </c>
      <c r="J83" s="80" t="str">
        <f t="shared" si="3"/>
        <v/>
      </c>
      <c r="K83" s="80" t="str">
        <f>IFERROR((MP_DATA[[#This Row],[D, bottom '[m']]]+MP_DATA[[#This Row],[D, top '[m']]])/(2*MP_DATA[[#This Row],[t '[mm']]]/1000),"")</f>
        <v/>
      </c>
      <c r="L83" s="80" t="str">
        <f>IFERROR((MP_DATA[[#This Row],[D, bottom '[m']]]+#REF!)/(2*#REF!/1000),"")</f>
        <v/>
      </c>
      <c r="AO83" s="80" t="str">
        <f>IFERROR(TP_DATA[[#This Row],[Bottom '[m']]]-TP_DATA[[#This Row],[D, top '[m']]], "")</f>
        <v/>
      </c>
      <c r="AP83" s="80" t="str">
        <f>IFERROR(-(TP_DATA[[#This Row],[D, bottom '[m']]]-TP_DATA[[#This Row],[D, top '[m']]])/(TP_DATA[[#This Row],[Bottom '[m']]]-TP_DATA[[#This Row],[Top '[m']]]),"")</f>
        <v/>
      </c>
      <c r="AQ83" s="80" t="str">
        <f t="shared" si="1"/>
        <v/>
      </c>
      <c r="AR83" s="80" t="str">
        <f>IFERROR((TP_DATA[[#This Row],[D, bottom '[m']]]+TP_DATA[[#This Row],[D, top '[m']]])/(2*TP_DATA[[#This Row],[t '[mm']]]/1000),"")</f>
        <v/>
      </c>
      <c r="AS83" s="80" t="str">
        <f>IFERROR((TP_DATA[[#This Row],[D, bottom '[m']]]+#REF!)/(2*#REF!/1000),"")</f>
        <v/>
      </c>
      <c r="BW83" s="80" t="str">
        <f>IFERROR(TOWER_DATA[[#This Row],[Bottom '[m']]]-TOWER_DATA[[#This Row],[D, top '[m']]], "")</f>
        <v/>
      </c>
      <c r="BX83" s="80" t="str">
        <f>IFERROR(-(TOWER_DATA[[#This Row],[D, bottom '[m']]]-TOWER_DATA[[#This Row],[D, top '[m']]])/(TOWER_DATA[[#This Row],[Bottom '[m']]]-TOWER_DATA[[#This Row],[Top '[m']]]),"")</f>
        <v/>
      </c>
      <c r="BY83" s="80" t="str">
        <f t="shared" si="2"/>
        <v/>
      </c>
      <c r="BZ83" s="80" t="str">
        <f>IFERROR((TOWER_DATA[[#This Row],[D, bottom '[m']]]+TOWER_DATA[[#This Row],[D, top '[m']]])/(2*TOWER_DATA[[#This Row],[t '[mm']]]/1000),"")</f>
        <v/>
      </c>
      <c r="CA83" s="80" t="str">
        <f>IFERROR((TOWER_DATA[[#This Row],[D, bottom '[m']]]+#REF!)/(2*#REF!/1000),"")</f>
        <v/>
      </c>
      <c r="CF83" s="78"/>
      <c r="CG83" s="78"/>
      <c r="CH83" s="78"/>
      <c r="CJ83" s="78"/>
      <c r="DE83" s="80"/>
      <c r="DF83" s="80"/>
      <c r="DG83" s="106"/>
      <c r="DH83" s="106"/>
      <c r="DI83" s="106"/>
      <c r="DJ83" s="106"/>
      <c r="DK83" s="106"/>
      <c r="DL83" s="106"/>
      <c r="DM83" s="106"/>
    </row>
    <row r="84" spans="8:117" x14ac:dyDescent="0.25">
      <c r="H84" s="80" t="str">
        <f>IFERROR(MP_DATA[[#This Row],[Bottom '[m']]]-MP_DATA[[#This Row],[D, top '[m']]], "")</f>
        <v/>
      </c>
      <c r="I84" s="80" t="str">
        <f>IFERROR(-(MP_DATA[[#This Row],[D, bottom '[m']]]-MP_DATA[[#This Row],[D, top '[m']]])/(MP_DATA[[#This Row],[Bottom '[m']]]-MP_DATA[[#This Row],[Top '[m']]]),"")</f>
        <v/>
      </c>
      <c r="J84" s="80" t="str">
        <f t="shared" si="3"/>
        <v/>
      </c>
      <c r="K84" s="80" t="str">
        <f>IFERROR((MP_DATA[[#This Row],[D, bottom '[m']]]+MP_DATA[[#This Row],[D, top '[m']]])/(2*MP_DATA[[#This Row],[t '[mm']]]/1000),"")</f>
        <v/>
      </c>
      <c r="L84" s="80" t="str">
        <f>IFERROR((MP_DATA[[#This Row],[D, bottom '[m']]]+#REF!)/(2*#REF!/1000),"")</f>
        <v/>
      </c>
      <c r="AO84" s="80" t="str">
        <f>IFERROR(TP_DATA[[#This Row],[Bottom '[m']]]-TP_DATA[[#This Row],[D, top '[m']]], "")</f>
        <v/>
      </c>
      <c r="AP84" s="80" t="str">
        <f>IFERROR(-(TP_DATA[[#This Row],[D, bottom '[m']]]-TP_DATA[[#This Row],[D, top '[m']]])/(TP_DATA[[#This Row],[Bottom '[m']]]-TP_DATA[[#This Row],[Top '[m']]]),"")</f>
        <v/>
      </c>
      <c r="AQ84" s="80" t="str">
        <f t="shared" si="1"/>
        <v/>
      </c>
      <c r="AR84" s="80" t="str">
        <f>IFERROR((TP_DATA[[#This Row],[D, bottom '[m']]]+TP_DATA[[#This Row],[D, top '[m']]])/(2*TP_DATA[[#This Row],[t '[mm']]]/1000),"")</f>
        <v/>
      </c>
      <c r="AS84" s="80" t="str">
        <f>IFERROR((TP_DATA[[#This Row],[D, bottom '[m']]]+#REF!)/(2*#REF!/1000),"")</f>
        <v/>
      </c>
      <c r="BW84" s="80" t="str">
        <f>IFERROR(TOWER_DATA[[#This Row],[Bottom '[m']]]-TOWER_DATA[[#This Row],[D, top '[m']]], "")</f>
        <v/>
      </c>
      <c r="BX84" s="80" t="str">
        <f>IFERROR(-(TOWER_DATA[[#This Row],[D, bottom '[m']]]-TOWER_DATA[[#This Row],[D, top '[m']]])/(TOWER_DATA[[#This Row],[Bottom '[m']]]-TOWER_DATA[[#This Row],[Top '[m']]]),"")</f>
        <v/>
      </c>
      <c r="BY84" s="80" t="str">
        <f t="shared" si="2"/>
        <v/>
      </c>
      <c r="BZ84" s="80" t="str">
        <f>IFERROR((TOWER_DATA[[#This Row],[D, bottom '[m']]]+TOWER_DATA[[#This Row],[D, top '[m']]])/(2*TOWER_DATA[[#This Row],[t '[mm']]]/1000),"")</f>
        <v/>
      </c>
      <c r="CA84" s="80" t="str">
        <f>IFERROR((TOWER_DATA[[#This Row],[D, bottom '[m']]]+#REF!)/(2*#REF!/1000),"")</f>
        <v/>
      </c>
      <c r="CF84" s="78"/>
      <c r="CG84" s="78"/>
      <c r="CH84" s="78"/>
      <c r="CJ84" s="78"/>
      <c r="DE84" s="80"/>
      <c r="DF84" s="80"/>
      <c r="DG84" s="106"/>
      <c r="DH84" s="106"/>
      <c r="DI84" s="106"/>
      <c r="DJ84" s="106"/>
      <c r="DK84" s="106"/>
      <c r="DL84" s="106"/>
      <c r="DM84" s="106"/>
    </row>
    <row r="85" spans="8:117" x14ac:dyDescent="0.25">
      <c r="H85" s="80" t="str">
        <f>IFERROR(MP_DATA[[#This Row],[Bottom '[m']]]-MP_DATA[[#This Row],[D, top '[m']]], "")</f>
        <v/>
      </c>
      <c r="I85" s="80" t="str">
        <f>IFERROR(-(MP_DATA[[#This Row],[D, bottom '[m']]]-MP_DATA[[#This Row],[D, top '[m']]])/(MP_DATA[[#This Row],[Bottom '[m']]]-MP_DATA[[#This Row],[Top '[m']]]),"")</f>
        <v/>
      </c>
      <c r="J85" s="80" t="str">
        <f t="shared" si="3"/>
        <v/>
      </c>
      <c r="K85" s="80" t="str">
        <f>IFERROR((MP_DATA[[#This Row],[D, bottom '[m']]]+MP_DATA[[#This Row],[D, top '[m']]])/(2*MP_DATA[[#This Row],[t '[mm']]]/1000),"")</f>
        <v/>
      </c>
      <c r="L85" s="80" t="str">
        <f>IFERROR((MP_DATA[[#This Row],[D, bottom '[m']]]+#REF!)/(2*#REF!/1000),"")</f>
        <v/>
      </c>
      <c r="AO85" s="80" t="str">
        <f>IFERROR(TP_DATA[[#This Row],[Bottom '[m']]]-TP_DATA[[#This Row],[D, top '[m']]], "")</f>
        <v/>
      </c>
      <c r="AP85" s="80" t="str">
        <f>IFERROR(-(TP_DATA[[#This Row],[D, bottom '[m']]]-TP_DATA[[#This Row],[D, top '[m']]])/(TP_DATA[[#This Row],[Bottom '[m']]]-TP_DATA[[#This Row],[Top '[m']]]),"")</f>
        <v/>
      </c>
      <c r="AQ85" s="80" t="str">
        <f t="shared" si="1"/>
        <v/>
      </c>
      <c r="AR85" s="80" t="str">
        <f>IFERROR((TP_DATA[[#This Row],[D, bottom '[m']]]+TP_DATA[[#This Row],[D, top '[m']]])/(2*TP_DATA[[#This Row],[t '[mm']]]/1000),"")</f>
        <v/>
      </c>
      <c r="AS85" s="80" t="str">
        <f>IFERROR((TP_DATA[[#This Row],[D, bottom '[m']]]+#REF!)/(2*#REF!/1000),"")</f>
        <v/>
      </c>
      <c r="BW85" s="80" t="str">
        <f>IFERROR(TOWER_DATA[[#This Row],[Bottom '[m']]]-TOWER_DATA[[#This Row],[D, top '[m']]], "")</f>
        <v/>
      </c>
      <c r="BX85" s="80" t="str">
        <f>IFERROR(-(TOWER_DATA[[#This Row],[D, bottom '[m']]]-TOWER_DATA[[#This Row],[D, top '[m']]])/(TOWER_DATA[[#This Row],[Bottom '[m']]]-TOWER_DATA[[#This Row],[Top '[m']]]),"")</f>
        <v/>
      </c>
      <c r="BY85" s="80" t="str">
        <f t="shared" si="2"/>
        <v/>
      </c>
      <c r="BZ85" s="80" t="str">
        <f>IFERROR((TOWER_DATA[[#This Row],[D, bottom '[m']]]+TOWER_DATA[[#This Row],[D, top '[m']]])/(2*TOWER_DATA[[#This Row],[t '[mm']]]/1000),"")</f>
        <v/>
      </c>
      <c r="CA85" s="80" t="str">
        <f>IFERROR((TOWER_DATA[[#This Row],[D, bottom '[m']]]+#REF!)/(2*#REF!/1000),"")</f>
        <v/>
      </c>
      <c r="CF85" s="78"/>
      <c r="CG85" s="78"/>
      <c r="CH85" s="78"/>
      <c r="CJ85" s="78"/>
      <c r="DE85" s="80"/>
      <c r="DF85" s="80"/>
      <c r="DG85" s="106"/>
      <c r="DH85" s="106"/>
      <c r="DI85" s="106"/>
      <c r="DJ85" s="106"/>
      <c r="DK85" s="106"/>
      <c r="DL85" s="106"/>
      <c r="DM85" s="106"/>
    </row>
    <row r="86" spans="8:117" x14ac:dyDescent="0.25">
      <c r="H86" s="80" t="str">
        <f>IFERROR(MP_DATA[[#This Row],[Bottom '[m']]]-MP_DATA[[#This Row],[D, top '[m']]], "")</f>
        <v/>
      </c>
      <c r="I86" s="80" t="str">
        <f>IFERROR(-(MP_DATA[[#This Row],[D, bottom '[m']]]-MP_DATA[[#This Row],[D, top '[m']]])/(MP_DATA[[#This Row],[Bottom '[m']]]-MP_DATA[[#This Row],[Top '[m']]]),"")</f>
        <v/>
      </c>
      <c r="J86" s="80" t="str">
        <f t="shared" si="3"/>
        <v/>
      </c>
      <c r="K86" s="80" t="str">
        <f>IFERROR((MP_DATA[[#This Row],[D, bottom '[m']]]+MP_DATA[[#This Row],[D, top '[m']]])/(2*MP_DATA[[#This Row],[t '[mm']]]/1000),"")</f>
        <v/>
      </c>
      <c r="L86" s="80" t="str">
        <f>IFERROR((MP_DATA[[#This Row],[D, bottom '[m']]]+#REF!)/(2*#REF!/1000),"")</f>
        <v/>
      </c>
      <c r="AO86" s="80" t="str">
        <f>IFERROR(TP_DATA[[#This Row],[Bottom '[m']]]-TP_DATA[[#This Row],[D, top '[m']]], "")</f>
        <v/>
      </c>
      <c r="AP86" s="80" t="str">
        <f>IFERROR(-(TP_DATA[[#This Row],[D, bottom '[m']]]-TP_DATA[[#This Row],[D, top '[m']]])/(TP_DATA[[#This Row],[Bottom '[m']]]-TP_DATA[[#This Row],[Top '[m']]]),"")</f>
        <v/>
      </c>
      <c r="AQ86" s="80" t="str">
        <f t="shared" si="1"/>
        <v/>
      </c>
      <c r="AR86" s="80" t="str">
        <f>IFERROR((TP_DATA[[#This Row],[D, bottom '[m']]]+TP_DATA[[#This Row],[D, top '[m']]])/(2*TP_DATA[[#This Row],[t '[mm']]]/1000),"")</f>
        <v/>
      </c>
      <c r="AS86" s="80" t="str">
        <f>IFERROR((TP_DATA[[#This Row],[D, bottom '[m']]]+#REF!)/(2*#REF!/1000),"")</f>
        <v/>
      </c>
      <c r="BW86" s="80" t="str">
        <f>IFERROR(TOWER_DATA[[#This Row],[Bottom '[m']]]-TOWER_DATA[[#This Row],[D, top '[m']]], "")</f>
        <v/>
      </c>
      <c r="BX86" s="80" t="str">
        <f>IFERROR(-(TOWER_DATA[[#This Row],[D, bottom '[m']]]-TOWER_DATA[[#This Row],[D, top '[m']]])/(TOWER_DATA[[#This Row],[Bottom '[m']]]-TOWER_DATA[[#This Row],[Top '[m']]]),"")</f>
        <v/>
      </c>
      <c r="BY86" s="80" t="str">
        <f t="shared" si="2"/>
        <v/>
      </c>
      <c r="BZ86" s="80" t="str">
        <f>IFERROR((TOWER_DATA[[#This Row],[D, bottom '[m']]]+TOWER_DATA[[#This Row],[D, top '[m']]])/(2*TOWER_DATA[[#This Row],[t '[mm']]]/1000),"")</f>
        <v/>
      </c>
      <c r="CA86" s="80" t="str">
        <f>IFERROR((TOWER_DATA[[#This Row],[D, bottom '[m']]]+#REF!)/(2*#REF!/1000),"")</f>
        <v/>
      </c>
      <c r="CF86" s="78"/>
      <c r="CG86" s="78"/>
      <c r="CH86" s="78"/>
      <c r="CJ86" s="78"/>
      <c r="DE86" s="80"/>
      <c r="DF86" s="80"/>
      <c r="DG86" s="106"/>
      <c r="DH86" s="106"/>
      <c r="DI86" s="106"/>
      <c r="DJ86" s="106"/>
      <c r="DK86" s="106"/>
      <c r="DL86" s="106"/>
      <c r="DM86" s="106"/>
    </row>
    <row r="87" spans="8:117" x14ac:dyDescent="0.25">
      <c r="H87" s="80" t="str">
        <f>IFERROR(MP_DATA[[#This Row],[Bottom '[m']]]-MP_DATA[[#This Row],[D, top '[m']]], "")</f>
        <v/>
      </c>
      <c r="I87" s="80" t="str">
        <f>IFERROR(-(MP_DATA[[#This Row],[D, bottom '[m']]]-MP_DATA[[#This Row],[D, top '[m']]])/(MP_DATA[[#This Row],[Bottom '[m']]]-MP_DATA[[#This Row],[Top '[m']]]),"")</f>
        <v/>
      </c>
      <c r="J87" s="80" t="str">
        <f t="shared" si="3"/>
        <v/>
      </c>
      <c r="K87" s="80" t="str">
        <f>IFERROR((MP_DATA[[#This Row],[D, bottom '[m']]]+MP_DATA[[#This Row],[D, top '[m']]])/(2*MP_DATA[[#This Row],[t '[mm']]]/1000),"")</f>
        <v/>
      </c>
      <c r="L87" s="80" t="str">
        <f>IFERROR((MP_DATA[[#This Row],[D, bottom '[m']]]+#REF!)/(2*#REF!/1000),"")</f>
        <v/>
      </c>
      <c r="AO87" s="80" t="str">
        <f>IFERROR(TP_DATA[[#This Row],[Bottom '[m']]]-TP_DATA[[#This Row],[D, top '[m']]], "")</f>
        <v/>
      </c>
      <c r="AP87" s="80" t="str">
        <f>IFERROR(-(TP_DATA[[#This Row],[D, bottom '[m']]]-TP_DATA[[#This Row],[D, top '[m']]])/(TP_DATA[[#This Row],[Bottom '[m']]]-TP_DATA[[#This Row],[Top '[m']]]),"")</f>
        <v/>
      </c>
      <c r="AQ87" s="80" t="str">
        <f t="shared" si="1"/>
        <v/>
      </c>
      <c r="AR87" s="80" t="str">
        <f>IFERROR((TP_DATA[[#This Row],[D, bottom '[m']]]+TP_DATA[[#This Row],[D, top '[m']]])/(2*TP_DATA[[#This Row],[t '[mm']]]/1000),"")</f>
        <v/>
      </c>
      <c r="AS87" s="80" t="str">
        <f>IFERROR((TP_DATA[[#This Row],[D, bottom '[m']]]+#REF!)/(2*#REF!/1000),"")</f>
        <v/>
      </c>
      <c r="BW87" s="80" t="str">
        <f>IFERROR(TOWER_DATA[[#This Row],[Bottom '[m']]]-TOWER_DATA[[#This Row],[D, top '[m']]], "")</f>
        <v/>
      </c>
      <c r="BX87" s="80" t="str">
        <f>IFERROR(-(TOWER_DATA[[#This Row],[D, bottom '[m']]]-TOWER_DATA[[#This Row],[D, top '[m']]])/(TOWER_DATA[[#This Row],[Bottom '[m']]]-TOWER_DATA[[#This Row],[Top '[m']]]),"")</f>
        <v/>
      </c>
      <c r="BY87" s="80" t="str">
        <f t="shared" si="2"/>
        <v/>
      </c>
      <c r="BZ87" s="80" t="str">
        <f>IFERROR((TOWER_DATA[[#This Row],[D, bottom '[m']]]+TOWER_DATA[[#This Row],[D, top '[m']]])/(2*TOWER_DATA[[#This Row],[t '[mm']]]/1000),"")</f>
        <v/>
      </c>
      <c r="CA87" s="80" t="str">
        <f>IFERROR((TOWER_DATA[[#This Row],[D, bottom '[m']]]+#REF!)/(2*#REF!/1000),"")</f>
        <v/>
      </c>
      <c r="CF87" s="78"/>
      <c r="CG87" s="78"/>
      <c r="CH87" s="78"/>
      <c r="CJ87" s="78"/>
      <c r="DE87" s="80"/>
      <c r="DF87" s="80"/>
      <c r="DG87" s="106"/>
      <c r="DH87" s="106"/>
      <c r="DI87" s="106"/>
      <c r="DJ87" s="106"/>
      <c r="DK87" s="106"/>
      <c r="DL87" s="106"/>
      <c r="DM87" s="106"/>
    </row>
    <row r="88" spans="8:117" x14ac:dyDescent="0.25">
      <c r="H88" s="80" t="str">
        <f>IFERROR(MP_DATA[[#This Row],[Bottom '[m']]]-MP_DATA[[#This Row],[D, top '[m']]], "")</f>
        <v/>
      </c>
      <c r="I88" s="80" t="str">
        <f>IFERROR(-(MP_DATA[[#This Row],[D, bottom '[m']]]-MP_DATA[[#This Row],[D, top '[m']]])/(MP_DATA[[#This Row],[Bottom '[m']]]-MP_DATA[[#This Row],[Top '[m']]]),"")</f>
        <v/>
      </c>
      <c r="J88" s="80" t="str">
        <f t="shared" si="3"/>
        <v/>
      </c>
      <c r="K88" s="80" t="str">
        <f>IFERROR((MP_DATA[[#This Row],[D, bottom '[m']]]+MP_DATA[[#This Row],[D, top '[m']]])/(2*MP_DATA[[#This Row],[t '[mm']]]/1000),"")</f>
        <v/>
      </c>
      <c r="L88" s="80" t="str">
        <f>IFERROR((MP_DATA[[#This Row],[D, bottom '[m']]]+#REF!)/(2*#REF!/1000),"")</f>
        <v/>
      </c>
      <c r="AO88" s="80" t="str">
        <f>IFERROR(TP_DATA[[#This Row],[Bottom '[m']]]-TP_DATA[[#This Row],[D, top '[m']]], "")</f>
        <v/>
      </c>
      <c r="AP88" s="80" t="str">
        <f>IFERROR(-(TP_DATA[[#This Row],[D, bottom '[m']]]-TP_DATA[[#This Row],[D, top '[m']]])/(TP_DATA[[#This Row],[Bottom '[m']]]-TP_DATA[[#This Row],[Top '[m']]]),"")</f>
        <v/>
      </c>
      <c r="AQ88" s="80" t="str">
        <f t="shared" si="1"/>
        <v/>
      </c>
      <c r="AR88" s="80" t="str">
        <f>IFERROR((TP_DATA[[#This Row],[D, bottom '[m']]]+TP_DATA[[#This Row],[D, top '[m']]])/(2*TP_DATA[[#This Row],[t '[mm']]]/1000),"")</f>
        <v/>
      </c>
      <c r="AS88" s="80" t="str">
        <f>IFERROR((TP_DATA[[#This Row],[D, bottom '[m']]]+#REF!)/(2*#REF!/1000),"")</f>
        <v/>
      </c>
      <c r="BW88" s="80" t="str">
        <f>IFERROR(TOWER_DATA[[#This Row],[Bottom '[m']]]-TOWER_DATA[[#This Row],[D, top '[m']]], "")</f>
        <v/>
      </c>
      <c r="BX88" s="80" t="str">
        <f>IFERROR(-(TOWER_DATA[[#This Row],[D, bottom '[m']]]-TOWER_DATA[[#This Row],[D, top '[m']]])/(TOWER_DATA[[#This Row],[Bottom '[m']]]-TOWER_DATA[[#This Row],[Top '[m']]]),"")</f>
        <v/>
      </c>
      <c r="BY88" s="80" t="str">
        <f t="shared" si="2"/>
        <v/>
      </c>
      <c r="BZ88" s="80" t="str">
        <f>IFERROR((TOWER_DATA[[#This Row],[D, bottom '[m']]]+TOWER_DATA[[#This Row],[D, top '[m']]])/(2*TOWER_DATA[[#This Row],[t '[mm']]]/1000),"")</f>
        <v/>
      </c>
      <c r="CA88" s="80" t="str">
        <f>IFERROR((TOWER_DATA[[#This Row],[D, bottom '[m']]]+#REF!)/(2*#REF!/1000),"")</f>
        <v/>
      </c>
      <c r="CF88" s="78"/>
      <c r="CG88" s="78"/>
      <c r="CH88" s="78"/>
      <c r="CJ88" s="78"/>
      <c r="DE88" s="80"/>
      <c r="DF88" s="80"/>
      <c r="DG88" s="106"/>
      <c r="DH88" s="106"/>
      <c r="DI88" s="106"/>
      <c r="DJ88" s="106"/>
      <c r="DK88" s="106"/>
      <c r="DL88" s="106"/>
      <c r="DM88" s="106"/>
    </row>
    <row r="89" spans="8:117" x14ac:dyDescent="0.25">
      <c r="H89" s="80" t="str">
        <f>IFERROR(MP_DATA[[#This Row],[Bottom '[m']]]-MP_DATA[[#This Row],[D, top '[m']]], "")</f>
        <v/>
      </c>
      <c r="I89" s="80" t="str">
        <f>IFERROR(-(MP_DATA[[#This Row],[D, bottom '[m']]]-MP_DATA[[#This Row],[D, top '[m']]])/(MP_DATA[[#This Row],[Bottom '[m']]]-MP_DATA[[#This Row],[Top '[m']]]),"")</f>
        <v/>
      </c>
      <c r="J89" s="80" t="str">
        <f t="shared" ref="J89:J95" si="4">IF(7850/1000*(1/3)*PI()*ABS(C89-D89)*((E89/2)^2+(E89/2)*(F89/2)+(F89/2)^2-(E89/2-G89/1000)^2-(E89/2-G89/1000)*(F89/2-G89/1000)-(F89/2-G89/1000)^2)=0,"",7850/1000*(1/3)*PI()*ABS(C89-D89)*((E89/2)^2+(E89/2)*(F89/2)+(F89/2)^2-(E89/2-G89/1000)^2-(E89/2-G89/1000)*(F89/2-G89/1000)-(F89/2-G89/1000)^2))</f>
        <v/>
      </c>
      <c r="K89" s="80" t="str">
        <f>IFERROR((MP_DATA[[#This Row],[D, bottom '[m']]]+MP_DATA[[#This Row],[D, top '[m']]])/(2*MP_DATA[[#This Row],[t '[mm']]]/1000),"")</f>
        <v/>
      </c>
      <c r="L89" s="80" t="str">
        <f>IFERROR((MP_DATA[[#This Row],[D, bottom '[m']]]+#REF!)/(2*#REF!/1000),"")</f>
        <v/>
      </c>
      <c r="AO89" s="80" t="str">
        <f>IFERROR(TP_DATA[[#This Row],[Bottom '[m']]]-TP_DATA[[#This Row],[D, top '[m']]], "")</f>
        <v/>
      </c>
      <c r="AP89" s="80" t="str">
        <f>IFERROR(-(TP_DATA[[#This Row],[D, bottom '[m']]]-TP_DATA[[#This Row],[D, top '[m']]])/(TP_DATA[[#This Row],[Bottom '[m']]]-TP_DATA[[#This Row],[Top '[m']]]),"")</f>
        <v/>
      </c>
      <c r="AQ89" s="80" t="str">
        <f t="shared" ref="AQ89:AQ95" si="5">IF(7850/1000*(1/3)*PI()*ABS(AJ89-AK89)*((AL89/2)^2+(AL89/2)*(AM89/2)+(AM89/2)^2-(AL89/2-AN89/1000)^2-(AL89/2-AN89/1000)*(AM89/2-AN89/1000)-(AM89/2-AN89/1000)^2)=0,"",7850/1000*(1/3)*PI()*ABS(AJ89-AK89)*((AL89/2)^2+(AL89/2)*(AM89/2)+(AM89/2)^2-(AL89/2-AN89/1000)^2-(AL89/2-AN89/1000)*(AM89/2-AN89/1000)-(AM89/2-AN89/1000)^2))</f>
        <v/>
      </c>
      <c r="AR89" s="80" t="str">
        <f>IFERROR((TP_DATA[[#This Row],[D, bottom '[m']]]+TP_DATA[[#This Row],[D, top '[m']]])/(2*TP_DATA[[#This Row],[t '[mm']]]/1000),"")</f>
        <v/>
      </c>
      <c r="AS89" s="80" t="str">
        <f>IFERROR((TP_DATA[[#This Row],[D, bottom '[m']]]+#REF!)/(2*#REF!/1000),"")</f>
        <v/>
      </c>
      <c r="BW89" s="80" t="str">
        <f>IFERROR(TOWER_DATA[[#This Row],[Bottom '[m']]]-TOWER_DATA[[#This Row],[D, top '[m']]], "")</f>
        <v/>
      </c>
      <c r="BX89" s="80" t="str">
        <f>IFERROR(-(TOWER_DATA[[#This Row],[D, bottom '[m']]]-TOWER_DATA[[#This Row],[D, top '[m']]])/(TOWER_DATA[[#This Row],[Bottom '[m']]]-TOWER_DATA[[#This Row],[Top '[m']]]),"")</f>
        <v/>
      </c>
      <c r="BY89" s="80" t="str">
        <f t="shared" ref="BY89:BY95" si="6">IF(7850/1000*(1/3)*PI()*ABS(BR89-BS89)*((BT89/2)^2+(BT89/2)*(BU89/2)+(BU89/2)^2-(BT89/2-BV89/1000)^2-(BT89/2-BV89/1000)*(BU89/2-BV89/1000)-(BU89/2-BV89/1000)^2)=0,"",7850/1000*(1/3)*PI()*ABS(BR89-BS89)*((BT89/2)^2+(BT89/2)*(BU89/2)+(BU89/2)^2-(BT89/2-BV89/1000)^2-(BT89/2-BV89/1000)*(BU89/2-BV89/1000)-(BU89/2-BV89/1000)^2))</f>
        <v/>
      </c>
      <c r="BZ89" s="80" t="str">
        <f>IFERROR((TOWER_DATA[[#This Row],[D, bottom '[m']]]+TOWER_DATA[[#This Row],[D, top '[m']]])/(2*TOWER_DATA[[#This Row],[t '[mm']]]/1000),"")</f>
        <v/>
      </c>
      <c r="CA89" s="80" t="str">
        <f>IFERROR((TOWER_DATA[[#This Row],[D, bottom '[m']]]+#REF!)/(2*#REF!/1000),"")</f>
        <v/>
      </c>
      <c r="CF89" s="78"/>
      <c r="CG89" s="78"/>
      <c r="CH89" s="78"/>
      <c r="CJ89" s="78"/>
      <c r="DE89" s="80"/>
      <c r="DF89" s="80"/>
      <c r="DG89" s="106"/>
      <c r="DH89" s="106"/>
      <c r="DI89" s="106"/>
      <c r="DJ89" s="106"/>
      <c r="DK89" s="106"/>
      <c r="DL89" s="106"/>
      <c r="DM89" s="106"/>
    </row>
    <row r="90" spans="8:117" x14ac:dyDescent="0.25">
      <c r="H90" s="80" t="str">
        <f>IFERROR(MP_DATA[[#This Row],[Bottom '[m']]]-MP_DATA[[#This Row],[D, top '[m']]], "")</f>
        <v/>
      </c>
      <c r="I90" s="80" t="str">
        <f>IFERROR(-(MP_DATA[[#This Row],[D, bottom '[m']]]-MP_DATA[[#This Row],[D, top '[m']]])/(MP_DATA[[#This Row],[Bottom '[m']]]-MP_DATA[[#This Row],[Top '[m']]]),"")</f>
        <v/>
      </c>
      <c r="J90" s="80" t="str">
        <f t="shared" si="4"/>
        <v/>
      </c>
      <c r="K90" s="80" t="str">
        <f>IFERROR((MP_DATA[[#This Row],[D, bottom '[m']]]+MP_DATA[[#This Row],[D, top '[m']]])/(2*MP_DATA[[#This Row],[t '[mm']]]/1000),"")</f>
        <v/>
      </c>
      <c r="L90" s="80" t="str">
        <f>IFERROR((MP_DATA[[#This Row],[D, bottom '[m']]]+#REF!)/(2*#REF!/1000),"")</f>
        <v/>
      </c>
      <c r="AO90" s="80" t="str">
        <f>IFERROR(TP_DATA[[#This Row],[Bottom '[m']]]-TP_DATA[[#This Row],[D, top '[m']]], "")</f>
        <v/>
      </c>
      <c r="AP90" s="80" t="str">
        <f>IFERROR(-(TP_DATA[[#This Row],[D, bottom '[m']]]-TP_DATA[[#This Row],[D, top '[m']]])/(TP_DATA[[#This Row],[Bottom '[m']]]-TP_DATA[[#This Row],[Top '[m']]]),"")</f>
        <v/>
      </c>
      <c r="AQ90" s="80" t="str">
        <f t="shared" si="5"/>
        <v/>
      </c>
      <c r="AR90" s="80" t="str">
        <f>IFERROR((TP_DATA[[#This Row],[D, bottom '[m']]]+TP_DATA[[#This Row],[D, top '[m']]])/(2*TP_DATA[[#This Row],[t '[mm']]]/1000),"")</f>
        <v/>
      </c>
      <c r="AS90" s="80" t="str">
        <f>IFERROR((TP_DATA[[#This Row],[D, bottom '[m']]]+#REF!)/(2*#REF!/1000),"")</f>
        <v/>
      </c>
      <c r="BW90" s="80" t="str">
        <f>IFERROR(TOWER_DATA[[#This Row],[Bottom '[m']]]-TOWER_DATA[[#This Row],[D, top '[m']]], "")</f>
        <v/>
      </c>
      <c r="BX90" s="80" t="str">
        <f>IFERROR(-(TOWER_DATA[[#This Row],[D, bottom '[m']]]-TOWER_DATA[[#This Row],[D, top '[m']]])/(TOWER_DATA[[#This Row],[Bottom '[m']]]-TOWER_DATA[[#This Row],[Top '[m']]]),"")</f>
        <v/>
      </c>
      <c r="BY90" s="80" t="str">
        <f t="shared" si="6"/>
        <v/>
      </c>
      <c r="BZ90" s="80" t="str">
        <f>IFERROR((TOWER_DATA[[#This Row],[D, bottom '[m']]]+TOWER_DATA[[#This Row],[D, top '[m']]])/(2*TOWER_DATA[[#This Row],[t '[mm']]]/1000),"")</f>
        <v/>
      </c>
      <c r="CA90" s="80" t="str">
        <f>IFERROR((TOWER_DATA[[#This Row],[D, bottom '[m']]]+#REF!)/(2*#REF!/1000),"")</f>
        <v/>
      </c>
      <c r="CF90" s="78"/>
      <c r="CG90" s="78"/>
      <c r="CH90" s="78"/>
      <c r="CJ90" s="78"/>
      <c r="DE90" s="80"/>
      <c r="DF90" s="80"/>
      <c r="DG90" s="106"/>
      <c r="DH90" s="106"/>
      <c r="DI90" s="106"/>
      <c r="DJ90" s="106"/>
      <c r="DK90" s="106"/>
      <c r="DL90" s="106"/>
      <c r="DM90" s="106"/>
    </row>
    <row r="91" spans="8:117" x14ac:dyDescent="0.25">
      <c r="H91" s="80" t="str">
        <f>IFERROR(MP_DATA[[#This Row],[Bottom '[m']]]-MP_DATA[[#This Row],[D, top '[m']]], "")</f>
        <v/>
      </c>
      <c r="I91" s="80" t="str">
        <f>IFERROR(-(MP_DATA[[#This Row],[D, bottom '[m']]]-MP_DATA[[#This Row],[D, top '[m']]])/(MP_DATA[[#This Row],[Bottom '[m']]]-MP_DATA[[#This Row],[Top '[m']]]),"")</f>
        <v/>
      </c>
      <c r="J91" s="80" t="str">
        <f t="shared" si="4"/>
        <v/>
      </c>
      <c r="K91" s="80" t="str">
        <f>IFERROR((MP_DATA[[#This Row],[D, bottom '[m']]]+MP_DATA[[#This Row],[D, top '[m']]])/(2*MP_DATA[[#This Row],[t '[mm']]]/1000),"")</f>
        <v/>
      </c>
      <c r="L91" s="80" t="str">
        <f>IFERROR((MP_DATA[[#This Row],[D, bottom '[m']]]+#REF!)/(2*#REF!/1000),"")</f>
        <v/>
      </c>
      <c r="AO91" s="80" t="str">
        <f>IFERROR(TP_DATA[[#This Row],[Bottom '[m']]]-TP_DATA[[#This Row],[D, top '[m']]], "")</f>
        <v/>
      </c>
      <c r="AP91" s="80" t="str">
        <f>IFERROR(-(TP_DATA[[#This Row],[D, bottom '[m']]]-TP_DATA[[#This Row],[D, top '[m']]])/(TP_DATA[[#This Row],[Bottom '[m']]]-TP_DATA[[#This Row],[Top '[m']]]),"")</f>
        <v/>
      </c>
      <c r="AQ91" s="80" t="str">
        <f t="shared" si="5"/>
        <v/>
      </c>
      <c r="AR91" s="80" t="str">
        <f>IFERROR((TP_DATA[[#This Row],[D, bottom '[m']]]+TP_DATA[[#This Row],[D, top '[m']]])/(2*TP_DATA[[#This Row],[t '[mm']]]/1000),"")</f>
        <v/>
      </c>
      <c r="AS91" s="80" t="str">
        <f>IFERROR((TP_DATA[[#This Row],[D, bottom '[m']]]+#REF!)/(2*#REF!/1000),"")</f>
        <v/>
      </c>
      <c r="BW91" s="80" t="str">
        <f>IFERROR(TOWER_DATA[[#This Row],[Bottom '[m']]]-TOWER_DATA[[#This Row],[D, top '[m']]], "")</f>
        <v/>
      </c>
      <c r="BX91" s="80" t="str">
        <f>IFERROR(-(TOWER_DATA[[#This Row],[D, bottom '[m']]]-TOWER_DATA[[#This Row],[D, top '[m']]])/(TOWER_DATA[[#This Row],[Bottom '[m']]]-TOWER_DATA[[#This Row],[Top '[m']]]),"")</f>
        <v/>
      </c>
      <c r="BY91" s="80" t="str">
        <f t="shared" si="6"/>
        <v/>
      </c>
      <c r="BZ91" s="80" t="str">
        <f>IFERROR((TOWER_DATA[[#This Row],[D, bottom '[m']]]+TOWER_DATA[[#This Row],[D, top '[m']]])/(2*TOWER_DATA[[#This Row],[t '[mm']]]/1000),"")</f>
        <v/>
      </c>
      <c r="CA91" s="80" t="str">
        <f>IFERROR((TOWER_DATA[[#This Row],[D, bottom '[m']]]+#REF!)/(2*#REF!/1000),"")</f>
        <v/>
      </c>
      <c r="CF91" s="78"/>
      <c r="CG91" s="78"/>
      <c r="CH91" s="78"/>
      <c r="CJ91" s="78"/>
      <c r="DE91" s="80"/>
      <c r="DF91" s="80"/>
      <c r="DG91" s="106"/>
      <c r="DH91" s="106"/>
      <c r="DI91" s="106"/>
      <c r="DJ91" s="106"/>
      <c r="DK91" s="106"/>
      <c r="DL91" s="106"/>
      <c r="DM91" s="106"/>
    </row>
    <row r="92" spans="8:117" x14ac:dyDescent="0.25">
      <c r="H92" s="80" t="str">
        <f>IFERROR(MP_DATA[[#This Row],[Bottom '[m']]]-MP_DATA[[#This Row],[D, top '[m']]], "")</f>
        <v/>
      </c>
      <c r="I92" s="80" t="str">
        <f>IFERROR(-(MP_DATA[[#This Row],[D, bottom '[m']]]-MP_DATA[[#This Row],[D, top '[m']]])/(MP_DATA[[#This Row],[Bottom '[m']]]-MP_DATA[[#This Row],[Top '[m']]]),"")</f>
        <v/>
      </c>
      <c r="J92" s="80" t="str">
        <f t="shared" si="4"/>
        <v/>
      </c>
      <c r="K92" s="80" t="str">
        <f>IFERROR((MP_DATA[[#This Row],[D, bottom '[m']]]+MP_DATA[[#This Row],[D, top '[m']]])/(2*MP_DATA[[#This Row],[t '[mm']]]/1000),"")</f>
        <v/>
      </c>
      <c r="L92" s="80" t="str">
        <f>IFERROR((MP_DATA[[#This Row],[D, bottom '[m']]]+#REF!)/(2*#REF!/1000),"")</f>
        <v/>
      </c>
      <c r="AO92" s="80" t="str">
        <f>IFERROR(TP_DATA[[#This Row],[Bottom '[m']]]-TP_DATA[[#This Row],[D, top '[m']]], "")</f>
        <v/>
      </c>
      <c r="AP92" s="80" t="str">
        <f>IFERROR(-(TP_DATA[[#This Row],[D, bottom '[m']]]-TP_DATA[[#This Row],[D, top '[m']]])/(TP_DATA[[#This Row],[Bottom '[m']]]-TP_DATA[[#This Row],[Top '[m']]]),"")</f>
        <v/>
      </c>
      <c r="AQ92" s="80" t="str">
        <f t="shared" si="5"/>
        <v/>
      </c>
      <c r="AR92" s="80" t="str">
        <f>IFERROR((TP_DATA[[#This Row],[D, bottom '[m']]]+TP_DATA[[#This Row],[D, top '[m']]])/(2*TP_DATA[[#This Row],[t '[mm']]]/1000),"")</f>
        <v/>
      </c>
      <c r="AS92" s="80" t="str">
        <f>IFERROR((TP_DATA[[#This Row],[D, bottom '[m']]]+#REF!)/(2*#REF!/1000),"")</f>
        <v/>
      </c>
      <c r="BW92" s="80" t="str">
        <f>IFERROR(TOWER_DATA[[#This Row],[Bottom '[m']]]-TOWER_DATA[[#This Row],[D, top '[m']]], "")</f>
        <v/>
      </c>
      <c r="BX92" s="80" t="str">
        <f>IFERROR(-(TOWER_DATA[[#This Row],[D, bottom '[m']]]-TOWER_DATA[[#This Row],[D, top '[m']]])/(TOWER_DATA[[#This Row],[Bottom '[m']]]-TOWER_DATA[[#This Row],[Top '[m']]]),"")</f>
        <v/>
      </c>
      <c r="BY92" s="80" t="str">
        <f t="shared" si="6"/>
        <v/>
      </c>
      <c r="BZ92" s="80" t="str">
        <f>IFERROR((TOWER_DATA[[#This Row],[D, bottom '[m']]]+TOWER_DATA[[#This Row],[D, top '[m']]])/(2*TOWER_DATA[[#This Row],[t '[mm']]]/1000),"")</f>
        <v/>
      </c>
      <c r="CA92" s="80" t="str">
        <f>IFERROR((TOWER_DATA[[#This Row],[D, bottom '[m']]]+#REF!)/(2*#REF!/1000),"")</f>
        <v/>
      </c>
      <c r="CF92" s="78"/>
      <c r="CG92" s="78"/>
      <c r="CH92" s="78"/>
      <c r="CJ92" s="78"/>
      <c r="DE92" s="80"/>
      <c r="DF92" s="80"/>
      <c r="DG92" s="106"/>
      <c r="DH92" s="106"/>
      <c r="DI92" s="106"/>
      <c r="DJ92" s="106"/>
      <c r="DK92" s="106"/>
      <c r="DL92" s="106"/>
      <c r="DM92" s="106"/>
    </row>
    <row r="93" spans="8:117" x14ac:dyDescent="0.25">
      <c r="H93" s="80" t="str">
        <f>IFERROR(MP_DATA[[#This Row],[Bottom '[m']]]-MP_DATA[[#This Row],[D, top '[m']]], "")</f>
        <v/>
      </c>
      <c r="I93" s="80" t="str">
        <f>IFERROR(-(MP_DATA[[#This Row],[D, bottom '[m']]]-MP_DATA[[#This Row],[D, top '[m']]])/(MP_DATA[[#This Row],[Bottom '[m']]]-MP_DATA[[#This Row],[Top '[m']]]),"")</f>
        <v/>
      </c>
      <c r="J93" s="80" t="str">
        <f t="shared" si="4"/>
        <v/>
      </c>
      <c r="K93" s="80" t="str">
        <f>IFERROR((MP_DATA[[#This Row],[D, bottom '[m']]]+MP_DATA[[#This Row],[D, top '[m']]])/(2*MP_DATA[[#This Row],[t '[mm']]]/1000),"")</f>
        <v/>
      </c>
      <c r="L93" s="80" t="str">
        <f>IFERROR((MP_DATA[[#This Row],[D, bottom '[m']]]+#REF!)/(2*#REF!/1000),"")</f>
        <v/>
      </c>
      <c r="AO93" s="80" t="str">
        <f>IFERROR(TP_DATA[[#This Row],[Bottom '[m']]]-TP_DATA[[#This Row],[D, top '[m']]], "")</f>
        <v/>
      </c>
      <c r="AP93" s="80" t="str">
        <f>IFERROR(-(TP_DATA[[#This Row],[D, bottom '[m']]]-TP_DATA[[#This Row],[D, top '[m']]])/(TP_DATA[[#This Row],[Bottom '[m']]]-TP_DATA[[#This Row],[Top '[m']]]),"")</f>
        <v/>
      </c>
      <c r="AQ93" s="80" t="str">
        <f t="shared" si="5"/>
        <v/>
      </c>
      <c r="AR93" s="80" t="str">
        <f>IFERROR((TP_DATA[[#This Row],[D, bottom '[m']]]+TP_DATA[[#This Row],[D, top '[m']]])/(2*TP_DATA[[#This Row],[t '[mm']]]/1000),"")</f>
        <v/>
      </c>
      <c r="AS93" s="80" t="str">
        <f>IFERROR((TP_DATA[[#This Row],[D, bottom '[m']]]+#REF!)/(2*#REF!/1000),"")</f>
        <v/>
      </c>
      <c r="BW93" s="80" t="str">
        <f>IFERROR(TOWER_DATA[[#This Row],[Bottom '[m']]]-TOWER_DATA[[#This Row],[D, top '[m']]], "")</f>
        <v/>
      </c>
      <c r="BX93" s="80" t="str">
        <f>IFERROR(-(TOWER_DATA[[#This Row],[D, bottom '[m']]]-TOWER_DATA[[#This Row],[D, top '[m']]])/(TOWER_DATA[[#This Row],[Bottom '[m']]]-TOWER_DATA[[#This Row],[Top '[m']]]),"")</f>
        <v/>
      </c>
      <c r="BY93" s="80" t="str">
        <f t="shared" si="6"/>
        <v/>
      </c>
      <c r="BZ93" s="80" t="str">
        <f>IFERROR((TOWER_DATA[[#This Row],[D, bottom '[m']]]+TOWER_DATA[[#This Row],[D, top '[m']]])/(2*TOWER_DATA[[#This Row],[t '[mm']]]/1000),"")</f>
        <v/>
      </c>
      <c r="CA93" s="80" t="str">
        <f>IFERROR((TOWER_DATA[[#This Row],[D, bottom '[m']]]+#REF!)/(2*#REF!/1000),"")</f>
        <v/>
      </c>
      <c r="DE93" s="80" t="str">
        <f>IF(7850/1000*(1/3)*PI()*ABS(CZ93-DA93)*((DB93/2)^2+(DB93/2)*(DC93/2)+(DC93/2)^2-(DB93/2-DD93/1000)^2-(DB93/2-DD93/1000)*(DC93/2-DD93/1000)-(DC93/2-DD93/1000)^2)=0,"",7850/1000*(1/3)*PI()*ABS(CZ93-DA93)*((DB93/2)^2+(DB93/2)*(DC93/2)+(DC93/2)^2-(DB93/2-DD93/1000)^2-(DB93/2-DD93/1000)*(DC93/2-DD93/1000)-(DC93/2-DD93/1000)^2))</f>
        <v/>
      </c>
      <c r="DF93" s="80"/>
      <c r="DG93" s="106"/>
      <c r="DH93" s="106"/>
      <c r="DI93" s="106"/>
      <c r="DJ93" s="106"/>
      <c r="DK93" s="106"/>
      <c r="DL93" s="106"/>
      <c r="DM93" s="106"/>
    </row>
    <row r="94" spans="8:117" x14ac:dyDescent="0.25">
      <c r="H94" s="80" t="str">
        <f>IFERROR(MP_DATA[[#This Row],[Bottom '[m']]]-MP_DATA[[#This Row],[D, top '[m']]], "")</f>
        <v/>
      </c>
      <c r="I94" s="80" t="str">
        <f>IFERROR(-(MP_DATA[[#This Row],[D, bottom '[m']]]-MP_DATA[[#This Row],[D, top '[m']]])/(MP_DATA[[#This Row],[Bottom '[m']]]-MP_DATA[[#This Row],[Top '[m']]]),"")</f>
        <v/>
      </c>
      <c r="J94" s="80" t="str">
        <f t="shared" si="4"/>
        <v/>
      </c>
      <c r="K94" s="80" t="str">
        <f>IFERROR((MP_DATA[[#This Row],[D, bottom '[m']]]+MP_DATA[[#This Row],[D, top '[m']]])/(2*MP_DATA[[#This Row],[t '[mm']]]/1000),"")</f>
        <v/>
      </c>
      <c r="L94" s="80" t="str">
        <f>IFERROR((MP_DATA[[#This Row],[D, bottom '[m']]]+#REF!)/(2*#REF!/1000),"")</f>
        <v/>
      </c>
      <c r="AO94" s="80" t="str">
        <f>IFERROR(TP_DATA[[#This Row],[Bottom '[m']]]-TP_DATA[[#This Row],[D, top '[m']]], "")</f>
        <v/>
      </c>
      <c r="AP94" s="80" t="str">
        <f>IFERROR(-(TP_DATA[[#This Row],[D, bottom '[m']]]-TP_DATA[[#This Row],[D, top '[m']]])/(TP_DATA[[#This Row],[Bottom '[m']]]-TP_DATA[[#This Row],[Top '[m']]]),"")</f>
        <v/>
      </c>
      <c r="AQ94" s="80" t="str">
        <f t="shared" si="5"/>
        <v/>
      </c>
      <c r="AR94" s="80" t="str">
        <f>IFERROR((TP_DATA[[#This Row],[D, bottom '[m']]]+TP_DATA[[#This Row],[D, top '[m']]])/(2*TP_DATA[[#This Row],[t '[mm']]]/1000),"")</f>
        <v/>
      </c>
      <c r="AS94" s="80" t="str">
        <f>IFERROR((TP_DATA[[#This Row],[D, bottom '[m']]]+#REF!)/(2*#REF!/1000),"")</f>
        <v/>
      </c>
      <c r="BW94" s="80" t="str">
        <f>IFERROR(TOWER_DATA[[#This Row],[Bottom '[m']]]-TOWER_DATA[[#This Row],[D, top '[m']]], "")</f>
        <v/>
      </c>
      <c r="BX94" s="80" t="str">
        <f>IFERROR(-(TOWER_DATA[[#This Row],[D, bottom '[m']]]-TOWER_DATA[[#This Row],[D, top '[m']]])/(TOWER_DATA[[#This Row],[Bottom '[m']]]-TOWER_DATA[[#This Row],[Top '[m']]]),"")</f>
        <v/>
      </c>
      <c r="BY94" s="80" t="str">
        <f t="shared" si="6"/>
        <v/>
      </c>
      <c r="BZ94" s="80" t="str">
        <f>IFERROR((TOWER_DATA[[#This Row],[D, bottom '[m']]]+TOWER_DATA[[#This Row],[D, top '[m']]])/(2*TOWER_DATA[[#This Row],[t '[mm']]]/1000),"")</f>
        <v/>
      </c>
      <c r="CA94" s="80" t="str">
        <f>IFERROR((TOWER_DATA[[#This Row],[D, bottom '[m']]]+#REF!)/(2*#REF!/1000),"")</f>
        <v/>
      </c>
      <c r="DE94" s="80" t="str">
        <f>IF(7850/1000*(1/3)*PI()*ABS(CZ94-DA94)*((DB94/2)^2+(DB94/2)*(DC94/2)+(DC94/2)^2-(DB94/2-DD94/1000)^2-(DB94/2-DD94/1000)*(DC94/2-DD94/1000)-(DC94/2-DD94/1000)^2)=0,"",7850/1000*(1/3)*PI()*ABS(CZ94-DA94)*((DB94/2)^2+(DB94/2)*(DC94/2)+(DC94/2)^2-(DB94/2-DD94/1000)^2-(DB94/2-DD94/1000)*(DC94/2-DD94/1000)-(DC94/2-DD94/1000)^2))</f>
        <v/>
      </c>
      <c r="DF94" s="80"/>
      <c r="DG94" s="106"/>
      <c r="DH94" s="106"/>
      <c r="DI94" s="106"/>
      <c r="DJ94" s="106"/>
      <c r="DK94" s="106"/>
      <c r="DL94" s="106"/>
      <c r="DM94" s="106"/>
    </row>
    <row r="95" spans="8:117" x14ac:dyDescent="0.25">
      <c r="H95" s="80" t="str">
        <f>IFERROR(MP_DATA[[#This Row],[Bottom '[m']]]-MP_DATA[[#This Row],[D, top '[m']]], "")</f>
        <v/>
      </c>
      <c r="I95" s="80" t="str">
        <f>IFERROR(-(MP_DATA[[#This Row],[D, bottom '[m']]]-MP_DATA[[#This Row],[D, top '[m']]])/(MP_DATA[[#This Row],[Bottom '[m']]]-MP_DATA[[#This Row],[Top '[m']]]),"")</f>
        <v/>
      </c>
      <c r="J95" s="80" t="str">
        <f t="shared" si="4"/>
        <v/>
      </c>
      <c r="K95" s="80" t="str">
        <f>IFERROR((MP_DATA[[#This Row],[D, bottom '[m']]]+MP_DATA[[#This Row],[D, top '[m']]])/(2*MP_DATA[[#This Row],[t '[mm']]]/1000),"")</f>
        <v/>
      </c>
      <c r="L95" s="80" t="str">
        <f>IFERROR((MP_DATA[[#This Row],[D, bottom '[m']]]+#REF!)/(2*#REF!/1000),"")</f>
        <v/>
      </c>
      <c r="AO95" s="80" t="str">
        <f>IFERROR(TP_DATA[[#This Row],[Bottom '[m']]]-TP_DATA[[#This Row],[D, top '[m']]], "")</f>
        <v/>
      </c>
      <c r="AP95" s="80" t="str">
        <f>IFERROR(-(TP_DATA[[#This Row],[D, bottom '[m']]]-TP_DATA[[#This Row],[D, top '[m']]])/(TP_DATA[[#This Row],[Bottom '[m']]]-TP_DATA[[#This Row],[Top '[m']]]),"")</f>
        <v/>
      </c>
      <c r="AQ95" s="80" t="str">
        <f t="shared" si="5"/>
        <v/>
      </c>
      <c r="AR95" s="80" t="str">
        <f>IFERROR((TP_DATA[[#This Row],[D, bottom '[m']]]+TP_DATA[[#This Row],[D, top '[m']]])/(2*TP_DATA[[#This Row],[t '[mm']]]/1000),"")</f>
        <v/>
      </c>
      <c r="AS95" s="80" t="str">
        <f>IFERROR((TP_DATA[[#This Row],[D, bottom '[m']]]+#REF!)/(2*#REF!/1000),"")</f>
        <v/>
      </c>
      <c r="BW95" s="80" t="str">
        <f>IFERROR(TOWER_DATA[[#This Row],[Bottom '[m']]]-TOWER_DATA[[#This Row],[D, top '[m']]], "")</f>
        <v/>
      </c>
      <c r="BX95" s="80" t="str">
        <f>IFERROR(-(TOWER_DATA[[#This Row],[D, bottom '[m']]]-TOWER_DATA[[#This Row],[D, top '[m']]])/(TOWER_DATA[[#This Row],[Bottom '[m']]]-TOWER_DATA[[#This Row],[Top '[m']]]),"")</f>
        <v/>
      </c>
      <c r="BY95" s="80" t="str">
        <f t="shared" si="6"/>
        <v/>
      </c>
      <c r="BZ95" s="80" t="str">
        <f>IFERROR((TOWER_DATA[[#This Row],[D, bottom '[m']]]+TOWER_DATA[[#This Row],[D, top '[m']]])/(2*TOWER_DATA[[#This Row],[t '[mm']]]/1000),"")</f>
        <v/>
      </c>
      <c r="CA95" s="80" t="str">
        <f>IFERROR((TOWER_DATA[[#This Row],[D, bottom '[m']]]+#REF!)/(2*#REF!/1000),"")</f>
        <v/>
      </c>
      <c r="DE95" s="80" t="str">
        <f>IF(7850/1000*(1/3)*PI()*ABS(CZ95-DA95)*((DB95/2)^2+(DB95/2)*(DC95/2)+(DC95/2)^2-(DB95/2-DD95/1000)^2-(DB95/2-DD95/1000)*(DC95/2-DD95/1000)-(DC95/2-DD95/1000)^2)=0,"",7850/1000*(1/3)*PI()*ABS(CZ95-DA95)*((DB95/2)^2+(DB95/2)*(DC95/2)+(DC95/2)^2-(DB95/2-DD95/1000)^2-(DB95/2-DD95/1000)*(DC95/2-DD95/1000)-(DC95/2-DD95/1000)^2))</f>
        <v/>
      </c>
      <c r="DF95" s="80"/>
      <c r="DG95" s="106"/>
      <c r="DH95" s="106"/>
      <c r="DI95" s="106"/>
      <c r="DJ95" s="106"/>
      <c r="DK95" s="106"/>
      <c r="DL95" s="106"/>
      <c r="DM95" s="106"/>
    </row>
    <row r="96" spans="8:117" x14ac:dyDescent="0.25">
      <c r="H96" s="80" t="str">
        <f>IFERROR(MP_DATA[[#This Row],[Bottom '[m']]]-MP_DATA[[#This Row],[D, top '[m']]], "")</f>
        <v/>
      </c>
      <c r="I96" s="80" t="str">
        <f>IFERROR(-(MP_DATA[[#This Row],[D, bottom '[m']]]-MP_DATA[[#This Row],[D, top '[m']]])/(MP_DATA[[#This Row],[Bottom '[m']]]-MP_DATA[[#This Row],[Top '[m']]]),"")</f>
        <v/>
      </c>
      <c r="J96" s="80" t="str">
        <f t="shared" ref="J96:J97" si="7">IF(7850/1000*(1/3)*PI()*ABS(C96-D96)*((E96/2)^2+(E96/2)*(F96/2)+(F96/2)^2-(E96/2-G96/1000)^2-(E96/2-G96/1000)*(F96/2-G96/1000)-(F96/2-G96/1000)^2)=0,"",7850/1000*(1/3)*PI()*ABS(C96-D96)*((E96/2)^2+(E96/2)*(F96/2)+(F96/2)^2-(E96/2-G96/1000)^2-(E96/2-G96/1000)*(F96/2-G96/1000)-(F96/2-G96/1000)^2))</f>
        <v/>
      </c>
      <c r="K96" s="80" t="str">
        <f>IFERROR((MP_DATA[[#This Row],[D, bottom '[m']]]+MP_DATA[[#This Row],[D, top '[m']]])/(2*MP_DATA[[#This Row],[t '[mm']]]/1000),"")</f>
        <v/>
      </c>
      <c r="L96" s="80" t="str">
        <f>IFERROR((MP_DATA[[#This Row],[D, bottom '[m']]]+#REF!)/(2*#REF!/1000),"")</f>
        <v/>
      </c>
      <c r="AO96" s="80" t="str">
        <f>IFERROR(TP_DATA[[#This Row],[Bottom '[m']]]-TP_DATA[[#This Row],[D, top '[m']]], "")</f>
        <v/>
      </c>
      <c r="AP96" s="80" t="str">
        <f>IFERROR(-(TP_DATA[[#This Row],[D, bottom '[m']]]-TP_DATA[[#This Row],[D, top '[m']]])/(TP_DATA[[#This Row],[Bottom '[m']]]-TP_DATA[[#This Row],[Top '[m']]]),"")</f>
        <v/>
      </c>
      <c r="AQ96" s="80" t="str">
        <f t="shared" ref="AQ96:AQ129" si="8">IF(7850/1000*(1/3)*PI()*ABS(AJ96-AK96)*((AL96/2)^2+(AL96/2)*(AM96/2)+(AM96/2)^2-(AL96/2-AN96/1000)^2-(AL96/2-AN96/1000)*(AM96/2-AN96/1000)-(AM96/2-AN96/1000)^2)=0,"",7850/1000*(1/3)*PI()*ABS(AJ96-AK96)*((AL96/2)^2+(AL96/2)*(AM96/2)+(AM96/2)^2-(AL96/2-AN96/1000)^2-(AL96/2-AN96/1000)*(AM96/2-AN96/1000)-(AM96/2-AN96/1000)^2))</f>
        <v/>
      </c>
      <c r="AR96" s="80" t="str">
        <f>IFERROR((TP_DATA[[#This Row],[D, bottom '[m']]]+TP_DATA[[#This Row],[D, top '[m']]])/(2*TP_DATA[[#This Row],[t '[mm']]]/1000),"")</f>
        <v/>
      </c>
      <c r="AS96" s="80" t="str">
        <f>IFERROR((TP_DATA[[#This Row],[D, bottom '[m']]]+#REF!)/(2*#REF!/1000),"")</f>
        <v/>
      </c>
      <c r="BW96" s="80" t="str">
        <f>IFERROR(TOWER_DATA[[#This Row],[Bottom '[m']]]-TOWER_DATA[[#This Row],[D, top '[m']]], "")</f>
        <v/>
      </c>
      <c r="BX96" s="80" t="str">
        <f>IFERROR(-(TOWER_DATA[[#This Row],[D, bottom '[m']]]-TOWER_DATA[[#This Row],[D, top '[m']]])/(TOWER_DATA[[#This Row],[Bottom '[m']]]-TOWER_DATA[[#This Row],[Top '[m']]]),"")</f>
        <v/>
      </c>
      <c r="BY96" s="80" t="str">
        <f t="shared" ref="BY96:BY129" si="9">IF(7850/1000*(1/3)*PI()*ABS(BR96-BS96)*((BT96/2)^2+(BT96/2)*(BU96/2)+(BU96/2)^2-(BT96/2-BV96/1000)^2-(BT96/2-BV96/1000)*(BU96/2-BV96/1000)-(BU96/2-BV96/1000)^2)=0,"",7850/1000*(1/3)*PI()*ABS(BR96-BS96)*((BT96/2)^2+(BT96/2)*(BU96/2)+(BU96/2)^2-(BT96/2-BV96/1000)^2-(BT96/2-BV96/1000)*(BU96/2-BV96/1000)-(BU96/2-BV96/1000)^2))</f>
        <v/>
      </c>
      <c r="BZ96" s="80" t="str">
        <f>IFERROR((TOWER_DATA[[#This Row],[D, bottom '[m']]]+TOWER_DATA[[#This Row],[D, top '[m']]])/(2*TOWER_DATA[[#This Row],[t '[mm']]]/1000),"")</f>
        <v/>
      </c>
      <c r="CA96" s="80" t="str">
        <f>IFERROR((TOWER_DATA[[#This Row],[D, bottom '[m']]]+#REF!)/(2*#REF!/1000),"")</f>
        <v/>
      </c>
      <c r="DE96" s="80" t="str">
        <f t="shared" ref="DE96:DE129" si="10">IF(7850/1000*(1/3)*PI()*ABS(CZ96-DA96)*((DB96/2)^2+(DB96/2)*(DC96/2)+(DC96/2)^2-(DB96/2-DD96/1000)^2-(DB96/2-DD96/1000)*(DC96/2-DD96/1000)-(DC96/2-DD96/1000)^2)=0,"",7850/1000*(1/3)*PI()*ABS(CZ96-DA96)*((DB96/2)^2+(DB96/2)*(DC96/2)+(DC96/2)^2-(DB96/2-DD96/1000)^2-(DB96/2-DD96/1000)*(DC96/2-DD96/1000)-(DC96/2-DD96/1000)^2))</f>
        <v/>
      </c>
      <c r="DF96" s="80"/>
      <c r="DG96" s="106"/>
      <c r="DH96" s="106"/>
      <c r="DI96" s="106"/>
      <c r="DJ96" s="106"/>
      <c r="DK96" s="106"/>
      <c r="DL96" s="106"/>
      <c r="DM96" s="106"/>
    </row>
    <row r="97" spans="8:117" x14ac:dyDescent="0.25">
      <c r="H97" s="80" t="str">
        <f>IFERROR(MP_DATA[[#This Row],[Bottom '[m']]]-MP_DATA[[#This Row],[D, top '[m']]], "")</f>
        <v/>
      </c>
      <c r="I97" s="80" t="str">
        <f>IFERROR(-(MP_DATA[[#This Row],[D, bottom '[m']]]-MP_DATA[[#This Row],[D, top '[m']]])/(MP_DATA[[#This Row],[Bottom '[m']]]-MP_DATA[[#This Row],[Top '[m']]]),"")</f>
        <v/>
      </c>
      <c r="J97" s="80" t="str">
        <f t="shared" si="7"/>
        <v/>
      </c>
      <c r="K97" s="80" t="str">
        <f>IFERROR((MP_DATA[[#This Row],[D, bottom '[m']]]+MP_DATA[[#This Row],[D, top '[m']]])/(2*MP_DATA[[#This Row],[t '[mm']]]/1000),"")</f>
        <v/>
      </c>
      <c r="L97" s="80" t="str">
        <f>IFERROR((MP_DATA[[#This Row],[D, bottom '[m']]]+#REF!)/(2*#REF!/1000),"")</f>
        <v/>
      </c>
      <c r="AO97" s="80" t="str">
        <f>IFERROR(TP_DATA[[#This Row],[Bottom '[m']]]-TP_DATA[[#This Row],[D, top '[m']]], "")</f>
        <v/>
      </c>
      <c r="AP97" s="80" t="str">
        <f>IFERROR(-(TP_DATA[[#This Row],[D, bottom '[m']]]-TP_DATA[[#This Row],[D, top '[m']]])/(TP_DATA[[#This Row],[Bottom '[m']]]-TP_DATA[[#This Row],[Top '[m']]]),"")</f>
        <v/>
      </c>
      <c r="AQ97" s="80" t="str">
        <f t="shared" si="8"/>
        <v/>
      </c>
      <c r="AR97" s="80" t="str">
        <f>IFERROR((TP_DATA[[#This Row],[D, bottom '[m']]]+TP_DATA[[#This Row],[D, top '[m']]])/(2*TP_DATA[[#This Row],[t '[mm']]]/1000),"")</f>
        <v/>
      </c>
      <c r="AS97" s="80" t="str">
        <f>IFERROR((TP_DATA[[#This Row],[D, bottom '[m']]]+#REF!)/(2*#REF!/1000),"")</f>
        <v/>
      </c>
      <c r="BW97" s="80" t="str">
        <f>IFERROR(TOWER_DATA[[#This Row],[Bottom '[m']]]-TOWER_DATA[[#This Row],[D, top '[m']]], "")</f>
        <v/>
      </c>
      <c r="BX97" s="80" t="str">
        <f>IFERROR(-(TOWER_DATA[[#This Row],[D, bottom '[m']]]-TOWER_DATA[[#This Row],[D, top '[m']]])/(TOWER_DATA[[#This Row],[Bottom '[m']]]-TOWER_DATA[[#This Row],[Top '[m']]]),"")</f>
        <v/>
      </c>
      <c r="BY97" s="80" t="str">
        <f t="shared" si="9"/>
        <v/>
      </c>
      <c r="BZ97" s="80" t="str">
        <f>IFERROR((TOWER_DATA[[#This Row],[D, bottom '[m']]]+TOWER_DATA[[#This Row],[D, top '[m']]])/(2*TOWER_DATA[[#This Row],[t '[mm']]]/1000),"")</f>
        <v/>
      </c>
      <c r="CA97" s="80" t="str">
        <f>IFERROR((TOWER_DATA[[#This Row],[D, bottom '[m']]]+#REF!)/(2*#REF!/1000),"")</f>
        <v/>
      </c>
      <c r="DE97" s="80" t="str">
        <f t="shared" si="10"/>
        <v/>
      </c>
      <c r="DF97" s="80"/>
      <c r="DG97" s="106"/>
      <c r="DH97" s="106"/>
      <c r="DI97" s="106"/>
      <c r="DJ97" s="106"/>
      <c r="DK97" s="106"/>
      <c r="DL97" s="106"/>
      <c r="DM97" s="106"/>
    </row>
    <row r="98" spans="8:117" x14ac:dyDescent="0.25">
      <c r="H98" s="80" t="str">
        <f>IFERROR(MP_DATA[[#This Row],[Bottom '[m']]]-MP_DATA[[#This Row],[D, top '[m']]], "")</f>
        <v/>
      </c>
      <c r="I98" s="80" t="str">
        <f>IFERROR(-(MP_DATA[[#This Row],[D, bottom '[m']]]-MP_DATA[[#This Row],[D, top '[m']]])/(MP_DATA[[#This Row],[Bottom '[m']]]-MP_DATA[[#This Row],[Top '[m']]]),"")</f>
        <v/>
      </c>
      <c r="J98" s="80" t="str">
        <f t="shared" ref="J98:J130" si="11">IF(7850/1000*(1/3)*PI()*ABS(C98-D98)*((E98/2)^2+(E98/2)*(F98/2)+(F98/2)^2-(E98/2-G98/1000)^2-(E98/2-G98/1000)*(F98/2-G98/1000)-(F98/2-G98/1000)^2)=0,"",7850/1000*(1/3)*PI()*ABS(C98-D98)*((E98/2)^2+(E98/2)*(F98/2)+(F98/2)^2-(E98/2-G98/1000)^2-(E98/2-G98/1000)*(F98/2-G98/1000)-(F98/2-G98/1000)^2))</f>
        <v/>
      </c>
      <c r="K98" s="80" t="str">
        <f>IFERROR((MP_DATA[[#This Row],[D, bottom '[m']]]+MP_DATA[[#This Row],[D, top '[m']]])/(2*MP_DATA[[#This Row],[t '[mm']]]/1000),"")</f>
        <v/>
      </c>
      <c r="L98" s="80" t="str">
        <f>IFERROR((MP_DATA[[#This Row],[D, bottom '[m']]]+#REF!)/(2*#REF!/1000),"")</f>
        <v/>
      </c>
      <c r="AO98" s="80" t="str">
        <f>IFERROR(TP_DATA[[#This Row],[Bottom '[m']]]-TP_DATA[[#This Row],[D, top '[m']]], "")</f>
        <v/>
      </c>
      <c r="AP98" s="80" t="str">
        <f>IFERROR(-(TP_DATA[[#This Row],[D, bottom '[m']]]-TP_DATA[[#This Row],[D, top '[m']]])/(TP_DATA[[#This Row],[Bottom '[m']]]-TP_DATA[[#This Row],[Top '[m']]]),"")</f>
        <v/>
      </c>
      <c r="AQ98" s="80" t="str">
        <f t="shared" si="8"/>
        <v/>
      </c>
      <c r="AR98" s="80" t="str">
        <f>IFERROR((TP_DATA[[#This Row],[D, bottom '[m']]]+TP_DATA[[#This Row],[D, top '[m']]])/(2*TP_DATA[[#This Row],[t '[mm']]]/1000),"")</f>
        <v/>
      </c>
      <c r="AS98" s="80" t="str">
        <f>IFERROR((TP_DATA[[#This Row],[D, bottom '[m']]]+#REF!)/(2*#REF!/1000),"")</f>
        <v/>
      </c>
      <c r="BW98" s="80" t="str">
        <f>IFERROR(TOWER_DATA[[#This Row],[Bottom '[m']]]-TOWER_DATA[[#This Row],[D, top '[m']]], "")</f>
        <v/>
      </c>
      <c r="BX98" s="80" t="str">
        <f>IFERROR(-(TOWER_DATA[[#This Row],[D, bottom '[m']]]-TOWER_DATA[[#This Row],[D, top '[m']]])/(TOWER_DATA[[#This Row],[Bottom '[m']]]-TOWER_DATA[[#This Row],[Top '[m']]]),"")</f>
        <v/>
      </c>
      <c r="BY98" s="80" t="str">
        <f t="shared" si="9"/>
        <v/>
      </c>
      <c r="BZ98" s="80" t="str">
        <f>IFERROR((TOWER_DATA[[#This Row],[D, bottom '[m']]]+TOWER_DATA[[#This Row],[D, top '[m']]])/(2*TOWER_DATA[[#This Row],[t '[mm']]]/1000),"")</f>
        <v/>
      </c>
      <c r="CA98" s="80" t="str">
        <f>IFERROR((TOWER_DATA[[#This Row],[D, bottom '[m']]]+#REF!)/(2*#REF!/1000),"")</f>
        <v/>
      </c>
      <c r="DE98" s="80" t="str">
        <f t="shared" si="10"/>
        <v/>
      </c>
      <c r="DF98" s="80"/>
      <c r="DG98" s="106"/>
      <c r="DH98" s="106"/>
      <c r="DI98" s="106"/>
      <c r="DJ98" s="106"/>
      <c r="DK98" s="106"/>
      <c r="DL98" s="106"/>
      <c r="DM98" s="106"/>
    </row>
    <row r="99" spans="8:117" x14ac:dyDescent="0.25">
      <c r="H99" s="80" t="str">
        <f>IFERROR(MP_DATA[[#This Row],[Bottom '[m']]]-MP_DATA[[#This Row],[D, top '[m']]], "")</f>
        <v/>
      </c>
      <c r="I99" s="80" t="str">
        <f>IFERROR(-(MP_DATA[[#This Row],[D, bottom '[m']]]-MP_DATA[[#This Row],[D, top '[m']]])/(MP_DATA[[#This Row],[Bottom '[m']]]-MP_DATA[[#This Row],[Top '[m']]]),"")</f>
        <v/>
      </c>
      <c r="J99" s="80" t="str">
        <f t="shared" si="11"/>
        <v/>
      </c>
      <c r="K99" s="80" t="str">
        <f>IFERROR((MP_DATA[[#This Row],[D, bottom '[m']]]+MP_DATA[[#This Row],[D, top '[m']]])/(2*MP_DATA[[#This Row],[t '[mm']]]/1000),"")</f>
        <v/>
      </c>
      <c r="L99" s="80" t="str">
        <f>IFERROR((MP_DATA[[#This Row],[D, bottom '[m']]]+#REF!)/(2*#REF!/1000),"")</f>
        <v/>
      </c>
      <c r="AO99" s="80" t="str">
        <f>IFERROR(TP_DATA[[#This Row],[Bottom '[m']]]-TP_DATA[[#This Row],[D, top '[m']]], "")</f>
        <v/>
      </c>
      <c r="AP99" s="80" t="str">
        <f>IFERROR(-(TP_DATA[[#This Row],[D, bottom '[m']]]-TP_DATA[[#This Row],[D, top '[m']]])/(TP_DATA[[#This Row],[Bottom '[m']]]-TP_DATA[[#This Row],[Top '[m']]]),"")</f>
        <v/>
      </c>
      <c r="AQ99" s="80" t="str">
        <f t="shared" si="8"/>
        <v/>
      </c>
      <c r="AR99" s="80" t="str">
        <f>IFERROR((TP_DATA[[#This Row],[D, bottom '[m']]]+TP_DATA[[#This Row],[D, top '[m']]])/(2*TP_DATA[[#This Row],[t '[mm']]]/1000),"")</f>
        <v/>
      </c>
      <c r="AS99" s="80" t="str">
        <f>IFERROR((TP_DATA[[#This Row],[D, bottom '[m']]]+#REF!)/(2*#REF!/1000),"")</f>
        <v/>
      </c>
      <c r="BW99" s="80" t="str">
        <f>IFERROR(TOWER_DATA[[#This Row],[Bottom '[m']]]-TOWER_DATA[[#This Row],[D, top '[m']]], "")</f>
        <v/>
      </c>
      <c r="BX99" s="80" t="str">
        <f>IFERROR(-(TOWER_DATA[[#This Row],[D, bottom '[m']]]-TOWER_DATA[[#This Row],[D, top '[m']]])/(TOWER_DATA[[#This Row],[Bottom '[m']]]-TOWER_DATA[[#This Row],[Top '[m']]]),"")</f>
        <v/>
      </c>
      <c r="BY99" s="80" t="str">
        <f t="shared" si="9"/>
        <v/>
      </c>
      <c r="BZ99" s="80" t="str">
        <f>IFERROR((TOWER_DATA[[#This Row],[D, bottom '[m']]]+TOWER_DATA[[#This Row],[D, top '[m']]])/(2*TOWER_DATA[[#This Row],[t '[mm']]]/1000),"")</f>
        <v/>
      </c>
      <c r="CA99" s="80" t="str">
        <f>IFERROR((TOWER_DATA[[#This Row],[D, bottom '[m']]]+#REF!)/(2*#REF!/1000),"")</f>
        <v/>
      </c>
      <c r="DE99" s="80" t="str">
        <f t="shared" si="10"/>
        <v/>
      </c>
      <c r="DF99" s="80"/>
      <c r="DG99" s="106"/>
      <c r="DH99" s="106"/>
      <c r="DI99" s="106"/>
      <c r="DJ99" s="106"/>
      <c r="DK99" s="106"/>
      <c r="DL99" s="106"/>
      <c r="DM99" s="106"/>
    </row>
    <row r="100" spans="8:117" x14ac:dyDescent="0.25">
      <c r="H100" s="80" t="str">
        <f>IFERROR(MP_DATA[[#This Row],[Bottom '[m']]]-MP_DATA[[#This Row],[D, top '[m']]], "")</f>
        <v/>
      </c>
      <c r="I100" s="80" t="str">
        <f>IFERROR(-(MP_DATA[[#This Row],[D, bottom '[m']]]-MP_DATA[[#This Row],[D, top '[m']]])/(MP_DATA[[#This Row],[Bottom '[m']]]-MP_DATA[[#This Row],[Top '[m']]]),"")</f>
        <v/>
      </c>
      <c r="J100" s="80" t="str">
        <f t="shared" si="11"/>
        <v/>
      </c>
      <c r="K100" s="80" t="str">
        <f>IFERROR((MP_DATA[[#This Row],[D, bottom '[m']]]+MP_DATA[[#This Row],[D, top '[m']]])/(2*MP_DATA[[#This Row],[t '[mm']]]/1000),"")</f>
        <v/>
      </c>
      <c r="L100" s="80" t="str">
        <f>IFERROR((MP_DATA[[#This Row],[D, bottom '[m']]]+#REF!)/(2*#REF!/1000),"")</f>
        <v/>
      </c>
      <c r="AO100" s="80" t="str">
        <f>IFERROR(TP_DATA[[#This Row],[Bottom '[m']]]-TP_DATA[[#This Row],[D, top '[m']]], "")</f>
        <v/>
      </c>
      <c r="AP100" s="80" t="str">
        <f>IFERROR(-(TP_DATA[[#This Row],[D, bottom '[m']]]-TP_DATA[[#This Row],[D, top '[m']]])/(TP_DATA[[#This Row],[Bottom '[m']]]-TP_DATA[[#This Row],[Top '[m']]]),"")</f>
        <v/>
      </c>
      <c r="AQ100" s="80" t="str">
        <f t="shared" si="8"/>
        <v/>
      </c>
      <c r="AR100" s="80" t="str">
        <f>IFERROR((TP_DATA[[#This Row],[D, bottom '[m']]]+TP_DATA[[#This Row],[D, top '[m']]])/(2*TP_DATA[[#This Row],[t '[mm']]]/1000),"")</f>
        <v/>
      </c>
      <c r="AS100" s="80" t="str">
        <f>IFERROR((TP_DATA[[#This Row],[D, bottom '[m']]]+#REF!)/(2*#REF!/1000),"")</f>
        <v/>
      </c>
      <c r="BW100" s="80" t="str">
        <f>IFERROR(TOWER_DATA[[#This Row],[Bottom '[m']]]-TOWER_DATA[[#This Row],[D, top '[m']]], "")</f>
        <v/>
      </c>
      <c r="BX100" s="80" t="str">
        <f>IFERROR(-(TOWER_DATA[[#This Row],[D, bottom '[m']]]-TOWER_DATA[[#This Row],[D, top '[m']]])/(TOWER_DATA[[#This Row],[Bottom '[m']]]-TOWER_DATA[[#This Row],[Top '[m']]]),"")</f>
        <v/>
      </c>
      <c r="BY100" s="80" t="str">
        <f t="shared" si="9"/>
        <v/>
      </c>
      <c r="BZ100" s="80" t="str">
        <f>IFERROR((TOWER_DATA[[#This Row],[D, bottom '[m']]]+TOWER_DATA[[#This Row],[D, top '[m']]])/(2*TOWER_DATA[[#This Row],[t '[mm']]]/1000),"")</f>
        <v/>
      </c>
      <c r="CA100" s="80" t="str">
        <f>IFERROR((TOWER_DATA[[#This Row],[D, bottom '[m']]]+#REF!)/(2*#REF!/1000),"")</f>
        <v/>
      </c>
      <c r="DE100" s="80" t="str">
        <f t="shared" si="10"/>
        <v/>
      </c>
      <c r="DF100" s="80"/>
      <c r="DG100" s="106"/>
      <c r="DH100" s="106"/>
      <c r="DI100" s="106"/>
      <c r="DJ100" s="106"/>
      <c r="DK100" s="106"/>
      <c r="DL100" s="106"/>
      <c r="DM100" s="106"/>
    </row>
    <row r="101" spans="8:117" x14ac:dyDescent="0.25">
      <c r="H101" s="80" t="str">
        <f>IFERROR(MP_DATA[[#This Row],[Bottom '[m']]]-MP_DATA[[#This Row],[D, top '[m']]], "")</f>
        <v/>
      </c>
      <c r="I101" s="80" t="str">
        <f>IFERROR(-(MP_DATA[[#This Row],[D, bottom '[m']]]-MP_DATA[[#This Row],[D, top '[m']]])/(MP_DATA[[#This Row],[Bottom '[m']]]-MP_DATA[[#This Row],[Top '[m']]]),"")</f>
        <v/>
      </c>
      <c r="J101" s="80" t="str">
        <f t="shared" si="11"/>
        <v/>
      </c>
      <c r="K101" s="80" t="str">
        <f>IFERROR((MP_DATA[[#This Row],[D, bottom '[m']]]+MP_DATA[[#This Row],[D, top '[m']]])/(2*MP_DATA[[#This Row],[t '[mm']]]/1000),"")</f>
        <v/>
      </c>
      <c r="L101" s="80" t="str">
        <f>IFERROR((MP_DATA[[#This Row],[D, bottom '[m']]]+#REF!)/(2*#REF!/1000),"")</f>
        <v/>
      </c>
      <c r="AO101" s="80" t="str">
        <f>IFERROR(TP_DATA[[#This Row],[Bottom '[m']]]-TP_DATA[[#This Row],[D, top '[m']]], "")</f>
        <v/>
      </c>
      <c r="AP101" s="80" t="str">
        <f>IFERROR(-(TP_DATA[[#This Row],[D, bottom '[m']]]-TP_DATA[[#This Row],[D, top '[m']]])/(TP_DATA[[#This Row],[Bottom '[m']]]-TP_DATA[[#This Row],[Top '[m']]]),"")</f>
        <v/>
      </c>
      <c r="AQ101" s="80" t="str">
        <f t="shared" si="8"/>
        <v/>
      </c>
      <c r="AR101" s="80" t="str">
        <f>IFERROR((TP_DATA[[#This Row],[D, bottom '[m']]]+TP_DATA[[#This Row],[D, top '[m']]])/(2*TP_DATA[[#This Row],[t '[mm']]]/1000),"")</f>
        <v/>
      </c>
      <c r="AS101" s="80" t="str">
        <f>IFERROR((TP_DATA[[#This Row],[D, bottom '[m']]]+#REF!)/(2*#REF!/1000),"")</f>
        <v/>
      </c>
      <c r="BW101" s="80" t="str">
        <f>IFERROR(TOWER_DATA[[#This Row],[Bottom '[m']]]-TOWER_DATA[[#This Row],[D, top '[m']]], "")</f>
        <v/>
      </c>
      <c r="BX101" s="80" t="str">
        <f>IFERROR(-(TOWER_DATA[[#This Row],[D, bottom '[m']]]-TOWER_DATA[[#This Row],[D, top '[m']]])/(TOWER_DATA[[#This Row],[Bottom '[m']]]-TOWER_DATA[[#This Row],[Top '[m']]]),"")</f>
        <v/>
      </c>
      <c r="BY101" s="80" t="str">
        <f t="shared" si="9"/>
        <v/>
      </c>
      <c r="BZ101" s="80" t="str">
        <f>IFERROR((TOWER_DATA[[#This Row],[D, bottom '[m']]]+TOWER_DATA[[#This Row],[D, top '[m']]])/(2*TOWER_DATA[[#This Row],[t '[mm']]]/1000),"")</f>
        <v/>
      </c>
      <c r="CA101" s="80" t="str">
        <f>IFERROR((TOWER_DATA[[#This Row],[D, bottom '[m']]]+#REF!)/(2*#REF!/1000),"")</f>
        <v/>
      </c>
      <c r="DE101" s="80" t="str">
        <f t="shared" si="10"/>
        <v/>
      </c>
      <c r="DF101" s="80"/>
      <c r="DG101" s="106"/>
      <c r="DH101" s="106"/>
      <c r="DI101" s="106"/>
      <c r="DJ101" s="106"/>
      <c r="DK101" s="106"/>
      <c r="DL101" s="106"/>
      <c r="DM101" s="106"/>
    </row>
    <row r="102" spans="8:117" x14ac:dyDescent="0.25">
      <c r="H102" s="80" t="str">
        <f>IFERROR(MP_DATA[[#This Row],[Bottom '[m']]]-MP_DATA[[#This Row],[D, top '[m']]], "")</f>
        <v/>
      </c>
      <c r="I102" s="80" t="str">
        <f>IFERROR(-(MP_DATA[[#This Row],[D, bottom '[m']]]-MP_DATA[[#This Row],[D, top '[m']]])/(MP_DATA[[#This Row],[Bottom '[m']]]-MP_DATA[[#This Row],[Top '[m']]]),"")</f>
        <v/>
      </c>
      <c r="J102" s="80" t="str">
        <f t="shared" si="11"/>
        <v/>
      </c>
      <c r="K102" s="80" t="str">
        <f>IFERROR((MP_DATA[[#This Row],[D, bottom '[m']]]+MP_DATA[[#This Row],[D, top '[m']]])/(2*MP_DATA[[#This Row],[t '[mm']]]/1000),"")</f>
        <v/>
      </c>
      <c r="L102" s="80" t="str">
        <f>IFERROR((MP_DATA[[#This Row],[D, bottom '[m']]]+#REF!)/(2*#REF!/1000),"")</f>
        <v/>
      </c>
      <c r="AO102" s="80" t="str">
        <f>IFERROR(TP_DATA[[#This Row],[Bottom '[m']]]-TP_DATA[[#This Row],[D, top '[m']]], "")</f>
        <v/>
      </c>
      <c r="AP102" s="80" t="str">
        <f>IFERROR(-(TP_DATA[[#This Row],[D, bottom '[m']]]-TP_DATA[[#This Row],[D, top '[m']]])/(TP_DATA[[#This Row],[Bottom '[m']]]-TP_DATA[[#This Row],[Top '[m']]]),"")</f>
        <v/>
      </c>
      <c r="AQ102" s="80" t="str">
        <f t="shared" si="8"/>
        <v/>
      </c>
      <c r="AR102" s="80" t="str">
        <f>IFERROR((TP_DATA[[#This Row],[D, bottom '[m']]]+TP_DATA[[#This Row],[D, top '[m']]])/(2*TP_DATA[[#This Row],[t '[mm']]]/1000),"")</f>
        <v/>
      </c>
      <c r="AS102" s="80" t="str">
        <f>IFERROR((TP_DATA[[#This Row],[D, bottom '[m']]]+#REF!)/(2*#REF!/1000),"")</f>
        <v/>
      </c>
      <c r="BW102" s="80" t="str">
        <f>IFERROR(TOWER_DATA[[#This Row],[Bottom '[m']]]-TOWER_DATA[[#This Row],[D, top '[m']]], "")</f>
        <v/>
      </c>
      <c r="BX102" s="80" t="str">
        <f>IFERROR(-(TOWER_DATA[[#This Row],[D, bottom '[m']]]-TOWER_DATA[[#This Row],[D, top '[m']]])/(TOWER_DATA[[#This Row],[Bottom '[m']]]-TOWER_DATA[[#This Row],[Top '[m']]]),"")</f>
        <v/>
      </c>
      <c r="BY102" s="80" t="str">
        <f t="shared" si="9"/>
        <v/>
      </c>
      <c r="BZ102" s="80" t="str">
        <f>IFERROR((TOWER_DATA[[#This Row],[D, bottom '[m']]]+TOWER_DATA[[#This Row],[D, top '[m']]])/(2*TOWER_DATA[[#This Row],[t '[mm']]]/1000),"")</f>
        <v/>
      </c>
      <c r="CA102" s="80" t="str">
        <f>IFERROR((TOWER_DATA[[#This Row],[D, bottom '[m']]]+#REF!)/(2*#REF!/1000),"")</f>
        <v/>
      </c>
      <c r="DE102" s="80" t="str">
        <f t="shared" si="10"/>
        <v/>
      </c>
      <c r="DF102" s="80"/>
      <c r="DG102" s="106"/>
      <c r="DH102" s="106"/>
      <c r="DI102" s="106"/>
      <c r="DJ102" s="106"/>
      <c r="DK102" s="106"/>
      <c r="DL102" s="106"/>
      <c r="DM102" s="106"/>
    </row>
    <row r="103" spans="8:117" x14ac:dyDescent="0.25">
      <c r="H103" s="80" t="str">
        <f>IFERROR(MP_DATA[[#This Row],[Bottom '[m']]]-MP_DATA[[#This Row],[D, top '[m']]], "")</f>
        <v/>
      </c>
      <c r="I103" s="80" t="str">
        <f>IFERROR(-(MP_DATA[[#This Row],[D, bottom '[m']]]-MP_DATA[[#This Row],[D, top '[m']]])/(MP_DATA[[#This Row],[Bottom '[m']]]-MP_DATA[[#This Row],[Top '[m']]]),"")</f>
        <v/>
      </c>
      <c r="J103" s="80" t="str">
        <f t="shared" si="11"/>
        <v/>
      </c>
      <c r="K103" s="80" t="str">
        <f>IFERROR((MP_DATA[[#This Row],[D, bottom '[m']]]+MP_DATA[[#This Row],[D, top '[m']]])/(2*MP_DATA[[#This Row],[t '[mm']]]/1000),"")</f>
        <v/>
      </c>
      <c r="L103" s="80" t="str">
        <f>IFERROR((MP_DATA[[#This Row],[D, bottom '[m']]]+#REF!)/(2*#REF!/1000),"")</f>
        <v/>
      </c>
      <c r="AO103" s="80" t="str">
        <f>IFERROR(TP_DATA[[#This Row],[Bottom '[m']]]-TP_DATA[[#This Row],[D, top '[m']]], "")</f>
        <v/>
      </c>
      <c r="AP103" s="80" t="str">
        <f>IFERROR(-(TP_DATA[[#This Row],[D, bottom '[m']]]-TP_DATA[[#This Row],[D, top '[m']]])/(TP_DATA[[#This Row],[Bottom '[m']]]-TP_DATA[[#This Row],[Top '[m']]]),"")</f>
        <v/>
      </c>
      <c r="AQ103" s="80" t="str">
        <f t="shared" si="8"/>
        <v/>
      </c>
      <c r="AR103" s="80" t="str">
        <f>IFERROR((TP_DATA[[#This Row],[D, bottom '[m']]]+TP_DATA[[#This Row],[D, top '[m']]])/(2*TP_DATA[[#This Row],[t '[mm']]]/1000),"")</f>
        <v/>
      </c>
      <c r="AS103" s="80" t="str">
        <f>IFERROR((TP_DATA[[#This Row],[D, bottom '[m']]]+#REF!)/(2*#REF!/1000),"")</f>
        <v/>
      </c>
      <c r="BW103" s="80" t="str">
        <f>IFERROR(TOWER_DATA[[#This Row],[Bottom '[m']]]-TOWER_DATA[[#This Row],[D, top '[m']]], "")</f>
        <v/>
      </c>
      <c r="BX103" s="80" t="str">
        <f>IFERROR(-(TOWER_DATA[[#This Row],[D, bottom '[m']]]-TOWER_DATA[[#This Row],[D, top '[m']]])/(TOWER_DATA[[#This Row],[Bottom '[m']]]-TOWER_DATA[[#This Row],[Top '[m']]]),"")</f>
        <v/>
      </c>
      <c r="BY103" s="80" t="str">
        <f t="shared" si="9"/>
        <v/>
      </c>
      <c r="BZ103" s="80" t="str">
        <f>IFERROR((TOWER_DATA[[#This Row],[D, bottom '[m']]]+TOWER_DATA[[#This Row],[D, top '[m']]])/(2*TOWER_DATA[[#This Row],[t '[mm']]]/1000),"")</f>
        <v/>
      </c>
      <c r="CA103" s="80" t="str">
        <f>IFERROR((TOWER_DATA[[#This Row],[D, bottom '[m']]]+#REF!)/(2*#REF!/1000),"")</f>
        <v/>
      </c>
      <c r="DE103" s="80" t="str">
        <f t="shared" si="10"/>
        <v/>
      </c>
      <c r="DF103" s="80"/>
      <c r="DG103" s="106"/>
      <c r="DH103" s="106"/>
      <c r="DI103" s="106"/>
      <c r="DJ103" s="106"/>
      <c r="DK103" s="106"/>
      <c r="DL103" s="106"/>
      <c r="DM103" s="106"/>
    </row>
    <row r="104" spans="8:117" x14ac:dyDescent="0.25">
      <c r="H104" s="80" t="str">
        <f>IFERROR(MP_DATA[[#This Row],[Bottom '[m']]]-MP_DATA[[#This Row],[D, top '[m']]], "")</f>
        <v/>
      </c>
      <c r="I104" s="80" t="str">
        <f>IFERROR(-(MP_DATA[[#This Row],[D, bottom '[m']]]-MP_DATA[[#This Row],[D, top '[m']]])/(MP_DATA[[#This Row],[Bottom '[m']]]-MP_DATA[[#This Row],[Top '[m']]]),"")</f>
        <v/>
      </c>
      <c r="J104" s="80" t="str">
        <f t="shared" si="11"/>
        <v/>
      </c>
      <c r="K104" s="80" t="str">
        <f>IFERROR((MP_DATA[[#This Row],[D, bottom '[m']]]+MP_DATA[[#This Row],[D, top '[m']]])/(2*MP_DATA[[#This Row],[t '[mm']]]/1000),"")</f>
        <v/>
      </c>
      <c r="L104" s="80" t="str">
        <f>IFERROR((MP_DATA[[#This Row],[D, bottom '[m']]]+#REF!)/(2*#REF!/1000),"")</f>
        <v/>
      </c>
      <c r="AO104" s="80" t="str">
        <f>IFERROR(TP_DATA[[#This Row],[Bottom '[m']]]-TP_DATA[[#This Row],[D, top '[m']]], "")</f>
        <v/>
      </c>
      <c r="AP104" s="80" t="str">
        <f>IFERROR(-(TP_DATA[[#This Row],[D, bottom '[m']]]-TP_DATA[[#This Row],[D, top '[m']]])/(TP_DATA[[#This Row],[Bottom '[m']]]-TP_DATA[[#This Row],[Top '[m']]]),"")</f>
        <v/>
      </c>
      <c r="AQ104" s="80" t="str">
        <f t="shared" si="8"/>
        <v/>
      </c>
      <c r="AR104" s="80" t="str">
        <f>IFERROR((TP_DATA[[#This Row],[D, bottom '[m']]]+TP_DATA[[#This Row],[D, top '[m']]])/(2*TP_DATA[[#This Row],[t '[mm']]]/1000),"")</f>
        <v/>
      </c>
      <c r="AS104" s="80" t="str">
        <f>IFERROR((TP_DATA[[#This Row],[D, bottom '[m']]]+#REF!)/(2*#REF!/1000),"")</f>
        <v/>
      </c>
      <c r="BW104" s="80" t="str">
        <f>IFERROR(TOWER_DATA[[#This Row],[Bottom '[m']]]-TOWER_DATA[[#This Row],[D, top '[m']]], "")</f>
        <v/>
      </c>
      <c r="BX104" s="80" t="str">
        <f>IFERROR(-(TOWER_DATA[[#This Row],[D, bottom '[m']]]-TOWER_DATA[[#This Row],[D, top '[m']]])/(TOWER_DATA[[#This Row],[Bottom '[m']]]-TOWER_DATA[[#This Row],[Top '[m']]]),"")</f>
        <v/>
      </c>
      <c r="BY104" s="80" t="str">
        <f t="shared" si="9"/>
        <v/>
      </c>
      <c r="BZ104" s="80" t="str">
        <f>IFERROR((TOWER_DATA[[#This Row],[D, bottom '[m']]]+TOWER_DATA[[#This Row],[D, top '[m']]])/(2*TOWER_DATA[[#This Row],[t '[mm']]]/1000),"")</f>
        <v/>
      </c>
      <c r="CA104" s="80" t="str">
        <f>IFERROR((TOWER_DATA[[#This Row],[D, bottom '[m']]]+#REF!)/(2*#REF!/1000),"")</f>
        <v/>
      </c>
      <c r="DE104" s="80" t="str">
        <f t="shared" si="10"/>
        <v/>
      </c>
      <c r="DF104" s="80"/>
      <c r="DG104" s="106"/>
      <c r="DH104" s="106"/>
      <c r="DI104" s="106"/>
      <c r="DJ104" s="106"/>
      <c r="DK104" s="106"/>
      <c r="DL104" s="106"/>
      <c r="DM104" s="106"/>
    </row>
    <row r="105" spans="8:117" x14ac:dyDescent="0.25">
      <c r="H105" s="80" t="str">
        <f>IFERROR(MP_DATA[[#This Row],[Bottom '[m']]]-MP_DATA[[#This Row],[D, top '[m']]], "")</f>
        <v/>
      </c>
      <c r="I105" s="80" t="str">
        <f>IFERROR(-(MP_DATA[[#This Row],[D, bottom '[m']]]-MP_DATA[[#This Row],[D, top '[m']]])/(MP_DATA[[#This Row],[Bottom '[m']]]-MP_DATA[[#This Row],[Top '[m']]]),"")</f>
        <v/>
      </c>
      <c r="J105" s="80" t="str">
        <f t="shared" si="11"/>
        <v/>
      </c>
      <c r="K105" s="80" t="str">
        <f>IFERROR((MP_DATA[[#This Row],[D, bottom '[m']]]+MP_DATA[[#This Row],[D, top '[m']]])/(2*MP_DATA[[#This Row],[t '[mm']]]/1000),"")</f>
        <v/>
      </c>
      <c r="L105" s="80" t="str">
        <f>IFERROR((MP_DATA[[#This Row],[D, bottom '[m']]]+#REF!)/(2*#REF!/1000),"")</f>
        <v/>
      </c>
      <c r="AO105" s="80" t="str">
        <f>IFERROR(TP_DATA[[#This Row],[Bottom '[m']]]-TP_DATA[[#This Row],[D, top '[m']]], "")</f>
        <v/>
      </c>
      <c r="AP105" s="80" t="str">
        <f>IFERROR(-(TP_DATA[[#This Row],[D, bottom '[m']]]-TP_DATA[[#This Row],[D, top '[m']]])/(TP_DATA[[#This Row],[Bottom '[m']]]-TP_DATA[[#This Row],[Top '[m']]]),"")</f>
        <v/>
      </c>
      <c r="AQ105" s="80" t="str">
        <f t="shared" si="8"/>
        <v/>
      </c>
      <c r="AR105" s="80" t="str">
        <f>IFERROR((TP_DATA[[#This Row],[D, bottom '[m']]]+TP_DATA[[#This Row],[D, top '[m']]])/(2*TP_DATA[[#This Row],[t '[mm']]]/1000),"")</f>
        <v/>
      </c>
      <c r="AS105" s="80" t="str">
        <f>IFERROR((TP_DATA[[#This Row],[D, bottom '[m']]]+#REF!)/(2*#REF!/1000),"")</f>
        <v/>
      </c>
      <c r="BW105" s="80" t="str">
        <f>IFERROR(TOWER_DATA[[#This Row],[Bottom '[m']]]-TOWER_DATA[[#This Row],[D, top '[m']]], "")</f>
        <v/>
      </c>
      <c r="BX105" s="80" t="str">
        <f>IFERROR(-(TOWER_DATA[[#This Row],[D, bottom '[m']]]-TOWER_DATA[[#This Row],[D, top '[m']]])/(TOWER_DATA[[#This Row],[Bottom '[m']]]-TOWER_DATA[[#This Row],[Top '[m']]]),"")</f>
        <v/>
      </c>
      <c r="BY105" s="80" t="str">
        <f t="shared" si="9"/>
        <v/>
      </c>
      <c r="BZ105" s="80" t="str">
        <f>IFERROR((TOWER_DATA[[#This Row],[D, bottom '[m']]]+TOWER_DATA[[#This Row],[D, top '[m']]])/(2*TOWER_DATA[[#This Row],[t '[mm']]]/1000),"")</f>
        <v/>
      </c>
      <c r="CA105" s="80" t="str">
        <f>IFERROR((TOWER_DATA[[#This Row],[D, bottom '[m']]]+#REF!)/(2*#REF!/1000),"")</f>
        <v/>
      </c>
      <c r="DE105" s="80" t="str">
        <f t="shared" si="10"/>
        <v/>
      </c>
      <c r="DF105" s="80"/>
      <c r="DG105" s="106"/>
      <c r="DH105" s="106"/>
      <c r="DI105" s="106"/>
      <c r="DJ105" s="106"/>
      <c r="DK105" s="106"/>
      <c r="DL105" s="106"/>
      <c r="DM105" s="106"/>
    </row>
    <row r="106" spans="8:117" x14ac:dyDescent="0.25">
      <c r="H106" s="80" t="str">
        <f>IFERROR(MP_DATA[[#This Row],[Bottom '[m']]]-MP_DATA[[#This Row],[D, top '[m']]], "")</f>
        <v/>
      </c>
      <c r="I106" s="80" t="str">
        <f>IFERROR(-(MP_DATA[[#This Row],[D, bottom '[m']]]-MP_DATA[[#This Row],[D, top '[m']]])/(MP_DATA[[#This Row],[Bottom '[m']]]-MP_DATA[[#This Row],[Top '[m']]]),"")</f>
        <v/>
      </c>
      <c r="J106" s="80" t="str">
        <f t="shared" si="11"/>
        <v/>
      </c>
      <c r="K106" s="80" t="str">
        <f>IFERROR((MP_DATA[[#This Row],[D, bottom '[m']]]+MP_DATA[[#This Row],[D, top '[m']]])/(2*MP_DATA[[#This Row],[t '[mm']]]/1000),"")</f>
        <v/>
      </c>
      <c r="L106" s="80" t="str">
        <f>IFERROR((MP_DATA[[#This Row],[D, bottom '[m']]]+#REF!)/(2*#REF!/1000),"")</f>
        <v/>
      </c>
      <c r="AO106" s="80" t="str">
        <f>IFERROR(TP_DATA[[#This Row],[Bottom '[m']]]-TP_DATA[[#This Row],[D, top '[m']]], "")</f>
        <v/>
      </c>
      <c r="AP106" s="80" t="str">
        <f>IFERROR(-(TP_DATA[[#This Row],[D, bottom '[m']]]-TP_DATA[[#This Row],[D, top '[m']]])/(TP_DATA[[#This Row],[Bottom '[m']]]-TP_DATA[[#This Row],[Top '[m']]]),"")</f>
        <v/>
      </c>
      <c r="AQ106" s="80" t="str">
        <f t="shared" si="8"/>
        <v/>
      </c>
      <c r="AR106" s="80" t="str">
        <f>IFERROR((TP_DATA[[#This Row],[D, bottom '[m']]]+TP_DATA[[#This Row],[D, top '[m']]])/(2*TP_DATA[[#This Row],[t '[mm']]]/1000),"")</f>
        <v/>
      </c>
      <c r="AS106" s="80" t="str">
        <f>IFERROR((TP_DATA[[#This Row],[D, bottom '[m']]]+#REF!)/(2*#REF!/1000),"")</f>
        <v/>
      </c>
      <c r="BW106" s="80" t="str">
        <f>IFERROR(TOWER_DATA[[#This Row],[Bottom '[m']]]-TOWER_DATA[[#This Row],[D, top '[m']]], "")</f>
        <v/>
      </c>
      <c r="BX106" s="80" t="str">
        <f>IFERROR(-(TOWER_DATA[[#This Row],[D, bottom '[m']]]-TOWER_DATA[[#This Row],[D, top '[m']]])/(TOWER_DATA[[#This Row],[Bottom '[m']]]-TOWER_DATA[[#This Row],[Top '[m']]]),"")</f>
        <v/>
      </c>
      <c r="BY106" s="80" t="str">
        <f t="shared" si="9"/>
        <v/>
      </c>
      <c r="BZ106" s="80" t="str">
        <f>IFERROR((TOWER_DATA[[#This Row],[D, bottom '[m']]]+TOWER_DATA[[#This Row],[D, top '[m']]])/(2*TOWER_DATA[[#This Row],[t '[mm']]]/1000),"")</f>
        <v/>
      </c>
      <c r="CA106" s="80" t="str">
        <f>IFERROR((TOWER_DATA[[#This Row],[D, bottom '[m']]]+#REF!)/(2*#REF!/1000),"")</f>
        <v/>
      </c>
      <c r="DE106" s="80" t="str">
        <f t="shared" si="10"/>
        <v/>
      </c>
      <c r="DF106" s="80"/>
      <c r="DG106" s="106"/>
      <c r="DH106" s="106"/>
      <c r="DI106" s="106"/>
      <c r="DJ106" s="106"/>
      <c r="DK106" s="106"/>
      <c r="DL106" s="106"/>
      <c r="DM106" s="106"/>
    </row>
    <row r="107" spans="8:117" x14ac:dyDescent="0.25">
      <c r="H107" s="80" t="str">
        <f>IFERROR(MP_DATA[[#This Row],[Bottom '[m']]]-MP_DATA[[#This Row],[D, top '[m']]], "")</f>
        <v/>
      </c>
      <c r="I107" s="80" t="str">
        <f>IFERROR(-(MP_DATA[[#This Row],[D, bottom '[m']]]-MP_DATA[[#This Row],[D, top '[m']]])/(MP_DATA[[#This Row],[Bottom '[m']]]-MP_DATA[[#This Row],[Top '[m']]]),"")</f>
        <v/>
      </c>
      <c r="J107" s="80" t="str">
        <f t="shared" si="11"/>
        <v/>
      </c>
      <c r="K107" s="80" t="str">
        <f>IFERROR((MP_DATA[[#This Row],[D, bottom '[m']]]+MP_DATA[[#This Row],[D, top '[m']]])/(2*MP_DATA[[#This Row],[t '[mm']]]/1000),"")</f>
        <v/>
      </c>
      <c r="L107" s="80" t="str">
        <f>IFERROR((MP_DATA[[#This Row],[D, bottom '[m']]]+#REF!)/(2*#REF!/1000),"")</f>
        <v/>
      </c>
      <c r="AO107" s="80" t="str">
        <f>IFERROR(TP_DATA[[#This Row],[Bottom '[m']]]-TP_DATA[[#This Row],[D, top '[m']]], "")</f>
        <v/>
      </c>
      <c r="AP107" s="80" t="str">
        <f>IFERROR(-(TP_DATA[[#This Row],[D, bottom '[m']]]-TP_DATA[[#This Row],[D, top '[m']]])/(TP_DATA[[#This Row],[Bottom '[m']]]-TP_DATA[[#This Row],[Top '[m']]]),"")</f>
        <v/>
      </c>
      <c r="AQ107" s="80" t="str">
        <f t="shared" si="8"/>
        <v/>
      </c>
      <c r="AR107" s="80" t="str">
        <f>IFERROR((TP_DATA[[#This Row],[D, bottom '[m']]]+TP_DATA[[#This Row],[D, top '[m']]])/(2*TP_DATA[[#This Row],[t '[mm']]]/1000),"")</f>
        <v/>
      </c>
      <c r="AS107" s="80" t="str">
        <f>IFERROR((TP_DATA[[#This Row],[D, bottom '[m']]]+#REF!)/(2*#REF!/1000),"")</f>
        <v/>
      </c>
      <c r="BW107" s="80" t="str">
        <f>IFERROR(TOWER_DATA[[#This Row],[Bottom '[m']]]-TOWER_DATA[[#This Row],[D, top '[m']]], "")</f>
        <v/>
      </c>
      <c r="BX107" s="80" t="str">
        <f>IFERROR(-(TOWER_DATA[[#This Row],[D, bottom '[m']]]-TOWER_DATA[[#This Row],[D, top '[m']]])/(TOWER_DATA[[#This Row],[Bottom '[m']]]-TOWER_DATA[[#This Row],[Top '[m']]]),"")</f>
        <v/>
      </c>
      <c r="BY107" s="80" t="str">
        <f t="shared" si="9"/>
        <v/>
      </c>
      <c r="BZ107" s="80" t="str">
        <f>IFERROR((TOWER_DATA[[#This Row],[D, bottom '[m']]]+TOWER_DATA[[#This Row],[D, top '[m']]])/(2*TOWER_DATA[[#This Row],[t '[mm']]]/1000),"")</f>
        <v/>
      </c>
      <c r="CA107" s="80" t="str">
        <f>IFERROR((TOWER_DATA[[#This Row],[D, bottom '[m']]]+#REF!)/(2*#REF!/1000),"")</f>
        <v/>
      </c>
      <c r="DE107" s="80" t="str">
        <f t="shared" si="10"/>
        <v/>
      </c>
      <c r="DF107" s="80"/>
      <c r="DG107" s="106"/>
      <c r="DH107" s="106"/>
      <c r="DI107" s="106"/>
      <c r="DJ107" s="106"/>
      <c r="DK107" s="106"/>
      <c r="DL107" s="106"/>
      <c r="DM107" s="106"/>
    </row>
    <row r="108" spans="8:117" x14ac:dyDescent="0.25">
      <c r="H108" s="80" t="str">
        <f>IFERROR(MP_DATA[[#This Row],[Bottom '[m']]]-MP_DATA[[#This Row],[D, top '[m']]], "")</f>
        <v/>
      </c>
      <c r="I108" s="80" t="str">
        <f>IFERROR(-(MP_DATA[[#This Row],[D, bottom '[m']]]-MP_DATA[[#This Row],[D, top '[m']]])/(MP_DATA[[#This Row],[Bottom '[m']]]-MP_DATA[[#This Row],[Top '[m']]]),"")</f>
        <v/>
      </c>
      <c r="J108" s="80" t="str">
        <f t="shared" si="11"/>
        <v/>
      </c>
      <c r="K108" s="80" t="str">
        <f>IFERROR((MP_DATA[[#This Row],[D, bottom '[m']]]+MP_DATA[[#This Row],[D, top '[m']]])/(2*MP_DATA[[#This Row],[t '[mm']]]/1000),"")</f>
        <v/>
      </c>
      <c r="L108" s="80" t="str">
        <f>IFERROR((MP_DATA[[#This Row],[D, bottom '[m']]]+#REF!)/(2*#REF!/1000),"")</f>
        <v/>
      </c>
      <c r="AO108" s="80" t="str">
        <f>IFERROR(TP_DATA[[#This Row],[Bottom '[m']]]-TP_DATA[[#This Row],[D, top '[m']]], "")</f>
        <v/>
      </c>
      <c r="AP108" s="80" t="str">
        <f>IFERROR(-(TP_DATA[[#This Row],[D, bottom '[m']]]-TP_DATA[[#This Row],[D, top '[m']]])/(TP_DATA[[#This Row],[Bottom '[m']]]-TP_DATA[[#This Row],[Top '[m']]]),"")</f>
        <v/>
      </c>
      <c r="AQ108" s="80" t="str">
        <f t="shared" si="8"/>
        <v/>
      </c>
      <c r="AR108" s="80" t="str">
        <f>IFERROR((TP_DATA[[#This Row],[D, bottom '[m']]]+TP_DATA[[#This Row],[D, top '[m']]])/(2*TP_DATA[[#This Row],[t '[mm']]]/1000),"")</f>
        <v/>
      </c>
      <c r="AS108" s="80" t="str">
        <f>IFERROR((TP_DATA[[#This Row],[D, bottom '[m']]]+#REF!)/(2*#REF!/1000),"")</f>
        <v/>
      </c>
      <c r="BW108" s="80" t="str">
        <f>IFERROR(TOWER_DATA[[#This Row],[Bottom '[m']]]-TOWER_DATA[[#This Row],[D, top '[m']]], "")</f>
        <v/>
      </c>
      <c r="BX108" s="80" t="str">
        <f>IFERROR(-(TOWER_DATA[[#This Row],[D, bottom '[m']]]-TOWER_DATA[[#This Row],[D, top '[m']]])/(TOWER_DATA[[#This Row],[Bottom '[m']]]-TOWER_DATA[[#This Row],[Top '[m']]]),"")</f>
        <v/>
      </c>
      <c r="BY108" s="80" t="str">
        <f t="shared" si="9"/>
        <v/>
      </c>
      <c r="BZ108" s="80" t="str">
        <f>IFERROR((TOWER_DATA[[#This Row],[D, bottom '[m']]]+TOWER_DATA[[#This Row],[D, top '[m']]])/(2*TOWER_DATA[[#This Row],[t '[mm']]]/1000),"")</f>
        <v/>
      </c>
      <c r="CA108" s="80" t="str">
        <f>IFERROR((TOWER_DATA[[#This Row],[D, bottom '[m']]]+#REF!)/(2*#REF!/1000),"")</f>
        <v/>
      </c>
      <c r="DE108" s="80" t="str">
        <f t="shared" si="10"/>
        <v/>
      </c>
      <c r="DF108" s="80"/>
      <c r="DG108" s="106"/>
      <c r="DH108" s="106"/>
      <c r="DI108" s="106"/>
      <c r="DJ108" s="106"/>
      <c r="DK108" s="106"/>
      <c r="DL108" s="106"/>
      <c r="DM108" s="106"/>
    </row>
    <row r="109" spans="8:117" x14ac:dyDescent="0.25">
      <c r="H109" s="80" t="str">
        <f>IFERROR(MP_DATA[[#This Row],[Bottom '[m']]]-MP_DATA[[#This Row],[D, top '[m']]], "")</f>
        <v/>
      </c>
      <c r="I109" s="80" t="str">
        <f>IFERROR(-(MP_DATA[[#This Row],[D, bottom '[m']]]-MP_DATA[[#This Row],[D, top '[m']]])/(MP_DATA[[#This Row],[Bottom '[m']]]-MP_DATA[[#This Row],[Top '[m']]]),"")</f>
        <v/>
      </c>
      <c r="J109" s="80" t="str">
        <f t="shared" si="11"/>
        <v/>
      </c>
      <c r="K109" s="80" t="str">
        <f>IFERROR((MP_DATA[[#This Row],[D, bottom '[m']]]+MP_DATA[[#This Row],[D, top '[m']]])/(2*MP_DATA[[#This Row],[t '[mm']]]/1000),"")</f>
        <v/>
      </c>
      <c r="L109" s="80" t="str">
        <f>IFERROR((MP_DATA[[#This Row],[D, bottom '[m']]]+#REF!)/(2*#REF!/1000),"")</f>
        <v/>
      </c>
      <c r="AO109" s="80" t="str">
        <f>IFERROR(TP_DATA[[#This Row],[Bottom '[m']]]-TP_DATA[[#This Row],[D, top '[m']]], "")</f>
        <v/>
      </c>
      <c r="AP109" s="80" t="str">
        <f>IFERROR(-(TP_DATA[[#This Row],[D, bottom '[m']]]-TP_DATA[[#This Row],[D, top '[m']]])/(TP_DATA[[#This Row],[Bottom '[m']]]-TP_DATA[[#This Row],[Top '[m']]]),"")</f>
        <v/>
      </c>
      <c r="AQ109" s="80" t="str">
        <f t="shared" si="8"/>
        <v/>
      </c>
      <c r="AR109" s="80" t="str">
        <f>IFERROR((TP_DATA[[#This Row],[D, bottom '[m']]]+TP_DATA[[#This Row],[D, top '[m']]])/(2*TP_DATA[[#This Row],[t '[mm']]]/1000),"")</f>
        <v/>
      </c>
      <c r="AS109" s="80" t="str">
        <f>IFERROR((TP_DATA[[#This Row],[D, bottom '[m']]]+#REF!)/(2*#REF!/1000),"")</f>
        <v/>
      </c>
      <c r="BW109" s="80" t="str">
        <f>IFERROR(TOWER_DATA[[#This Row],[Bottom '[m']]]-TOWER_DATA[[#This Row],[D, top '[m']]], "")</f>
        <v/>
      </c>
      <c r="BX109" s="80" t="str">
        <f>IFERROR(-(TOWER_DATA[[#This Row],[D, bottom '[m']]]-TOWER_DATA[[#This Row],[D, top '[m']]])/(TOWER_DATA[[#This Row],[Bottom '[m']]]-TOWER_DATA[[#This Row],[Top '[m']]]),"")</f>
        <v/>
      </c>
      <c r="BY109" s="80" t="str">
        <f t="shared" si="9"/>
        <v/>
      </c>
      <c r="BZ109" s="80" t="str">
        <f>IFERROR((TOWER_DATA[[#This Row],[D, bottom '[m']]]+TOWER_DATA[[#This Row],[D, top '[m']]])/(2*TOWER_DATA[[#This Row],[t '[mm']]]/1000),"")</f>
        <v/>
      </c>
      <c r="CA109" s="80" t="str">
        <f>IFERROR((TOWER_DATA[[#This Row],[D, bottom '[m']]]+#REF!)/(2*#REF!/1000),"")</f>
        <v/>
      </c>
      <c r="DE109" s="80" t="str">
        <f t="shared" si="10"/>
        <v/>
      </c>
      <c r="DF109" s="80"/>
      <c r="DG109" s="106"/>
      <c r="DH109" s="106"/>
      <c r="DI109" s="106"/>
      <c r="DJ109" s="106"/>
      <c r="DK109" s="106"/>
      <c r="DL109" s="106"/>
      <c r="DM109" s="106"/>
    </row>
    <row r="110" spans="8:117" x14ac:dyDescent="0.25">
      <c r="H110" s="80" t="str">
        <f>IFERROR(MP_DATA[[#This Row],[Bottom '[m']]]-MP_DATA[[#This Row],[D, top '[m']]], "")</f>
        <v/>
      </c>
      <c r="I110" s="80" t="str">
        <f>IFERROR(-(MP_DATA[[#This Row],[D, bottom '[m']]]-MP_DATA[[#This Row],[D, top '[m']]])/(MP_DATA[[#This Row],[Bottom '[m']]]-MP_DATA[[#This Row],[Top '[m']]]),"")</f>
        <v/>
      </c>
      <c r="J110" s="80" t="str">
        <f t="shared" si="11"/>
        <v/>
      </c>
      <c r="K110" s="80" t="str">
        <f>IFERROR((MP_DATA[[#This Row],[D, bottom '[m']]]+MP_DATA[[#This Row],[D, top '[m']]])/(2*MP_DATA[[#This Row],[t '[mm']]]/1000),"")</f>
        <v/>
      </c>
      <c r="L110" s="80" t="str">
        <f>IFERROR((MP_DATA[[#This Row],[D, bottom '[m']]]+#REF!)/(2*#REF!/1000),"")</f>
        <v/>
      </c>
      <c r="AO110" s="80" t="str">
        <f>IFERROR(TP_DATA[[#This Row],[Bottom '[m']]]-TP_DATA[[#This Row],[D, top '[m']]], "")</f>
        <v/>
      </c>
      <c r="AP110" s="80" t="str">
        <f>IFERROR(-(TP_DATA[[#This Row],[D, bottom '[m']]]-TP_DATA[[#This Row],[D, top '[m']]])/(TP_DATA[[#This Row],[Bottom '[m']]]-TP_DATA[[#This Row],[Top '[m']]]),"")</f>
        <v/>
      </c>
      <c r="AQ110" s="80" t="str">
        <f t="shared" si="8"/>
        <v/>
      </c>
      <c r="AR110" s="80" t="str">
        <f>IFERROR((TP_DATA[[#This Row],[D, bottom '[m']]]+TP_DATA[[#This Row],[D, top '[m']]])/(2*TP_DATA[[#This Row],[t '[mm']]]/1000),"")</f>
        <v/>
      </c>
      <c r="AS110" s="80" t="str">
        <f>IFERROR((TP_DATA[[#This Row],[D, bottom '[m']]]+#REF!)/(2*#REF!/1000),"")</f>
        <v/>
      </c>
      <c r="BW110" s="80" t="str">
        <f>IFERROR(TOWER_DATA[[#This Row],[Bottom '[m']]]-TOWER_DATA[[#This Row],[D, top '[m']]], "")</f>
        <v/>
      </c>
      <c r="BX110" s="80" t="str">
        <f>IFERROR(-(TOWER_DATA[[#This Row],[D, bottom '[m']]]-TOWER_DATA[[#This Row],[D, top '[m']]])/(TOWER_DATA[[#This Row],[Bottom '[m']]]-TOWER_DATA[[#This Row],[Top '[m']]]),"")</f>
        <v/>
      </c>
      <c r="BY110" s="80" t="str">
        <f t="shared" si="9"/>
        <v/>
      </c>
      <c r="BZ110" s="80" t="str">
        <f>IFERROR((TOWER_DATA[[#This Row],[D, bottom '[m']]]+TOWER_DATA[[#This Row],[D, top '[m']]])/(2*TOWER_DATA[[#This Row],[t '[mm']]]/1000),"")</f>
        <v/>
      </c>
      <c r="CA110" s="80" t="str">
        <f>IFERROR((TOWER_DATA[[#This Row],[D, bottom '[m']]]+#REF!)/(2*#REF!/1000),"")</f>
        <v/>
      </c>
      <c r="DE110" s="80" t="str">
        <f t="shared" si="10"/>
        <v/>
      </c>
      <c r="DF110" s="80"/>
      <c r="DG110" s="106"/>
      <c r="DH110" s="106"/>
      <c r="DI110" s="106"/>
      <c r="DJ110" s="106"/>
      <c r="DK110" s="106"/>
      <c r="DL110" s="106"/>
      <c r="DM110" s="106"/>
    </row>
    <row r="111" spans="8:117" x14ac:dyDescent="0.25">
      <c r="H111" s="80" t="str">
        <f>IFERROR(MP_DATA[[#This Row],[Bottom '[m']]]-MP_DATA[[#This Row],[D, top '[m']]], "")</f>
        <v/>
      </c>
      <c r="I111" s="80" t="str">
        <f>IFERROR(-(MP_DATA[[#This Row],[D, bottom '[m']]]-MP_DATA[[#This Row],[D, top '[m']]])/(MP_DATA[[#This Row],[Bottom '[m']]]-MP_DATA[[#This Row],[Top '[m']]]),"")</f>
        <v/>
      </c>
      <c r="J111" s="80" t="str">
        <f t="shared" si="11"/>
        <v/>
      </c>
      <c r="K111" s="80" t="str">
        <f>IFERROR((MP_DATA[[#This Row],[D, bottom '[m']]]+MP_DATA[[#This Row],[D, top '[m']]])/(2*MP_DATA[[#This Row],[t '[mm']]]/1000),"")</f>
        <v/>
      </c>
      <c r="L111" s="80" t="str">
        <f>IFERROR((MP_DATA[[#This Row],[D, bottom '[m']]]+#REF!)/(2*#REF!/1000),"")</f>
        <v/>
      </c>
      <c r="AO111" s="80" t="str">
        <f>IFERROR(TP_DATA[[#This Row],[Bottom '[m']]]-TP_DATA[[#This Row],[D, top '[m']]], "")</f>
        <v/>
      </c>
      <c r="AP111" s="80" t="str">
        <f>IFERROR(-(TP_DATA[[#This Row],[D, bottom '[m']]]-TP_DATA[[#This Row],[D, top '[m']]])/(TP_DATA[[#This Row],[Bottom '[m']]]-TP_DATA[[#This Row],[Top '[m']]]),"")</f>
        <v/>
      </c>
      <c r="AQ111" s="80" t="str">
        <f t="shared" si="8"/>
        <v/>
      </c>
      <c r="AR111" s="80" t="str">
        <f>IFERROR((TP_DATA[[#This Row],[D, bottom '[m']]]+TP_DATA[[#This Row],[D, top '[m']]])/(2*TP_DATA[[#This Row],[t '[mm']]]/1000),"")</f>
        <v/>
      </c>
      <c r="AS111" s="80" t="str">
        <f>IFERROR((TP_DATA[[#This Row],[D, bottom '[m']]]+#REF!)/(2*#REF!/1000),"")</f>
        <v/>
      </c>
      <c r="BW111" s="80" t="str">
        <f>IFERROR(TOWER_DATA[[#This Row],[Bottom '[m']]]-TOWER_DATA[[#This Row],[D, top '[m']]], "")</f>
        <v/>
      </c>
      <c r="BX111" s="80" t="str">
        <f>IFERROR(-(TOWER_DATA[[#This Row],[D, bottom '[m']]]-TOWER_DATA[[#This Row],[D, top '[m']]])/(TOWER_DATA[[#This Row],[Bottom '[m']]]-TOWER_DATA[[#This Row],[Top '[m']]]),"")</f>
        <v/>
      </c>
      <c r="BY111" s="80" t="str">
        <f t="shared" si="9"/>
        <v/>
      </c>
      <c r="BZ111" s="80" t="str">
        <f>IFERROR((TOWER_DATA[[#This Row],[D, bottom '[m']]]+TOWER_DATA[[#This Row],[D, top '[m']]])/(2*TOWER_DATA[[#This Row],[t '[mm']]]/1000),"")</f>
        <v/>
      </c>
      <c r="CA111" s="80" t="str">
        <f>IFERROR((TOWER_DATA[[#This Row],[D, bottom '[m']]]+#REF!)/(2*#REF!/1000),"")</f>
        <v/>
      </c>
      <c r="DE111" s="80" t="str">
        <f t="shared" si="10"/>
        <v/>
      </c>
      <c r="DF111" s="80"/>
      <c r="DG111" s="106"/>
      <c r="DH111" s="106"/>
      <c r="DI111" s="106"/>
      <c r="DJ111" s="106"/>
      <c r="DK111" s="106"/>
      <c r="DL111" s="106"/>
      <c r="DM111" s="106"/>
    </row>
    <row r="112" spans="8:117" x14ac:dyDescent="0.25">
      <c r="H112" s="80" t="str">
        <f>IFERROR(MP_DATA[[#This Row],[Bottom '[m']]]-MP_DATA[[#This Row],[D, top '[m']]], "")</f>
        <v/>
      </c>
      <c r="I112" s="80" t="str">
        <f>IFERROR(-(MP_DATA[[#This Row],[D, bottom '[m']]]-MP_DATA[[#This Row],[D, top '[m']]])/(MP_DATA[[#This Row],[Bottom '[m']]]-MP_DATA[[#This Row],[Top '[m']]]),"")</f>
        <v/>
      </c>
      <c r="J112" s="80" t="str">
        <f t="shared" si="11"/>
        <v/>
      </c>
      <c r="K112" s="80" t="str">
        <f>IFERROR((MP_DATA[[#This Row],[D, bottom '[m']]]+MP_DATA[[#This Row],[D, top '[m']]])/(2*MP_DATA[[#This Row],[t '[mm']]]/1000),"")</f>
        <v/>
      </c>
      <c r="L112" s="80" t="str">
        <f>IFERROR((MP_DATA[[#This Row],[D, bottom '[m']]]+#REF!)/(2*#REF!/1000),"")</f>
        <v/>
      </c>
      <c r="AO112" s="80" t="str">
        <f>IFERROR(TP_DATA[[#This Row],[Bottom '[m']]]-TP_DATA[[#This Row],[D, top '[m']]], "")</f>
        <v/>
      </c>
      <c r="AP112" s="80" t="str">
        <f>IFERROR(-(TP_DATA[[#This Row],[D, bottom '[m']]]-TP_DATA[[#This Row],[D, top '[m']]])/(TP_DATA[[#This Row],[Bottom '[m']]]-TP_DATA[[#This Row],[Top '[m']]]),"")</f>
        <v/>
      </c>
      <c r="AQ112" s="80" t="str">
        <f t="shared" si="8"/>
        <v/>
      </c>
      <c r="AR112" s="80" t="str">
        <f>IFERROR((TP_DATA[[#This Row],[D, bottom '[m']]]+TP_DATA[[#This Row],[D, top '[m']]])/(2*TP_DATA[[#This Row],[t '[mm']]]/1000),"")</f>
        <v/>
      </c>
      <c r="AS112" s="80" t="str">
        <f>IFERROR((TP_DATA[[#This Row],[D, bottom '[m']]]+#REF!)/(2*#REF!/1000),"")</f>
        <v/>
      </c>
      <c r="BW112" s="80" t="str">
        <f>IFERROR(TOWER_DATA[[#This Row],[Bottom '[m']]]-TOWER_DATA[[#This Row],[D, top '[m']]], "")</f>
        <v/>
      </c>
      <c r="BX112" s="80" t="str">
        <f>IFERROR(-(TOWER_DATA[[#This Row],[D, bottom '[m']]]-TOWER_DATA[[#This Row],[D, top '[m']]])/(TOWER_DATA[[#This Row],[Bottom '[m']]]-TOWER_DATA[[#This Row],[Top '[m']]]),"")</f>
        <v/>
      </c>
      <c r="BY112" s="80" t="str">
        <f t="shared" si="9"/>
        <v/>
      </c>
      <c r="BZ112" s="80" t="str">
        <f>IFERROR((TOWER_DATA[[#This Row],[D, bottom '[m']]]+TOWER_DATA[[#This Row],[D, top '[m']]])/(2*TOWER_DATA[[#This Row],[t '[mm']]]/1000),"")</f>
        <v/>
      </c>
      <c r="CA112" s="80" t="str">
        <f>IFERROR((TOWER_DATA[[#This Row],[D, bottom '[m']]]+#REF!)/(2*#REF!/1000),"")</f>
        <v/>
      </c>
      <c r="DE112" s="80" t="str">
        <f t="shared" si="10"/>
        <v/>
      </c>
      <c r="DF112" s="80"/>
    </row>
    <row r="113" spans="8:110" x14ac:dyDescent="0.25">
      <c r="H113" s="80" t="str">
        <f>IFERROR(MP_DATA[[#This Row],[Bottom '[m']]]-MP_DATA[[#This Row],[D, top '[m']]], "")</f>
        <v/>
      </c>
      <c r="I113" s="80" t="str">
        <f>IFERROR(-(MP_DATA[[#This Row],[D, bottom '[m']]]-MP_DATA[[#This Row],[D, top '[m']]])/(MP_DATA[[#This Row],[Bottom '[m']]]-MP_DATA[[#This Row],[Top '[m']]]),"")</f>
        <v/>
      </c>
      <c r="J113" s="80" t="str">
        <f t="shared" si="11"/>
        <v/>
      </c>
      <c r="K113" s="80" t="str">
        <f>IFERROR((MP_DATA[[#This Row],[D, bottom '[m']]]+MP_DATA[[#This Row],[D, top '[m']]])/(2*MP_DATA[[#This Row],[t '[mm']]]/1000),"")</f>
        <v/>
      </c>
      <c r="L113" t="str">
        <f>IFERROR((MP_DATA[[#This Row],[D, bottom '[m']]]+#REF!)/(2*#REF!/1000),"")</f>
        <v/>
      </c>
      <c r="AO113" s="80" t="str">
        <f>IFERROR(TP_DATA[[#This Row],[Bottom '[m']]]-TP_DATA[[#This Row],[D, top '[m']]], "")</f>
        <v/>
      </c>
      <c r="AP113" s="80" t="str">
        <f>IFERROR(-(TP_DATA[[#This Row],[D, bottom '[m']]]-TP_DATA[[#This Row],[D, top '[m']]])/(TP_DATA[[#This Row],[Bottom '[m']]]-TP_DATA[[#This Row],[Top '[m']]]),"")</f>
        <v/>
      </c>
      <c r="AQ113" s="80" t="str">
        <f t="shared" si="8"/>
        <v/>
      </c>
      <c r="AR113" s="80" t="str">
        <f>IFERROR((TP_DATA[[#This Row],[D, bottom '[m']]]+TP_DATA[[#This Row],[D, top '[m']]])/(2*TP_DATA[[#This Row],[t '[mm']]]/1000),"")</f>
        <v/>
      </c>
      <c r="AS113" t="str">
        <f>IFERROR((TP_DATA[[#This Row],[D, bottom '[m']]]+#REF!)/(2*#REF!/1000),"")</f>
        <v/>
      </c>
      <c r="BW113" s="80" t="str">
        <f>IFERROR(TOWER_DATA[[#This Row],[Bottom '[m']]]-TOWER_DATA[[#This Row],[D, top '[m']]], "")</f>
        <v/>
      </c>
      <c r="BX113" s="80" t="str">
        <f>IFERROR(-(TOWER_DATA[[#This Row],[D, bottom '[m']]]-TOWER_DATA[[#This Row],[D, top '[m']]])/(TOWER_DATA[[#This Row],[Bottom '[m']]]-TOWER_DATA[[#This Row],[Top '[m']]]),"")</f>
        <v/>
      </c>
      <c r="BY113" s="80" t="str">
        <f t="shared" si="9"/>
        <v/>
      </c>
      <c r="BZ113" s="80" t="str">
        <f>IFERROR((TOWER_DATA[[#This Row],[D, bottom '[m']]]+TOWER_DATA[[#This Row],[D, top '[m']]])/(2*TOWER_DATA[[#This Row],[t '[mm']]]/1000),"")</f>
        <v/>
      </c>
      <c r="CA113" t="str">
        <f>IFERROR((TOWER_DATA[[#This Row],[D, bottom '[m']]]+#REF!)/(2*#REF!/1000),"")</f>
        <v/>
      </c>
      <c r="DE113" s="80" t="str">
        <f t="shared" si="10"/>
        <v/>
      </c>
      <c r="DF113" s="80"/>
    </row>
    <row r="114" spans="8:110" x14ac:dyDescent="0.25">
      <c r="H114" s="80" t="str">
        <f>IFERROR(MP_DATA[[#This Row],[Bottom '[m']]]-MP_DATA[[#This Row],[D, top '[m']]], "")</f>
        <v/>
      </c>
      <c r="I114" s="80" t="str">
        <f>IFERROR(-(MP_DATA[[#This Row],[D, bottom '[m']]]-MP_DATA[[#This Row],[D, top '[m']]])/(MP_DATA[[#This Row],[Bottom '[m']]]-MP_DATA[[#This Row],[Top '[m']]]),"")</f>
        <v/>
      </c>
      <c r="J114" s="80" t="str">
        <f t="shared" si="11"/>
        <v/>
      </c>
      <c r="K114" s="80" t="str">
        <f>IFERROR((MP_DATA[[#This Row],[D, bottom '[m']]]+MP_DATA[[#This Row],[D, top '[m']]])/(2*MP_DATA[[#This Row],[t '[mm']]]/1000),"")</f>
        <v/>
      </c>
      <c r="L114" t="str">
        <f>IFERROR((MP_DATA[[#This Row],[D, bottom '[m']]]+#REF!)/(2*#REF!/1000),"")</f>
        <v/>
      </c>
      <c r="AO114" s="80" t="str">
        <f>IFERROR(TP_DATA[[#This Row],[Bottom '[m']]]-TP_DATA[[#This Row],[D, top '[m']]], "")</f>
        <v/>
      </c>
      <c r="AP114" s="80" t="str">
        <f>IFERROR(-(TP_DATA[[#This Row],[D, bottom '[m']]]-TP_DATA[[#This Row],[D, top '[m']]])/(TP_DATA[[#This Row],[Bottom '[m']]]-TP_DATA[[#This Row],[Top '[m']]]),"")</f>
        <v/>
      </c>
      <c r="AQ114" s="80" t="str">
        <f t="shared" si="8"/>
        <v/>
      </c>
      <c r="AR114" s="80" t="str">
        <f>IFERROR((TP_DATA[[#This Row],[D, bottom '[m']]]+TP_DATA[[#This Row],[D, top '[m']]])/(2*TP_DATA[[#This Row],[t '[mm']]]/1000),"")</f>
        <v/>
      </c>
      <c r="AS114" t="str">
        <f>IFERROR((TP_DATA[[#This Row],[D, bottom '[m']]]+#REF!)/(2*#REF!/1000),"")</f>
        <v/>
      </c>
      <c r="BW114" s="80" t="str">
        <f>IFERROR(TOWER_DATA[[#This Row],[Bottom '[m']]]-TOWER_DATA[[#This Row],[D, top '[m']]], "")</f>
        <v/>
      </c>
      <c r="BX114" s="80" t="str">
        <f>IFERROR(-(TOWER_DATA[[#This Row],[D, bottom '[m']]]-TOWER_DATA[[#This Row],[D, top '[m']]])/(TOWER_DATA[[#This Row],[Bottom '[m']]]-TOWER_DATA[[#This Row],[Top '[m']]]),"")</f>
        <v/>
      </c>
      <c r="BY114" s="80" t="str">
        <f t="shared" si="9"/>
        <v/>
      </c>
      <c r="BZ114" s="80" t="str">
        <f>IFERROR((TOWER_DATA[[#This Row],[D, bottom '[m']]]+TOWER_DATA[[#This Row],[D, top '[m']]])/(2*TOWER_DATA[[#This Row],[t '[mm']]]/1000),"")</f>
        <v/>
      </c>
      <c r="CA114" t="str">
        <f>IFERROR((TOWER_DATA[[#This Row],[D, bottom '[m']]]+#REF!)/(2*#REF!/1000),"")</f>
        <v/>
      </c>
      <c r="DE114" s="80" t="str">
        <f t="shared" si="10"/>
        <v/>
      </c>
      <c r="DF114" s="80"/>
    </row>
    <row r="115" spans="8:110" x14ac:dyDescent="0.25">
      <c r="H115" s="80" t="str">
        <f>IFERROR(MP_DATA[[#This Row],[Bottom '[m']]]-MP_DATA[[#This Row],[D, top '[m']]], "")</f>
        <v/>
      </c>
      <c r="I115" s="80" t="str">
        <f>IFERROR(-(MP_DATA[[#This Row],[D, bottom '[m']]]-MP_DATA[[#This Row],[D, top '[m']]])/(MP_DATA[[#This Row],[Bottom '[m']]]-MP_DATA[[#This Row],[Top '[m']]]),"")</f>
        <v/>
      </c>
      <c r="J115" s="80" t="str">
        <f t="shared" si="11"/>
        <v/>
      </c>
      <c r="K115" s="80" t="str">
        <f>IFERROR((MP_DATA[[#This Row],[D, bottom '[m']]]+MP_DATA[[#This Row],[D, top '[m']]])/(2*MP_DATA[[#This Row],[t '[mm']]]/1000),"")</f>
        <v/>
      </c>
      <c r="L115" t="str">
        <f>IFERROR((MP_DATA[[#This Row],[D, bottom '[m']]]+#REF!)/(2*#REF!/1000),"")</f>
        <v/>
      </c>
      <c r="AO115" s="80" t="str">
        <f>IFERROR(TP_DATA[[#This Row],[Bottom '[m']]]-TP_DATA[[#This Row],[D, top '[m']]], "")</f>
        <v/>
      </c>
      <c r="AP115" s="80" t="str">
        <f>IFERROR(-(TP_DATA[[#This Row],[D, bottom '[m']]]-TP_DATA[[#This Row],[D, top '[m']]])/(TP_DATA[[#This Row],[Bottom '[m']]]-TP_DATA[[#This Row],[Top '[m']]]),"")</f>
        <v/>
      </c>
      <c r="AQ115" s="80" t="str">
        <f t="shared" si="8"/>
        <v/>
      </c>
      <c r="AR115" s="80" t="str">
        <f>IFERROR((TP_DATA[[#This Row],[D, bottom '[m']]]+TP_DATA[[#This Row],[D, top '[m']]])/(2*TP_DATA[[#This Row],[t '[mm']]]/1000),"")</f>
        <v/>
      </c>
      <c r="AS115" t="str">
        <f>IFERROR((TP_DATA[[#This Row],[D, bottom '[m']]]+#REF!)/(2*#REF!/1000),"")</f>
        <v/>
      </c>
      <c r="BW115" s="80" t="str">
        <f>IFERROR(TOWER_DATA[[#This Row],[Bottom '[m']]]-TOWER_DATA[[#This Row],[D, top '[m']]], "")</f>
        <v/>
      </c>
      <c r="BX115" s="80" t="str">
        <f>IFERROR(-(TOWER_DATA[[#This Row],[D, bottom '[m']]]-TOWER_DATA[[#This Row],[D, top '[m']]])/(TOWER_DATA[[#This Row],[Bottom '[m']]]-TOWER_DATA[[#This Row],[Top '[m']]]),"")</f>
        <v/>
      </c>
      <c r="BY115" s="80" t="str">
        <f t="shared" si="9"/>
        <v/>
      </c>
      <c r="BZ115" s="80" t="str">
        <f>IFERROR((TOWER_DATA[[#This Row],[D, bottom '[m']]]+TOWER_DATA[[#This Row],[D, top '[m']]])/(2*TOWER_DATA[[#This Row],[t '[mm']]]/1000),"")</f>
        <v/>
      </c>
      <c r="CA115" t="str">
        <f>IFERROR((TOWER_DATA[[#This Row],[D, bottom '[m']]]+#REF!)/(2*#REF!/1000),"")</f>
        <v/>
      </c>
      <c r="DE115" s="80" t="str">
        <f t="shared" si="10"/>
        <v/>
      </c>
      <c r="DF115" s="80"/>
    </row>
    <row r="116" spans="8:110" x14ac:dyDescent="0.25">
      <c r="H116" s="80" t="str">
        <f>IFERROR(MP_DATA[[#This Row],[Bottom '[m']]]-MP_DATA[[#This Row],[D, top '[m']]], "")</f>
        <v/>
      </c>
      <c r="I116" s="80" t="str">
        <f>IFERROR(-(MP_DATA[[#This Row],[D, bottom '[m']]]-MP_DATA[[#This Row],[D, top '[m']]])/(MP_DATA[[#This Row],[Bottom '[m']]]-MP_DATA[[#This Row],[Top '[m']]]),"")</f>
        <v/>
      </c>
      <c r="J116" s="80" t="str">
        <f t="shared" si="11"/>
        <v/>
      </c>
      <c r="K116" s="80" t="str">
        <f>IFERROR((MP_DATA[[#This Row],[D, bottom '[m']]]+MP_DATA[[#This Row],[D, top '[m']]])/(2*MP_DATA[[#This Row],[t '[mm']]]/1000),"")</f>
        <v/>
      </c>
      <c r="L116" t="str">
        <f>IFERROR((MP_DATA[[#This Row],[D, bottom '[m']]]+#REF!)/(2*#REF!/1000),"")</f>
        <v/>
      </c>
      <c r="AO116" s="80" t="str">
        <f>IFERROR(TP_DATA[[#This Row],[Bottom '[m']]]-TP_DATA[[#This Row],[D, top '[m']]], "")</f>
        <v/>
      </c>
      <c r="AP116" s="80" t="str">
        <f>IFERROR(-(TP_DATA[[#This Row],[D, bottom '[m']]]-TP_DATA[[#This Row],[D, top '[m']]])/(TP_DATA[[#This Row],[Bottom '[m']]]-TP_DATA[[#This Row],[Top '[m']]]),"")</f>
        <v/>
      </c>
      <c r="AQ116" s="80" t="str">
        <f t="shared" si="8"/>
        <v/>
      </c>
      <c r="AR116" s="80" t="str">
        <f>IFERROR((TP_DATA[[#This Row],[D, bottom '[m']]]+TP_DATA[[#This Row],[D, top '[m']]])/(2*TP_DATA[[#This Row],[t '[mm']]]/1000),"")</f>
        <v/>
      </c>
      <c r="AS116" t="str">
        <f>IFERROR((TP_DATA[[#This Row],[D, bottom '[m']]]+#REF!)/(2*#REF!/1000),"")</f>
        <v/>
      </c>
      <c r="BW116" s="80" t="str">
        <f>IFERROR(TOWER_DATA[[#This Row],[Bottom '[m']]]-TOWER_DATA[[#This Row],[D, top '[m']]], "")</f>
        <v/>
      </c>
      <c r="BX116" s="80" t="str">
        <f>IFERROR(-(TOWER_DATA[[#This Row],[D, bottom '[m']]]-TOWER_DATA[[#This Row],[D, top '[m']]])/(TOWER_DATA[[#This Row],[Bottom '[m']]]-TOWER_DATA[[#This Row],[Top '[m']]]),"")</f>
        <v/>
      </c>
      <c r="BY116" s="80" t="str">
        <f t="shared" si="9"/>
        <v/>
      </c>
      <c r="BZ116" s="80" t="str">
        <f>IFERROR((TOWER_DATA[[#This Row],[D, bottom '[m']]]+TOWER_DATA[[#This Row],[D, top '[m']]])/(2*TOWER_DATA[[#This Row],[t '[mm']]]/1000),"")</f>
        <v/>
      </c>
      <c r="CA116" t="str">
        <f>IFERROR((TOWER_DATA[[#This Row],[D, bottom '[m']]]+#REF!)/(2*#REF!/1000),"")</f>
        <v/>
      </c>
      <c r="DE116" s="80" t="str">
        <f t="shared" si="10"/>
        <v/>
      </c>
      <c r="DF116" s="80"/>
    </row>
    <row r="117" spans="8:110" x14ac:dyDescent="0.25">
      <c r="H117" s="80" t="str">
        <f>IFERROR(MP_DATA[[#This Row],[Bottom '[m']]]-MP_DATA[[#This Row],[D, top '[m']]], "")</f>
        <v/>
      </c>
      <c r="I117" s="80" t="str">
        <f>IFERROR(-(MP_DATA[[#This Row],[D, bottom '[m']]]-MP_DATA[[#This Row],[D, top '[m']]])/(MP_DATA[[#This Row],[Bottom '[m']]]-MP_DATA[[#This Row],[Top '[m']]]),"")</f>
        <v/>
      </c>
      <c r="J117" s="80" t="str">
        <f t="shared" si="11"/>
        <v/>
      </c>
      <c r="K117" s="80" t="str">
        <f>IFERROR((MP_DATA[[#This Row],[D, bottom '[m']]]+MP_DATA[[#This Row],[D, top '[m']]])/(2*MP_DATA[[#This Row],[t '[mm']]]/1000),"")</f>
        <v/>
      </c>
      <c r="L117" t="str">
        <f>IFERROR((MP_DATA[[#This Row],[D, bottom '[m']]]+#REF!)/(2*#REF!/1000),"")</f>
        <v/>
      </c>
      <c r="AO117" s="80" t="str">
        <f>IFERROR(TP_DATA[[#This Row],[Bottom '[m']]]-TP_DATA[[#This Row],[D, top '[m']]], "")</f>
        <v/>
      </c>
      <c r="AP117" s="80" t="str">
        <f>IFERROR(-(TP_DATA[[#This Row],[D, bottom '[m']]]-TP_DATA[[#This Row],[D, top '[m']]])/(TP_DATA[[#This Row],[Bottom '[m']]]-TP_DATA[[#This Row],[Top '[m']]]),"")</f>
        <v/>
      </c>
      <c r="AQ117" s="80" t="str">
        <f t="shared" si="8"/>
        <v/>
      </c>
      <c r="AR117" s="80" t="str">
        <f>IFERROR((TP_DATA[[#This Row],[D, bottom '[m']]]+TP_DATA[[#This Row],[D, top '[m']]])/(2*TP_DATA[[#This Row],[t '[mm']]]/1000),"")</f>
        <v/>
      </c>
      <c r="AS117" t="str">
        <f>IFERROR((TP_DATA[[#This Row],[D, bottom '[m']]]+#REF!)/(2*#REF!/1000),"")</f>
        <v/>
      </c>
      <c r="BW117" s="80" t="str">
        <f>IFERROR(TOWER_DATA[[#This Row],[Bottom '[m']]]-TOWER_DATA[[#This Row],[D, top '[m']]], "")</f>
        <v/>
      </c>
      <c r="BX117" s="80" t="str">
        <f>IFERROR(-(TOWER_DATA[[#This Row],[D, bottom '[m']]]-TOWER_DATA[[#This Row],[D, top '[m']]])/(TOWER_DATA[[#This Row],[Bottom '[m']]]-TOWER_DATA[[#This Row],[Top '[m']]]),"")</f>
        <v/>
      </c>
      <c r="BY117" s="80" t="str">
        <f t="shared" si="9"/>
        <v/>
      </c>
      <c r="BZ117" s="80" t="str">
        <f>IFERROR((TOWER_DATA[[#This Row],[D, bottom '[m']]]+TOWER_DATA[[#This Row],[D, top '[m']]])/(2*TOWER_DATA[[#This Row],[t '[mm']]]/1000),"")</f>
        <v/>
      </c>
      <c r="CA117" t="str">
        <f>IFERROR((TOWER_DATA[[#This Row],[D, bottom '[m']]]+#REF!)/(2*#REF!/1000),"")</f>
        <v/>
      </c>
      <c r="DE117" s="80" t="str">
        <f t="shared" si="10"/>
        <v/>
      </c>
      <c r="DF117" s="80"/>
    </row>
    <row r="118" spans="8:110" x14ac:dyDescent="0.25">
      <c r="H118" s="80" t="str">
        <f>IFERROR(MP_DATA[[#This Row],[Bottom '[m']]]-MP_DATA[[#This Row],[D, top '[m']]], "")</f>
        <v/>
      </c>
      <c r="I118" s="80" t="str">
        <f>IFERROR(-(MP_DATA[[#This Row],[D, bottom '[m']]]-MP_DATA[[#This Row],[D, top '[m']]])/(MP_DATA[[#This Row],[Bottom '[m']]]-MP_DATA[[#This Row],[Top '[m']]]),"")</f>
        <v/>
      </c>
      <c r="J118" s="80" t="str">
        <f t="shared" si="11"/>
        <v/>
      </c>
      <c r="K118" s="80" t="str">
        <f>IFERROR((MP_DATA[[#This Row],[D, bottom '[m']]]+MP_DATA[[#This Row],[D, top '[m']]])/(2*MP_DATA[[#This Row],[t '[mm']]]/1000),"")</f>
        <v/>
      </c>
      <c r="L118" t="str">
        <f>IFERROR((MP_DATA[[#This Row],[D, bottom '[m']]]+#REF!)/(2*#REF!/1000),"")</f>
        <v/>
      </c>
      <c r="AO118" s="80" t="str">
        <f>IFERROR(TP_DATA[[#This Row],[Bottom '[m']]]-TP_DATA[[#This Row],[D, top '[m']]], "")</f>
        <v/>
      </c>
      <c r="AP118" s="80" t="str">
        <f>IFERROR(-(TP_DATA[[#This Row],[D, bottom '[m']]]-TP_DATA[[#This Row],[D, top '[m']]])/(TP_DATA[[#This Row],[Bottom '[m']]]-TP_DATA[[#This Row],[Top '[m']]]),"")</f>
        <v/>
      </c>
      <c r="AQ118" s="80" t="str">
        <f t="shared" si="8"/>
        <v/>
      </c>
      <c r="AR118" s="80" t="str">
        <f>IFERROR((TP_DATA[[#This Row],[D, bottom '[m']]]+TP_DATA[[#This Row],[D, top '[m']]])/(2*TP_DATA[[#This Row],[t '[mm']]]/1000),"")</f>
        <v/>
      </c>
      <c r="AS118" t="str">
        <f>IFERROR((TP_DATA[[#This Row],[D, bottom '[m']]]+#REF!)/(2*#REF!/1000),"")</f>
        <v/>
      </c>
      <c r="BW118" s="80" t="str">
        <f>IFERROR(TOWER_DATA[[#This Row],[Bottom '[m']]]-TOWER_DATA[[#This Row],[D, top '[m']]], "")</f>
        <v/>
      </c>
      <c r="BX118" s="80" t="str">
        <f>IFERROR(-(TOWER_DATA[[#This Row],[D, bottom '[m']]]-TOWER_DATA[[#This Row],[D, top '[m']]])/(TOWER_DATA[[#This Row],[Bottom '[m']]]-TOWER_DATA[[#This Row],[Top '[m']]]),"")</f>
        <v/>
      </c>
      <c r="BY118" s="80" t="str">
        <f t="shared" si="9"/>
        <v/>
      </c>
      <c r="BZ118" s="80" t="str">
        <f>IFERROR((TOWER_DATA[[#This Row],[D, bottom '[m']]]+TOWER_DATA[[#This Row],[D, top '[m']]])/(2*TOWER_DATA[[#This Row],[t '[mm']]]/1000),"")</f>
        <v/>
      </c>
      <c r="CA118" t="str">
        <f>IFERROR((TOWER_DATA[[#This Row],[D, bottom '[m']]]+#REF!)/(2*#REF!/1000),"")</f>
        <v/>
      </c>
      <c r="DE118" s="80" t="str">
        <f t="shared" si="10"/>
        <v/>
      </c>
      <c r="DF118" s="80"/>
    </row>
    <row r="119" spans="8:110" x14ac:dyDescent="0.25">
      <c r="H119" s="80" t="str">
        <f>IFERROR(MP_DATA[[#This Row],[Bottom '[m']]]-MP_DATA[[#This Row],[D, top '[m']]], "")</f>
        <v/>
      </c>
      <c r="I119" s="80" t="str">
        <f>IFERROR(-(MP_DATA[[#This Row],[D, bottom '[m']]]-MP_DATA[[#This Row],[D, top '[m']]])/(MP_DATA[[#This Row],[Bottom '[m']]]-MP_DATA[[#This Row],[Top '[m']]]),"")</f>
        <v/>
      </c>
      <c r="J119" s="80" t="str">
        <f t="shared" si="11"/>
        <v/>
      </c>
      <c r="K119" s="80" t="str">
        <f>IFERROR((MP_DATA[[#This Row],[D, bottom '[m']]]+MP_DATA[[#This Row],[D, top '[m']]])/(2*MP_DATA[[#This Row],[t '[mm']]]/1000),"")</f>
        <v/>
      </c>
      <c r="AO119" s="80" t="str">
        <f>IFERROR(TP_DATA[[#This Row],[Bottom '[m']]]-TP_DATA[[#This Row],[D, top '[m']]], "")</f>
        <v/>
      </c>
      <c r="AP119" s="80" t="str">
        <f>IFERROR(-(TP_DATA[[#This Row],[D, bottom '[m']]]-TP_DATA[[#This Row],[D, top '[m']]])/(TP_DATA[[#This Row],[Bottom '[m']]]-TP_DATA[[#This Row],[Top '[m']]]),"")</f>
        <v/>
      </c>
      <c r="AQ119" s="80" t="str">
        <f t="shared" si="8"/>
        <v/>
      </c>
      <c r="AR119" s="80" t="str">
        <f>IFERROR((TP_DATA[[#This Row],[D, bottom '[m']]]+TP_DATA[[#This Row],[D, top '[m']]])/(2*TP_DATA[[#This Row],[t '[mm']]]/1000),"")</f>
        <v/>
      </c>
      <c r="BW119" s="80" t="str">
        <f>IFERROR(TOWER_DATA[[#This Row],[Bottom '[m']]]-TOWER_DATA[[#This Row],[D, top '[m']]], "")</f>
        <v/>
      </c>
      <c r="BX119" s="80" t="str">
        <f>IFERROR(-(TOWER_DATA[[#This Row],[D, bottom '[m']]]-TOWER_DATA[[#This Row],[D, top '[m']]])/(TOWER_DATA[[#This Row],[Bottom '[m']]]-TOWER_DATA[[#This Row],[Top '[m']]]),"")</f>
        <v/>
      </c>
      <c r="BY119" s="80" t="str">
        <f t="shared" si="9"/>
        <v/>
      </c>
      <c r="BZ119" s="80" t="str">
        <f>IFERROR((TOWER_DATA[[#This Row],[D, bottom '[m']]]+TOWER_DATA[[#This Row],[D, top '[m']]])/(2*TOWER_DATA[[#This Row],[t '[mm']]]/1000),"")</f>
        <v/>
      </c>
      <c r="DE119" s="80" t="str">
        <f t="shared" si="10"/>
        <v/>
      </c>
      <c r="DF119" s="80"/>
    </row>
    <row r="120" spans="8:110" x14ac:dyDescent="0.25">
      <c r="H120" s="80" t="str">
        <f>IFERROR(MP_DATA[[#This Row],[Bottom '[m']]]-MP_DATA[[#This Row],[D, top '[m']]], "")</f>
        <v/>
      </c>
      <c r="I120" s="80" t="str">
        <f>IFERROR(-(MP_DATA[[#This Row],[D, bottom '[m']]]-MP_DATA[[#This Row],[D, top '[m']]])/(MP_DATA[[#This Row],[Bottom '[m']]]-MP_DATA[[#This Row],[Top '[m']]]),"")</f>
        <v/>
      </c>
      <c r="J120" s="80" t="str">
        <f t="shared" si="11"/>
        <v/>
      </c>
      <c r="K120" s="80" t="str">
        <f>IFERROR((MP_DATA[[#This Row],[D, bottom '[m']]]+MP_DATA[[#This Row],[D, top '[m']]])/(2*MP_DATA[[#This Row],[t '[mm']]]/1000),"")</f>
        <v/>
      </c>
      <c r="AO120" s="80" t="str">
        <f>IFERROR(TP_DATA[[#This Row],[Bottom '[m']]]-TP_DATA[[#This Row],[D, top '[m']]], "")</f>
        <v/>
      </c>
      <c r="AP120" s="80" t="str">
        <f>IFERROR(-(TP_DATA[[#This Row],[D, bottom '[m']]]-TP_DATA[[#This Row],[D, top '[m']]])/(TP_DATA[[#This Row],[Bottom '[m']]]-TP_DATA[[#This Row],[Top '[m']]]),"")</f>
        <v/>
      </c>
      <c r="AQ120" s="80" t="str">
        <f t="shared" si="8"/>
        <v/>
      </c>
      <c r="AR120" s="80" t="str">
        <f>IFERROR((TP_DATA[[#This Row],[D, bottom '[m']]]+TP_DATA[[#This Row],[D, top '[m']]])/(2*TP_DATA[[#This Row],[t '[mm']]]/1000),"")</f>
        <v/>
      </c>
      <c r="BW120" s="80" t="str">
        <f>IFERROR(TOWER_DATA[[#This Row],[Bottom '[m']]]-TOWER_DATA[[#This Row],[D, top '[m']]], "")</f>
        <v/>
      </c>
      <c r="BX120" s="80" t="str">
        <f>IFERROR(-(TOWER_DATA[[#This Row],[D, bottom '[m']]]-TOWER_DATA[[#This Row],[D, top '[m']]])/(TOWER_DATA[[#This Row],[Bottom '[m']]]-TOWER_DATA[[#This Row],[Top '[m']]]),"")</f>
        <v/>
      </c>
      <c r="BY120" s="80" t="str">
        <f t="shared" si="9"/>
        <v/>
      </c>
      <c r="BZ120" s="80" t="str">
        <f>IFERROR((TOWER_DATA[[#This Row],[D, bottom '[m']]]+TOWER_DATA[[#This Row],[D, top '[m']]])/(2*TOWER_DATA[[#This Row],[t '[mm']]]/1000),"")</f>
        <v/>
      </c>
      <c r="DE120" s="80" t="str">
        <f t="shared" si="10"/>
        <v/>
      </c>
      <c r="DF120" s="80"/>
    </row>
    <row r="121" spans="8:110" x14ac:dyDescent="0.25">
      <c r="H121" s="80" t="str">
        <f>IFERROR(MP_DATA[[#This Row],[Bottom '[m']]]-MP_DATA[[#This Row],[D, top '[m']]], "")</f>
        <v/>
      </c>
      <c r="I121" s="80" t="str">
        <f>IFERROR(-(MP_DATA[[#This Row],[D, bottom '[m']]]-MP_DATA[[#This Row],[D, top '[m']]])/(MP_DATA[[#This Row],[Bottom '[m']]]-MP_DATA[[#This Row],[Top '[m']]]),"")</f>
        <v/>
      </c>
      <c r="J121" s="80" t="str">
        <f t="shared" si="11"/>
        <v/>
      </c>
      <c r="K121" s="80" t="str">
        <f>IFERROR((MP_DATA[[#This Row],[D, bottom '[m']]]+MP_DATA[[#This Row],[D, top '[m']]])/(2*MP_DATA[[#This Row],[t '[mm']]]/1000),"")</f>
        <v/>
      </c>
      <c r="AO121" s="80" t="str">
        <f>IFERROR(TP_DATA[[#This Row],[Bottom '[m']]]-TP_DATA[[#This Row],[D, top '[m']]], "")</f>
        <v/>
      </c>
      <c r="AP121" s="80" t="str">
        <f>IFERROR(-(TP_DATA[[#This Row],[D, bottom '[m']]]-TP_DATA[[#This Row],[D, top '[m']]])/(TP_DATA[[#This Row],[Bottom '[m']]]-TP_DATA[[#This Row],[Top '[m']]]),"")</f>
        <v/>
      </c>
      <c r="AQ121" s="80" t="str">
        <f t="shared" si="8"/>
        <v/>
      </c>
      <c r="AR121" s="80" t="str">
        <f>IFERROR((TP_DATA[[#This Row],[D, bottom '[m']]]+TP_DATA[[#This Row],[D, top '[m']]])/(2*TP_DATA[[#This Row],[t '[mm']]]/1000),"")</f>
        <v/>
      </c>
      <c r="BW121" s="80" t="str">
        <f>IFERROR(TOWER_DATA[[#This Row],[Bottom '[m']]]-TOWER_DATA[[#This Row],[D, top '[m']]], "")</f>
        <v/>
      </c>
      <c r="BX121" s="80" t="str">
        <f>IFERROR(-(TOWER_DATA[[#This Row],[D, bottom '[m']]]-TOWER_DATA[[#This Row],[D, top '[m']]])/(TOWER_DATA[[#This Row],[Bottom '[m']]]-TOWER_DATA[[#This Row],[Top '[m']]]),"")</f>
        <v/>
      </c>
      <c r="BY121" s="80" t="str">
        <f t="shared" si="9"/>
        <v/>
      </c>
      <c r="BZ121" s="80" t="str">
        <f>IFERROR((TOWER_DATA[[#This Row],[D, bottom '[m']]]+TOWER_DATA[[#This Row],[D, top '[m']]])/(2*TOWER_DATA[[#This Row],[t '[mm']]]/1000),"")</f>
        <v/>
      </c>
      <c r="DE121" s="80" t="str">
        <f t="shared" si="10"/>
        <v/>
      </c>
      <c r="DF121" s="80"/>
    </row>
    <row r="122" spans="8:110" x14ac:dyDescent="0.25">
      <c r="H122" s="80" t="str">
        <f>IFERROR(MP_DATA[[#This Row],[Bottom '[m']]]-MP_DATA[[#This Row],[D, top '[m']]], "")</f>
        <v/>
      </c>
      <c r="I122" s="80" t="str">
        <f>IFERROR(-(MP_DATA[[#This Row],[D, bottom '[m']]]-MP_DATA[[#This Row],[D, top '[m']]])/(MP_DATA[[#This Row],[Bottom '[m']]]-MP_DATA[[#This Row],[Top '[m']]]),"")</f>
        <v/>
      </c>
      <c r="J122" s="80" t="str">
        <f t="shared" si="11"/>
        <v/>
      </c>
      <c r="K122" s="80" t="str">
        <f>IFERROR((MP_DATA[[#This Row],[D, bottom '[m']]]+MP_DATA[[#This Row],[D, top '[m']]])/(2*MP_DATA[[#This Row],[t '[mm']]]/1000),"")</f>
        <v/>
      </c>
      <c r="AO122" s="80" t="str">
        <f>IFERROR(TP_DATA[[#This Row],[Bottom '[m']]]-TP_DATA[[#This Row],[D, top '[m']]], "")</f>
        <v/>
      </c>
      <c r="AP122" s="80" t="str">
        <f>IFERROR(-(TP_DATA[[#This Row],[D, bottom '[m']]]-TP_DATA[[#This Row],[D, top '[m']]])/(TP_DATA[[#This Row],[Bottom '[m']]]-TP_DATA[[#This Row],[Top '[m']]]),"")</f>
        <v/>
      </c>
      <c r="AQ122" s="80" t="str">
        <f t="shared" si="8"/>
        <v/>
      </c>
      <c r="AR122" s="80" t="str">
        <f>IFERROR((TP_DATA[[#This Row],[D, bottom '[m']]]+TP_DATA[[#This Row],[D, top '[m']]])/(2*TP_DATA[[#This Row],[t '[mm']]]/1000),"")</f>
        <v/>
      </c>
      <c r="BW122" s="80" t="str">
        <f>IFERROR(TOWER_DATA[[#This Row],[Bottom '[m']]]-TOWER_DATA[[#This Row],[D, top '[m']]], "")</f>
        <v/>
      </c>
      <c r="BX122" s="80" t="str">
        <f>IFERROR(-(TOWER_DATA[[#This Row],[D, bottom '[m']]]-TOWER_DATA[[#This Row],[D, top '[m']]])/(TOWER_DATA[[#This Row],[Bottom '[m']]]-TOWER_DATA[[#This Row],[Top '[m']]]),"")</f>
        <v/>
      </c>
      <c r="BY122" s="80" t="str">
        <f t="shared" si="9"/>
        <v/>
      </c>
      <c r="BZ122" s="80" t="str">
        <f>IFERROR((TOWER_DATA[[#This Row],[D, bottom '[m']]]+TOWER_DATA[[#This Row],[D, top '[m']]])/(2*TOWER_DATA[[#This Row],[t '[mm']]]/1000),"")</f>
        <v/>
      </c>
      <c r="DE122" s="80" t="str">
        <f t="shared" si="10"/>
        <v/>
      </c>
      <c r="DF122" s="80"/>
    </row>
    <row r="123" spans="8:110" x14ac:dyDescent="0.25">
      <c r="H123" s="80" t="str">
        <f>IFERROR(MP_DATA[[#This Row],[Bottom '[m']]]-MP_DATA[[#This Row],[D, top '[m']]], "")</f>
        <v/>
      </c>
      <c r="I123" s="80" t="str">
        <f>IFERROR(-(MP_DATA[[#This Row],[D, bottom '[m']]]-MP_DATA[[#This Row],[D, top '[m']]])/(MP_DATA[[#This Row],[Bottom '[m']]]-MP_DATA[[#This Row],[Top '[m']]]),"")</f>
        <v/>
      </c>
      <c r="J123" s="80" t="str">
        <f t="shared" si="11"/>
        <v/>
      </c>
      <c r="K123" s="80" t="str">
        <f>IFERROR((MP_DATA[[#This Row],[D, bottom '[m']]]+MP_DATA[[#This Row],[D, top '[m']]])/(2*MP_DATA[[#This Row],[t '[mm']]]/1000),"")</f>
        <v/>
      </c>
      <c r="AO123" s="80" t="str">
        <f>IFERROR(TP_DATA[[#This Row],[Bottom '[m']]]-TP_DATA[[#This Row],[D, top '[m']]], "")</f>
        <v/>
      </c>
      <c r="AP123" s="80" t="str">
        <f>IFERROR(-(TP_DATA[[#This Row],[D, bottom '[m']]]-TP_DATA[[#This Row],[D, top '[m']]])/(TP_DATA[[#This Row],[Bottom '[m']]]-TP_DATA[[#This Row],[Top '[m']]]),"")</f>
        <v/>
      </c>
      <c r="AQ123" s="80" t="str">
        <f t="shared" si="8"/>
        <v/>
      </c>
      <c r="AR123" s="80" t="str">
        <f>IFERROR((TP_DATA[[#This Row],[D, bottom '[m']]]+TP_DATA[[#This Row],[D, top '[m']]])/(2*TP_DATA[[#This Row],[t '[mm']]]/1000),"")</f>
        <v/>
      </c>
      <c r="BW123" s="80" t="str">
        <f>IFERROR(TOWER_DATA[[#This Row],[Bottom '[m']]]-TOWER_DATA[[#This Row],[D, top '[m']]], "")</f>
        <v/>
      </c>
      <c r="BX123" s="80" t="str">
        <f>IFERROR(-(TOWER_DATA[[#This Row],[D, bottom '[m']]]-TOWER_DATA[[#This Row],[D, top '[m']]])/(TOWER_DATA[[#This Row],[Bottom '[m']]]-TOWER_DATA[[#This Row],[Top '[m']]]),"")</f>
        <v/>
      </c>
      <c r="BY123" s="80" t="str">
        <f t="shared" si="9"/>
        <v/>
      </c>
      <c r="BZ123" s="80" t="str">
        <f>IFERROR((TOWER_DATA[[#This Row],[D, bottom '[m']]]+TOWER_DATA[[#This Row],[D, top '[m']]])/(2*TOWER_DATA[[#This Row],[t '[mm']]]/1000),"")</f>
        <v/>
      </c>
      <c r="DE123" s="80" t="str">
        <f t="shared" si="10"/>
        <v/>
      </c>
      <c r="DF123" s="80"/>
    </row>
    <row r="124" spans="8:110" x14ac:dyDescent="0.25">
      <c r="H124" s="80" t="str">
        <f>IFERROR(MP_DATA[[#This Row],[Bottom '[m']]]-MP_DATA[[#This Row],[D, top '[m']]], "")</f>
        <v/>
      </c>
      <c r="I124" s="80" t="str">
        <f>IFERROR(-(MP_DATA[[#This Row],[D, bottom '[m']]]-MP_DATA[[#This Row],[D, top '[m']]])/(MP_DATA[[#This Row],[Bottom '[m']]]-MP_DATA[[#This Row],[Top '[m']]]),"")</f>
        <v/>
      </c>
      <c r="J124" s="80" t="str">
        <f t="shared" si="11"/>
        <v/>
      </c>
      <c r="K124" s="80" t="str">
        <f>IFERROR((MP_DATA[[#This Row],[D, bottom '[m']]]+MP_DATA[[#This Row],[D, top '[m']]])/(2*MP_DATA[[#This Row],[t '[mm']]]/1000),"")</f>
        <v/>
      </c>
      <c r="AO124" s="80" t="str">
        <f>IFERROR(TP_DATA[[#This Row],[Bottom '[m']]]-TP_DATA[[#This Row],[D, top '[m']]], "")</f>
        <v/>
      </c>
      <c r="AP124" s="80" t="str">
        <f>IFERROR(-(TP_DATA[[#This Row],[D, bottom '[m']]]-TP_DATA[[#This Row],[D, top '[m']]])/(TP_DATA[[#This Row],[Bottom '[m']]]-TP_DATA[[#This Row],[Top '[m']]]),"")</f>
        <v/>
      </c>
      <c r="AQ124" s="80" t="str">
        <f t="shared" si="8"/>
        <v/>
      </c>
      <c r="AR124" s="80" t="str">
        <f>IFERROR((TP_DATA[[#This Row],[D, bottom '[m']]]+TP_DATA[[#This Row],[D, top '[m']]])/(2*TP_DATA[[#This Row],[t '[mm']]]/1000),"")</f>
        <v/>
      </c>
      <c r="BW124" s="80" t="str">
        <f>IFERROR(TOWER_DATA[[#This Row],[Bottom '[m']]]-TOWER_DATA[[#This Row],[D, top '[m']]], "")</f>
        <v/>
      </c>
      <c r="BX124" s="80" t="str">
        <f>IFERROR(-(TOWER_DATA[[#This Row],[D, bottom '[m']]]-TOWER_DATA[[#This Row],[D, top '[m']]])/(TOWER_DATA[[#This Row],[Bottom '[m']]]-TOWER_DATA[[#This Row],[Top '[m']]]),"")</f>
        <v/>
      </c>
      <c r="BY124" s="80" t="str">
        <f t="shared" si="9"/>
        <v/>
      </c>
      <c r="BZ124" s="80" t="str">
        <f>IFERROR((TOWER_DATA[[#This Row],[D, bottom '[m']]]+TOWER_DATA[[#This Row],[D, top '[m']]])/(2*TOWER_DATA[[#This Row],[t '[mm']]]/1000),"")</f>
        <v/>
      </c>
      <c r="DE124" s="80" t="str">
        <f t="shared" si="10"/>
        <v/>
      </c>
      <c r="DF124" s="80"/>
    </row>
    <row r="125" spans="8:110" x14ac:dyDescent="0.25">
      <c r="H125" s="80" t="str">
        <f>IFERROR(MP_DATA[[#This Row],[Bottom '[m']]]-MP_DATA[[#This Row],[D, top '[m']]], "")</f>
        <v/>
      </c>
      <c r="I125" s="80" t="str">
        <f>IFERROR(-(MP_DATA[[#This Row],[D, bottom '[m']]]-MP_DATA[[#This Row],[D, top '[m']]])/(MP_DATA[[#This Row],[Bottom '[m']]]-MP_DATA[[#This Row],[Top '[m']]]),"")</f>
        <v/>
      </c>
      <c r="J125" s="80" t="str">
        <f t="shared" si="11"/>
        <v/>
      </c>
      <c r="K125" s="80" t="str">
        <f>IFERROR((MP_DATA[[#This Row],[D, bottom '[m']]]+MP_DATA[[#This Row],[D, top '[m']]])/(2*MP_DATA[[#This Row],[t '[mm']]]/1000),"")</f>
        <v/>
      </c>
      <c r="AO125" s="80" t="str">
        <f>IFERROR(TP_DATA[[#This Row],[Bottom '[m']]]-TP_DATA[[#This Row],[D, top '[m']]], "")</f>
        <v/>
      </c>
      <c r="AP125" s="80" t="str">
        <f>IFERROR(-(TP_DATA[[#This Row],[D, bottom '[m']]]-TP_DATA[[#This Row],[D, top '[m']]])/(TP_DATA[[#This Row],[Bottom '[m']]]-TP_DATA[[#This Row],[Top '[m']]]),"")</f>
        <v/>
      </c>
      <c r="AQ125" s="80" t="str">
        <f t="shared" si="8"/>
        <v/>
      </c>
      <c r="AR125" s="80" t="str">
        <f>IFERROR((TP_DATA[[#This Row],[D, bottom '[m']]]+TP_DATA[[#This Row],[D, top '[m']]])/(2*TP_DATA[[#This Row],[t '[mm']]]/1000),"")</f>
        <v/>
      </c>
      <c r="BW125" s="80" t="str">
        <f>IFERROR(TOWER_DATA[[#This Row],[Bottom '[m']]]-TOWER_DATA[[#This Row],[D, top '[m']]], "")</f>
        <v/>
      </c>
      <c r="BX125" s="80" t="str">
        <f>IFERROR(-(TOWER_DATA[[#This Row],[D, bottom '[m']]]-TOWER_DATA[[#This Row],[D, top '[m']]])/(TOWER_DATA[[#This Row],[Bottom '[m']]]-TOWER_DATA[[#This Row],[Top '[m']]]),"")</f>
        <v/>
      </c>
      <c r="BY125" s="80" t="str">
        <f t="shared" si="9"/>
        <v/>
      </c>
      <c r="BZ125" s="80" t="str">
        <f>IFERROR((TOWER_DATA[[#This Row],[D, bottom '[m']]]+TOWER_DATA[[#This Row],[D, top '[m']]])/(2*TOWER_DATA[[#This Row],[t '[mm']]]/1000),"")</f>
        <v/>
      </c>
      <c r="DE125" s="80" t="str">
        <f t="shared" si="10"/>
        <v/>
      </c>
      <c r="DF125" s="80"/>
    </row>
    <row r="126" spans="8:110" x14ac:dyDescent="0.25">
      <c r="H126" s="80" t="str">
        <f>IFERROR(MP_DATA[[#This Row],[Bottom '[m']]]-MP_DATA[[#This Row],[D, top '[m']]], "")</f>
        <v/>
      </c>
      <c r="I126" s="80" t="str">
        <f>IFERROR(-(MP_DATA[[#This Row],[D, bottom '[m']]]-MP_DATA[[#This Row],[D, top '[m']]])/(MP_DATA[[#This Row],[Bottom '[m']]]-MP_DATA[[#This Row],[Top '[m']]]),"")</f>
        <v/>
      </c>
      <c r="J126" s="80" t="str">
        <f t="shared" si="11"/>
        <v/>
      </c>
      <c r="K126" s="80" t="str">
        <f>IFERROR((MP_DATA[[#This Row],[D, bottom '[m']]]+MP_DATA[[#This Row],[D, top '[m']]])/(2*MP_DATA[[#This Row],[t '[mm']]]/1000),"")</f>
        <v/>
      </c>
      <c r="AO126" s="80" t="str">
        <f>IFERROR(TP_DATA[[#This Row],[Bottom '[m']]]-TP_DATA[[#This Row],[D, top '[m']]], "")</f>
        <v/>
      </c>
      <c r="AP126" s="80" t="str">
        <f>IFERROR(-(TP_DATA[[#This Row],[D, bottom '[m']]]-TP_DATA[[#This Row],[D, top '[m']]])/(TP_DATA[[#This Row],[Bottom '[m']]]-TP_DATA[[#This Row],[Top '[m']]]),"")</f>
        <v/>
      </c>
      <c r="AQ126" s="80" t="str">
        <f t="shared" si="8"/>
        <v/>
      </c>
      <c r="AR126" s="80" t="str">
        <f>IFERROR((TP_DATA[[#This Row],[D, bottom '[m']]]+TP_DATA[[#This Row],[D, top '[m']]])/(2*TP_DATA[[#This Row],[t '[mm']]]/1000),"")</f>
        <v/>
      </c>
      <c r="BW126" s="80" t="str">
        <f>IFERROR(TOWER_DATA[[#This Row],[Bottom '[m']]]-TOWER_DATA[[#This Row],[D, top '[m']]], "")</f>
        <v/>
      </c>
      <c r="BX126" s="80" t="str">
        <f>IFERROR(-(TOWER_DATA[[#This Row],[D, bottom '[m']]]-TOWER_DATA[[#This Row],[D, top '[m']]])/(TOWER_DATA[[#This Row],[Bottom '[m']]]-TOWER_DATA[[#This Row],[Top '[m']]]),"")</f>
        <v/>
      </c>
      <c r="BY126" s="80" t="str">
        <f t="shared" si="9"/>
        <v/>
      </c>
      <c r="BZ126" s="80" t="str">
        <f>IFERROR((TOWER_DATA[[#This Row],[D, bottom '[m']]]+TOWER_DATA[[#This Row],[D, top '[m']]])/(2*TOWER_DATA[[#This Row],[t '[mm']]]/1000),"")</f>
        <v/>
      </c>
      <c r="DE126" s="80" t="str">
        <f t="shared" si="10"/>
        <v/>
      </c>
      <c r="DF126" s="80"/>
    </row>
    <row r="127" spans="8:110" x14ac:dyDescent="0.25">
      <c r="H127" s="80" t="str">
        <f>IFERROR(MP_DATA[[#This Row],[Bottom '[m']]]-MP_DATA[[#This Row],[D, top '[m']]], "")</f>
        <v/>
      </c>
      <c r="I127" s="80" t="str">
        <f>IFERROR(-(MP_DATA[[#This Row],[D, bottom '[m']]]-MP_DATA[[#This Row],[D, top '[m']]])/(MP_DATA[[#This Row],[Bottom '[m']]]-MP_DATA[[#This Row],[Top '[m']]]),"")</f>
        <v/>
      </c>
      <c r="J127" s="80" t="str">
        <f t="shared" si="11"/>
        <v/>
      </c>
      <c r="K127" s="80" t="str">
        <f>IFERROR((MP_DATA[[#This Row],[D, bottom '[m']]]+MP_DATA[[#This Row],[D, top '[m']]])/(2*MP_DATA[[#This Row],[t '[mm']]]/1000),"")</f>
        <v/>
      </c>
      <c r="AO127" s="80" t="str">
        <f>IFERROR(TP_DATA[[#This Row],[Bottom '[m']]]-TP_DATA[[#This Row],[D, top '[m']]], "")</f>
        <v/>
      </c>
      <c r="AP127" s="80" t="str">
        <f>IFERROR(-(TP_DATA[[#This Row],[D, bottom '[m']]]-TP_DATA[[#This Row],[D, top '[m']]])/(TP_DATA[[#This Row],[Bottom '[m']]]-TP_DATA[[#This Row],[Top '[m']]]),"")</f>
        <v/>
      </c>
      <c r="AQ127" s="80" t="str">
        <f t="shared" si="8"/>
        <v/>
      </c>
      <c r="AR127" s="80" t="str">
        <f>IFERROR((TP_DATA[[#This Row],[D, bottom '[m']]]+TP_DATA[[#This Row],[D, top '[m']]])/(2*TP_DATA[[#This Row],[t '[mm']]]/1000),"")</f>
        <v/>
      </c>
      <c r="BW127" s="80" t="str">
        <f>IFERROR(TOWER_DATA[[#This Row],[Bottom '[m']]]-TOWER_DATA[[#This Row],[D, top '[m']]], "")</f>
        <v/>
      </c>
      <c r="BX127" s="80" t="str">
        <f>IFERROR(-(TOWER_DATA[[#This Row],[D, bottom '[m']]]-TOWER_DATA[[#This Row],[D, top '[m']]])/(TOWER_DATA[[#This Row],[Bottom '[m']]]-TOWER_DATA[[#This Row],[Top '[m']]]),"")</f>
        <v/>
      </c>
      <c r="BY127" s="80" t="str">
        <f t="shared" si="9"/>
        <v/>
      </c>
      <c r="BZ127" s="80" t="str">
        <f>IFERROR((TOWER_DATA[[#This Row],[D, bottom '[m']]]+TOWER_DATA[[#This Row],[D, top '[m']]])/(2*TOWER_DATA[[#This Row],[t '[mm']]]/1000),"")</f>
        <v/>
      </c>
      <c r="DE127" s="80" t="str">
        <f t="shared" si="10"/>
        <v/>
      </c>
      <c r="DF127" s="80"/>
    </row>
    <row r="128" spans="8:110" x14ac:dyDescent="0.25">
      <c r="H128" s="80" t="str">
        <f>IFERROR(MP_DATA[[#This Row],[Bottom '[m']]]-MP_DATA[[#This Row],[D, top '[m']]], "")</f>
        <v/>
      </c>
      <c r="I128" s="80" t="str">
        <f>IFERROR(-(MP_DATA[[#This Row],[D, bottom '[m']]]-MP_DATA[[#This Row],[D, top '[m']]])/(MP_DATA[[#This Row],[Bottom '[m']]]-MP_DATA[[#This Row],[Top '[m']]]),"")</f>
        <v/>
      </c>
      <c r="J128" s="80" t="str">
        <f t="shared" si="11"/>
        <v/>
      </c>
      <c r="K128" s="80" t="str">
        <f>IFERROR((MP_DATA[[#This Row],[D, bottom '[m']]]+MP_DATA[[#This Row],[D, top '[m']]])/(2*MP_DATA[[#This Row],[t '[mm']]]/1000),"")</f>
        <v/>
      </c>
      <c r="AO128" s="80" t="str">
        <f>IFERROR(TP_DATA[[#This Row],[Bottom '[m']]]-TP_DATA[[#This Row],[D, top '[m']]], "")</f>
        <v/>
      </c>
      <c r="AP128" s="80" t="str">
        <f>IFERROR(-(TP_DATA[[#This Row],[D, bottom '[m']]]-TP_DATA[[#This Row],[D, top '[m']]])/(TP_DATA[[#This Row],[Bottom '[m']]]-TP_DATA[[#This Row],[Top '[m']]]),"")</f>
        <v/>
      </c>
      <c r="AQ128" s="80" t="str">
        <f t="shared" si="8"/>
        <v/>
      </c>
      <c r="AR128" s="80" t="str">
        <f>IFERROR((TP_DATA[[#This Row],[D, bottom '[m']]]+TP_DATA[[#This Row],[D, top '[m']]])/(2*TP_DATA[[#This Row],[t '[mm']]]/1000),"")</f>
        <v/>
      </c>
      <c r="BW128" s="80" t="str">
        <f>IFERROR(TOWER_DATA[[#This Row],[Bottom '[m']]]-TOWER_DATA[[#This Row],[D, top '[m']]], "")</f>
        <v/>
      </c>
      <c r="BX128" s="80" t="str">
        <f>IFERROR(-(TOWER_DATA[[#This Row],[D, bottom '[m']]]-TOWER_DATA[[#This Row],[D, top '[m']]])/(TOWER_DATA[[#This Row],[Bottom '[m']]]-TOWER_DATA[[#This Row],[Top '[m']]]),"")</f>
        <v/>
      </c>
      <c r="BY128" s="80" t="str">
        <f t="shared" si="9"/>
        <v/>
      </c>
      <c r="BZ128" s="80" t="str">
        <f>IFERROR((TOWER_DATA[[#This Row],[D, bottom '[m']]]+TOWER_DATA[[#This Row],[D, top '[m']]])/(2*TOWER_DATA[[#This Row],[t '[mm']]]/1000),"")</f>
        <v/>
      </c>
      <c r="DE128" s="80" t="str">
        <f t="shared" si="10"/>
        <v/>
      </c>
      <c r="DF128" s="80"/>
    </row>
    <row r="129" spans="8:110" x14ac:dyDescent="0.25">
      <c r="H129" s="80" t="str">
        <f>IFERROR(MP_DATA[[#This Row],[Bottom '[m']]]-MP_DATA[[#This Row],[D, top '[m']]], "")</f>
        <v/>
      </c>
      <c r="I129" s="80" t="str">
        <f>IFERROR(-(MP_DATA[[#This Row],[D, bottom '[m']]]-MP_DATA[[#This Row],[D, top '[m']]])/(MP_DATA[[#This Row],[Bottom '[m']]]-MP_DATA[[#This Row],[Top '[m']]]),"")</f>
        <v/>
      </c>
      <c r="J129" s="80" t="str">
        <f t="shared" si="11"/>
        <v/>
      </c>
      <c r="K129" s="80" t="str">
        <f>IFERROR((MP_DATA[[#This Row],[D, bottom '[m']]]+MP_DATA[[#This Row],[D, top '[m']]])/(2*MP_DATA[[#This Row],[t '[mm']]]/1000),"")</f>
        <v/>
      </c>
      <c r="AO129" s="80" t="str">
        <f>IFERROR(TP_DATA[[#This Row],[Bottom '[m']]]-TP_DATA[[#This Row],[D, top '[m']]], "")</f>
        <v/>
      </c>
      <c r="AP129" s="80" t="str">
        <f>IFERROR(-(TP_DATA[[#This Row],[D, bottom '[m']]]-TP_DATA[[#This Row],[D, top '[m']]])/(TP_DATA[[#This Row],[Bottom '[m']]]-TP_DATA[[#This Row],[Top '[m']]]),"")</f>
        <v/>
      </c>
      <c r="AQ129" s="80" t="str">
        <f t="shared" si="8"/>
        <v/>
      </c>
      <c r="AR129" s="80" t="str">
        <f>IFERROR((TP_DATA[[#This Row],[D, bottom '[m']]]+TP_DATA[[#This Row],[D, top '[m']]])/(2*TP_DATA[[#This Row],[t '[mm']]]/1000),"")</f>
        <v/>
      </c>
      <c r="BW129" s="80" t="str">
        <f>IFERROR(TOWER_DATA[[#This Row],[Bottom '[m']]]-TOWER_DATA[[#This Row],[D, top '[m']]], "")</f>
        <v/>
      </c>
      <c r="BX129" s="80" t="str">
        <f>IFERROR(-(TOWER_DATA[[#This Row],[D, bottom '[m']]]-TOWER_DATA[[#This Row],[D, top '[m']]])/(TOWER_DATA[[#This Row],[Bottom '[m']]]-TOWER_DATA[[#This Row],[Top '[m']]]),"")</f>
        <v/>
      </c>
      <c r="BY129" s="80" t="str">
        <f t="shared" si="9"/>
        <v/>
      </c>
      <c r="BZ129" s="80" t="str">
        <f>IFERROR((TOWER_DATA[[#This Row],[D, bottom '[m']]]+TOWER_DATA[[#This Row],[D, top '[m']]])/(2*TOWER_DATA[[#This Row],[t '[mm']]]/1000),"")</f>
        <v/>
      </c>
      <c r="DE129" s="80" t="str">
        <f t="shared" si="10"/>
        <v/>
      </c>
      <c r="DF129" s="80"/>
    </row>
    <row r="130" spans="8:110" x14ac:dyDescent="0.25">
      <c r="H130" s="80" t="str">
        <f>IFERROR(MP_DATA[[#This Row],[Bottom '[m']]]-MP_DATA[[#This Row],[D, top '[m']]], "")</f>
        <v/>
      </c>
      <c r="I130" s="80" t="str">
        <f>IFERROR(-(MP_DATA[[#This Row],[D, bottom '[m']]]-MP_DATA[[#This Row],[D, top '[m']]])/(MP_DATA[[#This Row],[Bottom '[m']]]-MP_DATA[[#This Row],[Top '[m']]]),"")</f>
        <v/>
      </c>
      <c r="J130" s="80" t="str">
        <f t="shared" si="11"/>
        <v/>
      </c>
      <c r="K130" s="80" t="str">
        <f>IFERROR((MP_DATA[[#This Row],[D, bottom '[m']]]+MP_DATA[[#This Row],[D, top '[m']]])/(2*MP_DATA[[#This Row],[t '[mm']]]/1000),"")</f>
        <v/>
      </c>
      <c r="AO130" s="80" t="str">
        <f>IFERROR(TP_DATA[[#This Row],[Bottom '[m']]]-TP_DATA[[#This Row],[D, top '[m']]], "")</f>
        <v/>
      </c>
      <c r="AP130" s="80" t="str">
        <f>IFERROR(-(TP_DATA[[#This Row],[D, bottom '[m']]]-TP_DATA[[#This Row],[D, top '[m']]])/(TP_DATA[[#This Row],[Bottom '[m']]]-TP_DATA[[#This Row],[Top '[m']]]),"")</f>
        <v/>
      </c>
      <c r="AQ130" s="80" t="str">
        <f t="shared" ref="AQ130:AQ137" si="12">IF(7850/1000*(1/3)*PI()*ABS(AJ130-AK130)*((AL130/2)^2+(AL130/2)*(AM130/2)+(AM130/2)^2-(AL130/2-AN130/1000)^2-(AL130/2-AN130/1000)*(AM130/2-AN130/1000)-(AM130/2-AN130/1000)^2)=0,"",7850/1000*(1/3)*PI()*ABS(AJ130-AK130)*((AL130/2)^2+(AL130/2)*(AM130/2)+(AM130/2)^2-(AL130/2-AN130/1000)^2-(AL130/2-AN130/1000)*(AM130/2-AN130/1000)-(AM130/2-AN130/1000)^2))</f>
        <v/>
      </c>
      <c r="AR130" s="80" t="str">
        <f>IFERROR((TP_DATA[[#This Row],[D, bottom '[m']]]+TP_DATA[[#This Row],[D, top '[m']]])/(2*TP_DATA[[#This Row],[t '[mm']]]/1000),"")</f>
        <v/>
      </c>
      <c r="BW130" s="80" t="str">
        <f>IFERROR(TOWER_DATA[[#This Row],[Bottom '[m']]]-TOWER_DATA[[#This Row],[D, top '[m']]], "")</f>
        <v/>
      </c>
      <c r="BX130" s="80" t="str">
        <f>IFERROR(-(TOWER_DATA[[#This Row],[D, bottom '[m']]]-TOWER_DATA[[#This Row],[D, top '[m']]])/(TOWER_DATA[[#This Row],[Bottom '[m']]]-TOWER_DATA[[#This Row],[Top '[m']]]),"")</f>
        <v/>
      </c>
      <c r="BY130" s="80" t="str">
        <f t="shared" ref="BY130:BY139" si="13">IF(7850/1000*(1/3)*PI()*ABS(BR130-BS130)*((BT130/2)^2+(BT130/2)*(BU130/2)+(BU130/2)^2-(BT130/2-BV130/1000)^2-(BT130/2-BV130/1000)*(BU130/2-BV130/1000)-(BU130/2-BV130/1000)^2)=0,"",7850/1000*(1/3)*PI()*ABS(BR130-BS130)*((BT130/2)^2+(BT130/2)*(BU130/2)+(BU130/2)^2-(BT130/2-BV130/1000)^2-(BT130/2-BV130/1000)*(BU130/2-BV130/1000)-(BU130/2-BV130/1000)^2))</f>
        <v/>
      </c>
      <c r="BZ130" s="80" t="str">
        <f>IFERROR((TOWER_DATA[[#This Row],[D, bottom '[m']]]+TOWER_DATA[[#This Row],[D, top '[m']]])/(2*TOWER_DATA[[#This Row],[t '[mm']]]/1000),"")</f>
        <v/>
      </c>
      <c r="DE130" s="80" t="str">
        <f t="shared" ref="DE130:DE139" si="14">IF(7850/1000*(1/3)*PI()*ABS(CZ130-DA130)*((DB130/2)^2+(DB130/2)*(DC130/2)+(DC130/2)^2-(DB130/2-DD130/1000)^2-(DB130/2-DD130/1000)*(DC130/2-DD130/1000)-(DC130/2-DD130/1000)^2)=0,"",7850/1000*(1/3)*PI()*ABS(CZ130-DA130)*((DB130/2)^2+(DB130/2)*(DC130/2)+(DC130/2)^2-(DB130/2-DD130/1000)^2-(DB130/2-DD130/1000)*(DC130/2-DD130/1000)-(DC130/2-DD130/1000)^2))</f>
        <v/>
      </c>
      <c r="DF130" s="80"/>
    </row>
    <row r="131" spans="8:110" x14ac:dyDescent="0.25">
      <c r="H131" s="80" t="str">
        <f>IFERROR(MP_DATA[[#This Row],[Bottom '[m']]]-MP_DATA[[#This Row],[D, top '[m']]], "")</f>
        <v/>
      </c>
      <c r="I131" s="80" t="str">
        <f>IFERROR(-(MP_DATA[[#This Row],[D, bottom '[m']]]-MP_DATA[[#This Row],[D, top '[m']]])/(MP_DATA[[#This Row],[Bottom '[m']]]-MP_DATA[[#This Row],[Top '[m']]]),"")</f>
        <v/>
      </c>
      <c r="J131" s="80" t="str">
        <f t="shared" ref="J131:J137" si="15">IF(7850/1000*(1/3)*PI()*ABS(C131-D131)*((E131/2)^2+(E131/2)*(F131/2)+(F131/2)^2-(E131/2-G131/1000)^2-(E131/2-G131/1000)*(F131/2-G131/1000)-(F131/2-G131/1000)^2)=0,"",7850/1000*(1/3)*PI()*ABS(C131-D131)*((E131/2)^2+(E131/2)*(F131/2)+(F131/2)^2-(E131/2-G131/1000)^2-(E131/2-G131/1000)*(F131/2-G131/1000)-(F131/2-G131/1000)^2))</f>
        <v/>
      </c>
      <c r="K131" s="80" t="str">
        <f>IFERROR((MP_DATA[[#This Row],[D, bottom '[m']]]+MP_DATA[[#This Row],[D, top '[m']]])/(2*MP_DATA[[#This Row],[t '[mm']]]/1000),"")</f>
        <v/>
      </c>
      <c r="AO131" s="80" t="str">
        <f>IFERROR(TP_DATA[[#This Row],[Bottom '[m']]]-TP_DATA[[#This Row],[D, top '[m']]], "")</f>
        <v/>
      </c>
      <c r="AP131" s="80" t="str">
        <f>IFERROR(-(TP_DATA[[#This Row],[D, bottom '[m']]]-TP_DATA[[#This Row],[D, top '[m']]])/(TP_DATA[[#This Row],[Bottom '[m']]]-TP_DATA[[#This Row],[Top '[m']]]),"")</f>
        <v/>
      </c>
      <c r="AQ131" s="80" t="str">
        <f t="shared" si="12"/>
        <v/>
      </c>
      <c r="AR131" s="80" t="str">
        <f>IFERROR((TP_DATA[[#This Row],[D, bottom '[m']]]+TP_DATA[[#This Row],[D, top '[m']]])/(2*TP_DATA[[#This Row],[t '[mm']]]/1000),"")</f>
        <v/>
      </c>
      <c r="BW131" s="80" t="str">
        <f>IFERROR(TOWER_DATA[[#This Row],[Bottom '[m']]]-TOWER_DATA[[#This Row],[D, top '[m']]], "")</f>
        <v/>
      </c>
      <c r="BX131" s="80" t="str">
        <f>IFERROR(-(TOWER_DATA[[#This Row],[D, bottom '[m']]]-TOWER_DATA[[#This Row],[D, top '[m']]])/(TOWER_DATA[[#This Row],[Bottom '[m']]]-TOWER_DATA[[#This Row],[Top '[m']]]),"")</f>
        <v/>
      </c>
      <c r="BY131" s="80" t="str">
        <f t="shared" si="13"/>
        <v/>
      </c>
      <c r="BZ131" s="80" t="str">
        <f>IFERROR((TOWER_DATA[[#This Row],[D, bottom '[m']]]+TOWER_DATA[[#This Row],[D, top '[m']]])/(2*TOWER_DATA[[#This Row],[t '[mm']]]/1000),"")</f>
        <v/>
      </c>
      <c r="DE131" s="80" t="str">
        <f t="shared" si="14"/>
        <v/>
      </c>
      <c r="DF131" s="80"/>
    </row>
    <row r="132" spans="8:110" x14ac:dyDescent="0.25">
      <c r="H132" s="80" t="str">
        <f>IFERROR(MP_DATA[[#This Row],[Bottom '[m']]]-MP_DATA[[#This Row],[D, top '[m']]], "")</f>
        <v/>
      </c>
      <c r="I132" s="80" t="str">
        <f>IFERROR(-(MP_DATA[[#This Row],[D, bottom '[m']]]-MP_DATA[[#This Row],[D, top '[m']]])/(MP_DATA[[#This Row],[Bottom '[m']]]-MP_DATA[[#This Row],[Top '[m']]]),"")</f>
        <v/>
      </c>
      <c r="J132" s="80" t="str">
        <f t="shared" si="15"/>
        <v/>
      </c>
      <c r="K132" s="80" t="str">
        <f>IFERROR((MP_DATA[[#This Row],[D, bottom '[m']]]+MP_DATA[[#This Row],[D, top '[m']]])/(2*MP_DATA[[#This Row],[t '[mm']]]/1000),"")</f>
        <v/>
      </c>
      <c r="AO132" s="80" t="str">
        <f>IFERROR(TP_DATA[[#This Row],[Bottom '[m']]]-TP_DATA[[#This Row],[D, top '[m']]], "")</f>
        <v/>
      </c>
      <c r="AP132" s="80" t="str">
        <f>IFERROR(-(TP_DATA[[#This Row],[D, bottom '[m']]]-TP_DATA[[#This Row],[D, top '[m']]])/(TP_DATA[[#This Row],[Bottom '[m']]]-TP_DATA[[#This Row],[Top '[m']]]),"")</f>
        <v/>
      </c>
      <c r="AQ132" s="80" t="str">
        <f t="shared" si="12"/>
        <v/>
      </c>
      <c r="AR132" s="80" t="str">
        <f>IFERROR((TP_DATA[[#This Row],[D, bottom '[m']]]+TP_DATA[[#This Row],[D, top '[m']]])/(2*TP_DATA[[#This Row],[t '[mm']]]/1000),"")</f>
        <v/>
      </c>
      <c r="BW132" s="80" t="str">
        <f>IFERROR(TOWER_DATA[[#This Row],[Bottom '[m']]]-TOWER_DATA[[#This Row],[D, top '[m']]], "")</f>
        <v/>
      </c>
      <c r="BX132" s="80" t="str">
        <f>IFERROR(-(TOWER_DATA[[#This Row],[D, bottom '[m']]]-TOWER_DATA[[#This Row],[D, top '[m']]])/(TOWER_DATA[[#This Row],[Bottom '[m']]]-TOWER_DATA[[#This Row],[Top '[m']]]),"")</f>
        <v/>
      </c>
      <c r="BY132" s="80" t="str">
        <f t="shared" si="13"/>
        <v/>
      </c>
      <c r="BZ132" s="80" t="str">
        <f>IFERROR((TOWER_DATA[[#This Row],[D, bottom '[m']]]+TOWER_DATA[[#This Row],[D, top '[m']]])/(2*TOWER_DATA[[#This Row],[t '[mm']]]/1000),"")</f>
        <v/>
      </c>
      <c r="DE132" s="80" t="str">
        <f t="shared" si="14"/>
        <v/>
      </c>
      <c r="DF132" s="80"/>
    </row>
    <row r="133" spans="8:110" x14ac:dyDescent="0.25">
      <c r="H133" s="80" t="str">
        <f>IFERROR(MP_DATA[[#This Row],[Bottom '[m']]]-MP_DATA[[#This Row],[D, top '[m']]], "")</f>
        <v/>
      </c>
      <c r="I133" s="80" t="str">
        <f>IFERROR(-(MP_DATA[[#This Row],[D, bottom '[m']]]-MP_DATA[[#This Row],[D, top '[m']]])/(MP_DATA[[#This Row],[Bottom '[m']]]-MP_DATA[[#This Row],[Top '[m']]]),"")</f>
        <v/>
      </c>
      <c r="J133" s="80" t="str">
        <f t="shared" si="15"/>
        <v/>
      </c>
      <c r="K133" s="80" t="str">
        <f>IFERROR((MP_DATA[[#This Row],[D, bottom '[m']]]+MP_DATA[[#This Row],[D, top '[m']]])/(2*MP_DATA[[#This Row],[t '[mm']]]/1000),"")</f>
        <v/>
      </c>
      <c r="AO133" s="80" t="str">
        <f>IFERROR(TP_DATA[[#This Row],[Bottom '[m']]]-TP_DATA[[#This Row],[D, top '[m']]], "")</f>
        <v/>
      </c>
      <c r="AP133" s="80" t="str">
        <f>IFERROR(-(TP_DATA[[#This Row],[D, bottom '[m']]]-TP_DATA[[#This Row],[D, top '[m']]])/(TP_DATA[[#This Row],[Bottom '[m']]]-TP_DATA[[#This Row],[Top '[m']]]),"")</f>
        <v/>
      </c>
      <c r="AQ133" s="80" t="str">
        <f t="shared" si="12"/>
        <v/>
      </c>
      <c r="AR133" s="80" t="str">
        <f>IFERROR((TP_DATA[[#This Row],[D, bottom '[m']]]+TP_DATA[[#This Row],[D, top '[m']]])/(2*TP_DATA[[#This Row],[t '[mm']]]/1000),"")</f>
        <v/>
      </c>
      <c r="BW133" s="80" t="str">
        <f>IFERROR(TOWER_DATA[[#This Row],[Bottom '[m']]]-TOWER_DATA[[#This Row],[D, top '[m']]], "")</f>
        <v/>
      </c>
      <c r="BX133" s="80" t="str">
        <f>IFERROR(-(TOWER_DATA[[#This Row],[D, bottom '[m']]]-TOWER_DATA[[#This Row],[D, top '[m']]])/(TOWER_DATA[[#This Row],[Bottom '[m']]]-TOWER_DATA[[#This Row],[Top '[m']]]),"")</f>
        <v/>
      </c>
      <c r="BY133" s="80" t="str">
        <f t="shared" si="13"/>
        <v/>
      </c>
      <c r="BZ133" s="80" t="str">
        <f>IFERROR((TOWER_DATA[[#This Row],[D, bottom '[m']]]+TOWER_DATA[[#This Row],[D, top '[m']]])/(2*TOWER_DATA[[#This Row],[t '[mm']]]/1000),"")</f>
        <v/>
      </c>
      <c r="DE133" s="80" t="str">
        <f t="shared" si="14"/>
        <v/>
      </c>
      <c r="DF133" s="80"/>
    </row>
    <row r="134" spans="8:110" x14ac:dyDescent="0.25">
      <c r="H134" s="80" t="str">
        <f>IFERROR(MP_DATA[[#This Row],[Bottom '[m']]]-MP_DATA[[#This Row],[D, top '[m']]], "")</f>
        <v/>
      </c>
      <c r="I134" s="80" t="str">
        <f>IFERROR(-(MP_DATA[[#This Row],[D, bottom '[m']]]-MP_DATA[[#This Row],[D, top '[m']]])/(MP_DATA[[#This Row],[Bottom '[m']]]-MP_DATA[[#This Row],[Top '[m']]]),"")</f>
        <v/>
      </c>
      <c r="J134" s="80" t="str">
        <f t="shared" si="15"/>
        <v/>
      </c>
      <c r="K134" s="80" t="str">
        <f>IFERROR((MP_DATA[[#This Row],[D, bottom '[m']]]+MP_DATA[[#This Row],[D, top '[m']]])/(2*MP_DATA[[#This Row],[t '[mm']]]/1000),"")</f>
        <v/>
      </c>
      <c r="AO134" s="80" t="str">
        <f>IFERROR(TP_DATA[[#This Row],[Bottom '[m']]]-TP_DATA[[#This Row],[D, top '[m']]], "")</f>
        <v/>
      </c>
      <c r="AP134" s="80" t="str">
        <f>IFERROR(-(TP_DATA[[#This Row],[D, bottom '[m']]]-TP_DATA[[#This Row],[D, top '[m']]])/(TP_DATA[[#This Row],[Bottom '[m']]]-TP_DATA[[#This Row],[Top '[m']]]),"")</f>
        <v/>
      </c>
      <c r="AQ134" s="80" t="str">
        <f t="shared" si="12"/>
        <v/>
      </c>
      <c r="AR134" s="80" t="str">
        <f>IFERROR((TP_DATA[[#This Row],[D, bottom '[m']]]+TP_DATA[[#This Row],[D, top '[m']]])/(2*TP_DATA[[#This Row],[t '[mm']]]/1000),"")</f>
        <v/>
      </c>
      <c r="BW134" s="80" t="str">
        <f>IFERROR(TOWER_DATA[[#This Row],[Bottom '[m']]]-TOWER_DATA[[#This Row],[D, top '[m']]], "")</f>
        <v/>
      </c>
      <c r="BX134" s="80" t="str">
        <f>IFERROR(-(TOWER_DATA[[#This Row],[D, bottom '[m']]]-TOWER_DATA[[#This Row],[D, top '[m']]])/(TOWER_DATA[[#This Row],[Bottom '[m']]]-TOWER_DATA[[#This Row],[Top '[m']]]),"")</f>
        <v/>
      </c>
      <c r="BY134" s="80" t="str">
        <f t="shared" si="13"/>
        <v/>
      </c>
      <c r="BZ134" s="80" t="str">
        <f>IFERROR((TOWER_DATA[[#This Row],[D, bottom '[m']]]+TOWER_DATA[[#This Row],[D, top '[m']]])/(2*TOWER_DATA[[#This Row],[t '[mm']]]/1000),"")</f>
        <v/>
      </c>
      <c r="DE134" s="80" t="str">
        <f t="shared" si="14"/>
        <v/>
      </c>
      <c r="DF134" s="80"/>
    </row>
    <row r="135" spans="8:110" x14ac:dyDescent="0.25">
      <c r="H135" s="80" t="str">
        <f>IFERROR(MP_DATA[[#This Row],[Bottom '[m']]]-MP_DATA[[#This Row],[D, top '[m']]], "")</f>
        <v/>
      </c>
      <c r="I135" s="80" t="str">
        <f>IFERROR(-(MP_DATA[[#This Row],[D, bottom '[m']]]-MP_DATA[[#This Row],[D, top '[m']]])/(MP_DATA[[#This Row],[Bottom '[m']]]-MP_DATA[[#This Row],[Top '[m']]]),"")</f>
        <v/>
      </c>
      <c r="J135" s="80" t="str">
        <f t="shared" si="15"/>
        <v/>
      </c>
      <c r="K135" s="80" t="str">
        <f>IFERROR((MP_DATA[[#This Row],[D, bottom '[m']]]+MP_DATA[[#This Row],[D, top '[m']]])/(2*MP_DATA[[#This Row],[t '[mm']]]/1000),"")</f>
        <v/>
      </c>
      <c r="AO135" s="80" t="str">
        <f>IFERROR(TP_DATA[[#This Row],[Bottom '[m']]]-TP_DATA[[#This Row],[D, top '[m']]], "")</f>
        <v/>
      </c>
      <c r="AP135" s="80" t="str">
        <f>IFERROR(-(TP_DATA[[#This Row],[D, bottom '[m']]]-TP_DATA[[#This Row],[D, top '[m']]])/(TP_DATA[[#This Row],[Bottom '[m']]]-TP_DATA[[#This Row],[Top '[m']]]),"")</f>
        <v/>
      </c>
      <c r="AQ135" s="80" t="str">
        <f t="shared" si="12"/>
        <v/>
      </c>
      <c r="AR135" s="80" t="str">
        <f>IFERROR((TP_DATA[[#This Row],[D, bottom '[m']]]+TP_DATA[[#This Row],[D, top '[m']]])/(2*TP_DATA[[#This Row],[t '[mm']]]/1000),"")</f>
        <v/>
      </c>
      <c r="BW135" s="80" t="str">
        <f>IFERROR(TOWER_DATA[[#This Row],[Bottom '[m']]]-TOWER_DATA[[#This Row],[D, top '[m']]], "")</f>
        <v/>
      </c>
      <c r="BX135" s="80" t="str">
        <f>IFERROR(-(TOWER_DATA[[#This Row],[D, bottom '[m']]]-TOWER_DATA[[#This Row],[D, top '[m']]])/(TOWER_DATA[[#This Row],[Bottom '[m']]]-TOWER_DATA[[#This Row],[Top '[m']]]),"")</f>
        <v/>
      </c>
      <c r="BY135" s="80" t="str">
        <f t="shared" si="13"/>
        <v/>
      </c>
      <c r="BZ135" s="80" t="str">
        <f>IFERROR((TOWER_DATA[[#This Row],[D, bottom '[m']]]+TOWER_DATA[[#This Row],[D, top '[m']]])/(2*TOWER_DATA[[#This Row],[t '[mm']]]/1000),"")</f>
        <v/>
      </c>
      <c r="DE135" s="80" t="str">
        <f t="shared" si="14"/>
        <v/>
      </c>
      <c r="DF135" s="80"/>
    </row>
    <row r="136" spans="8:110" x14ac:dyDescent="0.25">
      <c r="H136" s="80" t="str">
        <f>IFERROR(MP_DATA[[#This Row],[Bottom '[m']]]-MP_DATA[[#This Row],[D, top '[m']]], "")</f>
        <v/>
      </c>
      <c r="I136" s="80" t="str">
        <f>IFERROR(-(MP_DATA[[#This Row],[D, bottom '[m']]]-MP_DATA[[#This Row],[D, top '[m']]])/(MP_DATA[[#This Row],[Bottom '[m']]]-MP_DATA[[#This Row],[Top '[m']]]),"")</f>
        <v/>
      </c>
      <c r="J136" s="80" t="str">
        <f t="shared" si="15"/>
        <v/>
      </c>
      <c r="K136" s="80" t="str">
        <f>IFERROR((MP_DATA[[#This Row],[D, bottom '[m']]]+MP_DATA[[#This Row],[D, top '[m']]])/(2*MP_DATA[[#This Row],[t '[mm']]]/1000),"")</f>
        <v/>
      </c>
      <c r="AO136" s="80" t="str">
        <f>IFERROR(TP_DATA[[#This Row],[Bottom '[m']]]-TP_DATA[[#This Row],[D, top '[m']]], "")</f>
        <v/>
      </c>
      <c r="AP136" s="80" t="str">
        <f>IFERROR(-(TP_DATA[[#This Row],[D, bottom '[m']]]-TP_DATA[[#This Row],[D, top '[m']]])/(TP_DATA[[#This Row],[Bottom '[m']]]-TP_DATA[[#This Row],[Top '[m']]]),"")</f>
        <v/>
      </c>
      <c r="AQ136" s="80" t="str">
        <f t="shared" si="12"/>
        <v/>
      </c>
      <c r="AR136" s="80" t="str">
        <f>IFERROR((TP_DATA[[#This Row],[D, bottom '[m']]]+TP_DATA[[#This Row],[D, top '[m']]])/(2*TP_DATA[[#This Row],[t '[mm']]]/1000),"")</f>
        <v/>
      </c>
      <c r="BW136" s="80" t="str">
        <f>IFERROR(TOWER_DATA[[#This Row],[Bottom '[m']]]-TOWER_DATA[[#This Row],[D, top '[m']]], "")</f>
        <v/>
      </c>
      <c r="BX136" s="80" t="str">
        <f>IFERROR(-(TOWER_DATA[[#This Row],[D, bottom '[m']]]-TOWER_DATA[[#This Row],[D, top '[m']]])/(TOWER_DATA[[#This Row],[Bottom '[m']]]-TOWER_DATA[[#This Row],[Top '[m']]]),"")</f>
        <v/>
      </c>
      <c r="BY136" s="80" t="str">
        <f t="shared" si="13"/>
        <v/>
      </c>
      <c r="BZ136" s="80" t="str">
        <f>IFERROR((TOWER_DATA[[#This Row],[D, bottom '[m']]]+TOWER_DATA[[#This Row],[D, top '[m']]])/(2*TOWER_DATA[[#This Row],[t '[mm']]]/1000),"")</f>
        <v/>
      </c>
      <c r="DE136" s="80" t="str">
        <f t="shared" si="14"/>
        <v/>
      </c>
      <c r="DF136" s="80"/>
    </row>
    <row r="137" spans="8:110" x14ac:dyDescent="0.25">
      <c r="H137" s="80" t="str">
        <f>IFERROR(MP_DATA[[#This Row],[Bottom '[m']]]-MP_DATA[[#This Row],[D, top '[m']]], "")</f>
        <v/>
      </c>
      <c r="I137" s="80" t="str">
        <f>IFERROR(-(MP_DATA[[#This Row],[D, bottom '[m']]]-MP_DATA[[#This Row],[D, top '[m']]])/(MP_DATA[[#This Row],[Bottom '[m']]]-MP_DATA[[#This Row],[Top '[m']]]),"")</f>
        <v/>
      </c>
      <c r="J137" s="80" t="str">
        <f t="shared" si="15"/>
        <v/>
      </c>
      <c r="K137" s="80" t="str">
        <f>IFERROR((MP_DATA[[#This Row],[D, bottom '[m']]]+MP_DATA[[#This Row],[D, top '[m']]])/(2*MP_DATA[[#This Row],[t '[mm']]]/1000),"")</f>
        <v/>
      </c>
      <c r="AO137" s="80" t="str">
        <f>IFERROR(TP_DATA[[#This Row],[Bottom '[m']]]-TP_DATA[[#This Row],[D, top '[m']]], "")</f>
        <v/>
      </c>
      <c r="AP137" s="80" t="str">
        <f>IFERROR(-(TP_DATA[[#This Row],[D, bottom '[m']]]-TP_DATA[[#This Row],[D, top '[m']]])/(TP_DATA[[#This Row],[Bottom '[m']]]-TP_DATA[[#This Row],[Top '[m']]]),"")</f>
        <v/>
      </c>
      <c r="AQ137" s="80" t="str">
        <f t="shared" si="12"/>
        <v/>
      </c>
      <c r="AR137" s="80" t="str">
        <f>IFERROR((TP_DATA[[#This Row],[D, bottom '[m']]]+TP_DATA[[#This Row],[D, top '[m']]])/(2*TP_DATA[[#This Row],[t '[mm']]]/1000),"")</f>
        <v/>
      </c>
      <c r="BW137" s="80" t="str">
        <f>IFERROR(TOWER_DATA[[#This Row],[Bottom '[m']]]-TOWER_DATA[[#This Row],[D, top '[m']]], "")</f>
        <v/>
      </c>
      <c r="BX137" s="80" t="str">
        <f>IFERROR(-(TOWER_DATA[[#This Row],[D, bottom '[m']]]-TOWER_DATA[[#This Row],[D, top '[m']]])/(TOWER_DATA[[#This Row],[Bottom '[m']]]-TOWER_DATA[[#This Row],[Top '[m']]]),"")</f>
        <v/>
      </c>
      <c r="BY137" s="80" t="str">
        <f t="shared" si="13"/>
        <v/>
      </c>
      <c r="BZ137" s="80" t="str">
        <f>IFERROR((TOWER_DATA[[#This Row],[D, bottom '[m']]]+TOWER_DATA[[#This Row],[D, top '[m']]])/(2*TOWER_DATA[[#This Row],[t '[mm']]]/1000),"")</f>
        <v/>
      </c>
      <c r="DE137" s="80" t="str">
        <f t="shared" si="14"/>
        <v/>
      </c>
      <c r="DF137" s="80"/>
    </row>
    <row r="138" spans="8:110" x14ac:dyDescent="0.25">
      <c r="H138" s="80" t="str">
        <f>IFERROR(MP_DATA[[#This Row],[Bottom '[m']]]-MP_DATA[[#This Row],[D, top '[m']]], "")</f>
        <v/>
      </c>
      <c r="I138" s="80" t="str">
        <f>IFERROR(-(MP_DATA[[#This Row],[D, bottom '[m']]]-MP_DATA[[#This Row],[D, top '[m']]])/(MP_DATA[[#This Row],[Bottom '[m']]]-MP_DATA[[#This Row],[Top '[m']]]),"")</f>
        <v/>
      </c>
      <c r="K138" s="80" t="str">
        <f>IFERROR((MP_DATA[[#This Row],[D, bottom '[m']]]+MP_DATA[[#This Row],[D, top '[m']]])/(2*MP_DATA[[#This Row],[t '[mm']]]/1000),"")</f>
        <v/>
      </c>
      <c r="AO138" s="80" t="str">
        <f>IFERROR(TP_DATA[[#This Row],[Bottom '[m']]]-TP_DATA[[#This Row],[D, top '[m']]], "")</f>
        <v/>
      </c>
      <c r="AP138" s="80" t="str">
        <f>IFERROR(-(TP_DATA[[#This Row],[D, bottom '[m']]]-TP_DATA[[#This Row],[D, top '[m']]])/(TP_DATA[[#This Row],[Bottom '[m']]]-TP_DATA[[#This Row],[Top '[m']]]),"")</f>
        <v/>
      </c>
      <c r="AR138" s="80" t="str">
        <f>IFERROR((TP_DATA[[#This Row],[D, bottom '[m']]]+TP_DATA[[#This Row],[D, top '[m']]])/(2*TP_DATA[[#This Row],[t '[mm']]]/1000),"")</f>
        <v/>
      </c>
      <c r="BW138" s="80" t="str">
        <f>IFERROR(TOWER_DATA[[#This Row],[Bottom '[m']]]-TOWER_DATA[[#This Row],[D, top '[m']]], "")</f>
        <v/>
      </c>
      <c r="BX138" s="80" t="str">
        <f>IFERROR(-(TOWER_DATA[[#This Row],[D, bottom '[m']]]-TOWER_DATA[[#This Row],[D, top '[m']]])/(TOWER_DATA[[#This Row],[Bottom '[m']]]-TOWER_DATA[[#This Row],[Top '[m']]]),"")</f>
        <v/>
      </c>
      <c r="BY138" s="80" t="str">
        <f t="shared" si="13"/>
        <v/>
      </c>
      <c r="BZ138" s="80" t="str">
        <f>IFERROR((TOWER_DATA[[#This Row],[D, bottom '[m']]]+TOWER_DATA[[#This Row],[D, top '[m']]])/(2*TOWER_DATA[[#This Row],[t '[mm']]]/1000),"")</f>
        <v/>
      </c>
      <c r="DE138" s="80" t="str">
        <f t="shared" si="14"/>
        <v/>
      </c>
      <c r="DF138" s="80"/>
    </row>
    <row r="139" spans="8:110" x14ac:dyDescent="0.25">
      <c r="H139" s="80" t="str">
        <f>IFERROR(MP_DATA[[#This Row],[Bottom '[m']]]-MP_DATA[[#This Row],[D, top '[m']]], "")</f>
        <v/>
      </c>
      <c r="I139" s="80" t="str">
        <f>IFERROR(-(MP_DATA[[#This Row],[D, bottom '[m']]]-MP_DATA[[#This Row],[D, top '[m']]])/(MP_DATA[[#This Row],[Bottom '[m']]]-MP_DATA[[#This Row],[Top '[m']]]),"")</f>
        <v/>
      </c>
      <c r="K139" s="80" t="str">
        <f>IFERROR((MP_DATA[[#This Row],[D, bottom '[m']]]+MP_DATA[[#This Row],[D, top '[m']]])/(2*MP_DATA[[#This Row],[t '[mm']]]/1000),"")</f>
        <v/>
      </c>
      <c r="AO139" s="80" t="str">
        <f>IFERROR(TP_DATA[[#This Row],[Bottom '[m']]]-TP_DATA[[#This Row],[D, top '[m']]], "")</f>
        <v/>
      </c>
      <c r="AP139" s="80" t="str">
        <f>IFERROR(-(TP_DATA[[#This Row],[D, bottom '[m']]]-TP_DATA[[#This Row],[D, top '[m']]])/(TP_DATA[[#This Row],[Bottom '[m']]]-TP_DATA[[#This Row],[Top '[m']]]),"")</f>
        <v/>
      </c>
      <c r="AR139" s="80" t="str">
        <f>IFERROR((TP_DATA[[#This Row],[D, bottom '[m']]]+TP_DATA[[#This Row],[D, top '[m']]])/(2*TP_DATA[[#This Row],[t '[mm']]]/1000),"")</f>
        <v/>
      </c>
      <c r="BW139" s="80" t="str">
        <f>IFERROR(TOWER_DATA[[#This Row],[Bottom '[m']]]-TOWER_DATA[[#This Row],[D, top '[m']]], "")</f>
        <v/>
      </c>
      <c r="BX139" s="80" t="str">
        <f>IFERROR(-(TOWER_DATA[[#This Row],[D, bottom '[m']]]-TOWER_DATA[[#This Row],[D, top '[m']]])/(TOWER_DATA[[#This Row],[Bottom '[m']]]-TOWER_DATA[[#This Row],[Top '[m']]]),"")</f>
        <v/>
      </c>
      <c r="BY139" s="80" t="str">
        <f t="shared" si="13"/>
        <v/>
      </c>
      <c r="BZ139" s="80" t="str">
        <f>IFERROR((TOWER_DATA[[#This Row],[D, bottom '[m']]]+TOWER_DATA[[#This Row],[D, top '[m']]])/(2*TOWER_DATA[[#This Row],[t '[mm']]]/1000),"")</f>
        <v/>
      </c>
      <c r="DE139" s="80" t="str">
        <f t="shared" si="14"/>
        <v/>
      </c>
      <c r="DF139" s="80"/>
    </row>
    <row r="140" spans="8:110" x14ac:dyDescent="0.25">
      <c r="H140" s="80" t="str">
        <f>IFERROR(MP_DATA[[#This Row],[Bottom '[m']]]-MP_DATA[[#This Row],[D, top '[m']]], "")</f>
        <v/>
      </c>
      <c r="I140" s="80" t="str">
        <f>IFERROR(-(MP_DATA[[#This Row],[D, bottom '[m']]]-MP_DATA[[#This Row],[D, top '[m']]])/(MP_DATA[[#This Row],[Bottom '[m']]]-MP_DATA[[#This Row],[Top '[m']]]),"")</f>
        <v/>
      </c>
      <c r="K140" s="80" t="str">
        <f>IFERROR((MP_DATA[[#This Row],[D, bottom '[m']]]+MP_DATA[[#This Row],[D, top '[m']]])/(2*MP_DATA[[#This Row],[t '[mm']]]/1000),"")</f>
        <v/>
      </c>
      <c r="AO140" s="80" t="str">
        <f>IFERROR(TP_DATA[[#This Row],[Bottom '[m']]]-TP_DATA[[#This Row],[D, top '[m']]], "")</f>
        <v/>
      </c>
      <c r="AP140" s="80" t="str">
        <f>IFERROR(-(TP_DATA[[#This Row],[D, bottom '[m']]]-TP_DATA[[#This Row],[D, top '[m']]])/(TP_DATA[[#This Row],[Bottom '[m']]]-TP_DATA[[#This Row],[Top '[m']]]),"")</f>
        <v/>
      </c>
      <c r="AR140" s="80" t="str">
        <f>IFERROR((TP_DATA[[#This Row],[D, bottom '[m']]]+TP_DATA[[#This Row],[D, top '[m']]])/(2*TP_DATA[[#This Row],[t '[mm']]]/1000),"")</f>
        <v/>
      </c>
      <c r="BW140" s="80" t="str">
        <f>IFERROR(TOWER_DATA[[#This Row],[Bottom '[m']]]-TOWER_DATA[[#This Row],[D, top '[m']]], "")</f>
        <v/>
      </c>
      <c r="BX140" s="80" t="str">
        <f>IFERROR(-(TOWER_DATA[[#This Row],[D, bottom '[m']]]-TOWER_DATA[[#This Row],[D, top '[m']]])/(TOWER_DATA[[#This Row],[Bottom '[m']]]-TOWER_DATA[[#This Row],[Top '[m']]]),"")</f>
        <v/>
      </c>
      <c r="BZ140" s="80" t="str">
        <f>IFERROR((TOWER_DATA[[#This Row],[D, bottom '[m']]]+TOWER_DATA[[#This Row],[D, top '[m']]])/(2*TOWER_DATA[[#This Row],[t '[mm']]]/1000),"")</f>
        <v/>
      </c>
    </row>
    <row r="141" spans="8:110" x14ac:dyDescent="0.25">
      <c r="H141" s="80" t="str">
        <f>IFERROR(MP_DATA[[#This Row],[Bottom '[m']]]-MP_DATA[[#This Row],[D, top '[m']]], "")</f>
        <v/>
      </c>
      <c r="I141" s="80" t="str">
        <f>IFERROR(-(MP_DATA[[#This Row],[D, bottom '[m']]]-MP_DATA[[#This Row],[D, top '[m']]])/(MP_DATA[[#This Row],[Bottom '[m']]]-MP_DATA[[#This Row],[Top '[m']]]),"")</f>
        <v/>
      </c>
      <c r="K141" s="80" t="str">
        <f>IFERROR((MP_DATA[[#This Row],[D, bottom '[m']]]+MP_DATA[[#This Row],[D, top '[m']]])/(2*MP_DATA[[#This Row],[t '[mm']]]/1000),"")</f>
        <v/>
      </c>
      <c r="AO141" s="80" t="str">
        <f>IFERROR(TP_DATA[[#This Row],[Bottom '[m']]]-TP_DATA[[#This Row],[D, top '[m']]], "")</f>
        <v/>
      </c>
      <c r="AP141" s="80" t="str">
        <f>IFERROR(-(TP_DATA[[#This Row],[D, bottom '[m']]]-TP_DATA[[#This Row],[D, top '[m']]])/(TP_DATA[[#This Row],[Bottom '[m']]]-TP_DATA[[#This Row],[Top '[m']]]),"")</f>
        <v/>
      </c>
      <c r="AR141" s="80" t="str">
        <f>IFERROR((TP_DATA[[#This Row],[D, bottom '[m']]]+TP_DATA[[#This Row],[D, top '[m']]])/(2*TP_DATA[[#This Row],[t '[mm']]]/1000),"")</f>
        <v/>
      </c>
      <c r="BW141" s="80" t="str">
        <f>IFERROR(TOWER_DATA[[#This Row],[Bottom '[m']]]-TOWER_DATA[[#This Row],[D, top '[m']]], "")</f>
        <v/>
      </c>
      <c r="BX141" s="80" t="str">
        <f>IFERROR(-(TOWER_DATA[[#This Row],[D, bottom '[m']]]-TOWER_DATA[[#This Row],[D, top '[m']]])/(TOWER_DATA[[#This Row],[Bottom '[m']]]-TOWER_DATA[[#This Row],[Top '[m']]]),"")</f>
        <v/>
      </c>
      <c r="BZ141" s="80" t="str">
        <f>IFERROR((TOWER_DATA[[#This Row],[D, bottom '[m']]]+TOWER_DATA[[#This Row],[D, top '[m']]])/(2*TOWER_DATA[[#This Row],[t '[mm']]]/1000),"")</f>
        <v/>
      </c>
    </row>
    <row r="142" spans="8:110" x14ac:dyDescent="0.25">
      <c r="H142" s="80" t="str">
        <f>IFERROR(MP_DATA[[#This Row],[Bottom '[m']]]-MP_DATA[[#This Row],[D, top '[m']]], "")</f>
        <v/>
      </c>
      <c r="I142" s="80" t="str">
        <f>IFERROR(-(MP_DATA[[#This Row],[D, bottom '[m']]]-MP_DATA[[#This Row],[D, top '[m']]])/(MP_DATA[[#This Row],[Bottom '[m']]]-MP_DATA[[#This Row],[Top '[m']]]),"")</f>
        <v/>
      </c>
      <c r="K142" s="80" t="str">
        <f>IFERROR((MP_DATA[[#This Row],[D, bottom '[m']]]+MP_DATA[[#This Row],[D, top '[m']]])/(2*MP_DATA[[#This Row],[t '[mm']]]/1000),"")</f>
        <v/>
      </c>
      <c r="AO142" s="80" t="str">
        <f>IFERROR(TP_DATA[[#This Row],[Bottom '[m']]]-TP_DATA[[#This Row],[D, top '[m']]], "")</f>
        <v/>
      </c>
      <c r="AP142" s="80" t="str">
        <f>IFERROR(-(TP_DATA[[#This Row],[D, bottom '[m']]]-TP_DATA[[#This Row],[D, top '[m']]])/(TP_DATA[[#This Row],[Bottom '[m']]]-TP_DATA[[#This Row],[Top '[m']]]),"")</f>
        <v/>
      </c>
      <c r="AR142" s="80" t="str">
        <f>IFERROR((TP_DATA[[#This Row],[D, bottom '[m']]]+TP_DATA[[#This Row],[D, top '[m']]])/(2*TP_DATA[[#This Row],[t '[mm']]]/1000),"")</f>
        <v/>
      </c>
      <c r="BW142" s="80" t="str">
        <f>IFERROR(TOWER_DATA[[#This Row],[Bottom '[m']]]-TOWER_DATA[[#This Row],[D, top '[m']]], "")</f>
        <v/>
      </c>
      <c r="BX142" s="80" t="str">
        <f>IFERROR(-(TOWER_DATA[[#This Row],[D, bottom '[m']]]-TOWER_DATA[[#This Row],[D, top '[m']]])/(TOWER_DATA[[#This Row],[Bottom '[m']]]-TOWER_DATA[[#This Row],[Top '[m']]]),"")</f>
        <v/>
      </c>
      <c r="BZ142" s="80" t="str">
        <f>IFERROR((TOWER_DATA[[#This Row],[D, bottom '[m']]]+TOWER_DATA[[#This Row],[D, top '[m']]])/(2*TOWER_DATA[[#This Row],[t '[mm']]]/1000),"")</f>
        <v/>
      </c>
    </row>
    <row r="143" spans="8:110" x14ac:dyDescent="0.25">
      <c r="H143" s="80" t="str">
        <f>IFERROR(MP_DATA[[#This Row],[Bottom '[m']]]-MP_DATA[[#This Row],[D, top '[m']]], "")</f>
        <v/>
      </c>
      <c r="I143" s="80" t="str">
        <f>IFERROR(-(MP_DATA[[#This Row],[D, bottom '[m']]]-MP_DATA[[#This Row],[D, top '[m']]])/(MP_DATA[[#This Row],[Bottom '[m']]]-MP_DATA[[#This Row],[Top '[m']]]),"")</f>
        <v/>
      </c>
      <c r="K143" s="80" t="str">
        <f>IFERROR((MP_DATA[[#This Row],[D, bottom '[m']]]+MP_DATA[[#This Row],[D, top '[m']]])/(2*MP_DATA[[#This Row],[t '[mm']]]/1000),"")</f>
        <v/>
      </c>
      <c r="AO143" s="80" t="str">
        <f>IFERROR(TP_DATA[[#This Row],[Bottom '[m']]]-TP_DATA[[#This Row],[D, top '[m']]], "")</f>
        <v/>
      </c>
      <c r="AP143" s="80" t="str">
        <f>IFERROR(-(TP_DATA[[#This Row],[D, bottom '[m']]]-TP_DATA[[#This Row],[D, top '[m']]])/(TP_DATA[[#This Row],[Bottom '[m']]]-TP_DATA[[#This Row],[Top '[m']]]),"")</f>
        <v/>
      </c>
      <c r="AR143" s="80" t="str">
        <f>IFERROR((TP_DATA[[#This Row],[D, bottom '[m']]]+TP_DATA[[#This Row],[D, top '[m']]])/(2*TP_DATA[[#This Row],[t '[mm']]]/1000),"")</f>
        <v/>
      </c>
      <c r="BW143" s="80" t="str">
        <f>IFERROR(TOWER_DATA[[#This Row],[Bottom '[m']]]-TOWER_DATA[[#This Row],[D, top '[m']]], "")</f>
        <v/>
      </c>
      <c r="BX143" s="80" t="str">
        <f>IFERROR(-(TOWER_DATA[[#This Row],[D, bottom '[m']]]-TOWER_DATA[[#This Row],[D, top '[m']]])/(TOWER_DATA[[#This Row],[Bottom '[m']]]-TOWER_DATA[[#This Row],[Top '[m']]]),"")</f>
        <v/>
      </c>
      <c r="BZ143" s="80" t="str">
        <f>IFERROR((TOWER_DATA[[#This Row],[D, bottom '[m']]]+TOWER_DATA[[#This Row],[D, top '[m']]])/(2*TOWER_DATA[[#This Row],[t '[mm']]]/1000),"")</f>
        <v/>
      </c>
    </row>
    <row r="144" spans="8:110" x14ac:dyDescent="0.25">
      <c r="H144" s="80" t="str">
        <f>IFERROR(MP_DATA[[#This Row],[Bottom '[m']]]-MP_DATA[[#This Row],[D, top '[m']]], "")</f>
        <v/>
      </c>
      <c r="K144" s="80" t="str">
        <f>IFERROR((MP_DATA[[#This Row],[D, bottom '[m']]]+MP_DATA[[#This Row],[D, top '[m']]])/(2*MP_DATA[[#This Row],[t '[mm']]]/1000),"")</f>
        <v/>
      </c>
      <c r="BH144" s="80"/>
      <c r="BI144" s="80"/>
      <c r="BJ144" s="80"/>
      <c r="BK144" s="80"/>
    </row>
    <row r="145" spans="60:63" x14ac:dyDescent="0.25">
      <c r="BH145" s="80"/>
      <c r="BI145" s="80"/>
      <c r="BJ145" s="80"/>
      <c r="BK145" s="80"/>
    </row>
  </sheetData>
  <protectedRanges>
    <protectedRange sqref="CB25:CD49" name="Bereich1"/>
    <protectedRange sqref="DG19:DH19 CY19:CZ19 DK19:DM19 DC19:DD19" name="Bereich1_1"/>
  </protectedRanges>
  <dataConsolidate/>
  <phoneticPr fontId="10" type="noConversion"/>
  <conditionalFormatting sqref="B1943">
    <cfRule type="expression" dxfId="11" priority="13">
      <formula>B1942&lt;&gt;_xludf.INDIRECT("B" &amp; _xludf.ROW() + 200)</formula>
    </cfRule>
  </conditionalFormatting>
  <conditionalFormatting sqref="B145:L168 I144:J144 J138:J143 L121:L144 B56:G144 AI56:AN143 BQ93:BV180 CY93:DD180">
    <cfRule type="expression" dxfId="10" priority="15">
      <formula>#REF!&lt;&gt;_xludf.INDIRECT(_xludf.ADDRESS(_xludf.ROW()-200,_xludf.COLUMN()))</formula>
    </cfRule>
  </conditionalFormatting>
  <conditionalFormatting sqref="H183">
    <cfRule type="expression" dxfId="9" priority="17">
      <formula>#REF!&lt;&gt;_xludf.INDIRECT(_xludf.ADDRESS(_xludf.ROW()-200,_xludf.COLUMN()))</formula>
    </cfRule>
  </conditionalFormatting>
  <conditionalFormatting sqref="D170">
    <cfRule type="expression" dxfId="8" priority="20">
      <formula>#REF!&lt;&gt;_xludf.INDIRECT(_xludf.ADDRESS(_xludf.ROW()-200,_xludf.COLUMN()))</formula>
    </cfRule>
  </conditionalFormatting>
  <conditionalFormatting sqref="B169:B173 H169:H173">
    <cfRule type="expression" dxfId="7" priority="38">
      <formula>#REF!&lt;&gt;_xludf.INDIRECT(_xludf.ADDRESS(_xludf.ROW()-200,_xludf.COLUMN()))</formula>
    </cfRule>
  </conditionalFormatting>
  <conditionalFormatting sqref="AQ138:AQ143 AS121:AS143">
    <cfRule type="expression" dxfId="6" priority="3">
      <formula>#REF!&lt;&gt;_xludf.INDIRECT(_xludf.ADDRESS(_xludf.ROW()-200,_xludf.COLUMN()))</formula>
    </cfRule>
  </conditionalFormatting>
  <conditionalFormatting sqref="BY140:BY143 CA121:CA143">
    <cfRule type="expression" dxfId="5" priority="2">
      <formula>#REF!&lt;&gt;_xludf.INDIRECT(_xludf.ADDRESS(_xludf.ROW()-200,_xludf.COLUMN()))</formula>
    </cfRule>
  </conditionalFormatting>
  <conditionalFormatting sqref="DE140:DF143">
    <cfRule type="expression" dxfId="4" priority="1">
      <formula>#REF!&lt;&gt;_xludf.INDIRECT(_xludf.ADDRESS(_xludf.ROW()-200,_xludf.COLUMN()))</formula>
    </cfRule>
  </conditionalFormatting>
  <conditionalFormatting sqref="G185:G191 H184:H191 G174:G183 B174:F191 H174:H182 I174:L191">
    <cfRule type="expression" dxfId="3" priority="44">
      <formula>B29&lt;&gt;_xludf.INDIRECT(_xludf.ADDRESS(_xludf.ROW()-200,_xludf.COLUMN()))</formula>
    </cfRule>
  </conditionalFormatting>
  <conditionalFormatting sqref="G184">
    <cfRule type="expression" dxfId="2" priority="50">
      <formula>H38&lt;&gt;_xludf.INDIRECT(_xludf.ADDRESS(_xludf.ROW()-200,_xludf.COLUMN()))</formula>
    </cfRule>
  </conditionalFormatting>
  <conditionalFormatting sqref="F170:G173 C170:C173 D171:E173 C169:G169 I169:L173">
    <cfRule type="expression" dxfId="1" priority="51">
      <formula>B24&lt;&gt;_xludf.INDIRECT(_xludf.ADDRESS(_xludf.ROW()-200,_xludf.COLUMN()))</formula>
    </cfRule>
  </conditionalFormatting>
  <conditionalFormatting sqref="E170">
    <cfRule type="expression" dxfId="0" priority="56">
      <formula>C25&lt;&gt;_xludf.INDIRECT(_xludf.ADDRESS(_xludf.ROW()-200,_xludf.COLUMN()))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5" r:id="rId4" name="Button 19">
              <controlPr defaultSize="0" print="0" autoFill="0" autoPict="0" macro="[0]!assamble_structure">
                <anchor moveWithCells="1" sizeWithCells="1">
                  <from>
                    <xdr:col>1</xdr:col>
                    <xdr:colOff>9525</xdr:colOff>
                    <xdr:row>0</xdr:row>
                    <xdr:rowOff>123825</xdr:rowOff>
                  </from>
                  <to>
                    <xdr:col>4</xdr:col>
                    <xdr:colOff>133350</xdr:colOff>
                    <xdr:row>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Dropdown_MP_Structures">
              <controlPr defaultSize="0" autoLine="0" autoPict="0" macro="[0]!load_MP_Data">
                <anchor moveWithCells="1">
                  <from>
                    <xdr:col>1</xdr:col>
                    <xdr:colOff>38100</xdr:colOff>
                    <xdr:row>13</xdr:row>
                    <xdr:rowOff>228600</xdr:rowOff>
                  </from>
                  <to>
                    <xdr:col>2</xdr:col>
                    <xdr:colOff>190500</xdr:colOff>
                    <xdr:row>14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load_MP_DB">
                <anchor moveWithCells="1" sizeWithCells="1">
                  <from>
                    <xdr:col>1</xdr:col>
                    <xdr:colOff>28575</xdr:colOff>
                    <xdr:row>12</xdr:row>
                    <xdr:rowOff>28575</xdr:rowOff>
                  </from>
                  <to>
                    <xdr:col>1</xdr:col>
                    <xdr:colOff>1076325</xdr:colOff>
                    <xdr:row>12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7" name="Button 10">
              <controlPr defaultSize="0" print="0" autoFill="0" autoPict="0" macro="[0]!save_MP_Data">
                <anchor moveWithCells="1" sizeWithCells="1">
                  <from>
                    <xdr:col>12</xdr:col>
                    <xdr:colOff>38100</xdr:colOff>
                    <xdr:row>17</xdr:row>
                    <xdr:rowOff>19050</xdr:rowOff>
                  </from>
                  <to>
                    <xdr:col>14</xdr:col>
                    <xdr:colOff>1343025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8" name="Button 11">
              <controlPr defaultSize="0" print="0" autoFill="0" autoPict="0" macro="[0]!delete_MP_Data">
                <anchor moveWithCells="1" sizeWithCells="1">
                  <from>
                    <xdr:col>9</xdr:col>
                    <xdr:colOff>361950</xdr:colOff>
                    <xdr:row>16</xdr:row>
                    <xdr:rowOff>171450</xdr:rowOff>
                  </from>
                  <to>
                    <xdr:col>11</xdr:col>
                    <xdr:colOff>819150</xdr:colOff>
                    <xdr:row>21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9" name="Button 20">
              <controlPr defaultSize="0" print="0" autoFill="0" autoPict="0" macro="[0]!import_MP_from_MPTool">
                <anchor moveWithCells="1" sizeWithCells="1">
                  <from>
                    <xdr:col>1</xdr:col>
                    <xdr:colOff>19050</xdr:colOff>
                    <xdr:row>4</xdr:row>
                    <xdr:rowOff>95250</xdr:rowOff>
                  </from>
                  <to>
                    <xdr:col>2</xdr:col>
                    <xdr:colOff>285750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10" name="Dropdown_TP_Structures">
              <controlPr defaultSize="0" autoLine="0" autoPict="0" macro="[0]!load_TP_Data">
                <anchor moveWithCells="1">
                  <from>
                    <xdr:col>34</xdr:col>
                    <xdr:colOff>38100</xdr:colOff>
                    <xdr:row>13</xdr:row>
                    <xdr:rowOff>161925</xdr:rowOff>
                  </from>
                  <to>
                    <xdr:col>36</xdr:col>
                    <xdr:colOff>371475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1" name="Button 22">
              <controlPr defaultSize="0" print="0" autoFill="0" autoPict="0" macro="[0]!load_TP_DB">
                <anchor moveWithCells="1" sizeWithCells="1">
                  <from>
                    <xdr:col>34</xdr:col>
                    <xdr:colOff>28575</xdr:colOff>
                    <xdr:row>12</xdr:row>
                    <xdr:rowOff>28575</xdr:rowOff>
                  </from>
                  <to>
                    <xdr:col>34</xdr:col>
                    <xdr:colOff>800100</xdr:colOff>
                    <xdr:row>12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12" name="Button 23">
              <controlPr defaultSize="0" print="0" autoFill="0" autoPict="0" macro="[0]!save_TP_Data">
                <anchor moveWithCells="1" sizeWithCells="1">
                  <from>
                    <xdr:col>46</xdr:col>
                    <xdr:colOff>38100</xdr:colOff>
                    <xdr:row>17</xdr:row>
                    <xdr:rowOff>19050</xdr:rowOff>
                  </from>
                  <to>
                    <xdr:col>47</xdr:col>
                    <xdr:colOff>1343025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13" name="Button 24">
              <controlPr defaultSize="0" print="0" autoFill="0" autoPict="0" macro="[0]!delete_TP_Data">
                <anchor moveWithCells="1" sizeWithCells="1">
                  <from>
                    <xdr:col>43</xdr:col>
                    <xdr:colOff>276225</xdr:colOff>
                    <xdr:row>17</xdr:row>
                    <xdr:rowOff>47625</xdr:rowOff>
                  </from>
                  <to>
                    <xdr:col>45</xdr:col>
                    <xdr:colOff>762000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14" name="Dropdown_TOWER_Structures">
              <controlPr defaultSize="0" autoLine="0" autoPict="0" macro="[0]!load_TOWER_Data">
                <anchor moveWithCells="1">
                  <from>
                    <xdr:col>68</xdr:col>
                    <xdr:colOff>38100</xdr:colOff>
                    <xdr:row>13</xdr:row>
                    <xdr:rowOff>161925</xdr:rowOff>
                  </from>
                  <to>
                    <xdr:col>70</xdr:col>
                    <xdr:colOff>390525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15" name="Button 27">
              <controlPr defaultSize="0" print="0" autoFill="0" autoPict="0" macro="[0]!load_TOWER_DB">
                <anchor moveWithCells="1" sizeWithCells="1">
                  <from>
                    <xdr:col>68</xdr:col>
                    <xdr:colOff>38100</xdr:colOff>
                    <xdr:row>12</xdr:row>
                    <xdr:rowOff>38100</xdr:rowOff>
                  </from>
                  <to>
                    <xdr:col>68</xdr:col>
                    <xdr:colOff>790575</xdr:colOff>
                    <xdr:row>12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16" name="Button 28">
              <controlPr defaultSize="0" print="0" autoFill="0" autoPict="0" macro="[0]!save_TOWER_Data">
                <anchor moveWithCells="1" sizeWithCells="1">
                  <from>
                    <xdr:col>80</xdr:col>
                    <xdr:colOff>866775</xdr:colOff>
                    <xdr:row>17</xdr:row>
                    <xdr:rowOff>19050</xdr:rowOff>
                  </from>
                  <to>
                    <xdr:col>81</xdr:col>
                    <xdr:colOff>2171700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17" name="Button 29">
              <controlPr defaultSize="0" print="0" autoFill="0" autoPict="0" macro="[0]!delete_TOWER_Data">
                <anchor moveWithCells="1" sizeWithCells="1">
                  <from>
                    <xdr:col>78</xdr:col>
                    <xdr:colOff>333375</xdr:colOff>
                    <xdr:row>16</xdr:row>
                    <xdr:rowOff>171450</xdr:rowOff>
                  </from>
                  <to>
                    <xdr:col>80</xdr:col>
                    <xdr:colOff>809625</xdr:colOff>
                    <xdr:row>21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18" name="Button 31">
              <controlPr defaultSize="0" print="0" autoFill="0" autoPict="0" macro="[0]!reload_MP_DB">
                <anchor moveWithCells="1" sizeWithCells="1">
                  <from>
                    <xdr:col>1</xdr:col>
                    <xdr:colOff>1095375</xdr:colOff>
                    <xdr:row>12</xdr:row>
                    <xdr:rowOff>28575</xdr:rowOff>
                  </from>
                  <to>
                    <xdr:col>1</xdr:col>
                    <xdr:colOff>2552700</xdr:colOff>
                    <xdr:row>12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19" name="Button 32">
              <controlPr defaultSize="0" print="0" autoFill="0" autoPict="0" macro="[0]!reload_TP_DB">
                <anchor moveWithCells="1" sizeWithCells="1">
                  <from>
                    <xdr:col>34</xdr:col>
                    <xdr:colOff>838200</xdr:colOff>
                    <xdr:row>12</xdr:row>
                    <xdr:rowOff>19050</xdr:rowOff>
                  </from>
                  <to>
                    <xdr:col>35</xdr:col>
                    <xdr:colOff>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20" name="Button 33">
              <controlPr defaultSize="0" print="0" autoFill="0" autoPict="0" macro="[0]!reload_TOWER_DB">
                <anchor moveWithCells="1" sizeWithCells="1">
                  <from>
                    <xdr:col>68</xdr:col>
                    <xdr:colOff>819150</xdr:colOff>
                    <xdr:row>12</xdr:row>
                    <xdr:rowOff>19050</xdr:rowOff>
                  </from>
                  <to>
                    <xdr:col>69</xdr:col>
                    <xdr:colOff>9525</xdr:colOff>
                    <xdr:row>12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1" name="Import_MP_use_TP">
              <controlPr defaultSize="0" autoFill="0" autoLine="0" autoPict="0">
                <anchor moveWithCells="1">
                  <from>
                    <xdr:col>3</xdr:col>
                    <xdr:colOff>66675</xdr:colOff>
                    <xdr:row>6</xdr:row>
                    <xdr:rowOff>19050</xdr:rowOff>
                  </from>
                  <to>
                    <xdr:col>3</xdr:col>
                    <xdr:colOff>866775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2" name="Import_MP_use_MP">
              <controlPr defaultSize="0" autoFill="0" autoLine="0" autoPict="0">
                <anchor moveWithCells="1">
                  <from>
                    <xdr:col>3</xdr:col>
                    <xdr:colOff>57150</xdr:colOff>
                    <xdr:row>4</xdr:row>
                    <xdr:rowOff>38100</xdr:rowOff>
                  </from>
                  <to>
                    <xdr:col>3</xdr:col>
                    <xdr:colOff>942975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3" name="Button 36">
              <controlPr defaultSize="0" print="0" autoFill="0" autoPict="0" macro="[0]!move_structure_MP">
                <anchor moveWithCells="1" sizeWithCells="1">
                  <from>
                    <xdr:col>6</xdr:col>
                    <xdr:colOff>28575</xdr:colOff>
                    <xdr:row>14</xdr:row>
                    <xdr:rowOff>0</xdr:rowOff>
                  </from>
                  <to>
                    <xdr:col>7</xdr:col>
                    <xdr:colOff>704850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24" name="Button 38">
              <controlPr defaultSize="0" print="0" autoFill="0" autoPict="0" macro="[0]!move_structure_TP">
                <anchor moveWithCells="1" sizeWithCells="1">
                  <from>
                    <xdr:col>41</xdr:col>
                    <xdr:colOff>57150</xdr:colOff>
                    <xdr:row>14</xdr:row>
                    <xdr:rowOff>0</xdr:rowOff>
                  </from>
                  <to>
                    <xdr:col>42</xdr:col>
                    <xdr:colOff>733425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25" name="Dropdown_RNA_Structures">
              <controlPr defaultSize="0" autoLine="0" autoPict="0">
                <anchor moveWithCells="1">
                  <from>
                    <xdr:col>102</xdr:col>
                    <xdr:colOff>38100</xdr:colOff>
                    <xdr:row>13</xdr:row>
                    <xdr:rowOff>161925</xdr:rowOff>
                  </from>
                  <to>
                    <xdr:col>104</xdr:col>
                    <xdr:colOff>152400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26" name="Button 40">
              <controlPr defaultSize="0" print="0" autoFill="0" autoPict="0" macro="[0]!load_RNA_DB">
                <anchor moveWithCells="1" sizeWithCells="1">
                  <from>
                    <xdr:col>102</xdr:col>
                    <xdr:colOff>38100</xdr:colOff>
                    <xdr:row>12</xdr:row>
                    <xdr:rowOff>38100</xdr:rowOff>
                  </from>
                  <to>
                    <xdr:col>102</xdr:col>
                    <xdr:colOff>790575</xdr:colOff>
                    <xdr:row>12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27" name="Button 41">
              <controlPr defaultSize="0" print="0" autoFill="0" autoPict="0" macro="[0]!save_RNA_Data">
                <anchor moveWithCells="1" sizeWithCells="1">
                  <from>
                    <xdr:col>106</xdr:col>
                    <xdr:colOff>857250</xdr:colOff>
                    <xdr:row>13</xdr:row>
                    <xdr:rowOff>28575</xdr:rowOff>
                  </from>
                  <to>
                    <xdr:col>107</xdr:col>
                    <xdr:colOff>1590675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28" name="Button 43">
              <controlPr defaultSize="0" print="0" autoFill="0" autoPict="0" macro="[0]!reload_RNA_DB">
                <anchor moveWithCells="1" sizeWithCells="1">
                  <from>
                    <xdr:col>102</xdr:col>
                    <xdr:colOff>819150</xdr:colOff>
                    <xdr:row>12</xdr:row>
                    <xdr:rowOff>19050</xdr:rowOff>
                  </from>
                  <to>
                    <xdr:col>103</xdr:col>
                    <xdr:colOff>9525</xdr:colOff>
                    <xdr:row>12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tableParts count="26"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  <tablePart r:id="rId5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14BD2-BE27-45D5-AB15-D631D9970CFE}">
  <sheetPr codeName="Tabelle4"/>
  <dimension ref="B2:AP452"/>
  <sheetViews>
    <sheetView tabSelected="1" topLeftCell="V1" zoomScale="85" zoomScaleNormal="85" workbookViewId="0">
      <selection activeCell="AA12" sqref="AA12:AG12"/>
    </sheetView>
  </sheetViews>
  <sheetFormatPr baseColWidth="10" defaultColWidth="14.42578125" defaultRowHeight="15" x14ac:dyDescent="0.25"/>
  <cols>
    <col min="1" max="1" width="14.42578125" style="51"/>
    <col min="2" max="2" width="16.7109375" style="51" customWidth="1"/>
    <col min="3" max="6" width="14.42578125" style="51"/>
    <col min="7" max="7" width="19.7109375" style="51" customWidth="1"/>
    <col min="8" max="9" width="14.42578125" style="51"/>
    <col min="10" max="10" width="14.42578125" style="51" customWidth="1"/>
    <col min="11" max="13" width="14.42578125" style="51"/>
    <col min="14" max="14" width="22.140625" style="51" customWidth="1"/>
    <col min="15" max="15" width="10.28515625" style="55" customWidth="1"/>
    <col min="16" max="16" width="23.85546875" style="55" customWidth="1"/>
    <col min="17" max="17" width="12.7109375" style="55" customWidth="1"/>
    <col min="18" max="18" width="58.7109375" style="55" customWidth="1"/>
    <col min="19" max="19" width="13" style="51" customWidth="1"/>
    <col min="20" max="20" width="14.42578125" style="51" customWidth="1"/>
    <col min="21" max="21" width="19.28515625" style="51" customWidth="1"/>
    <col min="22" max="22" width="14.42578125" style="51"/>
    <col min="23" max="23" width="17.7109375" style="51" customWidth="1"/>
    <col min="24" max="26" width="14.42578125" style="51"/>
    <col min="28" max="28" width="18.42578125" customWidth="1"/>
    <col min="30" max="30" width="22.7109375" customWidth="1"/>
    <col min="35" max="36" width="14.42578125" style="51"/>
    <col min="37" max="37" width="20.42578125" style="51" customWidth="1"/>
    <col min="38" max="16384" width="14.42578125" style="51"/>
  </cols>
  <sheetData>
    <row r="2" spans="2:42" ht="15" customHeight="1" x14ac:dyDescent="0.25">
      <c r="B2" s="51" t="s">
        <v>27</v>
      </c>
      <c r="C2" s="51" t="s">
        <v>129</v>
      </c>
      <c r="D2" s="55" t="s">
        <v>130</v>
      </c>
      <c r="E2" s="55"/>
      <c r="F2" s="55"/>
      <c r="G2" s="55"/>
      <c r="H2" s="55"/>
      <c r="I2" s="55" t="s">
        <v>154</v>
      </c>
      <c r="J2" s="51" t="s">
        <v>129</v>
      </c>
      <c r="K2" s="51" t="s">
        <v>130</v>
      </c>
      <c r="M2" s="55"/>
      <c r="N2" s="55"/>
    </row>
    <row r="3" spans="2:42" x14ac:dyDescent="0.25">
      <c r="B3" s="85" t="s">
        <v>147</v>
      </c>
      <c r="C3" s="87"/>
      <c r="D3" s="90" t="s">
        <v>88</v>
      </c>
      <c r="E3" s="55"/>
      <c r="I3" t="s">
        <v>79</v>
      </c>
      <c r="J3" s="69">
        <f>SUMIF(WHOLE_STRUCTURE[Affiliation], "TOWER", J12:J2250)</f>
        <v>2143.7709906565501</v>
      </c>
      <c r="K3" s="51" t="s">
        <v>6</v>
      </c>
      <c r="M3" s="55"/>
      <c r="N3" s="55"/>
    </row>
    <row r="4" spans="2:42" ht="15" customHeight="1" x14ac:dyDescent="0.25">
      <c r="B4" s="85" t="s">
        <v>145</v>
      </c>
      <c r="C4" s="87" t="s">
        <v>114</v>
      </c>
      <c r="D4" s="90" t="s">
        <v>88</v>
      </c>
      <c r="I4" t="s">
        <v>99</v>
      </c>
      <c r="J4" s="69">
        <f>SUMIF(WHOLE_STRUCTURE[Affiliation], "TP", J12:J2250)</f>
        <v>366.1429049747029</v>
      </c>
      <c r="K4" s="51" t="s">
        <v>6</v>
      </c>
      <c r="L4" s="55"/>
      <c r="M4" s="55"/>
      <c r="N4" s="55"/>
    </row>
    <row r="5" spans="2:42" ht="15" customHeight="1" x14ac:dyDescent="0.25">
      <c r="B5" s="86" t="s">
        <v>146</v>
      </c>
      <c r="C5" s="88"/>
      <c r="D5" s="89" t="s">
        <v>148</v>
      </c>
      <c r="I5" t="s">
        <v>70</v>
      </c>
      <c r="J5" s="69">
        <f>SUMIF(WHOLE_STRUCTURE[Affiliation], "MP", J12:J2250)</f>
        <v>2183.4148488831647</v>
      </c>
      <c r="K5" s="51" t="s">
        <v>6</v>
      </c>
      <c r="M5" s="55"/>
      <c r="N5" s="55"/>
    </row>
    <row r="6" spans="2:42" x14ac:dyDescent="0.25">
      <c r="B6" s="85" t="s">
        <v>149</v>
      </c>
      <c r="C6" s="87">
        <v>-39.799999999999997</v>
      </c>
      <c r="D6" s="90" t="s">
        <v>148</v>
      </c>
      <c r="I6" t="s">
        <v>139</v>
      </c>
      <c r="J6" s="69" cm="1">
        <f t="array" ref="J6">RNA[Power '[MW']]</f>
        <v>4</v>
      </c>
      <c r="K6" s="51" t="s">
        <v>6</v>
      </c>
      <c r="M6" s="55"/>
      <c r="N6" s="55"/>
      <c r="AB6" s="94" t="s">
        <v>155</v>
      </c>
      <c r="AC6" s="94" t="s">
        <v>156</v>
      </c>
    </row>
    <row r="7" spans="2:42" ht="15" customHeight="1" x14ac:dyDescent="0.25">
      <c r="I7" t="s">
        <v>144</v>
      </c>
      <c r="J7" s="69">
        <f>SUM(Q12:Q1048576)</f>
        <v>418204</v>
      </c>
      <c r="K7" s="51" t="s">
        <v>6</v>
      </c>
      <c r="M7" s="55"/>
      <c r="N7" s="55"/>
    </row>
    <row r="8" spans="2:42" ht="15" customHeight="1" x14ac:dyDescent="0.25">
      <c r="B8"/>
      <c r="C8"/>
      <c r="D8"/>
      <c r="E8"/>
      <c r="F8"/>
      <c r="G8"/>
      <c r="H8"/>
      <c r="I8" t="s">
        <v>153</v>
      </c>
      <c r="J8" s="69">
        <f>SUM(J3:J7)</f>
        <v>422901.32874451444</v>
      </c>
      <c r="K8" s="51" t="s">
        <v>6</v>
      </c>
      <c r="L8"/>
      <c r="M8"/>
      <c r="N8"/>
      <c r="O8"/>
      <c r="P8"/>
      <c r="Q8"/>
    </row>
    <row r="9" spans="2:42" ht="31.9" customHeight="1" x14ac:dyDescent="0.5">
      <c r="B9" s="68" t="s">
        <v>119</v>
      </c>
      <c r="O9" s="68" t="s">
        <v>120</v>
      </c>
      <c r="T9" s="68" t="s">
        <v>122</v>
      </c>
      <c r="AA9" s="68" t="s">
        <v>139</v>
      </c>
      <c r="AI9" s="68" t="s">
        <v>20</v>
      </c>
      <c r="AM9" s="68" t="s">
        <v>121</v>
      </c>
    </row>
    <row r="12" spans="2:42" x14ac:dyDescent="0.25">
      <c r="B12" s="51" t="s">
        <v>1</v>
      </c>
      <c r="C12" s="51" t="s">
        <v>101</v>
      </c>
      <c r="D12" s="51" t="s">
        <v>98</v>
      </c>
      <c r="E12" s="51" t="s">
        <v>116</v>
      </c>
      <c r="F12" s="51" t="s">
        <v>115</v>
      </c>
      <c r="G12" s="51" t="s">
        <v>92</v>
      </c>
      <c r="H12" s="51" t="s">
        <v>93</v>
      </c>
      <c r="I12" s="51" t="s">
        <v>94</v>
      </c>
      <c r="J12" s="51" t="s">
        <v>100</v>
      </c>
      <c r="K12" s="51" t="s">
        <v>9</v>
      </c>
      <c r="L12" s="51" t="s">
        <v>10</v>
      </c>
      <c r="M12" s="51" t="s">
        <v>12</v>
      </c>
      <c r="O12" s="55" t="s">
        <v>101</v>
      </c>
      <c r="P12" t="s">
        <v>118</v>
      </c>
      <c r="Q12" t="s">
        <v>104</v>
      </c>
      <c r="R12" s="55" t="s">
        <v>19</v>
      </c>
      <c r="T12" s="66" t="s">
        <v>101</v>
      </c>
      <c r="U12" s="57" t="s">
        <v>118</v>
      </c>
      <c r="V12" s="57" t="s">
        <v>143</v>
      </c>
      <c r="W12" s="67" t="s">
        <v>19</v>
      </c>
      <c r="AA12" t="s">
        <v>81</v>
      </c>
      <c r="AB12" t="s">
        <v>155</v>
      </c>
      <c r="AC12" t="s">
        <v>156</v>
      </c>
      <c r="AD12" t="s">
        <v>104</v>
      </c>
      <c r="AE12" t="s">
        <v>174</v>
      </c>
      <c r="AF12" t="s">
        <v>141</v>
      </c>
      <c r="AG12" t="s">
        <v>19</v>
      </c>
      <c r="AI12" s="51" t="s">
        <v>115</v>
      </c>
      <c r="AJ12" s="51" t="s">
        <v>116</v>
      </c>
      <c r="AK12" s="51" t="s">
        <v>123</v>
      </c>
      <c r="AM12" s="51" t="s">
        <v>115</v>
      </c>
      <c r="AN12" s="51" t="s">
        <v>116</v>
      </c>
      <c r="AO12" s="51" t="s">
        <v>17</v>
      </c>
      <c r="AP12" s="51" t="s">
        <v>18</v>
      </c>
    </row>
    <row r="13" spans="2:42" x14ac:dyDescent="0.25">
      <c r="B13" s="51">
        <v>1</v>
      </c>
      <c r="C13" s="51" t="s">
        <v>79</v>
      </c>
      <c r="D13" s="51">
        <v>1</v>
      </c>
      <c r="E13" s="51">
        <v>105.71</v>
      </c>
      <c r="F13" s="51">
        <v>102.50999999999999</v>
      </c>
      <c r="G13" s="51">
        <v>8</v>
      </c>
      <c r="H13" s="51">
        <v>8</v>
      </c>
      <c r="I13" s="51">
        <v>115</v>
      </c>
      <c r="J13" s="54">
        <f t="shared" ref="J13:J39" si="0">IF(7850/1000*(1/3)*PI()*ABS(E13-F13)*((G13/2)^2+(G13/2)*(H13/2)+(H13/2)^2-(G13/2-I13/1000)^2-(G13/2-I13/1000)*(H13/2-I13/1000)-(H13/2-I13/1000)^2)=0,"",7850/1000*(1/3)*PI()*ABS(E13-F13)*((G13/2)^2+(G13/2)*(H13/2)+(H13/2)^2-(G13/2-I13/1000)^2-(G13/2-I13/1000)*(H13/2-I13/1000)-(H13/2-I13/1000)^2))</f>
        <v>71.559788082887437</v>
      </c>
      <c r="K13" s="53">
        <f>IFERROR(WHOLE_STRUCTURE[[#This Row],[Bottom '[m']]]-WHOLE_STRUCTURE[[#This Row],[D, top '[m']]], "")</f>
        <v>94.509999999999991</v>
      </c>
      <c r="L13" s="54">
        <f>IFERROR(-(WHOLE_STRUCTURE[[#This Row],[D, bottom '[m']]]-WHOLE_STRUCTURE[[#This Row],[D, top '[m']]])/(WHOLE_STRUCTURE[[#This Row],[Bottom '[m']]]-WHOLE_STRUCTURE[[#This Row],[Top '[m']]]),"")</f>
        <v>0</v>
      </c>
      <c r="M13" s="52">
        <f>IFERROR((WHOLE_STRUCTURE[[#This Row],[D, bottom '[m']]]+WHOLE_STRUCTURE[[#This Row],[D, top '[m']]])/(2*WHOLE_STRUCTURE[[#This Row],[t '[mm']]]/1000),"")</f>
        <v>69.565217391304344</v>
      </c>
      <c r="O13" s="55" t="s">
        <v>79</v>
      </c>
      <c r="P13" s="55">
        <v>105.50999999999999</v>
      </c>
      <c r="Q13" s="55">
        <v>70000</v>
      </c>
      <c r="R13" s="55" t="s">
        <v>105</v>
      </c>
      <c r="T13" s="51" t="s">
        <v>157</v>
      </c>
      <c r="U13" s="69">
        <v>4.8</v>
      </c>
      <c r="V13" s="69">
        <v>46.699247008046449</v>
      </c>
      <c r="W13" s="51" t="s">
        <v>107</v>
      </c>
      <c r="AA13" s="58" t="s">
        <v>164</v>
      </c>
      <c r="AB13" s="58">
        <v>4</v>
      </c>
      <c r="AC13" s="58">
        <v>130</v>
      </c>
      <c r="AD13" s="60">
        <v>239664</v>
      </c>
      <c r="AE13" s="60">
        <v>23265890</v>
      </c>
      <c r="AF13" s="118">
        <v>2.2000000000000002</v>
      </c>
      <c r="AG13" s="118" t="s">
        <v>173</v>
      </c>
      <c r="AI13" s="51">
        <v>139</v>
      </c>
      <c r="AJ13" s="51">
        <v>4.5999999999999996</v>
      </c>
      <c r="AK13" s="51">
        <v>0</v>
      </c>
      <c r="AM13" s="51">
        <v>20</v>
      </c>
      <c r="AN13" s="51">
        <v>6.5</v>
      </c>
      <c r="AO13" s="51">
        <v>0.9</v>
      </c>
      <c r="AP13" s="51">
        <v>2</v>
      </c>
    </row>
    <row r="14" spans="2:42" x14ac:dyDescent="0.25">
      <c r="B14" s="51">
        <v>2</v>
      </c>
      <c r="C14" s="51" t="s">
        <v>79</v>
      </c>
      <c r="D14" s="51">
        <v>2</v>
      </c>
      <c r="E14" s="51">
        <v>102.50999999999999</v>
      </c>
      <c r="F14" s="51">
        <v>99.31</v>
      </c>
      <c r="G14" s="51">
        <v>8</v>
      </c>
      <c r="H14" s="51">
        <v>8</v>
      </c>
      <c r="I14" s="51">
        <v>115</v>
      </c>
      <c r="J14" s="54">
        <f t="shared" si="0"/>
        <v>71.559788082887124</v>
      </c>
      <c r="K14" s="53">
        <f>IFERROR(WHOLE_STRUCTURE[[#This Row],[Bottom '[m']]]-WHOLE_STRUCTURE[[#This Row],[D, top '[m']]], "")</f>
        <v>91.31</v>
      </c>
      <c r="L14" s="54">
        <f>IFERROR(-(WHOLE_STRUCTURE[[#This Row],[D, bottom '[m']]]-WHOLE_STRUCTURE[[#This Row],[D, top '[m']]])/(WHOLE_STRUCTURE[[#This Row],[Bottom '[m']]]-WHOLE_STRUCTURE[[#This Row],[Top '[m']]]),"")</f>
        <v>0</v>
      </c>
      <c r="M14" s="52">
        <f>IFERROR((WHOLE_STRUCTURE[[#This Row],[D, bottom '[m']]]+WHOLE_STRUCTURE[[#This Row],[D, top '[m']]])/(2*WHOLE_STRUCTURE[[#This Row],[t '[mm']]]/1000),"")</f>
        <v>69.565217391304344</v>
      </c>
      <c r="O14" s="55" t="s">
        <v>79</v>
      </c>
      <c r="P14" s="55">
        <v>104.11</v>
      </c>
      <c r="Q14" s="55">
        <v>9000</v>
      </c>
      <c r="R14" s="55" t="s">
        <v>106</v>
      </c>
      <c r="AI14" s="51">
        <f>IF(ISBLANK(AJ14),"",AJ13)</f>
        <v>4.5999999999999996</v>
      </c>
      <c r="AJ14" s="51">
        <v>-9.6</v>
      </c>
      <c r="AK14" s="51">
        <v>250</v>
      </c>
      <c r="AM14" s="51">
        <f>IF(ISBLANK(AN14),"",AN13)</f>
        <v>6.5</v>
      </c>
      <c r="AN14" s="51">
        <v>-22</v>
      </c>
      <c r="AO14" s="51">
        <v>0.9</v>
      </c>
      <c r="AP14" s="51">
        <v>2</v>
      </c>
    </row>
    <row r="15" spans="2:42" x14ac:dyDescent="0.25">
      <c r="B15" s="51">
        <v>3</v>
      </c>
      <c r="C15" s="51" t="s">
        <v>79</v>
      </c>
      <c r="D15" s="51">
        <v>3</v>
      </c>
      <c r="E15" s="51">
        <v>99.31</v>
      </c>
      <c r="F15" s="51">
        <v>96.11</v>
      </c>
      <c r="G15" s="51">
        <v>8</v>
      </c>
      <c r="H15" s="51">
        <v>8</v>
      </c>
      <c r="I15" s="51">
        <v>125</v>
      </c>
      <c r="J15" s="54">
        <f t="shared" si="0"/>
        <v>77.683732341641672</v>
      </c>
      <c r="K15" s="53">
        <f>IFERROR(WHOLE_STRUCTURE[[#This Row],[Bottom '[m']]]-WHOLE_STRUCTURE[[#This Row],[D, top '[m']]], "")</f>
        <v>88.11</v>
      </c>
      <c r="L15" s="54">
        <f>IFERROR(-(WHOLE_STRUCTURE[[#This Row],[D, bottom '[m']]]-WHOLE_STRUCTURE[[#This Row],[D, top '[m']]])/(WHOLE_STRUCTURE[[#This Row],[Bottom '[m']]]-WHOLE_STRUCTURE[[#This Row],[Top '[m']]]),"")</f>
        <v>0</v>
      </c>
      <c r="M15" s="52">
        <f>IFERROR((WHOLE_STRUCTURE[[#This Row],[D, bottom '[m']]]+WHOLE_STRUCTURE[[#This Row],[D, top '[m']]])/(2*WHOLE_STRUCTURE[[#This Row],[t '[mm']]]/1000),"")</f>
        <v>64</v>
      </c>
      <c r="O15" s="55" t="s">
        <v>79</v>
      </c>
      <c r="P15" s="55">
        <v>100.21</v>
      </c>
      <c r="Q15" s="55">
        <v>100000</v>
      </c>
      <c r="R15" s="55" t="s">
        <v>107</v>
      </c>
      <c r="AI15" s="51">
        <f t="shared" ref="AI15" si="1">IF(ISBLANK(AJ15),"",AJ14)</f>
        <v>-9.6</v>
      </c>
      <c r="AJ15" s="51">
        <v>-22</v>
      </c>
      <c r="AK15" s="51">
        <v>100</v>
      </c>
      <c r="AM15" s="51" t="str">
        <f t="shared" ref="AM15" si="2">IF(ISBLANK(AN15),"",AN14)</f>
        <v/>
      </c>
    </row>
    <row r="16" spans="2:42" x14ac:dyDescent="0.25">
      <c r="B16" s="51">
        <v>4</v>
      </c>
      <c r="C16" s="51" t="s">
        <v>79</v>
      </c>
      <c r="D16" s="51">
        <v>4</v>
      </c>
      <c r="E16" s="51">
        <v>96.11</v>
      </c>
      <c r="F16" s="51">
        <v>92.61</v>
      </c>
      <c r="G16" s="51">
        <v>8</v>
      </c>
      <c r="H16" s="51">
        <v>8.44</v>
      </c>
      <c r="I16" s="51">
        <v>125</v>
      </c>
      <c r="J16" s="54">
        <f t="shared" si="0"/>
        <v>87.340251847998317</v>
      </c>
      <c r="K16" s="53">
        <f>IFERROR(WHOLE_STRUCTURE[[#This Row],[Bottom '[m']]]-WHOLE_STRUCTURE[[#This Row],[D, top '[m']]], "")</f>
        <v>84.61</v>
      </c>
      <c r="L16" s="54">
        <f>IFERROR(-(WHOLE_STRUCTURE[[#This Row],[D, bottom '[m']]]-WHOLE_STRUCTURE[[#This Row],[D, top '[m']]])/(WHOLE_STRUCTURE[[#This Row],[Bottom '[m']]]-WHOLE_STRUCTURE[[#This Row],[Top '[m']]]),"")</f>
        <v>0.12571428571428558</v>
      </c>
      <c r="M16" s="52">
        <f>IFERROR((WHOLE_STRUCTURE[[#This Row],[D, bottom '[m']]]+WHOLE_STRUCTURE[[#This Row],[D, top '[m']]])/(2*WHOLE_STRUCTURE[[#This Row],[t '[mm']]]/1000),"")</f>
        <v>65.759999999999991</v>
      </c>
      <c r="O16" s="55" t="s">
        <v>79</v>
      </c>
      <c r="P16" s="55">
        <v>94.91</v>
      </c>
      <c r="Q16" s="55">
        <v>1</v>
      </c>
      <c r="R16" s="55" t="s">
        <v>108</v>
      </c>
      <c r="T16" s="56" t="s">
        <v>101</v>
      </c>
      <c r="U16" s="57" t="s">
        <v>116</v>
      </c>
      <c r="V16" s="57" t="s">
        <v>115</v>
      </c>
      <c r="W16" s="57" t="s">
        <v>92</v>
      </c>
      <c r="X16" s="57" t="s">
        <v>93</v>
      </c>
      <c r="Y16" s="57" t="s">
        <v>94</v>
      </c>
    </row>
    <row r="17" spans="2:25" x14ac:dyDescent="0.25">
      <c r="B17" s="51">
        <v>5</v>
      </c>
      <c r="C17" s="51" t="s">
        <v>79</v>
      </c>
      <c r="D17" s="51">
        <v>5</v>
      </c>
      <c r="E17" s="51">
        <v>92.61</v>
      </c>
      <c r="F17" s="51">
        <v>89.11</v>
      </c>
      <c r="G17" s="51">
        <v>8.44</v>
      </c>
      <c r="H17" s="51">
        <v>8.8800000000000008</v>
      </c>
      <c r="I17" s="51">
        <v>106</v>
      </c>
      <c r="J17" s="54">
        <f t="shared" si="0"/>
        <v>78.264116137491456</v>
      </c>
      <c r="K17" s="53">
        <f>IFERROR(WHOLE_STRUCTURE[[#This Row],[Bottom '[m']]]-WHOLE_STRUCTURE[[#This Row],[D, top '[m']]], "")</f>
        <v>80.67</v>
      </c>
      <c r="L17" s="54">
        <f>IFERROR(-(WHOLE_STRUCTURE[[#This Row],[D, bottom '[m']]]-WHOLE_STRUCTURE[[#This Row],[D, top '[m']]])/(WHOLE_STRUCTURE[[#This Row],[Bottom '[m']]]-WHOLE_STRUCTURE[[#This Row],[Top '[m']]]),"")</f>
        <v>0.12571428571428608</v>
      </c>
      <c r="M17" s="52">
        <f>IFERROR((WHOLE_STRUCTURE[[#This Row],[D, bottom '[m']]]+WHOLE_STRUCTURE[[#This Row],[D, top '[m']]])/(2*WHOLE_STRUCTURE[[#This Row],[t '[mm']]]/1000),"")</f>
        <v>81.698113207547181</v>
      </c>
      <c r="O17" s="55" t="s">
        <v>79</v>
      </c>
      <c r="P17" s="55">
        <v>56.61</v>
      </c>
      <c r="Q17" s="55">
        <v>1</v>
      </c>
      <c r="R17" s="55" t="s">
        <v>109</v>
      </c>
      <c r="T17" s="58" t="s">
        <v>157</v>
      </c>
      <c r="U17" s="58">
        <v>5.8</v>
      </c>
      <c r="V17" s="58">
        <v>3.8</v>
      </c>
      <c r="W17" s="58">
        <v>8</v>
      </c>
      <c r="X17" s="59">
        <v>8</v>
      </c>
      <c r="Y17" s="60">
        <v>120</v>
      </c>
    </row>
    <row r="18" spans="2:25" x14ac:dyDescent="0.25">
      <c r="B18" s="51">
        <v>6</v>
      </c>
      <c r="C18" s="51" t="s">
        <v>79</v>
      </c>
      <c r="D18" s="51">
        <v>6</v>
      </c>
      <c r="E18" s="51">
        <v>89.11</v>
      </c>
      <c r="F18" s="51">
        <v>85.61</v>
      </c>
      <c r="G18" s="51">
        <v>8.8800000000000008</v>
      </c>
      <c r="H18" s="51">
        <v>9.31</v>
      </c>
      <c r="I18" s="51">
        <v>116</v>
      </c>
      <c r="J18" s="54">
        <f t="shared" si="0"/>
        <v>89.902865547432455</v>
      </c>
      <c r="K18" s="53">
        <f>IFERROR(WHOLE_STRUCTURE[[#This Row],[Bottom '[m']]]-WHOLE_STRUCTURE[[#This Row],[D, top '[m']]], "")</f>
        <v>76.73</v>
      </c>
      <c r="L18" s="54">
        <f>IFERROR(-(WHOLE_STRUCTURE[[#This Row],[D, bottom '[m']]]-WHOLE_STRUCTURE[[#This Row],[D, top '[m']]])/(WHOLE_STRUCTURE[[#This Row],[Bottom '[m']]]-WHOLE_STRUCTURE[[#This Row],[Top '[m']]]),"")</f>
        <v>0.12285714285714278</v>
      </c>
      <c r="M18" s="52">
        <f>IFERROR((WHOLE_STRUCTURE[[#This Row],[D, bottom '[m']]]+WHOLE_STRUCTURE[[#This Row],[D, top '[m']]])/(2*WHOLE_STRUCTURE[[#This Row],[t '[mm']]]/1000),"")</f>
        <v>78.40517241379311</v>
      </c>
      <c r="O18" s="55" t="s">
        <v>99</v>
      </c>
      <c r="P18" s="55">
        <v>19.47</v>
      </c>
      <c r="Q18" s="55">
        <v>30000</v>
      </c>
      <c r="R18" s="55" t="s">
        <v>110</v>
      </c>
      <c r="T18" s="58"/>
      <c r="U18" s="58"/>
      <c r="V18" s="58"/>
      <c r="W18" s="58"/>
      <c r="X18" s="59"/>
      <c r="Y18" s="58"/>
    </row>
    <row r="19" spans="2:25" x14ac:dyDescent="0.25">
      <c r="B19" s="51">
        <v>7</v>
      </c>
      <c r="C19" s="51" t="s">
        <v>79</v>
      </c>
      <c r="D19" s="51">
        <v>7</v>
      </c>
      <c r="E19" s="51">
        <v>85.61</v>
      </c>
      <c r="F19" s="51">
        <v>82.11</v>
      </c>
      <c r="G19" s="51">
        <v>9.31</v>
      </c>
      <c r="H19" s="51">
        <v>9.75</v>
      </c>
      <c r="I19" s="51">
        <v>103</v>
      </c>
      <c r="J19" s="54">
        <f t="shared" si="0"/>
        <v>83.810475680910201</v>
      </c>
      <c r="K19" s="53">
        <f>IFERROR(WHOLE_STRUCTURE[[#This Row],[Bottom '[m']]]-WHOLE_STRUCTURE[[#This Row],[D, top '[m']]], "")</f>
        <v>72.8</v>
      </c>
      <c r="L19" s="54">
        <f>IFERROR(-(WHOLE_STRUCTURE[[#This Row],[D, bottom '[m']]]-WHOLE_STRUCTURE[[#This Row],[D, top '[m']]])/(WHOLE_STRUCTURE[[#This Row],[Bottom '[m']]]-WHOLE_STRUCTURE[[#This Row],[Top '[m']]]),"")</f>
        <v>0.12571428571428558</v>
      </c>
      <c r="M19" s="52">
        <f>IFERROR((WHOLE_STRUCTURE[[#This Row],[D, bottom '[m']]]+WHOLE_STRUCTURE[[#This Row],[D, top '[m']]])/(2*WHOLE_STRUCTURE[[#This Row],[t '[mm']]]/1000),"")</f>
        <v>92.524271844660205</v>
      </c>
      <c r="O19" s="55" t="s">
        <v>99</v>
      </c>
      <c r="P19" s="55">
        <v>18.7</v>
      </c>
      <c r="Q19" s="55">
        <v>20000</v>
      </c>
      <c r="R19" s="55" t="s">
        <v>111</v>
      </c>
    </row>
    <row r="20" spans="2:25" x14ac:dyDescent="0.25">
      <c r="B20" s="51">
        <v>8</v>
      </c>
      <c r="C20" s="51" t="s">
        <v>79</v>
      </c>
      <c r="D20" s="51">
        <v>8</v>
      </c>
      <c r="E20" s="51">
        <v>82.11</v>
      </c>
      <c r="F20" s="51">
        <v>78.61</v>
      </c>
      <c r="G20" s="51">
        <v>9.75</v>
      </c>
      <c r="H20" s="51">
        <v>10.19</v>
      </c>
      <c r="I20" s="51">
        <v>98</v>
      </c>
      <c r="J20" s="54">
        <f t="shared" si="0"/>
        <v>83.506214395905459</v>
      </c>
      <c r="K20" s="53">
        <f>IFERROR(WHOLE_STRUCTURE[[#This Row],[Bottom '[m']]]-WHOLE_STRUCTURE[[#This Row],[D, top '[m']]], "")</f>
        <v>68.86</v>
      </c>
      <c r="L20" s="54">
        <f>IFERROR(-(WHOLE_STRUCTURE[[#This Row],[D, bottom '[m']]]-WHOLE_STRUCTURE[[#This Row],[D, top '[m']]])/(WHOLE_STRUCTURE[[#This Row],[Bottom '[m']]]-WHOLE_STRUCTURE[[#This Row],[Top '[m']]]),"")</f>
        <v>0.12571428571428558</v>
      </c>
      <c r="M20" s="52">
        <f>IFERROR((WHOLE_STRUCTURE[[#This Row],[D, bottom '[m']]]+WHOLE_STRUCTURE[[#This Row],[D, top '[m']]])/(2*WHOLE_STRUCTURE[[#This Row],[t '[mm']]]/1000),"")</f>
        <v>101.73469387755101</v>
      </c>
      <c r="O20" s="55" t="s">
        <v>99</v>
      </c>
      <c r="P20" s="55">
        <v>18.100000000000001</v>
      </c>
      <c r="Q20" s="55">
        <v>5000</v>
      </c>
      <c r="R20" s="55" t="s">
        <v>102</v>
      </c>
    </row>
    <row r="21" spans="2:25" x14ac:dyDescent="0.25">
      <c r="B21" s="51">
        <v>9</v>
      </c>
      <c r="C21" s="51" t="s">
        <v>79</v>
      </c>
      <c r="D21" s="51">
        <v>9</v>
      </c>
      <c r="E21" s="51">
        <v>78.61</v>
      </c>
      <c r="F21" s="51">
        <v>75.11</v>
      </c>
      <c r="G21" s="51">
        <v>10.19</v>
      </c>
      <c r="H21" s="51">
        <v>10.63</v>
      </c>
      <c r="I21" s="51">
        <v>98</v>
      </c>
      <c r="J21" s="54">
        <f t="shared" si="0"/>
        <v>87.228128327651717</v>
      </c>
      <c r="K21" s="53">
        <f>IFERROR(WHOLE_STRUCTURE[[#This Row],[Bottom '[m']]]-WHOLE_STRUCTURE[[#This Row],[D, top '[m']]], "")</f>
        <v>64.92</v>
      </c>
      <c r="L21" s="54">
        <f>IFERROR(-(WHOLE_STRUCTURE[[#This Row],[D, bottom '[m']]]-WHOLE_STRUCTURE[[#This Row],[D, top '[m']]])/(WHOLE_STRUCTURE[[#This Row],[Bottom '[m']]]-WHOLE_STRUCTURE[[#This Row],[Top '[m']]]),"")</f>
        <v>0.12571428571428608</v>
      </c>
      <c r="M21" s="52">
        <f>IFERROR((WHOLE_STRUCTURE[[#This Row],[D, bottom '[m']]]+WHOLE_STRUCTURE[[#This Row],[D, top '[m']]])/(2*WHOLE_STRUCTURE[[#This Row],[t '[mm']]]/1000),"")</f>
        <v>106.22448979591836</v>
      </c>
      <c r="O21" s="55" t="s">
        <v>99</v>
      </c>
      <c r="P21" s="55">
        <v>12</v>
      </c>
      <c r="Q21" s="55">
        <v>5000</v>
      </c>
      <c r="R21" s="55" t="s">
        <v>112</v>
      </c>
    </row>
    <row r="22" spans="2:25" x14ac:dyDescent="0.25">
      <c r="B22" s="51">
        <v>10</v>
      </c>
      <c r="C22" s="51" t="s">
        <v>79</v>
      </c>
      <c r="D22" s="51">
        <v>10</v>
      </c>
      <c r="E22" s="51">
        <v>75.11</v>
      </c>
      <c r="F22" s="51">
        <v>71.61</v>
      </c>
      <c r="G22" s="51">
        <v>10.63</v>
      </c>
      <c r="H22" s="51">
        <v>11.06</v>
      </c>
      <c r="I22" s="51">
        <v>98</v>
      </c>
      <c r="J22" s="54">
        <f t="shared" si="0"/>
        <v>90.907747782900842</v>
      </c>
      <c r="K22" s="53">
        <f>IFERROR(WHOLE_STRUCTURE[[#This Row],[Bottom '[m']]]-WHOLE_STRUCTURE[[#This Row],[D, top '[m']]], "")</f>
        <v>60.98</v>
      </c>
      <c r="L22" s="54">
        <f>IFERROR(-(WHOLE_STRUCTURE[[#This Row],[D, bottom '[m']]]-WHOLE_STRUCTURE[[#This Row],[D, top '[m']]])/(WHOLE_STRUCTURE[[#This Row],[Bottom '[m']]]-WHOLE_STRUCTURE[[#This Row],[Top '[m']]]),"")</f>
        <v>0.12285714285714278</v>
      </c>
      <c r="M22" s="52">
        <f>IFERROR((WHOLE_STRUCTURE[[#This Row],[D, bottom '[m']]]+WHOLE_STRUCTURE[[#This Row],[D, top '[m']]])/(2*WHOLE_STRUCTURE[[#This Row],[t '[mm']]]/1000),"")</f>
        <v>110.66326530612245</v>
      </c>
      <c r="O22" s="55" t="s">
        <v>70</v>
      </c>
      <c r="P22" s="55">
        <v>5.6</v>
      </c>
      <c r="Q22" s="55">
        <v>70000</v>
      </c>
      <c r="R22" s="55" t="s">
        <v>105</v>
      </c>
    </row>
    <row r="23" spans="2:25" x14ac:dyDescent="0.25">
      <c r="B23" s="51">
        <v>11</v>
      </c>
      <c r="C23" s="51" t="s">
        <v>79</v>
      </c>
      <c r="D23" s="51">
        <v>11</v>
      </c>
      <c r="E23" s="51">
        <v>71.61</v>
      </c>
      <c r="F23" s="51">
        <v>68.11</v>
      </c>
      <c r="G23" s="51">
        <v>11.06</v>
      </c>
      <c r="H23" s="51">
        <v>11.5</v>
      </c>
      <c r="I23" s="51">
        <v>98</v>
      </c>
      <c r="J23" s="54">
        <f t="shared" si="0"/>
        <v>94.587367238149838</v>
      </c>
      <c r="K23" s="53">
        <f>IFERROR(WHOLE_STRUCTURE[[#This Row],[Bottom '[m']]]-WHOLE_STRUCTURE[[#This Row],[D, top '[m']]], "")</f>
        <v>57.05</v>
      </c>
      <c r="L23" s="54">
        <f>IFERROR(-(WHOLE_STRUCTURE[[#This Row],[D, bottom '[m']]]-WHOLE_STRUCTURE[[#This Row],[D, top '[m']]])/(WHOLE_STRUCTURE[[#This Row],[Bottom '[m']]]-WHOLE_STRUCTURE[[#This Row],[Top '[m']]]),"")</f>
        <v>0.12571428571428558</v>
      </c>
      <c r="M23" s="52">
        <f>IFERROR((WHOLE_STRUCTURE[[#This Row],[D, bottom '[m']]]+WHOLE_STRUCTURE[[#This Row],[D, top '[m']]])/(2*WHOLE_STRUCTURE[[#This Row],[t '[mm']]]/1000),"")</f>
        <v>115.10204081632654</v>
      </c>
      <c r="O23" s="55" t="s">
        <v>70</v>
      </c>
      <c r="P23" s="55">
        <v>4.2</v>
      </c>
      <c r="Q23" s="55">
        <v>9000</v>
      </c>
      <c r="R23" s="55" t="s">
        <v>106</v>
      </c>
    </row>
    <row r="24" spans="2:25" x14ac:dyDescent="0.25">
      <c r="B24" s="51">
        <v>12</v>
      </c>
      <c r="C24" s="51" t="s">
        <v>79</v>
      </c>
      <c r="D24" s="51">
        <v>12</v>
      </c>
      <c r="E24" s="51">
        <v>68.11</v>
      </c>
      <c r="F24" s="51">
        <v>64.61</v>
      </c>
      <c r="G24" s="51">
        <v>11.5</v>
      </c>
      <c r="H24" s="51">
        <v>11.5</v>
      </c>
      <c r="I24" s="51">
        <v>98</v>
      </c>
      <c r="J24" s="54">
        <f t="shared" si="0"/>
        <v>96.448324204023237</v>
      </c>
      <c r="K24" s="53">
        <f>IFERROR(WHOLE_STRUCTURE[[#This Row],[Bottom '[m']]]-WHOLE_STRUCTURE[[#This Row],[D, top '[m']]], "")</f>
        <v>53.11</v>
      </c>
      <c r="L24" s="54">
        <f>IFERROR(-(WHOLE_STRUCTURE[[#This Row],[D, bottom '[m']]]-WHOLE_STRUCTURE[[#This Row],[D, top '[m']]])/(WHOLE_STRUCTURE[[#This Row],[Bottom '[m']]]-WHOLE_STRUCTURE[[#This Row],[Top '[m']]]),"")</f>
        <v>0</v>
      </c>
      <c r="M24" s="52">
        <f>IFERROR((WHOLE_STRUCTURE[[#This Row],[D, bottom '[m']]]+WHOLE_STRUCTURE[[#This Row],[D, top '[m']]])/(2*WHOLE_STRUCTURE[[#This Row],[t '[mm']]]/1000),"")</f>
        <v>117.3469387755102</v>
      </c>
      <c r="O24" s="55" t="s">
        <v>99</v>
      </c>
      <c r="P24" s="55">
        <v>4.0999999999999996</v>
      </c>
      <c r="Q24" s="55">
        <v>200</v>
      </c>
      <c r="R24" s="55" t="s">
        <v>113</v>
      </c>
    </row>
    <row r="25" spans="2:25" x14ac:dyDescent="0.25">
      <c r="B25" s="51">
        <v>13</v>
      </c>
      <c r="C25" s="51" t="s">
        <v>79</v>
      </c>
      <c r="D25" s="51">
        <v>13</v>
      </c>
      <c r="E25" s="51">
        <v>64.61</v>
      </c>
      <c r="F25" s="51">
        <v>61.309999999999995</v>
      </c>
      <c r="G25" s="51">
        <v>11.5</v>
      </c>
      <c r="H25" s="51">
        <v>11.5</v>
      </c>
      <c r="I25" s="51">
        <v>100</v>
      </c>
      <c r="J25" s="54">
        <f t="shared" si="0"/>
        <v>92.776571768017746</v>
      </c>
      <c r="K25" s="53">
        <f>IFERROR(WHOLE_STRUCTURE[[#This Row],[Bottom '[m']]]-WHOLE_STRUCTURE[[#This Row],[D, top '[m']]], "")</f>
        <v>49.809999999999995</v>
      </c>
      <c r="L25" s="54">
        <f>IFERROR(-(WHOLE_STRUCTURE[[#This Row],[D, bottom '[m']]]-WHOLE_STRUCTURE[[#This Row],[D, top '[m']]])/(WHOLE_STRUCTURE[[#This Row],[Bottom '[m']]]-WHOLE_STRUCTURE[[#This Row],[Top '[m']]]),"")</f>
        <v>0</v>
      </c>
      <c r="M25" s="52">
        <f>IFERROR((WHOLE_STRUCTURE[[#This Row],[D, bottom '[m']]]+WHOLE_STRUCTURE[[#This Row],[D, top '[m']]])/(2*WHOLE_STRUCTURE[[#This Row],[t '[mm']]]/1000),"")</f>
        <v>115</v>
      </c>
      <c r="O25" s="55" t="s">
        <v>70</v>
      </c>
      <c r="P25" s="55">
        <v>0.3</v>
      </c>
      <c r="Q25" s="55">
        <v>100000</v>
      </c>
      <c r="R25" s="55" t="s">
        <v>107</v>
      </c>
    </row>
    <row r="26" spans="2:25" x14ac:dyDescent="0.25">
      <c r="B26" s="51">
        <v>14</v>
      </c>
      <c r="C26" s="51" t="s">
        <v>79</v>
      </c>
      <c r="D26" s="51">
        <v>14</v>
      </c>
      <c r="E26" s="51">
        <v>61.309999999999995</v>
      </c>
      <c r="F26" s="51">
        <v>58.01</v>
      </c>
      <c r="G26" s="51">
        <v>11.5</v>
      </c>
      <c r="H26" s="51">
        <v>11.5</v>
      </c>
      <c r="I26" s="51">
        <v>98</v>
      </c>
      <c r="J26" s="54">
        <f t="shared" si="0"/>
        <v>90.936991392364675</v>
      </c>
      <c r="K26" s="53">
        <f>IFERROR(WHOLE_STRUCTURE[[#This Row],[Bottom '[m']]]-WHOLE_STRUCTURE[[#This Row],[D, top '[m']]], "")</f>
        <v>46.51</v>
      </c>
      <c r="L26" s="54">
        <f>IFERROR(-(WHOLE_STRUCTURE[[#This Row],[D, bottom '[m']]]-WHOLE_STRUCTURE[[#This Row],[D, top '[m']]])/(WHOLE_STRUCTURE[[#This Row],[Bottom '[m']]]-WHOLE_STRUCTURE[[#This Row],[Top '[m']]]),"")</f>
        <v>0</v>
      </c>
      <c r="M26" s="52">
        <f>IFERROR((WHOLE_STRUCTURE[[#This Row],[D, bottom '[m']]]+WHOLE_STRUCTURE[[#This Row],[D, top '[m']]])/(2*WHOLE_STRUCTURE[[#This Row],[t '[mm']]]/1000),"")</f>
        <v>117.3469387755102</v>
      </c>
      <c r="O26" s="55" t="s">
        <v>70</v>
      </c>
      <c r="P26" s="55">
        <v>-5</v>
      </c>
      <c r="Q26" s="55">
        <v>1</v>
      </c>
      <c r="R26" s="55" t="s">
        <v>108</v>
      </c>
    </row>
    <row r="27" spans="2:25" x14ac:dyDescent="0.25">
      <c r="B27" s="51">
        <v>15</v>
      </c>
      <c r="C27" s="51" t="s">
        <v>79</v>
      </c>
      <c r="D27" s="51">
        <v>15</v>
      </c>
      <c r="E27" s="51">
        <v>58.01</v>
      </c>
      <c r="F27" s="51">
        <v>54.709999999999994</v>
      </c>
      <c r="G27" s="51">
        <v>11.5</v>
      </c>
      <c r="H27" s="51">
        <v>11.5</v>
      </c>
      <c r="I27" s="51">
        <v>95</v>
      </c>
      <c r="J27" s="54">
        <f t="shared" si="0"/>
        <v>88.17640008451977</v>
      </c>
      <c r="K27" s="53">
        <f>IFERROR(WHOLE_STRUCTURE[[#This Row],[Bottom '[m']]]-WHOLE_STRUCTURE[[#This Row],[D, top '[m']]], "")</f>
        <v>43.209999999999994</v>
      </c>
      <c r="L27" s="54">
        <f>IFERROR(-(WHOLE_STRUCTURE[[#This Row],[D, bottom '[m']]]-WHOLE_STRUCTURE[[#This Row],[D, top '[m']]])/(WHOLE_STRUCTURE[[#This Row],[Bottom '[m']]]-WHOLE_STRUCTURE[[#This Row],[Top '[m']]]),"")</f>
        <v>0</v>
      </c>
      <c r="M27" s="52">
        <f>IFERROR((WHOLE_STRUCTURE[[#This Row],[D, bottom '[m']]]+WHOLE_STRUCTURE[[#This Row],[D, top '[m']]])/(2*WHOLE_STRUCTURE[[#This Row],[t '[mm']]]/1000),"")</f>
        <v>121.05263157894737</v>
      </c>
      <c r="O27" s="55" t="s">
        <v>70</v>
      </c>
      <c r="P27" s="55">
        <v>-43.3</v>
      </c>
      <c r="Q27" s="55">
        <v>1</v>
      </c>
      <c r="R27" s="55" t="s">
        <v>109</v>
      </c>
    </row>
    <row r="28" spans="2:25" x14ac:dyDescent="0.25">
      <c r="B28" s="51">
        <v>16</v>
      </c>
      <c r="C28" s="51" t="s">
        <v>79</v>
      </c>
      <c r="D28" s="51">
        <v>16</v>
      </c>
      <c r="E28" s="51">
        <v>54.709999999999994</v>
      </c>
      <c r="F28" s="51">
        <v>51.41</v>
      </c>
      <c r="G28" s="51">
        <v>11.5</v>
      </c>
      <c r="H28" s="51">
        <v>11.5</v>
      </c>
      <c r="I28" s="51">
        <v>95</v>
      </c>
      <c r="J28" s="54">
        <f t="shared" si="0"/>
        <v>88.176400084519571</v>
      </c>
      <c r="K28" s="53">
        <f>IFERROR(WHOLE_STRUCTURE[[#This Row],[Bottom '[m']]]-WHOLE_STRUCTURE[[#This Row],[D, top '[m']]], "")</f>
        <v>39.909999999999997</v>
      </c>
      <c r="L28" s="54">
        <f>IFERROR(-(WHOLE_STRUCTURE[[#This Row],[D, bottom '[m']]]-WHOLE_STRUCTURE[[#This Row],[D, top '[m']]])/(WHOLE_STRUCTURE[[#This Row],[Bottom '[m']]]-WHOLE_STRUCTURE[[#This Row],[Top '[m']]]),"")</f>
        <v>0</v>
      </c>
      <c r="M28" s="52">
        <f>IFERROR((WHOLE_STRUCTURE[[#This Row],[D, bottom '[m']]]+WHOLE_STRUCTURE[[#This Row],[D, top '[m']]])/(2*WHOLE_STRUCTURE[[#This Row],[t '[mm']]]/1000),"")</f>
        <v>121.05263157894737</v>
      </c>
    </row>
    <row r="29" spans="2:25" x14ac:dyDescent="0.25">
      <c r="B29" s="51">
        <v>17</v>
      </c>
      <c r="C29" s="51" t="s">
        <v>79</v>
      </c>
      <c r="D29" s="51">
        <v>17</v>
      </c>
      <c r="E29" s="51">
        <v>51.41</v>
      </c>
      <c r="F29" s="51">
        <v>48.209999999999994</v>
      </c>
      <c r="G29" s="51">
        <v>11.5</v>
      </c>
      <c r="H29" s="51">
        <v>11.5</v>
      </c>
      <c r="I29" s="51">
        <v>95</v>
      </c>
      <c r="J29" s="54">
        <f t="shared" si="0"/>
        <v>85.504387960746399</v>
      </c>
      <c r="K29" s="53">
        <f>IFERROR(WHOLE_STRUCTURE[[#This Row],[Bottom '[m']]]-WHOLE_STRUCTURE[[#This Row],[D, top '[m']]], "")</f>
        <v>36.709999999999994</v>
      </c>
      <c r="L29" s="54">
        <f>IFERROR(-(WHOLE_STRUCTURE[[#This Row],[D, bottom '[m']]]-WHOLE_STRUCTURE[[#This Row],[D, top '[m']]])/(WHOLE_STRUCTURE[[#This Row],[Bottom '[m']]]-WHOLE_STRUCTURE[[#This Row],[Top '[m']]]),"")</f>
        <v>0</v>
      </c>
      <c r="M29" s="52">
        <f>IFERROR((WHOLE_STRUCTURE[[#This Row],[D, bottom '[m']]]+WHOLE_STRUCTURE[[#This Row],[D, top '[m']]])/(2*WHOLE_STRUCTURE[[#This Row],[t '[mm']]]/1000),"")</f>
        <v>121.05263157894737</v>
      </c>
    </row>
    <row r="30" spans="2:25" x14ac:dyDescent="0.25">
      <c r="B30" s="51">
        <v>18</v>
      </c>
      <c r="C30" s="51" t="s">
        <v>79</v>
      </c>
      <c r="D30" s="51">
        <v>18</v>
      </c>
      <c r="E30" s="51">
        <v>48.209999999999994</v>
      </c>
      <c r="F30" s="51">
        <v>44.61</v>
      </c>
      <c r="G30" s="51">
        <v>11.5</v>
      </c>
      <c r="H30" s="51">
        <v>11.5</v>
      </c>
      <c r="I30" s="51">
        <v>93</v>
      </c>
      <c r="J30" s="54">
        <f t="shared" si="0"/>
        <v>94.183845872414466</v>
      </c>
      <c r="K30" s="53">
        <f>IFERROR(WHOLE_STRUCTURE[[#This Row],[Bottom '[m']]]-WHOLE_STRUCTURE[[#This Row],[D, top '[m']]], "")</f>
        <v>33.11</v>
      </c>
      <c r="L30" s="54">
        <f>IFERROR(-(WHOLE_STRUCTURE[[#This Row],[D, bottom '[m']]]-WHOLE_STRUCTURE[[#This Row],[D, top '[m']]])/(WHOLE_STRUCTURE[[#This Row],[Bottom '[m']]]-WHOLE_STRUCTURE[[#This Row],[Top '[m']]]),"")</f>
        <v>0</v>
      </c>
      <c r="M30" s="52">
        <f>IFERROR((WHOLE_STRUCTURE[[#This Row],[D, bottom '[m']]]+WHOLE_STRUCTURE[[#This Row],[D, top '[m']]])/(2*WHOLE_STRUCTURE[[#This Row],[t '[mm']]]/1000),"")</f>
        <v>123.65591397849462</v>
      </c>
    </row>
    <row r="31" spans="2:25" x14ac:dyDescent="0.25">
      <c r="B31" s="51">
        <v>19</v>
      </c>
      <c r="C31" s="51" t="s">
        <v>79</v>
      </c>
      <c r="D31" s="51">
        <v>19</v>
      </c>
      <c r="E31" s="51">
        <v>44.61</v>
      </c>
      <c r="F31" s="51">
        <v>40.61</v>
      </c>
      <c r="G31" s="51">
        <v>11.5</v>
      </c>
      <c r="H31" s="51">
        <v>11.5</v>
      </c>
      <c r="I31" s="51">
        <v>93</v>
      </c>
      <c r="J31" s="54">
        <f t="shared" si="0"/>
        <v>104.64871763601624</v>
      </c>
      <c r="K31" s="53">
        <f>IFERROR(WHOLE_STRUCTURE[[#This Row],[Bottom '[m']]]-WHOLE_STRUCTURE[[#This Row],[D, top '[m']]], "")</f>
        <v>29.11</v>
      </c>
      <c r="L31" s="54">
        <f>IFERROR(-(WHOLE_STRUCTURE[[#This Row],[D, bottom '[m']]]-WHOLE_STRUCTURE[[#This Row],[D, top '[m']]])/(WHOLE_STRUCTURE[[#This Row],[Bottom '[m']]]-WHOLE_STRUCTURE[[#This Row],[Top '[m']]]),"")</f>
        <v>0</v>
      </c>
      <c r="M31" s="52">
        <f>IFERROR((WHOLE_STRUCTURE[[#This Row],[D, bottom '[m']]]+WHOLE_STRUCTURE[[#This Row],[D, top '[m']]])/(2*WHOLE_STRUCTURE[[#This Row],[t '[mm']]]/1000),"")</f>
        <v>123.65591397849462</v>
      </c>
    </row>
    <row r="32" spans="2:25" x14ac:dyDescent="0.25">
      <c r="B32" s="51">
        <v>20</v>
      </c>
      <c r="C32" s="51" t="s">
        <v>79</v>
      </c>
      <c r="D32" s="51">
        <v>20</v>
      </c>
      <c r="E32" s="51">
        <v>40.61</v>
      </c>
      <c r="F32" s="51">
        <v>36.61</v>
      </c>
      <c r="G32" s="51">
        <v>11.5</v>
      </c>
      <c r="H32" s="51">
        <v>11.5</v>
      </c>
      <c r="I32" s="51">
        <v>93</v>
      </c>
      <c r="J32" s="54">
        <f t="shared" si="0"/>
        <v>104.64871763601624</v>
      </c>
      <c r="K32" s="53">
        <f>IFERROR(WHOLE_STRUCTURE[[#This Row],[Bottom '[m']]]-WHOLE_STRUCTURE[[#This Row],[D, top '[m']]], "")</f>
        <v>25.11</v>
      </c>
      <c r="L32" s="54">
        <f>IFERROR(-(WHOLE_STRUCTURE[[#This Row],[D, bottom '[m']]]-WHOLE_STRUCTURE[[#This Row],[D, top '[m']]])/(WHOLE_STRUCTURE[[#This Row],[Bottom '[m']]]-WHOLE_STRUCTURE[[#This Row],[Top '[m']]]),"")</f>
        <v>0</v>
      </c>
      <c r="M32" s="52">
        <f>IFERROR((WHOLE_STRUCTURE[[#This Row],[D, bottom '[m']]]+WHOLE_STRUCTURE[[#This Row],[D, top '[m']]])/(2*WHOLE_STRUCTURE[[#This Row],[t '[mm']]]/1000),"")</f>
        <v>123.65591397849462</v>
      </c>
    </row>
    <row r="33" spans="2:13" x14ac:dyDescent="0.25">
      <c r="B33" s="51">
        <v>21</v>
      </c>
      <c r="C33" s="51" t="s">
        <v>79</v>
      </c>
      <c r="D33" s="51">
        <v>21</v>
      </c>
      <c r="E33" s="51">
        <v>36.61</v>
      </c>
      <c r="F33" s="51">
        <v>32.61</v>
      </c>
      <c r="G33" s="51">
        <v>11.5</v>
      </c>
      <c r="H33" s="51">
        <v>11.5</v>
      </c>
      <c r="I33" s="51">
        <v>93</v>
      </c>
      <c r="J33" s="54">
        <f t="shared" si="0"/>
        <v>104.64871763601624</v>
      </c>
      <c r="K33" s="53">
        <f>IFERROR(WHOLE_STRUCTURE[[#This Row],[Bottom '[m']]]-WHOLE_STRUCTURE[[#This Row],[D, top '[m']]], "")</f>
        <v>21.11</v>
      </c>
      <c r="L33" s="54">
        <f>IFERROR(-(WHOLE_STRUCTURE[[#This Row],[D, bottom '[m']]]-WHOLE_STRUCTURE[[#This Row],[D, top '[m']]])/(WHOLE_STRUCTURE[[#This Row],[Bottom '[m']]]-WHOLE_STRUCTURE[[#This Row],[Top '[m']]]),"")</f>
        <v>0</v>
      </c>
      <c r="M33" s="52">
        <f>IFERROR((WHOLE_STRUCTURE[[#This Row],[D, bottom '[m']]]+WHOLE_STRUCTURE[[#This Row],[D, top '[m']]])/(2*WHOLE_STRUCTURE[[#This Row],[t '[mm']]]/1000),"")</f>
        <v>123.65591397849462</v>
      </c>
    </row>
    <row r="34" spans="2:13" x14ac:dyDescent="0.25">
      <c r="B34" s="51">
        <v>22</v>
      </c>
      <c r="C34" s="51" t="s">
        <v>79</v>
      </c>
      <c r="D34" s="51">
        <v>22</v>
      </c>
      <c r="E34" s="51">
        <v>32.61</v>
      </c>
      <c r="F34" s="51">
        <v>28.909999999999997</v>
      </c>
      <c r="G34" s="51">
        <v>11.5</v>
      </c>
      <c r="H34" s="51">
        <v>11.5</v>
      </c>
      <c r="I34" s="51">
        <v>96</v>
      </c>
      <c r="J34" s="54">
        <f t="shared" si="0"/>
        <v>99.896367220087171</v>
      </c>
      <c r="K34" s="53">
        <f>IFERROR(WHOLE_STRUCTURE[[#This Row],[Bottom '[m']]]-WHOLE_STRUCTURE[[#This Row],[D, top '[m']]], "")</f>
        <v>17.409999999999997</v>
      </c>
      <c r="L34" s="54">
        <f>IFERROR(-(WHOLE_STRUCTURE[[#This Row],[D, bottom '[m']]]-WHOLE_STRUCTURE[[#This Row],[D, top '[m']]])/(WHOLE_STRUCTURE[[#This Row],[Bottom '[m']]]-WHOLE_STRUCTURE[[#This Row],[Top '[m']]]),"")</f>
        <v>0</v>
      </c>
      <c r="M34" s="52">
        <f>IFERROR((WHOLE_STRUCTURE[[#This Row],[D, bottom '[m']]]+WHOLE_STRUCTURE[[#This Row],[D, top '[m']]])/(2*WHOLE_STRUCTURE[[#This Row],[t '[mm']]]/1000),"")</f>
        <v>119.79166666666666</v>
      </c>
    </row>
    <row r="35" spans="2:13" x14ac:dyDescent="0.25">
      <c r="B35" s="51">
        <v>23</v>
      </c>
      <c r="C35" s="51" t="s">
        <v>79</v>
      </c>
      <c r="D35" s="51">
        <v>23</v>
      </c>
      <c r="E35" s="51">
        <v>28.909999999999997</v>
      </c>
      <c r="F35" s="51">
        <v>25.61</v>
      </c>
      <c r="G35" s="51">
        <v>11.5</v>
      </c>
      <c r="H35" s="51">
        <v>11.5</v>
      </c>
      <c r="I35" s="51">
        <v>96</v>
      </c>
      <c r="J35" s="54">
        <f t="shared" si="0"/>
        <v>89.096759953050565</v>
      </c>
      <c r="K35" s="53">
        <f>IFERROR(WHOLE_STRUCTURE[[#This Row],[Bottom '[m']]]-WHOLE_STRUCTURE[[#This Row],[D, top '[m']]], "")</f>
        <v>14.11</v>
      </c>
      <c r="L35" s="54">
        <f>IFERROR(-(WHOLE_STRUCTURE[[#This Row],[D, bottom '[m']]]-WHOLE_STRUCTURE[[#This Row],[D, top '[m']]])/(WHOLE_STRUCTURE[[#This Row],[Bottom '[m']]]-WHOLE_STRUCTURE[[#This Row],[Top '[m']]]),"")</f>
        <v>0</v>
      </c>
      <c r="M35" s="52">
        <f>IFERROR((WHOLE_STRUCTURE[[#This Row],[D, bottom '[m']]]+WHOLE_STRUCTURE[[#This Row],[D, top '[m']]])/(2*WHOLE_STRUCTURE[[#This Row],[t '[mm']]]/1000),"")</f>
        <v>119.79166666666666</v>
      </c>
    </row>
    <row r="36" spans="2:13" x14ac:dyDescent="0.25">
      <c r="B36" s="51">
        <v>24</v>
      </c>
      <c r="C36" s="51" t="s">
        <v>79</v>
      </c>
      <c r="D36" s="51">
        <v>24</v>
      </c>
      <c r="E36" s="51">
        <v>25.61</v>
      </c>
      <c r="F36" s="51">
        <v>22.47</v>
      </c>
      <c r="G36" s="51">
        <v>11.5</v>
      </c>
      <c r="H36" s="51">
        <v>11.5</v>
      </c>
      <c r="I36" s="51">
        <v>100</v>
      </c>
      <c r="J36" s="54">
        <f t="shared" si="0"/>
        <v>88.278313742901631</v>
      </c>
      <c r="K36" s="53">
        <f>IFERROR(WHOLE_STRUCTURE[[#This Row],[Bottom '[m']]]-WHOLE_STRUCTURE[[#This Row],[D, top '[m']]], "")</f>
        <v>10.969999999999999</v>
      </c>
      <c r="L36" s="54">
        <f>IFERROR(-(WHOLE_STRUCTURE[[#This Row],[D, bottom '[m']]]-WHOLE_STRUCTURE[[#This Row],[D, top '[m']]])/(WHOLE_STRUCTURE[[#This Row],[Bottom '[m']]]-WHOLE_STRUCTURE[[#This Row],[Top '[m']]]),"")</f>
        <v>0</v>
      </c>
      <c r="M36" s="52">
        <f>IFERROR((WHOLE_STRUCTURE[[#This Row],[D, bottom '[m']]]+WHOLE_STRUCTURE[[#This Row],[D, top '[m']]])/(2*WHOLE_STRUCTURE[[#This Row],[t '[mm']]]/1000),"")</f>
        <v>115</v>
      </c>
    </row>
    <row r="37" spans="2:13" x14ac:dyDescent="0.25">
      <c r="B37" s="51">
        <v>25</v>
      </c>
      <c r="C37" s="51" t="s">
        <v>79</v>
      </c>
      <c r="D37" s="51">
        <v>25</v>
      </c>
      <c r="E37" s="51">
        <v>22.47</v>
      </c>
      <c r="F37" s="51">
        <v>19.47</v>
      </c>
      <c r="G37" s="51">
        <v>11.5</v>
      </c>
      <c r="H37" s="51">
        <v>11.5</v>
      </c>
      <c r="I37" s="51">
        <v>105</v>
      </c>
      <c r="J37" s="54">
        <f t="shared" si="0"/>
        <v>88.520613003301008</v>
      </c>
      <c r="K37" s="53">
        <f>IFERROR(WHOLE_STRUCTURE[[#This Row],[Bottom '[m']]]-WHOLE_STRUCTURE[[#This Row],[D, top '[m']]], "")</f>
        <v>7.9699999999999989</v>
      </c>
      <c r="L37" s="54">
        <f>IFERROR(-(WHOLE_STRUCTURE[[#This Row],[D, bottom '[m']]]-WHOLE_STRUCTURE[[#This Row],[D, top '[m']]])/(WHOLE_STRUCTURE[[#This Row],[Bottom '[m']]]-WHOLE_STRUCTURE[[#This Row],[Top '[m']]]),"")</f>
        <v>0</v>
      </c>
      <c r="M37" s="52">
        <f>IFERROR((WHOLE_STRUCTURE[[#This Row],[D, bottom '[m']]]+WHOLE_STRUCTURE[[#This Row],[D, top '[m']]])/(2*WHOLE_STRUCTURE[[#This Row],[t '[mm']]]/1000),"")</f>
        <v>109.52380952380953</v>
      </c>
    </row>
    <row r="38" spans="2:13" x14ac:dyDescent="0.25">
      <c r="B38" s="51">
        <v>26</v>
      </c>
      <c r="C38" s="51" t="s">
        <v>99</v>
      </c>
      <c r="D38" s="51">
        <v>1</v>
      </c>
      <c r="E38" s="51">
        <v>19.47</v>
      </c>
      <c r="F38" s="51">
        <v>15.5</v>
      </c>
      <c r="G38" s="51">
        <v>8</v>
      </c>
      <c r="H38" s="51">
        <v>8</v>
      </c>
      <c r="I38" s="51">
        <v>117</v>
      </c>
      <c r="J38" s="54">
        <f t="shared" si="0"/>
        <v>90.299932258163409</v>
      </c>
      <c r="K38" s="53">
        <f>IFERROR(WHOLE_STRUCTURE[[#This Row],[Bottom '[m']]]-WHOLE_STRUCTURE[[#This Row],[D, top '[m']]], "")</f>
        <v>7.5</v>
      </c>
      <c r="L38" s="54">
        <f>IFERROR(-(WHOLE_STRUCTURE[[#This Row],[D, bottom '[m']]]-WHOLE_STRUCTURE[[#This Row],[D, top '[m']]])/(WHOLE_STRUCTURE[[#This Row],[Bottom '[m']]]-WHOLE_STRUCTURE[[#This Row],[Top '[m']]]),"")</f>
        <v>0</v>
      </c>
      <c r="M38" s="52">
        <f>IFERROR((WHOLE_STRUCTURE[[#This Row],[D, bottom '[m']]]+WHOLE_STRUCTURE[[#This Row],[D, top '[m']]])/(2*WHOLE_STRUCTURE[[#This Row],[t '[mm']]]/1000),"")</f>
        <v>68.376068376068375</v>
      </c>
    </row>
    <row r="39" spans="2:13" x14ac:dyDescent="0.25">
      <c r="B39" s="51">
        <v>27</v>
      </c>
      <c r="C39" s="51" t="s">
        <v>99</v>
      </c>
      <c r="D39" s="51">
        <v>2</v>
      </c>
      <c r="E39" s="51">
        <v>15.5</v>
      </c>
      <c r="F39" s="51">
        <v>11.5</v>
      </c>
      <c r="G39" s="51">
        <v>8</v>
      </c>
      <c r="H39" s="51">
        <v>8</v>
      </c>
      <c r="I39" s="51">
        <v>117</v>
      </c>
      <c r="J39" s="54">
        <f t="shared" si="0"/>
        <v>90.982299504446786</v>
      </c>
      <c r="K39" s="53">
        <f>IFERROR(WHOLE_STRUCTURE[[#This Row],[Bottom '[m']]]-WHOLE_STRUCTURE[[#This Row],[D, top '[m']]], "")</f>
        <v>3.5</v>
      </c>
      <c r="L39" s="54">
        <f>IFERROR(-(WHOLE_STRUCTURE[[#This Row],[D, bottom '[m']]]-WHOLE_STRUCTURE[[#This Row],[D, top '[m']]])/(WHOLE_STRUCTURE[[#This Row],[Bottom '[m']]]-WHOLE_STRUCTURE[[#This Row],[Top '[m']]]),"")</f>
        <v>0</v>
      </c>
      <c r="M39" s="52">
        <f>IFERROR((WHOLE_STRUCTURE[[#This Row],[D, bottom '[m']]]+WHOLE_STRUCTURE[[#This Row],[D, top '[m']]])/(2*WHOLE_STRUCTURE[[#This Row],[t '[mm']]]/1000),"")</f>
        <v>68.376068376068375</v>
      </c>
    </row>
    <row r="40" spans="2:13" x14ac:dyDescent="0.25">
      <c r="B40" s="51">
        <v>28</v>
      </c>
      <c r="C40" s="51" t="s">
        <v>99</v>
      </c>
      <c r="D40" s="51">
        <v>3</v>
      </c>
      <c r="E40" s="51">
        <v>11.5</v>
      </c>
      <c r="F40" s="51">
        <v>7.5</v>
      </c>
      <c r="G40" s="51">
        <v>8</v>
      </c>
      <c r="H40" s="51">
        <v>8</v>
      </c>
      <c r="I40" s="51">
        <v>124</v>
      </c>
      <c r="J40" s="54">
        <f t="shared" ref="J40:J66" si="3">IF(7850/1000*(1/3)*PI()*ABS(E40-F40)*((G40/2)^2+(G40/2)*(H40/2)+(H40/2)^2-(G40/2-I40/1000)^2-(G40/2-I40/1000)*(H40/2-I40/1000)-(H40/2-I40/1000)^2)=0,"",7850/1000*(1/3)*PI()*ABS(E40-F40)*((G40/2)^2+(G40/2)*(H40/2)+(H40/2)^2-(G40/2-I40/1000)^2-(G40/2-I40/1000)*(H40/2-I40/1000)-(H40/2-I40/1000)^2))</f>
        <v>96.340060208791698</v>
      </c>
      <c r="K40" s="53">
        <f>IFERROR(WHOLE_STRUCTURE[[#This Row],[Bottom '[m']]]-WHOLE_STRUCTURE[[#This Row],[D, top '[m']]], "")</f>
        <v>-0.5</v>
      </c>
      <c r="L40" s="54">
        <f>IFERROR(-(WHOLE_STRUCTURE[[#This Row],[D, bottom '[m']]]-WHOLE_STRUCTURE[[#This Row],[D, top '[m']]])/(WHOLE_STRUCTURE[[#This Row],[Bottom '[m']]]-WHOLE_STRUCTURE[[#This Row],[Top '[m']]]),"")</f>
        <v>0</v>
      </c>
      <c r="M40" s="52">
        <f>IFERROR((WHOLE_STRUCTURE[[#This Row],[D, bottom '[m']]]+WHOLE_STRUCTURE[[#This Row],[D, top '[m']]])/(2*WHOLE_STRUCTURE[[#This Row],[t '[mm']]]/1000),"")</f>
        <v>64.516129032258064</v>
      </c>
    </row>
    <row r="41" spans="2:13" x14ac:dyDescent="0.25">
      <c r="B41" s="51">
        <v>29</v>
      </c>
      <c r="C41" s="51" t="s">
        <v>99</v>
      </c>
      <c r="D41" s="51">
        <v>4</v>
      </c>
      <c r="E41" s="51">
        <v>7.5</v>
      </c>
      <c r="F41" s="51">
        <v>5.8</v>
      </c>
      <c r="G41" s="51">
        <v>8</v>
      </c>
      <c r="H41" s="51">
        <v>8</v>
      </c>
      <c r="I41" s="51">
        <v>120</v>
      </c>
      <c r="J41" s="54">
        <f t="shared" si="3"/>
        <v>39.643858226614491</v>
      </c>
      <c r="K41" s="53">
        <f>IFERROR(WHOLE_STRUCTURE[[#This Row],[Bottom '[m']]]-WHOLE_STRUCTURE[[#This Row],[D, top '[m']]], "")</f>
        <v>-2.2000000000000002</v>
      </c>
      <c r="L41" s="54">
        <f>IFERROR(-(WHOLE_STRUCTURE[[#This Row],[D, bottom '[m']]]-WHOLE_STRUCTURE[[#This Row],[D, top '[m']]])/(WHOLE_STRUCTURE[[#This Row],[Bottom '[m']]]-WHOLE_STRUCTURE[[#This Row],[Top '[m']]]),"")</f>
        <v>0</v>
      </c>
      <c r="M41" s="52">
        <f>IFERROR((WHOLE_STRUCTURE[[#This Row],[D, bottom '[m']]]+WHOLE_STRUCTURE[[#This Row],[D, top '[m']]])/(2*WHOLE_STRUCTURE[[#This Row],[t '[mm']]]/1000),"")</f>
        <v>66.666666666666671</v>
      </c>
    </row>
    <row r="42" spans="2:13" x14ac:dyDescent="0.25">
      <c r="B42" s="51">
        <v>30</v>
      </c>
      <c r="C42" s="51" t="s">
        <v>70</v>
      </c>
      <c r="D42" s="51">
        <v>1</v>
      </c>
      <c r="E42" s="51">
        <v>5.8</v>
      </c>
      <c r="F42" s="51">
        <v>2.6</v>
      </c>
      <c r="G42" s="51">
        <v>8</v>
      </c>
      <c r="H42" s="51">
        <v>8</v>
      </c>
      <c r="I42" s="51">
        <v>115</v>
      </c>
      <c r="J42" s="54">
        <f t="shared" si="3"/>
        <v>71.55978808288738</v>
      </c>
      <c r="K42" s="53">
        <f>IFERROR(WHOLE_STRUCTURE[[#This Row],[Bottom '[m']]]-WHOLE_STRUCTURE[[#This Row],[D, top '[m']]], "")</f>
        <v>-5.4</v>
      </c>
      <c r="L42" s="54">
        <f>IFERROR(-(WHOLE_STRUCTURE[[#This Row],[D, bottom '[m']]]-WHOLE_STRUCTURE[[#This Row],[D, top '[m']]])/(WHOLE_STRUCTURE[[#This Row],[Bottom '[m']]]-WHOLE_STRUCTURE[[#This Row],[Top '[m']]]),"")</f>
        <v>0</v>
      </c>
      <c r="M42" s="52">
        <f>IFERROR((WHOLE_STRUCTURE[[#This Row],[D, bottom '[m']]]+WHOLE_STRUCTURE[[#This Row],[D, top '[m']]])/(2*WHOLE_STRUCTURE[[#This Row],[t '[mm']]]/1000),"")</f>
        <v>69.565217391304344</v>
      </c>
    </row>
    <row r="43" spans="2:13" x14ac:dyDescent="0.25">
      <c r="B43" s="51">
        <v>31</v>
      </c>
      <c r="C43" s="51" t="s">
        <v>70</v>
      </c>
      <c r="D43" s="51">
        <v>2</v>
      </c>
      <c r="E43" s="51">
        <v>2.6</v>
      </c>
      <c r="F43" s="51">
        <v>-0.6</v>
      </c>
      <c r="G43" s="51">
        <v>8</v>
      </c>
      <c r="H43" s="51">
        <v>8</v>
      </c>
      <c r="I43" s="51">
        <v>115</v>
      </c>
      <c r="J43" s="54">
        <f t="shared" si="3"/>
        <v>71.55978808288738</v>
      </c>
      <c r="K43" s="53">
        <f>IFERROR(WHOLE_STRUCTURE[[#This Row],[Bottom '[m']]]-WHOLE_STRUCTURE[[#This Row],[D, top '[m']]], "")</f>
        <v>-8.6</v>
      </c>
      <c r="L43" s="54">
        <f>IFERROR(-(WHOLE_STRUCTURE[[#This Row],[D, bottom '[m']]]-WHOLE_STRUCTURE[[#This Row],[D, top '[m']]])/(WHOLE_STRUCTURE[[#This Row],[Bottom '[m']]]-WHOLE_STRUCTURE[[#This Row],[Top '[m']]]),"")</f>
        <v>0</v>
      </c>
      <c r="M43" s="52">
        <f>IFERROR((WHOLE_STRUCTURE[[#This Row],[D, bottom '[m']]]+WHOLE_STRUCTURE[[#This Row],[D, top '[m']]])/(2*WHOLE_STRUCTURE[[#This Row],[t '[mm']]]/1000),"")</f>
        <v>69.565217391304344</v>
      </c>
    </row>
    <row r="44" spans="2:13" x14ac:dyDescent="0.25">
      <c r="B44" s="51">
        <v>32</v>
      </c>
      <c r="C44" s="51" t="s">
        <v>70</v>
      </c>
      <c r="D44" s="51">
        <v>3</v>
      </c>
      <c r="E44" s="51">
        <v>-0.6</v>
      </c>
      <c r="F44" s="51">
        <v>-3.8</v>
      </c>
      <c r="G44" s="51">
        <v>8</v>
      </c>
      <c r="H44" s="51">
        <v>8</v>
      </c>
      <c r="I44" s="51">
        <v>125</v>
      </c>
      <c r="J44" s="54">
        <f t="shared" si="3"/>
        <v>77.683732341641587</v>
      </c>
      <c r="K44" s="53">
        <f>IFERROR(WHOLE_STRUCTURE[[#This Row],[Bottom '[m']]]-WHOLE_STRUCTURE[[#This Row],[D, top '[m']]], "")</f>
        <v>-11.8</v>
      </c>
      <c r="L44" s="54">
        <f>IFERROR(-(WHOLE_STRUCTURE[[#This Row],[D, bottom '[m']]]-WHOLE_STRUCTURE[[#This Row],[D, top '[m']]])/(WHOLE_STRUCTURE[[#This Row],[Bottom '[m']]]-WHOLE_STRUCTURE[[#This Row],[Top '[m']]]),"")</f>
        <v>0</v>
      </c>
      <c r="M44" s="52">
        <f>IFERROR((WHOLE_STRUCTURE[[#This Row],[D, bottom '[m']]]+WHOLE_STRUCTURE[[#This Row],[D, top '[m']]])/(2*WHOLE_STRUCTURE[[#This Row],[t '[mm']]]/1000),"")</f>
        <v>64</v>
      </c>
    </row>
    <row r="45" spans="2:13" x14ac:dyDescent="0.25">
      <c r="B45" s="51">
        <v>33</v>
      </c>
      <c r="C45" s="51" t="s">
        <v>70</v>
      </c>
      <c r="D45" s="51">
        <v>4</v>
      </c>
      <c r="E45" s="51">
        <v>-3.8</v>
      </c>
      <c r="F45" s="51">
        <v>-7.3</v>
      </c>
      <c r="G45" s="51">
        <v>8</v>
      </c>
      <c r="H45" s="51">
        <v>8.44</v>
      </c>
      <c r="I45" s="51">
        <v>125</v>
      </c>
      <c r="J45" s="54">
        <f t="shared" si="3"/>
        <v>87.340251847998317</v>
      </c>
      <c r="K45" s="53">
        <f>IFERROR(WHOLE_STRUCTURE[[#This Row],[Bottom '[m']]]-WHOLE_STRUCTURE[[#This Row],[D, top '[m']]], "")</f>
        <v>-15.3</v>
      </c>
      <c r="L45" s="54">
        <f>IFERROR(-(WHOLE_STRUCTURE[[#This Row],[D, bottom '[m']]]-WHOLE_STRUCTURE[[#This Row],[D, top '[m']]])/(WHOLE_STRUCTURE[[#This Row],[Bottom '[m']]]-WHOLE_STRUCTURE[[#This Row],[Top '[m']]]),"")</f>
        <v>0.12571428571428558</v>
      </c>
      <c r="M45" s="52">
        <f>IFERROR((WHOLE_STRUCTURE[[#This Row],[D, bottom '[m']]]+WHOLE_STRUCTURE[[#This Row],[D, top '[m']]])/(2*WHOLE_STRUCTURE[[#This Row],[t '[mm']]]/1000),"")</f>
        <v>65.759999999999991</v>
      </c>
    </row>
    <row r="46" spans="2:13" x14ac:dyDescent="0.25">
      <c r="B46" s="51">
        <v>34</v>
      </c>
      <c r="C46" s="51" t="s">
        <v>70</v>
      </c>
      <c r="D46" s="51">
        <v>5</v>
      </c>
      <c r="E46" s="51">
        <v>-7.3</v>
      </c>
      <c r="F46" s="51">
        <v>-10.8</v>
      </c>
      <c r="G46" s="51">
        <v>8.44</v>
      </c>
      <c r="H46" s="51">
        <v>8.8800000000000008</v>
      </c>
      <c r="I46" s="51">
        <v>106</v>
      </c>
      <c r="J46" s="54">
        <f t="shared" si="3"/>
        <v>78.26411613749147</v>
      </c>
      <c r="K46" s="53">
        <f>IFERROR(WHOLE_STRUCTURE[[#This Row],[Bottom '[m']]]-WHOLE_STRUCTURE[[#This Row],[D, top '[m']]], "")</f>
        <v>-19.240000000000002</v>
      </c>
      <c r="L46" s="54">
        <f>IFERROR(-(WHOLE_STRUCTURE[[#This Row],[D, bottom '[m']]]-WHOLE_STRUCTURE[[#This Row],[D, top '[m']]])/(WHOLE_STRUCTURE[[#This Row],[Bottom '[m']]]-WHOLE_STRUCTURE[[#This Row],[Top '[m']]]),"")</f>
        <v>0.12571428571428606</v>
      </c>
      <c r="M46" s="52">
        <f>IFERROR((WHOLE_STRUCTURE[[#This Row],[D, bottom '[m']]]+WHOLE_STRUCTURE[[#This Row],[D, top '[m']]])/(2*WHOLE_STRUCTURE[[#This Row],[t '[mm']]]/1000),"")</f>
        <v>81.698113207547181</v>
      </c>
    </row>
    <row r="47" spans="2:13" x14ac:dyDescent="0.25">
      <c r="B47" s="51">
        <v>35</v>
      </c>
      <c r="C47" s="51" t="s">
        <v>70</v>
      </c>
      <c r="D47" s="51">
        <v>6</v>
      </c>
      <c r="E47" s="51">
        <v>-10.8</v>
      </c>
      <c r="F47" s="51">
        <v>-14.3</v>
      </c>
      <c r="G47" s="51">
        <v>8.8800000000000008</v>
      </c>
      <c r="H47" s="51">
        <v>9.31</v>
      </c>
      <c r="I47" s="51">
        <v>116</v>
      </c>
      <c r="J47" s="54">
        <f t="shared" si="3"/>
        <v>89.902865547432455</v>
      </c>
      <c r="K47" s="53">
        <f>IFERROR(WHOLE_STRUCTURE[[#This Row],[Bottom '[m']]]-WHOLE_STRUCTURE[[#This Row],[D, top '[m']]], "")</f>
        <v>-23.18</v>
      </c>
      <c r="L47" s="54">
        <f>IFERROR(-(WHOLE_STRUCTURE[[#This Row],[D, bottom '[m']]]-WHOLE_STRUCTURE[[#This Row],[D, top '[m']]])/(WHOLE_STRUCTURE[[#This Row],[Bottom '[m']]]-WHOLE_STRUCTURE[[#This Row],[Top '[m']]]),"")</f>
        <v>0.12285714285714278</v>
      </c>
      <c r="M47" s="52">
        <f>IFERROR((WHOLE_STRUCTURE[[#This Row],[D, bottom '[m']]]+WHOLE_STRUCTURE[[#This Row],[D, top '[m']]])/(2*WHOLE_STRUCTURE[[#This Row],[t '[mm']]]/1000),"")</f>
        <v>78.40517241379311</v>
      </c>
    </row>
    <row r="48" spans="2:13" x14ac:dyDescent="0.25">
      <c r="B48" s="51">
        <v>36</v>
      </c>
      <c r="C48" s="51" t="s">
        <v>70</v>
      </c>
      <c r="D48" s="51">
        <v>7</v>
      </c>
      <c r="E48" s="51">
        <v>-14.3</v>
      </c>
      <c r="F48" s="51">
        <v>-17.8</v>
      </c>
      <c r="G48" s="51">
        <v>9.31</v>
      </c>
      <c r="H48" s="51">
        <v>9.75</v>
      </c>
      <c r="I48" s="51">
        <v>103</v>
      </c>
      <c r="J48" s="54">
        <f t="shared" si="3"/>
        <v>83.810475680910201</v>
      </c>
      <c r="K48" s="53">
        <f>IFERROR(WHOLE_STRUCTURE[[#This Row],[Bottom '[m']]]-WHOLE_STRUCTURE[[#This Row],[D, top '[m']]], "")</f>
        <v>-27.11</v>
      </c>
      <c r="L48" s="54">
        <f>IFERROR(-(WHOLE_STRUCTURE[[#This Row],[D, bottom '[m']]]-WHOLE_STRUCTURE[[#This Row],[D, top '[m']]])/(WHOLE_STRUCTURE[[#This Row],[Bottom '[m']]]-WHOLE_STRUCTURE[[#This Row],[Top '[m']]]),"")</f>
        <v>0.12571428571428558</v>
      </c>
      <c r="M48" s="52">
        <f>IFERROR((WHOLE_STRUCTURE[[#This Row],[D, bottom '[m']]]+WHOLE_STRUCTURE[[#This Row],[D, top '[m']]])/(2*WHOLE_STRUCTURE[[#This Row],[t '[mm']]]/1000),"")</f>
        <v>92.524271844660205</v>
      </c>
    </row>
    <row r="49" spans="2:13" x14ac:dyDescent="0.25">
      <c r="B49" s="51">
        <v>37</v>
      </c>
      <c r="C49" s="51" t="s">
        <v>70</v>
      </c>
      <c r="D49" s="51">
        <v>8</v>
      </c>
      <c r="E49" s="51">
        <v>-17.8</v>
      </c>
      <c r="F49" s="51">
        <v>-21.3</v>
      </c>
      <c r="G49" s="51">
        <v>9.75</v>
      </c>
      <c r="H49" s="51">
        <v>10.19</v>
      </c>
      <c r="I49" s="51">
        <v>98</v>
      </c>
      <c r="J49" s="54">
        <f t="shared" si="3"/>
        <v>83.506214395905459</v>
      </c>
      <c r="K49" s="53">
        <f>IFERROR(WHOLE_STRUCTURE[[#This Row],[Bottom '[m']]]-WHOLE_STRUCTURE[[#This Row],[D, top '[m']]], "")</f>
        <v>-31.05</v>
      </c>
      <c r="L49" s="54">
        <f>IFERROR(-(WHOLE_STRUCTURE[[#This Row],[D, bottom '[m']]]-WHOLE_STRUCTURE[[#This Row],[D, top '[m']]])/(WHOLE_STRUCTURE[[#This Row],[Bottom '[m']]]-WHOLE_STRUCTURE[[#This Row],[Top '[m']]]),"")</f>
        <v>0.12571428571428558</v>
      </c>
      <c r="M49" s="52">
        <f>IFERROR((WHOLE_STRUCTURE[[#This Row],[D, bottom '[m']]]+WHOLE_STRUCTURE[[#This Row],[D, top '[m']]])/(2*WHOLE_STRUCTURE[[#This Row],[t '[mm']]]/1000),"")</f>
        <v>101.73469387755101</v>
      </c>
    </row>
    <row r="50" spans="2:13" x14ac:dyDescent="0.25">
      <c r="B50" s="51">
        <v>38</v>
      </c>
      <c r="C50" s="51" t="s">
        <v>70</v>
      </c>
      <c r="D50" s="51">
        <v>9</v>
      </c>
      <c r="E50" s="51">
        <v>-21.3</v>
      </c>
      <c r="F50" s="51">
        <v>-24.8</v>
      </c>
      <c r="G50" s="51">
        <v>10.19</v>
      </c>
      <c r="H50" s="51">
        <v>10.63</v>
      </c>
      <c r="I50" s="51">
        <v>98</v>
      </c>
      <c r="J50" s="54">
        <f t="shared" si="3"/>
        <v>87.228128327651717</v>
      </c>
      <c r="K50" s="53">
        <f>IFERROR(WHOLE_STRUCTURE[[#This Row],[Bottom '[m']]]-WHOLE_STRUCTURE[[#This Row],[D, top '[m']]], "")</f>
        <v>-34.99</v>
      </c>
      <c r="L50" s="54">
        <f>IFERROR(-(WHOLE_STRUCTURE[[#This Row],[D, bottom '[m']]]-WHOLE_STRUCTURE[[#This Row],[D, top '[m']]])/(WHOLE_STRUCTURE[[#This Row],[Bottom '[m']]]-WHOLE_STRUCTURE[[#This Row],[Top '[m']]]),"")</f>
        <v>0.12571428571428608</v>
      </c>
      <c r="M50" s="52">
        <f>IFERROR((WHOLE_STRUCTURE[[#This Row],[D, bottom '[m']]]+WHOLE_STRUCTURE[[#This Row],[D, top '[m']]])/(2*WHOLE_STRUCTURE[[#This Row],[t '[mm']]]/1000),"")</f>
        <v>106.22448979591836</v>
      </c>
    </row>
    <row r="51" spans="2:13" x14ac:dyDescent="0.25">
      <c r="B51" s="51">
        <v>39</v>
      </c>
      <c r="C51" s="51" t="s">
        <v>70</v>
      </c>
      <c r="D51" s="51">
        <v>10</v>
      </c>
      <c r="E51" s="51">
        <v>-24.8</v>
      </c>
      <c r="F51" s="51">
        <v>-28.3</v>
      </c>
      <c r="G51" s="51">
        <v>10.63</v>
      </c>
      <c r="H51" s="51">
        <v>11.06</v>
      </c>
      <c r="I51" s="51">
        <v>98</v>
      </c>
      <c r="J51" s="54">
        <f t="shared" si="3"/>
        <v>90.907747782900842</v>
      </c>
      <c r="K51" s="53">
        <f>IFERROR(WHOLE_STRUCTURE[[#This Row],[Bottom '[m']]]-WHOLE_STRUCTURE[[#This Row],[D, top '[m']]], "")</f>
        <v>-38.93</v>
      </c>
      <c r="L51" s="54">
        <f>IFERROR(-(WHOLE_STRUCTURE[[#This Row],[D, bottom '[m']]]-WHOLE_STRUCTURE[[#This Row],[D, top '[m']]])/(WHOLE_STRUCTURE[[#This Row],[Bottom '[m']]]-WHOLE_STRUCTURE[[#This Row],[Top '[m']]]),"")</f>
        <v>0.12285714285714278</v>
      </c>
      <c r="M51" s="52">
        <f>IFERROR((WHOLE_STRUCTURE[[#This Row],[D, bottom '[m']]]+WHOLE_STRUCTURE[[#This Row],[D, top '[m']]])/(2*WHOLE_STRUCTURE[[#This Row],[t '[mm']]]/1000),"")</f>
        <v>110.66326530612245</v>
      </c>
    </row>
    <row r="52" spans="2:13" x14ac:dyDescent="0.25">
      <c r="B52" s="51">
        <v>40</v>
      </c>
      <c r="C52" s="51" t="s">
        <v>70</v>
      </c>
      <c r="D52" s="51">
        <v>11</v>
      </c>
      <c r="E52" s="51">
        <v>-28.3</v>
      </c>
      <c r="F52" s="51">
        <v>-31.8</v>
      </c>
      <c r="G52" s="51">
        <v>11.06</v>
      </c>
      <c r="H52" s="51">
        <v>11.5</v>
      </c>
      <c r="I52" s="51">
        <v>98</v>
      </c>
      <c r="J52" s="54">
        <f t="shared" si="3"/>
        <v>94.587367238149838</v>
      </c>
      <c r="K52" s="53">
        <f>IFERROR(WHOLE_STRUCTURE[[#This Row],[Bottom '[m']]]-WHOLE_STRUCTURE[[#This Row],[D, top '[m']]], "")</f>
        <v>-42.86</v>
      </c>
      <c r="L52" s="54">
        <f>IFERROR(-(WHOLE_STRUCTURE[[#This Row],[D, bottom '[m']]]-WHOLE_STRUCTURE[[#This Row],[D, top '[m']]])/(WHOLE_STRUCTURE[[#This Row],[Bottom '[m']]]-WHOLE_STRUCTURE[[#This Row],[Top '[m']]]),"")</f>
        <v>0.12571428571428558</v>
      </c>
      <c r="M52" s="52">
        <f>IFERROR((WHOLE_STRUCTURE[[#This Row],[D, bottom '[m']]]+WHOLE_STRUCTURE[[#This Row],[D, top '[m']]])/(2*WHOLE_STRUCTURE[[#This Row],[t '[mm']]]/1000),"")</f>
        <v>115.10204081632654</v>
      </c>
    </row>
    <row r="53" spans="2:13" x14ac:dyDescent="0.25">
      <c r="B53" s="51">
        <v>41</v>
      </c>
      <c r="C53" s="51" t="s">
        <v>70</v>
      </c>
      <c r="D53" s="51">
        <v>12</v>
      </c>
      <c r="E53" s="51">
        <v>-31.8</v>
      </c>
      <c r="F53" s="51">
        <v>-35.299999999999997</v>
      </c>
      <c r="G53" s="51">
        <v>11.5</v>
      </c>
      <c r="H53" s="51">
        <v>11.5</v>
      </c>
      <c r="I53" s="51">
        <v>98</v>
      </c>
      <c r="J53" s="54">
        <f t="shared" si="3"/>
        <v>96.448324204023137</v>
      </c>
      <c r="K53" s="53">
        <f>IFERROR(WHOLE_STRUCTURE[[#This Row],[Bottom '[m']]]-WHOLE_STRUCTURE[[#This Row],[D, top '[m']]], "")</f>
        <v>-46.8</v>
      </c>
      <c r="L53" s="54">
        <f>IFERROR(-(WHOLE_STRUCTURE[[#This Row],[D, bottom '[m']]]-WHOLE_STRUCTURE[[#This Row],[D, top '[m']]])/(WHOLE_STRUCTURE[[#This Row],[Bottom '[m']]]-WHOLE_STRUCTURE[[#This Row],[Top '[m']]]),"")</f>
        <v>0</v>
      </c>
      <c r="M53" s="52">
        <f>IFERROR((WHOLE_STRUCTURE[[#This Row],[D, bottom '[m']]]+WHOLE_STRUCTURE[[#This Row],[D, top '[m']]])/(2*WHOLE_STRUCTURE[[#This Row],[t '[mm']]]/1000),"")</f>
        <v>117.3469387755102</v>
      </c>
    </row>
    <row r="54" spans="2:13" x14ac:dyDescent="0.25">
      <c r="B54" s="51">
        <v>42</v>
      </c>
      <c r="C54" s="51" t="s">
        <v>70</v>
      </c>
      <c r="D54" s="51">
        <v>13</v>
      </c>
      <c r="E54" s="51">
        <v>-35.299999999999997</v>
      </c>
      <c r="F54" s="51">
        <v>-38.6</v>
      </c>
      <c r="G54" s="51">
        <v>11.5</v>
      </c>
      <c r="H54" s="51">
        <v>11.5</v>
      </c>
      <c r="I54" s="51">
        <v>100</v>
      </c>
      <c r="J54" s="54">
        <f t="shared" si="3"/>
        <v>92.776571768017746</v>
      </c>
      <c r="K54" s="53">
        <f>IFERROR(WHOLE_STRUCTURE[[#This Row],[Bottom '[m']]]-WHOLE_STRUCTURE[[#This Row],[D, top '[m']]], "")</f>
        <v>-50.1</v>
      </c>
      <c r="L54" s="54">
        <f>IFERROR(-(WHOLE_STRUCTURE[[#This Row],[D, bottom '[m']]]-WHOLE_STRUCTURE[[#This Row],[D, top '[m']]])/(WHOLE_STRUCTURE[[#This Row],[Bottom '[m']]]-WHOLE_STRUCTURE[[#This Row],[Top '[m']]]),"")</f>
        <v>0</v>
      </c>
      <c r="M54" s="52">
        <f>IFERROR((WHOLE_STRUCTURE[[#This Row],[D, bottom '[m']]]+WHOLE_STRUCTURE[[#This Row],[D, top '[m']]])/(2*WHOLE_STRUCTURE[[#This Row],[t '[mm']]]/1000),"")</f>
        <v>115</v>
      </c>
    </row>
    <row r="55" spans="2:13" x14ac:dyDescent="0.25">
      <c r="B55" s="51">
        <v>43</v>
      </c>
      <c r="C55" s="51" t="s">
        <v>70</v>
      </c>
      <c r="D55" s="51">
        <v>14</v>
      </c>
      <c r="E55" s="51">
        <v>-38.6</v>
      </c>
      <c r="F55" s="51">
        <v>-41.9</v>
      </c>
      <c r="G55" s="51">
        <v>11.5</v>
      </c>
      <c r="H55" s="51">
        <v>11.5</v>
      </c>
      <c r="I55" s="51">
        <v>98</v>
      </c>
      <c r="J55" s="54">
        <f t="shared" si="3"/>
        <v>90.936991392364675</v>
      </c>
      <c r="K55" s="53">
        <f>IFERROR(WHOLE_STRUCTURE[[#This Row],[Bottom '[m']]]-WHOLE_STRUCTURE[[#This Row],[D, top '[m']]], "")</f>
        <v>-53.4</v>
      </c>
      <c r="L55" s="54">
        <f>IFERROR(-(WHOLE_STRUCTURE[[#This Row],[D, bottom '[m']]]-WHOLE_STRUCTURE[[#This Row],[D, top '[m']]])/(WHOLE_STRUCTURE[[#This Row],[Bottom '[m']]]-WHOLE_STRUCTURE[[#This Row],[Top '[m']]]),"")</f>
        <v>0</v>
      </c>
      <c r="M55" s="52">
        <f>IFERROR((WHOLE_STRUCTURE[[#This Row],[D, bottom '[m']]]+WHOLE_STRUCTURE[[#This Row],[D, top '[m']]])/(2*WHOLE_STRUCTURE[[#This Row],[t '[mm']]]/1000),"")</f>
        <v>117.3469387755102</v>
      </c>
    </row>
    <row r="56" spans="2:13" x14ac:dyDescent="0.25">
      <c r="B56" s="51">
        <v>44</v>
      </c>
      <c r="C56" s="51" t="s">
        <v>70</v>
      </c>
      <c r="D56" s="51">
        <v>15</v>
      </c>
      <c r="E56" s="51">
        <v>-41.9</v>
      </c>
      <c r="F56" s="51">
        <v>-45.2</v>
      </c>
      <c r="G56" s="51">
        <v>11.5</v>
      </c>
      <c r="H56" s="51">
        <v>11.5</v>
      </c>
      <c r="I56" s="51">
        <v>95</v>
      </c>
      <c r="J56" s="54">
        <f t="shared" si="3"/>
        <v>88.17640008451977</v>
      </c>
      <c r="K56" s="53">
        <f>IFERROR(WHOLE_STRUCTURE[[#This Row],[Bottom '[m']]]-WHOLE_STRUCTURE[[#This Row],[D, top '[m']]], "")</f>
        <v>-56.7</v>
      </c>
      <c r="L56" s="54">
        <f>IFERROR(-(WHOLE_STRUCTURE[[#This Row],[D, bottom '[m']]]-WHOLE_STRUCTURE[[#This Row],[D, top '[m']]])/(WHOLE_STRUCTURE[[#This Row],[Bottom '[m']]]-WHOLE_STRUCTURE[[#This Row],[Top '[m']]]),"")</f>
        <v>0</v>
      </c>
      <c r="M56" s="52">
        <f>IFERROR((WHOLE_STRUCTURE[[#This Row],[D, bottom '[m']]]+WHOLE_STRUCTURE[[#This Row],[D, top '[m']]])/(2*WHOLE_STRUCTURE[[#This Row],[t '[mm']]]/1000),"")</f>
        <v>121.05263157894737</v>
      </c>
    </row>
    <row r="57" spans="2:13" x14ac:dyDescent="0.25">
      <c r="B57" s="51">
        <v>45</v>
      </c>
      <c r="C57" s="51" t="s">
        <v>70</v>
      </c>
      <c r="D57" s="51">
        <v>16</v>
      </c>
      <c r="E57" s="51">
        <v>-45.2</v>
      </c>
      <c r="F57" s="51">
        <v>-48.5</v>
      </c>
      <c r="G57" s="51">
        <v>11.5</v>
      </c>
      <c r="H57" s="51">
        <v>11.5</v>
      </c>
      <c r="I57" s="51">
        <v>95</v>
      </c>
      <c r="J57" s="54">
        <f t="shared" si="3"/>
        <v>88.176400084519571</v>
      </c>
      <c r="K57" s="53">
        <f>IFERROR(WHOLE_STRUCTURE[[#This Row],[Bottom '[m']]]-WHOLE_STRUCTURE[[#This Row],[D, top '[m']]], "")</f>
        <v>-60</v>
      </c>
      <c r="L57" s="54">
        <f>IFERROR(-(WHOLE_STRUCTURE[[#This Row],[D, bottom '[m']]]-WHOLE_STRUCTURE[[#This Row],[D, top '[m']]])/(WHOLE_STRUCTURE[[#This Row],[Bottom '[m']]]-WHOLE_STRUCTURE[[#This Row],[Top '[m']]]),"")</f>
        <v>0</v>
      </c>
      <c r="M57" s="52">
        <f>IFERROR((WHOLE_STRUCTURE[[#This Row],[D, bottom '[m']]]+WHOLE_STRUCTURE[[#This Row],[D, top '[m']]])/(2*WHOLE_STRUCTURE[[#This Row],[t '[mm']]]/1000),"")</f>
        <v>121.05263157894737</v>
      </c>
    </row>
    <row r="58" spans="2:13" x14ac:dyDescent="0.25">
      <c r="B58" s="51">
        <v>46</v>
      </c>
      <c r="C58" s="51" t="s">
        <v>70</v>
      </c>
      <c r="D58" s="51">
        <v>17</v>
      </c>
      <c r="E58" s="51">
        <v>-48.5</v>
      </c>
      <c r="F58" s="51">
        <v>-51.7</v>
      </c>
      <c r="G58" s="51">
        <v>11.5</v>
      </c>
      <c r="H58" s="51">
        <v>11.5</v>
      </c>
      <c r="I58" s="51">
        <v>95</v>
      </c>
      <c r="J58" s="54">
        <f t="shared" si="3"/>
        <v>85.504387960746399</v>
      </c>
      <c r="K58" s="53">
        <f>IFERROR(WHOLE_STRUCTURE[[#This Row],[Bottom '[m']]]-WHOLE_STRUCTURE[[#This Row],[D, top '[m']]], "")</f>
        <v>-63.2</v>
      </c>
      <c r="L58" s="54">
        <f>IFERROR(-(WHOLE_STRUCTURE[[#This Row],[D, bottom '[m']]]-WHOLE_STRUCTURE[[#This Row],[D, top '[m']]])/(WHOLE_STRUCTURE[[#This Row],[Bottom '[m']]]-WHOLE_STRUCTURE[[#This Row],[Top '[m']]]),"")</f>
        <v>0</v>
      </c>
      <c r="M58" s="52">
        <f>IFERROR((WHOLE_STRUCTURE[[#This Row],[D, bottom '[m']]]+WHOLE_STRUCTURE[[#This Row],[D, top '[m']]])/(2*WHOLE_STRUCTURE[[#This Row],[t '[mm']]]/1000),"")</f>
        <v>121.05263157894737</v>
      </c>
    </row>
    <row r="59" spans="2:13" x14ac:dyDescent="0.25">
      <c r="B59" s="51">
        <v>47</v>
      </c>
      <c r="C59" s="51" t="s">
        <v>70</v>
      </c>
      <c r="D59" s="51">
        <v>18</v>
      </c>
      <c r="E59" s="51">
        <v>-51.7</v>
      </c>
      <c r="F59" s="51">
        <v>-55.3</v>
      </c>
      <c r="G59" s="51">
        <v>11.5</v>
      </c>
      <c r="H59" s="51">
        <v>11.5</v>
      </c>
      <c r="I59" s="51">
        <v>93</v>
      </c>
      <c r="J59" s="54">
        <f t="shared" si="3"/>
        <v>94.183845872414466</v>
      </c>
      <c r="K59" s="53">
        <f>IFERROR(WHOLE_STRUCTURE[[#This Row],[Bottom '[m']]]-WHOLE_STRUCTURE[[#This Row],[D, top '[m']]], "")</f>
        <v>-66.8</v>
      </c>
      <c r="L59" s="54">
        <f>IFERROR(-(WHOLE_STRUCTURE[[#This Row],[D, bottom '[m']]]-WHOLE_STRUCTURE[[#This Row],[D, top '[m']]])/(WHOLE_STRUCTURE[[#This Row],[Bottom '[m']]]-WHOLE_STRUCTURE[[#This Row],[Top '[m']]]),"")</f>
        <v>0</v>
      </c>
      <c r="M59" s="52">
        <f>IFERROR((WHOLE_STRUCTURE[[#This Row],[D, bottom '[m']]]+WHOLE_STRUCTURE[[#This Row],[D, top '[m']]])/(2*WHOLE_STRUCTURE[[#This Row],[t '[mm']]]/1000),"")</f>
        <v>123.65591397849462</v>
      </c>
    </row>
    <row r="60" spans="2:13" x14ac:dyDescent="0.25">
      <c r="B60" s="51">
        <v>48</v>
      </c>
      <c r="C60" s="51" t="s">
        <v>70</v>
      </c>
      <c r="D60" s="51">
        <v>19</v>
      </c>
      <c r="E60" s="51">
        <v>-55.3</v>
      </c>
      <c r="F60" s="51">
        <v>-59.3</v>
      </c>
      <c r="G60" s="51">
        <v>11.5</v>
      </c>
      <c r="H60" s="51">
        <v>11.5</v>
      </c>
      <c r="I60" s="51">
        <v>93</v>
      </c>
      <c r="J60" s="54">
        <f t="shared" si="3"/>
        <v>104.64871763601624</v>
      </c>
      <c r="K60" s="53">
        <f>IFERROR(WHOLE_STRUCTURE[[#This Row],[Bottom '[m']]]-WHOLE_STRUCTURE[[#This Row],[D, top '[m']]], "")</f>
        <v>-70.8</v>
      </c>
      <c r="L60" s="54">
        <f>IFERROR(-(WHOLE_STRUCTURE[[#This Row],[D, bottom '[m']]]-WHOLE_STRUCTURE[[#This Row],[D, top '[m']]])/(WHOLE_STRUCTURE[[#This Row],[Bottom '[m']]]-WHOLE_STRUCTURE[[#This Row],[Top '[m']]]),"")</f>
        <v>0</v>
      </c>
      <c r="M60" s="52">
        <f>IFERROR((WHOLE_STRUCTURE[[#This Row],[D, bottom '[m']]]+WHOLE_STRUCTURE[[#This Row],[D, top '[m']]])/(2*WHOLE_STRUCTURE[[#This Row],[t '[mm']]]/1000),"")</f>
        <v>123.65591397849462</v>
      </c>
    </row>
    <row r="61" spans="2:13" x14ac:dyDescent="0.25">
      <c r="B61" s="51">
        <v>49</v>
      </c>
      <c r="C61" s="51" t="s">
        <v>70</v>
      </c>
      <c r="D61" s="51">
        <v>20</v>
      </c>
      <c r="E61" s="51">
        <v>-59.3</v>
      </c>
      <c r="F61" s="51">
        <v>-63.3</v>
      </c>
      <c r="G61" s="51">
        <v>11.5</v>
      </c>
      <c r="H61" s="51">
        <v>11.5</v>
      </c>
      <c r="I61" s="51">
        <v>93</v>
      </c>
      <c r="J61" s="54">
        <f t="shared" si="3"/>
        <v>104.64871763601624</v>
      </c>
      <c r="K61" s="53">
        <f>IFERROR(WHOLE_STRUCTURE[[#This Row],[Bottom '[m']]]-WHOLE_STRUCTURE[[#This Row],[D, top '[m']]], "")</f>
        <v>-74.8</v>
      </c>
      <c r="L61" s="54">
        <f>IFERROR(-(WHOLE_STRUCTURE[[#This Row],[D, bottom '[m']]]-WHOLE_STRUCTURE[[#This Row],[D, top '[m']]])/(WHOLE_STRUCTURE[[#This Row],[Bottom '[m']]]-WHOLE_STRUCTURE[[#This Row],[Top '[m']]]),"")</f>
        <v>0</v>
      </c>
      <c r="M61" s="52">
        <f>IFERROR((WHOLE_STRUCTURE[[#This Row],[D, bottom '[m']]]+WHOLE_STRUCTURE[[#This Row],[D, top '[m']]])/(2*WHOLE_STRUCTURE[[#This Row],[t '[mm']]]/1000),"")</f>
        <v>123.65591397849462</v>
      </c>
    </row>
    <row r="62" spans="2:13" x14ac:dyDescent="0.25">
      <c r="B62" s="51">
        <v>50</v>
      </c>
      <c r="C62" s="51" t="s">
        <v>70</v>
      </c>
      <c r="D62" s="51">
        <v>21</v>
      </c>
      <c r="E62" s="51">
        <v>-63.3</v>
      </c>
      <c r="F62" s="51">
        <v>-67.3</v>
      </c>
      <c r="G62" s="51">
        <v>11.5</v>
      </c>
      <c r="H62" s="51">
        <v>11.5</v>
      </c>
      <c r="I62" s="51">
        <v>93</v>
      </c>
      <c r="J62" s="54">
        <f t="shared" si="3"/>
        <v>104.64871763601624</v>
      </c>
      <c r="K62" s="53">
        <f>IFERROR(WHOLE_STRUCTURE[[#This Row],[Bottom '[m']]]-WHOLE_STRUCTURE[[#This Row],[D, top '[m']]], "")</f>
        <v>-78.8</v>
      </c>
      <c r="L62" s="54">
        <f>IFERROR(-(WHOLE_STRUCTURE[[#This Row],[D, bottom '[m']]]-WHOLE_STRUCTURE[[#This Row],[D, top '[m']]])/(WHOLE_STRUCTURE[[#This Row],[Bottom '[m']]]-WHOLE_STRUCTURE[[#This Row],[Top '[m']]]),"")</f>
        <v>0</v>
      </c>
      <c r="M62" s="52">
        <f>IFERROR((WHOLE_STRUCTURE[[#This Row],[D, bottom '[m']]]+WHOLE_STRUCTURE[[#This Row],[D, top '[m']]])/(2*WHOLE_STRUCTURE[[#This Row],[t '[mm']]]/1000),"")</f>
        <v>123.65591397849462</v>
      </c>
    </row>
    <row r="63" spans="2:13" x14ac:dyDescent="0.25">
      <c r="B63" s="51">
        <v>51</v>
      </c>
      <c r="C63" s="51" t="s">
        <v>70</v>
      </c>
      <c r="D63" s="51">
        <v>22</v>
      </c>
      <c r="E63" s="51">
        <v>-67.3</v>
      </c>
      <c r="F63" s="51">
        <v>-71</v>
      </c>
      <c r="G63" s="51">
        <v>11.5</v>
      </c>
      <c r="H63" s="51">
        <v>11.5</v>
      </c>
      <c r="I63" s="51">
        <v>96</v>
      </c>
      <c r="J63" s="54">
        <f t="shared" si="3"/>
        <v>99.896367220087171</v>
      </c>
      <c r="K63" s="54">
        <f>IFERROR(WHOLE_STRUCTURE[[#This Row],[Bottom '[m']]]-WHOLE_STRUCTURE[[#This Row],[D, top '[m']]], "")</f>
        <v>-82.5</v>
      </c>
      <c r="L63" s="54">
        <f>IFERROR(-(WHOLE_STRUCTURE[[#This Row],[D, bottom '[m']]]-WHOLE_STRUCTURE[[#This Row],[D, top '[m']]])/(WHOLE_STRUCTURE[[#This Row],[Bottom '[m']]]-WHOLE_STRUCTURE[[#This Row],[Top '[m']]]),"")</f>
        <v>0</v>
      </c>
      <c r="M63" s="54">
        <f>IFERROR((WHOLE_STRUCTURE[[#This Row],[D, bottom '[m']]]+WHOLE_STRUCTURE[[#This Row],[D, top '[m']]])/(2*WHOLE_STRUCTURE[[#This Row],[t '[mm']]]/1000),"")</f>
        <v>119.79166666666666</v>
      </c>
    </row>
    <row r="64" spans="2:13" x14ac:dyDescent="0.25">
      <c r="B64" s="51">
        <v>52</v>
      </c>
      <c r="C64" s="51" t="s">
        <v>70</v>
      </c>
      <c r="D64" s="51">
        <v>23</v>
      </c>
      <c r="E64" s="51">
        <v>-71</v>
      </c>
      <c r="F64" s="51">
        <v>-74.3</v>
      </c>
      <c r="G64" s="51">
        <v>11.5</v>
      </c>
      <c r="H64" s="51">
        <v>11.5</v>
      </c>
      <c r="I64" s="51">
        <v>96</v>
      </c>
      <c r="J64" s="54">
        <f t="shared" si="3"/>
        <v>89.096759953050565</v>
      </c>
      <c r="K64" s="54">
        <f>IFERROR(WHOLE_STRUCTURE[[#This Row],[Bottom '[m']]]-WHOLE_STRUCTURE[[#This Row],[D, top '[m']]], "")</f>
        <v>-85.8</v>
      </c>
      <c r="L64" s="54">
        <f>IFERROR(-(WHOLE_STRUCTURE[[#This Row],[D, bottom '[m']]]-WHOLE_STRUCTURE[[#This Row],[D, top '[m']]])/(WHOLE_STRUCTURE[[#This Row],[Bottom '[m']]]-WHOLE_STRUCTURE[[#This Row],[Top '[m']]]),"")</f>
        <v>0</v>
      </c>
      <c r="M64" s="54">
        <f>IFERROR((WHOLE_STRUCTURE[[#This Row],[D, bottom '[m']]]+WHOLE_STRUCTURE[[#This Row],[D, top '[m']]])/(2*WHOLE_STRUCTURE[[#This Row],[t '[mm']]]/1000),"")</f>
        <v>119.79166666666666</v>
      </c>
    </row>
    <row r="65" spans="2:13" x14ac:dyDescent="0.25">
      <c r="B65" s="51">
        <v>53</v>
      </c>
      <c r="C65" s="51" t="s">
        <v>70</v>
      </c>
      <c r="D65" s="51">
        <v>24</v>
      </c>
      <c r="E65" s="51">
        <v>-74.3</v>
      </c>
      <c r="F65" s="51">
        <v>-77.44</v>
      </c>
      <c r="G65" s="51">
        <v>11.5</v>
      </c>
      <c r="H65" s="51">
        <v>11.5</v>
      </c>
      <c r="I65" s="51">
        <v>100</v>
      </c>
      <c r="J65" s="54">
        <f t="shared" si="3"/>
        <v>88.278313742901631</v>
      </c>
      <c r="K65" s="54">
        <f>IFERROR(WHOLE_STRUCTURE[[#This Row],[Bottom '[m']]]-WHOLE_STRUCTURE[[#This Row],[D, top '[m']]], "")</f>
        <v>-88.94</v>
      </c>
      <c r="L65" s="54">
        <f>IFERROR(-(WHOLE_STRUCTURE[[#This Row],[D, bottom '[m']]]-WHOLE_STRUCTURE[[#This Row],[D, top '[m']]])/(WHOLE_STRUCTURE[[#This Row],[Bottom '[m']]]-WHOLE_STRUCTURE[[#This Row],[Top '[m']]]),"")</f>
        <v>0</v>
      </c>
      <c r="M65" s="54">
        <f>IFERROR((WHOLE_STRUCTURE[[#This Row],[D, bottom '[m']]]+WHOLE_STRUCTURE[[#This Row],[D, top '[m']]])/(2*WHOLE_STRUCTURE[[#This Row],[t '[mm']]]/1000),"")</f>
        <v>115</v>
      </c>
    </row>
    <row r="66" spans="2:13" x14ac:dyDescent="0.25">
      <c r="B66" s="51">
        <v>54</v>
      </c>
      <c r="C66" s="51" t="s">
        <v>70</v>
      </c>
      <c r="D66" s="51">
        <v>25</v>
      </c>
      <c r="E66" s="51">
        <v>-77.44</v>
      </c>
      <c r="F66" s="51">
        <v>-80.44</v>
      </c>
      <c r="G66" s="51">
        <v>11.5</v>
      </c>
      <c r="H66" s="51">
        <v>11.5</v>
      </c>
      <c r="I66" s="51">
        <v>105</v>
      </c>
      <c r="J66" s="54">
        <f t="shared" si="3"/>
        <v>88.520613003301008</v>
      </c>
      <c r="K66" s="54">
        <f>IFERROR(WHOLE_STRUCTURE[[#This Row],[Bottom '[m']]]-WHOLE_STRUCTURE[[#This Row],[D, top '[m']]], "")</f>
        <v>-91.94</v>
      </c>
      <c r="L66" s="54">
        <f>IFERROR(-(WHOLE_STRUCTURE[[#This Row],[D, bottom '[m']]]-WHOLE_STRUCTURE[[#This Row],[D, top '[m']]])/(WHOLE_STRUCTURE[[#This Row],[Bottom '[m']]]-WHOLE_STRUCTURE[[#This Row],[Top '[m']]]),"")</f>
        <v>0</v>
      </c>
      <c r="M66" s="54">
        <f>IFERROR((WHOLE_STRUCTURE[[#This Row],[D, bottom '[m']]]+WHOLE_STRUCTURE[[#This Row],[D, top '[m']]])/(2*WHOLE_STRUCTURE[[#This Row],[t '[mm']]]/1000),"")</f>
        <v>109.52380952380953</v>
      </c>
    </row>
    <row r="67" spans="2:13" x14ac:dyDescent="0.25">
      <c r="J67" s="54" t="str">
        <f t="shared" ref="J67:J130" si="4">IF(7850/1000*(1/3)*PI()*ABS(E67-F67)*((G67/2)^2+(G67/2)*(H67/2)+(H67/2)^2-(G67/2-I67/1000)^2-(G67/2-I67/1000)*(H67/2-I67/1000)-(H67/2-I67/1000)^2)=0,"",7850/1000*(1/3)*PI()*ABS(E67-F67)*((G67/2)^2+(G67/2)*(H67/2)+(H67/2)^2-(G67/2-I67/1000)^2-(G67/2-I67/1000)*(H67/2-I67/1000)-(H67/2-I67/1000)^2))</f>
        <v/>
      </c>
      <c r="K67" s="54" t="str">
        <f>IFERROR(WHOLE_STRUCTURE[[#This Row],[Bottom '[m']]]-WHOLE_STRUCTURE[[#This Row],[D, top '[m']]], "")</f>
        <v/>
      </c>
      <c r="L67" s="54" t="str">
        <f>IFERROR(-(WHOLE_STRUCTURE[[#This Row],[D, bottom '[m']]]-WHOLE_STRUCTURE[[#This Row],[D, top '[m']]])/(WHOLE_STRUCTURE[[#This Row],[Bottom '[m']]]-WHOLE_STRUCTURE[[#This Row],[Top '[m']]]),"")</f>
        <v/>
      </c>
      <c r="M67" s="54" t="str">
        <f>IFERROR((WHOLE_STRUCTURE[[#This Row],[D, bottom '[m']]]+WHOLE_STRUCTURE[[#This Row],[D, top '[m']]])/(2*WHOLE_STRUCTURE[[#This Row],[t '[mm']]]/1000),"")</f>
        <v/>
      </c>
    </row>
    <row r="68" spans="2:13" x14ac:dyDescent="0.25">
      <c r="J68" s="54" t="str">
        <f t="shared" si="4"/>
        <v/>
      </c>
      <c r="K68" s="54" t="str">
        <f>IFERROR(WHOLE_STRUCTURE[[#This Row],[Bottom '[m']]]-WHOLE_STRUCTURE[[#This Row],[D, top '[m']]], "")</f>
        <v/>
      </c>
      <c r="L68" s="54" t="str">
        <f>IFERROR(-(WHOLE_STRUCTURE[[#This Row],[D, bottom '[m']]]-WHOLE_STRUCTURE[[#This Row],[D, top '[m']]])/(WHOLE_STRUCTURE[[#This Row],[Bottom '[m']]]-WHOLE_STRUCTURE[[#This Row],[Top '[m']]]),"")</f>
        <v/>
      </c>
      <c r="M68" s="54" t="str">
        <f>IFERROR((WHOLE_STRUCTURE[[#This Row],[D, bottom '[m']]]+WHOLE_STRUCTURE[[#This Row],[D, top '[m']]])/(2*WHOLE_STRUCTURE[[#This Row],[t '[mm']]]/1000),"")</f>
        <v/>
      </c>
    </row>
    <row r="69" spans="2:13" x14ac:dyDescent="0.25">
      <c r="J69" s="54" t="str">
        <f t="shared" si="4"/>
        <v/>
      </c>
      <c r="K69" s="54" t="str">
        <f>IFERROR(WHOLE_STRUCTURE[[#This Row],[Bottom '[m']]]-WHOLE_STRUCTURE[[#This Row],[D, top '[m']]], "")</f>
        <v/>
      </c>
      <c r="L69" s="54" t="str">
        <f>IFERROR(-(WHOLE_STRUCTURE[[#This Row],[D, bottom '[m']]]-WHOLE_STRUCTURE[[#This Row],[D, top '[m']]])/(WHOLE_STRUCTURE[[#This Row],[Bottom '[m']]]-WHOLE_STRUCTURE[[#This Row],[Top '[m']]]),"")</f>
        <v/>
      </c>
      <c r="M69" s="54" t="str">
        <f>IFERROR((WHOLE_STRUCTURE[[#This Row],[D, bottom '[m']]]+WHOLE_STRUCTURE[[#This Row],[D, top '[m']]])/(2*WHOLE_STRUCTURE[[#This Row],[t '[mm']]]/1000),"")</f>
        <v/>
      </c>
    </row>
    <row r="70" spans="2:13" x14ac:dyDescent="0.25">
      <c r="J70" s="54" t="str">
        <f t="shared" si="4"/>
        <v/>
      </c>
      <c r="K70" s="54" t="str">
        <f>IFERROR(WHOLE_STRUCTURE[[#This Row],[Bottom '[m']]]-WHOLE_STRUCTURE[[#This Row],[D, top '[m']]], "")</f>
        <v/>
      </c>
      <c r="L70" s="54" t="str">
        <f>IFERROR(-(WHOLE_STRUCTURE[[#This Row],[D, bottom '[m']]]-WHOLE_STRUCTURE[[#This Row],[D, top '[m']]])/(WHOLE_STRUCTURE[[#This Row],[Bottom '[m']]]-WHOLE_STRUCTURE[[#This Row],[Top '[m']]]),"")</f>
        <v/>
      </c>
      <c r="M70" s="54" t="str">
        <f>IFERROR((WHOLE_STRUCTURE[[#This Row],[D, bottom '[m']]]+WHOLE_STRUCTURE[[#This Row],[D, top '[m']]])/(2*WHOLE_STRUCTURE[[#This Row],[t '[mm']]]/1000),"")</f>
        <v/>
      </c>
    </row>
    <row r="71" spans="2:13" x14ac:dyDescent="0.25">
      <c r="J71" s="54" t="str">
        <f t="shared" si="4"/>
        <v/>
      </c>
      <c r="K71" s="54" t="str">
        <f>IFERROR(WHOLE_STRUCTURE[[#This Row],[Bottom '[m']]]-WHOLE_STRUCTURE[[#This Row],[D, top '[m']]], "")</f>
        <v/>
      </c>
      <c r="L71" s="54" t="str">
        <f>IFERROR(-(WHOLE_STRUCTURE[[#This Row],[D, bottom '[m']]]-WHOLE_STRUCTURE[[#This Row],[D, top '[m']]])/(WHOLE_STRUCTURE[[#This Row],[Bottom '[m']]]-WHOLE_STRUCTURE[[#This Row],[Top '[m']]]),"")</f>
        <v/>
      </c>
      <c r="M71" s="54" t="str">
        <f>IFERROR((WHOLE_STRUCTURE[[#This Row],[D, bottom '[m']]]+WHOLE_STRUCTURE[[#This Row],[D, top '[m']]])/(2*WHOLE_STRUCTURE[[#This Row],[t '[mm']]]/1000),"")</f>
        <v/>
      </c>
    </row>
    <row r="72" spans="2:13" x14ac:dyDescent="0.25">
      <c r="J72" s="54" t="str">
        <f t="shared" si="4"/>
        <v/>
      </c>
      <c r="K72" s="54" t="str">
        <f>IFERROR(WHOLE_STRUCTURE[[#This Row],[Bottom '[m']]]-WHOLE_STRUCTURE[[#This Row],[D, top '[m']]], "")</f>
        <v/>
      </c>
      <c r="L72" s="54" t="str">
        <f>IFERROR(-(WHOLE_STRUCTURE[[#This Row],[D, bottom '[m']]]-WHOLE_STRUCTURE[[#This Row],[D, top '[m']]])/(WHOLE_STRUCTURE[[#This Row],[Bottom '[m']]]-WHOLE_STRUCTURE[[#This Row],[Top '[m']]]),"")</f>
        <v/>
      </c>
      <c r="M72" s="54" t="str">
        <f>IFERROR((WHOLE_STRUCTURE[[#This Row],[D, bottom '[m']]]+WHOLE_STRUCTURE[[#This Row],[D, top '[m']]])/(2*WHOLE_STRUCTURE[[#This Row],[t '[mm']]]/1000),"")</f>
        <v/>
      </c>
    </row>
    <row r="73" spans="2:13" x14ac:dyDescent="0.25">
      <c r="J73" s="54" t="str">
        <f t="shared" si="4"/>
        <v/>
      </c>
      <c r="K73" s="54" t="str">
        <f>IFERROR(WHOLE_STRUCTURE[[#This Row],[Bottom '[m']]]-WHOLE_STRUCTURE[[#This Row],[D, top '[m']]], "")</f>
        <v/>
      </c>
      <c r="L73" s="54" t="str">
        <f>IFERROR(-(WHOLE_STRUCTURE[[#This Row],[D, bottom '[m']]]-WHOLE_STRUCTURE[[#This Row],[D, top '[m']]])/(WHOLE_STRUCTURE[[#This Row],[Bottom '[m']]]-WHOLE_STRUCTURE[[#This Row],[Top '[m']]]),"")</f>
        <v/>
      </c>
      <c r="M73" s="54" t="str">
        <f>IFERROR((WHOLE_STRUCTURE[[#This Row],[D, bottom '[m']]]+WHOLE_STRUCTURE[[#This Row],[D, top '[m']]])/(2*WHOLE_STRUCTURE[[#This Row],[t '[mm']]]/1000),"")</f>
        <v/>
      </c>
    </row>
    <row r="74" spans="2:13" x14ac:dyDescent="0.25">
      <c r="J74" s="54" t="str">
        <f t="shared" si="4"/>
        <v/>
      </c>
      <c r="K74" s="54" t="str">
        <f>IFERROR(WHOLE_STRUCTURE[[#This Row],[Bottom '[m']]]-WHOLE_STRUCTURE[[#This Row],[D, top '[m']]], "")</f>
        <v/>
      </c>
      <c r="L74" s="54" t="str">
        <f>IFERROR(-(WHOLE_STRUCTURE[[#This Row],[D, bottom '[m']]]-WHOLE_STRUCTURE[[#This Row],[D, top '[m']]])/(WHOLE_STRUCTURE[[#This Row],[Bottom '[m']]]-WHOLE_STRUCTURE[[#This Row],[Top '[m']]]),"")</f>
        <v/>
      </c>
      <c r="M74" s="54" t="str">
        <f>IFERROR((WHOLE_STRUCTURE[[#This Row],[D, bottom '[m']]]+WHOLE_STRUCTURE[[#This Row],[D, top '[m']]])/(2*WHOLE_STRUCTURE[[#This Row],[t '[mm']]]/1000),"")</f>
        <v/>
      </c>
    </row>
    <row r="75" spans="2:13" x14ac:dyDescent="0.25">
      <c r="J75" s="54" t="str">
        <f t="shared" si="4"/>
        <v/>
      </c>
      <c r="K75" s="54" t="str">
        <f>IFERROR(WHOLE_STRUCTURE[[#This Row],[Bottom '[m']]]-WHOLE_STRUCTURE[[#This Row],[D, top '[m']]], "")</f>
        <v/>
      </c>
      <c r="L75" s="54" t="str">
        <f>IFERROR(-(WHOLE_STRUCTURE[[#This Row],[D, bottom '[m']]]-WHOLE_STRUCTURE[[#This Row],[D, top '[m']]])/(WHOLE_STRUCTURE[[#This Row],[Bottom '[m']]]-WHOLE_STRUCTURE[[#This Row],[Top '[m']]]),"")</f>
        <v/>
      </c>
      <c r="M75" s="54" t="str">
        <f>IFERROR((WHOLE_STRUCTURE[[#This Row],[D, bottom '[m']]]+WHOLE_STRUCTURE[[#This Row],[D, top '[m']]])/(2*WHOLE_STRUCTURE[[#This Row],[t '[mm']]]/1000),"")</f>
        <v/>
      </c>
    </row>
    <row r="76" spans="2:13" x14ac:dyDescent="0.25">
      <c r="J76" s="54" t="str">
        <f t="shared" si="4"/>
        <v/>
      </c>
      <c r="K76" s="54" t="str">
        <f>IFERROR(WHOLE_STRUCTURE[[#This Row],[Bottom '[m']]]-WHOLE_STRUCTURE[[#This Row],[D, top '[m']]], "")</f>
        <v/>
      </c>
      <c r="L76" s="54" t="str">
        <f>IFERROR(-(WHOLE_STRUCTURE[[#This Row],[D, bottom '[m']]]-WHOLE_STRUCTURE[[#This Row],[D, top '[m']]])/(WHOLE_STRUCTURE[[#This Row],[Bottom '[m']]]-WHOLE_STRUCTURE[[#This Row],[Top '[m']]]),"")</f>
        <v/>
      </c>
      <c r="M76" s="54" t="str">
        <f>IFERROR((WHOLE_STRUCTURE[[#This Row],[D, bottom '[m']]]+WHOLE_STRUCTURE[[#This Row],[D, top '[m']]])/(2*WHOLE_STRUCTURE[[#This Row],[t '[mm']]]/1000),"")</f>
        <v/>
      </c>
    </row>
    <row r="77" spans="2:13" x14ac:dyDescent="0.25">
      <c r="J77" s="54" t="str">
        <f t="shared" si="4"/>
        <v/>
      </c>
      <c r="K77" s="54" t="str">
        <f>IFERROR(WHOLE_STRUCTURE[[#This Row],[Bottom '[m']]]-WHOLE_STRUCTURE[[#This Row],[D, top '[m']]], "")</f>
        <v/>
      </c>
      <c r="L77" s="54" t="str">
        <f>IFERROR(-(WHOLE_STRUCTURE[[#This Row],[D, bottom '[m']]]-WHOLE_STRUCTURE[[#This Row],[D, top '[m']]])/(WHOLE_STRUCTURE[[#This Row],[Bottom '[m']]]-WHOLE_STRUCTURE[[#This Row],[Top '[m']]]),"")</f>
        <v/>
      </c>
      <c r="M77" s="54" t="str">
        <f>IFERROR((WHOLE_STRUCTURE[[#This Row],[D, bottom '[m']]]+WHOLE_STRUCTURE[[#This Row],[D, top '[m']]])/(2*WHOLE_STRUCTURE[[#This Row],[t '[mm']]]/1000),"")</f>
        <v/>
      </c>
    </row>
    <row r="78" spans="2:13" x14ac:dyDescent="0.25">
      <c r="J78" s="54" t="str">
        <f t="shared" si="4"/>
        <v/>
      </c>
      <c r="K78" s="54" t="str">
        <f>IFERROR(WHOLE_STRUCTURE[[#This Row],[Bottom '[m']]]-WHOLE_STRUCTURE[[#This Row],[D, top '[m']]], "")</f>
        <v/>
      </c>
      <c r="L78" s="54" t="str">
        <f>IFERROR(-(WHOLE_STRUCTURE[[#This Row],[D, bottom '[m']]]-WHOLE_STRUCTURE[[#This Row],[D, top '[m']]])/(WHOLE_STRUCTURE[[#This Row],[Bottom '[m']]]-WHOLE_STRUCTURE[[#This Row],[Top '[m']]]),"")</f>
        <v/>
      </c>
      <c r="M78" s="54" t="str">
        <f>IFERROR((WHOLE_STRUCTURE[[#This Row],[D, bottom '[m']]]+WHOLE_STRUCTURE[[#This Row],[D, top '[m']]])/(2*WHOLE_STRUCTURE[[#This Row],[t '[mm']]]/1000),"")</f>
        <v/>
      </c>
    </row>
    <row r="79" spans="2:13" x14ac:dyDescent="0.25">
      <c r="J79" s="54" t="str">
        <f t="shared" si="4"/>
        <v/>
      </c>
      <c r="K79" s="54" t="str">
        <f>IFERROR(WHOLE_STRUCTURE[[#This Row],[Bottom '[m']]]-WHOLE_STRUCTURE[[#This Row],[D, top '[m']]], "")</f>
        <v/>
      </c>
      <c r="L79" s="54" t="str">
        <f>IFERROR(-(WHOLE_STRUCTURE[[#This Row],[D, bottom '[m']]]-WHOLE_STRUCTURE[[#This Row],[D, top '[m']]])/(WHOLE_STRUCTURE[[#This Row],[Bottom '[m']]]-WHOLE_STRUCTURE[[#This Row],[Top '[m']]]),"")</f>
        <v/>
      </c>
      <c r="M79" s="54" t="str">
        <f>IFERROR((WHOLE_STRUCTURE[[#This Row],[D, bottom '[m']]]+WHOLE_STRUCTURE[[#This Row],[D, top '[m']]])/(2*WHOLE_STRUCTURE[[#This Row],[t '[mm']]]/1000),"")</f>
        <v/>
      </c>
    </row>
    <row r="80" spans="2:13" x14ac:dyDescent="0.25">
      <c r="J80" s="54" t="str">
        <f t="shared" si="4"/>
        <v/>
      </c>
      <c r="K80" s="54" t="str">
        <f>IFERROR(WHOLE_STRUCTURE[[#This Row],[Bottom '[m']]]-WHOLE_STRUCTURE[[#This Row],[D, top '[m']]], "")</f>
        <v/>
      </c>
      <c r="L80" s="54" t="str">
        <f>IFERROR(-(WHOLE_STRUCTURE[[#This Row],[D, bottom '[m']]]-WHOLE_STRUCTURE[[#This Row],[D, top '[m']]])/(WHOLE_STRUCTURE[[#This Row],[Bottom '[m']]]-WHOLE_STRUCTURE[[#This Row],[Top '[m']]]),"")</f>
        <v/>
      </c>
      <c r="M80" s="54" t="str">
        <f>IFERROR((WHOLE_STRUCTURE[[#This Row],[D, bottom '[m']]]+WHOLE_STRUCTURE[[#This Row],[D, top '[m']]])/(2*WHOLE_STRUCTURE[[#This Row],[t '[mm']]]/1000),"")</f>
        <v/>
      </c>
    </row>
    <row r="81" spans="10:13" x14ac:dyDescent="0.25">
      <c r="J81" s="54" t="str">
        <f t="shared" si="4"/>
        <v/>
      </c>
      <c r="K81" s="54" t="str">
        <f>IFERROR(WHOLE_STRUCTURE[[#This Row],[Bottom '[m']]]-WHOLE_STRUCTURE[[#This Row],[D, top '[m']]], "")</f>
        <v/>
      </c>
      <c r="L81" s="54" t="str">
        <f>IFERROR(-(WHOLE_STRUCTURE[[#This Row],[D, bottom '[m']]]-WHOLE_STRUCTURE[[#This Row],[D, top '[m']]])/(WHOLE_STRUCTURE[[#This Row],[Bottom '[m']]]-WHOLE_STRUCTURE[[#This Row],[Top '[m']]]),"")</f>
        <v/>
      </c>
      <c r="M81" s="54" t="str">
        <f>IFERROR((WHOLE_STRUCTURE[[#This Row],[D, bottom '[m']]]+WHOLE_STRUCTURE[[#This Row],[D, top '[m']]])/(2*WHOLE_STRUCTURE[[#This Row],[t '[mm']]]/1000),"")</f>
        <v/>
      </c>
    </row>
    <row r="82" spans="10:13" x14ac:dyDescent="0.25">
      <c r="J82" s="54" t="str">
        <f t="shared" si="4"/>
        <v/>
      </c>
      <c r="K82" s="54" t="str">
        <f>IFERROR(WHOLE_STRUCTURE[[#This Row],[Bottom '[m']]]-WHOLE_STRUCTURE[[#This Row],[D, top '[m']]], "")</f>
        <v/>
      </c>
      <c r="L82" s="54" t="str">
        <f>IFERROR(-(WHOLE_STRUCTURE[[#This Row],[D, bottom '[m']]]-WHOLE_STRUCTURE[[#This Row],[D, top '[m']]])/(WHOLE_STRUCTURE[[#This Row],[Bottom '[m']]]-WHOLE_STRUCTURE[[#This Row],[Top '[m']]]),"")</f>
        <v/>
      </c>
      <c r="M82" s="54" t="str">
        <f>IFERROR((WHOLE_STRUCTURE[[#This Row],[D, bottom '[m']]]+WHOLE_STRUCTURE[[#This Row],[D, top '[m']]])/(2*WHOLE_STRUCTURE[[#This Row],[t '[mm']]]/1000),"")</f>
        <v/>
      </c>
    </row>
    <row r="83" spans="10:13" x14ac:dyDescent="0.25">
      <c r="J83" s="54" t="str">
        <f t="shared" si="4"/>
        <v/>
      </c>
      <c r="K83" s="54" t="str">
        <f>IFERROR(WHOLE_STRUCTURE[[#This Row],[Bottom '[m']]]-WHOLE_STRUCTURE[[#This Row],[D, top '[m']]], "")</f>
        <v/>
      </c>
      <c r="L83" s="54" t="str">
        <f>IFERROR(-(WHOLE_STRUCTURE[[#This Row],[D, bottom '[m']]]-WHOLE_STRUCTURE[[#This Row],[D, top '[m']]])/(WHOLE_STRUCTURE[[#This Row],[Bottom '[m']]]-WHOLE_STRUCTURE[[#This Row],[Top '[m']]]),"")</f>
        <v/>
      </c>
      <c r="M83" s="54" t="str">
        <f>IFERROR((WHOLE_STRUCTURE[[#This Row],[D, bottom '[m']]]+WHOLE_STRUCTURE[[#This Row],[D, top '[m']]])/(2*WHOLE_STRUCTURE[[#This Row],[t '[mm']]]/1000),"")</f>
        <v/>
      </c>
    </row>
    <row r="84" spans="10:13" x14ac:dyDescent="0.25">
      <c r="J84" s="54" t="str">
        <f t="shared" si="4"/>
        <v/>
      </c>
      <c r="K84" s="54" t="str">
        <f>IFERROR(WHOLE_STRUCTURE[[#This Row],[Bottom '[m']]]-WHOLE_STRUCTURE[[#This Row],[D, top '[m']]], "")</f>
        <v/>
      </c>
      <c r="L84" s="54" t="str">
        <f>IFERROR(-(WHOLE_STRUCTURE[[#This Row],[D, bottom '[m']]]-WHOLE_STRUCTURE[[#This Row],[D, top '[m']]])/(WHOLE_STRUCTURE[[#This Row],[Bottom '[m']]]-WHOLE_STRUCTURE[[#This Row],[Top '[m']]]),"")</f>
        <v/>
      </c>
      <c r="M84" s="54" t="str">
        <f>IFERROR((WHOLE_STRUCTURE[[#This Row],[D, bottom '[m']]]+WHOLE_STRUCTURE[[#This Row],[D, top '[m']]])/(2*WHOLE_STRUCTURE[[#This Row],[t '[mm']]]/1000),"")</f>
        <v/>
      </c>
    </row>
    <row r="85" spans="10:13" x14ac:dyDescent="0.25">
      <c r="J85" s="54" t="str">
        <f t="shared" si="4"/>
        <v/>
      </c>
      <c r="K85" s="54" t="str">
        <f>IFERROR(WHOLE_STRUCTURE[[#This Row],[Bottom '[m']]]-WHOLE_STRUCTURE[[#This Row],[D, top '[m']]], "")</f>
        <v/>
      </c>
      <c r="L85" s="54" t="str">
        <f>IFERROR(-(WHOLE_STRUCTURE[[#This Row],[D, bottom '[m']]]-WHOLE_STRUCTURE[[#This Row],[D, top '[m']]])/(WHOLE_STRUCTURE[[#This Row],[Bottom '[m']]]-WHOLE_STRUCTURE[[#This Row],[Top '[m']]]),"")</f>
        <v/>
      </c>
      <c r="M85" s="54" t="str">
        <f>IFERROR((WHOLE_STRUCTURE[[#This Row],[D, bottom '[m']]]+WHOLE_STRUCTURE[[#This Row],[D, top '[m']]])/(2*WHOLE_STRUCTURE[[#This Row],[t '[mm']]]/1000),"")</f>
        <v/>
      </c>
    </row>
    <row r="86" spans="10:13" x14ac:dyDescent="0.25">
      <c r="J86" s="54" t="str">
        <f t="shared" si="4"/>
        <v/>
      </c>
      <c r="K86" s="54" t="str">
        <f>IFERROR(WHOLE_STRUCTURE[[#This Row],[Bottom '[m']]]-WHOLE_STRUCTURE[[#This Row],[D, top '[m']]], "")</f>
        <v/>
      </c>
      <c r="L86" s="54" t="str">
        <f>IFERROR(-(WHOLE_STRUCTURE[[#This Row],[D, bottom '[m']]]-WHOLE_STRUCTURE[[#This Row],[D, top '[m']]])/(WHOLE_STRUCTURE[[#This Row],[Bottom '[m']]]-WHOLE_STRUCTURE[[#This Row],[Top '[m']]]),"")</f>
        <v/>
      </c>
      <c r="M86" s="54" t="str">
        <f>IFERROR((WHOLE_STRUCTURE[[#This Row],[D, bottom '[m']]]+WHOLE_STRUCTURE[[#This Row],[D, top '[m']]])/(2*WHOLE_STRUCTURE[[#This Row],[t '[mm']]]/1000),"")</f>
        <v/>
      </c>
    </row>
    <row r="87" spans="10:13" x14ac:dyDescent="0.25">
      <c r="J87" s="54" t="str">
        <f t="shared" si="4"/>
        <v/>
      </c>
      <c r="K87" s="54" t="str">
        <f>IFERROR(WHOLE_STRUCTURE[[#This Row],[Bottom '[m']]]-WHOLE_STRUCTURE[[#This Row],[D, top '[m']]], "")</f>
        <v/>
      </c>
      <c r="L87" s="54" t="str">
        <f>IFERROR(-(WHOLE_STRUCTURE[[#This Row],[D, bottom '[m']]]-WHOLE_STRUCTURE[[#This Row],[D, top '[m']]])/(WHOLE_STRUCTURE[[#This Row],[Bottom '[m']]]-WHOLE_STRUCTURE[[#This Row],[Top '[m']]]),"")</f>
        <v/>
      </c>
      <c r="M87" s="54" t="str">
        <f>IFERROR((WHOLE_STRUCTURE[[#This Row],[D, bottom '[m']]]+WHOLE_STRUCTURE[[#This Row],[D, top '[m']]])/(2*WHOLE_STRUCTURE[[#This Row],[t '[mm']]]/1000),"")</f>
        <v/>
      </c>
    </row>
    <row r="88" spans="10:13" x14ac:dyDescent="0.25">
      <c r="J88" s="54" t="str">
        <f t="shared" si="4"/>
        <v/>
      </c>
      <c r="K88" s="54" t="str">
        <f>IFERROR(WHOLE_STRUCTURE[[#This Row],[Bottom '[m']]]-WHOLE_STRUCTURE[[#This Row],[D, top '[m']]], "")</f>
        <v/>
      </c>
      <c r="L88" s="54" t="str">
        <f>IFERROR(-(WHOLE_STRUCTURE[[#This Row],[D, bottom '[m']]]-WHOLE_STRUCTURE[[#This Row],[D, top '[m']]])/(WHOLE_STRUCTURE[[#This Row],[Bottom '[m']]]-WHOLE_STRUCTURE[[#This Row],[Top '[m']]]),"")</f>
        <v/>
      </c>
      <c r="M88" s="54" t="str">
        <f>IFERROR((WHOLE_STRUCTURE[[#This Row],[D, bottom '[m']]]+WHOLE_STRUCTURE[[#This Row],[D, top '[m']]])/(2*WHOLE_STRUCTURE[[#This Row],[t '[mm']]]/1000),"")</f>
        <v/>
      </c>
    </row>
    <row r="89" spans="10:13" x14ac:dyDescent="0.25">
      <c r="J89" s="54" t="str">
        <f t="shared" si="4"/>
        <v/>
      </c>
      <c r="K89" s="54" t="str">
        <f>IFERROR(WHOLE_STRUCTURE[[#This Row],[Bottom '[m']]]-WHOLE_STRUCTURE[[#This Row],[D, top '[m']]], "")</f>
        <v/>
      </c>
      <c r="L89" s="54" t="str">
        <f>IFERROR(-(WHOLE_STRUCTURE[[#This Row],[D, bottom '[m']]]-WHOLE_STRUCTURE[[#This Row],[D, top '[m']]])/(WHOLE_STRUCTURE[[#This Row],[Bottom '[m']]]-WHOLE_STRUCTURE[[#This Row],[Top '[m']]]),"")</f>
        <v/>
      </c>
      <c r="M89" s="54" t="str">
        <f>IFERROR((WHOLE_STRUCTURE[[#This Row],[D, bottom '[m']]]+WHOLE_STRUCTURE[[#This Row],[D, top '[m']]])/(2*WHOLE_STRUCTURE[[#This Row],[t '[mm']]]/1000),"")</f>
        <v/>
      </c>
    </row>
    <row r="90" spans="10:13" x14ac:dyDescent="0.25">
      <c r="J90" s="54" t="str">
        <f t="shared" si="4"/>
        <v/>
      </c>
      <c r="K90" s="54" t="str">
        <f>IFERROR(WHOLE_STRUCTURE[[#This Row],[Bottom '[m']]]-WHOLE_STRUCTURE[[#This Row],[D, top '[m']]], "")</f>
        <v/>
      </c>
      <c r="L90" s="54" t="str">
        <f>IFERROR(-(WHOLE_STRUCTURE[[#This Row],[D, bottom '[m']]]-WHOLE_STRUCTURE[[#This Row],[D, top '[m']]])/(WHOLE_STRUCTURE[[#This Row],[Bottom '[m']]]-WHOLE_STRUCTURE[[#This Row],[Top '[m']]]),"")</f>
        <v/>
      </c>
      <c r="M90" s="54" t="str">
        <f>IFERROR((WHOLE_STRUCTURE[[#This Row],[D, bottom '[m']]]+WHOLE_STRUCTURE[[#This Row],[D, top '[m']]])/(2*WHOLE_STRUCTURE[[#This Row],[t '[mm']]]/1000),"")</f>
        <v/>
      </c>
    </row>
    <row r="91" spans="10:13" x14ac:dyDescent="0.25">
      <c r="J91" s="54" t="str">
        <f t="shared" si="4"/>
        <v/>
      </c>
      <c r="K91" s="54" t="str">
        <f>IFERROR(WHOLE_STRUCTURE[[#This Row],[Bottom '[m']]]-WHOLE_STRUCTURE[[#This Row],[D, top '[m']]], "")</f>
        <v/>
      </c>
      <c r="L91" s="54" t="str">
        <f>IFERROR(-(WHOLE_STRUCTURE[[#This Row],[D, bottom '[m']]]-WHOLE_STRUCTURE[[#This Row],[D, top '[m']]])/(WHOLE_STRUCTURE[[#This Row],[Bottom '[m']]]-WHOLE_STRUCTURE[[#This Row],[Top '[m']]]),"")</f>
        <v/>
      </c>
      <c r="M91" s="54" t="str">
        <f>IFERROR((WHOLE_STRUCTURE[[#This Row],[D, bottom '[m']]]+WHOLE_STRUCTURE[[#This Row],[D, top '[m']]])/(2*WHOLE_STRUCTURE[[#This Row],[t '[mm']]]/1000),"")</f>
        <v/>
      </c>
    </row>
    <row r="92" spans="10:13" x14ac:dyDescent="0.25">
      <c r="J92" s="54" t="str">
        <f t="shared" si="4"/>
        <v/>
      </c>
      <c r="K92" s="54" t="str">
        <f>IFERROR(WHOLE_STRUCTURE[[#This Row],[Bottom '[m']]]-WHOLE_STRUCTURE[[#This Row],[D, top '[m']]], "")</f>
        <v/>
      </c>
      <c r="L92" s="54" t="str">
        <f>IFERROR(-(WHOLE_STRUCTURE[[#This Row],[D, bottom '[m']]]-WHOLE_STRUCTURE[[#This Row],[D, top '[m']]])/(WHOLE_STRUCTURE[[#This Row],[Bottom '[m']]]-WHOLE_STRUCTURE[[#This Row],[Top '[m']]]),"")</f>
        <v/>
      </c>
      <c r="M92" s="54" t="str">
        <f>IFERROR((WHOLE_STRUCTURE[[#This Row],[D, bottom '[m']]]+WHOLE_STRUCTURE[[#This Row],[D, top '[m']]])/(2*WHOLE_STRUCTURE[[#This Row],[t '[mm']]]/1000),"")</f>
        <v/>
      </c>
    </row>
    <row r="93" spans="10:13" x14ac:dyDescent="0.25">
      <c r="J93" s="54" t="str">
        <f t="shared" si="4"/>
        <v/>
      </c>
      <c r="K93" s="54" t="str">
        <f>IFERROR(WHOLE_STRUCTURE[[#This Row],[Bottom '[m']]]-WHOLE_STRUCTURE[[#This Row],[D, top '[m']]], "")</f>
        <v/>
      </c>
      <c r="L93" s="54" t="str">
        <f>IFERROR(-(WHOLE_STRUCTURE[[#This Row],[D, bottom '[m']]]-WHOLE_STRUCTURE[[#This Row],[D, top '[m']]])/(WHOLE_STRUCTURE[[#This Row],[Bottom '[m']]]-WHOLE_STRUCTURE[[#This Row],[Top '[m']]]),"")</f>
        <v/>
      </c>
      <c r="M93" s="54" t="str">
        <f>IFERROR((WHOLE_STRUCTURE[[#This Row],[D, bottom '[m']]]+WHOLE_STRUCTURE[[#This Row],[D, top '[m']]])/(2*WHOLE_STRUCTURE[[#This Row],[t '[mm']]]/1000),"")</f>
        <v/>
      </c>
    </row>
    <row r="94" spans="10:13" x14ac:dyDescent="0.25">
      <c r="J94" s="54" t="str">
        <f t="shared" si="4"/>
        <v/>
      </c>
      <c r="K94" s="54" t="str">
        <f>IFERROR(WHOLE_STRUCTURE[[#This Row],[Bottom '[m']]]-WHOLE_STRUCTURE[[#This Row],[D, top '[m']]], "")</f>
        <v/>
      </c>
      <c r="L94" s="54" t="str">
        <f>IFERROR(-(WHOLE_STRUCTURE[[#This Row],[D, bottom '[m']]]-WHOLE_STRUCTURE[[#This Row],[D, top '[m']]])/(WHOLE_STRUCTURE[[#This Row],[Bottom '[m']]]-WHOLE_STRUCTURE[[#This Row],[Top '[m']]]),"")</f>
        <v/>
      </c>
      <c r="M94" s="54" t="str">
        <f>IFERROR((WHOLE_STRUCTURE[[#This Row],[D, bottom '[m']]]+WHOLE_STRUCTURE[[#This Row],[D, top '[m']]])/(2*WHOLE_STRUCTURE[[#This Row],[t '[mm']]]/1000),"")</f>
        <v/>
      </c>
    </row>
    <row r="95" spans="10:13" x14ac:dyDescent="0.25">
      <c r="J95" s="54" t="str">
        <f t="shared" si="4"/>
        <v/>
      </c>
      <c r="K95" s="54" t="str">
        <f>IFERROR(WHOLE_STRUCTURE[[#This Row],[Bottom '[m']]]-WHOLE_STRUCTURE[[#This Row],[D, top '[m']]], "")</f>
        <v/>
      </c>
      <c r="L95" s="54" t="str">
        <f>IFERROR(-(WHOLE_STRUCTURE[[#This Row],[D, bottom '[m']]]-WHOLE_STRUCTURE[[#This Row],[D, top '[m']]])/(WHOLE_STRUCTURE[[#This Row],[Bottom '[m']]]-WHOLE_STRUCTURE[[#This Row],[Top '[m']]]),"")</f>
        <v/>
      </c>
      <c r="M95" s="54" t="str">
        <f>IFERROR((WHOLE_STRUCTURE[[#This Row],[D, bottom '[m']]]+WHOLE_STRUCTURE[[#This Row],[D, top '[m']]])/(2*WHOLE_STRUCTURE[[#This Row],[t '[mm']]]/1000),"")</f>
        <v/>
      </c>
    </row>
    <row r="96" spans="10:13" x14ac:dyDescent="0.25">
      <c r="J96" s="54" t="str">
        <f t="shared" si="4"/>
        <v/>
      </c>
      <c r="K96" s="54" t="str">
        <f>IFERROR(WHOLE_STRUCTURE[[#This Row],[Bottom '[m']]]-WHOLE_STRUCTURE[[#This Row],[D, top '[m']]], "")</f>
        <v/>
      </c>
      <c r="L96" s="54" t="str">
        <f>IFERROR(-(WHOLE_STRUCTURE[[#This Row],[D, bottom '[m']]]-WHOLE_STRUCTURE[[#This Row],[D, top '[m']]])/(WHOLE_STRUCTURE[[#This Row],[Bottom '[m']]]-WHOLE_STRUCTURE[[#This Row],[Top '[m']]]),"")</f>
        <v/>
      </c>
      <c r="M96" s="54" t="str">
        <f>IFERROR((WHOLE_STRUCTURE[[#This Row],[D, bottom '[m']]]+WHOLE_STRUCTURE[[#This Row],[D, top '[m']]])/(2*WHOLE_STRUCTURE[[#This Row],[t '[mm']]]/1000),"")</f>
        <v/>
      </c>
    </row>
    <row r="97" spans="10:13" x14ac:dyDescent="0.25">
      <c r="J97" s="54" t="str">
        <f t="shared" si="4"/>
        <v/>
      </c>
      <c r="K97" s="54" t="str">
        <f>IFERROR(WHOLE_STRUCTURE[[#This Row],[Bottom '[m']]]-WHOLE_STRUCTURE[[#This Row],[D, top '[m']]], "")</f>
        <v/>
      </c>
      <c r="L97" s="54" t="str">
        <f>IFERROR(-(WHOLE_STRUCTURE[[#This Row],[D, bottom '[m']]]-WHOLE_STRUCTURE[[#This Row],[D, top '[m']]])/(WHOLE_STRUCTURE[[#This Row],[Bottom '[m']]]-WHOLE_STRUCTURE[[#This Row],[Top '[m']]]),"")</f>
        <v/>
      </c>
      <c r="M97" s="54" t="str">
        <f>IFERROR((WHOLE_STRUCTURE[[#This Row],[D, bottom '[m']]]+WHOLE_STRUCTURE[[#This Row],[D, top '[m']]])/(2*WHOLE_STRUCTURE[[#This Row],[t '[mm']]]/1000),"")</f>
        <v/>
      </c>
    </row>
    <row r="98" spans="10:13" x14ac:dyDescent="0.25">
      <c r="J98" s="54" t="str">
        <f t="shared" si="4"/>
        <v/>
      </c>
      <c r="K98" s="54" t="str">
        <f>IFERROR(WHOLE_STRUCTURE[[#This Row],[Bottom '[m']]]-WHOLE_STRUCTURE[[#This Row],[D, top '[m']]], "")</f>
        <v/>
      </c>
      <c r="L98" s="54" t="str">
        <f>IFERROR(-(WHOLE_STRUCTURE[[#This Row],[D, bottom '[m']]]-WHOLE_STRUCTURE[[#This Row],[D, top '[m']]])/(WHOLE_STRUCTURE[[#This Row],[Bottom '[m']]]-WHOLE_STRUCTURE[[#This Row],[Top '[m']]]),"")</f>
        <v/>
      </c>
      <c r="M98" s="54" t="str">
        <f>IFERROR((WHOLE_STRUCTURE[[#This Row],[D, bottom '[m']]]+WHOLE_STRUCTURE[[#This Row],[D, top '[m']]])/(2*WHOLE_STRUCTURE[[#This Row],[t '[mm']]]/1000),"")</f>
        <v/>
      </c>
    </row>
    <row r="99" spans="10:13" x14ac:dyDescent="0.25">
      <c r="J99" s="54" t="str">
        <f t="shared" si="4"/>
        <v/>
      </c>
      <c r="K99" s="54" t="str">
        <f>IFERROR(WHOLE_STRUCTURE[[#This Row],[Bottom '[m']]]-WHOLE_STRUCTURE[[#This Row],[D, top '[m']]], "")</f>
        <v/>
      </c>
      <c r="L99" s="54" t="str">
        <f>IFERROR(-(WHOLE_STRUCTURE[[#This Row],[D, bottom '[m']]]-WHOLE_STRUCTURE[[#This Row],[D, top '[m']]])/(WHOLE_STRUCTURE[[#This Row],[Bottom '[m']]]-WHOLE_STRUCTURE[[#This Row],[Top '[m']]]),"")</f>
        <v/>
      </c>
      <c r="M99" s="54" t="str">
        <f>IFERROR((WHOLE_STRUCTURE[[#This Row],[D, bottom '[m']]]+WHOLE_STRUCTURE[[#This Row],[D, top '[m']]])/(2*WHOLE_STRUCTURE[[#This Row],[t '[mm']]]/1000),"")</f>
        <v/>
      </c>
    </row>
    <row r="100" spans="10:13" x14ac:dyDescent="0.25">
      <c r="J100" s="54" t="str">
        <f t="shared" si="4"/>
        <v/>
      </c>
      <c r="K100" s="54" t="str">
        <f>IFERROR(WHOLE_STRUCTURE[[#This Row],[Bottom '[m']]]-WHOLE_STRUCTURE[[#This Row],[D, top '[m']]], "")</f>
        <v/>
      </c>
      <c r="L100" s="54" t="str">
        <f>IFERROR(-(WHOLE_STRUCTURE[[#This Row],[D, bottom '[m']]]-WHOLE_STRUCTURE[[#This Row],[D, top '[m']]])/(WHOLE_STRUCTURE[[#This Row],[Bottom '[m']]]-WHOLE_STRUCTURE[[#This Row],[Top '[m']]]),"")</f>
        <v/>
      </c>
      <c r="M100" s="54" t="str">
        <f>IFERROR((WHOLE_STRUCTURE[[#This Row],[D, bottom '[m']]]+WHOLE_STRUCTURE[[#This Row],[D, top '[m']]])/(2*WHOLE_STRUCTURE[[#This Row],[t '[mm']]]/1000),"")</f>
        <v/>
      </c>
    </row>
    <row r="101" spans="10:13" x14ac:dyDescent="0.25">
      <c r="J101" s="54" t="str">
        <f t="shared" si="4"/>
        <v/>
      </c>
      <c r="K101" s="54" t="str">
        <f>IFERROR(WHOLE_STRUCTURE[[#This Row],[Bottom '[m']]]-WHOLE_STRUCTURE[[#This Row],[D, top '[m']]], "")</f>
        <v/>
      </c>
      <c r="L101" s="54" t="str">
        <f>IFERROR(-(WHOLE_STRUCTURE[[#This Row],[D, bottom '[m']]]-WHOLE_STRUCTURE[[#This Row],[D, top '[m']]])/(WHOLE_STRUCTURE[[#This Row],[Bottom '[m']]]-WHOLE_STRUCTURE[[#This Row],[Top '[m']]]),"")</f>
        <v/>
      </c>
      <c r="M101" s="54" t="str">
        <f>IFERROR((WHOLE_STRUCTURE[[#This Row],[D, bottom '[m']]]+WHOLE_STRUCTURE[[#This Row],[D, top '[m']]])/(2*WHOLE_STRUCTURE[[#This Row],[t '[mm']]]/1000),"")</f>
        <v/>
      </c>
    </row>
    <row r="102" spans="10:13" x14ac:dyDescent="0.25">
      <c r="J102" s="54" t="str">
        <f t="shared" si="4"/>
        <v/>
      </c>
      <c r="K102" s="54" t="str">
        <f>IFERROR(WHOLE_STRUCTURE[[#This Row],[Bottom '[m']]]-WHOLE_STRUCTURE[[#This Row],[D, top '[m']]], "")</f>
        <v/>
      </c>
      <c r="L102" s="54" t="str">
        <f>IFERROR(-(WHOLE_STRUCTURE[[#This Row],[D, bottom '[m']]]-WHOLE_STRUCTURE[[#This Row],[D, top '[m']]])/(WHOLE_STRUCTURE[[#This Row],[Bottom '[m']]]-WHOLE_STRUCTURE[[#This Row],[Top '[m']]]),"")</f>
        <v/>
      </c>
      <c r="M102" s="54" t="str">
        <f>IFERROR((WHOLE_STRUCTURE[[#This Row],[D, bottom '[m']]]+WHOLE_STRUCTURE[[#This Row],[D, top '[m']]])/(2*WHOLE_STRUCTURE[[#This Row],[t '[mm']]]/1000),"")</f>
        <v/>
      </c>
    </row>
    <row r="103" spans="10:13" x14ac:dyDescent="0.25">
      <c r="J103" s="54" t="str">
        <f t="shared" si="4"/>
        <v/>
      </c>
      <c r="K103" s="54" t="str">
        <f>IFERROR(WHOLE_STRUCTURE[[#This Row],[Bottom '[m']]]-WHOLE_STRUCTURE[[#This Row],[D, top '[m']]], "")</f>
        <v/>
      </c>
      <c r="L103" s="54" t="str">
        <f>IFERROR(-(WHOLE_STRUCTURE[[#This Row],[D, bottom '[m']]]-WHOLE_STRUCTURE[[#This Row],[D, top '[m']]])/(WHOLE_STRUCTURE[[#This Row],[Bottom '[m']]]-WHOLE_STRUCTURE[[#This Row],[Top '[m']]]),"")</f>
        <v/>
      </c>
      <c r="M103" s="54" t="str">
        <f>IFERROR((WHOLE_STRUCTURE[[#This Row],[D, bottom '[m']]]+WHOLE_STRUCTURE[[#This Row],[D, top '[m']]])/(2*WHOLE_STRUCTURE[[#This Row],[t '[mm']]]/1000),"")</f>
        <v/>
      </c>
    </row>
    <row r="104" spans="10:13" x14ac:dyDescent="0.25">
      <c r="J104" s="54" t="str">
        <f t="shared" si="4"/>
        <v/>
      </c>
      <c r="K104" s="54" t="str">
        <f>IFERROR(WHOLE_STRUCTURE[[#This Row],[Bottom '[m']]]-WHOLE_STRUCTURE[[#This Row],[D, top '[m']]], "")</f>
        <v/>
      </c>
      <c r="L104" s="54" t="str">
        <f>IFERROR(-(WHOLE_STRUCTURE[[#This Row],[D, bottom '[m']]]-WHOLE_STRUCTURE[[#This Row],[D, top '[m']]])/(WHOLE_STRUCTURE[[#This Row],[Bottom '[m']]]-WHOLE_STRUCTURE[[#This Row],[Top '[m']]]),"")</f>
        <v/>
      </c>
      <c r="M104" s="54" t="str">
        <f>IFERROR((WHOLE_STRUCTURE[[#This Row],[D, bottom '[m']]]+WHOLE_STRUCTURE[[#This Row],[D, top '[m']]])/(2*WHOLE_STRUCTURE[[#This Row],[t '[mm']]]/1000),"")</f>
        <v/>
      </c>
    </row>
    <row r="105" spans="10:13" x14ac:dyDescent="0.25">
      <c r="J105" s="54" t="str">
        <f t="shared" si="4"/>
        <v/>
      </c>
      <c r="K105" s="54" t="str">
        <f>IFERROR(WHOLE_STRUCTURE[[#This Row],[Bottom '[m']]]-WHOLE_STRUCTURE[[#This Row],[D, top '[m']]], "")</f>
        <v/>
      </c>
      <c r="L105" s="54" t="str">
        <f>IFERROR(-(WHOLE_STRUCTURE[[#This Row],[D, bottom '[m']]]-WHOLE_STRUCTURE[[#This Row],[D, top '[m']]])/(WHOLE_STRUCTURE[[#This Row],[Bottom '[m']]]-WHOLE_STRUCTURE[[#This Row],[Top '[m']]]),"")</f>
        <v/>
      </c>
      <c r="M105" s="54" t="str">
        <f>IFERROR((WHOLE_STRUCTURE[[#This Row],[D, bottom '[m']]]+WHOLE_STRUCTURE[[#This Row],[D, top '[m']]])/(2*WHOLE_STRUCTURE[[#This Row],[t '[mm']]]/1000),"")</f>
        <v/>
      </c>
    </row>
    <row r="106" spans="10:13" x14ac:dyDescent="0.25">
      <c r="J106" s="54" t="str">
        <f t="shared" si="4"/>
        <v/>
      </c>
      <c r="K106" s="54" t="str">
        <f>IFERROR(WHOLE_STRUCTURE[[#This Row],[Bottom '[m']]]-WHOLE_STRUCTURE[[#This Row],[D, top '[m']]], "")</f>
        <v/>
      </c>
      <c r="L106" s="54" t="str">
        <f>IFERROR(-(WHOLE_STRUCTURE[[#This Row],[D, bottom '[m']]]-WHOLE_STRUCTURE[[#This Row],[D, top '[m']]])/(WHOLE_STRUCTURE[[#This Row],[Bottom '[m']]]-WHOLE_STRUCTURE[[#This Row],[Top '[m']]]),"")</f>
        <v/>
      </c>
      <c r="M106" s="54" t="str">
        <f>IFERROR((WHOLE_STRUCTURE[[#This Row],[D, bottom '[m']]]+WHOLE_STRUCTURE[[#This Row],[D, top '[m']]])/(2*WHOLE_STRUCTURE[[#This Row],[t '[mm']]]/1000),"")</f>
        <v/>
      </c>
    </row>
    <row r="107" spans="10:13" x14ac:dyDescent="0.25">
      <c r="J107" s="54" t="str">
        <f t="shared" si="4"/>
        <v/>
      </c>
      <c r="K107" s="54" t="str">
        <f>IFERROR(WHOLE_STRUCTURE[[#This Row],[Bottom '[m']]]-WHOLE_STRUCTURE[[#This Row],[D, top '[m']]], "")</f>
        <v/>
      </c>
      <c r="L107" s="54" t="str">
        <f>IFERROR(-(WHOLE_STRUCTURE[[#This Row],[D, bottom '[m']]]-WHOLE_STRUCTURE[[#This Row],[D, top '[m']]])/(WHOLE_STRUCTURE[[#This Row],[Bottom '[m']]]-WHOLE_STRUCTURE[[#This Row],[Top '[m']]]),"")</f>
        <v/>
      </c>
      <c r="M107" s="54" t="str">
        <f>IFERROR((WHOLE_STRUCTURE[[#This Row],[D, bottom '[m']]]+WHOLE_STRUCTURE[[#This Row],[D, top '[m']]])/(2*WHOLE_STRUCTURE[[#This Row],[t '[mm']]]/1000),"")</f>
        <v/>
      </c>
    </row>
    <row r="108" spans="10:13" x14ac:dyDescent="0.25">
      <c r="J108" s="54" t="str">
        <f t="shared" si="4"/>
        <v/>
      </c>
      <c r="K108" s="54" t="str">
        <f>IFERROR(WHOLE_STRUCTURE[[#This Row],[Bottom '[m']]]-WHOLE_STRUCTURE[[#This Row],[D, top '[m']]], "")</f>
        <v/>
      </c>
      <c r="L108" s="54" t="str">
        <f>IFERROR(-(WHOLE_STRUCTURE[[#This Row],[D, bottom '[m']]]-WHOLE_STRUCTURE[[#This Row],[D, top '[m']]])/(WHOLE_STRUCTURE[[#This Row],[Bottom '[m']]]-WHOLE_STRUCTURE[[#This Row],[Top '[m']]]),"")</f>
        <v/>
      </c>
      <c r="M108" s="54" t="str">
        <f>IFERROR((WHOLE_STRUCTURE[[#This Row],[D, bottom '[m']]]+WHOLE_STRUCTURE[[#This Row],[D, top '[m']]])/(2*WHOLE_STRUCTURE[[#This Row],[t '[mm']]]/1000),"")</f>
        <v/>
      </c>
    </row>
    <row r="109" spans="10:13" x14ac:dyDescent="0.25">
      <c r="J109" s="54" t="str">
        <f t="shared" si="4"/>
        <v/>
      </c>
      <c r="K109" s="54" t="str">
        <f>IFERROR(WHOLE_STRUCTURE[[#This Row],[Bottom '[m']]]-WHOLE_STRUCTURE[[#This Row],[D, top '[m']]], "")</f>
        <v/>
      </c>
      <c r="L109" s="54" t="str">
        <f>IFERROR(-(WHOLE_STRUCTURE[[#This Row],[D, bottom '[m']]]-WHOLE_STRUCTURE[[#This Row],[D, top '[m']]])/(WHOLE_STRUCTURE[[#This Row],[Bottom '[m']]]-WHOLE_STRUCTURE[[#This Row],[Top '[m']]]),"")</f>
        <v/>
      </c>
      <c r="M109" s="54" t="str">
        <f>IFERROR((WHOLE_STRUCTURE[[#This Row],[D, bottom '[m']]]+WHOLE_STRUCTURE[[#This Row],[D, top '[m']]])/(2*WHOLE_STRUCTURE[[#This Row],[t '[mm']]]/1000),"")</f>
        <v/>
      </c>
    </row>
    <row r="110" spans="10:13" x14ac:dyDescent="0.25">
      <c r="J110" s="54" t="str">
        <f t="shared" si="4"/>
        <v/>
      </c>
      <c r="K110" s="54" t="str">
        <f>IFERROR(WHOLE_STRUCTURE[[#This Row],[Bottom '[m']]]-WHOLE_STRUCTURE[[#This Row],[D, top '[m']]], "")</f>
        <v/>
      </c>
      <c r="L110" s="54" t="str">
        <f>IFERROR(-(WHOLE_STRUCTURE[[#This Row],[D, bottom '[m']]]-WHOLE_STRUCTURE[[#This Row],[D, top '[m']]])/(WHOLE_STRUCTURE[[#This Row],[Bottom '[m']]]-WHOLE_STRUCTURE[[#This Row],[Top '[m']]]),"")</f>
        <v/>
      </c>
      <c r="M110" s="54" t="str">
        <f>IFERROR((WHOLE_STRUCTURE[[#This Row],[D, bottom '[m']]]+WHOLE_STRUCTURE[[#This Row],[D, top '[m']]])/(2*WHOLE_STRUCTURE[[#This Row],[t '[mm']]]/1000),"")</f>
        <v/>
      </c>
    </row>
    <row r="111" spans="10:13" x14ac:dyDescent="0.25">
      <c r="J111" s="54" t="str">
        <f t="shared" si="4"/>
        <v/>
      </c>
      <c r="K111" s="54" t="str">
        <f>IFERROR(WHOLE_STRUCTURE[[#This Row],[Bottom '[m']]]-WHOLE_STRUCTURE[[#This Row],[D, top '[m']]], "")</f>
        <v/>
      </c>
      <c r="L111" s="54" t="str">
        <f>IFERROR(-(WHOLE_STRUCTURE[[#This Row],[D, bottom '[m']]]-WHOLE_STRUCTURE[[#This Row],[D, top '[m']]])/(WHOLE_STRUCTURE[[#This Row],[Bottom '[m']]]-WHOLE_STRUCTURE[[#This Row],[Top '[m']]]),"")</f>
        <v/>
      </c>
      <c r="M111" s="54" t="str">
        <f>IFERROR((WHOLE_STRUCTURE[[#This Row],[D, bottom '[m']]]+WHOLE_STRUCTURE[[#This Row],[D, top '[m']]])/(2*WHOLE_STRUCTURE[[#This Row],[t '[mm']]]/1000),"")</f>
        <v/>
      </c>
    </row>
    <row r="112" spans="10:13" x14ac:dyDescent="0.25">
      <c r="J112" s="54" t="str">
        <f t="shared" si="4"/>
        <v/>
      </c>
      <c r="K112" s="54" t="str">
        <f>IFERROR(WHOLE_STRUCTURE[[#This Row],[Bottom '[m']]]-WHOLE_STRUCTURE[[#This Row],[D, top '[m']]], "")</f>
        <v/>
      </c>
      <c r="L112" s="54" t="str">
        <f>IFERROR(-(WHOLE_STRUCTURE[[#This Row],[D, bottom '[m']]]-WHOLE_STRUCTURE[[#This Row],[D, top '[m']]])/(WHOLE_STRUCTURE[[#This Row],[Bottom '[m']]]-WHOLE_STRUCTURE[[#This Row],[Top '[m']]]),"")</f>
        <v/>
      </c>
      <c r="M112" s="54" t="str">
        <f>IFERROR((WHOLE_STRUCTURE[[#This Row],[D, bottom '[m']]]+WHOLE_STRUCTURE[[#This Row],[D, top '[m']]])/(2*WHOLE_STRUCTURE[[#This Row],[t '[mm']]]/1000),"")</f>
        <v/>
      </c>
    </row>
    <row r="113" spans="10:13" x14ac:dyDescent="0.25">
      <c r="J113" s="54" t="str">
        <f t="shared" si="4"/>
        <v/>
      </c>
      <c r="K113" s="54" t="str">
        <f>IFERROR(WHOLE_STRUCTURE[[#This Row],[Bottom '[m']]]-WHOLE_STRUCTURE[[#This Row],[D, top '[m']]], "")</f>
        <v/>
      </c>
      <c r="L113" s="54" t="str">
        <f>IFERROR(-(WHOLE_STRUCTURE[[#This Row],[D, bottom '[m']]]-WHOLE_STRUCTURE[[#This Row],[D, top '[m']]])/(WHOLE_STRUCTURE[[#This Row],[Bottom '[m']]]-WHOLE_STRUCTURE[[#This Row],[Top '[m']]]),"")</f>
        <v/>
      </c>
      <c r="M113" s="54" t="str">
        <f>IFERROR((WHOLE_STRUCTURE[[#This Row],[D, bottom '[m']]]+WHOLE_STRUCTURE[[#This Row],[D, top '[m']]])/(2*WHOLE_STRUCTURE[[#This Row],[t '[mm']]]/1000),"")</f>
        <v/>
      </c>
    </row>
    <row r="114" spans="10:13" x14ac:dyDescent="0.25">
      <c r="J114" s="54" t="str">
        <f t="shared" si="4"/>
        <v/>
      </c>
      <c r="K114" s="54" t="str">
        <f>IFERROR(WHOLE_STRUCTURE[[#This Row],[Bottom '[m']]]-WHOLE_STRUCTURE[[#This Row],[D, top '[m']]], "")</f>
        <v/>
      </c>
      <c r="L114" s="54" t="str">
        <f>IFERROR(-(WHOLE_STRUCTURE[[#This Row],[D, bottom '[m']]]-WHOLE_STRUCTURE[[#This Row],[D, top '[m']]])/(WHOLE_STRUCTURE[[#This Row],[Bottom '[m']]]-WHOLE_STRUCTURE[[#This Row],[Top '[m']]]),"")</f>
        <v/>
      </c>
      <c r="M114" s="54" t="str">
        <f>IFERROR((WHOLE_STRUCTURE[[#This Row],[D, bottom '[m']]]+WHOLE_STRUCTURE[[#This Row],[D, top '[m']]])/(2*WHOLE_STRUCTURE[[#This Row],[t '[mm']]]/1000),"")</f>
        <v/>
      </c>
    </row>
    <row r="115" spans="10:13" x14ac:dyDescent="0.25">
      <c r="J115" s="54" t="str">
        <f t="shared" si="4"/>
        <v/>
      </c>
      <c r="K115" s="54" t="str">
        <f>IFERROR(WHOLE_STRUCTURE[[#This Row],[Bottom '[m']]]-WHOLE_STRUCTURE[[#This Row],[D, top '[m']]], "")</f>
        <v/>
      </c>
      <c r="L115" s="54" t="str">
        <f>IFERROR(-(WHOLE_STRUCTURE[[#This Row],[D, bottom '[m']]]-WHOLE_STRUCTURE[[#This Row],[D, top '[m']]])/(WHOLE_STRUCTURE[[#This Row],[Bottom '[m']]]-WHOLE_STRUCTURE[[#This Row],[Top '[m']]]),"")</f>
        <v/>
      </c>
      <c r="M115" s="54" t="str">
        <f>IFERROR((WHOLE_STRUCTURE[[#This Row],[D, bottom '[m']]]+WHOLE_STRUCTURE[[#This Row],[D, top '[m']]])/(2*WHOLE_STRUCTURE[[#This Row],[t '[mm']]]/1000),"")</f>
        <v/>
      </c>
    </row>
    <row r="116" spans="10:13" x14ac:dyDescent="0.25">
      <c r="J116" s="54" t="str">
        <f t="shared" si="4"/>
        <v/>
      </c>
      <c r="K116" s="54" t="str">
        <f>IFERROR(WHOLE_STRUCTURE[[#This Row],[Bottom '[m']]]-WHOLE_STRUCTURE[[#This Row],[D, top '[m']]], "")</f>
        <v/>
      </c>
      <c r="L116" s="54" t="str">
        <f>IFERROR(-(WHOLE_STRUCTURE[[#This Row],[D, bottom '[m']]]-WHOLE_STRUCTURE[[#This Row],[D, top '[m']]])/(WHOLE_STRUCTURE[[#This Row],[Bottom '[m']]]-WHOLE_STRUCTURE[[#This Row],[Top '[m']]]),"")</f>
        <v/>
      </c>
      <c r="M116" s="54" t="str">
        <f>IFERROR((WHOLE_STRUCTURE[[#This Row],[D, bottom '[m']]]+WHOLE_STRUCTURE[[#This Row],[D, top '[m']]])/(2*WHOLE_STRUCTURE[[#This Row],[t '[mm']]]/1000),"")</f>
        <v/>
      </c>
    </row>
    <row r="117" spans="10:13" x14ac:dyDescent="0.25">
      <c r="J117" s="54" t="str">
        <f t="shared" si="4"/>
        <v/>
      </c>
      <c r="K117" s="54" t="str">
        <f>IFERROR(WHOLE_STRUCTURE[[#This Row],[Bottom '[m']]]-WHOLE_STRUCTURE[[#This Row],[D, top '[m']]], "")</f>
        <v/>
      </c>
      <c r="L117" s="54" t="str">
        <f>IFERROR(-(WHOLE_STRUCTURE[[#This Row],[D, bottom '[m']]]-WHOLE_STRUCTURE[[#This Row],[D, top '[m']]])/(WHOLE_STRUCTURE[[#This Row],[Bottom '[m']]]-WHOLE_STRUCTURE[[#This Row],[Top '[m']]]),"")</f>
        <v/>
      </c>
      <c r="M117" s="54" t="str">
        <f>IFERROR((WHOLE_STRUCTURE[[#This Row],[D, bottom '[m']]]+WHOLE_STRUCTURE[[#This Row],[D, top '[m']]])/(2*WHOLE_STRUCTURE[[#This Row],[t '[mm']]]/1000),"")</f>
        <v/>
      </c>
    </row>
    <row r="118" spans="10:13" x14ac:dyDescent="0.25">
      <c r="J118" s="54" t="str">
        <f t="shared" si="4"/>
        <v/>
      </c>
      <c r="K118" s="54" t="str">
        <f>IFERROR(WHOLE_STRUCTURE[[#This Row],[Bottom '[m']]]-WHOLE_STRUCTURE[[#This Row],[D, top '[m']]], "")</f>
        <v/>
      </c>
      <c r="L118" s="54" t="str">
        <f>IFERROR(-(WHOLE_STRUCTURE[[#This Row],[D, bottom '[m']]]-WHOLE_STRUCTURE[[#This Row],[D, top '[m']]])/(WHOLE_STRUCTURE[[#This Row],[Bottom '[m']]]-WHOLE_STRUCTURE[[#This Row],[Top '[m']]]),"")</f>
        <v/>
      </c>
      <c r="M118" s="54" t="str">
        <f>IFERROR((WHOLE_STRUCTURE[[#This Row],[D, bottom '[m']]]+WHOLE_STRUCTURE[[#This Row],[D, top '[m']]])/(2*WHOLE_STRUCTURE[[#This Row],[t '[mm']]]/1000),"")</f>
        <v/>
      </c>
    </row>
    <row r="119" spans="10:13" x14ac:dyDescent="0.25">
      <c r="J119" s="54" t="str">
        <f t="shared" si="4"/>
        <v/>
      </c>
      <c r="K119" s="54" t="str">
        <f>IFERROR(WHOLE_STRUCTURE[[#This Row],[Bottom '[m']]]-WHOLE_STRUCTURE[[#This Row],[D, top '[m']]], "")</f>
        <v/>
      </c>
      <c r="L119" s="54" t="str">
        <f>IFERROR(-(WHOLE_STRUCTURE[[#This Row],[D, bottom '[m']]]-WHOLE_STRUCTURE[[#This Row],[D, top '[m']]])/(WHOLE_STRUCTURE[[#This Row],[Bottom '[m']]]-WHOLE_STRUCTURE[[#This Row],[Top '[m']]]),"")</f>
        <v/>
      </c>
      <c r="M119" s="54" t="str">
        <f>IFERROR((WHOLE_STRUCTURE[[#This Row],[D, bottom '[m']]]+WHOLE_STRUCTURE[[#This Row],[D, top '[m']]])/(2*WHOLE_STRUCTURE[[#This Row],[t '[mm']]]/1000),"")</f>
        <v/>
      </c>
    </row>
    <row r="120" spans="10:13" x14ac:dyDescent="0.25">
      <c r="J120" s="54" t="str">
        <f t="shared" si="4"/>
        <v/>
      </c>
      <c r="K120" s="54" t="str">
        <f>IFERROR(WHOLE_STRUCTURE[[#This Row],[Bottom '[m']]]-WHOLE_STRUCTURE[[#This Row],[D, top '[m']]], "")</f>
        <v/>
      </c>
      <c r="L120" s="54" t="str">
        <f>IFERROR(-(WHOLE_STRUCTURE[[#This Row],[D, bottom '[m']]]-WHOLE_STRUCTURE[[#This Row],[D, top '[m']]])/(WHOLE_STRUCTURE[[#This Row],[Bottom '[m']]]-WHOLE_STRUCTURE[[#This Row],[Top '[m']]]),"")</f>
        <v/>
      </c>
      <c r="M120" s="54" t="str">
        <f>IFERROR((WHOLE_STRUCTURE[[#This Row],[D, bottom '[m']]]+WHOLE_STRUCTURE[[#This Row],[D, top '[m']]])/(2*WHOLE_STRUCTURE[[#This Row],[t '[mm']]]/1000),"")</f>
        <v/>
      </c>
    </row>
    <row r="121" spans="10:13" x14ac:dyDescent="0.25">
      <c r="J121" s="54" t="str">
        <f t="shared" si="4"/>
        <v/>
      </c>
      <c r="K121" s="54" t="str">
        <f>IFERROR(WHOLE_STRUCTURE[[#This Row],[Bottom '[m']]]-WHOLE_STRUCTURE[[#This Row],[D, top '[m']]], "")</f>
        <v/>
      </c>
      <c r="L121" s="54" t="str">
        <f>IFERROR(-(WHOLE_STRUCTURE[[#This Row],[D, bottom '[m']]]-WHOLE_STRUCTURE[[#This Row],[D, top '[m']]])/(WHOLE_STRUCTURE[[#This Row],[Bottom '[m']]]-WHOLE_STRUCTURE[[#This Row],[Top '[m']]]),"")</f>
        <v/>
      </c>
      <c r="M121" s="54" t="str">
        <f>IFERROR((WHOLE_STRUCTURE[[#This Row],[D, bottom '[m']]]+WHOLE_STRUCTURE[[#This Row],[D, top '[m']]])/(2*WHOLE_STRUCTURE[[#This Row],[t '[mm']]]/1000),"")</f>
        <v/>
      </c>
    </row>
    <row r="122" spans="10:13" x14ac:dyDescent="0.25">
      <c r="J122" s="54" t="str">
        <f t="shared" si="4"/>
        <v/>
      </c>
      <c r="K122" s="54" t="str">
        <f>IFERROR(WHOLE_STRUCTURE[[#This Row],[Bottom '[m']]]-WHOLE_STRUCTURE[[#This Row],[D, top '[m']]], "")</f>
        <v/>
      </c>
      <c r="L122" s="54" t="str">
        <f>IFERROR(-(WHOLE_STRUCTURE[[#This Row],[D, bottom '[m']]]-WHOLE_STRUCTURE[[#This Row],[D, top '[m']]])/(WHOLE_STRUCTURE[[#This Row],[Bottom '[m']]]-WHOLE_STRUCTURE[[#This Row],[Top '[m']]]),"")</f>
        <v/>
      </c>
      <c r="M122" s="54" t="str">
        <f>IFERROR((WHOLE_STRUCTURE[[#This Row],[D, bottom '[m']]]+WHOLE_STRUCTURE[[#This Row],[D, top '[m']]])/(2*WHOLE_STRUCTURE[[#This Row],[t '[mm']]]/1000),"")</f>
        <v/>
      </c>
    </row>
    <row r="123" spans="10:13" x14ac:dyDescent="0.25">
      <c r="J123" s="54" t="str">
        <f t="shared" si="4"/>
        <v/>
      </c>
      <c r="K123" s="54" t="str">
        <f>IFERROR(WHOLE_STRUCTURE[[#This Row],[Bottom '[m']]]-WHOLE_STRUCTURE[[#This Row],[D, top '[m']]], "")</f>
        <v/>
      </c>
      <c r="L123" s="54" t="str">
        <f>IFERROR(-(WHOLE_STRUCTURE[[#This Row],[D, bottom '[m']]]-WHOLE_STRUCTURE[[#This Row],[D, top '[m']]])/(WHOLE_STRUCTURE[[#This Row],[Bottom '[m']]]-WHOLE_STRUCTURE[[#This Row],[Top '[m']]]),"")</f>
        <v/>
      </c>
      <c r="M123" s="54" t="str">
        <f>IFERROR((WHOLE_STRUCTURE[[#This Row],[D, bottom '[m']]]+WHOLE_STRUCTURE[[#This Row],[D, top '[m']]])/(2*WHOLE_STRUCTURE[[#This Row],[t '[mm']]]/1000),"")</f>
        <v/>
      </c>
    </row>
    <row r="124" spans="10:13" x14ac:dyDescent="0.25">
      <c r="J124" s="54" t="str">
        <f t="shared" si="4"/>
        <v/>
      </c>
      <c r="K124" s="54" t="str">
        <f>IFERROR(WHOLE_STRUCTURE[[#This Row],[Bottom '[m']]]-WHOLE_STRUCTURE[[#This Row],[D, top '[m']]], "")</f>
        <v/>
      </c>
      <c r="L124" s="54" t="str">
        <f>IFERROR(-(WHOLE_STRUCTURE[[#This Row],[D, bottom '[m']]]-WHOLE_STRUCTURE[[#This Row],[D, top '[m']]])/(WHOLE_STRUCTURE[[#This Row],[Bottom '[m']]]-WHOLE_STRUCTURE[[#This Row],[Top '[m']]]),"")</f>
        <v/>
      </c>
      <c r="M124" s="54" t="str">
        <f>IFERROR((WHOLE_STRUCTURE[[#This Row],[D, bottom '[m']]]+WHOLE_STRUCTURE[[#This Row],[D, top '[m']]])/(2*WHOLE_STRUCTURE[[#This Row],[t '[mm']]]/1000),"")</f>
        <v/>
      </c>
    </row>
    <row r="125" spans="10:13" x14ac:dyDescent="0.25">
      <c r="J125" s="54" t="str">
        <f t="shared" si="4"/>
        <v/>
      </c>
      <c r="K125" s="54" t="str">
        <f>IFERROR(WHOLE_STRUCTURE[[#This Row],[Bottom '[m']]]-WHOLE_STRUCTURE[[#This Row],[D, top '[m']]], "")</f>
        <v/>
      </c>
      <c r="L125" s="54" t="str">
        <f>IFERROR(-(WHOLE_STRUCTURE[[#This Row],[D, bottom '[m']]]-WHOLE_STRUCTURE[[#This Row],[D, top '[m']]])/(WHOLE_STRUCTURE[[#This Row],[Bottom '[m']]]-WHOLE_STRUCTURE[[#This Row],[Top '[m']]]),"")</f>
        <v/>
      </c>
      <c r="M125" s="54" t="str">
        <f>IFERROR((WHOLE_STRUCTURE[[#This Row],[D, bottom '[m']]]+WHOLE_STRUCTURE[[#This Row],[D, top '[m']]])/(2*WHOLE_STRUCTURE[[#This Row],[t '[mm']]]/1000),"")</f>
        <v/>
      </c>
    </row>
    <row r="126" spans="10:13" x14ac:dyDescent="0.25">
      <c r="J126" s="54" t="str">
        <f t="shared" si="4"/>
        <v/>
      </c>
      <c r="K126" s="54" t="str">
        <f>IFERROR(WHOLE_STRUCTURE[[#This Row],[Bottom '[m']]]-WHOLE_STRUCTURE[[#This Row],[D, top '[m']]], "")</f>
        <v/>
      </c>
      <c r="L126" s="54" t="str">
        <f>IFERROR(-(WHOLE_STRUCTURE[[#This Row],[D, bottom '[m']]]-WHOLE_STRUCTURE[[#This Row],[D, top '[m']]])/(WHOLE_STRUCTURE[[#This Row],[Bottom '[m']]]-WHOLE_STRUCTURE[[#This Row],[Top '[m']]]),"")</f>
        <v/>
      </c>
      <c r="M126" s="54" t="str">
        <f>IFERROR((WHOLE_STRUCTURE[[#This Row],[D, bottom '[m']]]+WHOLE_STRUCTURE[[#This Row],[D, top '[m']]])/(2*WHOLE_STRUCTURE[[#This Row],[t '[mm']]]/1000),"")</f>
        <v/>
      </c>
    </row>
    <row r="127" spans="10:13" x14ac:dyDescent="0.25">
      <c r="J127" s="54" t="str">
        <f t="shared" si="4"/>
        <v/>
      </c>
      <c r="K127" s="54" t="str">
        <f>IFERROR(WHOLE_STRUCTURE[[#This Row],[Bottom '[m']]]-WHOLE_STRUCTURE[[#This Row],[D, top '[m']]], "")</f>
        <v/>
      </c>
      <c r="L127" s="54" t="str">
        <f>IFERROR(-(WHOLE_STRUCTURE[[#This Row],[D, bottom '[m']]]-WHOLE_STRUCTURE[[#This Row],[D, top '[m']]])/(WHOLE_STRUCTURE[[#This Row],[Bottom '[m']]]-WHOLE_STRUCTURE[[#This Row],[Top '[m']]]),"")</f>
        <v/>
      </c>
      <c r="M127" s="54" t="str">
        <f>IFERROR((WHOLE_STRUCTURE[[#This Row],[D, bottom '[m']]]+WHOLE_STRUCTURE[[#This Row],[D, top '[m']]])/(2*WHOLE_STRUCTURE[[#This Row],[t '[mm']]]/1000),"")</f>
        <v/>
      </c>
    </row>
    <row r="128" spans="10:13" x14ac:dyDescent="0.25">
      <c r="J128" s="54" t="str">
        <f t="shared" si="4"/>
        <v/>
      </c>
      <c r="K128" s="54" t="str">
        <f>IFERROR(WHOLE_STRUCTURE[[#This Row],[Bottom '[m']]]-WHOLE_STRUCTURE[[#This Row],[D, top '[m']]], "")</f>
        <v/>
      </c>
      <c r="L128" s="54" t="str">
        <f>IFERROR(-(WHOLE_STRUCTURE[[#This Row],[D, bottom '[m']]]-WHOLE_STRUCTURE[[#This Row],[D, top '[m']]])/(WHOLE_STRUCTURE[[#This Row],[Bottom '[m']]]-WHOLE_STRUCTURE[[#This Row],[Top '[m']]]),"")</f>
        <v/>
      </c>
      <c r="M128" s="54" t="str">
        <f>IFERROR((WHOLE_STRUCTURE[[#This Row],[D, bottom '[m']]]+WHOLE_STRUCTURE[[#This Row],[D, top '[m']]])/(2*WHOLE_STRUCTURE[[#This Row],[t '[mm']]]/1000),"")</f>
        <v/>
      </c>
    </row>
    <row r="129" spans="10:13" x14ac:dyDescent="0.25">
      <c r="J129" s="54" t="str">
        <f t="shared" si="4"/>
        <v/>
      </c>
      <c r="K129" s="54" t="str">
        <f>IFERROR(WHOLE_STRUCTURE[[#This Row],[Bottom '[m']]]-WHOLE_STRUCTURE[[#This Row],[D, top '[m']]], "")</f>
        <v/>
      </c>
      <c r="L129" s="54" t="str">
        <f>IFERROR(-(WHOLE_STRUCTURE[[#This Row],[D, bottom '[m']]]-WHOLE_STRUCTURE[[#This Row],[D, top '[m']]])/(WHOLE_STRUCTURE[[#This Row],[Bottom '[m']]]-WHOLE_STRUCTURE[[#This Row],[Top '[m']]]),"")</f>
        <v/>
      </c>
      <c r="M129" s="54" t="str">
        <f>IFERROR((WHOLE_STRUCTURE[[#This Row],[D, bottom '[m']]]+WHOLE_STRUCTURE[[#This Row],[D, top '[m']]])/(2*WHOLE_STRUCTURE[[#This Row],[t '[mm']]]/1000),"")</f>
        <v/>
      </c>
    </row>
    <row r="130" spans="10:13" x14ac:dyDescent="0.25">
      <c r="J130" s="54" t="str">
        <f t="shared" si="4"/>
        <v/>
      </c>
      <c r="K130" s="54" t="str">
        <f>IFERROR(WHOLE_STRUCTURE[[#This Row],[Bottom '[m']]]-WHOLE_STRUCTURE[[#This Row],[D, top '[m']]], "")</f>
        <v/>
      </c>
      <c r="L130" s="54" t="str">
        <f>IFERROR(-(WHOLE_STRUCTURE[[#This Row],[D, bottom '[m']]]-WHOLE_STRUCTURE[[#This Row],[D, top '[m']]])/(WHOLE_STRUCTURE[[#This Row],[Bottom '[m']]]-WHOLE_STRUCTURE[[#This Row],[Top '[m']]]),"")</f>
        <v/>
      </c>
      <c r="M130" s="54" t="str">
        <f>IFERROR((WHOLE_STRUCTURE[[#This Row],[D, bottom '[m']]]+WHOLE_STRUCTURE[[#This Row],[D, top '[m']]])/(2*WHOLE_STRUCTURE[[#This Row],[t '[mm']]]/1000),"")</f>
        <v/>
      </c>
    </row>
    <row r="131" spans="10:13" x14ac:dyDescent="0.25">
      <c r="J131" s="54" t="str">
        <f t="shared" ref="J131:J194" si="5">IF(7850/1000*(1/3)*PI()*ABS(E131-F131)*((G131/2)^2+(G131/2)*(H131/2)+(H131/2)^2-(G131/2-I131/1000)^2-(G131/2-I131/1000)*(H131/2-I131/1000)-(H131/2-I131/1000)^2)=0,"",7850/1000*(1/3)*PI()*ABS(E131-F131)*((G131/2)^2+(G131/2)*(H131/2)+(H131/2)^2-(G131/2-I131/1000)^2-(G131/2-I131/1000)*(H131/2-I131/1000)-(H131/2-I131/1000)^2))</f>
        <v/>
      </c>
      <c r="K131" s="54" t="str">
        <f>IFERROR(WHOLE_STRUCTURE[[#This Row],[Bottom '[m']]]-WHOLE_STRUCTURE[[#This Row],[D, top '[m']]], "")</f>
        <v/>
      </c>
      <c r="L131" s="54" t="str">
        <f>IFERROR(-(WHOLE_STRUCTURE[[#This Row],[D, bottom '[m']]]-WHOLE_STRUCTURE[[#This Row],[D, top '[m']]])/(WHOLE_STRUCTURE[[#This Row],[Bottom '[m']]]-WHOLE_STRUCTURE[[#This Row],[Top '[m']]]),"")</f>
        <v/>
      </c>
      <c r="M131" s="54" t="str">
        <f>IFERROR((WHOLE_STRUCTURE[[#This Row],[D, bottom '[m']]]+WHOLE_STRUCTURE[[#This Row],[D, top '[m']]])/(2*WHOLE_STRUCTURE[[#This Row],[t '[mm']]]/1000),"")</f>
        <v/>
      </c>
    </row>
    <row r="132" spans="10:13" x14ac:dyDescent="0.25">
      <c r="J132" s="54" t="str">
        <f t="shared" si="5"/>
        <v/>
      </c>
      <c r="K132" s="54" t="str">
        <f>IFERROR(WHOLE_STRUCTURE[[#This Row],[Bottom '[m']]]-WHOLE_STRUCTURE[[#This Row],[D, top '[m']]], "")</f>
        <v/>
      </c>
      <c r="L132" s="54" t="str">
        <f>IFERROR(-(WHOLE_STRUCTURE[[#This Row],[D, bottom '[m']]]-WHOLE_STRUCTURE[[#This Row],[D, top '[m']]])/(WHOLE_STRUCTURE[[#This Row],[Bottom '[m']]]-WHOLE_STRUCTURE[[#This Row],[Top '[m']]]),"")</f>
        <v/>
      </c>
      <c r="M132" s="54" t="str">
        <f>IFERROR((WHOLE_STRUCTURE[[#This Row],[D, bottom '[m']]]+WHOLE_STRUCTURE[[#This Row],[D, top '[m']]])/(2*WHOLE_STRUCTURE[[#This Row],[t '[mm']]]/1000),"")</f>
        <v/>
      </c>
    </row>
    <row r="133" spans="10:13" x14ac:dyDescent="0.25">
      <c r="J133" s="54" t="str">
        <f t="shared" si="5"/>
        <v/>
      </c>
      <c r="K133" s="54" t="str">
        <f>IFERROR(WHOLE_STRUCTURE[[#This Row],[Bottom '[m']]]-WHOLE_STRUCTURE[[#This Row],[D, top '[m']]], "")</f>
        <v/>
      </c>
      <c r="L133" s="54" t="str">
        <f>IFERROR(-(WHOLE_STRUCTURE[[#This Row],[D, bottom '[m']]]-WHOLE_STRUCTURE[[#This Row],[D, top '[m']]])/(WHOLE_STRUCTURE[[#This Row],[Bottom '[m']]]-WHOLE_STRUCTURE[[#This Row],[Top '[m']]]),"")</f>
        <v/>
      </c>
      <c r="M133" s="54" t="str">
        <f>IFERROR((WHOLE_STRUCTURE[[#This Row],[D, bottom '[m']]]+WHOLE_STRUCTURE[[#This Row],[D, top '[m']]])/(2*WHOLE_STRUCTURE[[#This Row],[t '[mm']]]/1000),"")</f>
        <v/>
      </c>
    </row>
    <row r="134" spans="10:13" x14ac:dyDescent="0.25">
      <c r="J134" s="54" t="str">
        <f t="shared" si="5"/>
        <v/>
      </c>
      <c r="K134" s="54" t="str">
        <f>IFERROR(WHOLE_STRUCTURE[[#This Row],[Bottom '[m']]]-WHOLE_STRUCTURE[[#This Row],[D, top '[m']]], "")</f>
        <v/>
      </c>
      <c r="L134" s="54" t="str">
        <f>IFERROR(-(WHOLE_STRUCTURE[[#This Row],[D, bottom '[m']]]-WHOLE_STRUCTURE[[#This Row],[D, top '[m']]])/(WHOLE_STRUCTURE[[#This Row],[Bottom '[m']]]-WHOLE_STRUCTURE[[#This Row],[Top '[m']]]),"")</f>
        <v/>
      </c>
      <c r="M134" s="54" t="str">
        <f>IFERROR((WHOLE_STRUCTURE[[#This Row],[D, bottom '[m']]]+WHOLE_STRUCTURE[[#This Row],[D, top '[m']]])/(2*WHOLE_STRUCTURE[[#This Row],[t '[mm']]]/1000),"")</f>
        <v/>
      </c>
    </row>
    <row r="135" spans="10:13" x14ac:dyDescent="0.25">
      <c r="J135" s="54" t="str">
        <f t="shared" si="5"/>
        <v/>
      </c>
      <c r="K135" s="54" t="str">
        <f>IFERROR(WHOLE_STRUCTURE[[#This Row],[Bottom '[m']]]-WHOLE_STRUCTURE[[#This Row],[D, top '[m']]], "")</f>
        <v/>
      </c>
      <c r="L135" s="54" t="str">
        <f>IFERROR(-(WHOLE_STRUCTURE[[#This Row],[D, bottom '[m']]]-WHOLE_STRUCTURE[[#This Row],[D, top '[m']]])/(WHOLE_STRUCTURE[[#This Row],[Bottom '[m']]]-WHOLE_STRUCTURE[[#This Row],[Top '[m']]]),"")</f>
        <v/>
      </c>
      <c r="M135" s="54" t="str">
        <f>IFERROR((WHOLE_STRUCTURE[[#This Row],[D, bottom '[m']]]+WHOLE_STRUCTURE[[#This Row],[D, top '[m']]])/(2*WHOLE_STRUCTURE[[#This Row],[t '[mm']]]/1000),"")</f>
        <v/>
      </c>
    </row>
    <row r="136" spans="10:13" x14ac:dyDescent="0.25">
      <c r="J136" s="54" t="str">
        <f t="shared" si="5"/>
        <v/>
      </c>
      <c r="K136" s="54" t="str">
        <f>IFERROR(WHOLE_STRUCTURE[[#This Row],[Bottom '[m']]]-WHOLE_STRUCTURE[[#This Row],[D, top '[m']]], "")</f>
        <v/>
      </c>
      <c r="L136" s="54" t="str">
        <f>IFERROR(-(WHOLE_STRUCTURE[[#This Row],[D, bottom '[m']]]-WHOLE_STRUCTURE[[#This Row],[D, top '[m']]])/(WHOLE_STRUCTURE[[#This Row],[Bottom '[m']]]-WHOLE_STRUCTURE[[#This Row],[Top '[m']]]),"")</f>
        <v/>
      </c>
      <c r="M136" s="54" t="str">
        <f>IFERROR((WHOLE_STRUCTURE[[#This Row],[D, bottom '[m']]]+WHOLE_STRUCTURE[[#This Row],[D, top '[m']]])/(2*WHOLE_STRUCTURE[[#This Row],[t '[mm']]]/1000),"")</f>
        <v/>
      </c>
    </row>
    <row r="137" spans="10:13" x14ac:dyDescent="0.25">
      <c r="J137" s="54" t="str">
        <f t="shared" si="5"/>
        <v/>
      </c>
      <c r="K137" s="54" t="str">
        <f>IFERROR(WHOLE_STRUCTURE[[#This Row],[Bottom '[m']]]-WHOLE_STRUCTURE[[#This Row],[D, top '[m']]], "")</f>
        <v/>
      </c>
      <c r="L137" s="54" t="str">
        <f>IFERROR(-(WHOLE_STRUCTURE[[#This Row],[D, bottom '[m']]]-WHOLE_STRUCTURE[[#This Row],[D, top '[m']]])/(WHOLE_STRUCTURE[[#This Row],[Bottom '[m']]]-WHOLE_STRUCTURE[[#This Row],[Top '[m']]]),"")</f>
        <v/>
      </c>
      <c r="M137" s="54" t="str">
        <f>IFERROR((WHOLE_STRUCTURE[[#This Row],[D, bottom '[m']]]+WHOLE_STRUCTURE[[#This Row],[D, top '[m']]])/(2*WHOLE_STRUCTURE[[#This Row],[t '[mm']]]/1000),"")</f>
        <v/>
      </c>
    </row>
    <row r="138" spans="10:13" x14ac:dyDescent="0.25">
      <c r="J138" s="54" t="str">
        <f t="shared" si="5"/>
        <v/>
      </c>
      <c r="K138" s="54" t="str">
        <f>IFERROR(WHOLE_STRUCTURE[[#This Row],[Bottom '[m']]]-WHOLE_STRUCTURE[[#This Row],[D, top '[m']]], "")</f>
        <v/>
      </c>
      <c r="L138" s="54" t="str">
        <f>IFERROR(-(WHOLE_STRUCTURE[[#This Row],[D, bottom '[m']]]-WHOLE_STRUCTURE[[#This Row],[D, top '[m']]])/(WHOLE_STRUCTURE[[#This Row],[Bottom '[m']]]-WHOLE_STRUCTURE[[#This Row],[Top '[m']]]),"")</f>
        <v/>
      </c>
      <c r="M138" s="54" t="str">
        <f>IFERROR((WHOLE_STRUCTURE[[#This Row],[D, bottom '[m']]]+WHOLE_STRUCTURE[[#This Row],[D, top '[m']]])/(2*WHOLE_STRUCTURE[[#This Row],[t '[mm']]]/1000),"")</f>
        <v/>
      </c>
    </row>
    <row r="139" spans="10:13" x14ac:dyDescent="0.25">
      <c r="J139" s="54" t="str">
        <f t="shared" si="5"/>
        <v/>
      </c>
      <c r="K139" s="54" t="str">
        <f>IFERROR(WHOLE_STRUCTURE[[#This Row],[Bottom '[m']]]-WHOLE_STRUCTURE[[#This Row],[D, top '[m']]], "")</f>
        <v/>
      </c>
      <c r="L139" s="54" t="str">
        <f>IFERROR(-(WHOLE_STRUCTURE[[#This Row],[D, bottom '[m']]]-WHOLE_STRUCTURE[[#This Row],[D, top '[m']]])/(WHOLE_STRUCTURE[[#This Row],[Bottom '[m']]]-WHOLE_STRUCTURE[[#This Row],[Top '[m']]]),"")</f>
        <v/>
      </c>
      <c r="M139" s="54" t="str">
        <f>IFERROR((WHOLE_STRUCTURE[[#This Row],[D, bottom '[m']]]+WHOLE_STRUCTURE[[#This Row],[D, top '[m']]])/(2*WHOLE_STRUCTURE[[#This Row],[t '[mm']]]/1000),"")</f>
        <v/>
      </c>
    </row>
    <row r="140" spans="10:13" x14ac:dyDescent="0.25">
      <c r="J140" s="54" t="str">
        <f t="shared" si="5"/>
        <v/>
      </c>
      <c r="K140" s="54" t="str">
        <f>IFERROR(WHOLE_STRUCTURE[[#This Row],[Bottom '[m']]]-WHOLE_STRUCTURE[[#This Row],[D, top '[m']]], "")</f>
        <v/>
      </c>
      <c r="L140" s="54" t="str">
        <f>IFERROR(-(WHOLE_STRUCTURE[[#This Row],[D, bottom '[m']]]-WHOLE_STRUCTURE[[#This Row],[D, top '[m']]])/(WHOLE_STRUCTURE[[#This Row],[Bottom '[m']]]-WHOLE_STRUCTURE[[#This Row],[Top '[m']]]),"")</f>
        <v/>
      </c>
      <c r="M140" s="54" t="str">
        <f>IFERROR((WHOLE_STRUCTURE[[#This Row],[D, bottom '[m']]]+WHOLE_STRUCTURE[[#This Row],[D, top '[m']]])/(2*WHOLE_STRUCTURE[[#This Row],[t '[mm']]]/1000),"")</f>
        <v/>
      </c>
    </row>
    <row r="141" spans="10:13" x14ac:dyDescent="0.25">
      <c r="J141" s="54" t="str">
        <f t="shared" si="5"/>
        <v/>
      </c>
      <c r="K141" s="54" t="str">
        <f>IFERROR(WHOLE_STRUCTURE[[#This Row],[Bottom '[m']]]-WHOLE_STRUCTURE[[#This Row],[D, top '[m']]], "")</f>
        <v/>
      </c>
      <c r="L141" s="54" t="str">
        <f>IFERROR(-(WHOLE_STRUCTURE[[#This Row],[D, bottom '[m']]]-WHOLE_STRUCTURE[[#This Row],[D, top '[m']]])/(WHOLE_STRUCTURE[[#This Row],[Bottom '[m']]]-WHOLE_STRUCTURE[[#This Row],[Top '[m']]]),"")</f>
        <v/>
      </c>
      <c r="M141" s="54" t="str">
        <f>IFERROR((WHOLE_STRUCTURE[[#This Row],[D, bottom '[m']]]+WHOLE_STRUCTURE[[#This Row],[D, top '[m']]])/(2*WHOLE_STRUCTURE[[#This Row],[t '[mm']]]/1000),"")</f>
        <v/>
      </c>
    </row>
    <row r="142" spans="10:13" x14ac:dyDescent="0.25">
      <c r="J142" s="54" t="str">
        <f t="shared" si="5"/>
        <v/>
      </c>
      <c r="K142" s="54" t="str">
        <f>IFERROR(WHOLE_STRUCTURE[[#This Row],[Bottom '[m']]]-WHOLE_STRUCTURE[[#This Row],[D, top '[m']]], "")</f>
        <v/>
      </c>
      <c r="L142" s="54" t="str">
        <f>IFERROR(-(WHOLE_STRUCTURE[[#This Row],[D, bottom '[m']]]-WHOLE_STRUCTURE[[#This Row],[D, top '[m']]])/(WHOLE_STRUCTURE[[#This Row],[Bottom '[m']]]-WHOLE_STRUCTURE[[#This Row],[Top '[m']]]),"")</f>
        <v/>
      </c>
      <c r="M142" s="54" t="str">
        <f>IFERROR((WHOLE_STRUCTURE[[#This Row],[D, bottom '[m']]]+WHOLE_STRUCTURE[[#This Row],[D, top '[m']]])/(2*WHOLE_STRUCTURE[[#This Row],[t '[mm']]]/1000),"")</f>
        <v/>
      </c>
    </row>
    <row r="143" spans="10:13" x14ac:dyDescent="0.25">
      <c r="J143" s="54" t="str">
        <f t="shared" si="5"/>
        <v/>
      </c>
      <c r="K143" s="54" t="str">
        <f>IFERROR(WHOLE_STRUCTURE[[#This Row],[Bottom '[m']]]-WHOLE_STRUCTURE[[#This Row],[D, top '[m']]], "")</f>
        <v/>
      </c>
      <c r="L143" s="54" t="str">
        <f>IFERROR(-(WHOLE_STRUCTURE[[#This Row],[D, bottom '[m']]]-WHOLE_STRUCTURE[[#This Row],[D, top '[m']]])/(WHOLE_STRUCTURE[[#This Row],[Bottom '[m']]]-WHOLE_STRUCTURE[[#This Row],[Top '[m']]]),"")</f>
        <v/>
      </c>
      <c r="M143" s="54" t="str">
        <f>IFERROR((WHOLE_STRUCTURE[[#This Row],[D, bottom '[m']]]+WHOLE_STRUCTURE[[#This Row],[D, top '[m']]])/(2*WHOLE_STRUCTURE[[#This Row],[t '[mm']]]/1000),"")</f>
        <v/>
      </c>
    </row>
    <row r="144" spans="10:13" x14ac:dyDescent="0.25">
      <c r="J144" s="54" t="str">
        <f t="shared" si="5"/>
        <v/>
      </c>
      <c r="K144" s="54" t="str">
        <f>IFERROR(WHOLE_STRUCTURE[[#This Row],[Bottom '[m']]]-WHOLE_STRUCTURE[[#This Row],[D, top '[m']]], "")</f>
        <v/>
      </c>
      <c r="L144" s="54" t="str">
        <f>IFERROR(-(WHOLE_STRUCTURE[[#This Row],[D, bottom '[m']]]-WHOLE_STRUCTURE[[#This Row],[D, top '[m']]])/(WHOLE_STRUCTURE[[#This Row],[Bottom '[m']]]-WHOLE_STRUCTURE[[#This Row],[Top '[m']]]),"")</f>
        <v/>
      </c>
      <c r="M144" s="54" t="str">
        <f>IFERROR((WHOLE_STRUCTURE[[#This Row],[D, bottom '[m']]]+WHOLE_STRUCTURE[[#This Row],[D, top '[m']]])/(2*WHOLE_STRUCTURE[[#This Row],[t '[mm']]]/1000),"")</f>
        <v/>
      </c>
    </row>
    <row r="145" spans="10:13" x14ac:dyDescent="0.25">
      <c r="J145" s="54" t="str">
        <f t="shared" si="5"/>
        <v/>
      </c>
      <c r="K145" s="54" t="str">
        <f>IFERROR(WHOLE_STRUCTURE[[#This Row],[Bottom '[m']]]-WHOLE_STRUCTURE[[#This Row],[D, top '[m']]], "")</f>
        <v/>
      </c>
      <c r="L145" s="54" t="str">
        <f>IFERROR(-(WHOLE_STRUCTURE[[#This Row],[D, bottom '[m']]]-WHOLE_STRUCTURE[[#This Row],[D, top '[m']]])/(WHOLE_STRUCTURE[[#This Row],[Bottom '[m']]]-WHOLE_STRUCTURE[[#This Row],[Top '[m']]]),"")</f>
        <v/>
      </c>
      <c r="M145" s="54" t="str">
        <f>IFERROR((WHOLE_STRUCTURE[[#This Row],[D, bottom '[m']]]+WHOLE_STRUCTURE[[#This Row],[D, top '[m']]])/(2*WHOLE_STRUCTURE[[#This Row],[t '[mm']]]/1000),"")</f>
        <v/>
      </c>
    </row>
    <row r="146" spans="10:13" x14ac:dyDescent="0.25">
      <c r="J146" s="54" t="str">
        <f t="shared" si="5"/>
        <v/>
      </c>
      <c r="K146" s="54" t="str">
        <f>IFERROR(WHOLE_STRUCTURE[[#This Row],[Bottom '[m']]]-WHOLE_STRUCTURE[[#This Row],[D, top '[m']]], "")</f>
        <v/>
      </c>
      <c r="L146" s="54" t="str">
        <f>IFERROR(-(WHOLE_STRUCTURE[[#This Row],[D, bottom '[m']]]-WHOLE_STRUCTURE[[#This Row],[D, top '[m']]])/(WHOLE_STRUCTURE[[#This Row],[Bottom '[m']]]-WHOLE_STRUCTURE[[#This Row],[Top '[m']]]),"")</f>
        <v/>
      </c>
      <c r="M146" s="54" t="str">
        <f>IFERROR((WHOLE_STRUCTURE[[#This Row],[D, bottom '[m']]]+WHOLE_STRUCTURE[[#This Row],[D, top '[m']]])/(2*WHOLE_STRUCTURE[[#This Row],[t '[mm']]]/1000),"")</f>
        <v/>
      </c>
    </row>
    <row r="147" spans="10:13" x14ac:dyDescent="0.25">
      <c r="J147" s="54" t="str">
        <f t="shared" si="5"/>
        <v/>
      </c>
      <c r="K147" s="54" t="str">
        <f>IFERROR(WHOLE_STRUCTURE[[#This Row],[Bottom '[m']]]-WHOLE_STRUCTURE[[#This Row],[D, top '[m']]], "")</f>
        <v/>
      </c>
      <c r="L147" s="54" t="str">
        <f>IFERROR(-(WHOLE_STRUCTURE[[#This Row],[D, bottom '[m']]]-WHOLE_STRUCTURE[[#This Row],[D, top '[m']]])/(WHOLE_STRUCTURE[[#This Row],[Bottom '[m']]]-WHOLE_STRUCTURE[[#This Row],[Top '[m']]]),"")</f>
        <v/>
      </c>
      <c r="M147" s="54" t="str">
        <f>IFERROR((WHOLE_STRUCTURE[[#This Row],[D, bottom '[m']]]+WHOLE_STRUCTURE[[#This Row],[D, top '[m']]])/(2*WHOLE_STRUCTURE[[#This Row],[t '[mm']]]/1000),"")</f>
        <v/>
      </c>
    </row>
    <row r="148" spans="10:13" x14ac:dyDescent="0.25">
      <c r="J148" s="54" t="str">
        <f t="shared" si="5"/>
        <v/>
      </c>
      <c r="K148" s="54" t="str">
        <f>IFERROR(WHOLE_STRUCTURE[[#This Row],[Bottom '[m']]]-WHOLE_STRUCTURE[[#This Row],[D, top '[m']]], "")</f>
        <v/>
      </c>
      <c r="L148" s="54" t="str">
        <f>IFERROR(-(WHOLE_STRUCTURE[[#This Row],[D, bottom '[m']]]-WHOLE_STRUCTURE[[#This Row],[D, top '[m']]])/(WHOLE_STRUCTURE[[#This Row],[Bottom '[m']]]-WHOLE_STRUCTURE[[#This Row],[Top '[m']]]),"")</f>
        <v/>
      </c>
      <c r="M148" s="54" t="str">
        <f>IFERROR((WHOLE_STRUCTURE[[#This Row],[D, bottom '[m']]]+WHOLE_STRUCTURE[[#This Row],[D, top '[m']]])/(2*WHOLE_STRUCTURE[[#This Row],[t '[mm']]]/1000),"")</f>
        <v/>
      </c>
    </row>
    <row r="149" spans="10:13" x14ac:dyDescent="0.25">
      <c r="J149" s="54" t="str">
        <f t="shared" si="5"/>
        <v/>
      </c>
      <c r="K149" s="54" t="str">
        <f>IFERROR(WHOLE_STRUCTURE[[#This Row],[Bottom '[m']]]-WHOLE_STRUCTURE[[#This Row],[D, top '[m']]], "")</f>
        <v/>
      </c>
      <c r="L149" s="54" t="str">
        <f>IFERROR(-(WHOLE_STRUCTURE[[#This Row],[D, bottom '[m']]]-WHOLE_STRUCTURE[[#This Row],[D, top '[m']]])/(WHOLE_STRUCTURE[[#This Row],[Bottom '[m']]]-WHOLE_STRUCTURE[[#This Row],[Top '[m']]]),"")</f>
        <v/>
      </c>
      <c r="M149" s="54" t="str">
        <f>IFERROR((WHOLE_STRUCTURE[[#This Row],[D, bottom '[m']]]+WHOLE_STRUCTURE[[#This Row],[D, top '[m']]])/(2*WHOLE_STRUCTURE[[#This Row],[t '[mm']]]/1000),"")</f>
        <v/>
      </c>
    </row>
    <row r="150" spans="10:13" x14ac:dyDescent="0.25">
      <c r="J150" s="54" t="str">
        <f t="shared" si="5"/>
        <v/>
      </c>
      <c r="K150" s="54" t="str">
        <f>IFERROR(WHOLE_STRUCTURE[[#This Row],[Bottom '[m']]]-WHOLE_STRUCTURE[[#This Row],[D, top '[m']]], "")</f>
        <v/>
      </c>
      <c r="L150" s="54" t="str">
        <f>IFERROR(-(WHOLE_STRUCTURE[[#This Row],[D, bottom '[m']]]-WHOLE_STRUCTURE[[#This Row],[D, top '[m']]])/(WHOLE_STRUCTURE[[#This Row],[Bottom '[m']]]-WHOLE_STRUCTURE[[#This Row],[Top '[m']]]),"")</f>
        <v/>
      </c>
      <c r="M150" s="54" t="str">
        <f>IFERROR((WHOLE_STRUCTURE[[#This Row],[D, bottom '[m']]]+WHOLE_STRUCTURE[[#This Row],[D, top '[m']]])/(2*WHOLE_STRUCTURE[[#This Row],[t '[mm']]]/1000),"")</f>
        <v/>
      </c>
    </row>
    <row r="151" spans="10:13" x14ac:dyDescent="0.25">
      <c r="J151" s="54" t="str">
        <f t="shared" si="5"/>
        <v/>
      </c>
      <c r="K151" s="54" t="str">
        <f>IFERROR(WHOLE_STRUCTURE[[#This Row],[Bottom '[m']]]-WHOLE_STRUCTURE[[#This Row],[D, top '[m']]], "")</f>
        <v/>
      </c>
      <c r="L151" s="54" t="str">
        <f>IFERROR(-(WHOLE_STRUCTURE[[#This Row],[D, bottom '[m']]]-WHOLE_STRUCTURE[[#This Row],[D, top '[m']]])/(WHOLE_STRUCTURE[[#This Row],[Bottom '[m']]]-WHOLE_STRUCTURE[[#This Row],[Top '[m']]]),"")</f>
        <v/>
      </c>
      <c r="M151" s="54" t="str">
        <f>IFERROR((WHOLE_STRUCTURE[[#This Row],[D, bottom '[m']]]+WHOLE_STRUCTURE[[#This Row],[D, top '[m']]])/(2*WHOLE_STRUCTURE[[#This Row],[t '[mm']]]/1000),"")</f>
        <v/>
      </c>
    </row>
    <row r="152" spans="10:13" x14ac:dyDescent="0.25">
      <c r="J152" s="54" t="str">
        <f t="shared" si="5"/>
        <v/>
      </c>
      <c r="K152" s="54" t="str">
        <f>IFERROR(WHOLE_STRUCTURE[[#This Row],[Bottom '[m']]]-WHOLE_STRUCTURE[[#This Row],[D, top '[m']]], "")</f>
        <v/>
      </c>
      <c r="L152" s="54" t="str">
        <f>IFERROR(-(WHOLE_STRUCTURE[[#This Row],[D, bottom '[m']]]-WHOLE_STRUCTURE[[#This Row],[D, top '[m']]])/(WHOLE_STRUCTURE[[#This Row],[Bottom '[m']]]-WHOLE_STRUCTURE[[#This Row],[Top '[m']]]),"")</f>
        <v/>
      </c>
      <c r="M152" s="54" t="str">
        <f>IFERROR((WHOLE_STRUCTURE[[#This Row],[D, bottom '[m']]]+WHOLE_STRUCTURE[[#This Row],[D, top '[m']]])/(2*WHOLE_STRUCTURE[[#This Row],[t '[mm']]]/1000),"")</f>
        <v/>
      </c>
    </row>
    <row r="153" spans="10:13" x14ac:dyDescent="0.25">
      <c r="J153" s="54" t="str">
        <f t="shared" si="5"/>
        <v/>
      </c>
      <c r="K153" s="54" t="str">
        <f>IFERROR(WHOLE_STRUCTURE[[#This Row],[Bottom '[m']]]-WHOLE_STRUCTURE[[#This Row],[D, top '[m']]], "")</f>
        <v/>
      </c>
      <c r="L153" s="54" t="str">
        <f>IFERROR(-(WHOLE_STRUCTURE[[#This Row],[D, bottom '[m']]]-WHOLE_STRUCTURE[[#This Row],[D, top '[m']]])/(WHOLE_STRUCTURE[[#This Row],[Bottom '[m']]]-WHOLE_STRUCTURE[[#This Row],[Top '[m']]]),"")</f>
        <v/>
      </c>
      <c r="M153" s="54" t="str">
        <f>IFERROR((WHOLE_STRUCTURE[[#This Row],[D, bottom '[m']]]+WHOLE_STRUCTURE[[#This Row],[D, top '[m']]])/(2*WHOLE_STRUCTURE[[#This Row],[t '[mm']]]/1000),"")</f>
        <v/>
      </c>
    </row>
    <row r="154" spans="10:13" x14ac:dyDescent="0.25">
      <c r="J154" s="54" t="str">
        <f t="shared" si="5"/>
        <v/>
      </c>
      <c r="K154" s="54" t="str">
        <f>IFERROR(WHOLE_STRUCTURE[[#This Row],[Bottom '[m']]]-WHOLE_STRUCTURE[[#This Row],[D, top '[m']]], "")</f>
        <v/>
      </c>
      <c r="L154" s="54" t="str">
        <f>IFERROR(-(WHOLE_STRUCTURE[[#This Row],[D, bottom '[m']]]-WHOLE_STRUCTURE[[#This Row],[D, top '[m']]])/(WHOLE_STRUCTURE[[#This Row],[Bottom '[m']]]-WHOLE_STRUCTURE[[#This Row],[Top '[m']]]),"")</f>
        <v/>
      </c>
      <c r="M154" s="54" t="str">
        <f>IFERROR((WHOLE_STRUCTURE[[#This Row],[D, bottom '[m']]]+WHOLE_STRUCTURE[[#This Row],[D, top '[m']]])/(2*WHOLE_STRUCTURE[[#This Row],[t '[mm']]]/1000),"")</f>
        <v/>
      </c>
    </row>
    <row r="155" spans="10:13" x14ac:dyDescent="0.25">
      <c r="J155" s="54" t="str">
        <f t="shared" si="5"/>
        <v/>
      </c>
      <c r="K155" s="54" t="str">
        <f>IFERROR(WHOLE_STRUCTURE[[#This Row],[Bottom '[m']]]-WHOLE_STRUCTURE[[#This Row],[D, top '[m']]], "")</f>
        <v/>
      </c>
      <c r="L155" s="54" t="str">
        <f>IFERROR(-(WHOLE_STRUCTURE[[#This Row],[D, bottom '[m']]]-WHOLE_STRUCTURE[[#This Row],[D, top '[m']]])/(WHOLE_STRUCTURE[[#This Row],[Bottom '[m']]]-WHOLE_STRUCTURE[[#This Row],[Top '[m']]]),"")</f>
        <v/>
      </c>
      <c r="M155" s="54" t="str">
        <f>IFERROR((WHOLE_STRUCTURE[[#This Row],[D, bottom '[m']]]+WHOLE_STRUCTURE[[#This Row],[D, top '[m']]])/(2*WHOLE_STRUCTURE[[#This Row],[t '[mm']]]/1000),"")</f>
        <v/>
      </c>
    </row>
    <row r="156" spans="10:13" x14ac:dyDescent="0.25">
      <c r="J156" s="54" t="str">
        <f t="shared" si="5"/>
        <v/>
      </c>
      <c r="K156" s="54" t="str">
        <f>IFERROR(WHOLE_STRUCTURE[[#This Row],[Bottom '[m']]]-WHOLE_STRUCTURE[[#This Row],[D, top '[m']]], "")</f>
        <v/>
      </c>
      <c r="L156" s="54" t="str">
        <f>IFERROR(-(WHOLE_STRUCTURE[[#This Row],[D, bottom '[m']]]-WHOLE_STRUCTURE[[#This Row],[D, top '[m']]])/(WHOLE_STRUCTURE[[#This Row],[Bottom '[m']]]-WHOLE_STRUCTURE[[#This Row],[Top '[m']]]),"")</f>
        <v/>
      </c>
      <c r="M156" s="54" t="str">
        <f>IFERROR((WHOLE_STRUCTURE[[#This Row],[D, bottom '[m']]]+WHOLE_STRUCTURE[[#This Row],[D, top '[m']]])/(2*WHOLE_STRUCTURE[[#This Row],[t '[mm']]]/1000),"")</f>
        <v/>
      </c>
    </row>
    <row r="157" spans="10:13" x14ac:dyDescent="0.25">
      <c r="J157" s="54" t="str">
        <f t="shared" si="5"/>
        <v/>
      </c>
      <c r="K157" s="54" t="str">
        <f>IFERROR(WHOLE_STRUCTURE[[#This Row],[Bottom '[m']]]-WHOLE_STRUCTURE[[#This Row],[D, top '[m']]], "")</f>
        <v/>
      </c>
      <c r="L157" s="54" t="str">
        <f>IFERROR(-(WHOLE_STRUCTURE[[#This Row],[D, bottom '[m']]]-WHOLE_STRUCTURE[[#This Row],[D, top '[m']]])/(WHOLE_STRUCTURE[[#This Row],[Bottom '[m']]]-WHOLE_STRUCTURE[[#This Row],[Top '[m']]]),"")</f>
        <v/>
      </c>
      <c r="M157" s="54" t="str">
        <f>IFERROR((WHOLE_STRUCTURE[[#This Row],[D, bottom '[m']]]+WHOLE_STRUCTURE[[#This Row],[D, top '[m']]])/(2*WHOLE_STRUCTURE[[#This Row],[t '[mm']]]/1000),"")</f>
        <v/>
      </c>
    </row>
    <row r="158" spans="10:13" x14ac:dyDescent="0.25">
      <c r="J158" s="54" t="str">
        <f t="shared" si="5"/>
        <v/>
      </c>
      <c r="K158" s="54" t="str">
        <f>IFERROR(WHOLE_STRUCTURE[[#This Row],[Bottom '[m']]]-WHOLE_STRUCTURE[[#This Row],[D, top '[m']]], "")</f>
        <v/>
      </c>
      <c r="L158" s="54" t="str">
        <f>IFERROR(-(WHOLE_STRUCTURE[[#This Row],[D, bottom '[m']]]-WHOLE_STRUCTURE[[#This Row],[D, top '[m']]])/(WHOLE_STRUCTURE[[#This Row],[Bottom '[m']]]-WHOLE_STRUCTURE[[#This Row],[Top '[m']]]),"")</f>
        <v/>
      </c>
      <c r="M158" s="54" t="str">
        <f>IFERROR((WHOLE_STRUCTURE[[#This Row],[D, bottom '[m']]]+WHOLE_STRUCTURE[[#This Row],[D, top '[m']]])/(2*WHOLE_STRUCTURE[[#This Row],[t '[mm']]]/1000),"")</f>
        <v/>
      </c>
    </row>
    <row r="159" spans="10:13" x14ac:dyDescent="0.25">
      <c r="J159" s="54" t="str">
        <f t="shared" si="5"/>
        <v/>
      </c>
      <c r="K159" s="54" t="str">
        <f>IFERROR(WHOLE_STRUCTURE[[#This Row],[Bottom '[m']]]-WHOLE_STRUCTURE[[#This Row],[D, top '[m']]], "")</f>
        <v/>
      </c>
      <c r="L159" s="54" t="str">
        <f>IFERROR(-(WHOLE_STRUCTURE[[#This Row],[D, bottom '[m']]]-WHOLE_STRUCTURE[[#This Row],[D, top '[m']]])/(WHOLE_STRUCTURE[[#This Row],[Bottom '[m']]]-WHOLE_STRUCTURE[[#This Row],[Top '[m']]]),"")</f>
        <v/>
      </c>
      <c r="M159" s="54" t="str">
        <f>IFERROR((WHOLE_STRUCTURE[[#This Row],[D, bottom '[m']]]+WHOLE_STRUCTURE[[#This Row],[D, top '[m']]])/(2*WHOLE_STRUCTURE[[#This Row],[t '[mm']]]/1000),"")</f>
        <v/>
      </c>
    </row>
    <row r="160" spans="10:13" x14ac:dyDescent="0.25">
      <c r="J160" s="54" t="str">
        <f t="shared" si="5"/>
        <v/>
      </c>
      <c r="K160" s="54" t="str">
        <f>IFERROR(WHOLE_STRUCTURE[[#This Row],[Bottom '[m']]]-WHOLE_STRUCTURE[[#This Row],[D, top '[m']]], "")</f>
        <v/>
      </c>
      <c r="L160" s="54" t="str">
        <f>IFERROR(-(WHOLE_STRUCTURE[[#This Row],[D, bottom '[m']]]-WHOLE_STRUCTURE[[#This Row],[D, top '[m']]])/(WHOLE_STRUCTURE[[#This Row],[Bottom '[m']]]-WHOLE_STRUCTURE[[#This Row],[Top '[m']]]),"")</f>
        <v/>
      </c>
      <c r="M160" s="54" t="str">
        <f>IFERROR((WHOLE_STRUCTURE[[#This Row],[D, bottom '[m']]]+WHOLE_STRUCTURE[[#This Row],[D, top '[m']]])/(2*WHOLE_STRUCTURE[[#This Row],[t '[mm']]]/1000),"")</f>
        <v/>
      </c>
    </row>
    <row r="161" spans="10:13" x14ac:dyDescent="0.25">
      <c r="J161" s="54" t="str">
        <f t="shared" si="5"/>
        <v/>
      </c>
      <c r="K161" s="54" t="str">
        <f>IFERROR(WHOLE_STRUCTURE[[#This Row],[Bottom '[m']]]-WHOLE_STRUCTURE[[#This Row],[D, top '[m']]], "")</f>
        <v/>
      </c>
      <c r="L161" s="54" t="str">
        <f>IFERROR(-(WHOLE_STRUCTURE[[#This Row],[D, bottom '[m']]]-WHOLE_STRUCTURE[[#This Row],[D, top '[m']]])/(WHOLE_STRUCTURE[[#This Row],[Bottom '[m']]]-WHOLE_STRUCTURE[[#This Row],[Top '[m']]]),"")</f>
        <v/>
      </c>
      <c r="M161" s="54" t="str">
        <f>IFERROR((WHOLE_STRUCTURE[[#This Row],[D, bottom '[m']]]+WHOLE_STRUCTURE[[#This Row],[D, top '[m']]])/(2*WHOLE_STRUCTURE[[#This Row],[t '[mm']]]/1000),"")</f>
        <v/>
      </c>
    </row>
    <row r="162" spans="10:13" x14ac:dyDescent="0.25">
      <c r="J162" s="54" t="str">
        <f t="shared" si="5"/>
        <v/>
      </c>
      <c r="K162" s="54" t="str">
        <f>IFERROR(WHOLE_STRUCTURE[[#This Row],[Bottom '[m']]]-WHOLE_STRUCTURE[[#This Row],[D, top '[m']]], "")</f>
        <v/>
      </c>
      <c r="L162" s="54" t="str">
        <f>IFERROR(-(WHOLE_STRUCTURE[[#This Row],[D, bottom '[m']]]-WHOLE_STRUCTURE[[#This Row],[D, top '[m']]])/(WHOLE_STRUCTURE[[#This Row],[Bottom '[m']]]-WHOLE_STRUCTURE[[#This Row],[Top '[m']]]),"")</f>
        <v/>
      </c>
      <c r="M162" s="54" t="str">
        <f>IFERROR((WHOLE_STRUCTURE[[#This Row],[D, bottom '[m']]]+WHOLE_STRUCTURE[[#This Row],[D, top '[m']]])/(2*WHOLE_STRUCTURE[[#This Row],[t '[mm']]]/1000),"")</f>
        <v/>
      </c>
    </row>
    <row r="163" spans="10:13" x14ac:dyDescent="0.25">
      <c r="J163" s="54" t="str">
        <f t="shared" si="5"/>
        <v/>
      </c>
      <c r="K163" s="54" t="str">
        <f>IFERROR(WHOLE_STRUCTURE[[#This Row],[Bottom '[m']]]-WHOLE_STRUCTURE[[#This Row],[D, top '[m']]], "")</f>
        <v/>
      </c>
      <c r="L163" s="54" t="str">
        <f>IFERROR(-(WHOLE_STRUCTURE[[#This Row],[D, bottom '[m']]]-WHOLE_STRUCTURE[[#This Row],[D, top '[m']]])/(WHOLE_STRUCTURE[[#This Row],[Bottom '[m']]]-WHOLE_STRUCTURE[[#This Row],[Top '[m']]]),"")</f>
        <v/>
      </c>
      <c r="M163" s="54" t="str">
        <f>IFERROR((WHOLE_STRUCTURE[[#This Row],[D, bottom '[m']]]+WHOLE_STRUCTURE[[#This Row],[D, top '[m']]])/(2*WHOLE_STRUCTURE[[#This Row],[t '[mm']]]/1000),"")</f>
        <v/>
      </c>
    </row>
    <row r="164" spans="10:13" x14ac:dyDescent="0.25">
      <c r="J164" s="54" t="str">
        <f t="shared" si="5"/>
        <v/>
      </c>
      <c r="K164" s="54" t="str">
        <f>IFERROR(WHOLE_STRUCTURE[[#This Row],[Bottom '[m']]]-WHOLE_STRUCTURE[[#This Row],[D, top '[m']]], "")</f>
        <v/>
      </c>
      <c r="L164" s="54" t="str">
        <f>IFERROR(-(WHOLE_STRUCTURE[[#This Row],[D, bottom '[m']]]-WHOLE_STRUCTURE[[#This Row],[D, top '[m']]])/(WHOLE_STRUCTURE[[#This Row],[Bottom '[m']]]-WHOLE_STRUCTURE[[#This Row],[Top '[m']]]),"")</f>
        <v/>
      </c>
      <c r="M164" s="54" t="str">
        <f>IFERROR((WHOLE_STRUCTURE[[#This Row],[D, bottom '[m']]]+WHOLE_STRUCTURE[[#This Row],[D, top '[m']]])/(2*WHOLE_STRUCTURE[[#This Row],[t '[mm']]]/1000),"")</f>
        <v/>
      </c>
    </row>
    <row r="165" spans="10:13" x14ac:dyDescent="0.25">
      <c r="J165" s="54" t="str">
        <f t="shared" si="5"/>
        <v/>
      </c>
      <c r="K165" s="54" t="str">
        <f>IFERROR(WHOLE_STRUCTURE[[#This Row],[Bottom '[m']]]-WHOLE_STRUCTURE[[#This Row],[D, top '[m']]], "")</f>
        <v/>
      </c>
      <c r="L165" s="54" t="str">
        <f>IFERROR(-(WHOLE_STRUCTURE[[#This Row],[D, bottom '[m']]]-WHOLE_STRUCTURE[[#This Row],[D, top '[m']]])/(WHOLE_STRUCTURE[[#This Row],[Bottom '[m']]]-WHOLE_STRUCTURE[[#This Row],[Top '[m']]]),"")</f>
        <v/>
      </c>
      <c r="M165" s="54" t="str">
        <f>IFERROR((WHOLE_STRUCTURE[[#This Row],[D, bottom '[m']]]+WHOLE_STRUCTURE[[#This Row],[D, top '[m']]])/(2*WHOLE_STRUCTURE[[#This Row],[t '[mm']]]/1000),"")</f>
        <v/>
      </c>
    </row>
    <row r="166" spans="10:13" x14ac:dyDescent="0.25">
      <c r="J166" s="54" t="str">
        <f t="shared" si="5"/>
        <v/>
      </c>
      <c r="K166" s="54" t="str">
        <f>IFERROR(WHOLE_STRUCTURE[[#This Row],[Bottom '[m']]]-WHOLE_STRUCTURE[[#This Row],[D, top '[m']]], "")</f>
        <v/>
      </c>
      <c r="L166" s="54" t="str">
        <f>IFERROR(-(WHOLE_STRUCTURE[[#This Row],[D, bottom '[m']]]-WHOLE_STRUCTURE[[#This Row],[D, top '[m']]])/(WHOLE_STRUCTURE[[#This Row],[Bottom '[m']]]-WHOLE_STRUCTURE[[#This Row],[Top '[m']]]),"")</f>
        <v/>
      </c>
      <c r="M166" s="54" t="str">
        <f>IFERROR((WHOLE_STRUCTURE[[#This Row],[D, bottom '[m']]]+WHOLE_STRUCTURE[[#This Row],[D, top '[m']]])/(2*WHOLE_STRUCTURE[[#This Row],[t '[mm']]]/1000),"")</f>
        <v/>
      </c>
    </row>
    <row r="167" spans="10:13" x14ac:dyDescent="0.25">
      <c r="J167" s="54" t="str">
        <f t="shared" si="5"/>
        <v/>
      </c>
      <c r="K167" s="54" t="str">
        <f>IFERROR(WHOLE_STRUCTURE[[#This Row],[Bottom '[m']]]-WHOLE_STRUCTURE[[#This Row],[D, top '[m']]], "")</f>
        <v/>
      </c>
      <c r="L167" s="54" t="str">
        <f>IFERROR(-(WHOLE_STRUCTURE[[#This Row],[D, bottom '[m']]]-WHOLE_STRUCTURE[[#This Row],[D, top '[m']]])/(WHOLE_STRUCTURE[[#This Row],[Bottom '[m']]]-WHOLE_STRUCTURE[[#This Row],[Top '[m']]]),"")</f>
        <v/>
      </c>
      <c r="M167" s="54" t="str">
        <f>IFERROR((WHOLE_STRUCTURE[[#This Row],[D, bottom '[m']]]+WHOLE_STRUCTURE[[#This Row],[D, top '[m']]])/(2*WHOLE_STRUCTURE[[#This Row],[t '[mm']]]/1000),"")</f>
        <v/>
      </c>
    </row>
    <row r="168" spans="10:13" x14ac:dyDescent="0.25">
      <c r="J168" s="54" t="str">
        <f t="shared" si="5"/>
        <v/>
      </c>
      <c r="K168" s="54" t="str">
        <f>IFERROR(WHOLE_STRUCTURE[[#This Row],[Bottom '[m']]]-WHOLE_STRUCTURE[[#This Row],[D, top '[m']]], "")</f>
        <v/>
      </c>
      <c r="L168" s="54" t="str">
        <f>IFERROR(-(WHOLE_STRUCTURE[[#This Row],[D, bottom '[m']]]-WHOLE_STRUCTURE[[#This Row],[D, top '[m']]])/(WHOLE_STRUCTURE[[#This Row],[Bottom '[m']]]-WHOLE_STRUCTURE[[#This Row],[Top '[m']]]),"")</f>
        <v/>
      </c>
      <c r="M168" s="54" t="str">
        <f>IFERROR((WHOLE_STRUCTURE[[#This Row],[D, bottom '[m']]]+WHOLE_STRUCTURE[[#This Row],[D, top '[m']]])/(2*WHOLE_STRUCTURE[[#This Row],[t '[mm']]]/1000),"")</f>
        <v/>
      </c>
    </row>
    <row r="169" spans="10:13" x14ac:dyDescent="0.25">
      <c r="J169" s="54" t="str">
        <f t="shared" si="5"/>
        <v/>
      </c>
      <c r="K169" s="54" t="str">
        <f>IFERROR(WHOLE_STRUCTURE[[#This Row],[Bottom '[m']]]-WHOLE_STRUCTURE[[#This Row],[D, top '[m']]], "")</f>
        <v/>
      </c>
      <c r="L169" s="54" t="str">
        <f>IFERROR(-(WHOLE_STRUCTURE[[#This Row],[D, bottom '[m']]]-WHOLE_STRUCTURE[[#This Row],[D, top '[m']]])/(WHOLE_STRUCTURE[[#This Row],[Bottom '[m']]]-WHOLE_STRUCTURE[[#This Row],[Top '[m']]]),"")</f>
        <v/>
      </c>
      <c r="M169" s="54" t="str">
        <f>IFERROR((WHOLE_STRUCTURE[[#This Row],[D, bottom '[m']]]+WHOLE_STRUCTURE[[#This Row],[D, top '[m']]])/(2*WHOLE_STRUCTURE[[#This Row],[t '[mm']]]/1000),"")</f>
        <v/>
      </c>
    </row>
    <row r="170" spans="10:13" x14ac:dyDescent="0.25">
      <c r="J170" s="54" t="str">
        <f t="shared" si="5"/>
        <v/>
      </c>
      <c r="K170" s="54" t="str">
        <f>IFERROR(WHOLE_STRUCTURE[[#This Row],[Bottom '[m']]]-WHOLE_STRUCTURE[[#This Row],[D, top '[m']]], "")</f>
        <v/>
      </c>
      <c r="L170" s="54" t="str">
        <f>IFERROR(-(WHOLE_STRUCTURE[[#This Row],[D, bottom '[m']]]-WHOLE_STRUCTURE[[#This Row],[D, top '[m']]])/(WHOLE_STRUCTURE[[#This Row],[Bottom '[m']]]-WHOLE_STRUCTURE[[#This Row],[Top '[m']]]),"")</f>
        <v/>
      </c>
      <c r="M170" s="54" t="str">
        <f>IFERROR((WHOLE_STRUCTURE[[#This Row],[D, bottom '[m']]]+WHOLE_STRUCTURE[[#This Row],[D, top '[m']]])/(2*WHOLE_STRUCTURE[[#This Row],[t '[mm']]]/1000),"")</f>
        <v/>
      </c>
    </row>
    <row r="171" spans="10:13" x14ac:dyDescent="0.25">
      <c r="J171" s="54" t="str">
        <f t="shared" si="5"/>
        <v/>
      </c>
      <c r="K171" s="54" t="str">
        <f>IFERROR(WHOLE_STRUCTURE[[#This Row],[Bottom '[m']]]-WHOLE_STRUCTURE[[#This Row],[D, top '[m']]], "")</f>
        <v/>
      </c>
      <c r="L171" s="54" t="str">
        <f>IFERROR(-(WHOLE_STRUCTURE[[#This Row],[D, bottom '[m']]]-WHOLE_STRUCTURE[[#This Row],[D, top '[m']]])/(WHOLE_STRUCTURE[[#This Row],[Bottom '[m']]]-WHOLE_STRUCTURE[[#This Row],[Top '[m']]]),"")</f>
        <v/>
      </c>
      <c r="M171" s="54" t="str">
        <f>IFERROR((WHOLE_STRUCTURE[[#This Row],[D, bottom '[m']]]+WHOLE_STRUCTURE[[#This Row],[D, top '[m']]])/(2*WHOLE_STRUCTURE[[#This Row],[t '[mm']]]/1000),"")</f>
        <v/>
      </c>
    </row>
    <row r="172" spans="10:13" x14ac:dyDescent="0.25">
      <c r="J172" s="54" t="str">
        <f t="shared" si="5"/>
        <v/>
      </c>
      <c r="K172" s="54" t="str">
        <f>IFERROR(WHOLE_STRUCTURE[[#This Row],[Bottom '[m']]]-WHOLE_STRUCTURE[[#This Row],[D, top '[m']]], "")</f>
        <v/>
      </c>
      <c r="L172" s="54" t="str">
        <f>IFERROR(-(WHOLE_STRUCTURE[[#This Row],[D, bottom '[m']]]-WHOLE_STRUCTURE[[#This Row],[D, top '[m']]])/(WHOLE_STRUCTURE[[#This Row],[Bottom '[m']]]-WHOLE_STRUCTURE[[#This Row],[Top '[m']]]),"")</f>
        <v/>
      </c>
      <c r="M172" s="54" t="str">
        <f>IFERROR((WHOLE_STRUCTURE[[#This Row],[D, bottom '[m']]]+WHOLE_STRUCTURE[[#This Row],[D, top '[m']]])/(2*WHOLE_STRUCTURE[[#This Row],[t '[mm']]]/1000),"")</f>
        <v/>
      </c>
    </row>
    <row r="173" spans="10:13" x14ac:dyDescent="0.25">
      <c r="J173" s="54" t="str">
        <f t="shared" si="5"/>
        <v/>
      </c>
      <c r="K173" s="54" t="str">
        <f>IFERROR(WHOLE_STRUCTURE[[#This Row],[Bottom '[m']]]-WHOLE_STRUCTURE[[#This Row],[D, top '[m']]], "")</f>
        <v/>
      </c>
      <c r="L173" s="54" t="str">
        <f>IFERROR(-(WHOLE_STRUCTURE[[#This Row],[D, bottom '[m']]]-WHOLE_STRUCTURE[[#This Row],[D, top '[m']]])/(WHOLE_STRUCTURE[[#This Row],[Bottom '[m']]]-WHOLE_STRUCTURE[[#This Row],[Top '[m']]]),"")</f>
        <v/>
      </c>
      <c r="M173" s="54" t="str">
        <f>IFERROR((WHOLE_STRUCTURE[[#This Row],[D, bottom '[m']]]+WHOLE_STRUCTURE[[#This Row],[D, top '[m']]])/(2*WHOLE_STRUCTURE[[#This Row],[t '[mm']]]/1000),"")</f>
        <v/>
      </c>
    </row>
    <row r="174" spans="10:13" x14ac:dyDescent="0.25">
      <c r="J174" s="54" t="str">
        <f t="shared" si="5"/>
        <v/>
      </c>
      <c r="K174" s="54" t="str">
        <f>IFERROR(WHOLE_STRUCTURE[[#This Row],[Bottom '[m']]]-WHOLE_STRUCTURE[[#This Row],[D, top '[m']]], "")</f>
        <v/>
      </c>
      <c r="L174" s="54" t="str">
        <f>IFERROR(-(WHOLE_STRUCTURE[[#This Row],[D, bottom '[m']]]-WHOLE_STRUCTURE[[#This Row],[D, top '[m']]])/(WHOLE_STRUCTURE[[#This Row],[Bottom '[m']]]-WHOLE_STRUCTURE[[#This Row],[Top '[m']]]),"")</f>
        <v/>
      </c>
      <c r="M174" s="54" t="str">
        <f>IFERROR((WHOLE_STRUCTURE[[#This Row],[D, bottom '[m']]]+WHOLE_STRUCTURE[[#This Row],[D, top '[m']]])/(2*WHOLE_STRUCTURE[[#This Row],[t '[mm']]]/1000),"")</f>
        <v/>
      </c>
    </row>
    <row r="175" spans="10:13" x14ac:dyDescent="0.25">
      <c r="J175" s="54" t="str">
        <f t="shared" si="5"/>
        <v/>
      </c>
      <c r="K175" s="54" t="str">
        <f>IFERROR(WHOLE_STRUCTURE[[#This Row],[Bottom '[m']]]-WHOLE_STRUCTURE[[#This Row],[D, top '[m']]], "")</f>
        <v/>
      </c>
      <c r="L175" s="54" t="str">
        <f>IFERROR(-(WHOLE_STRUCTURE[[#This Row],[D, bottom '[m']]]-WHOLE_STRUCTURE[[#This Row],[D, top '[m']]])/(WHOLE_STRUCTURE[[#This Row],[Bottom '[m']]]-WHOLE_STRUCTURE[[#This Row],[Top '[m']]]),"")</f>
        <v/>
      </c>
      <c r="M175" s="54" t="str">
        <f>IFERROR((WHOLE_STRUCTURE[[#This Row],[D, bottom '[m']]]+WHOLE_STRUCTURE[[#This Row],[D, top '[m']]])/(2*WHOLE_STRUCTURE[[#This Row],[t '[mm']]]/1000),"")</f>
        <v/>
      </c>
    </row>
    <row r="176" spans="10:13" x14ac:dyDescent="0.25">
      <c r="J176" s="54" t="str">
        <f t="shared" si="5"/>
        <v/>
      </c>
      <c r="K176" s="54" t="str">
        <f>IFERROR(WHOLE_STRUCTURE[[#This Row],[Bottom '[m']]]-WHOLE_STRUCTURE[[#This Row],[D, top '[m']]], "")</f>
        <v/>
      </c>
      <c r="L176" s="54" t="str">
        <f>IFERROR(-(WHOLE_STRUCTURE[[#This Row],[D, bottom '[m']]]-WHOLE_STRUCTURE[[#This Row],[D, top '[m']]])/(WHOLE_STRUCTURE[[#This Row],[Bottom '[m']]]-WHOLE_STRUCTURE[[#This Row],[Top '[m']]]),"")</f>
        <v/>
      </c>
      <c r="M176" s="54" t="str">
        <f>IFERROR((WHOLE_STRUCTURE[[#This Row],[D, bottom '[m']]]+WHOLE_STRUCTURE[[#This Row],[D, top '[m']]])/(2*WHOLE_STRUCTURE[[#This Row],[t '[mm']]]/1000),"")</f>
        <v/>
      </c>
    </row>
    <row r="177" spans="10:13" x14ac:dyDescent="0.25">
      <c r="J177" s="54" t="str">
        <f t="shared" si="5"/>
        <v/>
      </c>
      <c r="K177" s="54" t="str">
        <f>IFERROR(WHOLE_STRUCTURE[[#This Row],[Bottom '[m']]]-WHOLE_STRUCTURE[[#This Row],[D, top '[m']]], "")</f>
        <v/>
      </c>
      <c r="L177" s="54" t="str">
        <f>IFERROR(-(WHOLE_STRUCTURE[[#This Row],[D, bottom '[m']]]-WHOLE_STRUCTURE[[#This Row],[D, top '[m']]])/(WHOLE_STRUCTURE[[#This Row],[Bottom '[m']]]-WHOLE_STRUCTURE[[#This Row],[Top '[m']]]),"")</f>
        <v/>
      </c>
      <c r="M177" s="54" t="str">
        <f>IFERROR((WHOLE_STRUCTURE[[#This Row],[D, bottom '[m']]]+WHOLE_STRUCTURE[[#This Row],[D, top '[m']]])/(2*WHOLE_STRUCTURE[[#This Row],[t '[mm']]]/1000),"")</f>
        <v/>
      </c>
    </row>
    <row r="178" spans="10:13" x14ac:dyDescent="0.25">
      <c r="J178" s="54" t="str">
        <f t="shared" si="5"/>
        <v/>
      </c>
      <c r="K178" s="54" t="str">
        <f>IFERROR(WHOLE_STRUCTURE[[#This Row],[Bottom '[m']]]-WHOLE_STRUCTURE[[#This Row],[D, top '[m']]], "")</f>
        <v/>
      </c>
      <c r="L178" s="54" t="str">
        <f>IFERROR(-(WHOLE_STRUCTURE[[#This Row],[D, bottom '[m']]]-WHOLE_STRUCTURE[[#This Row],[D, top '[m']]])/(WHOLE_STRUCTURE[[#This Row],[Bottom '[m']]]-WHOLE_STRUCTURE[[#This Row],[Top '[m']]]),"")</f>
        <v/>
      </c>
      <c r="M178" s="54" t="str">
        <f>IFERROR((WHOLE_STRUCTURE[[#This Row],[D, bottom '[m']]]+WHOLE_STRUCTURE[[#This Row],[D, top '[m']]])/(2*WHOLE_STRUCTURE[[#This Row],[t '[mm']]]/1000),"")</f>
        <v/>
      </c>
    </row>
    <row r="179" spans="10:13" x14ac:dyDescent="0.25">
      <c r="J179" s="54" t="str">
        <f t="shared" si="5"/>
        <v/>
      </c>
      <c r="K179" s="54" t="str">
        <f>IFERROR(WHOLE_STRUCTURE[[#This Row],[Bottom '[m']]]-WHOLE_STRUCTURE[[#This Row],[D, top '[m']]], "")</f>
        <v/>
      </c>
      <c r="L179" s="54" t="str">
        <f>IFERROR(-(WHOLE_STRUCTURE[[#This Row],[D, bottom '[m']]]-WHOLE_STRUCTURE[[#This Row],[D, top '[m']]])/(WHOLE_STRUCTURE[[#This Row],[Bottom '[m']]]-WHOLE_STRUCTURE[[#This Row],[Top '[m']]]),"")</f>
        <v/>
      </c>
      <c r="M179" s="54" t="str">
        <f>IFERROR((WHOLE_STRUCTURE[[#This Row],[D, bottom '[m']]]+WHOLE_STRUCTURE[[#This Row],[D, top '[m']]])/(2*WHOLE_STRUCTURE[[#This Row],[t '[mm']]]/1000),"")</f>
        <v/>
      </c>
    </row>
    <row r="180" spans="10:13" x14ac:dyDescent="0.25">
      <c r="J180" s="54" t="str">
        <f t="shared" si="5"/>
        <v/>
      </c>
      <c r="K180" s="54" t="str">
        <f>IFERROR(WHOLE_STRUCTURE[[#This Row],[Bottom '[m']]]-WHOLE_STRUCTURE[[#This Row],[D, top '[m']]], "")</f>
        <v/>
      </c>
      <c r="L180" s="54" t="str">
        <f>IFERROR(-(WHOLE_STRUCTURE[[#This Row],[D, bottom '[m']]]-WHOLE_STRUCTURE[[#This Row],[D, top '[m']]])/(WHOLE_STRUCTURE[[#This Row],[Bottom '[m']]]-WHOLE_STRUCTURE[[#This Row],[Top '[m']]]),"")</f>
        <v/>
      </c>
      <c r="M180" s="54" t="str">
        <f>IFERROR((WHOLE_STRUCTURE[[#This Row],[D, bottom '[m']]]+WHOLE_STRUCTURE[[#This Row],[D, top '[m']]])/(2*WHOLE_STRUCTURE[[#This Row],[t '[mm']]]/1000),"")</f>
        <v/>
      </c>
    </row>
    <row r="181" spans="10:13" x14ac:dyDescent="0.25">
      <c r="J181" s="54" t="str">
        <f t="shared" si="5"/>
        <v/>
      </c>
      <c r="K181" s="54" t="str">
        <f>IFERROR(WHOLE_STRUCTURE[[#This Row],[Bottom '[m']]]-WHOLE_STRUCTURE[[#This Row],[D, top '[m']]], "")</f>
        <v/>
      </c>
      <c r="L181" s="54" t="str">
        <f>IFERROR(-(WHOLE_STRUCTURE[[#This Row],[D, bottom '[m']]]-WHOLE_STRUCTURE[[#This Row],[D, top '[m']]])/(WHOLE_STRUCTURE[[#This Row],[Bottom '[m']]]-WHOLE_STRUCTURE[[#This Row],[Top '[m']]]),"")</f>
        <v/>
      </c>
      <c r="M181" s="54" t="str">
        <f>IFERROR((WHOLE_STRUCTURE[[#This Row],[D, bottom '[m']]]+WHOLE_STRUCTURE[[#This Row],[D, top '[m']]])/(2*WHOLE_STRUCTURE[[#This Row],[t '[mm']]]/1000),"")</f>
        <v/>
      </c>
    </row>
    <row r="182" spans="10:13" x14ac:dyDescent="0.25">
      <c r="J182" s="54" t="str">
        <f t="shared" si="5"/>
        <v/>
      </c>
      <c r="K182" s="54" t="str">
        <f>IFERROR(WHOLE_STRUCTURE[[#This Row],[Bottom '[m']]]-WHOLE_STRUCTURE[[#This Row],[D, top '[m']]], "")</f>
        <v/>
      </c>
      <c r="L182" s="54" t="str">
        <f>IFERROR(-(WHOLE_STRUCTURE[[#This Row],[D, bottom '[m']]]-WHOLE_STRUCTURE[[#This Row],[D, top '[m']]])/(WHOLE_STRUCTURE[[#This Row],[Bottom '[m']]]-WHOLE_STRUCTURE[[#This Row],[Top '[m']]]),"")</f>
        <v/>
      </c>
      <c r="M182" s="54" t="str">
        <f>IFERROR((WHOLE_STRUCTURE[[#This Row],[D, bottom '[m']]]+WHOLE_STRUCTURE[[#This Row],[D, top '[m']]])/(2*WHOLE_STRUCTURE[[#This Row],[t '[mm']]]/1000),"")</f>
        <v/>
      </c>
    </row>
    <row r="183" spans="10:13" x14ac:dyDescent="0.25">
      <c r="J183" s="54" t="str">
        <f t="shared" si="5"/>
        <v/>
      </c>
      <c r="K183" s="54" t="str">
        <f>IFERROR(WHOLE_STRUCTURE[[#This Row],[Bottom '[m']]]-WHOLE_STRUCTURE[[#This Row],[D, top '[m']]], "")</f>
        <v/>
      </c>
      <c r="L183" s="54" t="str">
        <f>IFERROR(-(WHOLE_STRUCTURE[[#This Row],[D, bottom '[m']]]-WHOLE_STRUCTURE[[#This Row],[D, top '[m']]])/(WHOLE_STRUCTURE[[#This Row],[Bottom '[m']]]-WHOLE_STRUCTURE[[#This Row],[Top '[m']]]),"")</f>
        <v/>
      </c>
      <c r="M183" s="54" t="str">
        <f>IFERROR((WHOLE_STRUCTURE[[#This Row],[D, bottom '[m']]]+WHOLE_STRUCTURE[[#This Row],[D, top '[m']]])/(2*WHOLE_STRUCTURE[[#This Row],[t '[mm']]]/1000),"")</f>
        <v/>
      </c>
    </row>
    <row r="184" spans="10:13" x14ac:dyDescent="0.25">
      <c r="J184" s="54" t="str">
        <f t="shared" si="5"/>
        <v/>
      </c>
      <c r="K184" s="54" t="str">
        <f>IFERROR(WHOLE_STRUCTURE[[#This Row],[Bottom '[m']]]-WHOLE_STRUCTURE[[#This Row],[D, top '[m']]], "")</f>
        <v/>
      </c>
      <c r="L184" s="54" t="str">
        <f>IFERROR(-(WHOLE_STRUCTURE[[#This Row],[D, bottom '[m']]]-WHOLE_STRUCTURE[[#This Row],[D, top '[m']]])/(WHOLE_STRUCTURE[[#This Row],[Bottom '[m']]]-WHOLE_STRUCTURE[[#This Row],[Top '[m']]]),"")</f>
        <v/>
      </c>
      <c r="M184" s="54" t="str">
        <f>IFERROR((WHOLE_STRUCTURE[[#This Row],[D, bottom '[m']]]+WHOLE_STRUCTURE[[#This Row],[D, top '[m']]])/(2*WHOLE_STRUCTURE[[#This Row],[t '[mm']]]/1000),"")</f>
        <v/>
      </c>
    </row>
    <row r="185" spans="10:13" x14ac:dyDescent="0.25">
      <c r="J185" s="54" t="str">
        <f t="shared" si="5"/>
        <v/>
      </c>
      <c r="K185" s="54" t="str">
        <f>IFERROR(WHOLE_STRUCTURE[[#This Row],[Bottom '[m']]]-WHOLE_STRUCTURE[[#This Row],[D, top '[m']]], "")</f>
        <v/>
      </c>
      <c r="L185" s="54" t="str">
        <f>IFERROR(-(WHOLE_STRUCTURE[[#This Row],[D, bottom '[m']]]-WHOLE_STRUCTURE[[#This Row],[D, top '[m']]])/(WHOLE_STRUCTURE[[#This Row],[Bottom '[m']]]-WHOLE_STRUCTURE[[#This Row],[Top '[m']]]),"")</f>
        <v/>
      </c>
      <c r="M185" s="54" t="str">
        <f>IFERROR((WHOLE_STRUCTURE[[#This Row],[D, bottom '[m']]]+WHOLE_STRUCTURE[[#This Row],[D, top '[m']]])/(2*WHOLE_STRUCTURE[[#This Row],[t '[mm']]]/1000),"")</f>
        <v/>
      </c>
    </row>
    <row r="186" spans="10:13" x14ac:dyDescent="0.25">
      <c r="J186" s="54" t="str">
        <f t="shared" si="5"/>
        <v/>
      </c>
      <c r="K186" s="54" t="str">
        <f>IFERROR(WHOLE_STRUCTURE[[#This Row],[Bottom '[m']]]-WHOLE_STRUCTURE[[#This Row],[D, top '[m']]], "")</f>
        <v/>
      </c>
      <c r="L186" s="54" t="str">
        <f>IFERROR(-(WHOLE_STRUCTURE[[#This Row],[D, bottom '[m']]]-WHOLE_STRUCTURE[[#This Row],[D, top '[m']]])/(WHOLE_STRUCTURE[[#This Row],[Bottom '[m']]]-WHOLE_STRUCTURE[[#This Row],[Top '[m']]]),"")</f>
        <v/>
      </c>
      <c r="M186" s="54" t="str">
        <f>IFERROR((WHOLE_STRUCTURE[[#This Row],[D, bottom '[m']]]+WHOLE_STRUCTURE[[#This Row],[D, top '[m']]])/(2*WHOLE_STRUCTURE[[#This Row],[t '[mm']]]/1000),"")</f>
        <v/>
      </c>
    </row>
    <row r="187" spans="10:13" x14ac:dyDescent="0.25">
      <c r="J187" s="54" t="str">
        <f t="shared" si="5"/>
        <v/>
      </c>
      <c r="K187" s="54" t="str">
        <f>IFERROR(WHOLE_STRUCTURE[[#This Row],[Bottom '[m']]]-WHOLE_STRUCTURE[[#This Row],[D, top '[m']]], "")</f>
        <v/>
      </c>
      <c r="L187" s="54" t="str">
        <f>IFERROR(-(WHOLE_STRUCTURE[[#This Row],[D, bottom '[m']]]-WHOLE_STRUCTURE[[#This Row],[D, top '[m']]])/(WHOLE_STRUCTURE[[#This Row],[Bottom '[m']]]-WHOLE_STRUCTURE[[#This Row],[Top '[m']]]),"")</f>
        <v/>
      </c>
      <c r="M187" s="54" t="str">
        <f>IFERROR((WHOLE_STRUCTURE[[#This Row],[D, bottom '[m']]]+WHOLE_STRUCTURE[[#This Row],[D, top '[m']]])/(2*WHOLE_STRUCTURE[[#This Row],[t '[mm']]]/1000),"")</f>
        <v/>
      </c>
    </row>
    <row r="188" spans="10:13" x14ac:dyDescent="0.25">
      <c r="J188" s="54" t="str">
        <f t="shared" si="5"/>
        <v/>
      </c>
      <c r="K188" s="54" t="str">
        <f>IFERROR(WHOLE_STRUCTURE[[#This Row],[Bottom '[m']]]-WHOLE_STRUCTURE[[#This Row],[D, top '[m']]], "")</f>
        <v/>
      </c>
      <c r="L188" s="54" t="str">
        <f>IFERROR(-(WHOLE_STRUCTURE[[#This Row],[D, bottom '[m']]]-WHOLE_STRUCTURE[[#This Row],[D, top '[m']]])/(WHOLE_STRUCTURE[[#This Row],[Bottom '[m']]]-WHOLE_STRUCTURE[[#This Row],[Top '[m']]]),"")</f>
        <v/>
      </c>
      <c r="M188" s="54" t="str">
        <f>IFERROR((WHOLE_STRUCTURE[[#This Row],[D, bottom '[m']]]+WHOLE_STRUCTURE[[#This Row],[D, top '[m']]])/(2*WHOLE_STRUCTURE[[#This Row],[t '[mm']]]/1000),"")</f>
        <v/>
      </c>
    </row>
    <row r="189" spans="10:13" x14ac:dyDescent="0.25">
      <c r="J189" s="54" t="str">
        <f t="shared" si="5"/>
        <v/>
      </c>
      <c r="K189" s="54" t="str">
        <f>IFERROR(WHOLE_STRUCTURE[[#This Row],[Bottom '[m']]]-WHOLE_STRUCTURE[[#This Row],[D, top '[m']]], "")</f>
        <v/>
      </c>
      <c r="L189" s="54" t="str">
        <f>IFERROR(-(WHOLE_STRUCTURE[[#This Row],[D, bottom '[m']]]-WHOLE_STRUCTURE[[#This Row],[D, top '[m']]])/(WHOLE_STRUCTURE[[#This Row],[Bottom '[m']]]-WHOLE_STRUCTURE[[#This Row],[Top '[m']]]),"")</f>
        <v/>
      </c>
      <c r="M189" s="54" t="str">
        <f>IFERROR((WHOLE_STRUCTURE[[#This Row],[D, bottom '[m']]]+WHOLE_STRUCTURE[[#This Row],[D, top '[m']]])/(2*WHOLE_STRUCTURE[[#This Row],[t '[mm']]]/1000),"")</f>
        <v/>
      </c>
    </row>
    <row r="190" spans="10:13" x14ac:dyDescent="0.25">
      <c r="J190" s="54" t="str">
        <f t="shared" si="5"/>
        <v/>
      </c>
      <c r="K190" s="54" t="str">
        <f>IFERROR(WHOLE_STRUCTURE[[#This Row],[Bottom '[m']]]-WHOLE_STRUCTURE[[#This Row],[D, top '[m']]], "")</f>
        <v/>
      </c>
      <c r="L190" s="54" t="str">
        <f>IFERROR(-(WHOLE_STRUCTURE[[#This Row],[D, bottom '[m']]]-WHOLE_STRUCTURE[[#This Row],[D, top '[m']]])/(WHOLE_STRUCTURE[[#This Row],[Bottom '[m']]]-WHOLE_STRUCTURE[[#This Row],[Top '[m']]]),"")</f>
        <v/>
      </c>
      <c r="M190" s="54" t="str">
        <f>IFERROR((WHOLE_STRUCTURE[[#This Row],[D, bottom '[m']]]+WHOLE_STRUCTURE[[#This Row],[D, top '[m']]])/(2*WHOLE_STRUCTURE[[#This Row],[t '[mm']]]/1000),"")</f>
        <v/>
      </c>
    </row>
    <row r="191" spans="10:13" x14ac:dyDescent="0.25">
      <c r="J191" s="54" t="str">
        <f t="shared" si="5"/>
        <v/>
      </c>
      <c r="K191" s="54" t="str">
        <f>IFERROR(WHOLE_STRUCTURE[[#This Row],[Bottom '[m']]]-WHOLE_STRUCTURE[[#This Row],[D, top '[m']]], "")</f>
        <v/>
      </c>
      <c r="L191" s="54" t="str">
        <f>IFERROR(-(WHOLE_STRUCTURE[[#This Row],[D, bottom '[m']]]-WHOLE_STRUCTURE[[#This Row],[D, top '[m']]])/(WHOLE_STRUCTURE[[#This Row],[Bottom '[m']]]-WHOLE_STRUCTURE[[#This Row],[Top '[m']]]),"")</f>
        <v/>
      </c>
      <c r="M191" s="54" t="str">
        <f>IFERROR((WHOLE_STRUCTURE[[#This Row],[D, bottom '[m']]]+WHOLE_STRUCTURE[[#This Row],[D, top '[m']]])/(2*WHOLE_STRUCTURE[[#This Row],[t '[mm']]]/1000),"")</f>
        <v/>
      </c>
    </row>
    <row r="192" spans="10:13" x14ac:dyDescent="0.25">
      <c r="J192" s="54" t="str">
        <f t="shared" si="5"/>
        <v/>
      </c>
      <c r="K192" s="54" t="str">
        <f>IFERROR(WHOLE_STRUCTURE[[#This Row],[Bottom '[m']]]-WHOLE_STRUCTURE[[#This Row],[D, top '[m']]], "")</f>
        <v/>
      </c>
      <c r="L192" s="54" t="str">
        <f>IFERROR(-(WHOLE_STRUCTURE[[#This Row],[D, bottom '[m']]]-WHOLE_STRUCTURE[[#This Row],[D, top '[m']]])/(WHOLE_STRUCTURE[[#This Row],[Bottom '[m']]]-WHOLE_STRUCTURE[[#This Row],[Top '[m']]]),"")</f>
        <v/>
      </c>
      <c r="M192" s="54" t="str">
        <f>IFERROR((WHOLE_STRUCTURE[[#This Row],[D, bottom '[m']]]+WHOLE_STRUCTURE[[#This Row],[D, top '[m']]])/(2*WHOLE_STRUCTURE[[#This Row],[t '[mm']]]/1000),"")</f>
        <v/>
      </c>
    </row>
    <row r="193" spans="10:13" x14ac:dyDescent="0.25">
      <c r="J193" s="54" t="str">
        <f t="shared" si="5"/>
        <v/>
      </c>
      <c r="K193" s="54" t="str">
        <f>IFERROR(WHOLE_STRUCTURE[[#This Row],[Bottom '[m']]]-WHOLE_STRUCTURE[[#This Row],[D, top '[m']]], "")</f>
        <v/>
      </c>
      <c r="L193" s="54" t="str">
        <f>IFERROR(-(WHOLE_STRUCTURE[[#This Row],[D, bottom '[m']]]-WHOLE_STRUCTURE[[#This Row],[D, top '[m']]])/(WHOLE_STRUCTURE[[#This Row],[Bottom '[m']]]-WHOLE_STRUCTURE[[#This Row],[Top '[m']]]),"")</f>
        <v/>
      </c>
      <c r="M193" s="54" t="str">
        <f>IFERROR((WHOLE_STRUCTURE[[#This Row],[D, bottom '[m']]]+WHOLE_STRUCTURE[[#This Row],[D, top '[m']]])/(2*WHOLE_STRUCTURE[[#This Row],[t '[mm']]]/1000),"")</f>
        <v/>
      </c>
    </row>
    <row r="194" spans="10:13" x14ac:dyDescent="0.25">
      <c r="J194" s="54" t="str">
        <f t="shared" si="5"/>
        <v/>
      </c>
      <c r="K194" s="54" t="str">
        <f>IFERROR(WHOLE_STRUCTURE[[#This Row],[Bottom '[m']]]-WHOLE_STRUCTURE[[#This Row],[D, top '[m']]], "")</f>
        <v/>
      </c>
      <c r="L194" s="54" t="str">
        <f>IFERROR(-(WHOLE_STRUCTURE[[#This Row],[D, bottom '[m']]]-WHOLE_STRUCTURE[[#This Row],[D, top '[m']]])/(WHOLE_STRUCTURE[[#This Row],[Bottom '[m']]]-WHOLE_STRUCTURE[[#This Row],[Top '[m']]]),"")</f>
        <v/>
      </c>
      <c r="M194" s="54" t="str">
        <f>IFERROR((WHOLE_STRUCTURE[[#This Row],[D, bottom '[m']]]+WHOLE_STRUCTURE[[#This Row],[D, top '[m']]])/(2*WHOLE_STRUCTURE[[#This Row],[t '[mm']]]/1000),"")</f>
        <v/>
      </c>
    </row>
    <row r="195" spans="10:13" x14ac:dyDescent="0.25">
      <c r="J195" s="54" t="str">
        <f t="shared" ref="J195:J258" si="6">IF(7850/1000*(1/3)*PI()*ABS(E195-F195)*((G195/2)^2+(G195/2)*(H195/2)+(H195/2)^2-(G195/2-I195/1000)^2-(G195/2-I195/1000)*(H195/2-I195/1000)-(H195/2-I195/1000)^2)=0,"",7850/1000*(1/3)*PI()*ABS(E195-F195)*((G195/2)^2+(G195/2)*(H195/2)+(H195/2)^2-(G195/2-I195/1000)^2-(G195/2-I195/1000)*(H195/2-I195/1000)-(H195/2-I195/1000)^2))</f>
        <v/>
      </c>
      <c r="K195" s="54" t="str">
        <f>IFERROR(WHOLE_STRUCTURE[[#This Row],[Bottom '[m']]]-WHOLE_STRUCTURE[[#This Row],[D, top '[m']]], "")</f>
        <v/>
      </c>
      <c r="L195" s="54" t="str">
        <f>IFERROR(-(WHOLE_STRUCTURE[[#This Row],[D, bottom '[m']]]-WHOLE_STRUCTURE[[#This Row],[D, top '[m']]])/(WHOLE_STRUCTURE[[#This Row],[Bottom '[m']]]-WHOLE_STRUCTURE[[#This Row],[Top '[m']]]),"")</f>
        <v/>
      </c>
      <c r="M195" s="54" t="str">
        <f>IFERROR((WHOLE_STRUCTURE[[#This Row],[D, bottom '[m']]]+WHOLE_STRUCTURE[[#This Row],[D, top '[m']]])/(2*WHOLE_STRUCTURE[[#This Row],[t '[mm']]]/1000),"")</f>
        <v/>
      </c>
    </row>
    <row r="196" spans="10:13" x14ac:dyDescent="0.25">
      <c r="J196" s="54" t="str">
        <f t="shared" si="6"/>
        <v/>
      </c>
      <c r="K196" s="54" t="str">
        <f>IFERROR(WHOLE_STRUCTURE[[#This Row],[Bottom '[m']]]-WHOLE_STRUCTURE[[#This Row],[D, top '[m']]], "")</f>
        <v/>
      </c>
      <c r="L196" s="54" t="str">
        <f>IFERROR(-(WHOLE_STRUCTURE[[#This Row],[D, bottom '[m']]]-WHOLE_STRUCTURE[[#This Row],[D, top '[m']]])/(WHOLE_STRUCTURE[[#This Row],[Bottom '[m']]]-WHOLE_STRUCTURE[[#This Row],[Top '[m']]]),"")</f>
        <v/>
      </c>
      <c r="M196" s="54" t="str">
        <f>IFERROR((WHOLE_STRUCTURE[[#This Row],[D, bottom '[m']]]+WHOLE_STRUCTURE[[#This Row],[D, top '[m']]])/(2*WHOLE_STRUCTURE[[#This Row],[t '[mm']]]/1000),"")</f>
        <v/>
      </c>
    </row>
    <row r="197" spans="10:13" x14ac:dyDescent="0.25">
      <c r="J197" s="54" t="str">
        <f t="shared" si="6"/>
        <v/>
      </c>
      <c r="K197" s="54" t="str">
        <f>IFERROR(WHOLE_STRUCTURE[[#This Row],[Bottom '[m']]]-WHOLE_STRUCTURE[[#This Row],[D, top '[m']]], "")</f>
        <v/>
      </c>
      <c r="L197" s="54" t="str">
        <f>IFERROR(-(WHOLE_STRUCTURE[[#This Row],[D, bottom '[m']]]-WHOLE_STRUCTURE[[#This Row],[D, top '[m']]])/(WHOLE_STRUCTURE[[#This Row],[Bottom '[m']]]-WHOLE_STRUCTURE[[#This Row],[Top '[m']]]),"")</f>
        <v/>
      </c>
      <c r="M197" s="54" t="str">
        <f>IFERROR((WHOLE_STRUCTURE[[#This Row],[D, bottom '[m']]]+WHOLE_STRUCTURE[[#This Row],[D, top '[m']]])/(2*WHOLE_STRUCTURE[[#This Row],[t '[mm']]]/1000),"")</f>
        <v/>
      </c>
    </row>
    <row r="198" spans="10:13" x14ac:dyDescent="0.25">
      <c r="J198" s="54" t="str">
        <f t="shared" si="6"/>
        <v/>
      </c>
      <c r="K198" s="54" t="str">
        <f>IFERROR(WHOLE_STRUCTURE[[#This Row],[Bottom '[m']]]-WHOLE_STRUCTURE[[#This Row],[D, top '[m']]], "")</f>
        <v/>
      </c>
      <c r="L198" s="54" t="str">
        <f>IFERROR(-(WHOLE_STRUCTURE[[#This Row],[D, bottom '[m']]]-WHOLE_STRUCTURE[[#This Row],[D, top '[m']]])/(WHOLE_STRUCTURE[[#This Row],[Bottom '[m']]]-WHOLE_STRUCTURE[[#This Row],[Top '[m']]]),"")</f>
        <v/>
      </c>
      <c r="M198" s="54" t="str">
        <f>IFERROR((WHOLE_STRUCTURE[[#This Row],[D, bottom '[m']]]+WHOLE_STRUCTURE[[#This Row],[D, top '[m']]])/(2*WHOLE_STRUCTURE[[#This Row],[t '[mm']]]/1000),"")</f>
        <v/>
      </c>
    </row>
    <row r="199" spans="10:13" x14ac:dyDescent="0.25">
      <c r="J199" s="54" t="str">
        <f t="shared" si="6"/>
        <v/>
      </c>
      <c r="K199" s="54" t="str">
        <f>IFERROR(WHOLE_STRUCTURE[[#This Row],[Bottom '[m']]]-WHOLE_STRUCTURE[[#This Row],[D, top '[m']]], "")</f>
        <v/>
      </c>
      <c r="L199" s="54" t="str">
        <f>IFERROR(-(WHOLE_STRUCTURE[[#This Row],[D, bottom '[m']]]-WHOLE_STRUCTURE[[#This Row],[D, top '[m']]])/(WHOLE_STRUCTURE[[#This Row],[Bottom '[m']]]-WHOLE_STRUCTURE[[#This Row],[Top '[m']]]),"")</f>
        <v/>
      </c>
      <c r="M199" s="54" t="str">
        <f>IFERROR((WHOLE_STRUCTURE[[#This Row],[D, bottom '[m']]]+WHOLE_STRUCTURE[[#This Row],[D, top '[m']]])/(2*WHOLE_STRUCTURE[[#This Row],[t '[mm']]]/1000),"")</f>
        <v/>
      </c>
    </row>
    <row r="200" spans="10:13" x14ac:dyDescent="0.25">
      <c r="J200" s="54" t="str">
        <f t="shared" si="6"/>
        <v/>
      </c>
      <c r="K200" s="54" t="str">
        <f>IFERROR(WHOLE_STRUCTURE[[#This Row],[Bottom '[m']]]-WHOLE_STRUCTURE[[#This Row],[D, top '[m']]], "")</f>
        <v/>
      </c>
      <c r="L200" s="54" t="str">
        <f>IFERROR(-(WHOLE_STRUCTURE[[#This Row],[D, bottom '[m']]]-WHOLE_STRUCTURE[[#This Row],[D, top '[m']]])/(WHOLE_STRUCTURE[[#This Row],[Bottom '[m']]]-WHOLE_STRUCTURE[[#This Row],[Top '[m']]]),"")</f>
        <v/>
      </c>
      <c r="M200" s="54" t="str">
        <f>IFERROR((WHOLE_STRUCTURE[[#This Row],[D, bottom '[m']]]+WHOLE_STRUCTURE[[#This Row],[D, top '[m']]])/(2*WHOLE_STRUCTURE[[#This Row],[t '[mm']]]/1000),"")</f>
        <v/>
      </c>
    </row>
    <row r="201" spans="10:13" x14ac:dyDescent="0.25">
      <c r="J201" s="54" t="str">
        <f t="shared" si="6"/>
        <v/>
      </c>
      <c r="K201" s="54" t="str">
        <f>IFERROR(WHOLE_STRUCTURE[[#This Row],[Bottom '[m']]]-WHOLE_STRUCTURE[[#This Row],[D, top '[m']]], "")</f>
        <v/>
      </c>
      <c r="L201" s="54" t="str">
        <f>IFERROR(-(WHOLE_STRUCTURE[[#This Row],[D, bottom '[m']]]-WHOLE_STRUCTURE[[#This Row],[D, top '[m']]])/(WHOLE_STRUCTURE[[#This Row],[Bottom '[m']]]-WHOLE_STRUCTURE[[#This Row],[Top '[m']]]),"")</f>
        <v/>
      </c>
      <c r="M201" s="54" t="str">
        <f>IFERROR((WHOLE_STRUCTURE[[#This Row],[D, bottom '[m']]]+WHOLE_STRUCTURE[[#This Row],[D, top '[m']]])/(2*WHOLE_STRUCTURE[[#This Row],[t '[mm']]]/1000),"")</f>
        <v/>
      </c>
    </row>
    <row r="202" spans="10:13" x14ac:dyDescent="0.25">
      <c r="J202" s="54" t="str">
        <f t="shared" si="6"/>
        <v/>
      </c>
      <c r="K202" s="54" t="str">
        <f>IFERROR(WHOLE_STRUCTURE[[#This Row],[Bottom '[m']]]-WHOLE_STRUCTURE[[#This Row],[D, top '[m']]], "")</f>
        <v/>
      </c>
      <c r="L202" s="54" t="str">
        <f>IFERROR(-(WHOLE_STRUCTURE[[#This Row],[D, bottom '[m']]]-WHOLE_STRUCTURE[[#This Row],[D, top '[m']]])/(WHOLE_STRUCTURE[[#This Row],[Bottom '[m']]]-WHOLE_STRUCTURE[[#This Row],[Top '[m']]]),"")</f>
        <v/>
      </c>
      <c r="M202" s="54" t="str">
        <f>IFERROR((WHOLE_STRUCTURE[[#This Row],[D, bottom '[m']]]+WHOLE_STRUCTURE[[#This Row],[D, top '[m']]])/(2*WHOLE_STRUCTURE[[#This Row],[t '[mm']]]/1000),"")</f>
        <v/>
      </c>
    </row>
    <row r="203" spans="10:13" x14ac:dyDescent="0.25">
      <c r="J203" s="54" t="str">
        <f t="shared" si="6"/>
        <v/>
      </c>
      <c r="K203" s="54" t="str">
        <f>IFERROR(WHOLE_STRUCTURE[[#This Row],[Bottom '[m']]]-WHOLE_STRUCTURE[[#This Row],[D, top '[m']]], "")</f>
        <v/>
      </c>
      <c r="L203" s="54" t="str">
        <f>IFERROR(-(WHOLE_STRUCTURE[[#This Row],[D, bottom '[m']]]-WHOLE_STRUCTURE[[#This Row],[D, top '[m']]])/(WHOLE_STRUCTURE[[#This Row],[Bottom '[m']]]-WHOLE_STRUCTURE[[#This Row],[Top '[m']]]),"")</f>
        <v/>
      </c>
      <c r="M203" s="54" t="str">
        <f>IFERROR((WHOLE_STRUCTURE[[#This Row],[D, bottom '[m']]]+WHOLE_STRUCTURE[[#This Row],[D, top '[m']]])/(2*WHOLE_STRUCTURE[[#This Row],[t '[mm']]]/1000),"")</f>
        <v/>
      </c>
    </row>
    <row r="204" spans="10:13" x14ac:dyDescent="0.25">
      <c r="J204" s="54" t="str">
        <f t="shared" si="6"/>
        <v/>
      </c>
      <c r="K204" s="54" t="str">
        <f>IFERROR(WHOLE_STRUCTURE[[#This Row],[Bottom '[m']]]-WHOLE_STRUCTURE[[#This Row],[D, top '[m']]], "")</f>
        <v/>
      </c>
      <c r="L204" s="54" t="str">
        <f>IFERROR(-(WHOLE_STRUCTURE[[#This Row],[D, bottom '[m']]]-WHOLE_STRUCTURE[[#This Row],[D, top '[m']]])/(WHOLE_STRUCTURE[[#This Row],[Bottom '[m']]]-WHOLE_STRUCTURE[[#This Row],[Top '[m']]]),"")</f>
        <v/>
      </c>
      <c r="M204" s="54" t="str">
        <f>IFERROR((WHOLE_STRUCTURE[[#This Row],[D, bottom '[m']]]+WHOLE_STRUCTURE[[#This Row],[D, top '[m']]])/(2*WHOLE_STRUCTURE[[#This Row],[t '[mm']]]/1000),"")</f>
        <v/>
      </c>
    </row>
    <row r="205" spans="10:13" x14ac:dyDescent="0.25">
      <c r="J205" s="54" t="str">
        <f t="shared" si="6"/>
        <v/>
      </c>
      <c r="K205" s="54" t="str">
        <f>IFERROR(WHOLE_STRUCTURE[[#This Row],[Bottom '[m']]]-WHOLE_STRUCTURE[[#This Row],[D, top '[m']]], "")</f>
        <v/>
      </c>
      <c r="L205" s="54" t="str">
        <f>IFERROR(-(WHOLE_STRUCTURE[[#This Row],[D, bottom '[m']]]-WHOLE_STRUCTURE[[#This Row],[D, top '[m']]])/(WHOLE_STRUCTURE[[#This Row],[Bottom '[m']]]-WHOLE_STRUCTURE[[#This Row],[Top '[m']]]),"")</f>
        <v/>
      </c>
      <c r="M205" s="54" t="str">
        <f>IFERROR((WHOLE_STRUCTURE[[#This Row],[D, bottom '[m']]]+WHOLE_STRUCTURE[[#This Row],[D, top '[m']]])/(2*WHOLE_STRUCTURE[[#This Row],[t '[mm']]]/1000),"")</f>
        <v/>
      </c>
    </row>
    <row r="206" spans="10:13" x14ac:dyDescent="0.25">
      <c r="J206" s="54" t="str">
        <f t="shared" si="6"/>
        <v/>
      </c>
      <c r="K206" s="54" t="str">
        <f>IFERROR(WHOLE_STRUCTURE[[#This Row],[Bottom '[m']]]-WHOLE_STRUCTURE[[#This Row],[D, top '[m']]], "")</f>
        <v/>
      </c>
      <c r="L206" s="54" t="str">
        <f>IFERROR(-(WHOLE_STRUCTURE[[#This Row],[D, bottom '[m']]]-WHOLE_STRUCTURE[[#This Row],[D, top '[m']]])/(WHOLE_STRUCTURE[[#This Row],[Bottom '[m']]]-WHOLE_STRUCTURE[[#This Row],[Top '[m']]]),"")</f>
        <v/>
      </c>
      <c r="M206" s="54" t="str">
        <f>IFERROR((WHOLE_STRUCTURE[[#This Row],[D, bottom '[m']]]+WHOLE_STRUCTURE[[#This Row],[D, top '[m']]])/(2*WHOLE_STRUCTURE[[#This Row],[t '[mm']]]/1000),"")</f>
        <v/>
      </c>
    </row>
    <row r="207" spans="10:13" x14ac:dyDescent="0.25">
      <c r="J207" s="54" t="str">
        <f t="shared" si="6"/>
        <v/>
      </c>
      <c r="K207" s="54" t="str">
        <f>IFERROR(WHOLE_STRUCTURE[[#This Row],[Bottom '[m']]]-WHOLE_STRUCTURE[[#This Row],[D, top '[m']]], "")</f>
        <v/>
      </c>
      <c r="L207" s="54" t="str">
        <f>IFERROR(-(WHOLE_STRUCTURE[[#This Row],[D, bottom '[m']]]-WHOLE_STRUCTURE[[#This Row],[D, top '[m']]])/(WHOLE_STRUCTURE[[#This Row],[Bottom '[m']]]-WHOLE_STRUCTURE[[#This Row],[Top '[m']]]),"")</f>
        <v/>
      </c>
      <c r="M207" s="54" t="str">
        <f>IFERROR((WHOLE_STRUCTURE[[#This Row],[D, bottom '[m']]]+WHOLE_STRUCTURE[[#This Row],[D, top '[m']]])/(2*WHOLE_STRUCTURE[[#This Row],[t '[mm']]]/1000),"")</f>
        <v/>
      </c>
    </row>
    <row r="208" spans="10:13" x14ac:dyDescent="0.25">
      <c r="J208" s="54" t="str">
        <f t="shared" si="6"/>
        <v/>
      </c>
      <c r="K208" s="54" t="str">
        <f>IFERROR(WHOLE_STRUCTURE[[#This Row],[Bottom '[m']]]-WHOLE_STRUCTURE[[#This Row],[D, top '[m']]], "")</f>
        <v/>
      </c>
      <c r="L208" s="54" t="str">
        <f>IFERROR(-(WHOLE_STRUCTURE[[#This Row],[D, bottom '[m']]]-WHOLE_STRUCTURE[[#This Row],[D, top '[m']]])/(WHOLE_STRUCTURE[[#This Row],[Bottom '[m']]]-WHOLE_STRUCTURE[[#This Row],[Top '[m']]]),"")</f>
        <v/>
      </c>
      <c r="M208" s="54" t="str">
        <f>IFERROR((WHOLE_STRUCTURE[[#This Row],[D, bottom '[m']]]+WHOLE_STRUCTURE[[#This Row],[D, top '[m']]])/(2*WHOLE_STRUCTURE[[#This Row],[t '[mm']]]/1000),"")</f>
        <v/>
      </c>
    </row>
    <row r="209" spans="10:13" x14ac:dyDescent="0.25">
      <c r="J209" s="54" t="str">
        <f t="shared" si="6"/>
        <v/>
      </c>
      <c r="K209" s="54" t="str">
        <f>IFERROR(WHOLE_STRUCTURE[[#This Row],[Bottom '[m']]]-WHOLE_STRUCTURE[[#This Row],[D, top '[m']]], "")</f>
        <v/>
      </c>
      <c r="L209" s="54" t="str">
        <f>IFERROR(-(WHOLE_STRUCTURE[[#This Row],[D, bottom '[m']]]-WHOLE_STRUCTURE[[#This Row],[D, top '[m']]])/(WHOLE_STRUCTURE[[#This Row],[Bottom '[m']]]-WHOLE_STRUCTURE[[#This Row],[Top '[m']]]),"")</f>
        <v/>
      </c>
      <c r="M209" s="54" t="str">
        <f>IFERROR((WHOLE_STRUCTURE[[#This Row],[D, bottom '[m']]]+WHOLE_STRUCTURE[[#This Row],[D, top '[m']]])/(2*WHOLE_STRUCTURE[[#This Row],[t '[mm']]]/1000),"")</f>
        <v/>
      </c>
    </row>
    <row r="210" spans="10:13" x14ac:dyDescent="0.25">
      <c r="J210" s="54" t="str">
        <f t="shared" si="6"/>
        <v/>
      </c>
      <c r="K210" s="54" t="str">
        <f>IFERROR(WHOLE_STRUCTURE[[#This Row],[Bottom '[m']]]-WHOLE_STRUCTURE[[#This Row],[D, top '[m']]], "")</f>
        <v/>
      </c>
      <c r="L210" s="54" t="str">
        <f>IFERROR(-(WHOLE_STRUCTURE[[#This Row],[D, bottom '[m']]]-WHOLE_STRUCTURE[[#This Row],[D, top '[m']]])/(WHOLE_STRUCTURE[[#This Row],[Bottom '[m']]]-WHOLE_STRUCTURE[[#This Row],[Top '[m']]]),"")</f>
        <v/>
      </c>
      <c r="M210" s="54" t="str">
        <f>IFERROR((WHOLE_STRUCTURE[[#This Row],[D, bottom '[m']]]+WHOLE_STRUCTURE[[#This Row],[D, top '[m']]])/(2*WHOLE_STRUCTURE[[#This Row],[t '[mm']]]/1000),"")</f>
        <v/>
      </c>
    </row>
    <row r="211" spans="10:13" x14ac:dyDescent="0.25">
      <c r="J211" s="54" t="str">
        <f t="shared" si="6"/>
        <v/>
      </c>
      <c r="K211" s="54" t="str">
        <f>IFERROR(WHOLE_STRUCTURE[[#This Row],[Bottom '[m']]]-WHOLE_STRUCTURE[[#This Row],[D, top '[m']]], "")</f>
        <v/>
      </c>
      <c r="L211" s="54" t="str">
        <f>IFERROR(-(WHOLE_STRUCTURE[[#This Row],[D, bottom '[m']]]-WHOLE_STRUCTURE[[#This Row],[D, top '[m']]])/(WHOLE_STRUCTURE[[#This Row],[Bottom '[m']]]-WHOLE_STRUCTURE[[#This Row],[Top '[m']]]),"")</f>
        <v/>
      </c>
      <c r="M211" s="54" t="str">
        <f>IFERROR((WHOLE_STRUCTURE[[#This Row],[D, bottom '[m']]]+WHOLE_STRUCTURE[[#This Row],[D, top '[m']]])/(2*WHOLE_STRUCTURE[[#This Row],[t '[mm']]]/1000),"")</f>
        <v/>
      </c>
    </row>
    <row r="212" spans="10:13" x14ac:dyDescent="0.25">
      <c r="J212" s="54" t="str">
        <f t="shared" si="6"/>
        <v/>
      </c>
      <c r="K212" s="54" t="str">
        <f>IFERROR(WHOLE_STRUCTURE[[#This Row],[Bottom '[m']]]-WHOLE_STRUCTURE[[#This Row],[D, top '[m']]], "")</f>
        <v/>
      </c>
      <c r="L212" s="54" t="str">
        <f>IFERROR(-(WHOLE_STRUCTURE[[#This Row],[D, bottom '[m']]]-WHOLE_STRUCTURE[[#This Row],[D, top '[m']]])/(WHOLE_STRUCTURE[[#This Row],[Bottom '[m']]]-WHOLE_STRUCTURE[[#This Row],[Top '[m']]]),"")</f>
        <v/>
      </c>
      <c r="M212" s="54" t="str">
        <f>IFERROR((WHOLE_STRUCTURE[[#This Row],[D, bottom '[m']]]+WHOLE_STRUCTURE[[#This Row],[D, top '[m']]])/(2*WHOLE_STRUCTURE[[#This Row],[t '[mm']]]/1000),"")</f>
        <v/>
      </c>
    </row>
    <row r="213" spans="10:13" x14ac:dyDescent="0.25">
      <c r="J213" s="54" t="str">
        <f t="shared" si="6"/>
        <v/>
      </c>
      <c r="K213" s="54" t="str">
        <f>IFERROR(WHOLE_STRUCTURE[[#This Row],[Bottom '[m']]]-WHOLE_STRUCTURE[[#This Row],[D, top '[m']]], "")</f>
        <v/>
      </c>
      <c r="L213" s="54" t="str">
        <f>IFERROR(-(WHOLE_STRUCTURE[[#This Row],[D, bottom '[m']]]-WHOLE_STRUCTURE[[#This Row],[D, top '[m']]])/(WHOLE_STRUCTURE[[#This Row],[Bottom '[m']]]-WHOLE_STRUCTURE[[#This Row],[Top '[m']]]),"")</f>
        <v/>
      </c>
      <c r="M213" s="54" t="str">
        <f>IFERROR((WHOLE_STRUCTURE[[#This Row],[D, bottom '[m']]]+WHOLE_STRUCTURE[[#This Row],[D, top '[m']]])/(2*WHOLE_STRUCTURE[[#This Row],[t '[mm']]]/1000),"")</f>
        <v/>
      </c>
    </row>
    <row r="214" spans="10:13" x14ac:dyDescent="0.25">
      <c r="J214" s="54" t="str">
        <f t="shared" si="6"/>
        <v/>
      </c>
      <c r="K214" s="54" t="str">
        <f>IFERROR(WHOLE_STRUCTURE[[#This Row],[Bottom '[m']]]-WHOLE_STRUCTURE[[#This Row],[D, top '[m']]], "")</f>
        <v/>
      </c>
      <c r="L214" s="54" t="str">
        <f>IFERROR(-(WHOLE_STRUCTURE[[#This Row],[D, bottom '[m']]]-WHOLE_STRUCTURE[[#This Row],[D, top '[m']]])/(WHOLE_STRUCTURE[[#This Row],[Bottom '[m']]]-WHOLE_STRUCTURE[[#This Row],[Top '[m']]]),"")</f>
        <v/>
      </c>
      <c r="M214" s="54" t="str">
        <f>IFERROR((WHOLE_STRUCTURE[[#This Row],[D, bottom '[m']]]+WHOLE_STRUCTURE[[#This Row],[D, top '[m']]])/(2*WHOLE_STRUCTURE[[#This Row],[t '[mm']]]/1000),"")</f>
        <v/>
      </c>
    </row>
    <row r="215" spans="10:13" x14ac:dyDescent="0.25">
      <c r="J215" s="54" t="str">
        <f t="shared" si="6"/>
        <v/>
      </c>
      <c r="K215" s="54" t="str">
        <f>IFERROR(WHOLE_STRUCTURE[[#This Row],[Bottom '[m']]]-WHOLE_STRUCTURE[[#This Row],[D, top '[m']]], "")</f>
        <v/>
      </c>
      <c r="L215" s="54" t="str">
        <f>IFERROR(-(WHOLE_STRUCTURE[[#This Row],[D, bottom '[m']]]-WHOLE_STRUCTURE[[#This Row],[D, top '[m']]])/(WHOLE_STRUCTURE[[#This Row],[Bottom '[m']]]-WHOLE_STRUCTURE[[#This Row],[Top '[m']]]),"")</f>
        <v/>
      </c>
      <c r="M215" s="54" t="str">
        <f>IFERROR((WHOLE_STRUCTURE[[#This Row],[D, bottom '[m']]]+WHOLE_STRUCTURE[[#This Row],[D, top '[m']]])/(2*WHOLE_STRUCTURE[[#This Row],[t '[mm']]]/1000),"")</f>
        <v/>
      </c>
    </row>
    <row r="216" spans="10:13" x14ac:dyDescent="0.25">
      <c r="J216" s="54" t="str">
        <f t="shared" si="6"/>
        <v/>
      </c>
      <c r="K216" s="54" t="str">
        <f>IFERROR(WHOLE_STRUCTURE[[#This Row],[Bottom '[m']]]-WHOLE_STRUCTURE[[#This Row],[D, top '[m']]], "")</f>
        <v/>
      </c>
      <c r="L216" s="54" t="str">
        <f>IFERROR(-(WHOLE_STRUCTURE[[#This Row],[D, bottom '[m']]]-WHOLE_STRUCTURE[[#This Row],[D, top '[m']]])/(WHOLE_STRUCTURE[[#This Row],[Bottom '[m']]]-WHOLE_STRUCTURE[[#This Row],[Top '[m']]]),"")</f>
        <v/>
      </c>
      <c r="M216" s="54" t="str">
        <f>IFERROR((WHOLE_STRUCTURE[[#This Row],[D, bottom '[m']]]+WHOLE_STRUCTURE[[#This Row],[D, top '[m']]])/(2*WHOLE_STRUCTURE[[#This Row],[t '[mm']]]/1000),"")</f>
        <v/>
      </c>
    </row>
    <row r="217" spans="10:13" x14ac:dyDescent="0.25">
      <c r="J217" s="54" t="str">
        <f t="shared" si="6"/>
        <v/>
      </c>
      <c r="K217" s="54" t="str">
        <f>IFERROR(WHOLE_STRUCTURE[[#This Row],[Bottom '[m']]]-WHOLE_STRUCTURE[[#This Row],[D, top '[m']]], "")</f>
        <v/>
      </c>
      <c r="L217" s="54" t="str">
        <f>IFERROR(-(WHOLE_STRUCTURE[[#This Row],[D, bottom '[m']]]-WHOLE_STRUCTURE[[#This Row],[D, top '[m']]])/(WHOLE_STRUCTURE[[#This Row],[Bottom '[m']]]-WHOLE_STRUCTURE[[#This Row],[Top '[m']]]),"")</f>
        <v/>
      </c>
      <c r="M217" s="54" t="str">
        <f>IFERROR((WHOLE_STRUCTURE[[#This Row],[D, bottom '[m']]]+WHOLE_STRUCTURE[[#This Row],[D, top '[m']]])/(2*WHOLE_STRUCTURE[[#This Row],[t '[mm']]]/1000),"")</f>
        <v/>
      </c>
    </row>
    <row r="218" spans="10:13" x14ac:dyDescent="0.25">
      <c r="J218" s="54" t="str">
        <f t="shared" si="6"/>
        <v/>
      </c>
      <c r="K218" s="54" t="str">
        <f>IFERROR(WHOLE_STRUCTURE[[#This Row],[Bottom '[m']]]-WHOLE_STRUCTURE[[#This Row],[D, top '[m']]], "")</f>
        <v/>
      </c>
      <c r="L218" s="54" t="str">
        <f>IFERROR(-(WHOLE_STRUCTURE[[#This Row],[D, bottom '[m']]]-WHOLE_STRUCTURE[[#This Row],[D, top '[m']]])/(WHOLE_STRUCTURE[[#This Row],[Bottom '[m']]]-WHOLE_STRUCTURE[[#This Row],[Top '[m']]]),"")</f>
        <v/>
      </c>
      <c r="M218" s="54" t="str">
        <f>IFERROR((WHOLE_STRUCTURE[[#This Row],[D, bottom '[m']]]+WHOLE_STRUCTURE[[#This Row],[D, top '[m']]])/(2*WHOLE_STRUCTURE[[#This Row],[t '[mm']]]/1000),"")</f>
        <v/>
      </c>
    </row>
    <row r="219" spans="10:13" x14ac:dyDescent="0.25">
      <c r="J219" s="54" t="str">
        <f t="shared" si="6"/>
        <v/>
      </c>
      <c r="K219" s="54" t="str">
        <f>IFERROR(WHOLE_STRUCTURE[[#This Row],[Bottom '[m']]]-WHOLE_STRUCTURE[[#This Row],[D, top '[m']]], "")</f>
        <v/>
      </c>
      <c r="L219" s="54" t="str">
        <f>IFERROR(-(WHOLE_STRUCTURE[[#This Row],[D, bottom '[m']]]-WHOLE_STRUCTURE[[#This Row],[D, top '[m']]])/(WHOLE_STRUCTURE[[#This Row],[Bottom '[m']]]-WHOLE_STRUCTURE[[#This Row],[Top '[m']]]),"")</f>
        <v/>
      </c>
      <c r="M219" s="54" t="str">
        <f>IFERROR((WHOLE_STRUCTURE[[#This Row],[D, bottom '[m']]]+WHOLE_STRUCTURE[[#This Row],[D, top '[m']]])/(2*WHOLE_STRUCTURE[[#This Row],[t '[mm']]]/1000),"")</f>
        <v/>
      </c>
    </row>
    <row r="220" spans="10:13" x14ac:dyDescent="0.25">
      <c r="J220" s="54" t="str">
        <f t="shared" si="6"/>
        <v/>
      </c>
      <c r="K220" s="54" t="str">
        <f>IFERROR(WHOLE_STRUCTURE[[#This Row],[Bottom '[m']]]-WHOLE_STRUCTURE[[#This Row],[D, top '[m']]], "")</f>
        <v/>
      </c>
      <c r="L220" s="54" t="str">
        <f>IFERROR(-(WHOLE_STRUCTURE[[#This Row],[D, bottom '[m']]]-WHOLE_STRUCTURE[[#This Row],[D, top '[m']]])/(WHOLE_STRUCTURE[[#This Row],[Bottom '[m']]]-WHOLE_STRUCTURE[[#This Row],[Top '[m']]]),"")</f>
        <v/>
      </c>
      <c r="M220" s="54" t="str">
        <f>IFERROR((WHOLE_STRUCTURE[[#This Row],[D, bottom '[m']]]+WHOLE_STRUCTURE[[#This Row],[D, top '[m']]])/(2*WHOLE_STRUCTURE[[#This Row],[t '[mm']]]/1000),"")</f>
        <v/>
      </c>
    </row>
    <row r="221" spans="10:13" x14ac:dyDescent="0.25">
      <c r="J221" s="54" t="str">
        <f t="shared" si="6"/>
        <v/>
      </c>
      <c r="K221" s="54" t="str">
        <f>IFERROR(WHOLE_STRUCTURE[[#This Row],[Bottom '[m']]]-WHOLE_STRUCTURE[[#This Row],[D, top '[m']]], "")</f>
        <v/>
      </c>
      <c r="L221" s="54" t="str">
        <f>IFERROR(-(WHOLE_STRUCTURE[[#This Row],[D, bottom '[m']]]-WHOLE_STRUCTURE[[#This Row],[D, top '[m']]])/(WHOLE_STRUCTURE[[#This Row],[Bottom '[m']]]-WHOLE_STRUCTURE[[#This Row],[Top '[m']]]),"")</f>
        <v/>
      </c>
      <c r="M221" s="54" t="str">
        <f>IFERROR((WHOLE_STRUCTURE[[#This Row],[D, bottom '[m']]]+WHOLE_STRUCTURE[[#This Row],[D, top '[m']]])/(2*WHOLE_STRUCTURE[[#This Row],[t '[mm']]]/1000),"")</f>
        <v/>
      </c>
    </row>
    <row r="222" spans="10:13" x14ac:dyDescent="0.25">
      <c r="J222" s="54" t="str">
        <f t="shared" si="6"/>
        <v/>
      </c>
      <c r="K222" s="54" t="str">
        <f>IFERROR(WHOLE_STRUCTURE[[#This Row],[Bottom '[m']]]-WHOLE_STRUCTURE[[#This Row],[D, top '[m']]], "")</f>
        <v/>
      </c>
      <c r="L222" s="54" t="str">
        <f>IFERROR(-(WHOLE_STRUCTURE[[#This Row],[D, bottom '[m']]]-WHOLE_STRUCTURE[[#This Row],[D, top '[m']]])/(WHOLE_STRUCTURE[[#This Row],[Bottom '[m']]]-WHOLE_STRUCTURE[[#This Row],[Top '[m']]]),"")</f>
        <v/>
      </c>
      <c r="M222" s="54" t="str">
        <f>IFERROR((WHOLE_STRUCTURE[[#This Row],[D, bottom '[m']]]+WHOLE_STRUCTURE[[#This Row],[D, top '[m']]])/(2*WHOLE_STRUCTURE[[#This Row],[t '[mm']]]/1000),"")</f>
        <v/>
      </c>
    </row>
    <row r="223" spans="10:13" x14ac:dyDescent="0.25">
      <c r="J223" s="54" t="str">
        <f t="shared" si="6"/>
        <v/>
      </c>
      <c r="K223" s="54" t="str">
        <f>IFERROR(WHOLE_STRUCTURE[[#This Row],[Bottom '[m']]]-WHOLE_STRUCTURE[[#This Row],[D, top '[m']]], "")</f>
        <v/>
      </c>
      <c r="L223" s="54" t="str">
        <f>IFERROR(-(WHOLE_STRUCTURE[[#This Row],[D, bottom '[m']]]-WHOLE_STRUCTURE[[#This Row],[D, top '[m']]])/(WHOLE_STRUCTURE[[#This Row],[Bottom '[m']]]-WHOLE_STRUCTURE[[#This Row],[Top '[m']]]),"")</f>
        <v/>
      </c>
      <c r="M223" s="54" t="str">
        <f>IFERROR((WHOLE_STRUCTURE[[#This Row],[D, bottom '[m']]]+WHOLE_STRUCTURE[[#This Row],[D, top '[m']]])/(2*WHOLE_STRUCTURE[[#This Row],[t '[mm']]]/1000),"")</f>
        <v/>
      </c>
    </row>
    <row r="224" spans="10:13" x14ac:dyDescent="0.25">
      <c r="J224" s="54" t="str">
        <f t="shared" si="6"/>
        <v/>
      </c>
      <c r="K224" s="54" t="str">
        <f>IFERROR(WHOLE_STRUCTURE[[#This Row],[Bottom '[m']]]-WHOLE_STRUCTURE[[#This Row],[D, top '[m']]], "")</f>
        <v/>
      </c>
      <c r="L224" s="54" t="str">
        <f>IFERROR(-(WHOLE_STRUCTURE[[#This Row],[D, bottom '[m']]]-WHOLE_STRUCTURE[[#This Row],[D, top '[m']]])/(WHOLE_STRUCTURE[[#This Row],[Bottom '[m']]]-WHOLE_STRUCTURE[[#This Row],[Top '[m']]]),"")</f>
        <v/>
      </c>
      <c r="M224" s="54" t="str">
        <f>IFERROR((WHOLE_STRUCTURE[[#This Row],[D, bottom '[m']]]+WHOLE_STRUCTURE[[#This Row],[D, top '[m']]])/(2*WHOLE_STRUCTURE[[#This Row],[t '[mm']]]/1000),"")</f>
        <v/>
      </c>
    </row>
    <row r="225" spans="10:13" x14ac:dyDescent="0.25">
      <c r="J225" s="54" t="str">
        <f t="shared" si="6"/>
        <v/>
      </c>
      <c r="K225" s="54" t="str">
        <f>IFERROR(WHOLE_STRUCTURE[[#This Row],[Bottom '[m']]]-WHOLE_STRUCTURE[[#This Row],[D, top '[m']]], "")</f>
        <v/>
      </c>
      <c r="L225" s="54" t="str">
        <f>IFERROR(-(WHOLE_STRUCTURE[[#This Row],[D, bottom '[m']]]-WHOLE_STRUCTURE[[#This Row],[D, top '[m']]])/(WHOLE_STRUCTURE[[#This Row],[Bottom '[m']]]-WHOLE_STRUCTURE[[#This Row],[Top '[m']]]),"")</f>
        <v/>
      </c>
      <c r="M225" s="54" t="str">
        <f>IFERROR((WHOLE_STRUCTURE[[#This Row],[D, bottom '[m']]]+WHOLE_STRUCTURE[[#This Row],[D, top '[m']]])/(2*WHOLE_STRUCTURE[[#This Row],[t '[mm']]]/1000),"")</f>
        <v/>
      </c>
    </row>
    <row r="226" spans="10:13" x14ac:dyDescent="0.25">
      <c r="J226" s="54" t="str">
        <f t="shared" si="6"/>
        <v/>
      </c>
      <c r="K226" s="54" t="str">
        <f>IFERROR(WHOLE_STRUCTURE[[#This Row],[Bottom '[m']]]-WHOLE_STRUCTURE[[#This Row],[D, top '[m']]], "")</f>
        <v/>
      </c>
      <c r="L226" s="54" t="str">
        <f>IFERROR(-(WHOLE_STRUCTURE[[#This Row],[D, bottom '[m']]]-WHOLE_STRUCTURE[[#This Row],[D, top '[m']]])/(WHOLE_STRUCTURE[[#This Row],[Bottom '[m']]]-WHOLE_STRUCTURE[[#This Row],[Top '[m']]]),"")</f>
        <v/>
      </c>
      <c r="M226" s="54" t="str">
        <f>IFERROR((WHOLE_STRUCTURE[[#This Row],[D, bottom '[m']]]+WHOLE_STRUCTURE[[#This Row],[D, top '[m']]])/(2*WHOLE_STRUCTURE[[#This Row],[t '[mm']]]/1000),"")</f>
        <v/>
      </c>
    </row>
    <row r="227" spans="10:13" x14ac:dyDescent="0.25">
      <c r="J227" s="54" t="str">
        <f t="shared" si="6"/>
        <v/>
      </c>
      <c r="K227" s="54" t="str">
        <f>IFERROR(WHOLE_STRUCTURE[[#This Row],[Bottom '[m']]]-WHOLE_STRUCTURE[[#This Row],[D, top '[m']]], "")</f>
        <v/>
      </c>
      <c r="L227" s="54" t="str">
        <f>IFERROR(-(WHOLE_STRUCTURE[[#This Row],[D, bottom '[m']]]-WHOLE_STRUCTURE[[#This Row],[D, top '[m']]])/(WHOLE_STRUCTURE[[#This Row],[Bottom '[m']]]-WHOLE_STRUCTURE[[#This Row],[Top '[m']]]),"")</f>
        <v/>
      </c>
      <c r="M227" s="54" t="str">
        <f>IFERROR((WHOLE_STRUCTURE[[#This Row],[D, bottom '[m']]]+WHOLE_STRUCTURE[[#This Row],[D, top '[m']]])/(2*WHOLE_STRUCTURE[[#This Row],[t '[mm']]]/1000),"")</f>
        <v/>
      </c>
    </row>
    <row r="228" spans="10:13" x14ac:dyDescent="0.25">
      <c r="J228" s="54" t="str">
        <f t="shared" si="6"/>
        <v/>
      </c>
      <c r="K228" s="54" t="str">
        <f>IFERROR(WHOLE_STRUCTURE[[#This Row],[Bottom '[m']]]-WHOLE_STRUCTURE[[#This Row],[D, top '[m']]], "")</f>
        <v/>
      </c>
      <c r="L228" s="54" t="str">
        <f>IFERROR(-(WHOLE_STRUCTURE[[#This Row],[D, bottom '[m']]]-WHOLE_STRUCTURE[[#This Row],[D, top '[m']]])/(WHOLE_STRUCTURE[[#This Row],[Bottom '[m']]]-WHOLE_STRUCTURE[[#This Row],[Top '[m']]]),"")</f>
        <v/>
      </c>
      <c r="M228" s="54" t="str">
        <f>IFERROR((WHOLE_STRUCTURE[[#This Row],[D, bottom '[m']]]+WHOLE_STRUCTURE[[#This Row],[D, top '[m']]])/(2*WHOLE_STRUCTURE[[#This Row],[t '[mm']]]/1000),"")</f>
        <v/>
      </c>
    </row>
    <row r="229" spans="10:13" x14ac:dyDescent="0.25">
      <c r="J229" s="54" t="str">
        <f t="shared" si="6"/>
        <v/>
      </c>
      <c r="K229" s="54" t="str">
        <f>IFERROR(WHOLE_STRUCTURE[[#This Row],[Bottom '[m']]]-WHOLE_STRUCTURE[[#This Row],[D, top '[m']]], "")</f>
        <v/>
      </c>
      <c r="L229" s="54" t="str">
        <f>IFERROR(-(WHOLE_STRUCTURE[[#This Row],[D, bottom '[m']]]-WHOLE_STRUCTURE[[#This Row],[D, top '[m']]])/(WHOLE_STRUCTURE[[#This Row],[Bottom '[m']]]-WHOLE_STRUCTURE[[#This Row],[Top '[m']]]),"")</f>
        <v/>
      </c>
      <c r="M229" s="54" t="str">
        <f>IFERROR((WHOLE_STRUCTURE[[#This Row],[D, bottom '[m']]]+WHOLE_STRUCTURE[[#This Row],[D, top '[m']]])/(2*WHOLE_STRUCTURE[[#This Row],[t '[mm']]]/1000),"")</f>
        <v/>
      </c>
    </row>
    <row r="230" spans="10:13" x14ac:dyDescent="0.25">
      <c r="J230" s="54" t="str">
        <f t="shared" si="6"/>
        <v/>
      </c>
      <c r="K230" s="54" t="str">
        <f>IFERROR(WHOLE_STRUCTURE[[#This Row],[Bottom '[m']]]-WHOLE_STRUCTURE[[#This Row],[D, top '[m']]], "")</f>
        <v/>
      </c>
      <c r="L230" s="54" t="str">
        <f>IFERROR(-(WHOLE_STRUCTURE[[#This Row],[D, bottom '[m']]]-WHOLE_STRUCTURE[[#This Row],[D, top '[m']]])/(WHOLE_STRUCTURE[[#This Row],[Bottom '[m']]]-WHOLE_STRUCTURE[[#This Row],[Top '[m']]]),"")</f>
        <v/>
      </c>
      <c r="M230" s="54" t="str">
        <f>IFERROR((WHOLE_STRUCTURE[[#This Row],[D, bottom '[m']]]+WHOLE_STRUCTURE[[#This Row],[D, top '[m']]])/(2*WHOLE_STRUCTURE[[#This Row],[t '[mm']]]/1000),"")</f>
        <v/>
      </c>
    </row>
    <row r="231" spans="10:13" x14ac:dyDescent="0.25">
      <c r="J231" s="54" t="str">
        <f t="shared" si="6"/>
        <v/>
      </c>
      <c r="K231" s="54" t="str">
        <f>IFERROR(WHOLE_STRUCTURE[[#This Row],[Bottom '[m']]]-WHOLE_STRUCTURE[[#This Row],[D, top '[m']]], "")</f>
        <v/>
      </c>
      <c r="L231" s="54" t="str">
        <f>IFERROR(-(WHOLE_STRUCTURE[[#This Row],[D, bottom '[m']]]-WHOLE_STRUCTURE[[#This Row],[D, top '[m']]])/(WHOLE_STRUCTURE[[#This Row],[Bottom '[m']]]-WHOLE_STRUCTURE[[#This Row],[Top '[m']]]),"")</f>
        <v/>
      </c>
      <c r="M231" s="54" t="str">
        <f>IFERROR((WHOLE_STRUCTURE[[#This Row],[D, bottom '[m']]]+WHOLE_STRUCTURE[[#This Row],[D, top '[m']]])/(2*WHOLE_STRUCTURE[[#This Row],[t '[mm']]]/1000),"")</f>
        <v/>
      </c>
    </row>
    <row r="232" spans="10:13" x14ac:dyDescent="0.25">
      <c r="J232" s="54" t="str">
        <f t="shared" si="6"/>
        <v/>
      </c>
      <c r="K232" s="54" t="str">
        <f>IFERROR(WHOLE_STRUCTURE[[#This Row],[Bottom '[m']]]-WHOLE_STRUCTURE[[#This Row],[D, top '[m']]], "")</f>
        <v/>
      </c>
      <c r="L232" s="54" t="str">
        <f>IFERROR(-(WHOLE_STRUCTURE[[#This Row],[D, bottom '[m']]]-WHOLE_STRUCTURE[[#This Row],[D, top '[m']]])/(WHOLE_STRUCTURE[[#This Row],[Bottom '[m']]]-WHOLE_STRUCTURE[[#This Row],[Top '[m']]]),"")</f>
        <v/>
      </c>
      <c r="M232" s="54" t="str">
        <f>IFERROR((WHOLE_STRUCTURE[[#This Row],[D, bottom '[m']]]+WHOLE_STRUCTURE[[#This Row],[D, top '[m']]])/(2*WHOLE_STRUCTURE[[#This Row],[t '[mm']]]/1000),"")</f>
        <v/>
      </c>
    </row>
    <row r="233" spans="10:13" x14ac:dyDescent="0.25">
      <c r="J233" s="54" t="str">
        <f t="shared" si="6"/>
        <v/>
      </c>
      <c r="K233" s="54" t="str">
        <f>IFERROR(WHOLE_STRUCTURE[[#This Row],[Bottom '[m']]]-WHOLE_STRUCTURE[[#This Row],[D, top '[m']]], "")</f>
        <v/>
      </c>
      <c r="L233" s="54" t="str">
        <f>IFERROR(-(WHOLE_STRUCTURE[[#This Row],[D, bottom '[m']]]-WHOLE_STRUCTURE[[#This Row],[D, top '[m']]])/(WHOLE_STRUCTURE[[#This Row],[Bottom '[m']]]-WHOLE_STRUCTURE[[#This Row],[Top '[m']]]),"")</f>
        <v/>
      </c>
      <c r="M233" s="54" t="str">
        <f>IFERROR((WHOLE_STRUCTURE[[#This Row],[D, bottom '[m']]]+WHOLE_STRUCTURE[[#This Row],[D, top '[m']]])/(2*WHOLE_STRUCTURE[[#This Row],[t '[mm']]]/1000),"")</f>
        <v/>
      </c>
    </row>
    <row r="234" spans="10:13" x14ac:dyDescent="0.25">
      <c r="J234" s="54" t="str">
        <f t="shared" si="6"/>
        <v/>
      </c>
      <c r="K234" s="54" t="str">
        <f>IFERROR(WHOLE_STRUCTURE[[#This Row],[Bottom '[m']]]-WHOLE_STRUCTURE[[#This Row],[D, top '[m']]], "")</f>
        <v/>
      </c>
      <c r="L234" s="54" t="str">
        <f>IFERROR(-(WHOLE_STRUCTURE[[#This Row],[D, bottom '[m']]]-WHOLE_STRUCTURE[[#This Row],[D, top '[m']]])/(WHOLE_STRUCTURE[[#This Row],[Bottom '[m']]]-WHOLE_STRUCTURE[[#This Row],[Top '[m']]]),"")</f>
        <v/>
      </c>
      <c r="M234" s="54" t="str">
        <f>IFERROR((WHOLE_STRUCTURE[[#This Row],[D, bottom '[m']]]+WHOLE_STRUCTURE[[#This Row],[D, top '[m']]])/(2*WHOLE_STRUCTURE[[#This Row],[t '[mm']]]/1000),"")</f>
        <v/>
      </c>
    </row>
    <row r="235" spans="10:13" x14ac:dyDescent="0.25">
      <c r="J235" s="54" t="str">
        <f t="shared" si="6"/>
        <v/>
      </c>
      <c r="K235" s="54" t="str">
        <f>IFERROR(WHOLE_STRUCTURE[[#This Row],[Bottom '[m']]]-WHOLE_STRUCTURE[[#This Row],[D, top '[m']]], "")</f>
        <v/>
      </c>
      <c r="L235" s="54" t="str">
        <f>IFERROR(-(WHOLE_STRUCTURE[[#This Row],[D, bottom '[m']]]-WHOLE_STRUCTURE[[#This Row],[D, top '[m']]])/(WHOLE_STRUCTURE[[#This Row],[Bottom '[m']]]-WHOLE_STRUCTURE[[#This Row],[Top '[m']]]),"")</f>
        <v/>
      </c>
      <c r="M235" s="54" t="str">
        <f>IFERROR((WHOLE_STRUCTURE[[#This Row],[D, bottom '[m']]]+WHOLE_STRUCTURE[[#This Row],[D, top '[m']]])/(2*WHOLE_STRUCTURE[[#This Row],[t '[mm']]]/1000),"")</f>
        <v/>
      </c>
    </row>
    <row r="236" spans="10:13" x14ac:dyDescent="0.25">
      <c r="J236" s="54" t="str">
        <f t="shared" si="6"/>
        <v/>
      </c>
      <c r="K236" s="54" t="str">
        <f>IFERROR(WHOLE_STRUCTURE[[#This Row],[Bottom '[m']]]-WHOLE_STRUCTURE[[#This Row],[D, top '[m']]], "")</f>
        <v/>
      </c>
      <c r="L236" s="54" t="str">
        <f>IFERROR(-(WHOLE_STRUCTURE[[#This Row],[D, bottom '[m']]]-WHOLE_STRUCTURE[[#This Row],[D, top '[m']]])/(WHOLE_STRUCTURE[[#This Row],[Bottom '[m']]]-WHOLE_STRUCTURE[[#This Row],[Top '[m']]]),"")</f>
        <v/>
      </c>
      <c r="M236" s="54" t="str">
        <f>IFERROR((WHOLE_STRUCTURE[[#This Row],[D, bottom '[m']]]+WHOLE_STRUCTURE[[#This Row],[D, top '[m']]])/(2*WHOLE_STRUCTURE[[#This Row],[t '[mm']]]/1000),"")</f>
        <v/>
      </c>
    </row>
    <row r="237" spans="10:13" x14ac:dyDescent="0.25">
      <c r="J237" s="54" t="str">
        <f t="shared" si="6"/>
        <v/>
      </c>
      <c r="K237" s="54" t="str">
        <f>IFERROR(WHOLE_STRUCTURE[[#This Row],[Bottom '[m']]]-WHOLE_STRUCTURE[[#This Row],[D, top '[m']]], "")</f>
        <v/>
      </c>
      <c r="L237" s="54" t="str">
        <f>IFERROR(-(WHOLE_STRUCTURE[[#This Row],[D, bottom '[m']]]-WHOLE_STRUCTURE[[#This Row],[D, top '[m']]])/(WHOLE_STRUCTURE[[#This Row],[Bottom '[m']]]-WHOLE_STRUCTURE[[#This Row],[Top '[m']]]),"")</f>
        <v/>
      </c>
      <c r="M237" s="54" t="str">
        <f>IFERROR((WHOLE_STRUCTURE[[#This Row],[D, bottom '[m']]]+WHOLE_STRUCTURE[[#This Row],[D, top '[m']]])/(2*WHOLE_STRUCTURE[[#This Row],[t '[mm']]]/1000),"")</f>
        <v/>
      </c>
    </row>
    <row r="238" spans="10:13" x14ac:dyDescent="0.25">
      <c r="J238" s="54" t="str">
        <f t="shared" si="6"/>
        <v/>
      </c>
      <c r="K238" s="54" t="str">
        <f>IFERROR(WHOLE_STRUCTURE[[#This Row],[Bottom '[m']]]-WHOLE_STRUCTURE[[#This Row],[D, top '[m']]], "")</f>
        <v/>
      </c>
      <c r="L238" s="54" t="str">
        <f>IFERROR(-(WHOLE_STRUCTURE[[#This Row],[D, bottom '[m']]]-WHOLE_STRUCTURE[[#This Row],[D, top '[m']]])/(WHOLE_STRUCTURE[[#This Row],[Bottom '[m']]]-WHOLE_STRUCTURE[[#This Row],[Top '[m']]]),"")</f>
        <v/>
      </c>
      <c r="M238" s="54" t="str">
        <f>IFERROR((WHOLE_STRUCTURE[[#This Row],[D, bottom '[m']]]+WHOLE_STRUCTURE[[#This Row],[D, top '[m']]])/(2*WHOLE_STRUCTURE[[#This Row],[t '[mm']]]/1000),"")</f>
        <v/>
      </c>
    </row>
    <row r="239" spans="10:13" x14ac:dyDescent="0.25">
      <c r="J239" s="54" t="str">
        <f t="shared" si="6"/>
        <v/>
      </c>
      <c r="K239" s="54" t="str">
        <f>IFERROR(WHOLE_STRUCTURE[[#This Row],[Bottom '[m']]]-WHOLE_STRUCTURE[[#This Row],[D, top '[m']]], "")</f>
        <v/>
      </c>
      <c r="L239" s="54" t="str">
        <f>IFERROR(-(WHOLE_STRUCTURE[[#This Row],[D, bottom '[m']]]-WHOLE_STRUCTURE[[#This Row],[D, top '[m']]])/(WHOLE_STRUCTURE[[#This Row],[Bottom '[m']]]-WHOLE_STRUCTURE[[#This Row],[Top '[m']]]),"")</f>
        <v/>
      </c>
      <c r="M239" s="54" t="str">
        <f>IFERROR((WHOLE_STRUCTURE[[#This Row],[D, bottom '[m']]]+WHOLE_STRUCTURE[[#This Row],[D, top '[m']]])/(2*WHOLE_STRUCTURE[[#This Row],[t '[mm']]]/1000),"")</f>
        <v/>
      </c>
    </row>
    <row r="240" spans="10:13" x14ac:dyDescent="0.25">
      <c r="J240" s="54" t="str">
        <f t="shared" si="6"/>
        <v/>
      </c>
      <c r="K240" s="54" t="str">
        <f>IFERROR(WHOLE_STRUCTURE[[#This Row],[Bottom '[m']]]-WHOLE_STRUCTURE[[#This Row],[D, top '[m']]], "")</f>
        <v/>
      </c>
      <c r="L240" s="54" t="str">
        <f>IFERROR(-(WHOLE_STRUCTURE[[#This Row],[D, bottom '[m']]]-WHOLE_STRUCTURE[[#This Row],[D, top '[m']]])/(WHOLE_STRUCTURE[[#This Row],[Bottom '[m']]]-WHOLE_STRUCTURE[[#This Row],[Top '[m']]]),"")</f>
        <v/>
      </c>
      <c r="M240" s="54" t="str">
        <f>IFERROR((WHOLE_STRUCTURE[[#This Row],[D, bottom '[m']]]+WHOLE_STRUCTURE[[#This Row],[D, top '[m']]])/(2*WHOLE_STRUCTURE[[#This Row],[t '[mm']]]/1000),"")</f>
        <v/>
      </c>
    </row>
    <row r="241" spans="10:13" x14ac:dyDescent="0.25">
      <c r="J241" s="54" t="str">
        <f t="shared" si="6"/>
        <v/>
      </c>
      <c r="K241" s="54" t="str">
        <f>IFERROR(WHOLE_STRUCTURE[[#This Row],[Bottom '[m']]]-WHOLE_STRUCTURE[[#This Row],[D, top '[m']]], "")</f>
        <v/>
      </c>
      <c r="L241" s="54" t="str">
        <f>IFERROR(-(WHOLE_STRUCTURE[[#This Row],[D, bottom '[m']]]-WHOLE_STRUCTURE[[#This Row],[D, top '[m']]])/(WHOLE_STRUCTURE[[#This Row],[Bottom '[m']]]-WHOLE_STRUCTURE[[#This Row],[Top '[m']]]),"")</f>
        <v/>
      </c>
      <c r="M241" s="54" t="str">
        <f>IFERROR((WHOLE_STRUCTURE[[#This Row],[D, bottom '[m']]]+WHOLE_STRUCTURE[[#This Row],[D, top '[m']]])/(2*WHOLE_STRUCTURE[[#This Row],[t '[mm']]]/1000),"")</f>
        <v/>
      </c>
    </row>
    <row r="242" spans="10:13" x14ac:dyDescent="0.25">
      <c r="J242" s="54" t="str">
        <f t="shared" si="6"/>
        <v/>
      </c>
      <c r="K242" s="54" t="str">
        <f>IFERROR(WHOLE_STRUCTURE[[#This Row],[Bottom '[m']]]-WHOLE_STRUCTURE[[#This Row],[D, top '[m']]], "")</f>
        <v/>
      </c>
      <c r="L242" s="54" t="str">
        <f>IFERROR(-(WHOLE_STRUCTURE[[#This Row],[D, bottom '[m']]]-WHOLE_STRUCTURE[[#This Row],[D, top '[m']]])/(WHOLE_STRUCTURE[[#This Row],[Bottom '[m']]]-WHOLE_STRUCTURE[[#This Row],[Top '[m']]]),"")</f>
        <v/>
      </c>
      <c r="M242" s="54" t="str">
        <f>IFERROR((WHOLE_STRUCTURE[[#This Row],[D, bottom '[m']]]+WHOLE_STRUCTURE[[#This Row],[D, top '[m']]])/(2*WHOLE_STRUCTURE[[#This Row],[t '[mm']]]/1000),"")</f>
        <v/>
      </c>
    </row>
    <row r="243" spans="10:13" x14ac:dyDescent="0.25">
      <c r="J243" s="54" t="str">
        <f t="shared" si="6"/>
        <v/>
      </c>
      <c r="K243" s="54" t="str">
        <f>IFERROR(WHOLE_STRUCTURE[[#This Row],[Bottom '[m']]]-WHOLE_STRUCTURE[[#This Row],[D, top '[m']]], "")</f>
        <v/>
      </c>
      <c r="L243" s="54" t="str">
        <f>IFERROR(-(WHOLE_STRUCTURE[[#This Row],[D, bottom '[m']]]-WHOLE_STRUCTURE[[#This Row],[D, top '[m']]])/(WHOLE_STRUCTURE[[#This Row],[Bottom '[m']]]-WHOLE_STRUCTURE[[#This Row],[Top '[m']]]),"")</f>
        <v/>
      </c>
      <c r="M243" s="54" t="str">
        <f>IFERROR((WHOLE_STRUCTURE[[#This Row],[D, bottom '[m']]]+WHOLE_STRUCTURE[[#This Row],[D, top '[m']]])/(2*WHOLE_STRUCTURE[[#This Row],[t '[mm']]]/1000),"")</f>
        <v/>
      </c>
    </row>
    <row r="244" spans="10:13" x14ac:dyDescent="0.25">
      <c r="J244" s="54" t="str">
        <f t="shared" si="6"/>
        <v/>
      </c>
      <c r="K244" s="54" t="str">
        <f>IFERROR(WHOLE_STRUCTURE[[#This Row],[Bottom '[m']]]-WHOLE_STRUCTURE[[#This Row],[D, top '[m']]], "")</f>
        <v/>
      </c>
      <c r="L244" s="54" t="str">
        <f>IFERROR(-(WHOLE_STRUCTURE[[#This Row],[D, bottom '[m']]]-WHOLE_STRUCTURE[[#This Row],[D, top '[m']]])/(WHOLE_STRUCTURE[[#This Row],[Bottom '[m']]]-WHOLE_STRUCTURE[[#This Row],[Top '[m']]]),"")</f>
        <v/>
      </c>
      <c r="M244" s="54" t="str">
        <f>IFERROR((WHOLE_STRUCTURE[[#This Row],[D, bottom '[m']]]+WHOLE_STRUCTURE[[#This Row],[D, top '[m']]])/(2*WHOLE_STRUCTURE[[#This Row],[t '[mm']]]/1000),"")</f>
        <v/>
      </c>
    </row>
    <row r="245" spans="10:13" x14ac:dyDescent="0.25">
      <c r="J245" s="54" t="str">
        <f t="shared" si="6"/>
        <v/>
      </c>
      <c r="K245" s="54" t="str">
        <f>IFERROR(WHOLE_STRUCTURE[[#This Row],[Bottom '[m']]]-WHOLE_STRUCTURE[[#This Row],[D, top '[m']]], "")</f>
        <v/>
      </c>
      <c r="L245" s="54" t="str">
        <f>IFERROR(-(WHOLE_STRUCTURE[[#This Row],[D, bottom '[m']]]-WHOLE_STRUCTURE[[#This Row],[D, top '[m']]])/(WHOLE_STRUCTURE[[#This Row],[Bottom '[m']]]-WHOLE_STRUCTURE[[#This Row],[Top '[m']]]),"")</f>
        <v/>
      </c>
      <c r="M245" s="54" t="str">
        <f>IFERROR((WHOLE_STRUCTURE[[#This Row],[D, bottom '[m']]]+WHOLE_STRUCTURE[[#This Row],[D, top '[m']]])/(2*WHOLE_STRUCTURE[[#This Row],[t '[mm']]]/1000),"")</f>
        <v/>
      </c>
    </row>
    <row r="246" spans="10:13" x14ac:dyDescent="0.25">
      <c r="J246" s="54" t="str">
        <f t="shared" si="6"/>
        <v/>
      </c>
      <c r="K246" s="54" t="str">
        <f>IFERROR(WHOLE_STRUCTURE[[#This Row],[Bottom '[m']]]-WHOLE_STRUCTURE[[#This Row],[D, top '[m']]], "")</f>
        <v/>
      </c>
      <c r="L246" s="54" t="str">
        <f>IFERROR(-(WHOLE_STRUCTURE[[#This Row],[D, bottom '[m']]]-WHOLE_STRUCTURE[[#This Row],[D, top '[m']]])/(WHOLE_STRUCTURE[[#This Row],[Bottom '[m']]]-WHOLE_STRUCTURE[[#This Row],[Top '[m']]]),"")</f>
        <v/>
      </c>
      <c r="M246" s="54" t="str">
        <f>IFERROR((WHOLE_STRUCTURE[[#This Row],[D, bottom '[m']]]+WHOLE_STRUCTURE[[#This Row],[D, top '[m']]])/(2*WHOLE_STRUCTURE[[#This Row],[t '[mm']]]/1000),"")</f>
        <v/>
      </c>
    </row>
    <row r="247" spans="10:13" x14ac:dyDescent="0.25">
      <c r="J247" s="54" t="str">
        <f t="shared" si="6"/>
        <v/>
      </c>
      <c r="K247" s="54" t="str">
        <f>IFERROR(WHOLE_STRUCTURE[[#This Row],[Bottom '[m']]]-WHOLE_STRUCTURE[[#This Row],[D, top '[m']]], "")</f>
        <v/>
      </c>
      <c r="L247" s="54" t="str">
        <f>IFERROR(-(WHOLE_STRUCTURE[[#This Row],[D, bottom '[m']]]-WHOLE_STRUCTURE[[#This Row],[D, top '[m']]])/(WHOLE_STRUCTURE[[#This Row],[Bottom '[m']]]-WHOLE_STRUCTURE[[#This Row],[Top '[m']]]),"")</f>
        <v/>
      </c>
      <c r="M247" s="54" t="str">
        <f>IFERROR((WHOLE_STRUCTURE[[#This Row],[D, bottom '[m']]]+WHOLE_STRUCTURE[[#This Row],[D, top '[m']]])/(2*WHOLE_STRUCTURE[[#This Row],[t '[mm']]]/1000),"")</f>
        <v/>
      </c>
    </row>
    <row r="248" spans="10:13" x14ac:dyDescent="0.25">
      <c r="J248" s="54" t="str">
        <f t="shared" si="6"/>
        <v/>
      </c>
      <c r="K248" s="54" t="str">
        <f>IFERROR(WHOLE_STRUCTURE[[#This Row],[Bottom '[m']]]-WHOLE_STRUCTURE[[#This Row],[D, top '[m']]], "")</f>
        <v/>
      </c>
      <c r="L248" s="54" t="str">
        <f>IFERROR(-(WHOLE_STRUCTURE[[#This Row],[D, bottom '[m']]]-WHOLE_STRUCTURE[[#This Row],[D, top '[m']]])/(WHOLE_STRUCTURE[[#This Row],[Bottom '[m']]]-WHOLE_STRUCTURE[[#This Row],[Top '[m']]]),"")</f>
        <v/>
      </c>
      <c r="M248" s="54" t="str">
        <f>IFERROR((WHOLE_STRUCTURE[[#This Row],[D, bottom '[m']]]+WHOLE_STRUCTURE[[#This Row],[D, top '[m']]])/(2*WHOLE_STRUCTURE[[#This Row],[t '[mm']]]/1000),"")</f>
        <v/>
      </c>
    </row>
    <row r="249" spans="10:13" x14ac:dyDescent="0.25">
      <c r="J249" s="54" t="str">
        <f t="shared" si="6"/>
        <v/>
      </c>
      <c r="K249" s="54" t="str">
        <f>IFERROR(WHOLE_STRUCTURE[[#This Row],[Bottom '[m']]]-WHOLE_STRUCTURE[[#This Row],[D, top '[m']]], "")</f>
        <v/>
      </c>
      <c r="L249" s="54" t="str">
        <f>IFERROR(-(WHOLE_STRUCTURE[[#This Row],[D, bottom '[m']]]-WHOLE_STRUCTURE[[#This Row],[D, top '[m']]])/(WHOLE_STRUCTURE[[#This Row],[Bottom '[m']]]-WHOLE_STRUCTURE[[#This Row],[Top '[m']]]),"")</f>
        <v/>
      </c>
      <c r="M249" s="54" t="str">
        <f>IFERROR((WHOLE_STRUCTURE[[#This Row],[D, bottom '[m']]]+WHOLE_STRUCTURE[[#This Row],[D, top '[m']]])/(2*WHOLE_STRUCTURE[[#This Row],[t '[mm']]]/1000),"")</f>
        <v/>
      </c>
    </row>
    <row r="250" spans="10:13" x14ac:dyDescent="0.25">
      <c r="J250" s="54" t="str">
        <f t="shared" si="6"/>
        <v/>
      </c>
      <c r="K250" s="54" t="str">
        <f>IFERROR(WHOLE_STRUCTURE[[#This Row],[Bottom '[m']]]-WHOLE_STRUCTURE[[#This Row],[D, top '[m']]], "")</f>
        <v/>
      </c>
      <c r="L250" s="54" t="str">
        <f>IFERROR(-(WHOLE_STRUCTURE[[#This Row],[D, bottom '[m']]]-WHOLE_STRUCTURE[[#This Row],[D, top '[m']]])/(WHOLE_STRUCTURE[[#This Row],[Bottom '[m']]]-WHOLE_STRUCTURE[[#This Row],[Top '[m']]]),"")</f>
        <v/>
      </c>
      <c r="M250" s="54" t="str">
        <f>IFERROR((WHOLE_STRUCTURE[[#This Row],[D, bottom '[m']]]+WHOLE_STRUCTURE[[#This Row],[D, top '[m']]])/(2*WHOLE_STRUCTURE[[#This Row],[t '[mm']]]/1000),"")</f>
        <v/>
      </c>
    </row>
    <row r="251" spans="10:13" x14ac:dyDescent="0.25">
      <c r="J251" s="54" t="str">
        <f t="shared" si="6"/>
        <v/>
      </c>
      <c r="K251" s="54" t="str">
        <f>IFERROR(WHOLE_STRUCTURE[[#This Row],[Bottom '[m']]]-WHOLE_STRUCTURE[[#This Row],[D, top '[m']]], "")</f>
        <v/>
      </c>
      <c r="L251" s="54" t="str">
        <f>IFERROR(-(WHOLE_STRUCTURE[[#This Row],[D, bottom '[m']]]-WHOLE_STRUCTURE[[#This Row],[D, top '[m']]])/(WHOLE_STRUCTURE[[#This Row],[Bottom '[m']]]-WHOLE_STRUCTURE[[#This Row],[Top '[m']]]),"")</f>
        <v/>
      </c>
      <c r="M251" s="54" t="str">
        <f>IFERROR((WHOLE_STRUCTURE[[#This Row],[D, bottom '[m']]]+WHOLE_STRUCTURE[[#This Row],[D, top '[m']]])/(2*WHOLE_STRUCTURE[[#This Row],[t '[mm']]]/1000),"")</f>
        <v/>
      </c>
    </row>
    <row r="252" spans="10:13" x14ac:dyDescent="0.25">
      <c r="J252" s="54" t="str">
        <f t="shared" si="6"/>
        <v/>
      </c>
      <c r="K252" s="54" t="str">
        <f>IFERROR(WHOLE_STRUCTURE[[#This Row],[Bottom '[m']]]-WHOLE_STRUCTURE[[#This Row],[D, top '[m']]], "")</f>
        <v/>
      </c>
      <c r="L252" s="54" t="str">
        <f>IFERROR(-(WHOLE_STRUCTURE[[#This Row],[D, bottom '[m']]]-WHOLE_STRUCTURE[[#This Row],[D, top '[m']]])/(WHOLE_STRUCTURE[[#This Row],[Bottom '[m']]]-WHOLE_STRUCTURE[[#This Row],[Top '[m']]]),"")</f>
        <v/>
      </c>
      <c r="M252" s="54" t="str">
        <f>IFERROR((WHOLE_STRUCTURE[[#This Row],[D, bottom '[m']]]+WHOLE_STRUCTURE[[#This Row],[D, top '[m']]])/(2*WHOLE_STRUCTURE[[#This Row],[t '[mm']]]/1000),"")</f>
        <v/>
      </c>
    </row>
    <row r="253" spans="10:13" x14ac:dyDescent="0.25">
      <c r="J253" s="54" t="str">
        <f t="shared" si="6"/>
        <v/>
      </c>
      <c r="K253" s="54" t="str">
        <f>IFERROR(WHOLE_STRUCTURE[[#This Row],[Bottom '[m']]]-WHOLE_STRUCTURE[[#This Row],[D, top '[m']]], "")</f>
        <v/>
      </c>
      <c r="L253" s="54" t="str">
        <f>IFERROR(-(WHOLE_STRUCTURE[[#This Row],[D, bottom '[m']]]-WHOLE_STRUCTURE[[#This Row],[D, top '[m']]])/(WHOLE_STRUCTURE[[#This Row],[Bottom '[m']]]-WHOLE_STRUCTURE[[#This Row],[Top '[m']]]),"")</f>
        <v/>
      </c>
      <c r="M253" s="54" t="str">
        <f>IFERROR((WHOLE_STRUCTURE[[#This Row],[D, bottom '[m']]]+WHOLE_STRUCTURE[[#This Row],[D, top '[m']]])/(2*WHOLE_STRUCTURE[[#This Row],[t '[mm']]]/1000),"")</f>
        <v/>
      </c>
    </row>
    <row r="254" spans="10:13" x14ac:dyDescent="0.25">
      <c r="J254" s="54" t="str">
        <f t="shared" si="6"/>
        <v/>
      </c>
      <c r="K254" s="54" t="str">
        <f>IFERROR(WHOLE_STRUCTURE[[#This Row],[Bottom '[m']]]-WHOLE_STRUCTURE[[#This Row],[D, top '[m']]], "")</f>
        <v/>
      </c>
      <c r="L254" s="54" t="str">
        <f>IFERROR(-(WHOLE_STRUCTURE[[#This Row],[D, bottom '[m']]]-WHOLE_STRUCTURE[[#This Row],[D, top '[m']]])/(WHOLE_STRUCTURE[[#This Row],[Bottom '[m']]]-WHOLE_STRUCTURE[[#This Row],[Top '[m']]]),"")</f>
        <v/>
      </c>
      <c r="M254" s="54" t="str">
        <f>IFERROR((WHOLE_STRUCTURE[[#This Row],[D, bottom '[m']]]+WHOLE_STRUCTURE[[#This Row],[D, top '[m']]])/(2*WHOLE_STRUCTURE[[#This Row],[t '[mm']]]/1000),"")</f>
        <v/>
      </c>
    </row>
    <row r="255" spans="10:13" x14ac:dyDescent="0.25">
      <c r="J255" s="54" t="str">
        <f t="shared" si="6"/>
        <v/>
      </c>
      <c r="K255" s="54" t="str">
        <f>IFERROR(WHOLE_STRUCTURE[[#This Row],[Bottom '[m']]]-WHOLE_STRUCTURE[[#This Row],[D, top '[m']]], "")</f>
        <v/>
      </c>
      <c r="L255" s="54" t="str">
        <f>IFERROR(-(WHOLE_STRUCTURE[[#This Row],[D, bottom '[m']]]-WHOLE_STRUCTURE[[#This Row],[D, top '[m']]])/(WHOLE_STRUCTURE[[#This Row],[Bottom '[m']]]-WHOLE_STRUCTURE[[#This Row],[Top '[m']]]),"")</f>
        <v/>
      </c>
      <c r="M255" s="54" t="str">
        <f>IFERROR((WHOLE_STRUCTURE[[#This Row],[D, bottom '[m']]]+WHOLE_STRUCTURE[[#This Row],[D, top '[m']]])/(2*WHOLE_STRUCTURE[[#This Row],[t '[mm']]]/1000),"")</f>
        <v/>
      </c>
    </row>
    <row r="256" spans="10:13" x14ac:dyDescent="0.25">
      <c r="J256" s="54" t="str">
        <f t="shared" si="6"/>
        <v/>
      </c>
      <c r="K256" s="54" t="str">
        <f>IFERROR(WHOLE_STRUCTURE[[#This Row],[Bottom '[m']]]-WHOLE_STRUCTURE[[#This Row],[D, top '[m']]], "")</f>
        <v/>
      </c>
      <c r="L256" s="54" t="str">
        <f>IFERROR(-(WHOLE_STRUCTURE[[#This Row],[D, bottom '[m']]]-WHOLE_STRUCTURE[[#This Row],[D, top '[m']]])/(WHOLE_STRUCTURE[[#This Row],[Bottom '[m']]]-WHOLE_STRUCTURE[[#This Row],[Top '[m']]]),"")</f>
        <v/>
      </c>
      <c r="M256" s="54" t="str">
        <f>IFERROR((WHOLE_STRUCTURE[[#This Row],[D, bottom '[m']]]+WHOLE_STRUCTURE[[#This Row],[D, top '[m']]])/(2*WHOLE_STRUCTURE[[#This Row],[t '[mm']]]/1000),"")</f>
        <v/>
      </c>
    </row>
    <row r="257" spans="10:13" x14ac:dyDescent="0.25">
      <c r="J257" s="54" t="str">
        <f t="shared" si="6"/>
        <v/>
      </c>
      <c r="K257" s="54" t="str">
        <f>IFERROR(WHOLE_STRUCTURE[[#This Row],[Bottom '[m']]]-WHOLE_STRUCTURE[[#This Row],[D, top '[m']]], "")</f>
        <v/>
      </c>
      <c r="L257" s="54" t="str">
        <f>IFERROR(-(WHOLE_STRUCTURE[[#This Row],[D, bottom '[m']]]-WHOLE_STRUCTURE[[#This Row],[D, top '[m']]])/(WHOLE_STRUCTURE[[#This Row],[Bottom '[m']]]-WHOLE_STRUCTURE[[#This Row],[Top '[m']]]),"")</f>
        <v/>
      </c>
      <c r="M257" s="54" t="str">
        <f>IFERROR((WHOLE_STRUCTURE[[#This Row],[D, bottom '[m']]]+WHOLE_STRUCTURE[[#This Row],[D, top '[m']]])/(2*WHOLE_STRUCTURE[[#This Row],[t '[mm']]]/1000),"")</f>
        <v/>
      </c>
    </row>
    <row r="258" spans="10:13" x14ac:dyDescent="0.25">
      <c r="J258" s="54" t="str">
        <f t="shared" si="6"/>
        <v/>
      </c>
      <c r="K258" s="54" t="str">
        <f>IFERROR(WHOLE_STRUCTURE[[#This Row],[Bottom '[m']]]-WHOLE_STRUCTURE[[#This Row],[D, top '[m']]], "")</f>
        <v/>
      </c>
      <c r="L258" s="54" t="str">
        <f>IFERROR(-(WHOLE_STRUCTURE[[#This Row],[D, bottom '[m']]]-WHOLE_STRUCTURE[[#This Row],[D, top '[m']]])/(WHOLE_STRUCTURE[[#This Row],[Bottom '[m']]]-WHOLE_STRUCTURE[[#This Row],[Top '[m']]]),"")</f>
        <v/>
      </c>
      <c r="M258" s="54" t="str">
        <f>IFERROR((WHOLE_STRUCTURE[[#This Row],[D, bottom '[m']]]+WHOLE_STRUCTURE[[#This Row],[D, top '[m']]])/(2*WHOLE_STRUCTURE[[#This Row],[t '[mm']]]/1000),"")</f>
        <v/>
      </c>
    </row>
    <row r="259" spans="10:13" x14ac:dyDescent="0.25">
      <c r="J259" s="54" t="str">
        <f t="shared" ref="J259:J322" si="7">IF(7850/1000*(1/3)*PI()*ABS(E259-F259)*((G259/2)^2+(G259/2)*(H259/2)+(H259/2)^2-(G259/2-I259/1000)^2-(G259/2-I259/1000)*(H259/2-I259/1000)-(H259/2-I259/1000)^2)=0,"",7850/1000*(1/3)*PI()*ABS(E259-F259)*((G259/2)^2+(G259/2)*(H259/2)+(H259/2)^2-(G259/2-I259/1000)^2-(G259/2-I259/1000)*(H259/2-I259/1000)-(H259/2-I259/1000)^2))</f>
        <v/>
      </c>
      <c r="K259" s="54" t="str">
        <f>IFERROR(WHOLE_STRUCTURE[[#This Row],[Bottom '[m']]]-WHOLE_STRUCTURE[[#This Row],[D, top '[m']]], "")</f>
        <v/>
      </c>
      <c r="L259" s="54" t="str">
        <f>IFERROR(-(WHOLE_STRUCTURE[[#This Row],[D, bottom '[m']]]-WHOLE_STRUCTURE[[#This Row],[D, top '[m']]])/(WHOLE_STRUCTURE[[#This Row],[Bottom '[m']]]-WHOLE_STRUCTURE[[#This Row],[Top '[m']]]),"")</f>
        <v/>
      </c>
      <c r="M259" s="54" t="str">
        <f>IFERROR((WHOLE_STRUCTURE[[#This Row],[D, bottom '[m']]]+WHOLE_STRUCTURE[[#This Row],[D, top '[m']]])/(2*WHOLE_STRUCTURE[[#This Row],[t '[mm']]]/1000),"")</f>
        <v/>
      </c>
    </row>
    <row r="260" spans="10:13" x14ac:dyDescent="0.25">
      <c r="J260" s="54" t="str">
        <f t="shared" si="7"/>
        <v/>
      </c>
      <c r="K260" s="54" t="str">
        <f>IFERROR(WHOLE_STRUCTURE[[#This Row],[Bottom '[m']]]-WHOLE_STRUCTURE[[#This Row],[D, top '[m']]], "")</f>
        <v/>
      </c>
      <c r="L260" s="54" t="str">
        <f>IFERROR(-(WHOLE_STRUCTURE[[#This Row],[D, bottom '[m']]]-WHOLE_STRUCTURE[[#This Row],[D, top '[m']]])/(WHOLE_STRUCTURE[[#This Row],[Bottom '[m']]]-WHOLE_STRUCTURE[[#This Row],[Top '[m']]]),"")</f>
        <v/>
      </c>
      <c r="M260" s="54" t="str">
        <f>IFERROR((WHOLE_STRUCTURE[[#This Row],[D, bottom '[m']]]+WHOLE_STRUCTURE[[#This Row],[D, top '[m']]])/(2*WHOLE_STRUCTURE[[#This Row],[t '[mm']]]/1000),"")</f>
        <v/>
      </c>
    </row>
    <row r="261" spans="10:13" x14ac:dyDescent="0.25">
      <c r="J261" s="54" t="str">
        <f t="shared" si="7"/>
        <v/>
      </c>
      <c r="K261" s="54" t="str">
        <f>IFERROR(WHOLE_STRUCTURE[[#This Row],[Bottom '[m']]]-WHOLE_STRUCTURE[[#This Row],[D, top '[m']]], "")</f>
        <v/>
      </c>
      <c r="L261" s="54" t="str">
        <f>IFERROR(-(WHOLE_STRUCTURE[[#This Row],[D, bottom '[m']]]-WHOLE_STRUCTURE[[#This Row],[D, top '[m']]])/(WHOLE_STRUCTURE[[#This Row],[Bottom '[m']]]-WHOLE_STRUCTURE[[#This Row],[Top '[m']]]),"")</f>
        <v/>
      </c>
      <c r="M261" s="54" t="str">
        <f>IFERROR((WHOLE_STRUCTURE[[#This Row],[D, bottom '[m']]]+WHOLE_STRUCTURE[[#This Row],[D, top '[m']]])/(2*WHOLE_STRUCTURE[[#This Row],[t '[mm']]]/1000),"")</f>
        <v/>
      </c>
    </row>
    <row r="262" spans="10:13" x14ac:dyDescent="0.25">
      <c r="J262" s="54" t="str">
        <f t="shared" si="7"/>
        <v/>
      </c>
      <c r="K262" s="54" t="str">
        <f>IFERROR(WHOLE_STRUCTURE[[#This Row],[Bottom '[m']]]-WHOLE_STRUCTURE[[#This Row],[D, top '[m']]], "")</f>
        <v/>
      </c>
      <c r="L262" s="54" t="str">
        <f>IFERROR(-(WHOLE_STRUCTURE[[#This Row],[D, bottom '[m']]]-WHOLE_STRUCTURE[[#This Row],[D, top '[m']]])/(WHOLE_STRUCTURE[[#This Row],[Bottom '[m']]]-WHOLE_STRUCTURE[[#This Row],[Top '[m']]]),"")</f>
        <v/>
      </c>
      <c r="M262" s="54" t="str">
        <f>IFERROR((WHOLE_STRUCTURE[[#This Row],[D, bottom '[m']]]+WHOLE_STRUCTURE[[#This Row],[D, top '[m']]])/(2*WHOLE_STRUCTURE[[#This Row],[t '[mm']]]/1000),"")</f>
        <v/>
      </c>
    </row>
    <row r="263" spans="10:13" x14ac:dyDescent="0.25">
      <c r="J263" s="54" t="str">
        <f t="shared" si="7"/>
        <v/>
      </c>
      <c r="K263" s="54" t="str">
        <f>IFERROR(WHOLE_STRUCTURE[[#This Row],[Bottom '[m']]]-WHOLE_STRUCTURE[[#This Row],[D, top '[m']]], "")</f>
        <v/>
      </c>
      <c r="L263" s="54" t="str">
        <f>IFERROR(-(WHOLE_STRUCTURE[[#This Row],[D, bottom '[m']]]-WHOLE_STRUCTURE[[#This Row],[D, top '[m']]])/(WHOLE_STRUCTURE[[#This Row],[Bottom '[m']]]-WHOLE_STRUCTURE[[#This Row],[Top '[m']]]),"")</f>
        <v/>
      </c>
      <c r="M263" s="54" t="str">
        <f>IFERROR((WHOLE_STRUCTURE[[#This Row],[D, bottom '[m']]]+WHOLE_STRUCTURE[[#This Row],[D, top '[m']]])/(2*WHOLE_STRUCTURE[[#This Row],[t '[mm']]]/1000),"")</f>
        <v/>
      </c>
    </row>
    <row r="264" spans="10:13" x14ac:dyDescent="0.25">
      <c r="J264" s="54" t="str">
        <f t="shared" si="7"/>
        <v/>
      </c>
      <c r="K264" s="54" t="str">
        <f>IFERROR(WHOLE_STRUCTURE[[#This Row],[Bottom '[m']]]-WHOLE_STRUCTURE[[#This Row],[D, top '[m']]], "")</f>
        <v/>
      </c>
      <c r="L264" s="54" t="str">
        <f>IFERROR(-(WHOLE_STRUCTURE[[#This Row],[D, bottom '[m']]]-WHOLE_STRUCTURE[[#This Row],[D, top '[m']]])/(WHOLE_STRUCTURE[[#This Row],[Bottom '[m']]]-WHOLE_STRUCTURE[[#This Row],[Top '[m']]]),"")</f>
        <v/>
      </c>
      <c r="M264" s="54" t="str">
        <f>IFERROR((WHOLE_STRUCTURE[[#This Row],[D, bottom '[m']]]+WHOLE_STRUCTURE[[#This Row],[D, top '[m']]])/(2*WHOLE_STRUCTURE[[#This Row],[t '[mm']]]/1000),"")</f>
        <v/>
      </c>
    </row>
    <row r="265" spans="10:13" x14ac:dyDescent="0.25">
      <c r="J265" s="54" t="str">
        <f t="shared" si="7"/>
        <v/>
      </c>
      <c r="K265" s="54" t="str">
        <f>IFERROR(WHOLE_STRUCTURE[[#This Row],[Bottom '[m']]]-WHOLE_STRUCTURE[[#This Row],[D, top '[m']]], "")</f>
        <v/>
      </c>
      <c r="L265" s="54" t="str">
        <f>IFERROR(-(WHOLE_STRUCTURE[[#This Row],[D, bottom '[m']]]-WHOLE_STRUCTURE[[#This Row],[D, top '[m']]])/(WHOLE_STRUCTURE[[#This Row],[Bottom '[m']]]-WHOLE_STRUCTURE[[#This Row],[Top '[m']]]),"")</f>
        <v/>
      </c>
      <c r="M265" s="54" t="str">
        <f>IFERROR((WHOLE_STRUCTURE[[#This Row],[D, bottom '[m']]]+WHOLE_STRUCTURE[[#This Row],[D, top '[m']]])/(2*WHOLE_STRUCTURE[[#This Row],[t '[mm']]]/1000),"")</f>
        <v/>
      </c>
    </row>
    <row r="266" spans="10:13" x14ac:dyDescent="0.25">
      <c r="J266" s="54" t="str">
        <f t="shared" si="7"/>
        <v/>
      </c>
      <c r="K266" s="54" t="str">
        <f>IFERROR(WHOLE_STRUCTURE[[#This Row],[Bottom '[m']]]-WHOLE_STRUCTURE[[#This Row],[D, top '[m']]], "")</f>
        <v/>
      </c>
      <c r="L266" s="54" t="str">
        <f>IFERROR(-(WHOLE_STRUCTURE[[#This Row],[D, bottom '[m']]]-WHOLE_STRUCTURE[[#This Row],[D, top '[m']]])/(WHOLE_STRUCTURE[[#This Row],[Bottom '[m']]]-WHOLE_STRUCTURE[[#This Row],[Top '[m']]]),"")</f>
        <v/>
      </c>
      <c r="M266" s="54" t="str">
        <f>IFERROR((WHOLE_STRUCTURE[[#This Row],[D, bottom '[m']]]+WHOLE_STRUCTURE[[#This Row],[D, top '[m']]])/(2*WHOLE_STRUCTURE[[#This Row],[t '[mm']]]/1000),"")</f>
        <v/>
      </c>
    </row>
    <row r="267" spans="10:13" x14ac:dyDescent="0.25">
      <c r="J267" s="54" t="str">
        <f t="shared" si="7"/>
        <v/>
      </c>
      <c r="K267" s="54" t="str">
        <f>IFERROR(WHOLE_STRUCTURE[[#This Row],[Bottom '[m']]]-WHOLE_STRUCTURE[[#This Row],[D, top '[m']]], "")</f>
        <v/>
      </c>
      <c r="L267" s="54" t="str">
        <f>IFERROR(-(WHOLE_STRUCTURE[[#This Row],[D, bottom '[m']]]-WHOLE_STRUCTURE[[#This Row],[D, top '[m']]])/(WHOLE_STRUCTURE[[#This Row],[Bottom '[m']]]-WHOLE_STRUCTURE[[#This Row],[Top '[m']]]),"")</f>
        <v/>
      </c>
      <c r="M267" s="54" t="str">
        <f>IFERROR((WHOLE_STRUCTURE[[#This Row],[D, bottom '[m']]]+WHOLE_STRUCTURE[[#This Row],[D, top '[m']]])/(2*WHOLE_STRUCTURE[[#This Row],[t '[mm']]]/1000),"")</f>
        <v/>
      </c>
    </row>
    <row r="268" spans="10:13" x14ac:dyDescent="0.25">
      <c r="J268" s="54" t="str">
        <f t="shared" si="7"/>
        <v/>
      </c>
      <c r="K268" s="54" t="str">
        <f>IFERROR(WHOLE_STRUCTURE[[#This Row],[Bottom '[m']]]-WHOLE_STRUCTURE[[#This Row],[D, top '[m']]], "")</f>
        <v/>
      </c>
      <c r="L268" s="54" t="str">
        <f>IFERROR(-(WHOLE_STRUCTURE[[#This Row],[D, bottom '[m']]]-WHOLE_STRUCTURE[[#This Row],[D, top '[m']]])/(WHOLE_STRUCTURE[[#This Row],[Bottom '[m']]]-WHOLE_STRUCTURE[[#This Row],[Top '[m']]]),"")</f>
        <v/>
      </c>
      <c r="M268" s="54" t="str">
        <f>IFERROR((WHOLE_STRUCTURE[[#This Row],[D, bottom '[m']]]+WHOLE_STRUCTURE[[#This Row],[D, top '[m']]])/(2*WHOLE_STRUCTURE[[#This Row],[t '[mm']]]/1000),"")</f>
        <v/>
      </c>
    </row>
    <row r="269" spans="10:13" x14ac:dyDescent="0.25">
      <c r="J269" s="54" t="str">
        <f t="shared" si="7"/>
        <v/>
      </c>
      <c r="K269" s="54" t="str">
        <f>IFERROR(WHOLE_STRUCTURE[[#This Row],[Bottom '[m']]]-WHOLE_STRUCTURE[[#This Row],[D, top '[m']]], "")</f>
        <v/>
      </c>
      <c r="L269" s="54" t="str">
        <f>IFERROR(-(WHOLE_STRUCTURE[[#This Row],[D, bottom '[m']]]-WHOLE_STRUCTURE[[#This Row],[D, top '[m']]])/(WHOLE_STRUCTURE[[#This Row],[Bottom '[m']]]-WHOLE_STRUCTURE[[#This Row],[Top '[m']]]),"")</f>
        <v/>
      </c>
      <c r="M269" s="54" t="str">
        <f>IFERROR((WHOLE_STRUCTURE[[#This Row],[D, bottom '[m']]]+WHOLE_STRUCTURE[[#This Row],[D, top '[m']]])/(2*WHOLE_STRUCTURE[[#This Row],[t '[mm']]]/1000),"")</f>
        <v/>
      </c>
    </row>
    <row r="270" spans="10:13" x14ac:dyDescent="0.25">
      <c r="J270" s="54" t="str">
        <f t="shared" si="7"/>
        <v/>
      </c>
      <c r="K270" s="54" t="str">
        <f>IFERROR(WHOLE_STRUCTURE[[#This Row],[Bottom '[m']]]-WHOLE_STRUCTURE[[#This Row],[D, top '[m']]], "")</f>
        <v/>
      </c>
      <c r="L270" s="54" t="str">
        <f>IFERROR(-(WHOLE_STRUCTURE[[#This Row],[D, bottom '[m']]]-WHOLE_STRUCTURE[[#This Row],[D, top '[m']]])/(WHOLE_STRUCTURE[[#This Row],[Bottom '[m']]]-WHOLE_STRUCTURE[[#This Row],[Top '[m']]]),"")</f>
        <v/>
      </c>
      <c r="M270" s="54" t="str">
        <f>IFERROR((WHOLE_STRUCTURE[[#This Row],[D, bottom '[m']]]+WHOLE_STRUCTURE[[#This Row],[D, top '[m']]])/(2*WHOLE_STRUCTURE[[#This Row],[t '[mm']]]/1000),"")</f>
        <v/>
      </c>
    </row>
    <row r="271" spans="10:13" x14ac:dyDescent="0.25">
      <c r="J271" s="54" t="str">
        <f t="shared" si="7"/>
        <v/>
      </c>
      <c r="K271" s="54" t="str">
        <f>IFERROR(WHOLE_STRUCTURE[[#This Row],[Bottom '[m']]]-WHOLE_STRUCTURE[[#This Row],[D, top '[m']]], "")</f>
        <v/>
      </c>
      <c r="L271" s="54" t="str">
        <f>IFERROR(-(WHOLE_STRUCTURE[[#This Row],[D, bottom '[m']]]-WHOLE_STRUCTURE[[#This Row],[D, top '[m']]])/(WHOLE_STRUCTURE[[#This Row],[Bottom '[m']]]-WHOLE_STRUCTURE[[#This Row],[Top '[m']]]),"")</f>
        <v/>
      </c>
      <c r="M271" s="54" t="str">
        <f>IFERROR((WHOLE_STRUCTURE[[#This Row],[D, bottom '[m']]]+WHOLE_STRUCTURE[[#This Row],[D, top '[m']]])/(2*WHOLE_STRUCTURE[[#This Row],[t '[mm']]]/1000),"")</f>
        <v/>
      </c>
    </row>
    <row r="272" spans="10:13" x14ac:dyDescent="0.25">
      <c r="J272" s="54" t="str">
        <f t="shared" si="7"/>
        <v/>
      </c>
      <c r="K272" s="54" t="str">
        <f>IFERROR(WHOLE_STRUCTURE[[#This Row],[Bottom '[m']]]-WHOLE_STRUCTURE[[#This Row],[D, top '[m']]], "")</f>
        <v/>
      </c>
      <c r="L272" s="54" t="str">
        <f>IFERROR(-(WHOLE_STRUCTURE[[#This Row],[D, bottom '[m']]]-WHOLE_STRUCTURE[[#This Row],[D, top '[m']]])/(WHOLE_STRUCTURE[[#This Row],[Bottom '[m']]]-WHOLE_STRUCTURE[[#This Row],[Top '[m']]]),"")</f>
        <v/>
      </c>
      <c r="M272" s="54" t="str">
        <f>IFERROR((WHOLE_STRUCTURE[[#This Row],[D, bottom '[m']]]+WHOLE_STRUCTURE[[#This Row],[D, top '[m']]])/(2*WHOLE_STRUCTURE[[#This Row],[t '[mm']]]/1000),"")</f>
        <v/>
      </c>
    </row>
    <row r="273" spans="10:13" x14ac:dyDescent="0.25">
      <c r="J273" s="54" t="str">
        <f t="shared" si="7"/>
        <v/>
      </c>
      <c r="K273" s="54" t="str">
        <f>IFERROR(WHOLE_STRUCTURE[[#This Row],[Bottom '[m']]]-WHOLE_STRUCTURE[[#This Row],[D, top '[m']]], "")</f>
        <v/>
      </c>
      <c r="L273" s="54" t="str">
        <f>IFERROR(-(WHOLE_STRUCTURE[[#This Row],[D, bottom '[m']]]-WHOLE_STRUCTURE[[#This Row],[D, top '[m']]])/(WHOLE_STRUCTURE[[#This Row],[Bottom '[m']]]-WHOLE_STRUCTURE[[#This Row],[Top '[m']]]),"")</f>
        <v/>
      </c>
      <c r="M273" s="54" t="str">
        <f>IFERROR((WHOLE_STRUCTURE[[#This Row],[D, bottom '[m']]]+WHOLE_STRUCTURE[[#This Row],[D, top '[m']]])/(2*WHOLE_STRUCTURE[[#This Row],[t '[mm']]]/1000),"")</f>
        <v/>
      </c>
    </row>
    <row r="274" spans="10:13" x14ac:dyDescent="0.25">
      <c r="J274" s="54" t="str">
        <f t="shared" si="7"/>
        <v/>
      </c>
      <c r="K274" s="54" t="str">
        <f>IFERROR(WHOLE_STRUCTURE[[#This Row],[Bottom '[m']]]-WHOLE_STRUCTURE[[#This Row],[D, top '[m']]], "")</f>
        <v/>
      </c>
      <c r="L274" s="54" t="str">
        <f>IFERROR(-(WHOLE_STRUCTURE[[#This Row],[D, bottom '[m']]]-WHOLE_STRUCTURE[[#This Row],[D, top '[m']]])/(WHOLE_STRUCTURE[[#This Row],[Bottom '[m']]]-WHOLE_STRUCTURE[[#This Row],[Top '[m']]]),"")</f>
        <v/>
      </c>
      <c r="M274" s="54" t="str">
        <f>IFERROR((WHOLE_STRUCTURE[[#This Row],[D, bottom '[m']]]+WHOLE_STRUCTURE[[#This Row],[D, top '[m']]])/(2*WHOLE_STRUCTURE[[#This Row],[t '[mm']]]/1000),"")</f>
        <v/>
      </c>
    </row>
    <row r="275" spans="10:13" x14ac:dyDescent="0.25">
      <c r="J275" s="54" t="str">
        <f t="shared" si="7"/>
        <v/>
      </c>
      <c r="K275" s="54" t="str">
        <f>IFERROR(WHOLE_STRUCTURE[[#This Row],[Bottom '[m']]]-WHOLE_STRUCTURE[[#This Row],[D, top '[m']]], "")</f>
        <v/>
      </c>
      <c r="L275" s="54" t="str">
        <f>IFERROR(-(WHOLE_STRUCTURE[[#This Row],[D, bottom '[m']]]-WHOLE_STRUCTURE[[#This Row],[D, top '[m']]])/(WHOLE_STRUCTURE[[#This Row],[Bottom '[m']]]-WHOLE_STRUCTURE[[#This Row],[Top '[m']]]),"")</f>
        <v/>
      </c>
      <c r="M275" s="54" t="str">
        <f>IFERROR((WHOLE_STRUCTURE[[#This Row],[D, bottom '[m']]]+WHOLE_STRUCTURE[[#This Row],[D, top '[m']]])/(2*WHOLE_STRUCTURE[[#This Row],[t '[mm']]]/1000),"")</f>
        <v/>
      </c>
    </row>
    <row r="276" spans="10:13" x14ac:dyDescent="0.25">
      <c r="J276" s="54" t="str">
        <f t="shared" si="7"/>
        <v/>
      </c>
      <c r="K276" s="54" t="str">
        <f>IFERROR(WHOLE_STRUCTURE[[#This Row],[Bottom '[m']]]-WHOLE_STRUCTURE[[#This Row],[D, top '[m']]], "")</f>
        <v/>
      </c>
      <c r="L276" s="54" t="str">
        <f>IFERROR(-(WHOLE_STRUCTURE[[#This Row],[D, bottom '[m']]]-WHOLE_STRUCTURE[[#This Row],[D, top '[m']]])/(WHOLE_STRUCTURE[[#This Row],[Bottom '[m']]]-WHOLE_STRUCTURE[[#This Row],[Top '[m']]]),"")</f>
        <v/>
      </c>
      <c r="M276" s="54" t="str">
        <f>IFERROR((WHOLE_STRUCTURE[[#This Row],[D, bottom '[m']]]+WHOLE_STRUCTURE[[#This Row],[D, top '[m']]])/(2*WHOLE_STRUCTURE[[#This Row],[t '[mm']]]/1000),"")</f>
        <v/>
      </c>
    </row>
    <row r="277" spans="10:13" x14ac:dyDescent="0.25">
      <c r="J277" s="54" t="str">
        <f t="shared" si="7"/>
        <v/>
      </c>
      <c r="K277" s="54" t="str">
        <f>IFERROR(WHOLE_STRUCTURE[[#This Row],[Bottom '[m']]]-WHOLE_STRUCTURE[[#This Row],[D, top '[m']]], "")</f>
        <v/>
      </c>
      <c r="L277" s="54" t="str">
        <f>IFERROR(-(WHOLE_STRUCTURE[[#This Row],[D, bottom '[m']]]-WHOLE_STRUCTURE[[#This Row],[D, top '[m']]])/(WHOLE_STRUCTURE[[#This Row],[Bottom '[m']]]-WHOLE_STRUCTURE[[#This Row],[Top '[m']]]),"")</f>
        <v/>
      </c>
      <c r="M277" s="54" t="str">
        <f>IFERROR((WHOLE_STRUCTURE[[#This Row],[D, bottom '[m']]]+WHOLE_STRUCTURE[[#This Row],[D, top '[m']]])/(2*WHOLE_STRUCTURE[[#This Row],[t '[mm']]]/1000),"")</f>
        <v/>
      </c>
    </row>
    <row r="278" spans="10:13" x14ac:dyDescent="0.25">
      <c r="J278" s="54" t="str">
        <f t="shared" si="7"/>
        <v/>
      </c>
      <c r="K278" s="54" t="str">
        <f>IFERROR(WHOLE_STRUCTURE[[#This Row],[Bottom '[m']]]-WHOLE_STRUCTURE[[#This Row],[D, top '[m']]], "")</f>
        <v/>
      </c>
      <c r="L278" s="54" t="str">
        <f>IFERROR(-(WHOLE_STRUCTURE[[#This Row],[D, bottom '[m']]]-WHOLE_STRUCTURE[[#This Row],[D, top '[m']]])/(WHOLE_STRUCTURE[[#This Row],[Bottom '[m']]]-WHOLE_STRUCTURE[[#This Row],[Top '[m']]]),"")</f>
        <v/>
      </c>
      <c r="M278" s="54" t="str">
        <f>IFERROR((WHOLE_STRUCTURE[[#This Row],[D, bottom '[m']]]+WHOLE_STRUCTURE[[#This Row],[D, top '[m']]])/(2*WHOLE_STRUCTURE[[#This Row],[t '[mm']]]/1000),"")</f>
        <v/>
      </c>
    </row>
    <row r="279" spans="10:13" x14ac:dyDescent="0.25">
      <c r="J279" s="54" t="str">
        <f t="shared" si="7"/>
        <v/>
      </c>
      <c r="K279" s="54" t="str">
        <f>IFERROR(WHOLE_STRUCTURE[[#This Row],[Bottom '[m']]]-WHOLE_STRUCTURE[[#This Row],[D, top '[m']]], "")</f>
        <v/>
      </c>
      <c r="L279" s="54" t="str">
        <f>IFERROR(-(WHOLE_STRUCTURE[[#This Row],[D, bottom '[m']]]-WHOLE_STRUCTURE[[#This Row],[D, top '[m']]])/(WHOLE_STRUCTURE[[#This Row],[Bottom '[m']]]-WHOLE_STRUCTURE[[#This Row],[Top '[m']]]),"")</f>
        <v/>
      </c>
      <c r="M279" s="54" t="str">
        <f>IFERROR((WHOLE_STRUCTURE[[#This Row],[D, bottom '[m']]]+WHOLE_STRUCTURE[[#This Row],[D, top '[m']]])/(2*WHOLE_STRUCTURE[[#This Row],[t '[mm']]]/1000),"")</f>
        <v/>
      </c>
    </row>
    <row r="280" spans="10:13" x14ac:dyDescent="0.25">
      <c r="J280" s="54" t="str">
        <f t="shared" si="7"/>
        <v/>
      </c>
      <c r="K280" s="54" t="str">
        <f>IFERROR(WHOLE_STRUCTURE[[#This Row],[Bottom '[m']]]-WHOLE_STRUCTURE[[#This Row],[D, top '[m']]], "")</f>
        <v/>
      </c>
      <c r="L280" s="54" t="str">
        <f>IFERROR(-(WHOLE_STRUCTURE[[#This Row],[D, bottom '[m']]]-WHOLE_STRUCTURE[[#This Row],[D, top '[m']]])/(WHOLE_STRUCTURE[[#This Row],[Bottom '[m']]]-WHOLE_STRUCTURE[[#This Row],[Top '[m']]]),"")</f>
        <v/>
      </c>
      <c r="M280" s="54" t="str">
        <f>IFERROR((WHOLE_STRUCTURE[[#This Row],[D, bottom '[m']]]+WHOLE_STRUCTURE[[#This Row],[D, top '[m']]])/(2*WHOLE_STRUCTURE[[#This Row],[t '[mm']]]/1000),"")</f>
        <v/>
      </c>
    </row>
    <row r="281" spans="10:13" x14ac:dyDescent="0.25">
      <c r="J281" s="54" t="str">
        <f t="shared" si="7"/>
        <v/>
      </c>
      <c r="K281" s="54" t="str">
        <f>IFERROR(WHOLE_STRUCTURE[[#This Row],[Bottom '[m']]]-WHOLE_STRUCTURE[[#This Row],[D, top '[m']]], "")</f>
        <v/>
      </c>
      <c r="L281" s="54" t="str">
        <f>IFERROR(-(WHOLE_STRUCTURE[[#This Row],[D, bottom '[m']]]-WHOLE_STRUCTURE[[#This Row],[D, top '[m']]])/(WHOLE_STRUCTURE[[#This Row],[Bottom '[m']]]-WHOLE_STRUCTURE[[#This Row],[Top '[m']]]),"")</f>
        <v/>
      </c>
      <c r="M281" s="54" t="str">
        <f>IFERROR((WHOLE_STRUCTURE[[#This Row],[D, bottom '[m']]]+WHOLE_STRUCTURE[[#This Row],[D, top '[m']]])/(2*WHOLE_STRUCTURE[[#This Row],[t '[mm']]]/1000),"")</f>
        <v/>
      </c>
    </row>
    <row r="282" spans="10:13" x14ac:dyDescent="0.25">
      <c r="J282" s="54" t="str">
        <f t="shared" si="7"/>
        <v/>
      </c>
      <c r="K282" s="54" t="str">
        <f>IFERROR(WHOLE_STRUCTURE[[#This Row],[Bottom '[m']]]-WHOLE_STRUCTURE[[#This Row],[D, top '[m']]], "")</f>
        <v/>
      </c>
      <c r="L282" s="54" t="str">
        <f>IFERROR(-(WHOLE_STRUCTURE[[#This Row],[D, bottom '[m']]]-WHOLE_STRUCTURE[[#This Row],[D, top '[m']]])/(WHOLE_STRUCTURE[[#This Row],[Bottom '[m']]]-WHOLE_STRUCTURE[[#This Row],[Top '[m']]]),"")</f>
        <v/>
      </c>
      <c r="M282" s="54" t="str">
        <f>IFERROR((WHOLE_STRUCTURE[[#This Row],[D, bottom '[m']]]+WHOLE_STRUCTURE[[#This Row],[D, top '[m']]])/(2*WHOLE_STRUCTURE[[#This Row],[t '[mm']]]/1000),"")</f>
        <v/>
      </c>
    </row>
    <row r="283" spans="10:13" x14ac:dyDescent="0.25">
      <c r="J283" s="54" t="str">
        <f t="shared" si="7"/>
        <v/>
      </c>
      <c r="K283" s="54" t="str">
        <f>IFERROR(WHOLE_STRUCTURE[[#This Row],[Bottom '[m']]]-WHOLE_STRUCTURE[[#This Row],[D, top '[m']]], "")</f>
        <v/>
      </c>
      <c r="L283" s="54" t="str">
        <f>IFERROR(-(WHOLE_STRUCTURE[[#This Row],[D, bottom '[m']]]-WHOLE_STRUCTURE[[#This Row],[D, top '[m']]])/(WHOLE_STRUCTURE[[#This Row],[Bottom '[m']]]-WHOLE_STRUCTURE[[#This Row],[Top '[m']]]),"")</f>
        <v/>
      </c>
      <c r="M283" s="54" t="str">
        <f>IFERROR((WHOLE_STRUCTURE[[#This Row],[D, bottom '[m']]]+WHOLE_STRUCTURE[[#This Row],[D, top '[m']]])/(2*WHOLE_STRUCTURE[[#This Row],[t '[mm']]]/1000),"")</f>
        <v/>
      </c>
    </row>
    <row r="284" spans="10:13" x14ac:dyDescent="0.25">
      <c r="J284" s="54" t="str">
        <f t="shared" si="7"/>
        <v/>
      </c>
      <c r="K284" s="54" t="str">
        <f>IFERROR(WHOLE_STRUCTURE[[#This Row],[Bottom '[m']]]-WHOLE_STRUCTURE[[#This Row],[D, top '[m']]], "")</f>
        <v/>
      </c>
      <c r="L284" s="54" t="str">
        <f>IFERROR(-(WHOLE_STRUCTURE[[#This Row],[D, bottom '[m']]]-WHOLE_STRUCTURE[[#This Row],[D, top '[m']]])/(WHOLE_STRUCTURE[[#This Row],[Bottom '[m']]]-WHOLE_STRUCTURE[[#This Row],[Top '[m']]]),"")</f>
        <v/>
      </c>
      <c r="M284" s="54" t="str">
        <f>IFERROR((WHOLE_STRUCTURE[[#This Row],[D, bottom '[m']]]+WHOLE_STRUCTURE[[#This Row],[D, top '[m']]])/(2*WHOLE_STRUCTURE[[#This Row],[t '[mm']]]/1000),"")</f>
        <v/>
      </c>
    </row>
    <row r="285" spans="10:13" x14ac:dyDescent="0.25">
      <c r="J285" s="54" t="str">
        <f t="shared" si="7"/>
        <v/>
      </c>
      <c r="K285" s="54" t="str">
        <f>IFERROR(WHOLE_STRUCTURE[[#This Row],[Bottom '[m']]]-WHOLE_STRUCTURE[[#This Row],[D, top '[m']]], "")</f>
        <v/>
      </c>
      <c r="L285" s="54" t="str">
        <f>IFERROR(-(WHOLE_STRUCTURE[[#This Row],[D, bottom '[m']]]-WHOLE_STRUCTURE[[#This Row],[D, top '[m']]])/(WHOLE_STRUCTURE[[#This Row],[Bottom '[m']]]-WHOLE_STRUCTURE[[#This Row],[Top '[m']]]),"")</f>
        <v/>
      </c>
      <c r="M285" s="54" t="str">
        <f>IFERROR((WHOLE_STRUCTURE[[#This Row],[D, bottom '[m']]]+WHOLE_STRUCTURE[[#This Row],[D, top '[m']]])/(2*WHOLE_STRUCTURE[[#This Row],[t '[mm']]]/1000),"")</f>
        <v/>
      </c>
    </row>
    <row r="286" spans="10:13" x14ac:dyDescent="0.25">
      <c r="J286" s="54" t="str">
        <f t="shared" si="7"/>
        <v/>
      </c>
      <c r="K286" s="54" t="str">
        <f>IFERROR(WHOLE_STRUCTURE[[#This Row],[Bottom '[m']]]-WHOLE_STRUCTURE[[#This Row],[D, top '[m']]], "")</f>
        <v/>
      </c>
      <c r="L286" s="54" t="str">
        <f>IFERROR(-(WHOLE_STRUCTURE[[#This Row],[D, bottom '[m']]]-WHOLE_STRUCTURE[[#This Row],[D, top '[m']]])/(WHOLE_STRUCTURE[[#This Row],[Bottom '[m']]]-WHOLE_STRUCTURE[[#This Row],[Top '[m']]]),"")</f>
        <v/>
      </c>
      <c r="M286" s="54" t="str">
        <f>IFERROR((WHOLE_STRUCTURE[[#This Row],[D, bottom '[m']]]+WHOLE_STRUCTURE[[#This Row],[D, top '[m']]])/(2*WHOLE_STRUCTURE[[#This Row],[t '[mm']]]/1000),"")</f>
        <v/>
      </c>
    </row>
    <row r="287" spans="10:13" x14ac:dyDescent="0.25">
      <c r="J287" s="54" t="str">
        <f t="shared" si="7"/>
        <v/>
      </c>
      <c r="K287" s="54" t="str">
        <f>IFERROR(WHOLE_STRUCTURE[[#This Row],[Bottom '[m']]]-WHOLE_STRUCTURE[[#This Row],[D, top '[m']]], "")</f>
        <v/>
      </c>
      <c r="L287" s="54" t="str">
        <f>IFERROR(-(WHOLE_STRUCTURE[[#This Row],[D, bottom '[m']]]-WHOLE_STRUCTURE[[#This Row],[D, top '[m']]])/(WHOLE_STRUCTURE[[#This Row],[Bottom '[m']]]-WHOLE_STRUCTURE[[#This Row],[Top '[m']]]),"")</f>
        <v/>
      </c>
      <c r="M287" s="54" t="str">
        <f>IFERROR((WHOLE_STRUCTURE[[#This Row],[D, bottom '[m']]]+WHOLE_STRUCTURE[[#This Row],[D, top '[m']]])/(2*WHOLE_STRUCTURE[[#This Row],[t '[mm']]]/1000),"")</f>
        <v/>
      </c>
    </row>
    <row r="288" spans="10:13" x14ac:dyDescent="0.25">
      <c r="J288" s="54" t="str">
        <f t="shared" si="7"/>
        <v/>
      </c>
      <c r="K288" s="54" t="str">
        <f>IFERROR(WHOLE_STRUCTURE[[#This Row],[Bottom '[m']]]-WHOLE_STRUCTURE[[#This Row],[D, top '[m']]], "")</f>
        <v/>
      </c>
      <c r="L288" s="54" t="str">
        <f>IFERROR(-(WHOLE_STRUCTURE[[#This Row],[D, bottom '[m']]]-WHOLE_STRUCTURE[[#This Row],[D, top '[m']]])/(WHOLE_STRUCTURE[[#This Row],[Bottom '[m']]]-WHOLE_STRUCTURE[[#This Row],[Top '[m']]]),"")</f>
        <v/>
      </c>
      <c r="M288" s="54" t="str">
        <f>IFERROR((WHOLE_STRUCTURE[[#This Row],[D, bottom '[m']]]+WHOLE_STRUCTURE[[#This Row],[D, top '[m']]])/(2*WHOLE_STRUCTURE[[#This Row],[t '[mm']]]/1000),"")</f>
        <v/>
      </c>
    </row>
    <row r="289" spans="10:13" x14ac:dyDescent="0.25">
      <c r="J289" s="54" t="str">
        <f t="shared" si="7"/>
        <v/>
      </c>
      <c r="K289" s="54" t="str">
        <f>IFERROR(WHOLE_STRUCTURE[[#This Row],[Bottom '[m']]]-WHOLE_STRUCTURE[[#This Row],[D, top '[m']]], "")</f>
        <v/>
      </c>
      <c r="L289" s="54" t="str">
        <f>IFERROR(-(WHOLE_STRUCTURE[[#This Row],[D, bottom '[m']]]-WHOLE_STRUCTURE[[#This Row],[D, top '[m']]])/(WHOLE_STRUCTURE[[#This Row],[Bottom '[m']]]-WHOLE_STRUCTURE[[#This Row],[Top '[m']]]),"")</f>
        <v/>
      </c>
      <c r="M289" s="54" t="str">
        <f>IFERROR((WHOLE_STRUCTURE[[#This Row],[D, bottom '[m']]]+WHOLE_STRUCTURE[[#This Row],[D, top '[m']]])/(2*WHOLE_STRUCTURE[[#This Row],[t '[mm']]]/1000),"")</f>
        <v/>
      </c>
    </row>
    <row r="290" spans="10:13" x14ac:dyDescent="0.25">
      <c r="J290" s="54" t="str">
        <f t="shared" si="7"/>
        <v/>
      </c>
      <c r="K290" s="54" t="str">
        <f>IFERROR(WHOLE_STRUCTURE[[#This Row],[Bottom '[m']]]-WHOLE_STRUCTURE[[#This Row],[D, top '[m']]], "")</f>
        <v/>
      </c>
      <c r="L290" s="54" t="str">
        <f>IFERROR(-(WHOLE_STRUCTURE[[#This Row],[D, bottom '[m']]]-WHOLE_STRUCTURE[[#This Row],[D, top '[m']]])/(WHOLE_STRUCTURE[[#This Row],[Bottom '[m']]]-WHOLE_STRUCTURE[[#This Row],[Top '[m']]]),"")</f>
        <v/>
      </c>
      <c r="M290" s="54" t="str">
        <f>IFERROR((WHOLE_STRUCTURE[[#This Row],[D, bottom '[m']]]+WHOLE_STRUCTURE[[#This Row],[D, top '[m']]])/(2*WHOLE_STRUCTURE[[#This Row],[t '[mm']]]/1000),"")</f>
        <v/>
      </c>
    </row>
    <row r="291" spans="10:13" x14ac:dyDescent="0.25">
      <c r="J291" s="54" t="str">
        <f t="shared" si="7"/>
        <v/>
      </c>
      <c r="K291" s="54" t="str">
        <f>IFERROR(WHOLE_STRUCTURE[[#This Row],[Bottom '[m']]]-WHOLE_STRUCTURE[[#This Row],[D, top '[m']]], "")</f>
        <v/>
      </c>
      <c r="L291" s="54" t="str">
        <f>IFERROR(-(WHOLE_STRUCTURE[[#This Row],[D, bottom '[m']]]-WHOLE_STRUCTURE[[#This Row],[D, top '[m']]])/(WHOLE_STRUCTURE[[#This Row],[Bottom '[m']]]-WHOLE_STRUCTURE[[#This Row],[Top '[m']]]),"")</f>
        <v/>
      </c>
      <c r="M291" s="54" t="str">
        <f>IFERROR((WHOLE_STRUCTURE[[#This Row],[D, bottom '[m']]]+WHOLE_STRUCTURE[[#This Row],[D, top '[m']]])/(2*WHOLE_STRUCTURE[[#This Row],[t '[mm']]]/1000),"")</f>
        <v/>
      </c>
    </row>
    <row r="292" spans="10:13" x14ac:dyDescent="0.25">
      <c r="J292" s="54" t="str">
        <f t="shared" si="7"/>
        <v/>
      </c>
      <c r="K292" s="54" t="str">
        <f>IFERROR(WHOLE_STRUCTURE[[#This Row],[Bottom '[m']]]-WHOLE_STRUCTURE[[#This Row],[D, top '[m']]], "")</f>
        <v/>
      </c>
      <c r="L292" s="54" t="str">
        <f>IFERROR(-(WHOLE_STRUCTURE[[#This Row],[D, bottom '[m']]]-WHOLE_STRUCTURE[[#This Row],[D, top '[m']]])/(WHOLE_STRUCTURE[[#This Row],[Bottom '[m']]]-WHOLE_STRUCTURE[[#This Row],[Top '[m']]]),"")</f>
        <v/>
      </c>
      <c r="M292" s="54" t="str">
        <f>IFERROR((WHOLE_STRUCTURE[[#This Row],[D, bottom '[m']]]+WHOLE_STRUCTURE[[#This Row],[D, top '[m']]])/(2*WHOLE_STRUCTURE[[#This Row],[t '[mm']]]/1000),"")</f>
        <v/>
      </c>
    </row>
    <row r="293" spans="10:13" x14ac:dyDescent="0.25">
      <c r="J293" s="54" t="str">
        <f t="shared" si="7"/>
        <v/>
      </c>
      <c r="K293" s="54" t="str">
        <f>IFERROR(WHOLE_STRUCTURE[[#This Row],[Bottom '[m']]]-WHOLE_STRUCTURE[[#This Row],[D, top '[m']]], "")</f>
        <v/>
      </c>
      <c r="L293" s="54" t="str">
        <f>IFERROR(-(WHOLE_STRUCTURE[[#This Row],[D, bottom '[m']]]-WHOLE_STRUCTURE[[#This Row],[D, top '[m']]])/(WHOLE_STRUCTURE[[#This Row],[Bottom '[m']]]-WHOLE_STRUCTURE[[#This Row],[Top '[m']]]),"")</f>
        <v/>
      </c>
      <c r="M293" s="54" t="str">
        <f>IFERROR((WHOLE_STRUCTURE[[#This Row],[D, bottom '[m']]]+WHOLE_STRUCTURE[[#This Row],[D, top '[m']]])/(2*WHOLE_STRUCTURE[[#This Row],[t '[mm']]]/1000),"")</f>
        <v/>
      </c>
    </row>
    <row r="294" spans="10:13" x14ac:dyDescent="0.25">
      <c r="J294" s="54" t="str">
        <f t="shared" si="7"/>
        <v/>
      </c>
      <c r="K294" s="54" t="str">
        <f>IFERROR(WHOLE_STRUCTURE[[#This Row],[Bottom '[m']]]-WHOLE_STRUCTURE[[#This Row],[D, top '[m']]], "")</f>
        <v/>
      </c>
      <c r="L294" s="54" t="str">
        <f>IFERROR(-(WHOLE_STRUCTURE[[#This Row],[D, bottom '[m']]]-WHOLE_STRUCTURE[[#This Row],[D, top '[m']]])/(WHOLE_STRUCTURE[[#This Row],[Bottom '[m']]]-WHOLE_STRUCTURE[[#This Row],[Top '[m']]]),"")</f>
        <v/>
      </c>
      <c r="M294" s="54" t="str">
        <f>IFERROR((WHOLE_STRUCTURE[[#This Row],[D, bottom '[m']]]+WHOLE_STRUCTURE[[#This Row],[D, top '[m']]])/(2*WHOLE_STRUCTURE[[#This Row],[t '[mm']]]/1000),"")</f>
        <v/>
      </c>
    </row>
    <row r="295" spans="10:13" x14ac:dyDescent="0.25">
      <c r="J295" s="54" t="str">
        <f t="shared" si="7"/>
        <v/>
      </c>
      <c r="K295" s="54" t="str">
        <f>IFERROR(WHOLE_STRUCTURE[[#This Row],[Bottom '[m']]]-WHOLE_STRUCTURE[[#This Row],[D, top '[m']]], "")</f>
        <v/>
      </c>
      <c r="L295" s="54" t="str">
        <f>IFERROR(-(WHOLE_STRUCTURE[[#This Row],[D, bottom '[m']]]-WHOLE_STRUCTURE[[#This Row],[D, top '[m']]])/(WHOLE_STRUCTURE[[#This Row],[Bottom '[m']]]-WHOLE_STRUCTURE[[#This Row],[Top '[m']]]),"")</f>
        <v/>
      </c>
      <c r="M295" s="54" t="str">
        <f>IFERROR((WHOLE_STRUCTURE[[#This Row],[D, bottom '[m']]]+WHOLE_STRUCTURE[[#This Row],[D, top '[m']]])/(2*WHOLE_STRUCTURE[[#This Row],[t '[mm']]]/1000),"")</f>
        <v/>
      </c>
    </row>
    <row r="296" spans="10:13" x14ac:dyDescent="0.25">
      <c r="J296" s="54" t="str">
        <f t="shared" si="7"/>
        <v/>
      </c>
      <c r="K296" s="54" t="str">
        <f>IFERROR(WHOLE_STRUCTURE[[#This Row],[Bottom '[m']]]-WHOLE_STRUCTURE[[#This Row],[D, top '[m']]], "")</f>
        <v/>
      </c>
      <c r="L296" s="54" t="str">
        <f>IFERROR(-(WHOLE_STRUCTURE[[#This Row],[D, bottom '[m']]]-WHOLE_STRUCTURE[[#This Row],[D, top '[m']]])/(WHOLE_STRUCTURE[[#This Row],[Bottom '[m']]]-WHOLE_STRUCTURE[[#This Row],[Top '[m']]]),"")</f>
        <v/>
      </c>
      <c r="M296" s="54" t="str">
        <f>IFERROR((WHOLE_STRUCTURE[[#This Row],[D, bottom '[m']]]+WHOLE_STRUCTURE[[#This Row],[D, top '[m']]])/(2*WHOLE_STRUCTURE[[#This Row],[t '[mm']]]/1000),"")</f>
        <v/>
      </c>
    </row>
    <row r="297" spans="10:13" x14ac:dyDescent="0.25">
      <c r="J297" s="54" t="str">
        <f t="shared" si="7"/>
        <v/>
      </c>
      <c r="K297" s="54" t="str">
        <f>IFERROR(WHOLE_STRUCTURE[[#This Row],[Bottom '[m']]]-WHOLE_STRUCTURE[[#This Row],[D, top '[m']]], "")</f>
        <v/>
      </c>
      <c r="L297" s="54" t="str">
        <f>IFERROR(-(WHOLE_STRUCTURE[[#This Row],[D, bottom '[m']]]-WHOLE_STRUCTURE[[#This Row],[D, top '[m']]])/(WHOLE_STRUCTURE[[#This Row],[Bottom '[m']]]-WHOLE_STRUCTURE[[#This Row],[Top '[m']]]),"")</f>
        <v/>
      </c>
      <c r="M297" s="54" t="str">
        <f>IFERROR((WHOLE_STRUCTURE[[#This Row],[D, bottom '[m']]]+WHOLE_STRUCTURE[[#This Row],[D, top '[m']]])/(2*WHOLE_STRUCTURE[[#This Row],[t '[mm']]]/1000),"")</f>
        <v/>
      </c>
    </row>
    <row r="298" spans="10:13" x14ac:dyDescent="0.25">
      <c r="J298" s="54" t="str">
        <f t="shared" si="7"/>
        <v/>
      </c>
      <c r="K298" s="54" t="str">
        <f>IFERROR(WHOLE_STRUCTURE[[#This Row],[Bottom '[m']]]-WHOLE_STRUCTURE[[#This Row],[D, top '[m']]], "")</f>
        <v/>
      </c>
      <c r="L298" s="54" t="str">
        <f>IFERROR(-(WHOLE_STRUCTURE[[#This Row],[D, bottom '[m']]]-WHOLE_STRUCTURE[[#This Row],[D, top '[m']]])/(WHOLE_STRUCTURE[[#This Row],[Bottom '[m']]]-WHOLE_STRUCTURE[[#This Row],[Top '[m']]]),"")</f>
        <v/>
      </c>
      <c r="M298" s="54" t="str">
        <f>IFERROR((WHOLE_STRUCTURE[[#This Row],[D, bottom '[m']]]+WHOLE_STRUCTURE[[#This Row],[D, top '[m']]])/(2*WHOLE_STRUCTURE[[#This Row],[t '[mm']]]/1000),"")</f>
        <v/>
      </c>
    </row>
    <row r="299" spans="10:13" x14ac:dyDescent="0.25">
      <c r="J299" s="54" t="str">
        <f t="shared" si="7"/>
        <v/>
      </c>
      <c r="K299" s="54" t="str">
        <f>IFERROR(WHOLE_STRUCTURE[[#This Row],[Bottom '[m']]]-WHOLE_STRUCTURE[[#This Row],[D, top '[m']]], "")</f>
        <v/>
      </c>
      <c r="L299" s="54" t="str">
        <f>IFERROR(-(WHOLE_STRUCTURE[[#This Row],[D, bottom '[m']]]-WHOLE_STRUCTURE[[#This Row],[D, top '[m']]])/(WHOLE_STRUCTURE[[#This Row],[Bottom '[m']]]-WHOLE_STRUCTURE[[#This Row],[Top '[m']]]),"")</f>
        <v/>
      </c>
      <c r="M299" s="54" t="str">
        <f>IFERROR((WHOLE_STRUCTURE[[#This Row],[D, bottom '[m']]]+WHOLE_STRUCTURE[[#This Row],[D, top '[m']]])/(2*WHOLE_STRUCTURE[[#This Row],[t '[mm']]]/1000),"")</f>
        <v/>
      </c>
    </row>
    <row r="300" spans="10:13" x14ac:dyDescent="0.25">
      <c r="J300" s="54" t="str">
        <f t="shared" si="7"/>
        <v/>
      </c>
      <c r="K300" s="54" t="str">
        <f>IFERROR(WHOLE_STRUCTURE[[#This Row],[Bottom '[m']]]-WHOLE_STRUCTURE[[#This Row],[D, top '[m']]], "")</f>
        <v/>
      </c>
      <c r="L300" s="54" t="str">
        <f>IFERROR(-(WHOLE_STRUCTURE[[#This Row],[D, bottom '[m']]]-WHOLE_STRUCTURE[[#This Row],[D, top '[m']]])/(WHOLE_STRUCTURE[[#This Row],[Bottom '[m']]]-WHOLE_STRUCTURE[[#This Row],[Top '[m']]]),"")</f>
        <v/>
      </c>
      <c r="M300" s="54" t="str">
        <f>IFERROR((WHOLE_STRUCTURE[[#This Row],[D, bottom '[m']]]+WHOLE_STRUCTURE[[#This Row],[D, top '[m']]])/(2*WHOLE_STRUCTURE[[#This Row],[t '[mm']]]/1000),"")</f>
        <v/>
      </c>
    </row>
    <row r="301" spans="10:13" x14ac:dyDescent="0.25">
      <c r="J301" s="54" t="str">
        <f t="shared" si="7"/>
        <v/>
      </c>
      <c r="K301" s="54" t="str">
        <f>IFERROR(WHOLE_STRUCTURE[[#This Row],[Bottom '[m']]]-WHOLE_STRUCTURE[[#This Row],[D, top '[m']]], "")</f>
        <v/>
      </c>
      <c r="L301" s="54" t="str">
        <f>IFERROR(-(WHOLE_STRUCTURE[[#This Row],[D, bottom '[m']]]-WHOLE_STRUCTURE[[#This Row],[D, top '[m']]])/(WHOLE_STRUCTURE[[#This Row],[Bottom '[m']]]-WHOLE_STRUCTURE[[#This Row],[Top '[m']]]),"")</f>
        <v/>
      </c>
      <c r="M301" s="54" t="str">
        <f>IFERROR((WHOLE_STRUCTURE[[#This Row],[D, bottom '[m']]]+WHOLE_STRUCTURE[[#This Row],[D, top '[m']]])/(2*WHOLE_STRUCTURE[[#This Row],[t '[mm']]]/1000),"")</f>
        <v/>
      </c>
    </row>
    <row r="302" spans="10:13" x14ac:dyDescent="0.25">
      <c r="J302" s="54" t="str">
        <f t="shared" si="7"/>
        <v/>
      </c>
      <c r="K302" s="54" t="str">
        <f>IFERROR(WHOLE_STRUCTURE[[#This Row],[Bottom '[m']]]-WHOLE_STRUCTURE[[#This Row],[D, top '[m']]], "")</f>
        <v/>
      </c>
      <c r="L302" s="54" t="str">
        <f>IFERROR(-(WHOLE_STRUCTURE[[#This Row],[D, bottom '[m']]]-WHOLE_STRUCTURE[[#This Row],[D, top '[m']]])/(WHOLE_STRUCTURE[[#This Row],[Bottom '[m']]]-WHOLE_STRUCTURE[[#This Row],[Top '[m']]]),"")</f>
        <v/>
      </c>
      <c r="M302" s="54" t="str">
        <f>IFERROR((WHOLE_STRUCTURE[[#This Row],[D, bottom '[m']]]+WHOLE_STRUCTURE[[#This Row],[D, top '[m']]])/(2*WHOLE_STRUCTURE[[#This Row],[t '[mm']]]/1000),"")</f>
        <v/>
      </c>
    </row>
    <row r="303" spans="10:13" x14ac:dyDescent="0.25">
      <c r="J303" s="54" t="str">
        <f t="shared" si="7"/>
        <v/>
      </c>
      <c r="K303" s="54" t="str">
        <f>IFERROR(WHOLE_STRUCTURE[[#This Row],[Bottom '[m']]]-WHOLE_STRUCTURE[[#This Row],[D, top '[m']]], "")</f>
        <v/>
      </c>
      <c r="L303" s="54" t="str">
        <f>IFERROR(-(WHOLE_STRUCTURE[[#This Row],[D, bottom '[m']]]-WHOLE_STRUCTURE[[#This Row],[D, top '[m']]])/(WHOLE_STRUCTURE[[#This Row],[Bottom '[m']]]-WHOLE_STRUCTURE[[#This Row],[Top '[m']]]),"")</f>
        <v/>
      </c>
      <c r="M303" s="54" t="str">
        <f>IFERROR((WHOLE_STRUCTURE[[#This Row],[D, bottom '[m']]]+WHOLE_STRUCTURE[[#This Row],[D, top '[m']]])/(2*WHOLE_STRUCTURE[[#This Row],[t '[mm']]]/1000),"")</f>
        <v/>
      </c>
    </row>
    <row r="304" spans="10:13" x14ac:dyDescent="0.25">
      <c r="J304" s="54" t="str">
        <f t="shared" si="7"/>
        <v/>
      </c>
      <c r="K304" s="54" t="str">
        <f>IFERROR(WHOLE_STRUCTURE[[#This Row],[Bottom '[m']]]-WHOLE_STRUCTURE[[#This Row],[D, top '[m']]], "")</f>
        <v/>
      </c>
      <c r="L304" s="54" t="str">
        <f>IFERROR(-(WHOLE_STRUCTURE[[#This Row],[D, bottom '[m']]]-WHOLE_STRUCTURE[[#This Row],[D, top '[m']]])/(WHOLE_STRUCTURE[[#This Row],[Bottom '[m']]]-WHOLE_STRUCTURE[[#This Row],[Top '[m']]]),"")</f>
        <v/>
      </c>
      <c r="M304" s="54" t="str">
        <f>IFERROR((WHOLE_STRUCTURE[[#This Row],[D, bottom '[m']]]+WHOLE_STRUCTURE[[#This Row],[D, top '[m']]])/(2*WHOLE_STRUCTURE[[#This Row],[t '[mm']]]/1000),"")</f>
        <v/>
      </c>
    </row>
    <row r="305" spans="10:13" x14ac:dyDescent="0.25">
      <c r="J305" s="54" t="str">
        <f t="shared" si="7"/>
        <v/>
      </c>
      <c r="K305" s="54" t="str">
        <f>IFERROR(WHOLE_STRUCTURE[[#This Row],[Bottom '[m']]]-WHOLE_STRUCTURE[[#This Row],[D, top '[m']]], "")</f>
        <v/>
      </c>
      <c r="L305" s="54" t="str">
        <f>IFERROR(-(WHOLE_STRUCTURE[[#This Row],[D, bottom '[m']]]-WHOLE_STRUCTURE[[#This Row],[D, top '[m']]])/(WHOLE_STRUCTURE[[#This Row],[Bottom '[m']]]-WHOLE_STRUCTURE[[#This Row],[Top '[m']]]),"")</f>
        <v/>
      </c>
      <c r="M305" s="54" t="str">
        <f>IFERROR((WHOLE_STRUCTURE[[#This Row],[D, bottom '[m']]]+WHOLE_STRUCTURE[[#This Row],[D, top '[m']]])/(2*WHOLE_STRUCTURE[[#This Row],[t '[mm']]]/1000),"")</f>
        <v/>
      </c>
    </row>
    <row r="306" spans="10:13" x14ac:dyDescent="0.25">
      <c r="J306" s="54" t="str">
        <f t="shared" si="7"/>
        <v/>
      </c>
      <c r="K306" s="54" t="str">
        <f>IFERROR(WHOLE_STRUCTURE[[#This Row],[Bottom '[m']]]-WHOLE_STRUCTURE[[#This Row],[D, top '[m']]], "")</f>
        <v/>
      </c>
      <c r="L306" s="54" t="str">
        <f>IFERROR(-(WHOLE_STRUCTURE[[#This Row],[D, bottom '[m']]]-WHOLE_STRUCTURE[[#This Row],[D, top '[m']]])/(WHOLE_STRUCTURE[[#This Row],[Bottom '[m']]]-WHOLE_STRUCTURE[[#This Row],[Top '[m']]]),"")</f>
        <v/>
      </c>
      <c r="M306" s="54" t="str">
        <f>IFERROR((WHOLE_STRUCTURE[[#This Row],[D, bottom '[m']]]+WHOLE_STRUCTURE[[#This Row],[D, top '[m']]])/(2*WHOLE_STRUCTURE[[#This Row],[t '[mm']]]/1000),"")</f>
        <v/>
      </c>
    </row>
    <row r="307" spans="10:13" x14ac:dyDescent="0.25">
      <c r="J307" s="54" t="str">
        <f t="shared" si="7"/>
        <v/>
      </c>
      <c r="K307" s="54" t="str">
        <f>IFERROR(WHOLE_STRUCTURE[[#This Row],[Bottom '[m']]]-WHOLE_STRUCTURE[[#This Row],[D, top '[m']]], "")</f>
        <v/>
      </c>
      <c r="L307" s="54" t="str">
        <f>IFERROR(-(WHOLE_STRUCTURE[[#This Row],[D, bottom '[m']]]-WHOLE_STRUCTURE[[#This Row],[D, top '[m']]])/(WHOLE_STRUCTURE[[#This Row],[Bottom '[m']]]-WHOLE_STRUCTURE[[#This Row],[Top '[m']]]),"")</f>
        <v/>
      </c>
      <c r="M307" s="54" t="str">
        <f>IFERROR((WHOLE_STRUCTURE[[#This Row],[D, bottom '[m']]]+WHOLE_STRUCTURE[[#This Row],[D, top '[m']]])/(2*WHOLE_STRUCTURE[[#This Row],[t '[mm']]]/1000),"")</f>
        <v/>
      </c>
    </row>
    <row r="308" spans="10:13" x14ac:dyDescent="0.25">
      <c r="J308" s="54" t="str">
        <f t="shared" si="7"/>
        <v/>
      </c>
      <c r="K308" s="54" t="str">
        <f>IFERROR(WHOLE_STRUCTURE[[#This Row],[Bottom '[m']]]-WHOLE_STRUCTURE[[#This Row],[D, top '[m']]], "")</f>
        <v/>
      </c>
      <c r="L308" s="54" t="str">
        <f>IFERROR(-(WHOLE_STRUCTURE[[#This Row],[D, bottom '[m']]]-WHOLE_STRUCTURE[[#This Row],[D, top '[m']]])/(WHOLE_STRUCTURE[[#This Row],[Bottom '[m']]]-WHOLE_STRUCTURE[[#This Row],[Top '[m']]]),"")</f>
        <v/>
      </c>
      <c r="M308" s="54" t="str">
        <f>IFERROR((WHOLE_STRUCTURE[[#This Row],[D, bottom '[m']]]+WHOLE_STRUCTURE[[#This Row],[D, top '[m']]])/(2*WHOLE_STRUCTURE[[#This Row],[t '[mm']]]/1000),"")</f>
        <v/>
      </c>
    </row>
    <row r="309" spans="10:13" x14ac:dyDescent="0.25">
      <c r="J309" s="54" t="str">
        <f t="shared" si="7"/>
        <v/>
      </c>
      <c r="K309" s="54" t="str">
        <f>IFERROR(WHOLE_STRUCTURE[[#This Row],[Bottom '[m']]]-WHOLE_STRUCTURE[[#This Row],[D, top '[m']]], "")</f>
        <v/>
      </c>
      <c r="L309" s="54" t="str">
        <f>IFERROR(-(WHOLE_STRUCTURE[[#This Row],[D, bottom '[m']]]-WHOLE_STRUCTURE[[#This Row],[D, top '[m']]])/(WHOLE_STRUCTURE[[#This Row],[Bottom '[m']]]-WHOLE_STRUCTURE[[#This Row],[Top '[m']]]),"")</f>
        <v/>
      </c>
      <c r="M309" s="54" t="str">
        <f>IFERROR((WHOLE_STRUCTURE[[#This Row],[D, bottom '[m']]]+WHOLE_STRUCTURE[[#This Row],[D, top '[m']]])/(2*WHOLE_STRUCTURE[[#This Row],[t '[mm']]]/1000),"")</f>
        <v/>
      </c>
    </row>
    <row r="310" spans="10:13" x14ac:dyDescent="0.25">
      <c r="J310" s="54" t="str">
        <f t="shared" si="7"/>
        <v/>
      </c>
      <c r="K310" s="54" t="str">
        <f>IFERROR(WHOLE_STRUCTURE[[#This Row],[Bottom '[m']]]-WHOLE_STRUCTURE[[#This Row],[D, top '[m']]], "")</f>
        <v/>
      </c>
      <c r="L310" s="54" t="str">
        <f>IFERROR(-(WHOLE_STRUCTURE[[#This Row],[D, bottom '[m']]]-WHOLE_STRUCTURE[[#This Row],[D, top '[m']]])/(WHOLE_STRUCTURE[[#This Row],[Bottom '[m']]]-WHOLE_STRUCTURE[[#This Row],[Top '[m']]]),"")</f>
        <v/>
      </c>
      <c r="M310" s="54" t="str">
        <f>IFERROR((WHOLE_STRUCTURE[[#This Row],[D, bottom '[m']]]+WHOLE_STRUCTURE[[#This Row],[D, top '[m']]])/(2*WHOLE_STRUCTURE[[#This Row],[t '[mm']]]/1000),"")</f>
        <v/>
      </c>
    </row>
    <row r="311" spans="10:13" x14ac:dyDescent="0.25">
      <c r="J311" s="54" t="str">
        <f t="shared" si="7"/>
        <v/>
      </c>
      <c r="K311" s="54" t="str">
        <f>IFERROR(WHOLE_STRUCTURE[[#This Row],[Bottom '[m']]]-WHOLE_STRUCTURE[[#This Row],[D, top '[m']]], "")</f>
        <v/>
      </c>
      <c r="L311" s="54" t="str">
        <f>IFERROR(-(WHOLE_STRUCTURE[[#This Row],[D, bottom '[m']]]-WHOLE_STRUCTURE[[#This Row],[D, top '[m']]])/(WHOLE_STRUCTURE[[#This Row],[Bottom '[m']]]-WHOLE_STRUCTURE[[#This Row],[Top '[m']]]),"")</f>
        <v/>
      </c>
      <c r="M311" s="54" t="str">
        <f>IFERROR((WHOLE_STRUCTURE[[#This Row],[D, bottom '[m']]]+WHOLE_STRUCTURE[[#This Row],[D, top '[m']]])/(2*WHOLE_STRUCTURE[[#This Row],[t '[mm']]]/1000),"")</f>
        <v/>
      </c>
    </row>
    <row r="312" spans="10:13" x14ac:dyDescent="0.25">
      <c r="J312" s="54" t="str">
        <f t="shared" si="7"/>
        <v/>
      </c>
      <c r="K312" s="54" t="str">
        <f>IFERROR(WHOLE_STRUCTURE[[#This Row],[Bottom '[m']]]-WHOLE_STRUCTURE[[#This Row],[D, top '[m']]], "")</f>
        <v/>
      </c>
      <c r="L312" s="54" t="str">
        <f>IFERROR(-(WHOLE_STRUCTURE[[#This Row],[D, bottom '[m']]]-WHOLE_STRUCTURE[[#This Row],[D, top '[m']]])/(WHOLE_STRUCTURE[[#This Row],[Bottom '[m']]]-WHOLE_STRUCTURE[[#This Row],[Top '[m']]]),"")</f>
        <v/>
      </c>
      <c r="M312" s="54" t="str">
        <f>IFERROR((WHOLE_STRUCTURE[[#This Row],[D, bottom '[m']]]+WHOLE_STRUCTURE[[#This Row],[D, top '[m']]])/(2*WHOLE_STRUCTURE[[#This Row],[t '[mm']]]/1000),"")</f>
        <v/>
      </c>
    </row>
    <row r="313" spans="10:13" x14ac:dyDescent="0.25">
      <c r="J313" s="54" t="str">
        <f t="shared" si="7"/>
        <v/>
      </c>
      <c r="K313" s="54" t="str">
        <f>IFERROR(WHOLE_STRUCTURE[[#This Row],[Bottom '[m']]]-WHOLE_STRUCTURE[[#This Row],[D, top '[m']]], "")</f>
        <v/>
      </c>
      <c r="L313" s="54" t="str">
        <f>IFERROR(-(WHOLE_STRUCTURE[[#This Row],[D, bottom '[m']]]-WHOLE_STRUCTURE[[#This Row],[D, top '[m']]])/(WHOLE_STRUCTURE[[#This Row],[Bottom '[m']]]-WHOLE_STRUCTURE[[#This Row],[Top '[m']]]),"")</f>
        <v/>
      </c>
      <c r="M313" s="54" t="str">
        <f>IFERROR((WHOLE_STRUCTURE[[#This Row],[D, bottom '[m']]]+WHOLE_STRUCTURE[[#This Row],[D, top '[m']]])/(2*WHOLE_STRUCTURE[[#This Row],[t '[mm']]]/1000),"")</f>
        <v/>
      </c>
    </row>
    <row r="314" spans="10:13" x14ac:dyDescent="0.25">
      <c r="J314" s="54" t="str">
        <f t="shared" si="7"/>
        <v/>
      </c>
      <c r="K314" s="54" t="str">
        <f>IFERROR(WHOLE_STRUCTURE[[#This Row],[Bottom '[m']]]-WHOLE_STRUCTURE[[#This Row],[D, top '[m']]], "")</f>
        <v/>
      </c>
      <c r="L314" s="54" t="str">
        <f>IFERROR(-(WHOLE_STRUCTURE[[#This Row],[D, bottom '[m']]]-WHOLE_STRUCTURE[[#This Row],[D, top '[m']]])/(WHOLE_STRUCTURE[[#This Row],[Bottom '[m']]]-WHOLE_STRUCTURE[[#This Row],[Top '[m']]]),"")</f>
        <v/>
      </c>
      <c r="M314" s="54" t="str">
        <f>IFERROR((WHOLE_STRUCTURE[[#This Row],[D, bottom '[m']]]+WHOLE_STRUCTURE[[#This Row],[D, top '[m']]])/(2*WHOLE_STRUCTURE[[#This Row],[t '[mm']]]/1000),"")</f>
        <v/>
      </c>
    </row>
    <row r="315" spans="10:13" x14ac:dyDescent="0.25">
      <c r="J315" s="54" t="str">
        <f t="shared" si="7"/>
        <v/>
      </c>
      <c r="K315" s="54" t="str">
        <f>IFERROR(WHOLE_STRUCTURE[[#This Row],[Bottom '[m']]]-WHOLE_STRUCTURE[[#This Row],[D, top '[m']]], "")</f>
        <v/>
      </c>
      <c r="L315" s="54" t="str">
        <f>IFERROR(-(WHOLE_STRUCTURE[[#This Row],[D, bottom '[m']]]-WHOLE_STRUCTURE[[#This Row],[D, top '[m']]])/(WHOLE_STRUCTURE[[#This Row],[Bottom '[m']]]-WHOLE_STRUCTURE[[#This Row],[Top '[m']]]),"")</f>
        <v/>
      </c>
      <c r="M315" s="54" t="str">
        <f>IFERROR((WHOLE_STRUCTURE[[#This Row],[D, bottom '[m']]]+WHOLE_STRUCTURE[[#This Row],[D, top '[m']]])/(2*WHOLE_STRUCTURE[[#This Row],[t '[mm']]]/1000),"")</f>
        <v/>
      </c>
    </row>
    <row r="316" spans="10:13" x14ac:dyDescent="0.25">
      <c r="J316" s="54" t="str">
        <f t="shared" si="7"/>
        <v/>
      </c>
      <c r="K316" s="54" t="str">
        <f>IFERROR(WHOLE_STRUCTURE[[#This Row],[Bottom '[m']]]-WHOLE_STRUCTURE[[#This Row],[D, top '[m']]], "")</f>
        <v/>
      </c>
      <c r="L316" s="54" t="str">
        <f>IFERROR(-(WHOLE_STRUCTURE[[#This Row],[D, bottom '[m']]]-WHOLE_STRUCTURE[[#This Row],[D, top '[m']]])/(WHOLE_STRUCTURE[[#This Row],[Bottom '[m']]]-WHOLE_STRUCTURE[[#This Row],[Top '[m']]]),"")</f>
        <v/>
      </c>
      <c r="M316" s="54" t="str">
        <f>IFERROR((WHOLE_STRUCTURE[[#This Row],[D, bottom '[m']]]+WHOLE_STRUCTURE[[#This Row],[D, top '[m']]])/(2*WHOLE_STRUCTURE[[#This Row],[t '[mm']]]/1000),"")</f>
        <v/>
      </c>
    </row>
    <row r="317" spans="10:13" x14ac:dyDescent="0.25">
      <c r="J317" s="54" t="str">
        <f t="shared" si="7"/>
        <v/>
      </c>
      <c r="K317" s="54" t="str">
        <f>IFERROR(WHOLE_STRUCTURE[[#This Row],[Bottom '[m']]]-WHOLE_STRUCTURE[[#This Row],[D, top '[m']]], "")</f>
        <v/>
      </c>
      <c r="L317" s="54" t="str">
        <f>IFERROR(-(WHOLE_STRUCTURE[[#This Row],[D, bottom '[m']]]-WHOLE_STRUCTURE[[#This Row],[D, top '[m']]])/(WHOLE_STRUCTURE[[#This Row],[Bottom '[m']]]-WHOLE_STRUCTURE[[#This Row],[Top '[m']]]),"")</f>
        <v/>
      </c>
      <c r="M317" s="54" t="str">
        <f>IFERROR((WHOLE_STRUCTURE[[#This Row],[D, bottom '[m']]]+WHOLE_STRUCTURE[[#This Row],[D, top '[m']]])/(2*WHOLE_STRUCTURE[[#This Row],[t '[mm']]]/1000),"")</f>
        <v/>
      </c>
    </row>
    <row r="318" spans="10:13" x14ac:dyDescent="0.25">
      <c r="J318" s="54" t="str">
        <f t="shared" si="7"/>
        <v/>
      </c>
      <c r="K318" s="54" t="str">
        <f>IFERROR(WHOLE_STRUCTURE[[#This Row],[Bottom '[m']]]-WHOLE_STRUCTURE[[#This Row],[D, top '[m']]], "")</f>
        <v/>
      </c>
      <c r="L318" s="54" t="str">
        <f>IFERROR(-(WHOLE_STRUCTURE[[#This Row],[D, bottom '[m']]]-WHOLE_STRUCTURE[[#This Row],[D, top '[m']]])/(WHOLE_STRUCTURE[[#This Row],[Bottom '[m']]]-WHOLE_STRUCTURE[[#This Row],[Top '[m']]]),"")</f>
        <v/>
      </c>
      <c r="M318" s="54" t="str">
        <f>IFERROR((WHOLE_STRUCTURE[[#This Row],[D, bottom '[m']]]+WHOLE_STRUCTURE[[#This Row],[D, top '[m']]])/(2*WHOLE_STRUCTURE[[#This Row],[t '[mm']]]/1000),"")</f>
        <v/>
      </c>
    </row>
    <row r="319" spans="10:13" x14ac:dyDescent="0.25">
      <c r="J319" s="54" t="str">
        <f t="shared" si="7"/>
        <v/>
      </c>
      <c r="K319" s="54" t="str">
        <f>IFERROR(WHOLE_STRUCTURE[[#This Row],[Bottom '[m']]]-WHOLE_STRUCTURE[[#This Row],[D, top '[m']]], "")</f>
        <v/>
      </c>
      <c r="L319" s="54" t="str">
        <f>IFERROR(-(WHOLE_STRUCTURE[[#This Row],[D, bottom '[m']]]-WHOLE_STRUCTURE[[#This Row],[D, top '[m']]])/(WHOLE_STRUCTURE[[#This Row],[Bottom '[m']]]-WHOLE_STRUCTURE[[#This Row],[Top '[m']]]),"")</f>
        <v/>
      </c>
      <c r="M319" s="54" t="str">
        <f>IFERROR((WHOLE_STRUCTURE[[#This Row],[D, bottom '[m']]]+WHOLE_STRUCTURE[[#This Row],[D, top '[m']]])/(2*WHOLE_STRUCTURE[[#This Row],[t '[mm']]]/1000),"")</f>
        <v/>
      </c>
    </row>
    <row r="320" spans="10:13" x14ac:dyDescent="0.25">
      <c r="J320" s="54" t="str">
        <f t="shared" si="7"/>
        <v/>
      </c>
      <c r="K320" s="54" t="str">
        <f>IFERROR(WHOLE_STRUCTURE[[#This Row],[Bottom '[m']]]-WHOLE_STRUCTURE[[#This Row],[D, top '[m']]], "")</f>
        <v/>
      </c>
      <c r="L320" s="54" t="str">
        <f>IFERROR(-(WHOLE_STRUCTURE[[#This Row],[D, bottom '[m']]]-WHOLE_STRUCTURE[[#This Row],[D, top '[m']]])/(WHOLE_STRUCTURE[[#This Row],[Bottom '[m']]]-WHOLE_STRUCTURE[[#This Row],[Top '[m']]]),"")</f>
        <v/>
      </c>
      <c r="M320" s="54" t="str">
        <f>IFERROR((WHOLE_STRUCTURE[[#This Row],[D, bottom '[m']]]+WHOLE_STRUCTURE[[#This Row],[D, top '[m']]])/(2*WHOLE_STRUCTURE[[#This Row],[t '[mm']]]/1000),"")</f>
        <v/>
      </c>
    </row>
    <row r="321" spans="10:13" x14ac:dyDescent="0.25">
      <c r="J321" s="54" t="str">
        <f t="shared" si="7"/>
        <v/>
      </c>
      <c r="K321" s="54" t="str">
        <f>IFERROR(WHOLE_STRUCTURE[[#This Row],[Bottom '[m']]]-WHOLE_STRUCTURE[[#This Row],[D, top '[m']]], "")</f>
        <v/>
      </c>
      <c r="L321" s="54" t="str">
        <f>IFERROR(-(WHOLE_STRUCTURE[[#This Row],[D, bottom '[m']]]-WHOLE_STRUCTURE[[#This Row],[D, top '[m']]])/(WHOLE_STRUCTURE[[#This Row],[Bottom '[m']]]-WHOLE_STRUCTURE[[#This Row],[Top '[m']]]),"")</f>
        <v/>
      </c>
      <c r="M321" s="54" t="str">
        <f>IFERROR((WHOLE_STRUCTURE[[#This Row],[D, bottom '[m']]]+WHOLE_STRUCTURE[[#This Row],[D, top '[m']]])/(2*WHOLE_STRUCTURE[[#This Row],[t '[mm']]]/1000),"")</f>
        <v/>
      </c>
    </row>
    <row r="322" spans="10:13" x14ac:dyDescent="0.25">
      <c r="J322" s="54" t="str">
        <f t="shared" si="7"/>
        <v/>
      </c>
      <c r="K322" s="54" t="str">
        <f>IFERROR(WHOLE_STRUCTURE[[#This Row],[Bottom '[m']]]-WHOLE_STRUCTURE[[#This Row],[D, top '[m']]], "")</f>
        <v/>
      </c>
      <c r="L322" s="54" t="str">
        <f>IFERROR(-(WHOLE_STRUCTURE[[#This Row],[D, bottom '[m']]]-WHOLE_STRUCTURE[[#This Row],[D, top '[m']]])/(WHOLE_STRUCTURE[[#This Row],[Bottom '[m']]]-WHOLE_STRUCTURE[[#This Row],[Top '[m']]]),"")</f>
        <v/>
      </c>
      <c r="M322" s="54" t="str">
        <f>IFERROR((WHOLE_STRUCTURE[[#This Row],[D, bottom '[m']]]+WHOLE_STRUCTURE[[#This Row],[D, top '[m']]])/(2*WHOLE_STRUCTURE[[#This Row],[t '[mm']]]/1000),"")</f>
        <v/>
      </c>
    </row>
    <row r="323" spans="10:13" x14ac:dyDescent="0.25">
      <c r="J323" s="54" t="str">
        <f t="shared" ref="J323:J386" si="8">IF(7850/1000*(1/3)*PI()*ABS(E323-F323)*((G323/2)^2+(G323/2)*(H323/2)+(H323/2)^2-(G323/2-I323/1000)^2-(G323/2-I323/1000)*(H323/2-I323/1000)-(H323/2-I323/1000)^2)=0,"",7850/1000*(1/3)*PI()*ABS(E323-F323)*((G323/2)^2+(G323/2)*(H323/2)+(H323/2)^2-(G323/2-I323/1000)^2-(G323/2-I323/1000)*(H323/2-I323/1000)-(H323/2-I323/1000)^2))</f>
        <v/>
      </c>
      <c r="K323" s="54" t="str">
        <f>IFERROR(WHOLE_STRUCTURE[[#This Row],[Bottom '[m']]]-WHOLE_STRUCTURE[[#This Row],[D, top '[m']]], "")</f>
        <v/>
      </c>
      <c r="L323" s="54" t="str">
        <f>IFERROR(-(WHOLE_STRUCTURE[[#This Row],[D, bottom '[m']]]-WHOLE_STRUCTURE[[#This Row],[D, top '[m']]])/(WHOLE_STRUCTURE[[#This Row],[Bottom '[m']]]-WHOLE_STRUCTURE[[#This Row],[Top '[m']]]),"")</f>
        <v/>
      </c>
      <c r="M323" s="54" t="str">
        <f>IFERROR((WHOLE_STRUCTURE[[#This Row],[D, bottom '[m']]]+WHOLE_STRUCTURE[[#This Row],[D, top '[m']]])/(2*WHOLE_STRUCTURE[[#This Row],[t '[mm']]]/1000),"")</f>
        <v/>
      </c>
    </row>
    <row r="324" spans="10:13" x14ac:dyDescent="0.25">
      <c r="J324" s="54" t="str">
        <f t="shared" si="8"/>
        <v/>
      </c>
      <c r="K324" s="54" t="str">
        <f>IFERROR(WHOLE_STRUCTURE[[#This Row],[Bottom '[m']]]-WHOLE_STRUCTURE[[#This Row],[D, top '[m']]], "")</f>
        <v/>
      </c>
      <c r="L324" s="54" t="str">
        <f>IFERROR(-(WHOLE_STRUCTURE[[#This Row],[D, bottom '[m']]]-WHOLE_STRUCTURE[[#This Row],[D, top '[m']]])/(WHOLE_STRUCTURE[[#This Row],[Bottom '[m']]]-WHOLE_STRUCTURE[[#This Row],[Top '[m']]]),"")</f>
        <v/>
      </c>
      <c r="M324" s="54" t="str">
        <f>IFERROR((WHOLE_STRUCTURE[[#This Row],[D, bottom '[m']]]+WHOLE_STRUCTURE[[#This Row],[D, top '[m']]])/(2*WHOLE_STRUCTURE[[#This Row],[t '[mm']]]/1000),"")</f>
        <v/>
      </c>
    </row>
    <row r="325" spans="10:13" x14ac:dyDescent="0.25">
      <c r="J325" s="54" t="str">
        <f t="shared" si="8"/>
        <v/>
      </c>
      <c r="K325" s="54" t="str">
        <f>IFERROR(WHOLE_STRUCTURE[[#This Row],[Bottom '[m']]]-WHOLE_STRUCTURE[[#This Row],[D, top '[m']]], "")</f>
        <v/>
      </c>
      <c r="L325" s="54" t="str">
        <f>IFERROR(-(WHOLE_STRUCTURE[[#This Row],[D, bottom '[m']]]-WHOLE_STRUCTURE[[#This Row],[D, top '[m']]])/(WHOLE_STRUCTURE[[#This Row],[Bottom '[m']]]-WHOLE_STRUCTURE[[#This Row],[Top '[m']]]),"")</f>
        <v/>
      </c>
      <c r="M325" s="54" t="str">
        <f>IFERROR((WHOLE_STRUCTURE[[#This Row],[D, bottom '[m']]]+WHOLE_STRUCTURE[[#This Row],[D, top '[m']]])/(2*WHOLE_STRUCTURE[[#This Row],[t '[mm']]]/1000),"")</f>
        <v/>
      </c>
    </row>
    <row r="326" spans="10:13" x14ac:dyDescent="0.25">
      <c r="J326" s="54" t="str">
        <f t="shared" si="8"/>
        <v/>
      </c>
      <c r="K326" s="54" t="str">
        <f>IFERROR(WHOLE_STRUCTURE[[#This Row],[Bottom '[m']]]-WHOLE_STRUCTURE[[#This Row],[D, top '[m']]], "")</f>
        <v/>
      </c>
      <c r="L326" s="54" t="str">
        <f>IFERROR(-(WHOLE_STRUCTURE[[#This Row],[D, bottom '[m']]]-WHOLE_STRUCTURE[[#This Row],[D, top '[m']]])/(WHOLE_STRUCTURE[[#This Row],[Bottom '[m']]]-WHOLE_STRUCTURE[[#This Row],[Top '[m']]]),"")</f>
        <v/>
      </c>
      <c r="M326" s="54" t="str">
        <f>IFERROR((WHOLE_STRUCTURE[[#This Row],[D, bottom '[m']]]+WHOLE_STRUCTURE[[#This Row],[D, top '[m']]])/(2*WHOLE_STRUCTURE[[#This Row],[t '[mm']]]/1000),"")</f>
        <v/>
      </c>
    </row>
    <row r="327" spans="10:13" x14ac:dyDescent="0.25">
      <c r="J327" s="54" t="str">
        <f t="shared" si="8"/>
        <v/>
      </c>
      <c r="K327" s="54" t="str">
        <f>IFERROR(WHOLE_STRUCTURE[[#This Row],[Bottom '[m']]]-WHOLE_STRUCTURE[[#This Row],[D, top '[m']]], "")</f>
        <v/>
      </c>
      <c r="L327" s="54" t="str">
        <f>IFERROR(-(WHOLE_STRUCTURE[[#This Row],[D, bottom '[m']]]-WHOLE_STRUCTURE[[#This Row],[D, top '[m']]])/(WHOLE_STRUCTURE[[#This Row],[Bottom '[m']]]-WHOLE_STRUCTURE[[#This Row],[Top '[m']]]),"")</f>
        <v/>
      </c>
      <c r="M327" s="54" t="str">
        <f>IFERROR((WHOLE_STRUCTURE[[#This Row],[D, bottom '[m']]]+WHOLE_STRUCTURE[[#This Row],[D, top '[m']]])/(2*WHOLE_STRUCTURE[[#This Row],[t '[mm']]]/1000),"")</f>
        <v/>
      </c>
    </row>
    <row r="328" spans="10:13" x14ac:dyDescent="0.25">
      <c r="J328" s="54" t="str">
        <f t="shared" si="8"/>
        <v/>
      </c>
      <c r="K328" s="54" t="str">
        <f>IFERROR(WHOLE_STRUCTURE[[#This Row],[Bottom '[m']]]-WHOLE_STRUCTURE[[#This Row],[D, top '[m']]], "")</f>
        <v/>
      </c>
      <c r="L328" s="54" t="str">
        <f>IFERROR(-(WHOLE_STRUCTURE[[#This Row],[D, bottom '[m']]]-WHOLE_STRUCTURE[[#This Row],[D, top '[m']]])/(WHOLE_STRUCTURE[[#This Row],[Bottom '[m']]]-WHOLE_STRUCTURE[[#This Row],[Top '[m']]]),"")</f>
        <v/>
      </c>
      <c r="M328" s="54" t="str">
        <f>IFERROR((WHOLE_STRUCTURE[[#This Row],[D, bottom '[m']]]+WHOLE_STRUCTURE[[#This Row],[D, top '[m']]])/(2*WHOLE_STRUCTURE[[#This Row],[t '[mm']]]/1000),"")</f>
        <v/>
      </c>
    </row>
    <row r="329" spans="10:13" x14ac:dyDescent="0.25">
      <c r="J329" s="54" t="str">
        <f t="shared" si="8"/>
        <v/>
      </c>
      <c r="K329" s="54" t="str">
        <f>IFERROR(WHOLE_STRUCTURE[[#This Row],[Bottom '[m']]]-WHOLE_STRUCTURE[[#This Row],[D, top '[m']]], "")</f>
        <v/>
      </c>
      <c r="L329" s="54" t="str">
        <f>IFERROR(-(WHOLE_STRUCTURE[[#This Row],[D, bottom '[m']]]-WHOLE_STRUCTURE[[#This Row],[D, top '[m']]])/(WHOLE_STRUCTURE[[#This Row],[Bottom '[m']]]-WHOLE_STRUCTURE[[#This Row],[Top '[m']]]),"")</f>
        <v/>
      </c>
      <c r="M329" s="54" t="str">
        <f>IFERROR((WHOLE_STRUCTURE[[#This Row],[D, bottom '[m']]]+WHOLE_STRUCTURE[[#This Row],[D, top '[m']]])/(2*WHOLE_STRUCTURE[[#This Row],[t '[mm']]]/1000),"")</f>
        <v/>
      </c>
    </row>
    <row r="330" spans="10:13" x14ac:dyDescent="0.25">
      <c r="J330" s="54" t="str">
        <f t="shared" si="8"/>
        <v/>
      </c>
      <c r="K330" s="54" t="str">
        <f>IFERROR(WHOLE_STRUCTURE[[#This Row],[Bottom '[m']]]-WHOLE_STRUCTURE[[#This Row],[D, top '[m']]], "")</f>
        <v/>
      </c>
      <c r="L330" s="54" t="str">
        <f>IFERROR(-(WHOLE_STRUCTURE[[#This Row],[D, bottom '[m']]]-WHOLE_STRUCTURE[[#This Row],[D, top '[m']]])/(WHOLE_STRUCTURE[[#This Row],[Bottom '[m']]]-WHOLE_STRUCTURE[[#This Row],[Top '[m']]]),"")</f>
        <v/>
      </c>
      <c r="M330" s="54" t="str">
        <f>IFERROR((WHOLE_STRUCTURE[[#This Row],[D, bottom '[m']]]+WHOLE_STRUCTURE[[#This Row],[D, top '[m']]])/(2*WHOLE_STRUCTURE[[#This Row],[t '[mm']]]/1000),"")</f>
        <v/>
      </c>
    </row>
    <row r="331" spans="10:13" x14ac:dyDescent="0.25">
      <c r="J331" s="54" t="str">
        <f t="shared" si="8"/>
        <v/>
      </c>
      <c r="K331" s="54" t="str">
        <f>IFERROR(WHOLE_STRUCTURE[[#This Row],[Bottom '[m']]]-WHOLE_STRUCTURE[[#This Row],[D, top '[m']]], "")</f>
        <v/>
      </c>
      <c r="L331" s="54" t="str">
        <f>IFERROR(-(WHOLE_STRUCTURE[[#This Row],[D, bottom '[m']]]-WHOLE_STRUCTURE[[#This Row],[D, top '[m']]])/(WHOLE_STRUCTURE[[#This Row],[Bottom '[m']]]-WHOLE_STRUCTURE[[#This Row],[Top '[m']]]),"")</f>
        <v/>
      </c>
      <c r="M331" s="54" t="str">
        <f>IFERROR((WHOLE_STRUCTURE[[#This Row],[D, bottom '[m']]]+WHOLE_STRUCTURE[[#This Row],[D, top '[m']]])/(2*WHOLE_STRUCTURE[[#This Row],[t '[mm']]]/1000),"")</f>
        <v/>
      </c>
    </row>
    <row r="332" spans="10:13" x14ac:dyDescent="0.25">
      <c r="J332" s="54" t="str">
        <f t="shared" si="8"/>
        <v/>
      </c>
      <c r="K332" s="54" t="str">
        <f>IFERROR(WHOLE_STRUCTURE[[#This Row],[Bottom '[m']]]-WHOLE_STRUCTURE[[#This Row],[D, top '[m']]], "")</f>
        <v/>
      </c>
      <c r="L332" s="54" t="str">
        <f>IFERROR(-(WHOLE_STRUCTURE[[#This Row],[D, bottom '[m']]]-WHOLE_STRUCTURE[[#This Row],[D, top '[m']]])/(WHOLE_STRUCTURE[[#This Row],[Bottom '[m']]]-WHOLE_STRUCTURE[[#This Row],[Top '[m']]]),"")</f>
        <v/>
      </c>
      <c r="M332" s="54" t="str">
        <f>IFERROR((WHOLE_STRUCTURE[[#This Row],[D, bottom '[m']]]+WHOLE_STRUCTURE[[#This Row],[D, top '[m']]])/(2*WHOLE_STRUCTURE[[#This Row],[t '[mm']]]/1000),"")</f>
        <v/>
      </c>
    </row>
    <row r="333" spans="10:13" x14ac:dyDescent="0.25">
      <c r="J333" s="54" t="str">
        <f t="shared" si="8"/>
        <v/>
      </c>
      <c r="K333" s="54" t="str">
        <f>IFERROR(WHOLE_STRUCTURE[[#This Row],[Bottom '[m']]]-WHOLE_STRUCTURE[[#This Row],[D, top '[m']]], "")</f>
        <v/>
      </c>
      <c r="L333" s="54" t="str">
        <f>IFERROR(-(WHOLE_STRUCTURE[[#This Row],[D, bottom '[m']]]-WHOLE_STRUCTURE[[#This Row],[D, top '[m']]])/(WHOLE_STRUCTURE[[#This Row],[Bottom '[m']]]-WHOLE_STRUCTURE[[#This Row],[Top '[m']]]),"")</f>
        <v/>
      </c>
      <c r="M333" s="54" t="str">
        <f>IFERROR((WHOLE_STRUCTURE[[#This Row],[D, bottom '[m']]]+WHOLE_STRUCTURE[[#This Row],[D, top '[m']]])/(2*WHOLE_STRUCTURE[[#This Row],[t '[mm']]]/1000),"")</f>
        <v/>
      </c>
    </row>
    <row r="334" spans="10:13" x14ac:dyDescent="0.25">
      <c r="J334" s="54" t="str">
        <f t="shared" si="8"/>
        <v/>
      </c>
      <c r="K334" s="54" t="str">
        <f>IFERROR(WHOLE_STRUCTURE[[#This Row],[Bottom '[m']]]-WHOLE_STRUCTURE[[#This Row],[D, top '[m']]], "")</f>
        <v/>
      </c>
      <c r="L334" s="54" t="str">
        <f>IFERROR(-(WHOLE_STRUCTURE[[#This Row],[D, bottom '[m']]]-WHOLE_STRUCTURE[[#This Row],[D, top '[m']]])/(WHOLE_STRUCTURE[[#This Row],[Bottom '[m']]]-WHOLE_STRUCTURE[[#This Row],[Top '[m']]]),"")</f>
        <v/>
      </c>
      <c r="M334" s="54" t="str">
        <f>IFERROR((WHOLE_STRUCTURE[[#This Row],[D, bottom '[m']]]+WHOLE_STRUCTURE[[#This Row],[D, top '[m']]])/(2*WHOLE_STRUCTURE[[#This Row],[t '[mm']]]/1000),"")</f>
        <v/>
      </c>
    </row>
    <row r="335" spans="10:13" x14ac:dyDescent="0.25">
      <c r="J335" s="54" t="str">
        <f t="shared" si="8"/>
        <v/>
      </c>
      <c r="K335" s="54" t="str">
        <f>IFERROR(WHOLE_STRUCTURE[[#This Row],[Bottom '[m']]]-WHOLE_STRUCTURE[[#This Row],[D, top '[m']]], "")</f>
        <v/>
      </c>
      <c r="L335" s="54" t="str">
        <f>IFERROR(-(WHOLE_STRUCTURE[[#This Row],[D, bottom '[m']]]-WHOLE_STRUCTURE[[#This Row],[D, top '[m']]])/(WHOLE_STRUCTURE[[#This Row],[Bottom '[m']]]-WHOLE_STRUCTURE[[#This Row],[Top '[m']]]),"")</f>
        <v/>
      </c>
      <c r="M335" s="54" t="str">
        <f>IFERROR((WHOLE_STRUCTURE[[#This Row],[D, bottom '[m']]]+WHOLE_STRUCTURE[[#This Row],[D, top '[m']]])/(2*WHOLE_STRUCTURE[[#This Row],[t '[mm']]]/1000),"")</f>
        <v/>
      </c>
    </row>
    <row r="336" spans="10:13" x14ac:dyDescent="0.25">
      <c r="J336" s="54" t="str">
        <f t="shared" si="8"/>
        <v/>
      </c>
      <c r="K336" s="54" t="str">
        <f>IFERROR(WHOLE_STRUCTURE[[#This Row],[Bottom '[m']]]-WHOLE_STRUCTURE[[#This Row],[D, top '[m']]], "")</f>
        <v/>
      </c>
      <c r="L336" s="54" t="str">
        <f>IFERROR(-(WHOLE_STRUCTURE[[#This Row],[D, bottom '[m']]]-WHOLE_STRUCTURE[[#This Row],[D, top '[m']]])/(WHOLE_STRUCTURE[[#This Row],[Bottom '[m']]]-WHOLE_STRUCTURE[[#This Row],[Top '[m']]]),"")</f>
        <v/>
      </c>
      <c r="M336" s="54" t="str">
        <f>IFERROR((WHOLE_STRUCTURE[[#This Row],[D, bottom '[m']]]+WHOLE_STRUCTURE[[#This Row],[D, top '[m']]])/(2*WHOLE_STRUCTURE[[#This Row],[t '[mm']]]/1000),"")</f>
        <v/>
      </c>
    </row>
    <row r="337" spans="10:13" x14ac:dyDescent="0.25">
      <c r="J337" s="54" t="str">
        <f t="shared" si="8"/>
        <v/>
      </c>
      <c r="K337" s="54" t="str">
        <f>IFERROR(WHOLE_STRUCTURE[[#This Row],[Bottom '[m']]]-WHOLE_STRUCTURE[[#This Row],[D, top '[m']]], "")</f>
        <v/>
      </c>
      <c r="L337" s="54" t="str">
        <f>IFERROR(-(WHOLE_STRUCTURE[[#This Row],[D, bottom '[m']]]-WHOLE_STRUCTURE[[#This Row],[D, top '[m']]])/(WHOLE_STRUCTURE[[#This Row],[Bottom '[m']]]-WHOLE_STRUCTURE[[#This Row],[Top '[m']]]),"")</f>
        <v/>
      </c>
      <c r="M337" s="54" t="str">
        <f>IFERROR((WHOLE_STRUCTURE[[#This Row],[D, bottom '[m']]]+WHOLE_STRUCTURE[[#This Row],[D, top '[m']]])/(2*WHOLE_STRUCTURE[[#This Row],[t '[mm']]]/1000),"")</f>
        <v/>
      </c>
    </row>
    <row r="338" spans="10:13" x14ac:dyDescent="0.25">
      <c r="J338" s="54" t="str">
        <f t="shared" si="8"/>
        <v/>
      </c>
      <c r="K338" s="54" t="str">
        <f>IFERROR(WHOLE_STRUCTURE[[#This Row],[Bottom '[m']]]-WHOLE_STRUCTURE[[#This Row],[D, top '[m']]], "")</f>
        <v/>
      </c>
      <c r="L338" s="54" t="str">
        <f>IFERROR(-(WHOLE_STRUCTURE[[#This Row],[D, bottom '[m']]]-WHOLE_STRUCTURE[[#This Row],[D, top '[m']]])/(WHOLE_STRUCTURE[[#This Row],[Bottom '[m']]]-WHOLE_STRUCTURE[[#This Row],[Top '[m']]]),"")</f>
        <v/>
      </c>
      <c r="M338" s="54" t="str">
        <f>IFERROR((WHOLE_STRUCTURE[[#This Row],[D, bottom '[m']]]+WHOLE_STRUCTURE[[#This Row],[D, top '[m']]])/(2*WHOLE_STRUCTURE[[#This Row],[t '[mm']]]/1000),"")</f>
        <v/>
      </c>
    </row>
    <row r="339" spans="10:13" x14ac:dyDescent="0.25">
      <c r="J339" s="54" t="str">
        <f t="shared" si="8"/>
        <v/>
      </c>
      <c r="K339" s="54" t="str">
        <f>IFERROR(WHOLE_STRUCTURE[[#This Row],[Bottom '[m']]]-WHOLE_STRUCTURE[[#This Row],[D, top '[m']]], "")</f>
        <v/>
      </c>
      <c r="L339" s="54" t="str">
        <f>IFERROR(-(WHOLE_STRUCTURE[[#This Row],[D, bottom '[m']]]-WHOLE_STRUCTURE[[#This Row],[D, top '[m']]])/(WHOLE_STRUCTURE[[#This Row],[Bottom '[m']]]-WHOLE_STRUCTURE[[#This Row],[Top '[m']]]),"")</f>
        <v/>
      </c>
      <c r="M339" s="54" t="str">
        <f>IFERROR((WHOLE_STRUCTURE[[#This Row],[D, bottom '[m']]]+WHOLE_STRUCTURE[[#This Row],[D, top '[m']]])/(2*WHOLE_STRUCTURE[[#This Row],[t '[mm']]]/1000),"")</f>
        <v/>
      </c>
    </row>
    <row r="340" spans="10:13" x14ac:dyDescent="0.25">
      <c r="J340" s="54" t="str">
        <f t="shared" si="8"/>
        <v/>
      </c>
      <c r="K340" s="54" t="str">
        <f>IFERROR(WHOLE_STRUCTURE[[#This Row],[Bottom '[m']]]-WHOLE_STRUCTURE[[#This Row],[D, top '[m']]], "")</f>
        <v/>
      </c>
      <c r="L340" s="54" t="str">
        <f>IFERROR(-(WHOLE_STRUCTURE[[#This Row],[D, bottom '[m']]]-WHOLE_STRUCTURE[[#This Row],[D, top '[m']]])/(WHOLE_STRUCTURE[[#This Row],[Bottom '[m']]]-WHOLE_STRUCTURE[[#This Row],[Top '[m']]]),"")</f>
        <v/>
      </c>
      <c r="M340" s="54" t="str">
        <f>IFERROR((WHOLE_STRUCTURE[[#This Row],[D, bottom '[m']]]+WHOLE_STRUCTURE[[#This Row],[D, top '[m']]])/(2*WHOLE_STRUCTURE[[#This Row],[t '[mm']]]/1000),"")</f>
        <v/>
      </c>
    </row>
    <row r="341" spans="10:13" x14ac:dyDescent="0.25">
      <c r="J341" s="54" t="str">
        <f t="shared" si="8"/>
        <v/>
      </c>
      <c r="K341" s="54" t="str">
        <f>IFERROR(WHOLE_STRUCTURE[[#This Row],[Bottom '[m']]]-WHOLE_STRUCTURE[[#This Row],[D, top '[m']]], "")</f>
        <v/>
      </c>
      <c r="L341" s="54" t="str">
        <f>IFERROR(-(WHOLE_STRUCTURE[[#This Row],[D, bottom '[m']]]-WHOLE_STRUCTURE[[#This Row],[D, top '[m']]])/(WHOLE_STRUCTURE[[#This Row],[Bottom '[m']]]-WHOLE_STRUCTURE[[#This Row],[Top '[m']]]),"")</f>
        <v/>
      </c>
      <c r="M341" s="54" t="str">
        <f>IFERROR((WHOLE_STRUCTURE[[#This Row],[D, bottom '[m']]]+WHOLE_STRUCTURE[[#This Row],[D, top '[m']]])/(2*WHOLE_STRUCTURE[[#This Row],[t '[mm']]]/1000),"")</f>
        <v/>
      </c>
    </row>
    <row r="342" spans="10:13" x14ac:dyDescent="0.25">
      <c r="J342" s="54" t="str">
        <f t="shared" si="8"/>
        <v/>
      </c>
      <c r="K342" s="54" t="str">
        <f>IFERROR(WHOLE_STRUCTURE[[#This Row],[Bottom '[m']]]-WHOLE_STRUCTURE[[#This Row],[D, top '[m']]], "")</f>
        <v/>
      </c>
      <c r="L342" s="54" t="str">
        <f>IFERROR(-(WHOLE_STRUCTURE[[#This Row],[D, bottom '[m']]]-WHOLE_STRUCTURE[[#This Row],[D, top '[m']]])/(WHOLE_STRUCTURE[[#This Row],[Bottom '[m']]]-WHOLE_STRUCTURE[[#This Row],[Top '[m']]]),"")</f>
        <v/>
      </c>
      <c r="M342" s="54" t="str">
        <f>IFERROR((WHOLE_STRUCTURE[[#This Row],[D, bottom '[m']]]+WHOLE_STRUCTURE[[#This Row],[D, top '[m']]])/(2*WHOLE_STRUCTURE[[#This Row],[t '[mm']]]/1000),"")</f>
        <v/>
      </c>
    </row>
    <row r="343" spans="10:13" x14ac:dyDescent="0.25">
      <c r="J343" s="54" t="str">
        <f t="shared" si="8"/>
        <v/>
      </c>
      <c r="K343" s="54" t="str">
        <f>IFERROR(WHOLE_STRUCTURE[[#This Row],[Bottom '[m']]]-WHOLE_STRUCTURE[[#This Row],[D, top '[m']]], "")</f>
        <v/>
      </c>
      <c r="L343" s="54" t="str">
        <f>IFERROR(-(WHOLE_STRUCTURE[[#This Row],[D, bottom '[m']]]-WHOLE_STRUCTURE[[#This Row],[D, top '[m']]])/(WHOLE_STRUCTURE[[#This Row],[Bottom '[m']]]-WHOLE_STRUCTURE[[#This Row],[Top '[m']]]),"")</f>
        <v/>
      </c>
      <c r="M343" s="54" t="str">
        <f>IFERROR((WHOLE_STRUCTURE[[#This Row],[D, bottom '[m']]]+WHOLE_STRUCTURE[[#This Row],[D, top '[m']]])/(2*WHOLE_STRUCTURE[[#This Row],[t '[mm']]]/1000),"")</f>
        <v/>
      </c>
    </row>
    <row r="344" spans="10:13" x14ac:dyDescent="0.25">
      <c r="J344" s="54" t="str">
        <f t="shared" si="8"/>
        <v/>
      </c>
      <c r="K344" s="54" t="str">
        <f>IFERROR(WHOLE_STRUCTURE[[#This Row],[Bottom '[m']]]-WHOLE_STRUCTURE[[#This Row],[D, top '[m']]], "")</f>
        <v/>
      </c>
      <c r="L344" s="54" t="str">
        <f>IFERROR(-(WHOLE_STRUCTURE[[#This Row],[D, bottom '[m']]]-WHOLE_STRUCTURE[[#This Row],[D, top '[m']]])/(WHOLE_STRUCTURE[[#This Row],[Bottom '[m']]]-WHOLE_STRUCTURE[[#This Row],[Top '[m']]]),"")</f>
        <v/>
      </c>
      <c r="M344" s="54" t="str">
        <f>IFERROR((WHOLE_STRUCTURE[[#This Row],[D, bottom '[m']]]+WHOLE_STRUCTURE[[#This Row],[D, top '[m']]])/(2*WHOLE_STRUCTURE[[#This Row],[t '[mm']]]/1000),"")</f>
        <v/>
      </c>
    </row>
    <row r="345" spans="10:13" x14ac:dyDescent="0.25">
      <c r="J345" s="54" t="str">
        <f t="shared" si="8"/>
        <v/>
      </c>
      <c r="K345" s="54" t="str">
        <f>IFERROR(WHOLE_STRUCTURE[[#This Row],[Bottom '[m']]]-WHOLE_STRUCTURE[[#This Row],[D, top '[m']]], "")</f>
        <v/>
      </c>
      <c r="L345" s="54" t="str">
        <f>IFERROR(-(WHOLE_STRUCTURE[[#This Row],[D, bottom '[m']]]-WHOLE_STRUCTURE[[#This Row],[D, top '[m']]])/(WHOLE_STRUCTURE[[#This Row],[Bottom '[m']]]-WHOLE_STRUCTURE[[#This Row],[Top '[m']]]),"")</f>
        <v/>
      </c>
      <c r="M345" s="54" t="str">
        <f>IFERROR((WHOLE_STRUCTURE[[#This Row],[D, bottom '[m']]]+WHOLE_STRUCTURE[[#This Row],[D, top '[m']]])/(2*WHOLE_STRUCTURE[[#This Row],[t '[mm']]]/1000),"")</f>
        <v/>
      </c>
    </row>
    <row r="346" spans="10:13" x14ac:dyDescent="0.25">
      <c r="J346" s="54" t="str">
        <f t="shared" si="8"/>
        <v/>
      </c>
      <c r="K346" s="54" t="str">
        <f>IFERROR(WHOLE_STRUCTURE[[#This Row],[Bottom '[m']]]-WHOLE_STRUCTURE[[#This Row],[D, top '[m']]], "")</f>
        <v/>
      </c>
      <c r="L346" s="54" t="str">
        <f>IFERROR(-(WHOLE_STRUCTURE[[#This Row],[D, bottom '[m']]]-WHOLE_STRUCTURE[[#This Row],[D, top '[m']]])/(WHOLE_STRUCTURE[[#This Row],[Bottom '[m']]]-WHOLE_STRUCTURE[[#This Row],[Top '[m']]]),"")</f>
        <v/>
      </c>
      <c r="M346" s="54" t="str">
        <f>IFERROR((WHOLE_STRUCTURE[[#This Row],[D, bottom '[m']]]+WHOLE_STRUCTURE[[#This Row],[D, top '[m']]])/(2*WHOLE_STRUCTURE[[#This Row],[t '[mm']]]/1000),"")</f>
        <v/>
      </c>
    </row>
    <row r="347" spans="10:13" x14ac:dyDescent="0.25">
      <c r="J347" s="54" t="str">
        <f t="shared" si="8"/>
        <v/>
      </c>
      <c r="K347" s="54" t="str">
        <f>IFERROR(WHOLE_STRUCTURE[[#This Row],[Bottom '[m']]]-WHOLE_STRUCTURE[[#This Row],[D, top '[m']]], "")</f>
        <v/>
      </c>
      <c r="L347" s="54" t="str">
        <f>IFERROR(-(WHOLE_STRUCTURE[[#This Row],[D, bottom '[m']]]-WHOLE_STRUCTURE[[#This Row],[D, top '[m']]])/(WHOLE_STRUCTURE[[#This Row],[Bottom '[m']]]-WHOLE_STRUCTURE[[#This Row],[Top '[m']]]),"")</f>
        <v/>
      </c>
      <c r="M347" s="54" t="str">
        <f>IFERROR((WHOLE_STRUCTURE[[#This Row],[D, bottom '[m']]]+WHOLE_STRUCTURE[[#This Row],[D, top '[m']]])/(2*WHOLE_STRUCTURE[[#This Row],[t '[mm']]]/1000),"")</f>
        <v/>
      </c>
    </row>
    <row r="348" spans="10:13" x14ac:dyDescent="0.25">
      <c r="J348" s="54" t="str">
        <f t="shared" si="8"/>
        <v/>
      </c>
      <c r="K348" s="54" t="str">
        <f>IFERROR(WHOLE_STRUCTURE[[#This Row],[Bottom '[m']]]-WHOLE_STRUCTURE[[#This Row],[D, top '[m']]], "")</f>
        <v/>
      </c>
      <c r="L348" s="54" t="str">
        <f>IFERROR(-(WHOLE_STRUCTURE[[#This Row],[D, bottom '[m']]]-WHOLE_STRUCTURE[[#This Row],[D, top '[m']]])/(WHOLE_STRUCTURE[[#This Row],[Bottom '[m']]]-WHOLE_STRUCTURE[[#This Row],[Top '[m']]]),"")</f>
        <v/>
      </c>
      <c r="M348" s="54" t="str">
        <f>IFERROR((WHOLE_STRUCTURE[[#This Row],[D, bottom '[m']]]+WHOLE_STRUCTURE[[#This Row],[D, top '[m']]])/(2*WHOLE_STRUCTURE[[#This Row],[t '[mm']]]/1000),"")</f>
        <v/>
      </c>
    </row>
    <row r="349" spans="10:13" x14ac:dyDescent="0.25">
      <c r="J349" s="54" t="str">
        <f t="shared" si="8"/>
        <v/>
      </c>
      <c r="K349" s="54" t="str">
        <f>IFERROR(WHOLE_STRUCTURE[[#This Row],[Bottom '[m']]]-WHOLE_STRUCTURE[[#This Row],[D, top '[m']]], "")</f>
        <v/>
      </c>
      <c r="L349" s="54" t="str">
        <f>IFERROR(-(WHOLE_STRUCTURE[[#This Row],[D, bottom '[m']]]-WHOLE_STRUCTURE[[#This Row],[D, top '[m']]])/(WHOLE_STRUCTURE[[#This Row],[Bottom '[m']]]-WHOLE_STRUCTURE[[#This Row],[Top '[m']]]),"")</f>
        <v/>
      </c>
      <c r="M349" s="54" t="str">
        <f>IFERROR((WHOLE_STRUCTURE[[#This Row],[D, bottom '[m']]]+WHOLE_STRUCTURE[[#This Row],[D, top '[m']]])/(2*WHOLE_STRUCTURE[[#This Row],[t '[mm']]]/1000),"")</f>
        <v/>
      </c>
    </row>
    <row r="350" spans="10:13" x14ac:dyDescent="0.25">
      <c r="J350" s="54" t="str">
        <f t="shared" si="8"/>
        <v/>
      </c>
      <c r="K350" s="54" t="str">
        <f>IFERROR(WHOLE_STRUCTURE[[#This Row],[Bottom '[m']]]-WHOLE_STRUCTURE[[#This Row],[D, top '[m']]], "")</f>
        <v/>
      </c>
      <c r="L350" s="54" t="str">
        <f>IFERROR(-(WHOLE_STRUCTURE[[#This Row],[D, bottom '[m']]]-WHOLE_STRUCTURE[[#This Row],[D, top '[m']]])/(WHOLE_STRUCTURE[[#This Row],[Bottom '[m']]]-WHOLE_STRUCTURE[[#This Row],[Top '[m']]]),"")</f>
        <v/>
      </c>
      <c r="M350" s="54" t="str">
        <f>IFERROR((WHOLE_STRUCTURE[[#This Row],[D, bottom '[m']]]+WHOLE_STRUCTURE[[#This Row],[D, top '[m']]])/(2*WHOLE_STRUCTURE[[#This Row],[t '[mm']]]/1000),"")</f>
        <v/>
      </c>
    </row>
    <row r="351" spans="10:13" x14ac:dyDescent="0.25">
      <c r="J351" s="54" t="str">
        <f t="shared" si="8"/>
        <v/>
      </c>
      <c r="K351" s="54" t="str">
        <f>IFERROR(WHOLE_STRUCTURE[[#This Row],[Bottom '[m']]]-WHOLE_STRUCTURE[[#This Row],[D, top '[m']]], "")</f>
        <v/>
      </c>
      <c r="L351" s="54" t="str">
        <f>IFERROR(-(WHOLE_STRUCTURE[[#This Row],[D, bottom '[m']]]-WHOLE_STRUCTURE[[#This Row],[D, top '[m']]])/(WHOLE_STRUCTURE[[#This Row],[Bottom '[m']]]-WHOLE_STRUCTURE[[#This Row],[Top '[m']]]),"")</f>
        <v/>
      </c>
      <c r="M351" s="54" t="str">
        <f>IFERROR((WHOLE_STRUCTURE[[#This Row],[D, bottom '[m']]]+WHOLE_STRUCTURE[[#This Row],[D, top '[m']]])/(2*WHOLE_STRUCTURE[[#This Row],[t '[mm']]]/1000),"")</f>
        <v/>
      </c>
    </row>
    <row r="352" spans="10:13" x14ac:dyDescent="0.25">
      <c r="J352" s="54" t="str">
        <f t="shared" si="8"/>
        <v/>
      </c>
      <c r="K352" s="54" t="str">
        <f>IFERROR(WHOLE_STRUCTURE[[#This Row],[Bottom '[m']]]-WHOLE_STRUCTURE[[#This Row],[D, top '[m']]], "")</f>
        <v/>
      </c>
      <c r="L352" s="54" t="str">
        <f>IFERROR(-(WHOLE_STRUCTURE[[#This Row],[D, bottom '[m']]]-WHOLE_STRUCTURE[[#This Row],[D, top '[m']]])/(WHOLE_STRUCTURE[[#This Row],[Bottom '[m']]]-WHOLE_STRUCTURE[[#This Row],[Top '[m']]]),"")</f>
        <v/>
      </c>
      <c r="M352" s="54" t="str">
        <f>IFERROR((WHOLE_STRUCTURE[[#This Row],[D, bottom '[m']]]+WHOLE_STRUCTURE[[#This Row],[D, top '[m']]])/(2*WHOLE_STRUCTURE[[#This Row],[t '[mm']]]/1000),"")</f>
        <v/>
      </c>
    </row>
    <row r="353" spans="10:13" x14ac:dyDescent="0.25">
      <c r="J353" s="54" t="str">
        <f t="shared" si="8"/>
        <v/>
      </c>
      <c r="K353" s="54" t="str">
        <f>IFERROR(WHOLE_STRUCTURE[[#This Row],[Bottom '[m']]]-WHOLE_STRUCTURE[[#This Row],[D, top '[m']]], "")</f>
        <v/>
      </c>
      <c r="L353" s="54" t="str">
        <f>IFERROR(-(WHOLE_STRUCTURE[[#This Row],[D, bottom '[m']]]-WHOLE_STRUCTURE[[#This Row],[D, top '[m']]])/(WHOLE_STRUCTURE[[#This Row],[Bottom '[m']]]-WHOLE_STRUCTURE[[#This Row],[Top '[m']]]),"")</f>
        <v/>
      </c>
      <c r="M353" s="54" t="str">
        <f>IFERROR((WHOLE_STRUCTURE[[#This Row],[D, bottom '[m']]]+WHOLE_STRUCTURE[[#This Row],[D, top '[m']]])/(2*WHOLE_STRUCTURE[[#This Row],[t '[mm']]]/1000),"")</f>
        <v/>
      </c>
    </row>
    <row r="354" spans="10:13" x14ac:dyDescent="0.25">
      <c r="J354" s="54" t="str">
        <f t="shared" si="8"/>
        <v/>
      </c>
      <c r="K354" s="54" t="str">
        <f>IFERROR(WHOLE_STRUCTURE[[#This Row],[Bottom '[m']]]-WHOLE_STRUCTURE[[#This Row],[D, top '[m']]], "")</f>
        <v/>
      </c>
      <c r="L354" s="54" t="str">
        <f>IFERROR(-(WHOLE_STRUCTURE[[#This Row],[D, bottom '[m']]]-WHOLE_STRUCTURE[[#This Row],[D, top '[m']]])/(WHOLE_STRUCTURE[[#This Row],[Bottom '[m']]]-WHOLE_STRUCTURE[[#This Row],[Top '[m']]]),"")</f>
        <v/>
      </c>
      <c r="M354" s="54" t="str">
        <f>IFERROR((WHOLE_STRUCTURE[[#This Row],[D, bottom '[m']]]+WHOLE_STRUCTURE[[#This Row],[D, top '[m']]])/(2*WHOLE_STRUCTURE[[#This Row],[t '[mm']]]/1000),"")</f>
        <v/>
      </c>
    </row>
    <row r="355" spans="10:13" x14ac:dyDescent="0.25">
      <c r="J355" s="54" t="str">
        <f t="shared" si="8"/>
        <v/>
      </c>
      <c r="K355" s="54" t="str">
        <f>IFERROR(WHOLE_STRUCTURE[[#This Row],[Bottom '[m']]]-WHOLE_STRUCTURE[[#This Row],[D, top '[m']]], "")</f>
        <v/>
      </c>
      <c r="L355" s="54" t="str">
        <f>IFERROR(-(WHOLE_STRUCTURE[[#This Row],[D, bottom '[m']]]-WHOLE_STRUCTURE[[#This Row],[D, top '[m']]])/(WHOLE_STRUCTURE[[#This Row],[Bottom '[m']]]-WHOLE_STRUCTURE[[#This Row],[Top '[m']]]),"")</f>
        <v/>
      </c>
      <c r="M355" s="54" t="str">
        <f>IFERROR((WHOLE_STRUCTURE[[#This Row],[D, bottom '[m']]]+WHOLE_STRUCTURE[[#This Row],[D, top '[m']]])/(2*WHOLE_STRUCTURE[[#This Row],[t '[mm']]]/1000),"")</f>
        <v/>
      </c>
    </row>
    <row r="356" spans="10:13" x14ac:dyDescent="0.25">
      <c r="J356" s="54" t="str">
        <f t="shared" si="8"/>
        <v/>
      </c>
      <c r="K356" s="54" t="str">
        <f>IFERROR(WHOLE_STRUCTURE[[#This Row],[Bottom '[m']]]-WHOLE_STRUCTURE[[#This Row],[D, top '[m']]], "")</f>
        <v/>
      </c>
      <c r="L356" s="54" t="str">
        <f>IFERROR(-(WHOLE_STRUCTURE[[#This Row],[D, bottom '[m']]]-WHOLE_STRUCTURE[[#This Row],[D, top '[m']]])/(WHOLE_STRUCTURE[[#This Row],[Bottom '[m']]]-WHOLE_STRUCTURE[[#This Row],[Top '[m']]]),"")</f>
        <v/>
      </c>
      <c r="M356" s="54" t="str">
        <f>IFERROR((WHOLE_STRUCTURE[[#This Row],[D, bottom '[m']]]+WHOLE_STRUCTURE[[#This Row],[D, top '[m']]])/(2*WHOLE_STRUCTURE[[#This Row],[t '[mm']]]/1000),"")</f>
        <v/>
      </c>
    </row>
    <row r="357" spans="10:13" x14ac:dyDescent="0.25">
      <c r="J357" s="54" t="str">
        <f t="shared" si="8"/>
        <v/>
      </c>
      <c r="K357" s="54" t="str">
        <f>IFERROR(WHOLE_STRUCTURE[[#This Row],[Bottom '[m']]]-WHOLE_STRUCTURE[[#This Row],[D, top '[m']]], "")</f>
        <v/>
      </c>
      <c r="L357" s="54" t="str">
        <f>IFERROR(-(WHOLE_STRUCTURE[[#This Row],[D, bottom '[m']]]-WHOLE_STRUCTURE[[#This Row],[D, top '[m']]])/(WHOLE_STRUCTURE[[#This Row],[Bottom '[m']]]-WHOLE_STRUCTURE[[#This Row],[Top '[m']]]),"")</f>
        <v/>
      </c>
      <c r="M357" s="54" t="str">
        <f>IFERROR((WHOLE_STRUCTURE[[#This Row],[D, bottom '[m']]]+WHOLE_STRUCTURE[[#This Row],[D, top '[m']]])/(2*WHOLE_STRUCTURE[[#This Row],[t '[mm']]]/1000),"")</f>
        <v/>
      </c>
    </row>
    <row r="358" spans="10:13" x14ac:dyDescent="0.25">
      <c r="J358" s="54" t="str">
        <f t="shared" si="8"/>
        <v/>
      </c>
      <c r="K358" s="54" t="str">
        <f>IFERROR(WHOLE_STRUCTURE[[#This Row],[Bottom '[m']]]-WHOLE_STRUCTURE[[#This Row],[D, top '[m']]], "")</f>
        <v/>
      </c>
      <c r="L358" s="54" t="str">
        <f>IFERROR(-(WHOLE_STRUCTURE[[#This Row],[D, bottom '[m']]]-WHOLE_STRUCTURE[[#This Row],[D, top '[m']]])/(WHOLE_STRUCTURE[[#This Row],[Bottom '[m']]]-WHOLE_STRUCTURE[[#This Row],[Top '[m']]]),"")</f>
        <v/>
      </c>
      <c r="M358" s="54" t="str">
        <f>IFERROR((WHOLE_STRUCTURE[[#This Row],[D, bottom '[m']]]+WHOLE_STRUCTURE[[#This Row],[D, top '[m']]])/(2*WHOLE_STRUCTURE[[#This Row],[t '[mm']]]/1000),"")</f>
        <v/>
      </c>
    </row>
    <row r="359" spans="10:13" x14ac:dyDescent="0.25">
      <c r="J359" s="54" t="str">
        <f t="shared" si="8"/>
        <v/>
      </c>
      <c r="K359" s="54" t="str">
        <f>IFERROR(WHOLE_STRUCTURE[[#This Row],[Bottom '[m']]]-WHOLE_STRUCTURE[[#This Row],[D, top '[m']]], "")</f>
        <v/>
      </c>
      <c r="L359" s="54" t="str">
        <f>IFERROR(-(WHOLE_STRUCTURE[[#This Row],[D, bottom '[m']]]-WHOLE_STRUCTURE[[#This Row],[D, top '[m']]])/(WHOLE_STRUCTURE[[#This Row],[Bottom '[m']]]-WHOLE_STRUCTURE[[#This Row],[Top '[m']]]),"")</f>
        <v/>
      </c>
      <c r="M359" s="54" t="str">
        <f>IFERROR((WHOLE_STRUCTURE[[#This Row],[D, bottom '[m']]]+WHOLE_STRUCTURE[[#This Row],[D, top '[m']]])/(2*WHOLE_STRUCTURE[[#This Row],[t '[mm']]]/1000),"")</f>
        <v/>
      </c>
    </row>
    <row r="360" spans="10:13" x14ac:dyDescent="0.25">
      <c r="J360" s="54" t="str">
        <f t="shared" si="8"/>
        <v/>
      </c>
      <c r="K360" s="54" t="str">
        <f>IFERROR(WHOLE_STRUCTURE[[#This Row],[Bottom '[m']]]-WHOLE_STRUCTURE[[#This Row],[D, top '[m']]], "")</f>
        <v/>
      </c>
      <c r="L360" s="54" t="str">
        <f>IFERROR(-(WHOLE_STRUCTURE[[#This Row],[D, bottom '[m']]]-WHOLE_STRUCTURE[[#This Row],[D, top '[m']]])/(WHOLE_STRUCTURE[[#This Row],[Bottom '[m']]]-WHOLE_STRUCTURE[[#This Row],[Top '[m']]]),"")</f>
        <v/>
      </c>
      <c r="M360" s="54" t="str">
        <f>IFERROR((WHOLE_STRUCTURE[[#This Row],[D, bottom '[m']]]+WHOLE_STRUCTURE[[#This Row],[D, top '[m']]])/(2*WHOLE_STRUCTURE[[#This Row],[t '[mm']]]/1000),"")</f>
        <v/>
      </c>
    </row>
    <row r="361" spans="10:13" x14ac:dyDescent="0.25">
      <c r="J361" s="54" t="str">
        <f t="shared" si="8"/>
        <v/>
      </c>
      <c r="K361" s="54" t="str">
        <f>IFERROR(WHOLE_STRUCTURE[[#This Row],[Bottom '[m']]]-WHOLE_STRUCTURE[[#This Row],[D, top '[m']]], "")</f>
        <v/>
      </c>
      <c r="L361" s="54" t="str">
        <f>IFERROR(-(WHOLE_STRUCTURE[[#This Row],[D, bottom '[m']]]-WHOLE_STRUCTURE[[#This Row],[D, top '[m']]])/(WHOLE_STRUCTURE[[#This Row],[Bottom '[m']]]-WHOLE_STRUCTURE[[#This Row],[Top '[m']]]),"")</f>
        <v/>
      </c>
      <c r="M361" s="54" t="str">
        <f>IFERROR((WHOLE_STRUCTURE[[#This Row],[D, bottom '[m']]]+WHOLE_STRUCTURE[[#This Row],[D, top '[m']]])/(2*WHOLE_STRUCTURE[[#This Row],[t '[mm']]]/1000),"")</f>
        <v/>
      </c>
    </row>
    <row r="362" spans="10:13" x14ac:dyDescent="0.25">
      <c r="J362" s="54" t="str">
        <f t="shared" si="8"/>
        <v/>
      </c>
      <c r="K362" s="54" t="str">
        <f>IFERROR(WHOLE_STRUCTURE[[#This Row],[Bottom '[m']]]-WHOLE_STRUCTURE[[#This Row],[D, top '[m']]], "")</f>
        <v/>
      </c>
      <c r="L362" s="54" t="str">
        <f>IFERROR(-(WHOLE_STRUCTURE[[#This Row],[D, bottom '[m']]]-WHOLE_STRUCTURE[[#This Row],[D, top '[m']]])/(WHOLE_STRUCTURE[[#This Row],[Bottom '[m']]]-WHOLE_STRUCTURE[[#This Row],[Top '[m']]]),"")</f>
        <v/>
      </c>
      <c r="M362" s="54" t="str">
        <f>IFERROR((WHOLE_STRUCTURE[[#This Row],[D, bottom '[m']]]+WHOLE_STRUCTURE[[#This Row],[D, top '[m']]])/(2*WHOLE_STRUCTURE[[#This Row],[t '[mm']]]/1000),"")</f>
        <v/>
      </c>
    </row>
    <row r="363" spans="10:13" x14ac:dyDescent="0.25">
      <c r="J363" s="54" t="str">
        <f t="shared" si="8"/>
        <v/>
      </c>
      <c r="K363" s="54" t="str">
        <f>IFERROR(WHOLE_STRUCTURE[[#This Row],[Bottom '[m']]]-WHOLE_STRUCTURE[[#This Row],[D, top '[m']]], "")</f>
        <v/>
      </c>
      <c r="L363" s="54" t="str">
        <f>IFERROR(-(WHOLE_STRUCTURE[[#This Row],[D, bottom '[m']]]-WHOLE_STRUCTURE[[#This Row],[D, top '[m']]])/(WHOLE_STRUCTURE[[#This Row],[Bottom '[m']]]-WHOLE_STRUCTURE[[#This Row],[Top '[m']]]),"")</f>
        <v/>
      </c>
      <c r="M363" s="54" t="str">
        <f>IFERROR((WHOLE_STRUCTURE[[#This Row],[D, bottom '[m']]]+WHOLE_STRUCTURE[[#This Row],[D, top '[m']]])/(2*WHOLE_STRUCTURE[[#This Row],[t '[mm']]]/1000),"")</f>
        <v/>
      </c>
    </row>
    <row r="364" spans="10:13" x14ac:dyDescent="0.25">
      <c r="J364" s="54" t="str">
        <f t="shared" si="8"/>
        <v/>
      </c>
      <c r="K364" s="54" t="str">
        <f>IFERROR(WHOLE_STRUCTURE[[#This Row],[Bottom '[m']]]-WHOLE_STRUCTURE[[#This Row],[D, top '[m']]], "")</f>
        <v/>
      </c>
      <c r="L364" s="54" t="str">
        <f>IFERROR(-(WHOLE_STRUCTURE[[#This Row],[D, bottom '[m']]]-WHOLE_STRUCTURE[[#This Row],[D, top '[m']]])/(WHOLE_STRUCTURE[[#This Row],[Bottom '[m']]]-WHOLE_STRUCTURE[[#This Row],[Top '[m']]]),"")</f>
        <v/>
      </c>
      <c r="M364" s="54" t="str">
        <f>IFERROR((WHOLE_STRUCTURE[[#This Row],[D, bottom '[m']]]+WHOLE_STRUCTURE[[#This Row],[D, top '[m']]])/(2*WHOLE_STRUCTURE[[#This Row],[t '[mm']]]/1000),"")</f>
        <v/>
      </c>
    </row>
    <row r="365" spans="10:13" x14ac:dyDescent="0.25">
      <c r="J365" s="54" t="str">
        <f t="shared" si="8"/>
        <v/>
      </c>
      <c r="K365" s="54" t="str">
        <f>IFERROR(WHOLE_STRUCTURE[[#This Row],[Bottom '[m']]]-WHOLE_STRUCTURE[[#This Row],[D, top '[m']]], "")</f>
        <v/>
      </c>
      <c r="L365" s="54" t="str">
        <f>IFERROR(-(WHOLE_STRUCTURE[[#This Row],[D, bottom '[m']]]-WHOLE_STRUCTURE[[#This Row],[D, top '[m']]])/(WHOLE_STRUCTURE[[#This Row],[Bottom '[m']]]-WHOLE_STRUCTURE[[#This Row],[Top '[m']]]),"")</f>
        <v/>
      </c>
      <c r="M365" s="54" t="str">
        <f>IFERROR((WHOLE_STRUCTURE[[#This Row],[D, bottom '[m']]]+WHOLE_STRUCTURE[[#This Row],[D, top '[m']]])/(2*WHOLE_STRUCTURE[[#This Row],[t '[mm']]]/1000),"")</f>
        <v/>
      </c>
    </row>
    <row r="366" spans="10:13" x14ac:dyDescent="0.25">
      <c r="J366" s="54" t="str">
        <f t="shared" si="8"/>
        <v/>
      </c>
      <c r="K366" s="54" t="str">
        <f>IFERROR(WHOLE_STRUCTURE[[#This Row],[Bottom '[m']]]-WHOLE_STRUCTURE[[#This Row],[D, top '[m']]], "")</f>
        <v/>
      </c>
      <c r="L366" s="54" t="str">
        <f>IFERROR(-(WHOLE_STRUCTURE[[#This Row],[D, bottom '[m']]]-WHOLE_STRUCTURE[[#This Row],[D, top '[m']]])/(WHOLE_STRUCTURE[[#This Row],[Bottom '[m']]]-WHOLE_STRUCTURE[[#This Row],[Top '[m']]]),"")</f>
        <v/>
      </c>
      <c r="M366" s="54" t="str">
        <f>IFERROR((WHOLE_STRUCTURE[[#This Row],[D, bottom '[m']]]+WHOLE_STRUCTURE[[#This Row],[D, top '[m']]])/(2*WHOLE_STRUCTURE[[#This Row],[t '[mm']]]/1000),"")</f>
        <v/>
      </c>
    </row>
    <row r="367" spans="10:13" x14ac:dyDescent="0.25">
      <c r="J367" s="54" t="str">
        <f t="shared" si="8"/>
        <v/>
      </c>
      <c r="K367" s="54" t="str">
        <f>IFERROR(WHOLE_STRUCTURE[[#This Row],[Bottom '[m']]]-WHOLE_STRUCTURE[[#This Row],[D, top '[m']]], "")</f>
        <v/>
      </c>
      <c r="L367" s="54" t="str">
        <f>IFERROR(-(WHOLE_STRUCTURE[[#This Row],[D, bottom '[m']]]-WHOLE_STRUCTURE[[#This Row],[D, top '[m']]])/(WHOLE_STRUCTURE[[#This Row],[Bottom '[m']]]-WHOLE_STRUCTURE[[#This Row],[Top '[m']]]),"")</f>
        <v/>
      </c>
      <c r="M367" s="54" t="str">
        <f>IFERROR((WHOLE_STRUCTURE[[#This Row],[D, bottom '[m']]]+WHOLE_STRUCTURE[[#This Row],[D, top '[m']]])/(2*WHOLE_STRUCTURE[[#This Row],[t '[mm']]]/1000),"")</f>
        <v/>
      </c>
    </row>
    <row r="368" spans="10:13" x14ac:dyDescent="0.25">
      <c r="J368" s="54" t="str">
        <f t="shared" si="8"/>
        <v/>
      </c>
      <c r="K368" s="54" t="str">
        <f>IFERROR(WHOLE_STRUCTURE[[#This Row],[Bottom '[m']]]-WHOLE_STRUCTURE[[#This Row],[D, top '[m']]], "")</f>
        <v/>
      </c>
      <c r="L368" s="54" t="str">
        <f>IFERROR(-(WHOLE_STRUCTURE[[#This Row],[D, bottom '[m']]]-WHOLE_STRUCTURE[[#This Row],[D, top '[m']]])/(WHOLE_STRUCTURE[[#This Row],[Bottom '[m']]]-WHOLE_STRUCTURE[[#This Row],[Top '[m']]]),"")</f>
        <v/>
      </c>
      <c r="M368" s="54" t="str">
        <f>IFERROR((WHOLE_STRUCTURE[[#This Row],[D, bottom '[m']]]+WHOLE_STRUCTURE[[#This Row],[D, top '[m']]])/(2*WHOLE_STRUCTURE[[#This Row],[t '[mm']]]/1000),"")</f>
        <v/>
      </c>
    </row>
    <row r="369" spans="10:13" x14ac:dyDescent="0.25">
      <c r="J369" s="54" t="str">
        <f t="shared" si="8"/>
        <v/>
      </c>
      <c r="K369" s="54" t="str">
        <f>IFERROR(WHOLE_STRUCTURE[[#This Row],[Bottom '[m']]]-WHOLE_STRUCTURE[[#This Row],[D, top '[m']]], "")</f>
        <v/>
      </c>
      <c r="L369" s="54" t="str">
        <f>IFERROR(-(WHOLE_STRUCTURE[[#This Row],[D, bottom '[m']]]-WHOLE_STRUCTURE[[#This Row],[D, top '[m']]])/(WHOLE_STRUCTURE[[#This Row],[Bottom '[m']]]-WHOLE_STRUCTURE[[#This Row],[Top '[m']]]),"")</f>
        <v/>
      </c>
      <c r="M369" s="54" t="str">
        <f>IFERROR((WHOLE_STRUCTURE[[#This Row],[D, bottom '[m']]]+WHOLE_STRUCTURE[[#This Row],[D, top '[m']]])/(2*WHOLE_STRUCTURE[[#This Row],[t '[mm']]]/1000),"")</f>
        <v/>
      </c>
    </row>
    <row r="370" spans="10:13" x14ac:dyDescent="0.25">
      <c r="J370" s="54" t="str">
        <f t="shared" si="8"/>
        <v/>
      </c>
      <c r="K370" s="54" t="str">
        <f>IFERROR(WHOLE_STRUCTURE[[#This Row],[Bottom '[m']]]-WHOLE_STRUCTURE[[#This Row],[D, top '[m']]], "")</f>
        <v/>
      </c>
      <c r="L370" s="54" t="str">
        <f>IFERROR(-(WHOLE_STRUCTURE[[#This Row],[D, bottom '[m']]]-WHOLE_STRUCTURE[[#This Row],[D, top '[m']]])/(WHOLE_STRUCTURE[[#This Row],[Bottom '[m']]]-WHOLE_STRUCTURE[[#This Row],[Top '[m']]]),"")</f>
        <v/>
      </c>
      <c r="M370" s="54" t="str">
        <f>IFERROR((WHOLE_STRUCTURE[[#This Row],[D, bottom '[m']]]+WHOLE_STRUCTURE[[#This Row],[D, top '[m']]])/(2*WHOLE_STRUCTURE[[#This Row],[t '[mm']]]/1000),"")</f>
        <v/>
      </c>
    </row>
    <row r="371" spans="10:13" x14ac:dyDescent="0.25">
      <c r="J371" s="54" t="str">
        <f t="shared" si="8"/>
        <v/>
      </c>
      <c r="K371" s="54" t="str">
        <f>IFERROR(WHOLE_STRUCTURE[[#This Row],[Bottom '[m']]]-WHOLE_STRUCTURE[[#This Row],[D, top '[m']]], "")</f>
        <v/>
      </c>
      <c r="L371" s="54" t="str">
        <f>IFERROR(-(WHOLE_STRUCTURE[[#This Row],[D, bottom '[m']]]-WHOLE_STRUCTURE[[#This Row],[D, top '[m']]])/(WHOLE_STRUCTURE[[#This Row],[Bottom '[m']]]-WHOLE_STRUCTURE[[#This Row],[Top '[m']]]),"")</f>
        <v/>
      </c>
      <c r="M371" s="54" t="str">
        <f>IFERROR((WHOLE_STRUCTURE[[#This Row],[D, bottom '[m']]]+WHOLE_STRUCTURE[[#This Row],[D, top '[m']]])/(2*WHOLE_STRUCTURE[[#This Row],[t '[mm']]]/1000),"")</f>
        <v/>
      </c>
    </row>
    <row r="372" spans="10:13" x14ac:dyDescent="0.25">
      <c r="J372" s="54" t="str">
        <f t="shared" si="8"/>
        <v/>
      </c>
      <c r="K372" s="54" t="str">
        <f>IFERROR(WHOLE_STRUCTURE[[#This Row],[Bottom '[m']]]-WHOLE_STRUCTURE[[#This Row],[D, top '[m']]], "")</f>
        <v/>
      </c>
      <c r="L372" s="54" t="str">
        <f>IFERROR(-(WHOLE_STRUCTURE[[#This Row],[D, bottom '[m']]]-WHOLE_STRUCTURE[[#This Row],[D, top '[m']]])/(WHOLE_STRUCTURE[[#This Row],[Bottom '[m']]]-WHOLE_STRUCTURE[[#This Row],[Top '[m']]]),"")</f>
        <v/>
      </c>
      <c r="M372" s="54" t="str">
        <f>IFERROR((WHOLE_STRUCTURE[[#This Row],[D, bottom '[m']]]+WHOLE_STRUCTURE[[#This Row],[D, top '[m']]])/(2*WHOLE_STRUCTURE[[#This Row],[t '[mm']]]/1000),"")</f>
        <v/>
      </c>
    </row>
    <row r="373" spans="10:13" x14ac:dyDescent="0.25">
      <c r="J373" s="54" t="str">
        <f t="shared" si="8"/>
        <v/>
      </c>
      <c r="K373" s="54" t="str">
        <f>IFERROR(WHOLE_STRUCTURE[[#This Row],[Bottom '[m']]]-WHOLE_STRUCTURE[[#This Row],[D, top '[m']]], "")</f>
        <v/>
      </c>
      <c r="L373" s="54" t="str">
        <f>IFERROR(-(WHOLE_STRUCTURE[[#This Row],[D, bottom '[m']]]-WHOLE_STRUCTURE[[#This Row],[D, top '[m']]])/(WHOLE_STRUCTURE[[#This Row],[Bottom '[m']]]-WHOLE_STRUCTURE[[#This Row],[Top '[m']]]),"")</f>
        <v/>
      </c>
      <c r="M373" s="54" t="str">
        <f>IFERROR((WHOLE_STRUCTURE[[#This Row],[D, bottom '[m']]]+WHOLE_STRUCTURE[[#This Row],[D, top '[m']]])/(2*WHOLE_STRUCTURE[[#This Row],[t '[mm']]]/1000),"")</f>
        <v/>
      </c>
    </row>
    <row r="374" spans="10:13" x14ac:dyDescent="0.25">
      <c r="J374" s="54" t="str">
        <f t="shared" si="8"/>
        <v/>
      </c>
      <c r="K374" s="54" t="str">
        <f>IFERROR(WHOLE_STRUCTURE[[#This Row],[Bottom '[m']]]-WHOLE_STRUCTURE[[#This Row],[D, top '[m']]], "")</f>
        <v/>
      </c>
      <c r="L374" s="54" t="str">
        <f>IFERROR(-(WHOLE_STRUCTURE[[#This Row],[D, bottom '[m']]]-WHOLE_STRUCTURE[[#This Row],[D, top '[m']]])/(WHOLE_STRUCTURE[[#This Row],[Bottom '[m']]]-WHOLE_STRUCTURE[[#This Row],[Top '[m']]]),"")</f>
        <v/>
      </c>
      <c r="M374" s="54" t="str">
        <f>IFERROR((WHOLE_STRUCTURE[[#This Row],[D, bottom '[m']]]+WHOLE_STRUCTURE[[#This Row],[D, top '[m']]])/(2*WHOLE_STRUCTURE[[#This Row],[t '[mm']]]/1000),"")</f>
        <v/>
      </c>
    </row>
    <row r="375" spans="10:13" x14ac:dyDescent="0.25">
      <c r="J375" s="54" t="str">
        <f t="shared" si="8"/>
        <v/>
      </c>
      <c r="K375" s="54" t="str">
        <f>IFERROR(WHOLE_STRUCTURE[[#This Row],[Bottom '[m']]]-WHOLE_STRUCTURE[[#This Row],[D, top '[m']]], "")</f>
        <v/>
      </c>
      <c r="L375" s="54" t="str">
        <f>IFERROR(-(WHOLE_STRUCTURE[[#This Row],[D, bottom '[m']]]-WHOLE_STRUCTURE[[#This Row],[D, top '[m']]])/(WHOLE_STRUCTURE[[#This Row],[Bottom '[m']]]-WHOLE_STRUCTURE[[#This Row],[Top '[m']]]),"")</f>
        <v/>
      </c>
      <c r="M375" s="54" t="str">
        <f>IFERROR((WHOLE_STRUCTURE[[#This Row],[D, bottom '[m']]]+WHOLE_STRUCTURE[[#This Row],[D, top '[m']]])/(2*WHOLE_STRUCTURE[[#This Row],[t '[mm']]]/1000),"")</f>
        <v/>
      </c>
    </row>
    <row r="376" spans="10:13" x14ac:dyDescent="0.25">
      <c r="J376" s="54" t="str">
        <f t="shared" si="8"/>
        <v/>
      </c>
      <c r="K376" s="54" t="str">
        <f>IFERROR(WHOLE_STRUCTURE[[#This Row],[Bottom '[m']]]-WHOLE_STRUCTURE[[#This Row],[D, top '[m']]], "")</f>
        <v/>
      </c>
      <c r="L376" s="54" t="str">
        <f>IFERROR(-(WHOLE_STRUCTURE[[#This Row],[D, bottom '[m']]]-WHOLE_STRUCTURE[[#This Row],[D, top '[m']]])/(WHOLE_STRUCTURE[[#This Row],[Bottom '[m']]]-WHOLE_STRUCTURE[[#This Row],[Top '[m']]]),"")</f>
        <v/>
      </c>
      <c r="M376" s="54" t="str">
        <f>IFERROR((WHOLE_STRUCTURE[[#This Row],[D, bottom '[m']]]+WHOLE_STRUCTURE[[#This Row],[D, top '[m']]])/(2*WHOLE_STRUCTURE[[#This Row],[t '[mm']]]/1000),"")</f>
        <v/>
      </c>
    </row>
    <row r="377" spans="10:13" x14ac:dyDescent="0.25">
      <c r="J377" s="54" t="str">
        <f t="shared" si="8"/>
        <v/>
      </c>
      <c r="K377" s="54" t="str">
        <f>IFERROR(WHOLE_STRUCTURE[[#This Row],[Bottom '[m']]]-WHOLE_STRUCTURE[[#This Row],[D, top '[m']]], "")</f>
        <v/>
      </c>
      <c r="L377" s="54" t="str">
        <f>IFERROR(-(WHOLE_STRUCTURE[[#This Row],[D, bottom '[m']]]-WHOLE_STRUCTURE[[#This Row],[D, top '[m']]])/(WHOLE_STRUCTURE[[#This Row],[Bottom '[m']]]-WHOLE_STRUCTURE[[#This Row],[Top '[m']]]),"")</f>
        <v/>
      </c>
      <c r="M377" s="54" t="str">
        <f>IFERROR((WHOLE_STRUCTURE[[#This Row],[D, bottom '[m']]]+WHOLE_STRUCTURE[[#This Row],[D, top '[m']]])/(2*WHOLE_STRUCTURE[[#This Row],[t '[mm']]]/1000),"")</f>
        <v/>
      </c>
    </row>
    <row r="378" spans="10:13" x14ac:dyDescent="0.25">
      <c r="J378" s="54" t="str">
        <f t="shared" si="8"/>
        <v/>
      </c>
      <c r="K378" s="54" t="str">
        <f>IFERROR(WHOLE_STRUCTURE[[#This Row],[Bottom '[m']]]-WHOLE_STRUCTURE[[#This Row],[D, top '[m']]], "")</f>
        <v/>
      </c>
      <c r="L378" s="54" t="str">
        <f>IFERROR(-(WHOLE_STRUCTURE[[#This Row],[D, bottom '[m']]]-WHOLE_STRUCTURE[[#This Row],[D, top '[m']]])/(WHOLE_STRUCTURE[[#This Row],[Bottom '[m']]]-WHOLE_STRUCTURE[[#This Row],[Top '[m']]]),"")</f>
        <v/>
      </c>
      <c r="M378" s="54" t="str">
        <f>IFERROR((WHOLE_STRUCTURE[[#This Row],[D, bottom '[m']]]+WHOLE_STRUCTURE[[#This Row],[D, top '[m']]])/(2*WHOLE_STRUCTURE[[#This Row],[t '[mm']]]/1000),"")</f>
        <v/>
      </c>
    </row>
    <row r="379" spans="10:13" x14ac:dyDescent="0.25">
      <c r="J379" s="54" t="str">
        <f t="shared" si="8"/>
        <v/>
      </c>
      <c r="K379" s="54" t="str">
        <f>IFERROR(WHOLE_STRUCTURE[[#This Row],[Bottom '[m']]]-WHOLE_STRUCTURE[[#This Row],[D, top '[m']]], "")</f>
        <v/>
      </c>
      <c r="L379" s="54" t="str">
        <f>IFERROR(-(WHOLE_STRUCTURE[[#This Row],[D, bottom '[m']]]-WHOLE_STRUCTURE[[#This Row],[D, top '[m']]])/(WHOLE_STRUCTURE[[#This Row],[Bottom '[m']]]-WHOLE_STRUCTURE[[#This Row],[Top '[m']]]),"")</f>
        <v/>
      </c>
      <c r="M379" s="54" t="str">
        <f>IFERROR((WHOLE_STRUCTURE[[#This Row],[D, bottom '[m']]]+WHOLE_STRUCTURE[[#This Row],[D, top '[m']]])/(2*WHOLE_STRUCTURE[[#This Row],[t '[mm']]]/1000),"")</f>
        <v/>
      </c>
    </row>
    <row r="380" spans="10:13" x14ac:dyDescent="0.25">
      <c r="J380" s="54" t="str">
        <f t="shared" si="8"/>
        <v/>
      </c>
      <c r="K380" s="54" t="str">
        <f>IFERROR(WHOLE_STRUCTURE[[#This Row],[Bottom '[m']]]-WHOLE_STRUCTURE[[#This Row],[D, top '[m']]], "")</f>
        <v/>
      </c>
      <c r="L380" s="54" t="str">
        <f>IFERROR(-(WHOLE_STRUCTURE[[#This Row],[D, bottom '[m']]]-WHOLE_STRUCTURE[[#This Row],[D, top '[m']]])/(WHOLE_STRUCTURE[[#This Row],[Bottom '[m']]]-WHOLE_STRUCTURE[[#This Row],[Top '[m']]]),"")</f>
        <v/>
      </c>
      <c r="M380" s="54" t="str">
        <f>IFERROR((WHOLE_STRUCTURE[[#This Row],[D, bottom '[m']]]+WHOLE_STRUCTURE[[#This Row],[D, top '[m']]])/(2*WHOLE_STRUCTURE[[#This Row],[t '[mm']]]/1000),"")</f>
        <v/>
      </c>
    </row>
    <row r="381" spans="10:13" x14ac:dyDescent="0.25">
      <c r="J381" s="54" t="str">
        <f t="shared" si="8"/>
        <v/>
      </c>
      <c r="K381" s="54" t="str">
        <f>IFERROR(WHOLE_STRUCTURE[[#This Row],[Bottom '[m']]]-WHOLE_STRUCTURE[[#This Row],[D, top '[m']]], "")</f>
        <v/>
      </c>
      <c r="L381" s="54" t="str">
        <f>IFERROR(-(WHOLE_STRUCTURE[[#This Row],[D, bottom '[m']]]-WHOLE_STRUCTURE[[#This Row],[D, top '[m']]])/(WHOLE_STRUCTURE[[#This Row],[Bottom '[m']]]-WHOLE_STRUCTURE[[#This Row],[Top '[m']]]),"")</f>
        <v/>
      </c>
      <c r="M381" s="54" t="str">
        <f>IFERROR((WHOLE_STRUCTURE[[#This Row],[D, bottom '[m']]]+WHOLE_STRUCTURE[[#This Row],[D, top '[m']]])/(2*WHOLE_STRUCTURE[[#This Row],[t '[mm']]]/1000),"")</f>
        <v/>
      </c>
    </row>
    <row r="382" spans="10:13" x14ac:dyDescent="0.25">
      <c r="J382" s="54" t="str">
        <f t="shared" si="8"/>
        <v/>
      </c>
      <c r="K382" s="54" t="str">
        <f>IFERROR(WHOLE_STRUCTURE[[#This Row],[Bottom '[m']]]-WHOLE_STRUCTURE[[#This Row],[D, top '[m']]], "")</f>
        <v/>
      </c>
      <c r="L382" s="54" t="str">
        <f>IFERROR(-(WHOLE_STRUCTURE[[#This Row],[D, bottom '[m']]]-WHOLE_STRUCTURE[[#This Row],[D, top '[m']]])/(WHOLE_STRUCTURE[[#This Row],[Bottom '[m']]]-WHOLE_STRUCTURE[[#This Row],[Top '[m']]]),"")</f>
        <v/>
      </c>
      <c r="M382" s="54" t="str">
        <f>IFERROR((WHOLE_STRUCTURE[[#This Row],[D, bottom '[m']]]+WHOLE_STRUCTURE[[#This Row],[D, top '[m']]])/(2*WHOLE_STRUCTURE[[#This Row],[t '[mm']]]/1000),"")</f>
        <v/>
      </c>
    </row>
    <row r="383" spans="10:13" x14ac:dyDescent="0.25">
      <c r="J383" s="54" t="str">
        <f t="shared" si="8"/>
        <v/>
      </c>
      <c r="K383" s="54" t="str">
        <f>IFERROR(WHOLE_STRUCTURE[[#This Row],[Bottom '[m']]]-WHOLE_STRUCTURE[[#This Row],[D, top '[m']]], "")</f>
        <v/>
      </c>
      <c r="L383" s="54" t="str">
        <f>IFERROR(-(WHOLE_STRUCTURE[[#This Row],[D, bottom '[m']]]-WHOLE_STRUCTURE[[#This Row],[D, top '[m']]])/(WHOLE_STRUCTURE[[#This Row],[Bottom '[m']]]-WHOLE_STRUCTURE[[#This Row],[Top '[m']]]),"")</f>
        <v/>
      </c>
      <c r="M383" s="54" t="str">
        <f>IFERROR((WHOLE_STRUCTURE[[#This Row],[D, bottom '[m']]]+WHOLE_STRUCTURE[[#This Row],[D, top '[m']]])/(2*WHOLE_STRUCTURE[[#This Row],[t '[mm']]]/1000),"")</f>
        <v/>
      </c>
    </row>
    <row r="384" spans="10:13" x14ac:dyDescent="0.25">
      <c r="J384" s="54" t="str">
        <f t="shared" si="8"/>
        <v/>
      </c>
      <c r="K384" s="54" t="str">
        <f>IFERROR(WHOLE_STRUCTURE[[#This Row],[Bottom '[m']]]-WHOLE_STRUCTURE[[#This Row],[D, top '[m']]], "")</f>
        <v/>
      </c>
      <c r="L384" s="54" t="str">
        <f>IFERROR(-(WHOLE_STRUCTURE[[#This Row],[D, bottom '[m']]]-WHOLE_STRUCTURE[[#This Row],[D, top '[m']]])/(WHOLE_STRUCTURE[[#This Row],[Bottom '[m']]]-WHOLE_STRUCTURE[[#This Row],[Top '[m']]]),"")</f>
        <v/>
      </c>
      <c r="M384" s="54" t="str">
        <f>IFERROR((WHOLE_STRUCTURE[[#This Row],[D, bottom '[m']]]+WHOLE_STRUCTURE[[#This Row],[D, top '[m']]])/(2*WHOLE_STRUCTURE[[#This Row],[t '[mm']]]/1000),"")</f>
        <v/>
      </c>
    </row>
    <row r="385" spans="10:13" x14ac:dyDescent="0.25">
      <c r="J385" s="54" t="str">
        <f t="shared" si="8"/>
        <v/>
      </c>
      <c r="K385" s="54" t="str">
        <f>IFERROR(WHOLE_STRUCTURE[[#This Row],[Bottom '[m']]]-WHOLE_STRUCTURE[[#This Row],[D, top '[m']]], "")</f>
        <v/>
      </c>
      <c r="L385" s="54" t="str">
        <f>IFERROR(-(WHOLE_STRUCTURE[[#This Row],[D, bottom '[m']]]-WHOLE_STRUCTURE[[#This Row],[D, top '[m']]])/(WHOLE_STRUCTURE[[#This Row],[Bottom '[m']]]-WHOLE_STRUCTURE[[#This Row],[Top '[m']]]),"")</f>
        <v/>
      </c>
      <c r="M385" s="54" t="str">
        <f>IFERROR((WHOLE_STRUCTURE[[#This Row],[D, bottom '[m']]]+WHOLE_STRUCTURE[[#This Row],[D, top '[m']]])/(2*WHOLE_STRUCTURE[[#This Row],[t '[mm']]]/1000),"")</f>
        <v/>
      </c>
    </row>
    <row r="386" spans="10:13" x14ac:dyDescent="0.25">
      <c r="J386" s="54" t="str">
        <f t="shared" si="8"/>
        <v/>
      </c>
      <c r="K386" s="54" t="str">
        <f>IFERROR(WHOLE_STRUCTURE[[#This Row],[Bottom '[m']]]-WHOLE_STRUCTURE[[#This Row],[D, top '[m']]], "")</f>
        <v/>
      </c>
      <c r="L386" s="54" t="str">
        <f>IFERROR(-(WHOLE_STRUCTURE[[#This Row],[D, bottom '[m']]]-WHOLE_STRUCTURE[[#This Row],[D, top '[m']]])/(WHOLE_STRUCTURE[[#This Row],[Bottom '[m']]]-WHOLE_STRUCTURE[[#This Row],[Top '[m']]]),"")</f>
        <v/>
      </c>
      <c r="M386" s="54" t="str">
        <f>IFERROR((WHOLE_STRUCTURE[[#This Row],[D, bottom '[m']]]+WHOLE_STRUCTURE[[#This Row],[D, top '[m']]])/(2*WHOLE_STRUCTURE[[#This Row],[t '[mm']]]/1000),"")</f>
        <v/>
      </c>
    </row>
    <row r="387" spans="10:13" x14ac:dyDescent="0.25">
      <c r="J387" s="54" t="str">
        <f t="shared" ref="J387:J450" si="9">IF(7850/1000*(1/3)*PI()*ABS(E387-F387)*((G387/2)^2+(G387/2)*(H387/2)+(H387/2)^2-(G387/2-I387/1000)^2-(G387/2-I387/1000)*(H387/2-I387/1000)-(H387/2-I387/1000)^2)=0,"",7850/1000*(1/3)*PI()*ABS(E387-F387)*((G387/2)^2+(G387/2)*(H387/2)+(H387/2)^2-(G387/2-I387/1000)^2-(G387/2-I387/1000)*(H387/2-I387/1000)-(H387/2-I387/1000)^2))</f>
        <v/>
      </c>
      <c r="K387" s="54" t="str">
        <f>IFERROR(WHOLE_STRUCTURE[[#This Row],[Bottom '[m']]]-WHOLE_STRUCTURE[[#This Row],[D, top '[m']]], "")</f>
        <v/>
      </c>
      <c r="L387" s="54" t="str">
        <f>IFERROR(-(WHOLE_STRUCTURE[[#This Row],[D, bottom '[m']]]-WHOLE_STRUCTURE[[#This Row],[D, top '[m']]])/(WHOLE_STRUCTURE[[#This Row],[Bottom '[m']]]-WHOLE_STRUCTURE[[#This Row],[Top '[m']]]),"")</f>
        <v/>
      </c>
      <c r="M387" s="54" t="str">
        <f>IFERROR((WHOLE_STRUCTURE[[#This Row],[D, bottom '[m']]]+WHOLE_STRUCTURE[[#This Row],[D, top '[m']]])/(2*WHOLE_STRUCTURE[[#This Row],[t '[mm']]]/1000),"")</f>
        <v/>
      </c>
    </row>
    <row r="388" spans="10:13" x14ac:dyDescent="0.25">
      <c r="J388" s="54" t="str">
        <f t="shared" si="9"/>
        <v/>
      </c>
      <c r="K388" s="54" t="str">
        <f>IFERROR(WHOLE_STRUCTURE[[#This Row],[Bottom '[m']]]-WHOLE_STRUCTURE[[#This Row],[D, top '[m']]], "")</f>
        <v/>
      </c>
      <c r="L388" s="54" t="str">
        <f>IFERROR(-(WHOLE_STRUCTURE[[#This Row],[D, bottom '[m']]]-WHOLE_STRUCTURE[[#This Row],[D, top '[m']]])/(WHOLE_STRUCTURE[[#This Row],[Bottom '[m']]]-WHOLE_STRUCTURE[[#This Row],[Top '[m']]]),"")</f>
        <v/>
      </c>
      <c r="M388" s="54" t="str">
        <f>IFERROR((WHOLE_STRUCTURE[[#This Row],[D, bottom '[m']]]+WHOLE_STRUCTURE[[#This Row],[D, top '[m']]])/(2*WHOLE_STRUCTURE[[#This Row],[t '[mm']]]/1000),"")</f>
        <v/>
      </c>
    </row>
    <row r="389" spans="10:13" x14ac:dyDescent="0.25">
      <c r="J389" s="54" t="str">
        <f t="shared" si="9"/>
        <v/>
      </c>
      <c r="K389" s="54" t="str">
        <f>IFERROR(WHOLE_STRUCTURE[[#This Row],[Bottom '[m']]]-WHOLE_STRUCTURE[[#This Row],[D, top '[m']]], "")</f>
        <v/>
      </c>
      <c r="L389" s="54" t="str">
        <f>IFERROR(-(WHOLE_STRUCTURE[[#This Row],[D, bottom '[m']]]-WHOLE_STRUCTURE[[#This Row],[D, top '[m']]])/(WHOLE_STRUCTURE[[#This Row],[Bottom '[m']]]-WHOLE_STRUCTURE[[#This Row],[Top '[m']]]),"")</f>
        <v/>
      </c>
      <c r="M389" s="54" t="str">
        <f>IFERROR((WHOLE_STRUCTURE[[#This Row],[D, bottom '[m']]]+WHOLE_STRUCTURE[[#This Row],[D, top '[m']]])/(2*WHOLE_STRUCTURE[[#This Row],[t '[mm']]]/1000),"")</f>
        <v/>
      </c>
    </row>
    <row r="390" spans="10:13" x14ac:dyDescent="0.25">
      <c r="J390" s="54" t="str">
        <f t="shared" si="9"/>
        <v/>
      </c>
      <c r="K390" s="54" t="str">
        <f>IFERROR(WHOLE_STRUCTURE[[#This Row],[Bottom '[m']]]-WHOLE_STRUCTURE[[#This Row],[D, top '[m']]], "")</f>
        <v/>
      </c>
      <c r="L390" s="54" t="str">
        <f>IFERROR(-(WHOLE_STRUCTURE[[#This Row],[D, bottom '[m']]]-WHOLE_STRUCTURE[[#This Row],[D, top '[m']]])/(WHOLE_STRUCTURE[[#This Row],[Bottom '[m']]]-WHOLE_STRUCTURE[[#This Row],[Top '[m']]]),"")</f>
        <v/>
      </c>
      <c r="M390" s="54" t="str">
        <f>IFERROR((WHOLE_STRUCTURE[[#This Row],[D, bottom '[m']]]+WHOLE_STRUCTURE[[#This Row],[D, top '[m']]])/(2*WHOLE_STRUCTURE[[#This Row],[t '[mm']]]/1000),"")</f>
        <v/>
      </c>
    </row>
    <row r="391" spans="10:13" x14ac:dyDescent="0.25">
      <c r="J391" s="54" t="str">
        <f t="shared" si="9"/>
        <v/>
      </c>
      <c r="K391" s="54" t="str">
        <f>IFERROR(WHOLE_STRUCTURE[[#This Row],[Bottom '[m']]]-WHOLE_STRUCTURE[[#This Row],[D, top '[m']]], "")</f>
        <v/>
      </c>
      <c r="L391" s="54" t="str">
        <f>IFERROR(-(WHOLE_STRUCTURE[[#This Row],[D, bottom '[m']]]-WHOLE_STRUCTURE[[#This Row],[D, top '[m']]])/(WHOLE_STRUCTURE[[#This Row],[Bottom '[m']]]-WHOLE_STRUCTURE[[#This Row],[Top '[m']]]),"")</f>
        <v/>
      </c>
      <c r="M391" s="54" t="str">
        <f>IFERROR((WHOLE_STRUCTURE[[#This Row],[D, bottom '[m']]]+WHOLE_STRUCTURE[[#This Row],[D, top '[m']]])/(2*WHOLE_STRUCTURE[[#This Row],[t '[mm']]]/1000),"")</f>
        <v/>
      </c>
    </row>
    <row r="392" spans="10:13" x14ac:dyDescent="0.25">
      <c r="J392" s="54" t="str">
        <f t="shared" si="9"/>
        <v/>
      </c>
      <c r="K392" s="54" t="str">
        <f>IFERROR(WHOLE_STRUCTURE[[#This Row],[Bottom '[m']]]-WHOLE_STRUCTURE[[#This Row],[D, top '[m']]], "")</f>
        <v/>
      </c>
      <c r="L392" s="54" t="str">
        <f>IFERROR(-(WHOLE_STRUCTURE[[#This Row],[D, bottom '[m']]]-WHOLE_STRUCTURE[[#This Row],[D, top '[m']]])/(WHOLE_STRUCTURE[[#This Row],[Bottom '[m']]]-WHOLE_STRUCTURE[[#This Row],[Top '[m']]]),"")</f>
        <v/>
      </c>
      <c r="M392" s="54" t="str">
        <f>IFERROR((WHOLE_STRUCTURE[[#This Row],[D, bottom '[m']]]+WHOLE_STRUCTURE[[#This Row],[D, top '[m']]])/(2*WHOLE_STRUCTURE[[#This Row],[t '[mm']]]/1000),"")</f>
        <v/>
      </c>
    </row>
    <row r="393" spans="10:13" x14ac:dyDescent="0.25">
      <c r="J393" s="54" t="str">
        <f t="shared" si="9"/>
        <v/>
      </c>
      <c r="K393" s="54" t="str">
        <f>IFERROR(WHOLE_STRUCTURE[[#This Row],[Bottom '[m']]]-WHOLE_STRUCTURE[[#This Row],[D, top '[m']]], "")</f>
        <v/>
      </c>
      <c r="L393" s="54" t="str">
        <f>IFERROR(-(WHOLE_STRUCTURE[[#This Row],[D, bottom '[m']]]-WHOLE_STRUCTURE[[#This Row],[D, top '[m']]])/(WHOLE_STRUCTURE[[#This Row],[Bottom '[m']]]-WHOLE_STRUCTURE[[#This Row],[Top '[m']]]),"")</f>
        <v/>
      </c>
      <c r="M393" s="54" t="str">
        <f>IFERROR((WHOLE_STRUCTURE[[#This Row],[D, bottom '[m']]]+WHOLE_STRUCTURE[[#This Row],[D, top '[m']]])/(2*WHOLE_STRUCTURE[[#This Row],[t '[mm']]]/1000),"")</f>
        <v/>
      </c>
    </row>
    <row r="394" spans="10:13" x14ac:dyDescent="0.25">
      <c r="J394" s="54" t="str">
        <f t="shared" si="9"/>
        <v/>
      </c>
      <c r="K394" s="54" t="str">
        <f>IFERROR(WHOLE_STRUCTURE[[#This Row],[Bottom '[m']]]-WHOLE_STRUCTURE[[#This Row],[D, top '[m']]], "")</f>
        <v/>
      </c>
      <c r="L394" s="54" t="str">
        <f>IFERROR(-(WHOLE_STRUCTURE[[#This Row],[D, bottom '[m']]]-WHOLE_STRUCTURE[[#This Row],[D, top '[m']]])/(WHOLE_STRUCTURE[[#This Row],[Bottom '[m']]]-WHOLE_STRUCTURE[[#This Row],[Top '[m']]]),"")</f>
        <v/>
      </c>
      <c r="M394" s="54" t="str">
        <f>IFERROR((WHOLE_STRUCTURE[[#This Row],[D, bottom '[m']]]+WHOLE_STRUCTURE[[#This Row],[D, top '[m']]])/(2*WHOLE_STRUCTURE[[#This Row],[t '[mm']]]/1000),"")</f>
        <v/>
      </c>
    </row>
    <row r="395" spans="10:13" x14ac:dyDescent="0.25">
      <c r="J395" s="54" t="str">
        <f t="shared" si="9"/>
        <v/>
      </c>
      <c r="K395" s="54" t="str">
        <f>IFERROR(WHOLE_STRUCTURE[[#This Row],[Bottom '[m']]]-WHOLE_STRUCTURE[[#This Row],[D, top '[m']]], "")</f>
        <v/>
      </c>
      <c r="L395" s="54" t="str">
        <f>IFERROR(-(WHOLE_STRUCTURE[[#This Row],[D, bottom '[m']]]-WHOLE_STRUCTURE[[#This Row],[D, top '[m']]])/(WHOLE_STRUCTURE[[#This Row],[Bottom '[m']]]-WHOLE_STRUCTURE[[#This Row],[Top '[m']]]),"")</f>
        <v/>
      </c>
      <c r="M395" s="54" t="str">
        <f>IFERROR((WHOLE_STRUCTURE[[#This Row],[D, bottom '[m']]]+WHOLE_STRUCTURE[[#This Row],[D, top '[m']]])/(2*WHOLE_STRUCTURE[[#This Row],[t '[mm']]]/1000),"")</f>
        <v/>
      </c>
    </row>
    <row r="396" spans="10:13" x14ac:dyDescent="0.25">
      <c r="J396" s="54" t="str">
        <f t="shared" si="9"/>
        <v/>
      </c>
      <c r="K396" s="54" t="str">
        <f>IFERROR(WHOLE_STRUCTURE[[#This Row],[Bottom '[m']]]-WHOLE_STRUCTURE[[#This Row],[D, top '[m']]], "")</f>
        <v/>
      </c>
      <c r="L396" s="54" t="str">
        <f>IFERROR(-(WHOLE_STRUCTURE[[#This Row],[D, bottom '[m']]]-WHOLE_STRUCTURE[[#This Row],[D, top '[m']]])/(WHOLE_STRUCTURE[[#This Row],[Bottom '[m']]]-WHOLE_STRUCTURE[[#This Row],[Top '[m']]]),"")</f>
        <v/>
      </c>
      <c r="M396" s="54" t="str">
        <f>IFERROR((WHOLE_STRUCTURE[[#This Row],[D, bottom '[m']]]+WHOLE_STRUCTURE[[#This Row],[D, top '[m']]])/(2*WHOLE_STRUCTURE[[#This Row],[t '[mm']]]/1000),"")</f>
        <v/>
      </c>
    </row>
    <row r="397" spans="10:13" x14ac:dyDescent="0.25">
      <c r="J397" s="54" t="str">
        <f t="shared" si="9"/>
        <v/>
      </c>
      <c r="K397" s="54" t="str">
        <f>IFERROR(WHOLE_STRUCTURE[[#This Row],[Bottom '[m']]]-WHOLE_STRUCTURE[[#This Row],[D, top '[m']]], "")</f>
        <v/>
      </c>
      <c r="L397" s="54" t="str">
        <f>IFERROR(-(WHOLE_STRUCTURE[[#This Row],[D, bottom '[m']]]-WHOLE_STRUCTURE[[#This Row],[D, top '[m']]])/(WHOLE_STRUCTURE[[#This Row],[Bottom '[m']]]-WHOLE_STRUCTURE[[#This Row],[Top '[m']]]),"")</f>
        <v/>
      </c>
      <c r="M397" s="54" t="str">
        <f>IFERROR((WHOLE_STRUCTURE[[#This Row],[D, bottom '[m']]]+WHOLE_STRUCTURE[[#This Row],[D, top '[m']]])/(2*WHOLE_STRUCTURE[[#This Row],[t '[mm']]]/1000),"")</f>
        <v/>
      </c>
    </row>
    <row r="398" spans="10:13" x14ac:dyDescent="0.25">
      <c r="J398" s="54" t="str">
        <f t="shared" si="9"/>
        <v/>
      </c>
      <c r="K398" s="54" t="str">
        <f>IFERROR(WHOLE_STRUCTURE[[#This Row],[Bottom '[m']]]-WHOLE_STRUCTURE[[#This Row],[D, top '[m']]], "")</f>
        <v/>
      </c>
      <c r="L398" s="54" t="str">
        <f>IFERROR(-(WHOLE_STRUCTURE[[#This Row],[D, bottom '[m']]]-WHOLE_STRUCTURE[[#This Row],[D, top '[m']]])/(WHOLE_STRUCTURE[[#This Row],[Bottom '[m']]]-WHOLE_STRUCTURE[[#This Row],[Top '[m']]]),"")</f>
        <v/>
      </c>
      <c r="M398" s="54" t="str">
        <f>IFERROR((WHOLE_STRUCTURE[[#This Row],[D, bottom '[m']]]+WHOLE_STRUCTURE[[#This Row],[D, top '[m']]])/(2*WHOLE_STRUCTURE[[#This Row],[t '[mm']]]/1000),"")</f>
        <v/>
      </c>
    </row>
    <row r="399" spans="10:13" x14ac:dyDescent="0.25">
      <c r="J399" s="54" t="str">
        <f t="shared" si="9"/>
        <v/>
      </c>
      <c r="K399" s="54" t="str">
        <f>IFERROR(WHOLE_STRUCTURE[[#This Row],[Bottom '[m']]]-WHOLE_STRUCTURE[[#This Row],[D, top '[m']]], "")</f>
        <v/>
      </c>
      <c r="L399" s="54" t="str">
        <f>IFERROR(-(WHOLE_STRUCTURE[[#This Row],[D, bottom '[m']]]-WHOLE_STRUCTURE[[#This Row],[D, top '[m']]])/(WHOLE_STRUCTURE[[#This Row],[Bottom '[m']]]-WHOLE_STRUCTURE[[#This Row],[Top '[m']]]),"")</f>
        <v/>
      </c>
      <c r="M399" s="54" t="str">
        <f>IFERROR((WHOLE_STRUCTURE[[#This Row],[D, bottom '[m']]]+WHOLE_STRUCTURE[[#This Row],[D, top '[m']]])/(2*WHOLE_STRUCTURE[[#This Row],[t '[mm']]]/1000),"")</f>
        <v/>
      </c>
    </row>
    <row r="400" spans="10:13" x14ac:dyDescent="0.25">
      <c r="J400" s="54" t="str">
        <f t="shared" si="9"/>
        <v/>
      </c>
      <c r="K400" s="54" t="str">
        <f>IFERROR(WHOLE_STRUCTURE[[#This Row],[Bottom '[m']]]-WHOLE_STRUCTURE[[#This Row],[D, top '[m']]], "")</f>
        <v/>
      </c>
      <c r="L400" s="54" t="str">
        <f>IFERROR(-(WHOLE_STRUCTURE[[#This Row],[D, bottom '[m']]]-WHOLE_STRUCTURE[[#This Row],[D, top '[m']]])/(WHOLE_STRUCTURE[[#This Row],[Bottom '[m']]]-WHOLE_STRUCTURE[[#This Row],[Top '[m']]]),"")</f>
        <v/>
      </c>
      <c r="M400" s="54" t="str">
        <f>IFERROR((WHOLE_STRUCTURE[[#This Row],[D, bottom '[m']]]+WHOLE_STRUCTURE[[#This Row],[D, top '[m']]])/(2*WHOLE_STRUCTURE[[#This Row],[t '[mm']]]/1000),"")</f>
        <v/>
      </c>
    </row>
    <row r="401" spans="10:13" x14ac:dyDescent="0.25">
      <c r="J401" s="54" t="str">
        <f t="shared" si="9"/>
        <v/>
      </c>
      <c r="K401" s="54" t="str">
        <f>IFERROR(WHOLE_STRUCTURE[[#This Row],[Bottom '[m']]]-WHOLE_STRUCTURE[[#This Row],[D, top '[m']]], "")</f>
        <v/>
      </c>
      <c r="L401" s="54" t="str">
        <f>IFERROR(-(WHOLE_STRUCTURE[[#This Row],[D, bottom '[m']]]-WHOLE_STRUCTURE[[#This Row],[D, top '[m']]])/(WHOLE_STRUCTURE[[#This Row],[Bottom '[m']]]-WHOLE_STRUCTURE[[#This Row],[Top '[m']]]),"")</f>
        <v/>
      </c>
      <c r="M401" s="54" t="str">
        <f>IFERROR((WHOLE_STRUCTURE[[#This Row],[D, bottom '[m']]]+WHOLE_STRUCTURE[[#This Row],[D, top '[m']]])/(2*WHOLE_STRUCTURE[[#This Row],[t '[mm']]]/1000),"")</f>
        <v/>
      </c>
    </row>
    <row r="402" spans="10:13" x14ac:dyDescent="0.25">
      <c r="J402" s="54" t="str">
        <f t="shared" si="9"/>
        <v/>
      </c>
      <c r="K402" s="54" t="str">
        <f>IFERROR(WHOLE_STRUCTURE[[#This Row],[Bottom '[m']]]-WHOLE_STRUCTURE[[#This Row],[D, top '[m']]], "")</f>
        <v/>
      </c>
      <c r="L402" s="54" t="str">
        <f>IFERROR(-(WHOLE_STRUCTURE[[#This Row],[D, bottom '[m']]]-WHOLE_STRUCTURE[[#This Row],[D, top '[m']]])/(WHOLE_STRUCTURE[[#This Row],[Bottom '[m']]]-WHOLE_STRUCTURE[[#This Row],[Top '[m']]]),"")</f>
        <v/>
      </c>
      <c r="M402" s="54" t="str">
        <f>IFERROR((WHOLE_STRUCTURE[[#This Row],[D, bottom '[m']]]+WHOLE_STRUCTURE[[#This Row],[D, top '[m']]])/(2*WHOLE_STRUCTURE[[#This Row],[t '[mm']]]/1000),"")</f>
        <v/>
      </c>
    </row>
    <row r="403" spans="10:13" x14ac:dyDescent="0.25">
      <c r="J403" s="54" t="str">
        <f t="shared" si="9"/>
        <v/>
      </c>
      <c r="K403" s="54" t="str">
        <f>IFERROR(WHOLE_STRUCTURE[[#This Row],[Bottom '[m']]]-WHOLE_STRUCTURE[[#This Row],[D, top '[m']]], "")</f>
        <v/>
      </c>
      <c r="L403" s="54" t="str">
        <f>IFERROR(-(WHOLE_STRUCTURE[[#This Row],[D, bottom '[m']]]-WHOLE_STRUCTURE[[#This Row],[D, top '[m']]])/(WHOLE_STRUCTURE[[#This Row],[Bottom '[m']]]-WHOLE_STRUCTURE[[#This Row],[Top '[m']]]),"")</f>
        <v/>
      </c>
      <c r="M403" s="54" t="str">
        <f>IFERROR((WHOLE_STRUCTURE[[#This Row],[D, bottom '[m']]]+WHOLE_STRUCTURE[[#This Row],[D, top '[m']]])/(2*WHOLE_STRUCTURE[[#This Row],[t '[mm']]]/1000),"")</f>
        <v/>
      </c>
    </row>
    <row r="404" spans="10:13" x14ac:dyDescent="0.25">
      <c r="J404" s="54" t="str">
        <f t="shared" si="9"/>
        <v/>
      </c>
      <c r="K404" s="54" t="str">
        <f>IFERROR(WHOLE_STRUCTURE[[#This Row],[Bottom '[m']]]-WHOLE_STRUCTURE[[#This Row],[D, top '[m']]], "")</f>
        <v/>
      </c>
      <c r="L404" s="54" t="str">
        <f>IFERROR(-(WHOLE_STRUCTURE[[#This Row],[D, bottom '[m']]]-WHOLE_STRUCTURE[[#This Row],[D, top '[m']]])/(WHOLE_STRUCTURE[[#This Row],[Bottom '[m']]]-WHOLE_STRUCTURE[[#This Row],[Top '[m']]]),"")</f>
        <v/>
      </c>
      <c r="M404" s="54" t="str">
        <f>IFERROR((WHOLE_STRUCTURE[[#This Row],[D, bottom '[m']]]+WHOLE_STRUCTURE[[#This Row],[D, top '[m']]])/(2*WHOLE_STRUCTURE[[#This Row],[t '[mm']]]/1000),"")</f>
        <v/>
      </c>
    </row>
    <row r="405" spans="10:13" x14ac:dyDescent="0.25">
      <c r="J405" s="54" t="str">
        <f t="shared" si="9"/>
        <v/>
      </c>
      <c r="K405" s="54" t="str">
        <f>IFERROR(WHOLE_STRUCTURE[[#This Row],[Bottom '[m']]]-WHOLE_STRUCTURE[[#This Row],[D, top '[m']]], "")</f>
        <v/>
      </c>
      <c r="L405" s="54" t="str">
        <f>IFERROR(-(WHOLE_STRUCTURE[[#This Row],[D, bottom '[m']]]-WHOLE_STRUCTURE[[#This Row],[D, top '[m']]])/(WHOLE_STRUCTURE[[#This Row],[Bottom '[m']]]-WHOLE_STRUCTURE[[#This Row],[Top '[m']]]),"")</f>
        <v/>
      </c>
      <c r="M405" s="54" t="str">
        <f>IFERROR((WHOLE_STRUCTURE[[#This Row],[D, bottom '[m']]]+WHOLE_STRUCTURE[[#This Row],[D, top '[m']]])/(2*WHOLE_STRUCTURE[[#This Row],[t '[mm']]]/1000),"")</f>
        <v/>
      </c>
    </row>
    <row r="406" spans="10:13" x14ac:dyDescent="0.25">
      <c r="J406" s="54" t="str">
        <f t="shared" si="9"/>
        <v/>
      </c>
      <c r="K406" s="54" t="str">
        <f>IFERROR(WHOLE_STRUCTURE[[#This Row],[Bottom '[m']]]-WHOLE_STRUCTURE[[#This Row],[D, top '[m']]], "")</f>
        <v/>
      </c>
      <c r="L406" s="54" t="str">
        <f>IFERROR(-(WHOLE_STRUCTURE[[#This Row],[D, bottom '[m']]]-WHOLE_STRUCTURE[[#This Row],[D, top '[m']]])/(WHOLE_STRUCTURE[[#This Row],[Bottom '[m']]]-WHOLE_STRUCTURE[[#This Row],[Top '[m']]]),"")</f>
        <v/>
      </c>
      <c r="M406" s="54" t="str">
        <f>IFERROR((WHOLE_STRUCTURE[[#This Row],[D, bottom '[m']]]+WHOLE_STRUCTURE[[#This Row],[D, top '[m']]])/(2*WHOLE_STRUCTURE[[#This Row],[t '[mm']]]/1000),"")</f>
        <v/>
      </c>
    </row>
    <row r="407" spans="10:13" x14ac:dyDescent="0.25">
      <c r="J407" s="54" t="str">
        <f t="shared" si="9"/>
        <v/>
      </c>
      <c r="K407" s="54" t="str">
        <f>IFERROR(WHOLE_STRUCTURE[[#This Row],[Bottom '[m']]]-WHOLE_STRUCTURE[[#This Row],[D, top '[m']]], "")</f>
        <v/>
      </c>
      <c r="L407" s="54" t="str">
        <f>IFERROR(-(WHOLE_STRUCTURE[[#This Row],[D, bottom '[m']]]-WHOLE_STRUCTURE[[#This Row],[D, top '[m']]])/(WHOLE_STRUCTURE[[#This Row],[Bottom '[m']]]-WHOLE_STRUCTURE[[#This Row],[Top '[m']]]),"")</f>
        <v/>
      </c>
      <c r="M407" s="54" t="str">
        <f>IFERROR((WHOLE_STRUCTURE[[#This Row],[D, bottom '[m']]]+WHOLE_STRUCTURE[[#This Row],[D, top '[m']]])/(2*WHOLE_STRUCTURE[[#This Row],[t '[mm']]]/1000),"")</f>
        <v/>
      </c>
    </row>
    <row r="408" spans="10:13" x14ac:dyDescent="0.25">
      <c r="J408" s="54" t="str">
        <f t="shared" si="9"/>
        <v/>
      </c>
      <c r="K408" s="54" t="str">
        <f>IFERROR(WHOLE_STRUCTURE[[#This Row],[Bottom '[m']]]-WHOLE_STRUCTURE[[#This Row],[D, top '[m']]], "")</f>
        <v/>
      </c>
      <c r="L408" s="54" t="str">
        <f>IFERROR(-(WHOLE_STRUCTURE[[#This Row],[D, bottom '[m']]]-WHOLE_STRUCTURE[[#This Row],[D, top '[m']]])/(WHOLE_STRUCTURE[[#This Row],[Bottom '[m']]]-WHOLE_STRUCTURE[[#This Row],[Top '[m']]]),"")</f>
        <v/>
      </c>
      <c r="M408" s="54" t="str">
        <f>IFERROR((WHOLE_STRUCTURE[[#This Row],[D, bottom '[m']]]+WHOLE_STRUCTURE[[#This Row],[D, top '[m']]])/(2*WHOLE_STRUCTURE[[#This Row],[t '[mm']]]/1000),"")</f>
        <v/>
      </c>
    </row>
    <row r="409" spans="10:13" x14ac:dyDescent="0.25">
      <c r="J409" s="54" t="str">
        <f t="shared" si="9"/>
        <v/>
      </c>
      <c r="K409" s="54" t="str">
        <f>IFERROR(WHOLE_STRUCTURE[[#This Row],[Bottom '[m']]]-WHOLE_STRUCTURE[[#This Row],[D, top '[m']]], "")</f>
        <v/>
      </c>
      <c r="L409" s="54" t="str">
        <f>IFERROR(-(WHOLE_STRUCTURE[[#This Row],[D, bottom '[m']]]-WHOLE_STRUCTURE[[#This Row],[D, top '[m']]])/(WHOLE_STRUCTURE[[#This Row],[Bottom '[m']]]-WHOLE_STRUCTURE[[#This Row],[Top '[m']]]),"")</f>
        <v/>
      </c>
      <c r="M409" s="54" t="str">
        <f>IFERROR((WHOLE_STRUCTURE[[#This Row],[D, bottom '[m']]]+WHOLE_STRUCTURE[[#This Row],[D, top '[m']]])/(2*WHOLE_STRUCTURE[[#This Row],[t '[mm']]]/1000),"")</f>
        <v/>
      </c>
    </row>
    <row r="410" spans="10:13" x14ac:dyDescent="0.25">
      <c r="J410" s="54" t="str">
        <f t="shared" si="9"/>
        <v/>
      </c>
      <c r="K410" s="54" t="str">
        <f>IFERROR(WHOLE_STRUCTURE[[#This Row],[Bottom '[m']]]-WHOLE_STRUCTURE[[#This Row],[D, top '[m']]], "")</f>
        <v/>
      </c>
      <c r="L410" s="54" t="str">
        <f>IFERROR(-(WHOLE_STRUCTURE[[#This Row],[D, bottom '[m']]]-WHOLE_STRUCTURE[[#This Row],[D, top '[m']]])/(WHOLE_STRUCTURE[[#This Row],[Bottom '[m']]]-WHOLE_STRUCTURE[[#This Row],[Top '[m']]]),"")</f>
        <v/>
      </c>
      <c r="M410" s="54" t="str">
        <f>IFERROR((WHOLE_STRUCTURE[[#This Row],[D, bottom '[m']]]+WHOLE_STRUCTURE[[#This Row],[D, top '[m']]])/(2*WHOLE_STRUCTURE[[#This Row],[t '[mm']]]/1000),"")</f>
        <v/>
      </c>
    </row>
    <row r="411" spans="10:13" x14ac:dyDescent="0.25">
      <c r="J411" s="54" t="str">
        <f t="shared" si="9"/>
        <v/>
      </c>
      <c r="K411" s="54" t="str">
        <f>IFERROR(WHOLE_STRUCTURE[[#This Row],[Bottom '[m']]]-WHOLE_STRUCTURE[[#This Row],[D, top '[m']]], "")</f>
        <v/>
      </c>
      <c r="L411" s="54" t="str">
        <f>IFERROR(-(WHOLE_STRUCTURE[[#This Row],[D, bottom '[m']]]-WHOLE_STRUCTURE[[#This Row],[D, top '[m']]])/(WHOLE_STRUCTURE[[#This Row],[Bottom '[m']]]-WHOLE_STRUCTURE[[#This Row],[Top '[m']]]),"")</f>
        <v/>
      </c>
      <c r="M411" s="54" t="str">
        <f>IFERROR((WHOLE_STRUCTURE[[#This Row],[D, bottom '[m']]]+WHOLE_STRUCTURE[[#This Row],[D, top '[m']]])/(2*WHOLE_STRUCTURE[[#This Row],[t '[mm']]]/1000),"")</f>
        <v/>
      </c>
    </row>
    <row r="412" spans="10:13" x14ac:dyDescent="0.25">
      <c r="J412" s="54" t="str">
        <f t="shared" si="9"/>
        <v/>
      </c>
      <c r="K412" s="54" t="str">
        <f>IFERROR(WHOLE_STRUCTURE[[#This Row],[Bottom '[m']]]-WHOLE_STRUCTURE[[#This Row],[D, top '[m']]], "")</f>
        <v/>
      </c>
      <c r="L412" s="54" t="str">
        <f>IFERROR(-(WHOLE_STRUCTURE[[#This Row],[D, bottom '[m']]]-WHOLE_STRUCTURE[[#This Row],[D, top '[m']]])/(WHOLE_STRUCTURE[[#This Row],[Bottom '[m']]]-WHOLE_STRUCTURE[[#This Row],[Top '[m']]]),"")</f>
        <v/>
      </c>
      <c r="M412" s="54" t="str">
        <f>IFERROR((WHOLE_STRUCTURE[[#This Row],[D, bottom '[m']]]+WHOLE_STRUCTURE[[#This Row],[D, top '[m']]])/(2*WHOLE_STRUCTURE[[#This Row],[t '[mm']]]/1000),"")</f>
        <v/>
      </c>
    </row>
    <row r="413" spans="10:13" x14ac:dyDescent="0.25">
      <c r="J413" s="54" t="str">
        <f t="shared" si="9"/>
        <v/>
      </c>
      <c r="K413" s="54" t="str">
        <f>IFERROR(WHOLE_STRUCTURE[[#This Row],[Bottom '[m']]]-WHOLE_STRUCTURE[[#This Row],[D, top '[m']]], "")</f>
        <v/>
      </c>
      <c r="L413" s="54" t="str">
        <f>IFERROR(-(WHOLE_STRUCTURE[[#This Row],[D, bottom '[m']]]-WHOLE_STRUCTURE[[#This Row],[D, top '[m']]])/(WHOLE_STRUCTURE[[#This Row],[Bottom '[m']]]-WHOLE_STRUCTURE[[#This Row],[Top '[m']]]),"")</f>
        <v/>
      </c>
      <c r="M413" s="54" t="str">
        <f>IFERROR((WHOLE_STRUCTURE[[#This Row],[D, bottom '[m']]]+WHOLE_STRUCTURE[[#This Row],[D, top '[m']]])/(2*WHOLE_STRUCTURE[[#This Row],[t '[mm']]]/1000),"")</f>
        <v/>
      </c>
    </row>
    <row r="414" spans="10:13" x14ac:dyDescent="0.25">
      <c r="J414" s="54" t="str">
        <f t="shared" si="9"/>
        <v/>
      </c>
      <c r="K414" s="54" t="str">
        <f>IFERROR(WHOLE_STRUCTURE[[#This Row],[Bottom '[m']]]-WHOLE_STRUCTURE[[#This Row],[D, top '[m']]], "")</f>
        <v/>
      </c>
      <c r="L414" s="54" t="str">
        <f>IFERROR(-(WHOLE_STRUCTURE[[#This Row],[D, bottom '[m']]]-WHOLE_STRUCTURE[[#This Row],[D, top '[m']]])/(WHOLE_STRUCTURE[[#This Row],[Bottom '[m']]]-WHOLE_STRUCTURE[[#This Row],[Top '[m']]]),"")</f>
        <v/>
      </c>
      <c r="M414" s="54" t="str">
        <f>IFERROR((WHOLE_STRUCTURE[[#This Row],[D, bottom '[m']]]+WHOLE_STRUCTURE[[#This Row],[D, top '[m']]])/(2*WHOLE_STRUCTURE[[#This Row],[t '[mm']]]/1000),"")</f>
        <v/>
      </c>
    </row>
    <row r="415" spans="10:13" x14ac:dyDescent="0.25">
      <c r="J415" s="54" t="str">
        <f t="shared" si="9"/>
        <v/>
      </c>
      <c r="K415" s="54" t="str">
        <f>IFERROR(WHOLE_STRUCTURE[[#This Row],[Bottom '[m']]]-WHOLE_STRUCTURE[[#This Row],[D, top '[m']]], "")</f>
        <v/>
      </c>
      <c r="L415" s="54" t="str">
        <f>IFERROR(-(WHOLE_STRUCTURE[[#This Row],[D, bottom '[m']]]-WHOLE_STRUCTURE[[#This Row],[D, top '[m']]])/(WHOLE_STRUCTURE[[#This Row],[Bottom '[m']]]-WHOLE_STRUCTURE[[#This Row],[Top '[m']]]),"")</f>
        <v/>
      </c>
      <c r="M415" s="54" t="str">
        <f>IFERROR((WHOLE_STRUCTURE[[#This Row],[D, bottom '[m']]]+WHOLE_STRUCTURE[[#This Row],[D, top '[m']]])/(2*WHOLE_STRUCTURE[[#This Row],[t '[mm']]]/1000),"")</f>
        <v/>
      </c>
    </row>
    <row r="416" spans="10:13" x14ac:dyDescent="0.25">
      <c r="J416" s="54" t="str">
        <f t="shared" si="9"/>
        <v/>
      </c>
      <c r="K416" s="54" t="str">
        <f>IFERROR(WHOLE_STRUCTURE[[#This Row],[Bottom '[m']]]-WHOLE_STRUCTURE[[#This Row],[D, top '[m']]], "")</f>
        <v/>
      </c>
      <c r="L416" s="54" t="str">
        <f>IFERROR(-(WHOLE_STRUCTURE[[#This Row],[D, bottom '[m']]]-WHOLE_STRUCTURE[[#This Row],[D, top '[m']]])/(WHOLE_STRUCTURE[[#This Row],[Bottom '[m']]]-WHOLE_STRUCTURE[[#This Row],[Top '[m']]]),"")</f>
        <v/>
      </c>
      <c r="M416" s="54" t="str">
        <f>IFERROR((WHOLE_STRUCTURE[[#This Row],[D, bottom '[m']]]+WHOLE_STRUCTURE[[#This Row],[D, top '[m']]])/(2*WHOLE_STRUCTURE[[#This Row],[t '[mm']]]/1000),"")</f>
        <v/>
      </c>
    </row>
    <row r="417" spans="10:13" x14ac:dyDescent="0.25">
      <c r="J417" s="54" t="str">
        <f t="shared" si="9"/>
        <v/>
      </c>
      <c r="K417" s="54" t="str">
        <f>IFERROR(WHOLE_STRUCTURE[[#This Row],[Bottom '[m']]]-WHOLE_STRUCTURE[[#This Row],[D, top '[m']]], "")</f>
        <v/>
      </c>
      <c r="L417" s="54" t="str">
        <f>IFERROR(-(WHOLE_STRUCTURE[[#This Row],[D, bottom '[m']]]-WHOLE_STRUCTURE[[#This Row],[D, top '[m']]])/(WHOLE_STRUCTURE[[#This Row],[Bottom '[m']]]-WHOLE_STRUCTURE[[#This Row],[Top '[m']]]),"")</f>
        <v/>
      </c>
      <c r="M417" s="54" t="str">
        <f>IFERROR((WHOLE_STRUCTURE[[#This Row],[D, bottom '[m']]]+WHOLE_STRUCTURE[[#This Row],[D, top '[m']]])/(2*WHOLE_STRUCTURE[[#This Row],[t '[mm']]]/1000),"")</f>
        <v/>
      </c>
    </row>
    <row r="418" spans="10:13" x14ac:dyDescent="0.25">
      <c r="J418" s="54" t="str">
        <f t="shared" si="9"/>
        <v/>
      </c>
      <c r="K418" s="54" t="str">
        <f>IFERROR(WHOLE_STRUCTURE[[#This Row],[Bottom '[m']]]-WHOLE_STRUCTURE[[#This Row],[D, top '[m']]], "")</f>
        <v/>
      </c>
      <c r="L418" s="54" t="str">
        <f>IFERROR(-(WHOLE_STRUCTURE[[#This Row],[D, bottom '[m']]]-WHOLE_STRUCTURE[[#This Row],[D, top '[m']]])/(WHOLE_STRUCTURE[[#This Row],[Bottom '[m']]]-WHOLE_STRUCTURE[[#This Row],[Top '[m']]]),"")</f>
        <v/>
      </c>
      <c r="M418" s="54" t="str">
        <f>IFERROR((WHOLE_STRUCTURE[[#This Row],[D, bottom '[m']]]+WHOLE_STRUCTURE[[#This Row],[D, top '[m']]])/(2*WHOLE_STRUCTURE[[#This Row],[t '[mm']]]/1000),"")</f>
        <v/>
      </c>
    </row>
    <row r="419" spans="10:13" x14ac:dyDescent="0.25">
      <c r="J419" s="54" t="str">
        <f t="shared" si="9"/>
        <v/>
      </c>
      <c r="K419" s="54" t="str">
        <f>IFERROR(WHOLE_STRUCTURE[[#This Row],[Bottom '[m']]]-WHOLE_STRUCTURE[[#This Row],[D, top '[m']]], "")</f>
        <v/>
      </c>
      <c r="L419" s="54" t="str">
        <f>IFERROR(-(WHOLE_STRUCTURE[[#This Row],[D, bottom '[m']]]-WHOLE_STRUCTURE[[#This Row],[D, top '[m']]])/(WHOLE_STRUCTURE[[#This Row],[Bottom '[m']]]-WHOLE_STRUCTURE[[#This Row],[Top '[m']]]),"")</f>
        <v/>
      </c>
      <c r="M419" s="54" t="str">
        <f>IFERROR((WHOLE_STRUCTURE[[#This Row],[D, bottom '[m']]]+WHOLE_STRUCTURE[[#This Row],[D, top '[m']]])/(2*WHOLE_STRUCTURE[[#This Row],[t '[mm']]]/1000),"")</f>
        <v/>
      </c>
    </row>
    <row r="420" spans="10:13" x14ac:dyDescent="0.25">
      <c r="J420" s="54" t="str">
        <f t="shared" si="9"/>
        <v/>
      </c>
      <c r="K420" s="54" t="str">
        <f>IFERROR(WHOLE_STRUCTURE[[#This Row],[Bottom '[m']]]-WHOLE_STRUCTURE[[#This Row],[D, top '[m']]], "")</f>
        <v/>
      </c>
      <c r="L420" s="54" t="str">
        <f>IFERROR(-(WHOLE_STRUCTURE[[#This Row],[D, bottom '[m']]]-WHOLE_STRUCTURE[[#This Row],[D, top '[m']]])/(WHOLE_STRUCTURE[[#This Row],[Bottom '[m']]]-WHOLE_STRUCTURE[[#This Row],[Top '[m']]]),"")</f>
        <v/>
      </c>
      <c r="M420" s="54" t="str">
        <f>IFERROR((WHOLE_STRUCTURE[[#This Row],[D, bottom '[m']]]+WHOLE_STRUCTURE[[#This Row],[D, top '[m']]])/(2*WHOLE_STRUCTURE[[#This Row],[t '[mm']]]/1000),"")</f>
        <v/>
      </c>
    </row>
    <row r="421" spans="10:13" x14ac:dyDescent="0.25">
      <c r="J421" s="54" t="str">
        <f t="shared" si="9"/>
        <v/>
      </c>
      <c r="K421" s="54" t="str">
        <f>IFERROR(WHOLE_STRUCTURE[[#This Row],[Bottom '[m']]]-WHOLE_STRUCTURE[[#This Row],[D, top '[m']]], "")</f>
        <v/>
      </c>
      <c r="L421" s="54" t="str">
        <f>IFERROR(-(WHOLE_STRUCTURE[[#This Row],[D, bottom '[m']]]-WHOLE_STRUCTURE[[#This Row],[D, top '[m']]])/(WHOLE_STRUCTURE[[#This Row],[Bottom '[m']]]-WHOLE_STRUCTURE[[#This Row],[Top '[m']]]),"")</f>
        <v/>
      </c>
      <c r="M421" s="54" t="str">
        <f>IFERROR((WHOLE_STRUCTURE[[#This Row],[D, bottom '[m']]]+WHOLE_STRUCTURE[[#This Row],[D, top '[m']]])/(2*WHOLE_STRUCTURE[[#This Row],[t '[mm']]]/1000),"")</f>
        <v/>
      </c>
    </row>
    <row r="422" spans="10:13" x14ac:dyDescent="0.25">
      <c r="J422" s="54" t="str">
        <f t="shared" si="9"/>
        <v/>
      </c>
      <c r="K422" s="54" t="str">
        <f>IFERROR(WHOLE_STRUCTURE[[#This Row],[Bottom '[m']]]-WHOLE_STRUCTURE[[#This Row],[D, top '[m']]], "")</f>
        <v/>
      </c>
      <c r="L422" s="54" t="str">
        <f>IFERROR(-(WHOLE_STRUCTURE[[#This Row],[D, bottom '[m']]]-WHOLE_STRUCTURE[[#This Row],[D, top '[m']]])/(WHOLE_STRUCTURE[[#This Row],[Bottom '[m']]]-WHOLE_STRUCTURE[[#This Row],[Top '[m']]]),"")</f>
        <v/>
      </c>
      <c r="M422" s="54" t="str">
        <f>IFERROR((WHOLE_STRUCTURE[[#This Row],[D, bottom '[m']]]+WHOLE_STRUCTURE[[#This Row],[D, top '[m']]])/(2*WHOLE_STRUCTURE[[#This Row],[t '[mm']]]/1000),"")</f>
        <v/>
      </c>
    </row>
    <row r="423" spans="10:13" x14ac:dyDescent="0.25">
      <c r="J423" s="54" t="str">
        <f t="shared" si="9"/>
        <v/>
      </c>
      <c r="K423" s="54" t="str">
        <f>IFERROR(WHOLE_STRUCTURE[[#This Row],[Bottom '[m']]]-WHOLE_STRUCTURE[[#This Row],[D, top '[m']]], "")</f>
        <v/>
      </c>
      <c r="L423" s="54" t="str">
        <f>IFERROR(-(WHOLE_STRUCTURE[[#This Row],[D, bottom '[m']]]-WHOLE_STRUCTURE[[#This Row],[D, top '[m']]])/(WHOLE_STRUCTURE[[#This Row],[Bottom '[m']]]-WHOLE_STRUCTURE[[#This Row],[Top '[m']]]),"")</f>
        <v/>
      </c>
      <c r="M423" s="54" t="str">
        <f>IFERROR((WHOLE_STRUCTURE[[#This Row],[D, bottom '[m']]]+WHOLE_STRUCTURE[[#This Row],[D, top '[m']]])/(2*WHOLE_STRUCTURE[[#This Row],[t '[mm']]]/1000),"")</f>
        <v/>
      </c>
    </row>
    <row r="424" spans="10:13" x14ac:dyDescent="0.25">
      <c r="J424" s="54" t="str">
        <f t="shared" si="9"/>
        <v/>
      </c>
      <c r="K424" s="54" t="str">
        <f>IFERROR(WHOLE_STRUCTURE[[#This Row],[Bottom '[m']]]-WHOLE_STRUCTURE[[#This Row],[D, top '[m']]], "")</f>
        <v/>
      </c>
      <c r="L424" s="54" t="str">
        <f>IFERROR(-(WHOLE_STRUCTURE[[#This Row],[D, bottom '[m']]]-WHOLE_STRUCTURE[[#This Row],[D, top '[m']]])/(WHOLE_STRUCTURE[[#This Row],[Bottom '[m']]]-WHOLE_STRUCTURE[[#This Row],[Top '[m']]]),"")</f>
        <v/>
      </c>
      <c r="M424" s="54" t="str">
        <f>IFERROR((WHOLE_STRUCTURE[[#This Row],[D, bottom '[m']]]+WHOLE_STRUCTURE[[#This Row],[D, top '[m']]])/(2*WHOLE_STRUCTURE[[#This Row],[t '[mm']]]/1000),"")</f>
        <v/>
      </c>
    </row>
    <row r="425" spans="10:13" x14ac:dyDescent="0.25">
      <c r="J425" s="54" t="str">
        <f t="shared" si="9"/>
        <v/>
      </c>
      <c r="K425" s="54" t="str">
        <f>IFERROR(WHOLE_STRUCTURE[[#This Row],[Bottom '[m']]]-WHOLE_STRUCTURE[[#This Row],[D, top '[m']]], "")</f>
        <v/>
      </c>
      <c r="L425" s="54" t="str">
        <f>IFERROR(-(WHOLE_STRUCTURE[[#This Row],[D, bottom '[m']]]-WHOLE_STRUCTURE[[#This Row],[D, top '[m']]])/(WHOLE_STRUCTURE[[#This Row],[Bottom '[m']]]-WHOLE_STRUCTURE[[#This Row],[Top '[m']]]),"")</f>
        <v/>
      </c>
      <c r="M425" s="54" t="str">
        <f>IFERROR((WHOLE_STRUCTURE[[#This Row],[D, bottom '[m']]]+WHOLE_STRUCTURE[[#This Row],[D, top '[m']]])/(2*WHOLE_STRUCTURE[[#This Row],[t '[mm']]]/1000),"")</f>
        <v/>
      </c>
    </row>
    <row r="426" spans="10:13" x14ac:dyDescent="0.25">
      <c r="J426" s="54" t="str">
        <f t="shared" si="9"/>
        <v/>
      </c>
      <c r="K426" s="54" t="str">
        <f>IFERROR(WHOLE_STRUCTURE[[#This Row],[Bottom '[m']]]-WHOLE_STRUCTURE[[#This Row],[D, top '[m']]], "")</f>
        <v/>
      </c>
      <c r="L426" s="54" t="str">
        <f>IFERROR(-(WHOLE_STRUCTURE[[#This Row],[D, bottom '[m']]]-WHOLE_STRUCTURE[[#This Row],[D, top '[m']]])/(WHOLE_STRUCTURE[[#This Row],[Bottom '[m']]]-WHOLE_STRUCTURE[[#This Row],[Top '[m']]]),"")</f>
        <v/>
      </c>
      <c r="M426" s="54" t="str">
        <f>IFERROR((WHOLE_STRUCTURE[[#This Row],[D, bottom '[m']]]+WHOLE_STRUCTURE[[#This Row],[D, top '[m']]])/(2*WHOLE_STRUCTURE[[#This Row],[t '[mm']]]/1000),"")</f>
        <v/>
      </c>
    </row>
    <row r="427" spans="10:13" x14ac:dyDescent="0.25">
      <c r="J427" s="54" t="str">
        <f t="shared" si="9"/>
        <v/>
      </c>
      <c r="K427" s="54" t="str">
        <f>IFERROR(WHOLE_STRUCTURE[[#This Row],[Bottom '[m']]]-WHOLE_STRUCTURE[[#This Row],[D, top '[m']]], "")</f>
        <v/>
      </c>
      <c r="L427" s="54" t="str">
        <f>IFERROR(-(WHOLE_STRUCTURE[[#This Row],[D, bottom '[m']]]-WHOLE_STRUCTURE[[#This Row],[D, top '[m']]])/(WHOLE_STRUCTURE[[#This Row],[Bottom '[m']]]-WHOLE_STRUCTURE[[#This Row],[Top '[m']]]),"")</f>
        <v/>
      </c>
      <c r="M427" s="54" t="str">
        <f>IFERROR((WHOLE_STRUCTURE[[#This Row],[D, bottom '[m']]]+WHOLE_STRUCTURE[[#This Row],[D, top '[m']]])/(2*WHOLE_STRUCTURE[[#This Row],[t '[mm']]]/1000),"")</f>
        <v/>
      </c>
    </row>
    <row r="428" spans="10:13" x14ac:dyDescent="0.25">
      <c r="J428" s="54" t="str">
        <f t="shared" si="9"/>
        <v/>
      </c>
      <c r="K428" s="54" t="str">
        <f>IFERROR(WHOLE_STRUCTURE[[#This Row],[Bottom '[m']]]-WHOLE_STRUCTURE[[#This Row],[D, top '[m']]], "")</f>
        <v/>
      </c>
      <c r="L428" s="54" t="str">
        <f>IFERROR(-(WHOLE_STRUCTURE[[#This Row],[D, bottom '[m']]]-WHOLE_STRUCTURE[[#This Row],[D, top '[m']]])/(WHOLE_STRUCTURE[[#This Row],[Bottom '[m']]]-WHOLE_STRUCTURE[[#This Row],[Top '[m']]]),"")</f>
        <v/>
      </c>
      <c r="M428" s="54" t="str">
        <f>IFERROR((WHOLE_STRUCTURE[[#This Row],[D, bottom '[m']]]+WHOLE_STRUCTURE[[#This Row],[D, top '[m']]])/(2*WHOLE_STRUCTURE[[#This Row],[t '[mm']]]/1000),"")</f>
        <v/>
      </c>
    </row>
    <row r="429" spans="10:13" x14ac:dyDescent="0.25">
      <c r="J429" s="54" t="str">
        <f t="shared" si="9"/>
        <v/>
      </c>
      <c r="K429" s="54" t="str">
        <f>IFERROR(WHOLE_STRUCTURE[[#This Row],[Bottom '[m']]]-WHOLE_STRUCTURE[[#This Row],[D, top '[m']]], "")</f>
        <v/>
      </c>
      <c r="L429" s="54" t="str">
        <f>IFERROR(-(WHOLE_STRUCTURE[[#This Row],[D, bottom '[m']]]-WHOLE_STRUCTURE[[#This Row],[D, top '[m']]])/(WHOLE_STRUCTURE[[#This Row],[Bottom '[m']]]-WHOLE_STRUCTURE[[#This Row],[Top '[m']]]),"")</f>
        <v/>
      </c>
      <c r="M429" s="54" t="str">
        <f>IFERROR((WHOLE_STRUCTURE[[#This Row],[D, bottom '[m']]]+WHOLE_STRUCTURE[[#This Row],[D, top '[m']]])/(2*WHOLE_STRUCTURE[[#This Row],[t '[mm']]]/1000),"")</f>
        <v/>
      </c>
    </row>
    <row r="430" spans="10:13" x14ac:dyDescent="0.25">
      <c r="J430" s="54" t="str">
        <f t="shared" si="9"/>
        <v/>
      </c>
      <c r="K430" s="54" t="str">
        <f>IFERROR(WHOLE_STRUCTURE[[#This Row],[Bottom '[m']]]-WHOLE_STRUCTURE[[#This Row],[D, top '[m']]], "")</f>
        <v/>
      </c>
      <c r="L430" s="54" t="str">
        <f>IFERROR(-(WHOLE_STRUCTURE[[#This Row],[D, bottom '[m']]]-WHOLE_STRUCTURE[[#This Row],[D, top '[m']]])/(WHOLE_STRUCTURE[[#This Row],[Bottom '[m']]]-WHOLE_STRUCTURE[[#This Row],[Top '[m']]]),"")</f>
        <v/>
      </c>
      <c r="M430" s="54" t="str">
        <f>IFERROR((WHOLE_STRUCTURE[[#This Row],[D, bottom '[m']]]+WHOLE_STRUCTURE[[#This Row],[D, top '[m']]])/(2*WHOLE_STRUCTURE[[#This Row],[t '[mm']]]/1000),"")</f>
        <v/>
      </c>
    </row>
    <row r="431" spans="10:13" x14ac:dyDescent="0.25">
      <c r="J431" s="54" t="str">
        <f t="shared" si="9"/>
        <v/>
      </c>
      <c r="K431" s="54" t="str">
        <f>IFERROR(WHOLE_STRUCTURE[[#This Row],[Bottom '[m']]]-WHOLE_STRUCTURE[[#This Row],[D, top '[m']]], "")</f>
        <v/>
      </c>
      <c r="L431" s="54" t="str">
        <f>IFERROR(-(WHOLE_STRUCTURE[[#This Row],[D, bottom '[m']]]-WHOLE_STRUCTURE[[#This Row],[D, top '[m']]])/(WHOLE_STRUCTURE[[#This Row],[Bottom '[m']]]-WHOLE_STRUCTURE[[#This Row],[Top '[m']]]),"")</f>
        <v/>
      </c>
      <c r="M431" s="54" t="str">
        <f>IFERROR((WHOLE_STRUCTURE[[#This Row],[D, bottom '[m']]]+WHOLE_STRUCTURE[[#This Row],[D, top '[m']]])/(2*WHOLE_STRUCTURE[[#This Row],[t '[mm']]]/1000),"")</f>
        <v/>
      </c>
    </row>
    <row r="432" spans="10:13" x14ac:dyDescent="0.25">
      <c r="J432" s="54" t="str">
        <f t="shared" si="9"/>
        <v/>
      </c>
      <c r="K432" s="54" t="str">
        <f>IFERROR(WHOLE_STRUCTURE[[#This Row],[Bottom '[m']]]-WHOLE_STRUCTURE[[#This Row],[D, top '[m']]], "")</f>
        <v/>
      </c>
      <c r="L432" s="54" t="str">
        <f>IFERROR(-(WHOLE_STRUCTURE[[#This Row],[D, bottom '[m']]]-WHOLE_STRUCTURE[[#This Row],[D, top '[m']]])/(WHOLE_STRUCTURE[[#This Row],[Bottom '[m']]]-WHOLE_STRUCTURE[[#This Row],[Top '[m']]]),"")</f>
        <v/>
      </c>
      <c r="M432" s="54" t="str">
        <f>IFERROR((WHOLE_STRUCTURE[[#This Row],[D, bottom '[m']]]+WHOLE_STRUCTURE[[#This Row],[D, top '[m']]])/(2*WHOLE_STRUCTURE[[#This Row],[t '[mm']]]/1000),"")</f>
        <v/>
      </c>
    </row>
    <row r="433" spans="10:13" x14ac:dyDescent="0.25">
      <c r="J433" s="54" t="str">
        <f t="shared" si="9"/>
        <v/>
      </c>
      <c r="K433" s="54" t="str">
        <f>IFERROR(WHOLE_STRUCTURE[[#This Row],[Bottom '[m']]]-WHOLE_STRUCTURE[[#This Row],[D, top '[m']]], "")</f>
        <v/>
      </c>
      <c r="L433" s="54" t="str">
        <f>IFERROR(-(WHOLE_STRUCTURE[[#This Row],[D, bottom '[m']]]-WHOLE_STRUCTURE[[#This Row],[D, top '[m']]])/(WHOLE_STRUCTURE[[#This Row],[Bottom '[m']]]-WHOLE_STRUCTURE[[#This Row],[Top '[m']]]),"")</f>
        <v/>
      </c>
      <c r="M433" s="54" t="str">
        <f>IFERROR((WHOLE_STRUCTURE[[#This Row],[D, bottom '[m']]]+WHOLE_STRUCTURE[[#This Row],[D, top '[m']]])/(2*WHOLE_STRUCTURE[[#This Row],[t '[mm']]]/1000),"")</f>
        <v/>
      </c>
    </row>
    <row r="434" spans="10:13" x14ac:dyDescent="0.25">
      <c r="J434" s="54" t="str">
        <f t="shared" si="9"/>
        <v/>
      </c>
      <c r="K434" s="54" t="str">
        <f>IFERROR(WHOLE_STRUCTURE[[#This Row],[Bottom '[m']]]-WHOLE_STRUCTURE[[#This Row],[D, top '[m']]], "")</f>
        <v/>
      </c>
      <c r="L434" s="54" t="str">
        <f>IFERROR(-(WHOLE_STRUCTURE[[#This Row],[D, bottom '[m']]]-WHOLE_STRUCTURE[[#This Row],[D, top '[m']]])/(WHOLE_STRUCTURE[[#This Row],[Bottom '[m']]]-WHOLE_STRUCTURE[[#This Row],[Top '[m']]]),"")</f>
        <v/>
      </c>
      <c r="M434" s="54" t="str">
        <f>IFERROR((WHOLE_STRUCTURE[[#This Row],[D, bottom '[m']]]+WHOLE_STRUCTURE[[#This Row],[D, top '[m']]])/(2*WHOLE_STRUCTURE[[#This Row],[t '[mm']]]/1000),"")</f>
        <v/>
      </c>
    </row>
    <row r="435" spans="10:13" x14ac:dyDescent="0.25">
      <c r="J435" s="54" t="str">
        <f t="shared" si="9"/>
        <v/>
      </c>
      <c r="K435" s="54" t="str">
        <f>IFERROR(WHOLE_STRUCTURE[[#This Row],[Bottom '[m']]]-WHOLE_STRUCTURE[[#This Row],[D, top '[m']]], "")</f>
        <v/>
      </c>
      <c r="L435" s="54" t="str">
        <f>IFERROR(-(WHOLE_STRUCTURE[[#This Row],[D, bottom '[m']]]-WHOLE_STRUCTURE[[#This Row],[D, top '[m']]])/(WHOLE_STRUCTURE[[#This Row],[Bottom '[m']]]-WHOLE_STRUCTURE[[#This Row],[Top '[m']]]),"")</f>
        <v/>
      </c>
      <c r="M435" s="54" t="str">
        <f>IFERROR((WHOLE_STRUCTURE[[#This Row],[D, bottom '[m']]]+WHOLE_STRUCTURE[[#This Row],[D, top '[m']]])/(2*WHOLE_STRUCTURE[[#This Row],[t '[mm']]]/1000),"")</f>
        <v/>
      </c>
    </row>
    <row r="436" spans="10:13" x14ac:dyDescent="0.25">
      <c r="J436" s="54" t="str">
        <f t="shared" si="9"/>
        <v/>
      </c>
      <c r="K436" s="54" t="str">
        <f>IFERROR(WHOLE_STRUCTURE[[#This Row],[Bottom '[m']]]-WHOLE_STRUCTURE[[#This Row],[D, top '[m']]], "")</f>
        <v/>
      </c>
      <c r="L436" s="54" t="str">
        <f>IFERROR(-(WHOLE_STRUCTURE[[#This Row],[D, bottom '[m']]]-WHOLE_STRUCTURE[[#This Row],[D, top '[m']]])/(WHOLE_STRUCTURE[[#This Row],[Bottom '[m']]]-WHOLE_STRUCTURE[[#This Row],[Top '[m']]]),"")</f>
        <v/>
      </c>
      <c r="M436" s="54" t="str">
        <f>IFERROR((WHOLE_STRUCTURE[[#This Row],[D, bottom '[m']]]+WHOLE_STRUCTURE[[#This Row],[D, top '[m']]])/(2*WHOLE_STRUCTURE[[#This Row],[t '[mm']]]/1000),"")</f>
        <v/>
      </c>
    </row>
    <row r="437" spans="10:13" x14ac:dyDescent="0.25">
      <c r="J437" s="54" t="str">
        <f t="shared" si="9"/>
        <v/>
      </c>
      <c r="K437" s="54" t="str">
        <f>IFERROR(WHOLE_STRUCTURE[[#This Row],[Bottom '[m']]]-WHOLE_STRUCTURE[[#This Row],[D, top '[m']]], "")</f>
        <v/>
      </c>
      <c r="L437" s="54" t="str">
        <f>IFERROR(-(WHOLE_STRUCTURE[[#This Row],[D, bottom '[m']]]-WHOLE_STRUCTURE[[#This Row],[D, top '[m']]])/(WHOLE_STRUCTURE[[#This Row],[Bottom '[m']]]-WHOLE_STRUCTURE[[#This Row],[Top '[m']]]),"")</f>
        <v/>
      </c>
      <c r="M437" s="54" t="str">
        <f>IFERROR((WHOLE_STRUCTURE[[#This Row],[D, bottom '[m']]]+WHOLE_STRUCTURE[[#This Row],[D, top '[m']]])/(2*WHOLE_STRUCTURE[[#This Row],[t '[mm']]]/1000),"")</f>
        <v/>
      </c>
    </row>
    <row r="438" spans="10:13" x14ac:dyDescent="0.25">
      <c r="J438" s="54" t="str">
        <f t="shared" si="9"/>
        <v/>
      </c>
      <c r="K438" s="54" t="str">
        <f>IFERROR(WHOLE_STRUCTURE[[#This Row],[Bottom '[m']]]-WHOLE_STRUCTURE[[#This Row],[D, top '[m']]], "")</f>
        <v/>
      </c>
      <c r="L438" s="54" t="str">
        <f>IFERROR(-(WHOLE_STRUCTURE[[#This Row],[D, bottom '[m']]]-WHOLE_STRUCTURE[[#This Row],[D, top '[m']]])/(WHOLE_STRUCTURE[[#This Row],[Bottom '[m']]]-WHOLE_STRUCTURE[[#This Row],[Top '[m']]]),"")</f>
        <v/>
      </c>
      <c r="M438" s="54" t="str">
        <f>IFERROR((WHOLE_STRUCTURE[[#This Row],[D, bottom '[m']]]+WHOLE_STRUCTURE[[#This Row],[D, top '[m']]])/(2*WHOLE_STRUCTURE[[#This Row],[t '[mm']]]/1000),"")</f>
        <v/>
      </c>
    </row>
    <row r="439" spans="10:13" x14ac:dyDescent="0.25">
      <c r="J439" s="54" t="str">
        <f t="shared" si="9"/>
        <v/>
      </c>
      <c r="K439" s="54" t="str">
        <f>IFERROR(WHOLE_STRUCTURE[[#This Row],[Bottom '[m']]]-WHOLE_STRUCTURE[[#This Row],[D, top '[m']]], "")</f>
        <v/>
      </c>
      <c r="L439" s="54" t="str">
        <f>IFERROR(-(WHOLE_STRUCTURE[[#This Row],[D, bottom '[m']]]-WHOLE_STRUCTURE[[#This Row],[D, top '[m']]])/(WHOLE_STRUCTURE[[#This Row],[Bottom '[m']]]-WHOLE_STRUCTURE[[#This Row],[Top '[m']]]),"")</f>
        <v/>
      </c>
      <c r="M439" s="54" t="str">
        <f>IFERROR((WHOLE_STRUCTURE[[#This Row],[D, bottom '[m']]]+WHOLE_STRUCTURE[[#This Row],[D, top '[m']]])/(2*WHOLE_STRUCTURE[[#This Row],[t '[mm']]]/1000),"")</f>
        <v/>
      </c>
    </row>
    <row r="440" spans="10:13" x14ac:dyDescent="0.25">
      <c r="J440" s="54" t="str">
        <f t="shared" si="9"/>
        <v/>
      </c>
      <c r="K440" s="54" t="str">
        <f>IFERROR(WHOLE_STRUCTURE[[#This Row],[Bottom '[m']]]-WHOLE_STRUCTURE[[#This Row],[D, top '[m']]], "")</f>
        <v/>
      </c>
      <c r="L440" s="54" t="str">
        <f>IFERROR(-(WHOLE_STRUCTURE[[#This Row],[D, bottom '[m']]]-WHOLE_STRUCTURE[[#This Row],[D, top '[m']]])/(WHOLE_STRUCTURE[[#This Row],[Bottom '[m']]]-WHOLE_STRUCTURE[[#This Row],[Top '[m']]]),"")</f>
        <v/>
      </c>
      <c r="M440" s="54" t="str">
        <f>IFERROR((WHOLE_STRUCTURE[[#This Row],[D, bottom '[m']]]+WHOLE_STRUCTURE[[#This Row],[D, top '[m']]])/(2*WHOLE_STRUCTURE[[#This Row],[t '[mm']]]/1000),"")</f>
        <v/>
      </c>
    </row>
    <row r="441" spans="10:13" x14ac:dyDescent="0.25">
      <c r="J441" s="54" t="str">
        <f t="shared" si="9"/>
        <v/>
      </c>
      <c r="K441" s="54" t="str">
        <f>IFERROR(WHOLE_STRUCTURE[[#This Row],[Bottom '[m']]]-WHOLE_STRUCTURE[[#This Row],[D, top '[m']]], "")</f>
        <v/>
      </c>
      <c r="L441" s="54" t="str">
        <f>IFERROR(-(WHOLE_STRUCTURE[[#This Row],[D, bottom '[m']]]-WHOLE_STRUCTURE[[#This Row],[D, top '[m']]])/(WHOLE_STRUCTURE[[#This Row],[Bottom '[m']]]-WHOLE_STRUCTURE[[#This Row],[Top '[m']]]),"")</f>
        <v/>
      </c>
      <c r="M441" s="54" t="str">
        <f>IFERROR((WHOLE_STRUCTURE[[#This Row],[D, bottom '[m']]]+WHOLE_STRUCTURE[[#This Row],[D, top '[m']]])/(2*WHOLE_STRUCTURE[[#This Row],[t '[mm']]]/1000),"")</f>
        <v/>
      </c>
    </row>
    <row r="442" spans="10:13" x14ac:dyDescent="0.25">
      <c r="J442" s="54" t="str">
        <f t="shared" si="9"/>
        <v/>
      </c>
      <c r="K442" s="54" t="str">
        <f>IFERROR(WHOLE_STRUCTURE[[#This Row],[Bottom '[m']]]-WHOLE_STRUCTURE[[#This Row],[D, top '[m']]], "")</f>
        <v/>
      </c>
      <c r="L442" s="54" t="str">
        <f>IFERROR(-(WHOLE_STRUCTURE[[#This Row],[D, bottom '[m']]]-WHOLE_STRUCTURE[[#This Row],[D, top '[m']]])/(WHOLE_STRUCTURE[[#This Row],[Bottom '[m']]]-WHOLE_STRUCTURE[[#This Row],[Top '[m']]]),"")</f>
        <v/>
      </c>
      <c r="M442" s="54" t="str">
        <f>IFERROR((WHOLE_STRUCTURE[[#This Row],[D, bottom '[m']]]+WHOLE_STRUCTURE[[#This Row],[D, top '[m']]])/(2*WHOLE_STRUCTURE[[#This Row],[t '[mm']]]/1000),"")</f>
        <v/>
      </c>
    </row>
    <row r="443" spans="10:13" x14ac:dyDescent="0.25">
      <c r="J443" s="54" t="str">
        <f t="shared" si="9"/>
        <v/>
      </c>
      <c r="K443" s="54" t="str">
        <f>IFERROR(WHOLE_STRUCTURE[[#This Row],[Bottom '[m']]]-WHOLE_STRUCTURE[[#This Row],[D, top '[m']]], "")</f>
        <v/>
      </c>
      <c r="L443" s="54" t="str">
        <f>IFERROR(-(WHOLE_STRUCTURE[[#This Row],[D, bottom '[m']]]-WHOLE_STRUCTURE[[#This Row],[D, top '[m']]])/(WHOLE_STRUCTURE[[#This Row],[Bottom '[m']]]-WHOLE_STRUCTURE[[#This Row],[Top '[m']]]),"")</f>
        <v/>
      </c>
      <c r="M443" s="54" t="str">
        <f>IFERROR((WHOLE_STRUCTURE[[#This Row],[D, bottom '[m']]]+WHOLE_STRUCTURE[[#This Row],[D, top '[m']]])/(2*WHOLE_STRUCTURE[[#This Row],[t '[mm']]]/1000),"")</f>
        <v/>
      </c>
    </row>
    <row r="444" spans="10:13" x14ac:dyDescent="0.25">
      <c r="J444" s="54" t="str">
        <f t="shared" si="9"/>
        <v/>
      </c>
      <c r="K444" s="54" t="str">
        <f>IFERROR(WHOLE_STRUCTURE[[#This Row],[Bottom '[m']]]-WHOLE_STRUCTURE[[#This Row],[D, top '[m']]], "")</f>
        <v/>
      </c>
      <c r="L444" s="54" t="str">
        <f>IFERROR(-(WHOLE_STRUCTURE[[#This Row],[D, bottom '[m']]]-WHOLE_STRUCTURE[[#This Row],[D, top '[m']]])/(WHOLE_STRUCTURE[[#This Row],[Bottom '[m']]]-WHOLE_STRUCTURE[[#This Row],[Top '[m']]]),"")</f>
        <v/>
      </c>
      <c r="M444" s="54" t="str">
        <f>IFERROR((WHOLE_STRUCTURE[[#This Row],[D, bottom '[m']]]+WHOLE_STRUCTURE[[#This Row],[D, top '[m']]])/(2*WHOLE_STRUCTURE[[#This Row],[t '[mm']]]/1000),"")</f>
        <v/>
      </c>
    </row>
    <row r="445" spans="10:13" x14ac:dyDescent="0.25">
      <c r="J445" s="54" t="str">
        <f t="shared" si="9"/>
        <v/>
      </c>
      <c r="K445" s="54" t="str">
        <f>IFERROR(WHOLE_STRUCTURE[[#This Row],[Bottom '[m']]]-WHOLE_STRUCTURE[[#This Row],[D, top '[m']]], "")</f>
        <v/>
      </c>
      <c r="L445" s="54" t="str">
        <f>IFERROR(-(WHOLE_STRUCTURE[[#This Row],[D, bottom '[m']]]-WHOLE_STRUCTURE[[#This Row],[D, top '[m']]])/(WHOLE_STRUCTURE[[#This Row],[Bottom '[m']]]-WHOLE_STRUCTURE[[#This Row],[Top '[m']]]),"")</f>
        <v/>
      </c>
      <c r="M445" s="54" t="str">
        <f>IFERROR((WHOLE_STRUCTURE[[#This Row],[D, bottom '[m']]]+WHOLE_STRUCTURE[[#This Row],[D, top '[m']]])/(2*WHOLE_STRUCTURE[[#This Row],[t '[mm']]]/1000),"")</f>
        <v/>
      </c>
    </row>
    <row r="446" spans="10:13" x14ac:dyDescent="0.25">
      <c r="J446" s="54" t="str">
        <f t="shared" si="9"/>
        <v/>
      </c>
      <c r="K446" s="54" t="str">
        <f>IFERROR(WHOLE_STRUCTURE[[#This Row],[Bottom '[m']]]-WHOLE_STRUCTURE[[#This Row],[D, top '[m']]], "")</f>
        <v/>
      </c>
      <c r="L446" s="54" t="str">
        <f>IFERROR(-(WHOLE_STRUCTURE[[#This Row],[D, bottom '[m']]]-WHOLE_STRUCTURE[[#This Row],[D, top '[m']]])/(WHOLE_STRUCTURE[[#This Row],[Bottom '[m']]]-WHOLE_STRUCTURE[[#This Row],[Top '[m']]]),"")</f>
        <v/>
      </c>
      <c r="M446" s="54" t="str">
        <f>IFERROR((WHOLE_STRUCTURE[[#This Row],[D, bottom '[m']]]+WHOLE_STRUCTURE[[#This Row],[D, top '[m']]])/(2*WHOLE_STRUCTURE[[#This Row],[t '[mm']]]/1000),"")</f>
        <v/>
      </c>
    </row>
    <row r="447" spans="10:13" x14ac:dyDescent="0.25">
      <c r="J447" s="54" t="str">
        <f t="shared" si="9"/>
        <v/>
      </c>
      <c r="K447" s="54" t="str">
        <f>IFERROR(WHOLE_STRUCTURE[[#This Row],[Bottom '[m']]]-WHOLE_STRUCTURE[[#This Row],[D, top '[m']]], "")</f>
        <v/>
      </c>
      <c r="L447" s="54" t="str">
        <f>IFERROR(-(WHOLE_STRUCTURE[[#This Row],[D, bottom '[m']]]-WHOLE_STRUCTURE[[#This Row],[D, top '[m']]])/(WHOLE_STRUCTURE[[#This Row],[Bottom '[m']]]-WHOLE_STRUCTURE[[#This Row],[Top '[m']]]),"")</f>
        <v/>
      </c>
      <c r="M447" s="54" t="str">
        <f>IFERROR((WHOLE_STRUCTURE[[#This Row],[D, bottom '[m']]]+WHOLE_STRUCTURE[[#This Row],[D, top '[m']]])/(2*WHOLE_STRUCTURE[[#This Row],[t '[mm']]]/1000),"")</f>
        <v/>
      </c>
    </row>
    <row r="448" spans="10:13" x14ac:dyDescent="0.25">
      <c r="J448" s="54" t="str">
        <f t="shared" si="9"/>
        <v/>
      </c>
      <c r="K448" s="54" t="str">
        <f>IFERROR(WHOLE_STRUCTURE[[#This Row],[Bottom '[m']]]-WHOLE_STRUCTURE[[#This Row],[D, top '[m']]], "")</f>
        <v/>
      </c>
      <c r="L448" s="54" t="str">
        <f>IFERROR(-(WHOLE_STRUCTURE[[#This Row],[D, bottom '[m']]]-WHOLE_STRUCTURE[[#This Row],[D, top '[m']]])/(WHOLE_STRUCTURE[[#This Row],[Bottom '[m']]]-WHOLE_STRUCTURE[[#This Row],[Top '[m']]]),"")</f>
        <v/>
      </c>
      <c r="M448" s="54" t="str">
        <f>IFERROR((WHOLE_STRUCTURE[[#This Row],[D, bottom '[m']]]+WHOLE_STRUCTURE[[#This Row],[D, top '[m']]])/(2*WHOLE_STRUCTURE[[#This Row],[t '[mm']]]/1000),"")</f>
        <v/>
      </c>
    </row>
    <row r="449" spans="10:13" x14ac:dyDescent="0.25">
      <c r="J449" s="54" t="str">
        <f t="shared" si="9"/>
        <v/>
      </c>
      <c r="K449" s="54" t="str">
        <f>IFERROR(WHOLE_STRUCTURE[[#This Row],[Bottom '[m']]]-WHOLE_STRUCTURE[[#This Row],[D, top '[m']]], "")</f>
        <v/>
      </c>
      <c r="L449" s="54" t="str">
        <f>IFERROR(-(WHOLE_STRUCTURE[[#This Row],[D, bottom '[m']]]-WHOLE_STRUCTURE[[#This Row],[D, top '[m']]])/(WHOLE_STRUCTURE[[#This Row],[Bottom '[m']]]-WHOLE_STRUCTURE[[#This Row],[Top '[m']]]),"")</f>
        <v/>
      </c>
      <c r="M449" s="54" t="str">
        <f>IFERROR((WHOLE_STRUCTURE[[#This Row],[D, bottom '[m']]]+WHOLE_STRUCTURE[[#This Row],[D, top '[m']]])/(2*WHOLE_STRUCTURE[[#This Row],[t '[mm']]]/1000),"")</f>
        <v/>
      </c>
    </row>
    <row r="450" spans="10:13" x14ac:dyDescent="0.25">
      <c r="J450" s="54" t="str">
        <f t="shared" si="9"/>
        <v/>
      </c>
      <c r="K450" s="54" t="str">
        <f>IFERROR(WHOLE_STRUCTURE[[#This Row],[Bottom '[m']]]-WHOLE_STRUCTURE[[#This Row],[D, top '[m']]], "")</f>
        <v/>
      </c>
      <c r="L450" s="54" t="str">
        <f>IFERROR(-(WHOLE_STRUCTURE[[#This Row],[D, bottom '[m']]]-WHOLE_STRUCTURE[[#This Row],[D, top '[m']]])/(WHOLE_STRUCTURE[[#This Row],[Bottom '[m']]]-WHOLE_STRUCTURE[[#This Row],[Top '[m']]]),"")</f>
        <v/>
      </c>
      <c r="M450" s="54" t="str">
        <f>IFERROR((WHOLE_STRUCTURE[[#This Row],[D, bottom '[m']]]+WHOLE_STRUCTURE[[#This Row],[D, top '[m']]])/(2*WHOLE_STRUCTURE[[#This Row],[t '[mm']]]/1000),"")</f>
        <v/>
      </c>
    </row>
    <row r="451" spans="10:13" x14ac:dyDescent="0.25">
      <c r="J451" s="54" t="str">
        <f t="shared" ref="J451:J452" si="10">IF(7850/1000*(1/3)*PI()*ABS(E451-F451)*((G451/2)^2+(G451/2)*(H451/2)+(H451/2)^2-(G451/2-I451/1000)^2-(G451/2-I451/1000)*(H451/2-I451/1000)-(H451/2-I451/1000)^2)=0,"",7850/1000*(1/3)*PI()*ABS(E451-F451)*((G451/2)^2+(G451/2)*(H451/2)+(H451/2)^2-(G451/2-I451/1000)^2-(G451/2-I451/1000)*(H451/2-I451/1000)-(H451/2-I451/1000)^2))</f>
        <v/>
      </c>
      <c r="K451" s="54" t="str">
        <f>IFERROR(WHOLE_STRUCTURE[[#This Row],[Bottom '[m']]]-WHOLE_STRUCTURE[[#This Row],[D, top '[m']]], "")</f>
        <v/>
      </c>
      <c r="L451" s="54" t="str">
        <f>IFERROR(-(WHOLE_STRUCTURE[[#This Row],[D, bottom '[m']]]-WHOLE_STRUCTURE[[#This Row],[D, top '[m']]])/(WHOLE_STRUCTURE[[#This Row],[Bottom '[m']]]-WHOLE_STRUCTURE[[#This Row],[Top '[m']]]),"")</f>
        <v/>
      </c>
      <c r="M451" s="54" t="str">
        <f>IFERROR((WHOLE_STRUCTURE[[#This Row],[D, bottom '[m']]]+WHOLE_STRUCTURE[[#This Row],[D, top '[m']]])/(2*WHOLE_STRUCTURE[[#This Row],[t '[mm']]]/1000),"")</f>
        <v/>
      </c>
    </row>
    <row r="452" spans="10:13" x14ac:dyDescent="0.25">
      <c r="J452" s="54" t="str">
        <f t="shared" si="10"/>
        <v/>
      </c>
      <c r="K452" s="54" t="str">
        <f>IFERROR(WHOLE_STRUCTURE[[#This Row],[Bottom '[m']]]-WHOLE_STRUCTURE[[#This Row],[D, top '[m']]], "")</f>
        <v/>
      </c>
      <c r="L452" s="54" t="str">
        <f>IFERROR(-(WHOLE_STRUCTURE[[#This Row],[D, bottom '[m']]]-WHOLE_STRUCTURE[[#This Row],[D, top '[m']]])/(WHOLE_STRUCTURE[[#This Row],[Bottom '[m']]]-WHOLE_STRUCTURE[[#This Row],[Top '[m']]]),"")</f>
        <v/>
      </c>
      <c r="M452" s="54" t="str">
        <f>IFERROR((WHOLE_STRUCTURE[[#This Row],[D, bottom '[m']]]+WHOLE_STRUCTURE[[#This Row],[D, top '[m']]])/(2*WHOLE_STRUCTURE[[#This Row],[t '[mm']]]/1000),"")</f>
        <v/>
      </c>
    </row>
  </sheetData>
  <protectedRanges>
    <protectedRange sqref="L4 C5:C6 M4:N6" name="Bereich1_3"/>
  </protectedRanges>
  <phoneticPr fontId="10" type="noConversion"/>
  <dataValidations disablePrompts="1" count="1">
    <dataValidation type="list" allowBlank="1" showInputMessage="1" showErrorMessage="1" sqref="L4" xr:uid="{E92DA31F-A847-4B55-AB93-5ACCFB45CDD5}">
      <formula1>$Q$20:$Q$33</formula1>
    </dataValidation>
  </dataValidations>
  <pageMargins left="0.7" right="0.7" top="0.78740157499999996" bottom="0.78740157499999996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7FEFA-F48A-450B-AC0F-1DA0A8374D16}">
  <sheetPr codeName="Tabelle3"/>
  <dimension ref="B2:E15"/>
  <sheetViews>
    <sheetView topLeftCell="A2" zoomScale="145" zoomScaleNormal="145" workbookViewId="0">
      <selection activeCell="E14" sqref="E14"/>
    </sheetView>
  </sheetViews>
  <sheetFormatPr baseColWidth="10" defaultRowHeight="15" x14ac:dyDescent="0.25"/>
  <cols>
    <col min="2" max="2" width="41.7109375" customWidth="1"/>
    <col min="5" max="5" width="23.42578125" customWidth="1"/>
  </cols>
  <sheetData>
    <row r="2" spans="2:5" ht="31.5" x14ac:dyDescent="0.5">
      <c r="B2" s="68" t="s">
        <v>56</v>
      </c>
    </row>
    <row r="5" spans="2:5" ht="18" customHeight="1" x14ac:dyDescent="0.25"/>
    <row r="6" spans="2:5" x14ac:dyDescent="0.25">
      <c r="B6" t="s">
        <v>124</v>
      </c>
    </row>
    <row r="8" spans="2:5" x14ac:dyDescent="0.25">
      <c r="B8" t="s">
        <v>27</v>
      </c>
      <c r="C8" t="s">
        <v>129</v>
      </c>
      <c r="D8" t="s">
        <v>130</v>
      </c>
      <c r="E8" t="s">
        <v>19</v>
      </c>
    </row>
    <row r="9" spans="2:5" x14ac:dyDescent="0.25">
      <c r="B9" t="s">
        <v>125</v>
      </c>
      <c r="C9" s="51" t="s">
        <v>126</v>
      </c>
      <c r="D9" t="s">
        <v>88</v>
      </c>
      <c r="E9" t="s">
        <v>138</v>
      </c>
    </row>
    <row r="10" spans="2:5" x14ac:dyDescent="0.25">
      <c r="B10" t="s">
        <v>127</v>
      </c>
      <c r="C10" s="70">
        <v>210000000000</v>
      </c>
      <c r="D10" t="s">
        <v>131</v>
      </c>
    </row>
    <row r="11" spans="2:5" x14ac:dyDescent="0.25">
      <c r="B11" t="s">
        <v>128</v>
      </c>
      <c r="C11" s="51">
        <v>7850</v>
      </c>
      <c r="D11" t="s">
        <v>132</v>
      </c>
    </row>
    <row r="12" spans="2:5" x14ac:dyDescent="0.25">
      <c r="B12" t="s">
        <v>133</v>
      </c>
      <c r="C12" s="51">
        <v>0.75</v>
      </c>
      <c r="D12" t="s">
        <v>134</v>
      </c>
      <c r="E12" t="s">
        <v>160</v>
      </c>
    </row>
    <row r="13" spans="2:5" x14ac:dyDescent="0.25">
      <c r="B13" t="s">
        <v>135</v>
      </c>
      <c r="C13" s="51">
        <v>5</v>
      </c>
      <c r="D13" t="s">
        <v>136</v>
      </c>
      <c r="E13" t="s">
        <v>159</v>
      </c>
    </row>
    <row r="14" spans="2:5" x14ac:dyDescent="0.25">
      <c r="B14" t="s">
        <v>137</v>
      </c>
      <c r="C14" s="51">
        <v>0.5</v>
      </c>
      <c r="D14" t="s">
        <v>134</v>
      </c>
      <c r="E14" t="s">
        <v>160</v>
      </c>
    </row>
    <row r="15" spans="2:5" x14ac:dyDescent="0.25">
      <c r="B15" t="s">
        <v>152</v>
      </c>
      <c r="C15" s="51">
        <v>0.1</v>
      </c>
      <c r="D15" s="55" t="s">
        <v>148</v>
      </c>
    </row>
  </sheetData>
  <protectedRanges>
    <protectedRange sqref="C15" name="Bereich1_3"/>
  </protectedRange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elect_JBOOST_out">
                <anchor moveWithCells="1" sizeWithCells="1">
                  <from>
                    <xdr:col>1</xdr:col>
                    <xdr:colOff>0</xdr:colOff>
                    <xdr:row>3</xdr:row>
                    <xdr:rowOff>142875</xdr:rowOff>
                  </from>
                  <to>
                    <xdr:col>1</xdr:col>
                    <xdr:colOff>1038225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_JBOOST">
                <anchor moveWithCells="1" sizeWithCells="1">
                  <from>
                    <xdr:col>1</xdr:col>
                    <xdr:colOff>1085850</xdr:colOff>
                    <xdr:row>3</xdr:row>
                    <xdr:rowOff>142875</xdr:rowOff>
                  </from>
                  <to>
                    <xdr:col>1</xdr:col>
                    <xdr:colOff>2114550</xdr:colOff>
                    <xdr:row>4</xdr:row>
                    <xdr:rowOff>219075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60D63-E31C-4F52-B783-22FC97D94E01}">
  <sheetPr codeName="Tabelle5"/>
  <dimension ref="B2:D21"/>
  <sheetViews>
    <sheetView workbookViewId="0">
      <selection activeCell="B5" sqref="B5"/>
    </sheetView>
  </sheetViews>
  <sheetFormatPr baseColWidth="10" defaultRowHeight="15" x14ac:dyDescent="0.25"/>
  <cols>
    <col min="2" max="2" width="130.7109375" customWidth="1"/>
  </cols>
  <sheetData>
    <row r="2" spans="2:4" x14ac:dyDescent="0.25">
      <c r="C2" t="s">
        <v>69</v>
      </c>
    </row>
    <row r="3" spans="2:4" ht="17.25" customHeight="1" x14ac:dyDescent="0.25">
      <c r="B3" s="49" t="s">
        <v>50</v>
      </c>
    </row>
    <row r="4" spans="2:4" ht="17.25" customHeight="1" x14ac:dyDescent="0.25">
      <c r="B4" s="49" t="s">
        <v>51</v>
      </c>
      <c r="D4" s="49"/>
    </row>
    <row r="5" spans="2:4" ht="17.25" customHeight="1" x14ac:dyDescent="0.25">
      <c r="B5" s="49" t="s">
        <v>52</v>
      </c>
    </row>
    <row r="6" spans="2:4" ht="17.25" customHeight="1" x14ac:dyDescent="0.25">
      <c r="B6" s="49" t="s">
        <v>53</v>
      </c>
    </row>
    <row r="7" spans="2:4" ht="17.25" customHeight="1" x14ac:dyDescent="0.25">
      <c r="B7" s="50" t="s">
        <v>54</v>
      </c>
    </row>
    <row r="8" spans="2:4" ht="17.25" customHeight="1" x14ac:dyDescent="0.25">
      <c r="B8" s="50" t="s">
        <v>55</v>
      </c>
    </row>
    <row r="9" spans="2:4" ht="17.25" customHeight="1" x14ac:dyDescent="0.25">
      <c r="B9" s="50" t="s">
        <v>56</v>
      </c>
    </row>
    <row r="10" spans="2:4" ht="17.25" customHeight="1" x14ac:dyDescent="0.25">
      <c r="B10" s="50" t="s">
        <v>57</v>
      </c>
    </row>
    <row r="11" spans="2:4" ht="17.25" customHeight="1" x14ac:dyDescent="0.25">
      <c r="B11" s="50" t="s">
        <v>58</v>
      </c>
    </row>
    <row r="12" spans="2:4" ht="17.25" customHeight="1" x14ac:dyDescent="0.25">
      <c r="B12" s="49" t="s">
        <v>59</v>
      </c>
    </row>
    <row r="13" spans="2:4" ht="17.25" customHeight="1" x14ac:dyDescent="0.25">
      <c r="B13" s="49" t="s">
        <v>60</v>
      </c>
    </row>
    <row r="14" spans="2:4" ht="17.25" customHeight="1" x14ac:dyDescent="0.25">
      <c r="B14" s="49" t="s">
        <v>61</v>
      </c>
    </row>
    <row r="15" spans="2:4" ht="17.25" customHeight="1" x14ac:dyDescent="0.25">
      <c r="B15" s="49" t="s">
        <v>62</v>
      </c>
    </row>
    <row r="16" spans="2:4" ht="17.25" customHeight="1" x14ac:dyDescent="0.25">
      <c r="B16" s="49" t="s">
        <v>63</v>
      </c>
    </row>
    <row r="17" spans="2:2" ht="17.25" customHeight="1" x14ac:dyDescent="0.25">
      <c r="B17" s="49" t="s">
        <v>64</v>
      </c>
    </row>
    <row r="18" spans="2:2" ht="17.25" customHeight="1" x14ac:dyDescent="0.25">
      <c r="B18" s="49" t="s">
        <v>65</v>
      </c>
    </row>
    <row r="19" spans="2:2" ht="17.25" customHeight="1" x14ac:dyDescent="0.25">
      <c r="B19" s="49" t="s">
        <v>66</v>
      </c>
    </row>
    <row r="20" spans="2:2" ht="17.25" customHeight="1" x14ac:dyDescent="0.25">
      <c r="B20" s="49" t="s">
        <v>67</v>
      </c>
    </row>
    <row r="21" spans="2:2" ht="17.25" customHeight="1" x14ac:dyDescent="0.25">
      <c r="B21" s="49" t="s">
        <v>68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ECCB23D478EE2149B7D26163499BCE7F" ma:contentTypeVersion="14" ma:contentTypeDescription="Ein neues Dokument erstellen." ma:contentTypeScope="" ma:versionID="6a73ecbf81e33c06800e5b2ba3527cb6">
  <xsd:schema xmlns:xsd="http://www.w3.org/2001/XMLSchema" xmlns:xs="http://www.w3.org/2001/XMLSchema" xmlns:p="http://schemas.microsoft.com/office/2006/metadata/properties" xmlns:ns3="c29fb90e-3bcc-4c77-9862-a61eb338c306" xmlns:ns4="26f3f122-c7f5-42b5-8ee6-39220632bf83" targetNamespace="http://schemas.microsoft.com/office/2006/metadata/properties" ma:root="true" ma:fieldsID="841da8a0fccae2d67d3d70e7f433a335" ns3:_="" ns4:_="">
    <xsd:import namespace="c29fb90e-3bcc-4c77-9862-a61eb338c306"/>
    <xsd:import namespace="26f3f122-c7f5-42b5-8ee6-39220632bf83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9fb90e-3bcc-4c77-9862-a61eb338c306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7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f3f122-c7f5-42b5-8ee6-39220632bf83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Freigabehinweis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c29fb90e-3bcc-4c77-9862-a61eb338c306" xsi:nil="true"/>
  </documentManagement>
</p:properties>
</file>

<file path=customXml/itemProps1.xml><?xml version="1.0" encoding="utf-8"?>
<ds:datastoreItem xmlns:ds="http://schemas.openxmlformats.org/officeDocument/2006/customXml" ds:itemID="{42E05702-23C8-42EE-A1FA-64734F85726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29fb90e-3bcc-4c77-9862-a61eb338c306"/>
    <ds:schemaRef ds:uri="26f3f122-c7f5-42b5-8ee6-39220632bf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5407D5C-286A-4637-81FE-136D0BCF98A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013BF6C-43A4-40F7-AB78-9A09A5BCF3FF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www.w3.org/XML/1998/namespace"/>
    <ds:schemaRef ds:uri="c29fb90e-3bcc-4c77-9862-a61eb338c306"/>
    <ds:schemaRef ds:uri="http://purl.org/dc/elements/1.1/"/>
    <ds:schemaRef ds:uri="http://schemas.openxmlformats.org/package/2006/metadata/core-properties"/>
    <ds:schemaRef ds:uri="26f3f122-c7f5-42b5-8ee6-39220632bf83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19</vt:i4>
      </vt:variant>
    </vt:vector>
  </HeadingPairs>
  <TitlesOfParts>
    <vt:vector size="24" baseType="lpstr">
      <vt:lpstr>CreateStucture</vt:lpstr>
      <vt:lpstr>BuildYourStructure</vt:lpstr>
      <vt:lpstr>StructureOverview</vt:lpstr>
      <vt:lpstr>ExportStructure</vt:lpstr>
      <vt:lpstr>Loop</vt:lpstr>
      <vt:lpstr>DISPL_MP</vt:lpstr>
      <vt:lpstr>DISPL_TP</vt:lpstr>
      <vt:lpstr>Import_MP_path</vt:lpstr>
      <vt:lpstr>JBOOST_Path</vt:lpstr>
      <vt:lpstr>MOVE_STRUCT</vt:lpstr>
      <vt:lpstr>RNA_CURR_TRUE</vt:lpstr>
      <vt:lpstr>SKIRT_MASS</vt:lpstr>
      <vt:lpstr>Table_MP_DATA</vt:lpstr>
      <vt:lpstr>Table_MP_META</vt:lpstr>
      <vt:lpstr>Table_TP_DATA</vt:lpstr>
      <vt:lpstr>Table_TP_META</vt:lpstr>
      <vt:lpstr>Text</vt:lpstr>
      <vt:lpstr>TextBox_Import_MP_path</vt:lpstr>
      <vt:lpstr>TextBox_MP_db_path</vt:lpstr>
      <vt:lpstr>TextBox_RNA_db_path</vt:lpstr>
      <vt:lpstr>TextBox_TOWER_db_path</vt:lpstr>
      <vt:lpstr>TextBox_TP_db_path</vt:lpstr>
      <vt:lpstr>Use_MP</vt:lpstr>
      <vt:lpstr>USE_TP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Lange</dc:creator>
  <cp:lastModifiedBy>Aaron Lange</cp:lastModifiedBy>
  <dcterms:created xsi:type="dcterms:W3CDTF">2025-04-22T08:13:05Z</dcterms:created>
  <dcterms:modified xsi:type="dcterms:W3CDTF">2025-06-11T10:21:48Z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0x010100ECCB23D478EE2149B7D26163499BCE7F</vt:lpwstr>
  </property>
</Properties>
</file>