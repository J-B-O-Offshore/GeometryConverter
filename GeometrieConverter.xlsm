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4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CD504C6D-F395-44EE-9989-07EDFF3B2CCA}" xr6:coauthVersionLast="47" xr6:coauthVersionMax="47" xr10:uidLastSave="{00000000-0000-0000-0000-000000000000}"/>
  <bookViews>
    <workbookView xWindow="-28920" yWindow="-8430" windowWidth="29040" windowHeight="17520" activeTab="2" xr2:uid="{52C6B389-4C94-430F-9043-C68D8C94A3E4}"/>
  </bookViews>
  <sheets>
    <sheet name="GlobalConfig" sheetId="9" r:id="rId1"/>
    <sheet name="CreateStucture" sheetId="1" r:id="rId2"/>
    <sheet name="BuildYourStructure" sheetId="5" r:id="rId3"/>
    <sheet name="StructureOverview" sheetId="6" r:id="rId4"/>
    <sheet name="ExportStructure" sheetId="7" r:id="rId5"/>
    <sheet name="WLGen" sheetId="8" r:id="rId6"/>
    <sheet name="Loop" sheetId="3" r:id="rId7"/>
  </sheets>
  <functionGroups builtInGroupCount="19"/>
  <externalReferences>
    <externalReference r:id="rId8"/>
  </externalReferences>
  <definedNames>
    <definedName name="_xleta.N" hidden="1" xlm="1">#NAME?</definedName>
    <definedName name="_xleta.T" hidden="1" xlm="1">#NAME?</definedName>
    <definedName name="DISPL_MP">BuildYourStructure!$F$23</definedName>
    <definedName name="DISPL_TP">BuildYourStructure!$BD$8</definedName>
    <definedName name="Import_GeomConv_path">BuildYourStructure!$C$17</definedName>
    <definedName name="Import_MP_path">BuildYourStructure!$A$29</definedName>
    <definedName name="JBOOST_Path">ExportStructure!$B$6</definedName>
    <definedName name="MOVE_STRUCT">BuildYourStructure!#REF!</definedName>
    <definedName name="MP_plot">BuildYourStructure!$M$2</definedName>
    <definedName name="PROJECT_PARAMETERS">JBOOST_PROJECT[[#Headers],[Project Settings]]</definedName>
    <definedName name="python_script_path">GlobalConfig!$C$3</definedName>
    <definedName name="python_scripts_path">GlobalConfig!$C$3</definedName>
    <definedName name="RNA_CURR_TRUE">RNA_DATA_TRUE[[#Headers],[Identifier]]</definedName>
    <definedName name="RNA_META_FULL36">#REF!</definedName>
    <definedName name="SKIRT_MASS">StructureOverview!$AB$15</definedName>
    <definedName name="Table_MP_DATA">BuildYourStructure!$AH$17</definedName>
    <definedName name="Table_MP_META">BuildYourStructure!$E$12</definedName>
    <definedName name="Table_TP_DATA">BuildYourStructure!#REF!</definedName>
    <definedName name="Table_TP_META">BuildYourStructure!$AZ$11</definedName>
    <definedName name="Text">BuildYourStructure!$CT$6</definedName>
    <definedName name="TextBox_Import_MP_path">BuildYourStructure!$A$29</definedName>
    <definedName name="TextBox_MP_db_path">BuildYourStructure!$F$6</definedName>
    <definedName name="TextBox_RNA_db_path">BuildYourStructure!$EN$6</definedName>
    <definedName name="TextBox_TOWER_db_path">BuildYourStructure!$CT$6</definedName>
    <definedName name="TextBox_TP_db_path">BuildYourStructure!$BA$6</definedName>
    <definedName name="TextBox_TWR_db_path">#REF!</definedName>
    <definedName name="Use_MP">BuildYourStructure!$A$22</definedName>
    <definedName name="Use_TP">BuildYourStructure!$B$22</definedName>
    <definedName name="UseMPGeomConv">BuildYourStructure!$C$22</definedName>
    <definedName name="UseTOWERGeomConv">BuildYourStructure!$D$22</definedName>
    <definedName name="UseTPGeomConv">BuildYourStructure!$C$23</definedName>
    <definedName name="WLGen_path">WLGen!$B$6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34" i="5" l="1"/>
  <c r="M135" i="5"/>
  <c r="M136" i="5"/>
  <c r="M137" i="5"/>
  <c r="N112" i="5"/>
  <c r="O26" i="5"/>
  <c r="C8" i="6"/>
  <c r="CY19" i="5"/>
  <c r="CY20" i="5"/>
  <c r="CY21" i="5"/>
  <c r="CY22" i="5"/>
  <c r="CY23" i="5"/>
  <c r="CY24" i="5"/>
  <c r="CY25" i="5"/>
  <c r="CY26" i="5"/>
  <c r="CY27" i="5"/>
  <c r="CY28" i="5"/>
  <c r="CY29" i="5"/>
  <c r="CY30" i="5"/>
  <c r="CY31" i="5"/>
  <c r="CY32" i="5"/>
  <c r="CY33" i="5"/>
  <c r="CY34" i="5"/>
  <c r="CY35" i="5"/>
  <c r="CY36" i="5"/>
  <c r="CY37" i="5"/>
  <c r="CY38" i="5"/>
  <c r="CY39" i="5"/>
  <c r="CY40" i="5"/>
  <c r="CY41" i="5"/>
  <c r="CY42" i="5"/>
  <c r="CY43" i="5"/>
  <c r="CY44" i="5"/>
  <c r="CY45" i="5"/>
  <c r="CY46" i="5"/>
  <c r="CY47" i="5"/>
  <c r="CY48" i="5"/>
  <c r="CY49" i="5"/>
  <c r="CY50" i="5"/>
  <c r="CY51" i="5"/>
  <c r="CY52" i="5"/>
  <c r="CY53" i="5"/>
  <c r="CY54" i="5"/>
  <c r="CY55" i="5"/>
  <c r="CY56" i="5"/>
  <c r="CY57" i="5"/>
  <c r="CY58" i="5"/>
  <c r="CY59" i="5"/>
  <c r="CY60" i="5"/>
  <c r="CY61" i="5"/>
  <c r="CY62" i="5"/>
  <c r="CY63" i="5"/>
  <c r="CY64" i="5"/>
  <c r="CY65" i="5"/>
  <c r="CY66" i="5"/>
  <c r="CY67" i="5"/>
  <c r="CY68" i="5"/>
  <c r="CY69" i="5"/>
  <c r="CY70" i="5"/>
  <c r="CY71" i="5"/>
  <c r="CY72" i="5"/>
  <c r="CY73" i="5"/>
  <c r="CY74" i="5"/>
  <c r="CY75" i="5"/>
  <c r="CY76" i="5"/>
  <c r="CY77" i="5"/>
  <c r="CY78" i="5"/>
  <c r="CY79" i="5"/>
  <c r="CY80" i="5"/>
  <c r="CY81" i="5"/>
  <c r="CY82" i="5"/>
  <c r="CY83" i="5"/>
  <c r="CY84" i="5"/>
  <c r="CY85" i="5"/>
  <c r="CY86" i="5"/>
  <c r="CY87" i="5"/>
  <c r="CY88" i="5"/>
  <c r="CY89" i="5"/>
  <c r="CY90" i="5"/>
  <c r="CY91" i="5"/>
  <c r="CY92" i="5"/>
  <c r="CY93" i="5"/>
  <c r="CY94" i="5"/>
  <c r="CY95" i="5"/>
  <c r="CY96" i="5"/>
  <c r="CY97" i="5"/>
  <c r="CY98" i="5"/>
  <c r="CY99" i="5"/>
  <c r="CY100" i="5"/>
  <c r="CY101" i="5"/>
  <c r="CY102" i="5"/>
  <c r="CY103" i="5"/>
  <c r="CY104" i="5"/>
  <c r="CY105" i="5"/>
  <c r="CY106" i="5"/>
  <c r="CY107" i="5"/>
  <c r="CY108" i="5"/>
  <c r="CY109" i="5"/>
  <c r="CY110" i="5"/>
  <c r="CY111" i="5"/>
  <c r="CY112" i="5"/>
  <c r="CY113" i="5"/>
  <c r="CY114" i="5"/>
  <c r="CY115" i="5"/>
  <c r="CY116" i="5"/>
  <c r="CY117" i="5"/>
  <c r="CY118" i="5"/>
  <c r="CY119" i="5"/>
  <c r="CY120" i="5"/>
  <c r="CY121" i="5"/>
  <c r="CY122" i="5"/>
  <c r="CY123" i="5"/>
  <c r="CY124" i="5"/>
  <c r="CY125" i="5"/>
  <c r="CY126" i="5"/>
  <c r="CY127" i="5"/>
  <c r="CY128" i="5"/>
  <c r="CY129" i="5"/>
  <c r="CY130" i="5"/>
  <c r="CY131" i="5"/>
  <c r="CY132" i="5"/>
  <c r="CY133" i="5"/>
  <c r="CY134" i="5"/>
  <c r="CY135" i="5"/>
  <c r="CY136" i="5"/>
  <c r="CY18" i="5"/>
  <c r="DA19" i="5"/>
  <c r="DA20" i="5"/>
  <c r="DA21" i="5"/>
  <c r="DA22" i="5"/>
  <c r="DA23" i="5"/>
  <c r="DA24" i="5"/>
  <c r="DA25" i="5"/>
  <c r="DA26" i="5"/>
  <c r="DA27" i="5"/>
  <c r="DA28" i="5"/>
  <c r="DA29" i="5"/>
  <c r="DA30" i="5"/>
  <c r="DA31" i="5"/>
  <c r="DA32" i="5"/>
  <c r="DA33" i="5"/>
  <c r="DA34" i="5"/>
  <c r="DA35" i="5"/>
  <c r="DA36" i="5"/>
  <c r="DA37" i="5"/>
  <c r="DA38" i="5"/>
  <c r="DA39" i="5"/>
  <c r="DA40" i="5"/>
  <c r="DA41" i="5"/>
  <c r="DA42" i="5"/>
  <c r="DA43" i="5"/>
  <c r="DA44" i="5"/>
  <c r="DA45" i="5"/>
  <c r="DA46" i="5"/>
  <c r="DA47" i="5"/>
  <c r="DA48" i="5"/>
  <c r="DA49" i="5"/>
  <c r="DA50" i="5"/>
  <c r="DA51" i="5"/>
  <c r="DA52" i="5"/>
  <c r="DA53" i="5"/>
  <c r="DA54" i="5"/>
  <c r="DA55" i="5"/>
  <c r="DA56" i="5"/>
  <c r="DA57" i="5"/>
  <c r="DA58" i="5"/>
  <c r="DA59" i="5"/>
  <c r="DA60" i="5"/>
  <c r="DA61" i="5"/>
  <c r="DA62" i="5"/>
  <c r="DA63" i="5"/>
  <c r="DA64" i="5"/>
  <c r="DA65" i="5"/>
  <c r="DA66" i="5"/>
  <c r="DA67" i="5"/>
  <c r="DA68" i="5"/>
  <c r="DA69" i="5"/>
  <c r="DA70" i="5"/>
  <c r="DA71" i="5"/>
  <c r="DA72" i="5"/>
  <c r="DA73" i="5"/>
  <c r="DA74" i="5"/>
  <c r="DA75" i="5"/>
  <c r="DA76" i="5"/>
  <c r="DA77" i="5"/>
  <c r="DA78" i="5"/>
  <c r="DA79" i="5"/>
  <c r="DA80" i="5"/>
  <c r="DA81" i="5"/>
  <c r="DA82" i="5"/>
  <c r="DA83" i="5"/>
  <c r="DA84" i="5"/>
  <c r="DA85" i="5"/>
  <c r="DA86" i="5"/>
  <c r="DA87" i="5"/>
  <c r="DA88" i="5"/>
  <c r="DA89" i="5"/>
  <c r="DA90" i="5"/>
  <c r="DA91" i="5"/>
  <c r="DA92" i="5"/>
  <c r="DA93" i="5"/>
  <c r="DA94" i="5"/>
  <c r="DA95" i="5"/>
  <c r="DA96" i="5"/>
  <c r="DA97" i="5"/>
  <c r="DA98" i="5"/>
  <c r="DA99" i="5"/>
  <c r="DA100" i="5"/>
  <c r="DA101" i="5"/>
  <c r="DA102" i="5"/>
  <c r="DA103" i="5"/>
  <c r="DA104" i="5"/>
  <c r="DA105" i="5"/>
  <c r="DA106" i="5"/>
  <c r="DA107" i="5"/>
  <c r="DA108" i="5"/>
  <c r="DA109" i="5"/>
  <c r="DA110" i="5"/>
  <c r="DA111" i="5"/>
  <c r="DA112" i="5"/>
  <c r="DA113" i="5"/>
  <c r="DA114" i="5"/>
  <c r="DA115" i="5"/>
  <c r="DA116" i="5"/>
  <c r="DA117" i="5"/>
  <c r="DA118" i="5"/>
  <c r="DA119" i="5"/>
  <c r="DA120" i="5"/>
  <c r="DA121" i="5"/>
  <c r="DA122" i="5"/>
  <c r="DA123" i="5"/>
  <c r="DA124" i="5"/>
  <c r="DA125" i="5"/>
  <c r="DA126" i="5"/>
  <c r="DA127" i="5"/>
  <c r="DA128" i="5"/>
  <c r="DA129" i="5"/>
  <c r="DA130" i="5"/>
  <c r="DA131" i="5"/>
  <c r="DA132" i="5"/>
  <c r="DA18" i="5"/>
  <c r="M81" i="5"/>
  <c r="M82" i="5"/>
  <c r="M83" i="5"/>
  <c r="J6" i="6" l="1" a="1"/>
  <c r="J6" i="6" s="1"/>
  <c r="J7" i="6"/>
  <c r="ET133" i="5"/>
  <c r="ET132" i="5"/>
  <c r="ET131" i="5"/>
  <c r="ET130" i="5"/>
  <c r="ET129" i="5"/>
  <c r="ET128" i="5"/>
  <c r="ET127" i="5"/>
  <c r="ET126" i="5"/>
  <c r="ET125" i="5"/>
  <c r="ET124" i="5"/>
  <c r="ET123" i="5"/>
  <c r="ET122" i="5"/>
  <c r="ET121" i="5"/>
  <c r="ET120" i="5"/>
  <c r="ET119" i="5"/>
  <c r="ET118" i="5"/>
  <c r="ET117" i="5"/>
  <c r="ET116" i="5"/>
  <c r="ET115" i="5"/>
  <c r="ET114" i="5"/>
  <c r="ET113" i="5"/>
  <c r="ET112" i="5"/>
  <c r="ET111" i="5"/>
  <c r="ET110" i="5"/>
  <c r="ET109" i="5"/>
  <c r="ET108" i="5"/>
  <c r="ET107" i="5"/>
  <c r="ET106" i="5"/>
  <c r="ET105" i="5"/>
  <c r="ET104" i="5"/>
  <c r="ET103" i="5"/>
  <c r="ET102" i="5"/>
  <c r="ET101" i="5"/>
  <c r="ET100" i="5"/>
  <c r="ET99" i="5"/>
  <c r="ET98" i="5"/>
  <c r="ET97" i="5"/>
  <c r="ET96" i="5"/>
  <c r="ET95" i="5"/>
  <c r="ET94" i="5"/>
  <c r="ET93" i="5"/>
  <c r="ET92" i="5"/>
  <c r="ET91" i="5"/>
  <c r="ET90" i="5"/>
  <c r="ET89" i="5"/>
  <c r="ET88" i="5"/>
  <c r="ET87" i="5"/>
  <c r="AX17" i="6" l="1"/>
  <c r="AX16" i="6"/>
  <c r="AR17" i="6"/>
  <c r="AR16" i="6"/>
  <c r="J15" i="6" l="1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K112" i="5" l="1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K453" i="6"/>
  <c r="L453" i="6"/>
  <c r="J453" i="6"/>
  <c r="M453" i="6"/>
  <c r="K454" i="6"/>
  <c r="L454" i="6"/>
  <c r="J454" i="6"/>
  <c r="M454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L63" i="6"/>
  <c r="M63" i="6"/>
  <c r="L64" i="6"/>
  <c r="M64" i="6"/>
  <c r="K65" i="6"/>
  <c r="L65" i="6"/>
  <c r="M65" i="6"/>
  <c r="K66" i="6"/>
  <c r="L66" i="6"/>
  <c r="M66" i="6"/>
  <c r="K67" i="6"/>
  <c r="L67" i="6"/>
  <c r="M67" i="6"/>
  <c r="K68" i="6"/>
  <c r="L68" i="6"/>
  <c r="M68" i="6"/>
  <c r="M15" i="6"/>
  <c r="L15" i="6"/>
  <c r="J3" i="6" l="1"/>
  <c r="J4" i="6"/>
  <c r="J5" i="6"/>
  <c r="DB136" i="5"/>
  <c r="CZ136" i="5"/>
  <c r="DB135" i="5"/>
  <c r="CZ135" i="5"/>
  <c r="DB134" i="5"/>
  <c r="CZ134" i="5"/>
  <c r="DB133" i="5"/>
  <c r="CZ133" i="5"/>
  <c r="DB132" i="5"/>
  <c r="CZ132" i="5"/>
  <c r="DB131" i="5"/>
  <c r="CZ131" i="5"/>
  <c r="DB130" i="5"/>
  <c r="CZ130" i="5"/>
  <c r="DB129" i="5"/>
  <c r="CZ129" i="5"/>
  <c r="DB128" i="5"/>
  <c r="CZ128" i="5"/>
  <c r="DB127" i="5"/>
  <c r="CZ127" i="5"/>
  <c r="DB126" i="5"/>
  <c r="CZ126" i="5"/>
  <c r="DB125" i="5"/>
  <c r="CZ125" i="5"/>
  <c r="DB124" i="5"/>
  <c r="CZ124" i="5"/>
  <c r="DB123" i="5"/>
  <c r="CZ123" i="5"/>
  <c r="DB122" i="5"/>
  <c r="CZ122" i="5"/>
  <c r="DB121" i="5"/>
  <c r="CZ121" i="5"/>
  <c r="DB120" i="5"/>
  <c r="CZ120" i="5"/>
  <c r="DB119" i="5"/>
  <c r="CZ119" i="5"/>
  <c r="DB118" i="5"/>
  <c r="CZ118" i="5"/>
  <c r="DB117" i="5"/>
  <c r="CZ117" i="5"/>
  <c r="DB116" i="5"/>
  <c r="CZ116" i="5"/>
  <c r="DB115" i="5"/>
  <c r="CZ115" i="5"/>
  <c r="DB114" i="5"/>
  <c r="CZ114" i="5"/>
  <c r="DB113" i="5"/>
  <c r="CZ113" i="5"/>
  <c r="DB112" i="5"/>
  <c r="CZ112" i="5"/>
  <c r="DC111" i="5"/>
  <c r="DB111" i="5"/>
  <c r="CZ111" i="5"/>
  <c r="DC110" i="5"/>
  <c r="DB110" i="5"/>
  <c r="CZ110" i="5"/>
  <c r="DC109" i="5"/>
  <c r="DB109" i="5"/>
  <c r="CZ109" i="5"/>
  <c r="DC108" i="5"/>
  <c r="DB108" i="5"/>
  <c r="CZ108" i="5"/>
  <c r="DC107" i="5"/>
  <c r="DB107" i="5"/>
  <c r="CZ107" i="5"/>
  <c r="DC106" i="5"/>
  <c r="DB106" i="5"/>
  <c r="CZ106" i="5"/>
  <c r="DC105" i="5"/>
  <c r="DB105" i="5"/>
  <c r="CZ105" i="5"/>
  <c r="DC104" i="5"/>
  <c r="DB104" i="5"/>
  <c r="CZ104" i="5"/>
  <c r="DC103" i="5"/>
  <c r="DB103" i="5"/>
  <c r="CZ103" i="5"/>
  <c r="DC102" i="5"/>
  <c r="DB102" i="5"/>
  <c r="CZ102" i="5"/>
  <c r="DC101" i="5"/>
  <c r="DB101" i="5"/>
  <c r="CZ101" i="5"/>
  <c r="DC100" i="5"/>
  <c r="DB100" i="5"/>
  <c r="CZ100" i="5"/>
  <c r="DC99" i="5"/>
  <c r="DB99" i="5"/>
  <c r="CZ99" i="5"/>
  <c r="DC98" i="5"/>
  <c r="DB98" i="5"/>
  <c r="CZ98" i="5"/>
  <c r="DC97" i="5"/>
  <c r="DB97" i="5"/>
  <c r="CZ97" i="5"/>
  <c r="DC96" i="5"/>
  <c r="DB96" i="5"/>
  <c r="CZ96" i="5"/>
  <c r="DC95" i="5"/>
  <c r="DB95" i="5"/>
  <c r="CZ95" i="5"/>
  <c r="DC94" i="5"/>
  <c r="DB94" i="5"/>
  <c r="CZ94" i="5"/>
  <c r="DC93" i="5"/>
  <c r="DB93" i="5"/>
  <c r="CZ93" i="5"/>
  <c r="DC92" i="5"/>
  <c r="DB92" i="5"/>
  <c r="CZ92" i="5"/>
  <c r="DC91" i="5"/>
  <c r="DB91" i="5"/>
  <c r="CZ91" i="5"/>
  <c r="DC90" i="5"/>
  <c r="DB90" i="5"/>
  <c r="CZ90" i="5"/>
  <c r="DC89" i="5"/>
  <c r="DB89" i="5"/>
  <c r="CZ89" i="5"/>
  <c r="DC88" i="5"/>
  <c r="DB88" i="5"/>
  <c r="CZ88" i="5"/>
  <c r="DC87" i="5"/>
  <c r="DB87" i="5"/>
  <c r="CZ87" i="5"/>
  <c r="DC86" i="5"/>
  <c r="DB86" i="5"/>
  <c r="CZ86" i="5"/>
  <c r="DC85" i="5"/>
  <c r="DB85" i="5"/>
  <c r="CZ85" i="5"/>
  <c r="DC84" i="5"/>
  <c r="DB84" i="5"/>
  <c r="CZ84" i="5"/>
  <c r="DC83" i="5"/>
  <c r="DB83" i="5"/>
  <c r="CZ83" i="5"/>
  <c r="DC82" i="5"/>
  <c r="DB82" i="5"/>
  <c r="CZ82" i="5"/>
  <c r="DC81" i="5"/>
  <c r="DB81" i="5"/>
  <c r="CZ81" i="5"/>
  <c r="DC80" i="5"/>
  <c r="DB80" i="5"/>
  <c r="CZ80" i="5"/>
  <c r="DC79" i="5"/>
  <c r="DB79" i="5"/>
  <c r="CZ79" i="5"/>
  <c r="DC78" i="5"/>
  <c r="DB78" i="5"/>
  <c r="CZ78" i="5"/>
  <c r="DC77" i="5"/>
  <c r="DB77" i="5"/>
  <c r="CZ77" i="5"/>
  <c r="DC76" i="5"/>
  <c r="DB76" i="5"/>
  <c r="CZ76" i="5"/>
  <c r="DC75" i="5"/>
  <c r="DB75" i="5"/>
  <c r="CZ75" i="5"/>
  <c r="DC74" i="5"/>
  <c r="DB74" i="5"/>
  <c r="CZ74" i="5"/>
  <c r="DC73" i="5"/>
  <c r="DB73" i="5"/>
  <c r="CZ73" i="5"/>
  <c r="DC72" i="5"/>
  <c r="DB72" i="5"/>
  <c r="CZ72" i="5"/>
  <c r="DC71" i="5"/>
  <c r="DB71" i="5"/>
  <c r="CZ71" i="5"/>
  <c r="DC70" i="5"/>
  <c r="DB70" i="5"/>
  <c r="CZ70" i="5"/>
  <c r="DC69" i="5"/>
  <c r="DB69" i="5"/>
  <c r="CZ69" i="5"/>
  <c r="DC68" i="5"/>
  <c r="DB68" i="5"/>
  <c r="CZ68" i="5"/>
  <c r="DC67" i="5"/>
  <c r="DB67" i="5"/>
  <c r="CZ67" i="5"/>
  <c r="DC66" i="5"/>
  <c r="DB66" i="5"/>
  <c r="CZ66" i="5"/>
  <c r="DC65" i="5"/>
  <c r="DB65" i="5"/>
  <c r="CZ65" i="5"/>
  <c r="DC64" i="5"/>
  <c r="DB64" i="5"/>
  <c r="CZ64" i="5"/>
  <c r="DC63" i="5"/>
  <c r="DB63" i="5"/>
  <c r="CZ63" i="5"/>
  <c r="DC62" i="5"/>
  <c r="DB62" i="5"/>
  <c r="CZ62" i="5"/>
  <c r="DC61" i="5"/>
  <c r="DB61" i="5"/>
  <c r="CZ61" i="5"/>
  <c r="DC60" i="5"/>
  <c r="DB60" i="5"/>
  <c r="CZ60" i="5"/>
  <c r="DC59" i="5"/>
  <c r="DB59" i="5"/>
  <c r="CZ59" i="5"/>
  <c r="DB58" i="5"/>
  <c r="CZ58" i="5"/>
  <c r="DB57" i="5"/>
  <c r="CZ57" i="5"/>
  <c r="DB56" i="5"/>
  <c r="CZ56" i="5"/>
  <c r="DB55" i="5"/>
  <c r="CZ55" i="5"/>
  <c r="DB54" i="5"/>
  <c r="CZ54" i="5"/>
  <c r="DB53" i="5"/>
  <c r="CZ53" i="5"/>
  <c r="DB52" i="5"/>
  <c r="CZ52" i="5"/>
  <c r="DB51" i="5"/>
  <c r="CZ51" i="5"/>
  <c r="DB50" i="5"/>
  <c r="CZ50" i="5"/>
  <c r="DB49" i="5"/>
  <c r="CZ49" i="5"/>
  <c r="DB48" i="5"/>
  <c r="CZ48" i="5"/>
  <c r="DB47" i="5"/>
  <c r="CZ47" i="5"/>
  <c r="DC46" i="5"/>
  <c r="DB46" i="5"/>
  <c r="CZ46" i="5"/>
  <c r="DC45" i="5"/>
  <c r="DB45" i="5"/>
  <c r="CZ45" i="5"/>
  <c r="DC44" i="5"/>
  <c r="DB44" i="5"/>
  <c r="CZ44" i="5"/>
  <c r="DC43" i="5"/>
  <c r="DB43" i="5"/>
  <c r="CZ43" i="5"/>
  <c r="DC42" i="5"/>
  <c r="DB42" i="5"/>
  <c r="CZ42" i="5"/>
  <c r="DC41" i="5"/>
  <c r="DB41" i="5"/>
  <c r="CZ41" i="5"/>
  <c r="DC40" i="5"/>
  <c r="DB40" i="5"/>
  <c r="CZ40" i="5"/>
  <c r="DC39" i="5"/>
  <c r="DB39" i="5"/>
  <c r="CZ39" i="5"/>
  <c r="DC38" i="5"/>
  <c r="DB38" i="5"/>
  <c r="CZ38" i="5"/>
  <c r="DC37" i="5"/>
  <c r="DB37" i="5"/>
  <c r="CZ37" i="5"/>
  <c r="DC36" i="5"/>
  <c r="DB36" i="5"/>
  <c r="CZ36" i="5"/>
  <c r="DC35" i="5"/>
  <c r="DB35" i="5"/>
  <c r="CZ35" i="5"/>
  <c r="DC34" i="5"/>
  <c r="DB34" i="5"/>
  <c r="CZ34" i="5"/>
  <c r="DC33" i="5"/>
  <c r="DB33" i="5"/>
  <c r="CZ33" i="5"/>
  <c r="DC32" i="5"/>
  <c r="DB32" i="5"/>
  <c r="CZ32" i="5"/>
  <c r="DC31" i="5"/>
  <c r="DB31" i="5"/>
  <c r="CZ31" i="5"/>
  <c r="DC30" i="5"/>
  <c r="DB30" i="5"/>
  <c r="CZ30" i="5"/>
  <c r="DC29" i="5"/>
  <c r="DB29" i="5"/>
  <c r="CZ29" i="5"/>
  <c r="DC28" i="5"/>
  <c r="DB28" i="5"/>
  <c r="CZ28" i="5"/>
  <c r="DC27" i="5"/>
  <c r="DB27" i="5"/>
  <c r="CZ27" i="5"/>
  <c r="DC26" i="5"/>
  <c r="DB26" i="5"/>
  <c r="CZ26" i="5"/>
  <c r="DC25" i="5"/>
  <c r="DB25" i="5"/>
  <c r="CZ25" i="5"/>
  <c r="DC24" i="5"/>
  <c r="DB24" i="5"/>
  <c r="CZ24" i="5"/>
  <c r="DC23" i="5"/>
  <c r="DB23" i="5"/>
  <c r="CZ23" i="5"/>
  <c r="DC22" i="5"/>
  <c r="DB22" i="5"/>
  <c r="CZ22" i="5"/>
  <c r="DB21" i="5"/>
  <c r="CZ21" i="5"/>
  <c r="DB20" i="5"/>
  <c r="CZ20" i="5"/>
  <c r="DB19" i="5"/>
  <c r="CZ19" i="5"/>
  <c r="DB18" i="5"/>
  <c r="CZ18" i="5"/>
  <c r="BH136" i="5"/>
  <c r="BF136" i="5"/>
  <c r="BE136" i="5"/>
  <c r="BH135" i="5"/>
  <c r="BF135" i="5"/>
  <c r="BE135" i="5"/>
  <c r="BH134" i="5"/>
  <c r="BF134" i="5"/>
  <c r="BE134" i="5"/>
  <c r="BH133" i="5"/>
  <c r="BF133" i="5"/>
  <c r="BE133" i="5"/>
  <c r="BH132" i="5"/>
  <c r="BF132" i="5"/>
  <c r="BE132" i="5"/>
  <c r="BH131" i="5"/>
  <c r="BF131" i="5"/>
  <c r="BE131" i="5"/>
  <c r="BH130" i="5"/>
  <c r="BG130" i="5"/>
  <c r="BF130" i="5"/>
  <c r="BE130" i="5"/>
  <c r="BH129" i="5"/>
  <c r="BG129" i="5"/>
  <c r="BF129" i="5"/>
  <c r="BE129" i="5"/>
  <c r="BH128" i="5"/>
  <c r="BG128" i="5"/>
  <c r="BF128" i="5"/>
  <c r="BE128" i="5"/>
  <c r="BH127" i="5"/>
  <c r="BG127" i="5"/>
  <c r="BF127" i="5"/>
  <c r="BE127" i="5"/>
  <c r="BH126" i="5"/>
  <c r="BG126" i="5"/>
  <c r="BF126" i="5"/>
  <c r="BE126" i="5"/>
  <c r="BH125" i="5"/>
  <c r="BG125" i="5"/>
  <c r="BF125" i="5"/>
  <c r="BE125" i="5"/>
  <c r="BH124" i="5"/>
  <c r="BG124" i="5"/>
  <c r="BF124" i="5"/>
  <c r="BE124" i="5"/>
  <c r="BH123" i="5"/>
  <c r="BG123" i="5"/>
  <c r="BF123" i="5"/>
  <c r="BE123" i="5"/>
  <c r="BH122" i="5"/>
  <c r="BG122" i="5"/>
  <c r="BF122" i="5"/>
  <c r="BE122" i="5"/>
  <c r="BH121" i="5"/>
  <c r="BG121" i="5"/>
  <c r="BF121" i="5"/>
  <c r="BE121" i="5"/>
  <c r="BH120" i="5"/>
  <c r="BG120" i="5"/>
  <c r="BF120" i="5"/>
  <c r="BE120" i="5"/>
  <c r="BH119" i="5"/>
  <c r="BG119" i="5"/>
  <c r="BF119" i="5"/>
  <c r="BE119" i="5"/>
  <c r="BH118" i="5"/>
  <c r="BG118" i="5"/>
  <c r="BF118" i="5"/>
  <c r="BE118" i="5"/>
  <c r="BH117" i="5"/>
  <c r="BG117" i="5"/>
  <c r="BF117" i="5"/>
  <c r="BE117" i="5"/>
  <c r="BH116" i="5"/>
  <c r="BG116" i="5"/>
  <c r="BF116" i="5"/>
  <c r="BE116" i="5"/>
  <c r="BH115" i="5"/>
  <c r="BG115" i="5"/>
  <c r="BF115" i="5"/>
  <c r="BE115" i="5"/>
  <c r="BH114" i="5"/>
  <c r="BG114" i="5"/>
  <c r="BF114" i="5"/>
  <c r="BE114" i="5"/>
  <c r="BH113" i="5"/>
  <c r="BG113" i="5"/>
  <c r="BF113" i="5"/>
  <c r="BE113" i="5"/>
  <c r="BH112" i="5"/>
  <c r="BG112" i="5"/>
  <c r="BF112" i="5"/>
  <c r="BE112" i="5"/>
  <c r="BI111" i="5"/>
  <c r="BH111" i="5"/>
  <c r="BG111" i="5"/>
  <c r="BF111" i="5"/>
  <c r="BE111" i="5"/>
  <c r="BI110" i="5"/>
  <c r="BH110" i="5"/>
  <c r="BG110" i="5"/>
  <c r="BF110" i="5"/>
  <c r="BE110" i="5"/>
  <c r="BI109" i="5"/>
  <c r="BH109" i="5"/>
  <c r="BG109" i="5"/>
  <c r="BF109" i="5"/>
  <c r="BE109" i="5"/>
  <c r="BI108" i="5"/>
  <c r="BH108" i="5"/>
  <c r="BG108" i="5"/>
  <c r="BF108" i="5"/>
  <c r="BE108" i="5"/>
  <c r="BI107" i="5"/>
  <c r="BH107" i="5"/>
  <c r="BG107" i="5"/>
  <c r="BF107" i="5"/>
  <c r="BE107" i="5"/>
  <c r="BI106" i="5"/>
  <c r="BH106" i="5"/>
  <c r="BG106" i="5"/>
  <c r="BF106" i="5"/>
  <c r="BE106" i="5"/>
  <c r="BI105" i="5"/>
  <c r="BH105" i="5"/>
  <c r="BG105" i="5"/>
  <c r="BF105" i="5"/>
  <c r="BE105" i="5"/>
  <c r="BI104" i="5"/>
  <c r="BH104" i="5"/>
  <c r="BG104" i="5"/>
  <c r="BF104" i="5"/>
  <c r="BE104" i="5"/>
  <c r="BI103" i="5"/>
  <c r="BH103" i="5"/>
  <c r="BG103" i="5"/>
  <c r="BF103" i="5"/>
  <c r="BE103" i="5"/>
  <c r="BI102" i="5"/>
  <c r="BH102" i="5"/>
  <c r="BG102" i="5"/>
  <c r="BF102" i="5"/>
  <c r="BE102" i="5"/>
  <c r="BI101" i="5"/>
  <c r="BH101" i="5"/>
  <c r="BG101" i="5"/>
  <c r="BF101" i="5"/>
  <c r="BE101" i="5"/>
  <c r="BI100" i="5"/>
  <c r="BH100" i="5"/>
  <c r="BG100" i="5"/>
  <c r="BF100" i="5"/>
  <c r="BE100" i="5"/>
  <c r="BI99" i="5"/>
  <c r="BH99" i="5"/>
  <c r="BG99" i="5"/>
  <c r="BF99" i="5"/>
  <c r="BE99" i="5"/>
  <c r="BI98" i="5"/>
  <c r="BH98" i="5"/>
  <c r="BG98" i="5"/>
  <c r="BF98" i="5"/>
  <c r="BE98" i="5"/>
  <c r="BI97" i="5"/>
  <c r="BH97" i="5"/>
  <c r="BG97" i="5"/>
  <c r="BF97" i="5"/>
  <c r="BE97" i="5"/>
  <c r="BI96" i="5"/>
  <c r="BH96" i="5"/>
  <c r="BG96" i="5"/>
  <c r="BF96" i="5"/>
  <c r="BE96" i="5"/>
  <c r="BI95" i="5"/>
  <c r="BH95" i="5"/>
  <c r="BG95" i="5"/>
  <c r="BF95" i="5"/>
  <c r="BE95" i="5"/>
  <c r="BI94" i="5"/>
  <c r="BH94" i="5"/>
  <c r="BG94" i="5"/>
  <c r="BF94" i="5"/>
  <c r="BE94" i="5"/>
  <c r="BI93" i="5"/>
  <c r="BH93" i="5"/>
  <c r="BG93" i="5"/>
  <c r="BF93" i="5"/>
  <c r="BE93" i="5"/>
  <c r="BI92" i="5"/>
  <c r="BH92" i="5"/>
  <c r="BG92" i="5"/>
  <c r="BF92" i="5"/>
  <c r="BE92" i="5"/>
  <c r="BI91" i="5"/>
  <c r="BH91" i="5"/>
  <c r="BG91" i="5"/>
  <c r="BF91" i="5"/>
  <c r="BE91" i="5"/>
  <c r="BI90" i="5"/>
  <c r="BH90" i="5"/>
  <c r="BG90" i="5"/>
  <c r="BF90" i="5"/>
  <c r="BE90" i="5"/>
  <c r="BI89" i="5"/>
  <c r="BH89" i="5"/>
  <c r="BG89" i="5"/>
  <c r="BF89" i="5"/>
  <c r="BE89" i="5"/>
  <c r="BI88" i="5"/>
  <c r="BH88" i="5"/>
  <c r="BG88" i="5"/>
  <c r="BF88" i="5"/>
  <c r="BE88" i="5"/>
  <c r="BI87" i="5"/>
  <c r="BH87" i="5"/>
  <c r="BG87" i="5"/>
  <c r="BF87" i="5"/>
  <c r="BE87" i="5"/>
  <c r="BI86" i="5"/>
  <c r="BH86" i="5"/>
  <c r="BG86" i="5"/>
  <c r="BF86" i="5"/>
  <c r="BE86" i="5"/>
  <c r="BI85" i="5"/>
  <c r="BH85" i="5"/>
  <c r="BG85" i="5"/>
  <c r="BF85" i="5"/>
  <c r="BE85" i="5"/>
  <c r="BI84" i="5"/>
  <c r="BH84" i="5"/>
  <c r="BG84" i="5"/>
  <c r="BF84" i="5"/>
  <c r="BE84" i="5"/>
  <c r="BI83" i="5"/>
  <c r="BH83" i="5"/>
  <c r="BG83" i="5"/>
  <c r="BF83" i="5"/>
  <c r="BE83" i="5"/>
  <c r="BI82" i="5"/>
  <c r="BH82" i="5"/>
  <c r="BG82" i="5"/>
  <c r="BF82" i="5"/>
  <c r="BE82" i="5"/>
  <c r="BI81" i="5"/>
  <c r="BH81" i="5"/>
  <c r="BG81" i="5"/>
  <c r="BF81" i="5"/>
  <c r="BE81" i="5"/>
  <c r="BI80" i="5"/>
  <c r="BH80" i="5"/>
  <c r="BG80" i="5"/>
  <c r="BF80" i="5"/>
  <c r="BE80" i="5"/>
  <c r="BI79" i="5"/>
  <c r="BH79" i="5"/>
  <c r="BG79" i="5"/>
  <c r="BF79" i="5"/>
  <c r="BE79" i="5"/>
  <c r="BI78" i="5"/>
  <c r="BH78" i="5"/>
  <c r="BG78" i="5"/>
  <c r="BF78" i="5"/>
  <c r="BE78" i="5"/>
  <c r="BI77" i="5"/>
  <c r="BH77" i="5"/>
  <c r="BG77" i="5"/>
  <c r="BF77" i="5"/>
  <c r="BE77" i="5"/>
  <c r="BI76" i="5"/>
  <c r="BH76" i="5"/>
  <c r="BG76" i="5"/>
  <c r="BF76" i="5"/>
  <c r="BE76" i="5"/>
  <c r="BI75" i="5"/>
  <c r="BH75" i="5"/>
  <c r="BG75" i="5"/>
  <c r="BF75" i="5"/>
  <c r="BE75" i="5"/>
  <c r="BI74" i="5"/>
  <c r="BH74" i="5"/>
  <c r="BG74" i="5"/>
  <c r="BF74" i="5"/>
  <c r="BE74" i="5"/>
  <c r="BI73" i="5"/>
  <c r="BH73" i="5"/>
  <c r="BG73" i="5"/>
  <c r="BF73" i="5"/>
  <c r="BE73" i="5"/>
  <c r="BI72" i="5"/>
  <c r="BH72" i="5"/>
  <c r="BG72" i="5"/>
  <c r="BF72" i="5"/>
  <c r="BE72" i="5"/>
  <c r="BI71" i="5"/>
  <c r="BH71" i="5"/>
  <c r="BG71" i="5"/>
  <c r="BF71" i="5"/>
  <c r="BE71" i="5"/>
  <c r="BI70" i="5"/>
  <c r="BH70" i="5"/>
  <c r="BG70" i="5"/>
  <c r="BF70" i="5"/>
  <c r="BE70" i="5"/>
  <c r="BI69" i="5"/>
  <c r="BH69" i="5"/>
  <c r="BG69" i="5"/>
  <c r="BF69" i="5"/>
  <c r="BE69" i="5"/>
  <c r="BI68" i="5"/>
  <c r="BH68" i="5"/>
  <c r="BG68" i="5"/>
  <c r="BF68" i="5"/>
  <c r="BE68" i="5"/>
  <c r="BI67" i="5"/>
  <c r="BH67" i="5"/>
  <c r="BG67" i="5"/>
  <c r="BF67" i="5"/>
  <c r="BE67" i="5"/>
  <c r="BI66" i="5"/>
  <c r="BH66" i="5"/>
  <c r="BG66" i="5"/>
  <c r="BF66" i="5"/>
  <c r="BE66" i="5"/>
  <c r="BI65" i="5"/>
  <c r="BH65" i="5"/>
  <c r="BG65" i="5"/>
  <c r="BF65" i="5"/>
  <c r="BE65" i="5"/>
  <c r="BI64" i="5"/>
  <c r="BH64" i="5"/>
  <c r="BG64" i="5"/>
  <c r="BF64" i="5"/>
  <c r="BE64" i="5"/>
  <c r="BI63" i="5"/>
  <c r="BH63" i="5"/>
  <c r="BG63" i="5"/>
  <c r="BF63" i="5"/>
  <c r="BE63" i="5"/>
  <c r="BI62" i="5"/>
  <c r="BH62" i="5"/>
  <c r="BG62" i="5"/>
  <c r="BF62" i="5"/>
  <c r="BE62" i="5"/>
  <c r="BI61" i="5"/>
  <c r="BH61" i="5"/>
  <c r="BG61" i="5"/>
  <c r="BF61" i="5"/>
  <c r="BE61" i="5"/>
  <c r="BI60" i="5"/>
  <c r="BH60" i="5"/>
  <c r="BG60" i="5"/>
  <c r="BF60" i="5"/>
  <c r="BE60" i="5"/>
  <c r="BI59" i="5"/>
  <c r="BH59" i="5"/>
  <c r="BG59" i="5"/>
  <c r="BF59" i="5"/>
  <c r="BE59" i="5"/>
  <c r="BH58" i="5"/>
  <c r="BG58" i="5"/>
  <c r="BF58" i="5"/>
  <c r="BE58" i="5"/>
  <c r="BH57" i="5"/>
  <c r="BG57" i="5"/>
  <c r="BF57" i="5"/>
  <c r="BE57" i="5"/>
  <c r="BH56" i="5"/>
  <c r="BG56" i="5"/>
  <c r="BF56" i="5"/>
  <c r="BE56" i="5"/>
  <c r="BH55" i="5"/>
  <c r="BG55" i="5"/>
  <c r="BF55" i="5"/>
  <c r="BE55" i="5"/>
  <c r="BH54" i="5"/>
  <c r="BG54" i="5"/>
  <c r="BF54" i="5"/>
  <c r="BE54" i="5"/>
  <c r="BH53" i="5"/>
  <c r="BG53" i="5"/>
  <c r="BF53" i="5"/>
  <c r="BE53" i="5"/>
  <c r="BH52" i="5"/>
  <c r="BG52" i="5"/>
  <c r="BF52" i="5"/>
  <c r="BE52" i="5"/>
  <c r="BH51" i="5"/>
  <c r="BG51" i="5"/>
  <c r="BF51" i="5"/>
  <c r="BE51" i="5"/>
  <c r="BH50" i="5"/>
  <c r="BG50" i="5"/>
  <c r="BF50" i="5"/>
  <c r="BE50" i="5"/>
  <c r="BH49" i="5"/>
  <c r="BG49" i="5"/>
  <c r="BF49" i="5"/>
  <c r="BE49" i="5"/>
  <c r="BH48" i="5"/>
  <c r="BG48" i="5"/>
  <c r="BF48" i="5"/>
  <c r="BE48" i="5"/>
  <c r="BH47" i="5"/>
  <c r="BG47" i="5"/>
  <c r="BF47" i="5"/>
  <c r="BE47" i="5"/>
  <c r="BI46" i="5"/>
  <c r="BH46" i="5"/>
  <c r="BG46" i="5"/>
  <c r="BF46" i="5"/>
  <c r="BE46" i="5"/>
  <c r="BI45" i="5"/>
  <c r="BH45" i="5"/>
  <c r="BG45" i="5"/>
  <c r="BF45" i="5"/>
  <c r="BE45" i="5"/>
  <c r="BI44" i="5"/>
  <c r="BH44" i="5"/>
  <c r="BG44" i="5"/>
  <c r="BF44" i="5"/>
  <c r="BE44" i="5"/>
  <c r="BI43" i="5"/>
  <c r="BH43" i="5"/>
  <c r="BG43" i="5"/>
  <c r="BF43" i="5"/>
  <c r="BE43" i="5"/>
  <c r="BI42" i="5"/>
  <c r="BH42" i="5"/>
  <c r="BG42" i="5"/>
  <c r="BF42" i="5"/>
  <c r="BE42" i="5"/>
  <c r="BI41" i="5"/>
  <c r="BH41" i="5"/>
  <c r="BG41" i="5"/>
  <c r="BF41" i="5"/>
  <c r="BE41" i="5"/>
  <c r="BI40" i="5"/>
  <c r="BH40" i="5"/>
  <c r="BG40" i="5"/>
  <c r="BF40" i="5"/>
  <c r="BE40" i="5"/>
  <c r="BI39" i="5"/>
  <c r="BH39" i="5"/>
  <c r="BG39" i="5"/>
  <c r="BF39" i="5"/>
  <c r="BE39" i="5"/>
  <c r="BI38" i="5"/>
  <c r="BH38" i="5"/>
  <c r="BG38" i="5"/>
  <c r="BF38" i="5"/>
  <c r="BE38" i="5"/>
  <c r="BI37" i="5"/>
  <c r="BH37" i="5"/>
  <c r="BG37" i="5"/>
  <c r="BF37" i="5"/>
  <c r="BE37" i="5"/>
  <c r="BI36" i="5"/>
  <c r="BH36" i="5"/>
  <c r="BG36" i="5"/>
  <c r="BF36" i="5"/>
  <c r="BE36" i="5"/>
  <c r="BI35" i="5"/>
  <c r="BH35" i="5"/>
  <c r="BG35" i="5"/>
  <c r="BF35" i="5"/>
  <c r="BE35" i="5"/>
  <c r="BI34" i="5"/>
  <c r="BH34" i="5"/>
  <c r="BG34" i="5"/>
  <c r="BF34" i="5"/>
  <c r="BE34" i="5"/>
  <c r="BI33" i="5"/>
  <c r="BH33" i="5"/>
  <c r="BG33" i="5"/>
  <c r="BF33" i="5"/>
  <c r="BE33" i="5"/>
  <c r="BI32" i="5"/>
  <c r="BH32" i="5"/>
  <c r="BG32" i="5"/>
  <c r="BF32" i="5"/>
  <c r="BE32" i="5"/>
  <c r="BI31" i="5"/>
  <c r="BH31" i="5"/>
  <c r="BG31" i="5"/>
  <c r="BF31" i="5"/>
  <c r="BE31" i="5"/>
  <c r="BI30" i="5"/>
  <c r="BH30" i="5"/>
  <c r="BG30" i="5"/>
  <c r="BF30" i="5"/>
  <c r="BE30" i="5"/>
  <c r="BI29" i="5"/>
  <c r="BH29" i="5"/>
  <c r="BG29" i="5"/>
  <c r="BF29" i="5"/>
  <c r="BE29" i="5"/>
  <c r="BI28" i="5"/>
  <c r="BH28" i="5"/>
  <c r="BG28" i="5"/>
  <c r="BF28" i="5"/>
  <c r="BE28" i="5"/>
  <c r="BI27" i="5"/>
  <c r="BH27" i="5"/>
  <c r="BG27" i="5"/>
  <c r="BF27" i="5"/>
  <c r="BE27" i="5"/>
  <c r="BI26" i="5"/>
  <c r="BH26" i="5"/>
  <c r="BG26" i="5"/>
  <c r="BF26" i="5"/>
  <c r="BE26" i="5"/>
  <c r="BI25" i="5"/>
  <c r="BH25" i="5"/>
  <c r="BG25" i="5"/>
  <c r="BF25" i="5"/>
  <c r="BE25" i="5"/>
  <c r="BI24" i="5"/>
  <c r="BH24" i="5"/>
  <c r="BG24" i="5"/>
  <c r="BF24" i="5"/>
  <c r="BE24" i="5"/>
  <c r="BJ23" i="5"/>
  <c r="BI23" i="5"/>
  <c r="BH23" i="5"/>
  <c r="BG23" i="5"/>
  <c r="BF23" i="5"/>
  <c r="BJ22" i="5"/>
  <c r="BI22" i="5"/>
  <c r="BH22" i="5"/>
  <c r="BG22" i="5"/>
  <c r="BF22" i="5"/>
  <c r="BI21" i="5"/>
  <c r="BH21" i="5"/>
  <c r="BG21" i="5"/>
  <c r="BF21" i="5"/>
  <c r="BI20" i="5"/>
  <c r="BH20" i="5"/>
  <c r="BG20" i="5"/>
  <c r="BF20" i="5"/>
  <c r="BI19" i="5"/>
  <c r="BH19" i="5"/>
  <c r="BG19" i="5"/>
  <c r="BF19" i="5"/>
  <c r="BI18" i="5"/>
  <c r="BH18" i="5"/>
  <c r="BG18" i="5"/>
  <c r="BF18" i="5"/>
  <c r="N81" i="5"/>
  <c r="N82" i="5"/>
  <c r="N83" i="5"/>
  <c r="N108" i="5"/>
  <c r="N109" i="5"/>
  <c r="N134" i="5"/>
  <c r="N135" i="5"/>
  <c r="N136" i="5"/>
  <c r="N137" i="5"/>
  <c r="N114" i="5"/>
  <c r="N115" i="5"/>
  <c r="N116" i="5"/>
  <c r="N117" i="5"/>
  <c r="N118" i="5"/>
  <c r="N119" i="5"/>
  <c r="N120" i="5"/>
  <c r="N121" i="5"/>
  <c r="N122" i="5"/>
  <c r="N123" i="5"/>
  <c r="N124" i="5"/>
  <c r="N125" i="5"/>
  <c r="N126" i="5"/>
  <c r="N127" i="5"/>
  <c r="N128" i="5"/>
  <c r="N129" i="5"/>
  <c r="N130" i="5"/>
  <c r="N131" i="5"/>
  <c r="N132" i="5"/>
  <c r="N133" i="5"/>
  <c r="N113" i="5"/>
  <c r="M108" i="5"/>
  <c r="M109" i="5"/>
  <c r="M113" i="5"/>
  <c r="M114" i="5"/>
  <c r="M115" i="5"/>
  <c r="M116" i="5"/>
  <c r="M117" i="5"/>
  <c r="M118" i="5"/>
  <c r="M119" i="5"/>
  <c r="M120" i="5"/>
  <c r="M121" i="5"/>
  <c r="M122" i="5"/>
  <c r="M123" i="5"/>
  <c r="M124" i="5"/>
  <c r="M125" i="5"/>
  <c r="M126" i="5"/>
  <c r="M127" i="5"/>
  <c r="M128" i="5"/>
  <c r="M129" i="5"/>
  <c r="M130" i="5"/>
  <c r="M131" i="5"/>
  <c r="M132" i="5"/>
  <c r="M133" i="5"/>
  <c r="M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81" i="5"/>
  <c r="L82" i="5"/>
  <c r="L83" i="5"/>
  <c r="L108" i="5"/>
  <c r="L109" i="5"/>
  <c r="L134" i="5"/>
  <c r="L135" i="5"/>
  <c r="L136" i="5"/>
  <c r="L112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81" i="5"/>
  <c r="K82" i="5"/>
  <c r="K83" i="5"/>
  <c r="K108" i="5"/>
  <c r="K109" i="5"/>
  <c r="K134" i="5"/>
  <c r="K135" i="5"/>
  <c r="K136" i="5"/>
  <c r="K137" i="5"/>
  <c r="K113" i="5"/>
  <c r="K114" i="5"/>
  <c r="K115" i="5"/>
  <c r="O22" i="5"/>
  <c r="O23" i="5"/>
  <c r="O24" i="5"/>
  <c r="O25" i="5"/>
  <c r="O27" i="5"/>
  <c r="O28" i="5"/>
  <c r="O29" i="5"/>
  <c r="O30" i="5"/>
  <c r="O31" i="5"/>
  <c r="O32" i="5"/>
  <c r="O33" i="5"/>
  <c r="O34" i="5"/>
  <c r="O35" i="5"/>
  <c r="O36" i="5"/>
  <c r="O41" i="5"/>
  <c r="O42" i="5"/>
  <c r="O43" i="5"/>
  <c r="O44" i="5"/>
  <c r="O45" i="5"/>
  <c r="O46" i="5"/>
  <c r="O59" i="5"/>
  <c r="O60" i="5"/>
  <c r="O61" i="5"/>
  <c r="O62" i="5"/>
  <c r="O63" i="5"/>
  <c r="O64" i="5"/>
  <c r="O65" i="5"/>
  <c r="O66" i="5"/>
  <c r="O67" i="5"/>
  <c r="O68" i="5"/>
  <c r="O69" i="5"/>
  <c r="O70" i="5"/>
  <c r="O71" i="5"/>
  <c r="O72" i="5"/>
  <c r="O73" i="5"/>
  <c r="O74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O98" i="5"/>
  <c r="O99" i="5"/>
  <c r="O100" i="5"/>
  <c r="O101" i="5"/>
  <c r="O102" i="5"/>
  <c r="O103" i="5"/>
  <c r="O104" i="5"/>
  <c r="O105" i="5"/>
  <c r="O106" i="5"/>
  <c r="O107" i="5"/>
  <c r="O108" i="5"/>
  <c r="O109" i="5"/>
  <c r="O110" i="5"/>
  <c r="O111" i="5"/>
  <c r="J8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<sst xmlns="http://schemas.openxmlformats.org/spreadsheetml/2006/main" count="811" uniqueCount="288">
  <si>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</si>
  <si>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</si>
  <si>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</si>
  <si>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</si>
  <si>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</si>
  <si>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</si>
  <si>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</si>
  <si>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</si>
  <si>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</si>
  <si>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</si>
  <si>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</si>
  <si>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</si>
  <si>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</si>
  <si>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</si>
  <si>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</si>
  <si>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</si>
  <si>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</si>
  <si>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</si>
  <si>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</si>
  <si>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</si>
  <si>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</si>
  <si>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</si>
  <si>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</si>
  <si>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</si>
  <si>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</si>
  <si>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</si>
  <si>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</si>
  <si>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</si>
  <si>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</si>
  <si>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</si>
  <si>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</si>
  <si>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</si>
  <si>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</si>
  <si>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</si>
  <si>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</si>
  <si>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</si>
  <si>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</si>
  <si>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</si>
  <si>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</si>
  <si>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</si>
  <si>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</si>
  <si>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</si>
  <si>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</si>
  <si>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</si>
  <si>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</si>
  <si>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</si>
  <si>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</si>
  <si>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</si>
  <si>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</si>
  <si>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</si>
  <si>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</si>
  <si>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</si>
  <si>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</si>
  <si>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</si>
  <si>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</si>
  <si>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</si>
  <si>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</si>
  <si>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</si>
  <si>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</si>
  <si>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</si>
  <si>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</si>
  <si>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</si>
  <si>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</si>
  <si>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</si>
  <si>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</si>
  <si>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</si>
  <si>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</si>
  <si>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</si>
  <si>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</si>
  <si>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</si>
  <si>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click to show db data</t>
  </si>
  <si>
    <t xml:space="preserve">Unchanged data Saved in DB 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</si>
  <si>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</si>
  <si>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</si>
  <si>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</si>
  <si>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</si>
  <si>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</si>
  <si>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</si>
  <si>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</si>
  <si>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</si>
  <si>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</si>
  <si>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</si>
  <si>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</si>
  <si>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</si>
  <si>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</si>
  <si>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</si>
  <si>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</si>
  <si>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</si>
  <si>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</si>
  <si>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</si>
  <si>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Mass [kg]</t>
  </si>
  <si>
    <t>TP/MP flange</t>
  </si>
  <si>
    <t>Airtight platform</t>
  </si>
  <si>
    <t>Skirt</t>
  </si>
  <si>
    <t>Service Platform</t>
  </si>
  <si>
    <t>Junction Box Platform</t>
  </si>
  <si>
    <t>Internal Access System</t>
  </si>
  <si>
    <t>Bottom [m]</t>
  </si>
  <si>
    <t>Top [m]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</si>
  <si>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</si>
  <si>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</si>
  <si>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</si>
  <si>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</si>
  <si>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</si>
  <si>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</si>
  <si>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</si>
  <si>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</si>
  <si>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</si>
  <si>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</si>
  <si>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</si>
  <si>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</si>
  <si>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</si>
  <si>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</si>
  <si>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</si>
  <si>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</si>
  <si>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</si>
  <si>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</si>
  <si>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</si>
  <si>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</si>
  <si>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</si>
  <si>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</si>
  <si>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</si>
  <si>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</si>
  <si>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</si>
  <si>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</si>
  <si>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</si>
  <si>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</si>
  <si>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</si>
  <si>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</si>
  <si>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</si>
  <si>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</si>
  <si>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</si>
  <si>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</si>
  <si>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CLICK TO SHOW META TABLE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</si>
  <si>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</si>
  <si>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</si>
  <si>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</si>
  <si>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</si>
  <si>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</si>
  <si>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</si>
  <si>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</si>
  <si>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</si>
  <si>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</si>
  <si>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</si>
  <si>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</si>
  <si>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</si>
  <si>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</si>
  <si>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</si>
  <si>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</si>
  <si>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</si>
  <si>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</si>
  <si>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</si>
  <si>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</si>
  <si>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</si>
  <si>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</si>
  <si>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</si>
  <si>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</si>
  <si>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</si>
  <si>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</si>
  <si>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</si>
  <si>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</si>
  <si>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</si>
  <si>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</si>
  <si>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</si>
  <si>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</si>
  <si>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</si>
  <si>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</si>
  <si>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</si>
  <si>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</si>
  <si>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</si>
  <si>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</si>
  <si>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</si>
  <si>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</si>
  <si>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</si>
  <si>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</si>
  <si>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</si>
  <si>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</si>
  <si>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</si>
  <si>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</si>
  <si>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</si>
  <si>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</si>
  <si>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</si>
  <si>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</si>
  <si>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</si>
  <si>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</si>
  <si>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</si>
  <si>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</si>
  <si>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</si>
  <si>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</si>
  <si>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</si>
  <si>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</si>
  <si>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</si>
  <si>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</si>
  <si>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</si>
  <si>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</si>
  <si>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</si>
  <si>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</si>
  <si>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</si>
  <si>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</si>
  <si>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</si>
  <si>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</si>
  <si>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</si>
  <si>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</si>
  <si>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</si>
  <si>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</si>
  <si>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</si>
  <si>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</si>
  <si>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</si>
  <si>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</si>
  <si>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</si>
  <si>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</si>
  <si>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</si>
  <si>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</si>
  <si>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</si>
  <si>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</si>
  <si>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</si>
  <si>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</si>
  <si>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</si>
  <si>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</si>
  <si>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</si>
  <si>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</si>
  <si>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</si>
  <si>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</si>
  <si>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</si>
  <si>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</si>
  <si>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</si>
  <si>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</si>
  <si>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</si>
  <si>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</si>
  <si>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</si>
  <si>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</si>
  <si>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</si>
  <si>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</si>
  <si>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</si>
  <si>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</si>
  <si>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Gap between surfaces</t>
  </si>
  <si>
    <t>^^</t>
  </si>
  <si>
    <t xml:space="preserve">Use For (WL: Waveload generator, AM: Additional Masses) </t>
  </si>
  <si>
    <t>AM</t>
  </si>
  <si>
    <t>Surface Roughness [m]</t>
  </si>
  <si>
    <t>Density  [kg/m^3]</t>
  </si>
  <si>
    <t>DIN 18088-1</t>
  </si>
  <si>
    <t>Siemens SG-DD-XXX</t>
  </si>
  <si>
    <t>added from Ala</t>
  </si>
  <si>
    <t>24A525</t>
  </si>
  <si>
    <t>MPTP_DP-A2_L0_G2_S1</t>
  </si>
  <si>
    <t>24A525_FEED_MPTP_DP-A2_L0_G2_S1</t>
  </si>
  <si>
    <t>Vestas mass</t>
  </si>
  <si>
    <t>dummy to have same number of nodes as 22 MW MP</t>
  </si>
  <si>
    <t>DP-A2</t>
  </si>
  <si>
    <t>24A525_FEED_DP-A2</t>
  </si>
  <si>
    <t>for Dreekant</t>
  </si>
  <si>
    <t>whole MP geometry from top to end of pile (way below mudline - right now, geometry must be cut at mudline level for Bladed model, JBOOST model)</t>
  </si>
  <si>
    <t>C:\Users\aaron.lange\Desktop\Projekte\Geometrie_Converter\Validation_Dreekant</t>
  </si>
  <si>
    <t>python_scripts_path</t>
  </si>
  <si>
    <t>C:/Users/aaron.lange/Desktop/Projekte/Geometrie_Converter/GeometrieConverter/python_scripts</t>
  </si>
  <si>
    <t>C:\Users\aaron.lange\Desktop\JBOOSTTest</t>
  </si>
  <si>
    <t>Name</t>
  </si>
  <si>
    <t>INVALID</t>
  </si>
  <si>
    <t>GENERIC_NONE_XXX</t>
  </si>
  <si>
    <t>GENERIC</t>
  </si>
  <si>
    <t>NONE</t>
  </si>
  <si>
    <t>XXX</t>
  </si>
  <si>
    <t>XXXX_DUMMY_XXXX</t>
  </si>
  <si>
    <t>XXXX</t>
  </si>
  <si>
    <t>DUMMY</t>
  </si>
  <si>
    <t>24A523_ILA_DP-A_L0_G0_S0</t>
  </si>
  <si>
    <t>24A523</t>
  </si>
  <si>
    <t>ILA</t>
  </si>
  <si>
    <t>DP-A_L0_G0_S0</t>
  </si>
  <si>
    <t>24A523_ILA_DP-B_L0_G0_S0</t>
  </si>
  <si>
    <t>DP-B_L0_G0_S0</t>
  </si>
  <si>
    <t>24A523_ILA_DP-C_L0_G0_S0</t>
  </si>
  <si>
    <t>DP-C_L0_G0_S0</t>
  </si>
  <si>
    <t>vertical displacement:</t>
  </si>
  <si>
    <t>Lenght [m]</t>
  </si>
  <si>
    <t>Slope [-]</t>
  </si>
  <si>
    <t>D/t [-]</t>
  </si>
  <si>
    <t>db path</t>
  </si>
  <si>
    <t xml:space="preserve">value in m </t>
  </si>
  <si>
    <t xml:space="preserve">Added Masses </t>
  </si>
  <si>
    <t>calculated on sheet, not part of database</t>
  </si>
  <si>
    <r>
      <t>Database Seletion</t>
    </r>
    <r>
      <rPr>
        <i/>
        <sz val="16"/>
        <color theme="1"/>
        <rFont val="Aptos Narrow"/>
        <family val="2"/>
        <scheme val="minor"/>
      </rPr>
      <t xml:space="preserve"> click select database to find path or manually insert path</t>
    </r>
  </si>
  <si>
    <r>
      <t xml:space="preserve">Current Dataset </t>
    </r>
    <r>
      <rPr>
        <i/>
        <sz val="16"/>
        <color theme="1"/>
        <rFont val="Aptos Narrow"/>
        <family val="2"/>
        <scheme val="minor"/>
      </rPr>
      <t xml:space="preserve">change and save to modify in Database </t>
    </r>
  </si>
  <si>
    <r>
      <t xml:space="preserve">New Dataset </t>
    </r>
    <r>
      <rPr>
        <i/>
        <sz val="16"/>
        <color theme="1"/>
        <rFont val="Aptos Narrow"/>
        <family val="2"/>
        <scheme val="minor"/>
      </rPr>
      <t>fill out and save to create new Dataset</t>
    </r>
  </si>
  <si>
    <r>
      <t xml:space="preserve">Vertical Displacement </t>
    </r>
    <r>
      <rPr>
        <i/>
        <sz val="16"/>
        <color theme="1"/>
        <rFont val="Aptos Narrow"/>
        <family val="2"/>
        <scheme val="minor"/>
      </rPr>
      <t xml:space="preserve">fill in value to move Structure and Masses up or down </t>
    </r>
  </si>
  <si>
    <r>
      <t xml:space="preserve">All Datasets </t>
    </r>
    <r>
      <rPr>
        <i/>
        <sz val="16"/>
        <color theme="1"/>
        <rFont val="Aptos Narrow"/>
        <family val="2"/>
        <scheme val="minor"/>
      </rPr>
      <t>open the folded rows to show</t>
    </r>
    <r>
      <rPr>
        <b/>
        <i/>
        <sz val="16"/>
        <color theme="1"/>
        <rFont val="Aptos Narrow"/>
        <family val="2"/>
        <scheme val="minor"/>
      </rPr>
      <t xml:space="preserve"> (best use the 1/2 in the top left corner)</t>
    </r>
  </si>
  <si>
    <r>
      <t xml:space="preserve">Structure </t>
    </r>
    <r>
      <rPr>
        <i/>
        <sz val="16"/>
        <color theme="1"/>
        <rFont val="Aptos Narrow"/>
        <family val="2"/>
        <scheme val="minor"/>
      </rPr>
      <t>edit values and save to change data in datbase, they do not need to be save to be used further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</si>
</sst>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2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11"/>
      <color theme="5" tint="0.79998168889431442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4"/>
      <color rgb="FF000000"/>
      <name val="Aptos Narrow"/>
      <family val="2"/>
    </font>
    <font>
      <sz val="11"/>
      <color rgb="FF000000"/>
      <name val="Arial"/>
      <family val="2"/>
    </font>
    <font>
      <b/>
      <sz val="11"/>
      <name val="Aptos Narrow"/>
      <family val="2"/>
      <scheme val="minor"/>
    </font>
    <font>
      <b/>
      <sz val="26"/>
      <color theme="1"/>
      <name val="Aptos Narrow"/>
      <family val="2"/>
      <scheme val="minor"/>
    </font>
    <font>
      <sz val="11"/>
      <color theme="2" tint="-9.9978637043366805E-2"/>
      <name val="Aptos Narrow"/>
      <family val="2"/>
      <scheme val="minor"/>
    </font>
    <font>
      <i/>
      <sz val="16"/>
      <color theme="1"/>
      <name val="Aptos Narrow"/>
      <family val="2"/>
      <scheme val="minor"/>
    </font>
    <font>
      <b/>
      <i/>
      <sz val="16"/>
      <color theme="1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8F85"/>
        <bgColor indexed="64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theme="2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164" fontId="1" fillId="0" borderId="0"/>
  </cellStyleXfs>
  <cellXfs count="189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7" borderId="2" xfId="0" applyFill="1" applyBorder="1"/>
    <xf numFmtId="0" fontId="0" fillId="7" borderId="12" xfId="0" applyFill="1" applyBorder="1"/>
    <xf numFmtId="0" fontId="0" fillId="7" borderId="13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8" borderId="2" xfId="0" applyFill="1" applyBorder="1"/>
    <xf numFmtId="0" fontId="0" fillId="8" borderId="12" xfId="0" applyFill="1" applyBorder="1"/>
    <xf numFmtId="0" fontId="0" fillId="8" borderId="13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9" borderId="9" xfId="0" applyFill="1" applyBorder="1"/>
    <xf numFmtId="0" fontId="0" fillId="9" borderId="0" xfId="0" applyFill="1"/>
    <xf numFmtId="0" fontId="0" fillId="9" borderId="10" xfId="0" applyFill="1" applyBorder="1"/>
    <xf numFmtId="0" fontId="0" fillId="10" borderId="9" xfId="0" applyFill="1" applyBorder="1"/>
    <xf numFmtId="0" fontId="0" fillId="10" borderId="0" xfId="0" applyFill="1"/>
    <xf numFmtId="0" fontId="0" fillId="10" borderId="10" xfId="0" applyFill="1" applyBorder="1"/>
    <xf numFmtId="0" fontId="0" fillId="11" borderId="9" xfId="0" applyFill="1" applyBorder="1"/>
    <xf numFmtId="0" fontId="0" fillId="11" borderId="0" xfId="0" applyFill="1"/>
    <xf numFmtId="0" fontId="0" fillId="11" borderId="10" xfId="0" applyFill="1" applyBorder="1"/>
    <xf numFmtId="0" fontId="0" fillId="12" borderId="5" xfId="0" applyFill="1" applyBorder="1"/>
    <xf numFmtId="0" fontId="0" fillId="12" borderId="11" xfId="0" applyFill="1" applyBorder="1"/>
    <xf numFmtId="0" fontId="0" fillId="12" borderId="4" xfId="0" applyFill="1" applyBorder="1"/>
    <xf numFmtId="0" fontId="0" fillId="12" borderId="10" xfId="0" applyFill="1" applyBorder="1"/>
    <xf numFmtId="0" fontId="0" fillId="12" borderId="0" xfId="0" applyFill="1"/>
    <xf numFmtId="0" fontId="0" fillId="12" borderId="9" xfId="0" applyFill="1" applyBorder="1"/>
    <xf numFmtId="0" fontId="0" fillId="12" borderId="7" xfId="0" applyFill="1" applyBorder="1"/>
    <xf numFmtId="0" fontId="0" fillId="12" borderId="8" xfId="0" applyFill="1" applyBorder="1"/>
    <xf numFmtId="0" fontId="6" fillId="12" borderId="0" xfId="0" applyFont="1" applyFill="1"/>
    <xf numFmtId="0" fontId="0" fillId="12" borderId="6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17" xfId="0" applyFont="1" applyFill="1" applyBorder="1"/>
    <xf numFmtId="0" fontId="2" fillId="14" borderId="18" xfId="0" applyFont="1" applyFill="1" applyBorder="1"/>
    <xf numFmtId="0" fontId="0" fillId="15" borderId="19" xfId="0" applyFill="1" applyBorder="1" applyAlignment="1">
      <alignment horizontal="center"/>
    </xf>
    <xf numFmtId="1" fontId="0" fillId="15" borderId="19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2" fillId="14" borderId="17" xfId="0" applyFont="1" applyFill="1" applyBorder="1" applyAlignment="1">
      <alignment horizontal="left"/>
    </xf>
    <xf numFmtId="0" fontId="2" fillId="14" borderId="20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9" xfId="0" applyBorder="1"/>
    <xf numFmtId="0" fontId="0" fillId="0" borderId="10" xfId="0" applyBorder="1"/>
    <xf numFmtId="0" fontId="3" fillId="0" borderId="0" xfId="0" applyFont="1"/>
    <xf numFmtId="0" fontId="0" fillId="15" borderId="21" xfId="0" applyFill="1" applyBorder="1"/>
    <xf numFmtId="0" fontId="0" fillId="0" borderId="21" xfId="0" applyBorder="1"/>
    <xf numFmtId="0" fontId="0" fillId="15" borderId="22" xfId="0" applyFill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15" borderId="23" xfId="0" applyFill="1" applyBorder="1" applyAlignment="1">
      <alignment horizontal="center"/>
    </xf>
    <xf numFmtId="0" fontId="2" fillId="0" borderId="22" xfId="0" applyFont="1" applyBorder="1"/>
    <xf numFmtId="49" fontId="0" fillId="0" borderId="0" xfId="0" applyNumberFormat="1" applyAlignment="1">
      <alignment horizontal="left"/>
    </xf>
    <xf numFmtId="0" fontId="2" fillId="14" borderId="22" xfId="0" applyFont="1" applyFill="1" applyBorder="1"/>
    <xf numFmtId="11" fontId="0" fillId="0" borderId="22" xfId="0" applyNumberFormat="1" applyBorder="1" applyAlignment="1">
      <alignment horizontal="center"/>
    </xf>
    <xf numFmtId="0" fontId="0" fillId="0" borderId="18" xfId="0" applyBorder="1"/>
    <xf numFmtId="0" fontId="0" fillId="0" borderId="22" xfId="0" applyBorder="1" applyAlignment="1">
      <alignment horizontal="left"/>
    </xf>
    <xf numFmtId="0" fontId="0" fillId="15" borderId="22" xfId="0" applyFill="1" applyBorder="1" applyAlignment="1">
      <alignment horizontal="left"/>
    </xf>
    <xf numFmtId="0" fontId="0" fillId="15" borderId="21" xfId="0" applyFill="1" applyBorder="1" applyAlignment="1">
      <alignment horizontal="left"/>
    </xf>
    <xf numFmtId="0" fontId="2" fillId="14" borderId="22" xfId="0" applyFont="1" applyFill="1" applyBorder="1" applyAlignment="1">
      <alignment horizontal="left"/>
    </xf>
    <xf numFmtId="0" fontId="2" fillId="14" borderId="23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center"/>
    </xf>
    <xf numFmtId="0" fontId="0" fillId="16" borderId="0" xfId="0" applyFill="1"/>
    <xf numFmtId="0" fontId="0" fillId="13" borderId="0" xfId="0" applyFill="1"/>
    <xf numFmtId="0" fontId="2" fillId="14" borderId="0" xfId="0" applyFont="1" applyFill="1" applyAlignment="1">
      <alignment horizontal="left"/>
    </xf>
    <xf numFmtId="2" fontId="0" fillId="13" borderId="0" xfId="0" applyNumberFormat="1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5" xfId="0" applyBorder="1"/>
    <xf numFmtId="0" fontId="0" fillId="0" borderId="27" xfId="0" applyBorder="1"/>
    <xf numFmtId="0" fontId="15" fillId="7" borderId="26" xfId="0" applyFont="1" applyFill="1" applyBorder="1"/>
    <xf numFmtId="0" fontId="0" fillId="0" borderId="5" xfId="0" applyBorder="1"/>
    <xf numFmtId="0" fontId="3" fillId="9" borderId="6" xfId="0" applyFont="1" applyFill="1" applyBorder="1" applyAlignment="1">
      <alignment horizontal="center"/>
    </xf>
    <xf numFmtId="0" fontId="3" fillId="9" borderId="7" xfId="0" applyFont="1" applyFill="1" applyBorder="1" applyAlignment="1">
      <alignment horizontal="center"/>
    </xf>
    <xf numFmtId="0" fontId="3" fillId="9" borderId="8" xfId="0" applyFont="1" applyFill="1" applyBorder="1" applyAlignment="1">
      <alignment horizontal="center"/>
    </xf>
    <xf numFmtId="0" fontId="3" fillId="10" borderId="6" xfId="0" applyFont="1" applyFill="1" applyBorder="1" applyAlignment="1">
      <alignment horizontal="center"/>
    </xf>
    <xf numFmtId="0" fontId="3" fillId="10" borderId="7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1" borderId="6" xfId="0" applyFont="1" applyFill="1" applyBorder="1" applyAlignment="1">
      <alignment horizontal="center"/>
    </xf>
    <xf numFmtId="0" fontId="3" fillId="11" borderId="7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0" fillId="0" borderId="0" xfId="0" applyBorder="1"/>
    <xf numFmtId="0" fontId="0" fillId="0" borderId="11" xfId="0" applyBorder="1"/>
    <xf numFmtId="0" fontId="0" fillId="0" borderId="4" xfId="0" applyBorder="1"/>
    <xf numFmtId="0" fontId="0" fillId="7" borderId="0" xfId="0" applyFont="1" applyFill="1" applyBorder="1"/>
    <xf numFmtId="0" fontId="3" fillId="0" borderId="0" xfId="0" applyFont="1" applyBorder="1"/>
    <xf numFmtId="0" fontId="2" fillId="14" borderId="0" xfId="0" applyFont="1" applyFill="1" applyBorder="1"/>
    <xf numFmtId="0" fontId="9" fillId="0" borderId="0" xfId="0" applyFont="1" applyBorder="1"/>
    <xf numFmtId="0" fontId="0" fillId="16" borderId="0" xfId="0" applyFill="1" applyBorder="1"/>
    <xf numFmtId="0" fontId="0" fillId="16" borderId="9" xfId="0" applyFill="1" applyBorder="1"/>
    <xf numFmtId="0" fontId="20" fillId="0" borderId="0" xfId="0" applyFont="1" applyBorder="1"/>
    <xf numFmtId="0" fontId="0" fillId="7" borderId="0" xfId="0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0" fillId="13" borderId="0" xfId="0" applyFill="1" applyBorder="1"/>
    <xf numFmtId="0" fontId="2" fillId="14" borderId="0" xfId="0" applyFont="1" applyFill="1" applyBorder="1" applyAlignment="1">
      <alignment horizontal="left"/>
    </xf>
    <xf numFmtId="0" fontId="0" fillId="0" borderId="0" xfId="0" applyFill="1" applyBorder="1"/>
    <xf numFmtId="0" fontId="19" fillId="0" borderId="0" xfId="0" applyFont="1" applyBorder="1"/>
    <xf numFmtId="1" fontId="0" fillId="0" borderId="0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168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0" borderId="33" xfId="0" applyBorder="1"/>
    <xf numFmtId="0" fontId="0" fillId="13" borderId="0" xfId="0" applyFont="1" applyFill="1"/>
    <xf numFmtId="2" fontId="0" fillId="13" borderId="0" xfId="0" applyNumberFormat="1" applyFont="1" applyFill="1"/>
    <xf numFmtId="0" fontId="0" fillId="0" borderId="0" xfId="0" applyFont="1" applyFill="1"/>
    <xf numFmtId="0" fontId="0" fillId="18" borderId="6" xfId="0" applyFont="1" applyFill="1" applyBorder="1"/>
    <xf numFmtId="0" fontId="0" fillId="18" borderId="7" xfId="0" applyFont="1" applyFill="1" applyBorder="1"/>
    <xf numFmtId="0" fontId="0" fillId="18" borderId="9" xfId="0" applyFont="1" applyFill="1" applyBorder="1"/>
    <xf numFmtId="0" fontId="0" fillId="18" borderId="0" xfId="0" applyFont="1" applyFill="1" applyBorder="1"/>
    <xf numFmtId="0" fontId="0" fillId="18" borderId="5" xfId="0" applyFont="1" applyFill="1" applyBorder="1"/>
    <xf numFmtId="0" fontId="0" fillId="18" borderId="11" xfId="0" applyFont="1" applyFill="1" applyBorder="1"/>
    <xf numFmtId="0" fontId="0" fillId="0" borderId="32" xfId="0" applyBorder="1"/>
    <xf numFmtId="2" fontId="0" fillId="0" borderId="7" xfId="0" applyNumberFormat="1" applyBorder="1" applyAlignment="1">
      <alignment horizontal="center"/>
    </xf>
    <xf numFmtId="2" fontId="3" fillId="18" borderId="7" xfId="0" applyNumberFormat="1" applyFont="1" applyFill="1" applyBorder="1" applyAlignment="1">
      <alignment horizontal="left"/>
    </xf>
    <xf numFmtId="0" fontId="0" fillId="0" borderId="9" xfId="0" applyBorder="1" applyAlignment="1">
      <alignment horizontal="center"/>
    </xf>
    <xf numFmtId="2" fontId="22" fillId="13" borderId="0" xfId="0" applyNumberFormat="1" applyFont="1" applyFill="1" applyBorder="1" applyAlignment="1" applyProtection="1">
      <alignment horizontal="center"/>
      <protection locked="0"/>
    </xf>
    <xf numFmtId="0" fontId="0" fillId="16" borderId="6" xfId="0" applyFill="1" applyBorder="1"/>
    <xf numFmtId="0" fontId="0" fillId="0" borderId="0" xfId="0" applyBorder="1" applyAlignment="1">
      <alignment vertical="center"/>
    </xf>
    <xf numFmtId="0" fontId="0" fillId="16" borderId="7" xfId="0" applyFill="1" applyBorder="1"/>
    <xf numFmtId="0" fontId="3" fillId="16" borderId="0" xfId="0" applyFont="1" applyFill="1" applyBorder="1"/>
    <xf numFmtId="0" fontId="0" fillId="0" borderId="9" xfId="0" applyFill="1" applyBorder="1"/>
    <xf numFmtId="2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center"/>
    </xf>
    <xf numFmtId="0" fontId="0" fillId="13" borderId="9" xfId="0" applyFill="1" applyBorder="1"/>
    <xf numFmtId="2" fontId="12" fillId="0" borderId="0" xfId="0" applyNumberFormat="1" applyFont="1" applyBorder="1" applyAlignment="1" applyProtection="1">
      <alignment horizontal="center" vertical="center"/>
      <protection locked="0"/>
    </xf>
    <xf numFmtId="2" fontId="12" fillId="13" borderId="0" xfId="0" applyNumberFormat="1" applyFont="1" applyFill="1" applyBorder="1" applyAlignment="1" applyProtection="1">
      <alignment horizontal="center" vertical="center"/>
      <protection locked="0"/>
    </xf>
    <xf numFmtId="0" fontId="17" fillId="16" borderId="0" xfId="0" applyFont="1" applyFill="1" applyBorder="1"/>
    <xf numFmtId="0" fontId="0" fillId="0" borderId="9" xfId="0" applyFill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0" xfId="0" applyFont="1" applyFill="1" applyBorder="1"/>
    <xf numFmtId="0" fontId="0" fillId="0" borderId="10" xfId="0" applyFont="1" applyFill="1" applyBorder="1"/>
    <xf numFmtId="1" fontId="0" fillId="0" borderId="9" xfId="0" applyNumberFormat="1" applyFill="1" applyBorder="1" applyAlignment="1">
      <alignment horizontal="center"/>
    </xf>
    <xf numFmtId="1" fontId="22" fillId="0" borderId="9" xfId="0" applyNumberFormat="1" applyFont="1" applyFill="1" applyBorder="1" applyAlignment="1">
      <alignment horizontal="center"/>
    </xf>
    <xf numFmtId="2" fontId="22" fillId="0" borderId="0" xfId="0" applyNumberFormat="1" applyFont="1" applyFill="1" applyBorder="1" applyAlignment="1" applyProtection="1">
      <alignment horizontal="center"/>
      <protection locked="0"/>
    </xf>
    <xf numFmtId="1" fontId="22" fillId="0" borderId="0" xfId="0" applyNumberFormat="1" applyFont="1" applyFill="1" applyBorder="1" applyAlignment="1" applyProtection="1">
      <alignment horizontal="center"/>
      <protection locked="0"/>
    </xf>
    <xf numFmtId="0" fontId="24" fillId="0" borderId="9" xfId="0" applyFont="1" applyFill="1" applyBorder="1" applyAlignment="1">
      <alignment vertical="center"/>
    </xf>
    <xf numFmtId="0" fontId="18" fillId="17" borderId="28" xfId="0" applyFont="1" applyFill="1" applyBorder="1" applyAlignment="1">
      <alignment horizontal="center"/>
    </xf>
    <xf numFmtId="0" fontId="18" fillId="17" borderId="29" xfId="0" applyFont="1" applyFill="1" applyBorder="1" applyAlignment="1">
      <alignment horizontal="center"/>
    </xf>
    <xf numFmtId="0" fontId="18" fillId="17" borderId="30" xfId="0" applyFont="1" applyFill="1" applyBorder="1" applyAlignment="1">
      <alignment horizontal="center"/>
    </xf>
    <xf numFmtId="2" fontId="0" fillId="0" borderId="34" xfId="0" applyNumberFormat="1" applyBorder="1" applyAlignment="1">
      <alignment horizontal="center"/>
    </xf>
    <xf numFmtId="2" fontId="0" fillId="0" borderId="36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168" fontId="0" fillId="0" borderId="31" xfId="0" applyNumberFormat="1" applyBorder="1"/>
    <xf numFmtId="168" fontId="0" fillId="0" borderId="32" xfId="0" applyNumberFormat="1" applyBorder="1"/>
    <xf numFmtId="0" fontId="0" fillId="0" borderId="31" xfId="0" applyBorder="1"/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16" borderId="5" xfId="0" applyFill="1" applyBorder="1"/>
    <xf numFmtId="0" fontId="0" fillId="16" borderId="11" xfId="0" applyFill="1" applyBorder="1"/>
    <xf numFmtId="0" fontId="25" fillId="16" borderId="0" xfId="0" applyFont="1" applyFill="1" applyBorder="1"/>
    <xf numFmtId="0" fontId="16" fillId="0" borderId="9" xfId="0" applyFont="1" applyBorder="1"/>
    <xf numFmtId="1" fontId="16" fillId="0" borderId="9" xfId="0" applyNumberFormat="1" applyFont="1" applyBorder="1" applyAlignment="1">
      <alignment horizontal="left"/>
    </xf>
    <xf numFmtId="0" fontId="16" fillId="0" borderId="0" xfId="0" applyFont="1" applyBorder="1"/>
    <xf numFmtId="168" fontId="0" fillId="0" borderId="31" xfId="0" applyNumberFormat="1" applyBorder="1" applyAlignment="1">
      <alignment horizontal="center"/>
    </xf>
    <xf numFmtId="168" fontId="0" fillId="0" borderId="32" xfId="0" applyNumberFormat="1" applyBorder="1" applyAlignment="1">
      <alignment horizontal="center"/>
    </xf>
    <xf numFmtId="0" fontId="23" fillId="7" borderId="4" xfId="0" applyFont="1" applyFill="1" applyBorder="1" applyAlignment="1">
      <alignment horizontal="center"/>
    </xf>
    <xf numFmtId="2" fontId="3" fillId="0" borderId="8" xfId="0" applyNumberFormat="1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10" xfId="0" applyFont="1" applyFill="1" applyBorder="1" applyAlignment="1">
      <alignment horizontal="center"/>
    </xf>
  </cellXfs>
  <cellStyles count="2">
    <cellStyle name="Standard" xfId="0" builtinId="0"/>
    <cellStyle name="Standard 4" xfId="1" xr:uid="{7C2E7282-4006-4D40-8AAC-8E6944058B8E}"/>
  </cellStyles>
  <dxfs count="360"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  <alignment horizontal="center" vertical="bottom" textRotation="0" wrapText="0" indent="0" justifyLastLine="0" shrinkToFit="0" readingOrder="0"/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 patternType="none"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ill>
        <patternFill>
          <bgColor theme="0"/>
        </patternFill>
      </fill>
    </dxf>
    <dxf>
      <fill>
        <patternFill>
          <bgColor theme="2"/>
        </patternFill>
      </fill>
    </dxf>
    <dxf>
      <font>
        <b/>
        <i val="0"/>
        <color theme="0"/>
      </font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8F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1" defaultTableStyle="JBO_Design" defaultPivotStyle="PivotStyleLight16">
    <tableStyle name="JBO_Design" pivot="0" count="4" xr9:uid="{95AAA938-C4DD-4DEC-A5CC-FFB0938B175B}">
      <tableStyleElement type="wholeTable" dxfId="261"/>
      <tableStyleElement type="headerRow" dxfId="260"/>
      <tableStyleElement type="firstRowStripe" dxfId="259"/>
      <tableStyleElement type="secondRowStripe" dxfId="258"/>
    </tableStyle>
  </tableStyles>
  <colors>
    <mruColors>
      <color rgb="FF008F85"/>
      <color rgb="FF00CC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3" val="0">
  <itemLst>
    <item val="24A525_FEED_MPTP_DP-A2_L0_G2_S1"/>
    <item val="GENERIC_NONE_XXX"/>
    <item val="24A523_ILA_DP-A_L0_G0_S0"/>
    <item val="24A523_ILA_DP-B_L0_G0_S0"/>
    <item val="24A523_ILA_DP-C_L0_G0_S0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fmlaLink="Use_TP" lockText="1" noThreeD="1"/>
</file>

<file path=xl/ctrlProps/ctrlProp21.xml><?xml version="1.0" encoding="utf-8"?>
<formControlPr xmlns="http://schemas.microsoft.com/office/spreadsheetml/2009/9/main" objectType="CheckBox" checked="Checked" fmlaLink="Use_MP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checked="Checked" fmlaLink="UseMPGeomConv" lockText="1" noThreeD="1"/>
</file>

<file path=xl/ctrlProps/ctrlProp32.xml><?xml version="1.0" encoding="utf-8"?>
<formControlPr xmlns="http://schemas.microsoft.com/office/spreadsheetml/2009/9/main" objectType="CheckBox" checked="Checked" fmlaLink="UseTPGeomConv" lockText="1" noThreeD="1"/>
</file>

<file path=xl/ctrlProps/ctrlProp33.xml><?xml version="1.0" encoding="utf-8"?>
<formControlPr xmlns="http://schemas.microsoft.com/office/spreadsheetml/2009/9/main" objectType="CheckBox" checked="Checked" fmlaLink="UseTOWERGeomConv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Drop" dropStyle="combo" dx="26" noThreeD="1" sel="1" val="0">
  <itemLst>
    <item val="24A525_FEED_MPTP_DP-A2_L0_G2_S1"/>
  </itemLst>
</formControlPr>
</file>

<file path=xl/ctrlProps/ctrlProp36.xml><?xml version="1.0" encoding="utf-8"?>
<formControlPr xmlns="http://schemas.microsoft.com/office/spreadsheetml/2009/9/main" objectType="Drop" dropStyle="combo" dx="26" noThreeD="1" sel="13" val="5">
  <itemLst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37.xml><?xml version="1.0" encoding="utf-8"?>
<formControlPr xmlns="http://schemas.microsoft.com/office/spreadsheetml/2009/9/main" objectType="Drop" dropStyle="combo" dx="26" noThreeD="1" sel="1" val="0">
  <itemLst>
    <item val="24A525_FEED_DP-A2"/>
    <item val="GENERIC_NONE_XXX"/>
    <item val="XXXX_DUMMY_XXXX"/>
  </itemLst>
</formControlPr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295275</xdr:colOff>
          <xdr:row>13</xdr:row>
          <xdr:rowOff>104775</xdr:rowOff>
        </xdr:from>
        <xdr:to>
          <xdr:col>3</xdr:col>
          <xdr:colOff>552450</xdr:colOff>
          <xdr:row>16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13</xdr:row>
          <xdr:rowOff>123825</xdr:rowOff>
        </xdr:from>
        <xdr:to>
          <xdr:col>5</xdr:col>
          <xdr:colOff>495300</xdr:colOff>
          <xdr:row>16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123825</xdr:rowOff>
        </xdr:from>
        <xdr:to>
          <xdr:col>2</xdr:col>
          <xdr:colOff>28575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13</xdr:row>
          <xdr:rowOff>133350</xdr:rowOff>
        </xdr:from>
        <xdr:to>
          <xdr:col>7</xdr:col>
          <xdr:colOff>371475</xdr:colOff>
          <xdr:row>16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31217</xdr:colOff>
          <xdr:row>6</xdr:row>
          <xdr:rowOff>42422</xdr:rowOff>
        </xdr:from>
        <xdr:to>
          <xdr:col>7</xdr:col>
          <xdr:colOff>1653748</xdr:colOff>
          <xdr:row>7</xdr:row>
          <xdr:rowOff>176891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44822</xdr:colOff>
          <xdr:row>4</xdr:row>
          <xdr:rowOff>19050</xdr:rowOff>
        </xdr:from>
        <xdr:to>
          <xdr:col>4</xdr:col>
          <xdr:colOff>3333749</xdr:colOff>
          <xdr:row>5</xdr:row>
          <xdr:rowOff>190500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26895</xdr:colOff>
          <xdr:row>19</xdr:row>
          <xdr:rowOff>224117</xdr:rowOff>
        </xdr:from>
        <xdr:to>
          <xdr:col>8</xdr:col>
          <xdr:colOff>1445559</xdr:colOff>
          <xdr:row>23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36979</xdr:colOff>
          <xdr:row>19</xdr:row>
          <xdr:rowOff>216276</xdr:rowOff>
        </xdr:from>
        <xdr:to>
          <xdr:col>10</xdr:col>
          <xdr:colOff>1456764</xdr:colOff>
          <xdr:row>22</xdr:row>
          <xdr:rowOff>201707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86365</xdr:colOff>
          <xdr:row>0</xdr:row>
          <xdr:rowOff>95250</xdr:rowOff>
        </xdr:from>
        <xdr:to>
          <xdr:col>3</xdr:col>
          <xdr:colOff>1469572</xdr:colOff>
          <xdr:row>2</xdr:row>
          <xdr:rowOff>54428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61712</xdr:colOff>
          <xdr:row>17</xdr:row>
          <xdr:rowOff>28816</xdr:rowOff>
        </xdr:from>
        <xdr:to>
          <xdr:col>1</xdr:col>
          <xdr:colOff>1632856</xdr:colOff>
          <xdr:row>19</xdr:row>
          <xdr:rowOff>149679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28575</xdr:colOff>
          <xdr:row>5</xdr:row>
          <xdr:rowOff>28575</xdr:rowOff>
        </xdr:from>
        <xdr:to>
          <xdr:col>51</xdr:col>
          <xdr:colOff>800100</xdr:colOff>
          <xdr:row>5</xdr:row>
          <xdr:rowOff>257175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62</xdr:col>
          <xdr:colOff>790575</xdr:colOff>
          <xdr:row>10</xdr:row>
          <xdr:rowOff>28575</xdr:rowOff>
        </xdr:from>
        <xdr:to>
          <xdr:col>63</xdr:col>
          <xdr:colOff>666750</xdr:colOff>
          <xdr:row>14</xdr:row>
          <xdr:rowOff>152400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276225</xdr:colOff>
          <xdr:row>10</xdr:row>
          <xdr:rowOff>47625</xdr:rowOff>
        </xdr:from>
        <xdr:to>
          <xdr:col>62</xdr:col>
          <xdr:colOff>762000</xdr:colOff>
          <xdr:row>14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96</xdr:col>
          <xdr:colOff>38100</xdr:colOff>
          <xdr:row>5</xdr:row>
          <xdr:rowOff>38100</xdr:rowOff>
        </xdr:from>
        <xdr:to>
          <xdr:col>96</xdr:col>
          <xdr:colOff>790575</xdr:colOff>
          <xdr:row>5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108</xdr:col>
          <xdr:colOff>866775</xdr:colOff>
          <xdr:row>10</xdr:row>
          <xdr:rowOff>19050</xdr:rowOff>
        </xdr:from>
        <xdr:to>
          <xdr:col>109</xdr:col>
          <xdr:colOff>2171700</xdr:colOff>
          <xdr:row>14</xdr:row>
          <xdr:rowOff>142875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333375</xdr:colOff>
          <xdr:row>9</xdr:row>
          <xdr:rowOff>171450</xdr:rowOff>
        </xdr:from>
        <xdr:to>
          <xdr:col>108</xdr:col>
          <xdr:colOff>809625</xdr:colOff>
          <xdr:row>14</xdr:row>
          <xdr:rowOff>133350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30977</xdr:colOff>
          <xdr:row>6</xdr:row>
          <xdr:rowOff>5442</xdr:rowOff>
        </xdr:from>
        <xdr:to>
          <xdr:col>4</xdr:col>
          <xdr:colOff>3320143</xdr:colOff>
          <xdr:row>7</xdr:row>
          <xdr:rowOff>186418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838200</xdr:colOff>
          <xdr:row>5</xdr:row>
          <xdr:rowOff>19050</xdr:rowOff>
        </xdr:from>
        <xdr:to>
          <xdr:col>52</xdr:col>
          <xdr:colOff>0</xdr:colOff>
          <xdr:row>5</xdr:row>
          <xdr:rowOff>247650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96</xdr:col>
          <xdr:colOff>819150</xdr:colOff>
          <xdr:row>5</xdr:row>
          <xdr:rowOff>19050</xdr:rowOff>
        </xdr:from>
        <xdr:to>
          <xdr:col>97</xdr:col>
          <xdr:colOff>9525</xdr:colOff>
          <xdr:row>5</xdr:row>
          <xdr:rowOff>257175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1609805</xdr:colOff>
          <xdr:row>19</xdr:row>
          <xdr:rowOff>94770</xdr:rowOff>
        </xdr:from>
        <xdr:to>
          <xdr:col>1</xdr:col>
          <xdr:colOff>786573</xdr:colOff>
          <xdr:row>21</xdr:row>
          <xdr:rowOff>132869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97332</xdr:colOff>
          <xdr:row>19</xdr:row>
          <xdr:rowOff>115102</xdr:rowOff>
        </xdr:from>
        <xdr:to>
          <xdr:col>0</xdr:col>
          <xdr:colOff>1002207</xdr:colOff>
          <xdr:row>21</xdr:row>
          <xdr:rowOff>134152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21</xdr:row>
          <xdr:rowOff>19050</xdr:rowOff>
        </xdr:from>
        <xdr:to>
          <xdr:col>4</xdr:col>
          <xdr:colOff>3316941</xdr:colOff>
          <xdr:row>22</xdr:row>
          <xdr:rowOff>212912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56</xdr:col>
          <xdr:colOff>0</xdr:colOff>
          <xdr:row>7</xdr:row>
          <xdr:rowOff>9525</xdr:rowOff>
        </xdr:from>
        <xdr:to>
          <xdr:col>56</xdr:col>
          <xdr:colOff>1514475</xdr:colOff>
          <xdr:row>7</xdr:row>
          <xdr:rowOff>219075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38100</xdr:colOff>
          <xdr:row>5</xdr:row>
          <xdr:rowOff>38100</xdr:rowOff>
        </xdr:from>
        <xdr:to>
          <xdr:col>142</xdr:col>
          <xdr:colOff>790575</xdr:colOff>
          <xdr:row>5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146</xdr:col>
          <xdr:colOff>857250</xdr:colOff>
          <xdr:row>6</xdr:row>
          <xdr:rowOff>28575</xdr:rowOff>
        </xdr:from>
        <xdr:to>
          <xdr:col>148</xdr:col>
          <xdr:colOff>1590675</xdr:colOff>
          <xdr:row>8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142</xdr:col>
          <xdr:colOff>819150</xdr:colOff>
          <xdr:row>5</xdr:row>
          <xdr:rowOff>19050</xdr:rowOff>
        </xdr:from>
        <xdr:to>
          <xdr:col>143</xdr:col>
          <xdr:colOff>9525</xdr:colOff>
          <xdr:row>5</xdr:row>
          <xdr:rowOff>257175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47624</xdr:colOff>
          <xdr:row>17</xdr:row>
          <xdr:rowOff>29696</xdr:rowOff>
        </xdr:from>
        <xdr:to>
          <xdr:col>3</xdr:col>
          <xdr:colOff>1496786</xdr:colOff>
          <xdr:row>19</xdr:row>
          <xdr:rowOff>149678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12326</xdr:colOff>
          <xdr:row>19</xdr:row>
          <xdr:rowOff>105336</xdr:rowOff>
        </xdr:from>
        <xdr:to>
          <xdr:col>2</xdr:col>
          <xdr:colOff>907676</xdr:colOff>
          <xdr:row>21</xdr:row>
          <xdr:rowOff>124386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1110502</xdr:colOff>
          <xdr:row>19</xdr:row>
          <xdr:rowOff>81241</xdr:rowOff>
        </xdr:from>
        <xdr:to>
          <xdr:col>3</xdr:col>
          <xdr:colOff>538442</xdr:colOff>
          <xdr:row>21</xdr:row>
          <xdr:rowOff>147916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673474</xdr:colOff>
          <xdr:row>19</xdr:row>
          <xdr:rowOff>76200</xdr:rowOff>
        </xdr:from>
        <xdr:to>
          <xdr:col>3</xdr:col>
          <xdr:colOff>1502149</xdr:colOff>
          <xdr:row>21</xdr:row>
          <xdr:rowOff>133351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126225</xdr:colOff>
          <xdr:row>2</xdr:row>
          <xdr:rowOff>104776</xdr:rowOff>
        </xdr:from>
        <xdr:to>
          <xdr:col>1</xdr:col>
          <xdr:colOff>1627254</xdr:colOff>
          <xdr:row>4</xdr:row>
          <xdr:rowOff>212913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114301</xdr:colOff>
          <xdr:row>5</xdr:row>
          <xdr:rowOff>23532</xdr:rowOff>
        </xdr:from>
        <xdr:to>
          <xdr:col>1</xdr:col>
          <xdr:colOff>1613648</xdr:colOff>
          <xdr:row>7</xdr:row>
          <xdr:rowOff>190500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TP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121584</xdr:colOff>
          <xdr:row>7</xdr:row>
          <xdr:rowOff>222437</xdr:rowOff>
        </xdr:from>
        <xdr:to>
          <xdr:col>1</xdr:col>
          <xdr:colOff>1613647</xdr:colOff>
          <xdr:row>10</xdr:row>
          <xdr:rowOff>168088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TOWER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10</xdr:row>
          <xdr:rowOff>178734</xdr:rowOff>
        </xdr:from>
        <xdr:to>
          <xdr:col>1</xdr:col>
          <xdr:colOff>1613647</xdr:colOff>
          <xdr:row>13</xdr:row>
          <xdr:rowOff>212912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400" b="0" i="0" u="none" strike="noStrike" baseline="0">
                  <a:solidFill>
                    <a:srgbClr val="000000"/>
                  </a:solidFill>
                  <a:latin typeface="Aptos Narrow"/>
                </a:rPr>
                <a:t>Show RNA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76200</xdr:colOff>
          <xdr:row>7</xdr:row>
          <xdr:rowOff>19050</xdr:rowOff>
        </xdr:from>
        <xdr:to>
          <xdr:col>164</xdr:col>
          <xdr:colOff>1438275</xdr:colOff>
          <xdr:row>9</xdr:row>
          <xdr:rowOff>38102</xdr:rowOff>
        </xdr:to>
        <xdr:sp macro="" textlink="">
          <xdr:nvSpPr>
            <xdr:cNvPr id="4149" name="Dropdown_TP_Structures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142</xdr:col>
          <xdr:colOff>47625</xdr:colOff>
          <xdr:row>7</xdr:row>
          <xdr:rowOff>19050</xdr:rowOff>
        </xdr:from>
        <xdr:to>
          <xdr:col>164</xdr:col>
          <xdr:colOff>1476375</xdr:colOff>
          <xdr:row>8</xdr:row>
          <xdr:rowOff>200026</xdr:rowOff>
        </xdr:to>
        <xdr:sp macro="" textlink="">
          <xdr:nvSpPr>
            <xdr:cNvPr id="4150" name="Dropdown_RNA_Structures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2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96</xdr:col>
          <xdr:colOff>19050</xdr:colOff>
          <xdr:row>7</xdr:row>
          <xdr:rowOff>19050</xdr:rowOff>
        </xdr:from>
        <xdr:to>
          <xdr:col>164</xdr:col>
          <xdr:colOff>1495425</xdr:colOff>
          <xdr:row>8</xdr:row>
          <xdr:rowOff>200026</xdr:rowOff>
        </xdr:to>
        <xdr:sp macro="" textlink="">
          <xdr:nvSpPr>
            <xdr:cNvPr id="4155" name="Dropdown_TOWER_Structures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705971</xdr:colOff>
      <xdr:row>114</xdr:row>
      <xdr:rowOff>22412</xdr:rowOff>
    </xdr:from>
    <xdr:to>
      <xdr:col>0</xdr:col>
      <xdr:colOff>762000</xdr:colOff>
      <xdr:row>114</xdr:row>
      <xdr:rowOff>68131</xdr:rowOff>
    </xdr:to>
    <xdr:sp macro="" textlink="">
      <xdr:nvSpPr>
        <xdr:cNvPr id="2" name="Textfeld 1">
          <a:extLst>
            <a:ext uri="{FF2B5EF4-FFF2-40B4-BE49-F238E27FC236}">
              <a16:creationId xmlns:a16="http://schemas.microsoft.com/office/drawing/2014/main" id="{E6BEE6F3-39AE-B81B-3574-A1CB0F952AED}"/>
            </a:ext>
          </a:extLst>
        </xdr:cNvPr>
        <xdr:cNvSpPr txBox="1"/>
      </xdr:nvSpPr>
      <xdr:spPr>
        <a:xfrm>
          <a:off x="705971" y="7317441"/>
          <a:ext cx="56029" cy="4571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149557</xdr:colOff>
          <xdr:row>1</xdr:row>
          <xdr:rowOff>7175</xdr:rowOff>
        </xdr:from>
        <xdr:to>
          <xdr:col>11</xdr:col>
          <xdr:colOff>1374323</xdr:colOff>
          <xdr:row>3</xdr:row>
          <xdr:rowOff>58140</xdr:rowOff>
        </xdr:to>
        <xdr:sp macro="" textlink="">
          <xdr:nvSpPr>
            <xdr:cNvPr id="4157" name="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 Structure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2</xdr:colOff>
      <xdr:row>1</xdr:row>
      <xdr:rowOff>0</xdr:rowOff>
    </xdr:from>
    <xdr:to>
      <xdr:col>23</xdr:col>
      <xdr:colOff>1038639</xdr:colOff>
      <xdr:row>23</xdr:row>
      <xdr:rowOff>4583</xdr:rowOff>
    </xdr:to>
    <xdr:pic>
      <xdr:nvPicPr>
        <xdr:cNvPr id="36" name="Fig_MP_plot">
          <a:extLst>
            <a:ext uri="{FF2B5EF4-FFF2-40B4-BE49-F238E27FC236}">
              <a16:creationId xmlns:a16="http://schemas.microsoft.com/office/drawing/2014/main" id="{52758496-9D5F-6464-6C20-0BB15F4D0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1577" y="228600"/>
          <a:ext cx="16221487" cy="537668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142875</xdr:rowOff>
        </xdr:from>
        <xdr:to>
          <xdr:col>1</xdr:col>
          <xdr:colOff>1038225</xdr:colOff>
          <xdr:row>4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3</xdr:row>
          <xdr:rowOff>142875</xdr:rowOff>
        </xdr:from>
        <xdr:to>
          <xdr:col>1</xdr:col>
          <xdr:colOff>2114550</xdr:colOff>
          <xdr:row>4</xdr:row>
          <xdr:rowOff>219075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142875</xdr:rowOff>
        </xdr:from>
        <xdr:to>
          <xdr:col>1</xdr:col>
          <xdr:colOff>1038225</xdr:colOff>
          <xdr:row>4</xdr:row>
          <xdr:rowOff>219075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3</xdr:row>
          <xdr:rowOff>142875</xdr:rowOff>
        </xdr:from>
        <xdr:to>
          <xdr:col>1</xdr:col>
          <xdr:colOff>2114550</xdr:colOff>
          <xdr:row>4</xdr:row>
          <xdr:rowOff>219075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2152650</xdr:colOff>
          <xdr:row>3</xdr:row>
          <xdr:rowOff>171450</xdr:rowOff>
        </xdr:from>
        <xdr:to>
          <xdr:col>2</xdr:col>
          <xdr:colOff>1171575</xdr:colOff>
          <xdr:row>5</xdr:row>
          <xdr:rowOff>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Pull Masses from Structure Overview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E12:K13" totalsRowShown="0" headerRowDxfId="27" dataDxfId="17">
  <autoFilter ref="E12:K13" xr:uid="{51AF5F9E-A6E5-4BA1-83BE-2546351DAE06}"/>
  <tableColumns count="7">
    <tableColumn id="1" xr3:uid="{8004DE55-01A0-4AB5-A007-D379F8ED184F}" name="Identifier" dataDxfId="24"/>
    <tableColumn id="2" xr3:uid="{73AEE22B-B9CF-4401-B31E-64902257C6A9}" name="Project ID" dataDxfId="23"/>
    <tableColumn id="3" xr3:uid="{6CD7BEF9-707B-4F7D-A334-46DB51B6F454}" name="Phase" dataDxfId="22"/>
    <tableColumn id="4" xr3:uid="{5572AB9F-884A-4001-85E7-5E708A2DFC71}" name="Structure ID" dataDxfId="21"/>
    <tableColumn id="5" xr3:uid="{AFCB5F1D-C5C1-4D21-A7C0-310C0D52F9E4}" name="Water Depth [m]" dataDxfId="20"/>
    <tableColumn id="6" xr3:uid="{149EEBB8-62A5-42C4-97FD-484848DB0825}" name="Height Reference" dataDxfId="19"/>
    <tableColumn id="7" xr3:uid="{82ECC3EB-0382-490B-8CE7-963B13E4D1A1}" name="Comments" dataDxfId="18"/>
  </tableColumns>
  <tableStyleInfo name="JBO_Design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E17:K18" insertRow="1" totalsRowShown="0" headerRowDxfId="28" dataDxfId="257">
  <autoFilter ref="E17:K18" xr:uid="{58117B73-5FCA-4002-A528-31B3F83BDE75}"/>
  <tableColumns count="7">
    <tableColumn id="1" xr3:uid="{5C484AAB-AA0F-4FBD-9543-28D80EB7F84D}" name="Identifier" dataDxfId="59"/>
    <tableColumn id="2" xr3:uid="{87603448-795E-499B-8754-D6455D5FF52F}" name="Project ID" dataDxfId="58"/>
    <tableColumn id="3" xr3:uid="{51EA6487-4EF3-43A9-B440-34893EEEEAB2}" name="Phase" dataDxfId="57"/>
    <tableColumn id="4" xr3:uid="{4AC48BB5-6D2E-492F-89B1-5662010991A8}" name="Structure ID" dataDxfId="56"/>
    <tableColumn id="5" xr3:uid="{2AE3ED2D-7CAB-45B8-AA43-6197A5DBB9C2}" name="Water Depth [m]" dataDxfId="55"/>
    <tableColumn id="6" xr3:uid="{BC0E3E2E-DE67-4FD9-94E9-5C112B52D3FD}" name="Height Reference" dataDxfId="54"/>
    <tableColumn id="7" xr3:uid="{16928D7F-3DB7-43BD-BCF5-5C279A3E16F5}" name="Comments" dataDxfId="53"/>
  </tableColumns>
  <tableStyleInfo name="JBO_Design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E111:J133" totalsRowShown="0" headerRowDxfId="26" dataDxfId="0">
  <autoFilter ref="E111:J133" xr:uid="{C9C31EE9-6B44-4D67-9597-BD108F88B355}"/>
  <sortState xmlns:xlrd2="http://schemas.microsoft.com/office/spreadsheetml/2017/richdata2" ref="E112:O136">
    <sortCondition ref="E111:E136"/>
  </sortState>
  <tableColumns count="6">
    <tableColumn id="1" xr3:uid="{15F53C56-04A7-4EA4-A64D-A2A5A78E2AA2}" name="Section" dataDxfId="6"/>
    <tableColumn id="2" xr3:uid="{01B5124C-F6E1-40D2-9236-F2D6BE941DD3}" name="Top [m]" dataDxfId="5"/>
    <tableColumn id="3" xr3:uid="{0537C90E-D320-4AC4-8392-2A7C45CE31A1}" name="Bottom [m]" dataDxfId="4"/>
    <tableColumn id="4" xr3:uid="{3F0DC3DB-26F8-4D70-A358-70EF5E1596F5}" name="D, top [m]" dataDxfId="3"/>
    <tableColumn id="5" xr3:uid="{25F6B1D8-AC49-468F-BDCD-72AC07BB3CD0}" name="D, bottom [m]" dataDxfId="2"/>
    <tableColumn id="6" xr3:uid="{3ED99EE5-BCA8-4244-A3E5-81C6F22A9AB2}" name="t [mm]" dataDxfId="1"/>
  </tableColumns>
  <tableStyleInfo name="JBO_Design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AH11:AN12" totalsRowShown="0" headerRowDxfId="256" dataDxfId="255">
  <autoFilter ref="AH11:AN12" xr:uid="{F46B677D-4D25-4464-BE0D-6A1E644518C5}"/>
  <tableColumns count="7">
    <tableColumn id="1" xr3:uid="{ECD0389F-015D-412B-9FF1-D5BEAAD27FC1}" name="Identifier" dataDxfId="254"/>
    <tableColumn id="2" xr3:uid="{90794316-AE1E-4D40-A728-B5B995A9CF65}" name="Project ID" dataDxfId="253"/>
    <tableColumn id="3" xr3:uid="{B8C9242D-AC32-4E57-A861-DB7E615D6A1C}" name="Phase" dataDxfId="252"/>
    <tableColumn id="4" xr3:uid="{1EEB510B-3010-431D-B8C6-870D9180A629}" name="Structure ID" dataDxfId="251"/>
    <tableColumn id="5" xr3:uid="{B6F5C20C-83C1-4B16-B4D3-933D066BB6A0}" name="Water Depth [m]" dataDxfId="250"/>
    <tableColumn id="6" xr3:uid="{26EA3A2D-14E0-4809-9795-74592B4984AD}" name="Height Reference" dataDxfId="249"/>
    <tableColumn id="7" xr3:uid="{9AC62F3C-D12C-40A1-8AF4-F7C9B043F1FB}" name="Comments" dataDxfId="2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AH17:AM39" totalsRowShown="0" headerRowDxfId="247" dataDxfId="246">
  <autoFilter ref="AH17:AM39" xr:uid="{186CFF05-2CD9-405C-829A-5AD7B62A8ACE}"/>
  <sortState xmlns:xlrd2="http://schemas.microsoft.com/office/spreadsheetml/2017/richdata2" ref="AH18:AR42">
    <sortCondition ref="AH17:AH42"/>
  </sortState>
  <tableColumns count="6">
    <tableColumn id="1" xr3:uid="{66D6C4E1-74CA-4A30-A085-277EA5E62B3C}" name="Section" dataDxfId="245"/>
    <tableColumn id="2" xr3:uid="{D0F6ECD2-6414-48B2-9B47-1C3B8BAC860B}" name="Top [m]" dataDxfId="244"/>
    <tableColumn id="3" xr3:uid="{575FC20A-0259-4081-83F8-71040557AEA8}" name="Bottom [m]" dataDxfId="243"/>
    <tableColumn id="4" xr3:uid="{529E5CD0-69F2-4E59-86A7-A3E6F1B39E96}" name="D, top [m]" dataDxfId="242"/>
    <tableColumn id="5" xr3:uid="{7F90AAFA-52D7-47DB-A99D-3E3E0AEE6541}" name="D, bottom [m]" dataDxfId="241"/>
    <tableColumn id="6" xr3:uid="{1B01547B-4485-4B79-8DB3-FCEA1C806B60}" name="t [mm]" dataDxfId="24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P111:X113" totalsRowShown="0" headerRowDxfId="25" dataDxfId="7">
  <autoFilter ref="P111:X113" xr:uid="{C2F2D263-B298-4967-B7BA-2043D2636A28}"/>
  <tableColumns count="9">
    <tableColumn id="9" xr3:uid="{983AA3EE-D554-4611-9143-CB18ADA5BC06}" name="Name" dataDxfId="16"/>
    <tableColumn id="2" xr3:uid="{365B74CD-D14D-4F75-ABA6-B5CBD126E6F2}" name="Top [m]" dataDxfId="15"/>
    <tableColumn id="12" xr3:uid="{3CC0B321-8A95-4AEE-8DFB-77DAE8FAB528}" name="Bottom [m]" dataDxfId="14"/>
    <tableColumn id="3" xr3:uid="{29EF80FE-079C-4A10-9ADB-03D595E35311}" name="Mass [kg]" dataDxfId="13"/>
    <tableColumn id="1" xr3:uid="{EB762DF5-D84F-4ED6-9E32-E1B37FE9C38D}" name="Diameter [m]" dataDxfId="12"/>
    <tableColumn id="4" xr3:uid="{7D3C052F-35A7-4A8C-B722-8A6311D56BDC}" name="Orientation [°]" dataDxfId="11"/>
    <tableColumn id="5" xr3:uid="{A094AF7B-AEFB-4B58-9377-0B3B7C131ADC}" name="Distance Axis to Axis" dataDxfId="10"/>
    <tableColumn id="6" xr3:uid="{E15A8DE3-D9C1-4684-A605-26B6F2B8779C}" name="Gap between surfaces" dataDxfId="9"/>
    <tableColumn id="7" xr3:uid="{026563CA-A00A-4D48-9BC2-1AF2FA6C6586}" name="Surface roughness [m]" dataDxfId="8"/>
  </tableColumns>
  <tableStyleInfo name="JBO_Design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Z11:BF12" totalsRowShown="0" headerRowDxfId="201" dataDxfId="200">
  <autoFilter ref="AZ11:BF12" xr:uid="{0B04AF76-1113-4DD9-A88C-A478EB316C6E}"/>
  <tableColumns count="7">
    <tableColumn id="1" xr3:uid="{58455F34-16BF-4A81-8A57-F2B2E3E28892}" name="Identifier" dataDxfId="193"/>
    <tableColumn id="2" xr3:uid="{BDC511B7-0336-49CC-A0D7-40D96154D38D}" name="Project ID" dataDxfId="192"/>
    <tableColumn id="3" xr3:uid="{2D75BE55-2BF9-456C-AE5A-2A1218318BAA}" name="Phase" dataDxfId="191"/>
    <tableColumn id="4" xr3:uid="{2B0B47A1-6AA2-4D55-8DF5-A88A949DEAB3}" name="Structure ID" dataDxfId="190"/>
    <tableColumn id="5" xr3:uid="{24994B91-D518-4335-8AFB-5B728F5B9A9A}" name="Water Depth [m]" dataDxfId="189"/>
    <tableColumn id="6" xr3:uid="{BC674145-8AD9-4667-B204-310C7780D8BD}" name="Height Reference" dataDxfId="188"/>
    <tableColumn id="7" xr3:uid="{8574AD8B-5882-49EF-B1C0-6AEBD6820423}" name="Comments" dataDxfId="187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Z14:BF15" totalsRowShown="0" headerRowDxfId="199" dataDxfId="198">
  <autoFilter ref="AZ14:BF15" xr:uid="{05DB58A4-E4A6-44E9-9800-F1D5AD7D9AA7}"/>
  <tableColumns count="7">
    <tableColumn id="1" xr3:uid="{2E834674-089F-43C8-8D07-2A374229A7BC}" name="Identifier" dataDxfId="186"/>
    <tableColumn id="2" xr3:uid="{6BEA972F-3506-4C48-AEB4-7F07A56A7185}" name="Project ID" dataDxfId="185"/>
    <tableColumn id="3" xr3:uid="{4E216AD3-8A97-4909-B2FD-78BAAFF0AD26}" name="Phase" dataDxfId="184"/>
    <tableColumn id="4" xr3:uid="{787011D0-F0FA-4EDD-881B-22121DF4902E}" name="Structure ID" dataDxfId="183"/>
    <tableColumn id="5" xr3:uid="{2067DA19-30E8-4DC2-9605-F5989A843C96}" name="Water Depth [m]" dataDxfId="182"/>
    <tableColumn id="6" xr3:uid="{E1008977-49E5-479B-9DB3-40A483860F73}" name="Height Reference" dataDxfId="181"/>
    <tableColumn id="7" xr3:uid="{F3EB13E3-9193-4095-B8C2-92AB811162B8}" name="Comments" dataDxfId="180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Z17:BE21" totalsRowShown="0" headerRowDxfId="197" dataDxfId="196">
  <autoFilter ref="AZ17:BE21" xr:uid="{463505FA-4645-4E01-B220-9A826ACB16FB}"/>
  <sortState xmlns:xlrd2="http://schemas.microsoft.com/office/spreadsheetml/2017/richdata2" ref="AZ18:BJ42">
    <sortCondition ref="AZ17:AZ42"/>
  </sortState>
  <tableColumns count="6">
    <tableColumn id="1" xr3:uid="{B63189BD-DBD1-4507-A787-F69DD84B759C}" name="Section" dataDxfId="179"/>
    <tableColumn id="2" xr3:uid="{20DD1485-D982-4D84-8836-A1F004AD90A8}" name="Top [m]" dataDxfId="178"/>
    <tableColumn id="3" xr3:uid="{A05F4E1F-5C83-413A-B9BE-2BBE3AB13A3B}" name="Bottom [m]" dataDxfId="177"/>
    <tableColumn id="4" xr3:uid="{EBAC8D31-17F8-4535-9E03-9B656FFD2B81}" name="D, top [m]" dataDxfId="176"/>
    <tableColumn id="5" xr3:uid="{A4A3D92C-C993-453F-AF5C-E4B75CB27682}" name="D, bottom [m]" dataDxfId="175"/>
    <tableColumn id="6" xr3:uid="{32AD350F-83E6-4938-BC67-33A5C8B767FF}" name="t [mm]" dataDxfId="17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CB11:CH12" totalsRowShown="0" headerRowDxfId="239" dataDxfId="238">
  <autoFilter ref="CB11:CH12" xr:uid="{6ED14D31-21E8-495C-899A-C1BE36AC7D57}"/>
  <tableColumns count="7">
    <tableColumn id="1" xr3:uid="{DA9D700C-EEF5-42F6-A311-BAEEF88B1BB7}" name="Identifier" dataDxfId="173"/>
    <tableColumn id="2" xr3:uid="{F3154507-C41A-47B8-8944-C5C95FFA02DB}" name="Project ID" dataDxfId="172"/>
    <tableColumn id="3" xr3:uid="{80771C1F-325D-4BE1-93EC-AEBADAEF8C45}" name="Phase" dataDxfId="171"/>
    <tableColumn id="4" xr3:uid="{58EF9147-D484-4AD2-85BC-FC61A3DF1B06}" name="Structure ID" dataDxfId="170"/>
    <tableColumn id="5" xr3:uid="{08D6C2E1-6DB9-491C-8175-4D57250F03F8}" name="Water Depth [m]" dataDxfId="169"/>
    <tableColumn id="6" xr3:uid="{6D129076-7D09-47E2-9F0F-2301ACE416A2}" name="Height Reference" dataDxfId="168"/>
    <tableColumn id="7" xr3:uid="{F96CE66F-661C-4D0F-869C-6075FFBE1D63}" name="Comments" dataDxfId="16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U17:CA18" totalsRowShown="0" headerRowDxfId="237" dataDxfId="236">
  <autoFilter ref="BU17:CA18" xr:uid="{C3895FE4-33B0-49A8-99F6-25EAD4C42C05}"/>
  <sortState xmlns:xlrd2="http://schemas.microsoft.com/office/spreadsheetml/2017/richdata2" ref="BU18:BY19">
    <sortCondition descending="1" ref="BW17:BW19"/>
  </sortState>
  <tableColumns count="7">
    <tableColumn id="1" xr3:uid="{39574F94-1416-4BF2-B8F9-333B3F24B77C}" name="Identifier" dataDxfId="166"/>
    <tableColumn id="2" xr3:uid="{10221FF0-6669-415E-A4C9-1A925A636E0E}" name="Project ID" dataDxfId="165"/>
    <tableColumn id="3" xr3:uid="{51ED7DEE-637C-4EB3-BD51-712CBF1C3A3F}" name="Phase" dataDxfId="164"/>
    <tableColumn id="4" xr3:uid="{1FA8653A-38E1-49B7-812A-65D83A87164E}" name="Structure ID" dataDxfId="163"/>
    <tableColumn id="5" xr3:uid="{6C9EA130-8028-4AEB-8FB2-AF4D80F48270}" name="Water Depth [m]" dataDxfId="162"/>
    <tableColumn id="6" xr3:uid="{83CD3E29-C555-4D73-9F88-767BB7CFEAA2}" name="Height Reference" dataDxfId="161"/>
    <tableColumn id="7" xr3:uid="{E5776344-EC8E-455B-8C7D-2D48B57F6EF9}" name="Comments" dataDxfId="16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CB17:CG21" totalsRowShown="0" headerRowDxfId="235" dataDxfId="234">
  <autoFilter ref="CB17:CG21" xr:uid="{62A1D9C7-47A9-4F63-8343-1C661E8816F7}"/>
  <sortState xmlns:xlrd2="http://schemas.microsoft.com/office/spreadsheetml/2017/richdata2" ref="CB18:CL42">
    <sortCondition ref="CB17:CB42"/>
  </sortState>
  <tableColumns count="6">
    <tableColumn id="1" xr3:uid="{E243C011-FF5E-4AF1-A1B3-9F3C7CF7C9AA}" name="Section" dataDxfId="159"/>
    <tableColumn id="2" xr3:uid="{00F60C63-2770-42C2-B48C-5D66D3C52BC7}" name="Top [m]" dataDxfId="158"/>
    <tableColumn id="3" xr3:uid="{B0C70BDD-2B8F-4EF1-9287-C431F103B9ED}" name="Bottom [m]" dataDxfId="157"/>
    <tableColumn id="4" xr3:uid="{5762D413-3034-4D8C-93B6-FD4630B02B90}" name="D, top [m]" dataDxfId="156"/>
    <tableColumn id="5" xr3:uid="{14D973BE-EA8A-4E59-909A-5E1466E24A50}" name="D, bottom [m]" dataDxfId="155"/>
    <tableColumn id="6" xr3:uid="{7BFD2029-1F5C-43ED-A6F8-296E86962F79}" name="t [mm]" dataDxfId="154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BK17:BS23" totalsRowShown="0" dataDxfId="195" headerRowBorderDxfId="194">
  <autoFilter ref="BK17:BS23" xr:uid="{EF6AB3BF-A5B9-4898-A2AA-B1E2D904FCE0}"/>
  <tableColumns count="9">
    <tableColumn id="1" xr3:uid="{1A53106D-E4B7-4076-A33D-6CE63AD9AC29}" name="Name" dataDxfId="153"/>
    <tableColumn id="2" xr3:uid="{9D7DAE9F-A86B-4D74-801F-55226E9F4D94}" name="Top [m]" dataDxfId="152"/>
    <tableColumn id="3" xr3:uid="{3FD5DC94-754D-4B55-A30B-0CF2D12CDE7F}" name="Bottom [m]" dataDxfId="151"/>
    <tableColumn id="4" xr3:uid="{0713EE80-EC82-4732-84F0-77B89AFD588A}" name="Mass [kg]" dataDxfId="150"/>
    <tableColumn id="5" xr3:uid="{7363E391-5B32-459F-A8AA-B0EFCBDFAC99}" name="Diameter [m]" dataDxfId="149"/>
    <tableColumn id="6" xr3:uid="{B87ECBD8-9D63-4A9D-AE79-3303956D6096}" name="Orientation [°]" dataDxfId="148"/>
    <tableColumn id="7" xr3:uid="{BFDA83B4-3631-484C-B263-2BD31EE8BC59}" name="Distance Axis to Axis" dataDxfId="147"/>
    <tableColumn id="8" xr3:uid="{09EAAC52-3BAA-4466-8EB5-2AB8B9AFA850}" name="Gap between surfaces" dataDxfId="146"/>
    <tableColumn id="9" xr3:uid="{BD2A12D0-B997-4262-8BA0-FF84D018AA93}" name="Surface roughness [m]" dataDxfId="14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CS11:CY12" totalsRowShown="0" headerRowDxfId="233" dataDxfId="232">
  <autoFilter ref="CS11:CY12" xr:uid="{570D3808-2D33-45AA-AE67-BB82CAED07EC}"/>
  <tableColumns count="7">
    <tableColumn id="1" xr3:uid="{CCDDEDAF-7D35-44BE-9711-5BB94A7933B5}" name="Identifier" dataDxfId="144"/>
    <tableColumn id="2" xr3:uid="{A6622A20-5B2E-4695-A263-CDE9418E44CF}" name="Project ID" dataDxfId="143"/>
    <tableColumn id="3" xr3:uid="{352D7C0A-3620-4627-BAFA-7328A9D0D37D}" name="Phase" dataDxfId="142"/>
    <tableColumn id="4" xr3:uid="{B321ED1F-34C0-412F-A702-8500F62ECCC6}" name="Structure ID" dataDxfId="141"/>
    <tableColumn id="5" xr3:uid="{80D47030-3591-4982-92EF-BACC66E1FE86}" name="Water Depth [m]" dataDxfId="140"/>
    <tableColumn id="6" xr3:uid="{EF78C918-5D9E-4AE9-872B-673153622FEA}" name="Height Reference" dataDxfId="139"/>
    <tableColumn id="7" xr3:uid="{170AACDE-B844-4EEC-A0B3-69E2508B4EDA}" name="Comments" dataDxfId="13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CS14:CY15" totalsRowShown="0" headerRowDxfId="231" dataDxfId="230">
  <autoFilter ref="CS14:CY15" xr:uid="{35A6DD8B-1B03-4405-8692-950A70C42223}"/>
  <tableColumns count="7">
    <tableColumn id="1" xr3:uid="{1E986C31-3F41-4D2E-A5B3-1F241849BF8F}" name="Identifier" dataDxfId="137"/>
    <tableColumn id="2" xr3:uid="{BFA6A302-1312-44A9-9D24-00404B96F93D}" name="Project ID" dataDxfId="136"/>
    <tableColumn id="3" xr3:uid="{6FC4FB3D-D4AD-4191-B505-D0037CFE0AE6}" name="Phase" dataDxfId="135"/>
    <tableColumn id="4" xr3:uid="{869514EC-8FC7-48A8-9C17-94321EE95FF7}" name="Structure ID" dataDxfId="134"/>
    <tableColumn id="5" xr3:uid="{863DC3E8-E570-4145-B742-09AB28340D03}" name="Water Depth [m]" dataDxfId="133"/>
    <tableColumn id="6" xr3:uid="{9DF4DE17-029C-4704-967A-33C81C46070E}" name="Height Reference" dataDxfId="132"/>
    <tableColumn id="7" xr3:uid="{769D8177-1D18-4F53-87D2-AB6EDE9D675F}" name="Comments" dataDxfId="131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CS17:CX107" totalsRowShown="0" headerRowDxfId="229" dataDxfId="228">
  <autoFilter ref="CS17:CX107" xr:uid="{6CCFBE8E-EBFA-4AA0-A18D-3AB7BDB6B464}"/>
  <sortState xmlns:xlrd2="http://schemas.microsoft.com/office/spreadsheetml/2017/richdata2" ref="CS18:DC42">
    <sortCondition ref="CS17:CS42"/>
  </sortState>
  <tableColumns count="6">
    <tableColumn id="1" xr3:uid="{85C28FF3-9287-4D46-8CEF-6A66D92B23F6}" name="Section" dataDxfId="130"/>
    <tableColumn id="2" xr3:uid="{BC63B096-D7B8-47B5-B5E9-FC896BC9868B}" name="Top [m]" dataDxfId="129"/>
    <tableColumn id="3" xr3:uid="{B9C7376D-FAD6-493B-8287-40DCA419DD50}" name="Bottom [m]" dataDxfId="128"/>
    <tableColumn id="4" xr3:uid="{6DC756E0-08B6-443E-9B2C-8D790BB94B8D}" name="D, top [m]" dataDxfId="127"/>
    <tableColumn id="5" xr3:uid="{BBD13E2B-0AEF-41AA-A565-50855C7E6296}" name="D, bottom [m]" dataDxfId="126"/>
    <tableColumn id="6" xr3:uid="{123F9676-EB92-4044-A35A-E032C3EBF8E7}" name="t [mm]" dataDxfId="125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DV11:EB12" totalsRowShown="0" headerRowDxfId="227" dataDxfId="226">
  <autoFilter ref="DV11:EB12" xr:uid="{BC714A6A-8D53-444B-883B-7E7991C4738D}"/>
  <tableColumns count="7">
    <tableColumn id="1" xr3:uid="{2851D88E-C4FF-4F89-9EC3-EAFBEA54B71F}" name="Identifier" dataDxfId="124"/>
    <tableColumn id="2" xr3:uid="{02792EA3-7910-49BB-A8F1-6C715F3370FC}" name="Project ID" dataDxfId="123"/>
    <tableColumn id="3" xr3:uid="{E61B3620-9AD6-47D6-B636-C8C2AD063634}" name="Phase" dataDxfId="122"/>
    <tableColumn id="4" xr3:uid="{605E5017-0F2F-4443-A933-4E5CD08A4C23}" name="Structure ID" dataDxfId="121"/>
    <tableColumn id="5" xr3:uid="{BDF5F12B-CA8B-48E8-87A7-7D0364DE2FB2}" name="Water Depth [m]" dataDxfId="120"/>
    <tableColumn id="6" xr3:uid="{EE01736A-C2DC-472E-BB17-6D42BEB50FD3}" name="Height Reference" dataDxfId="119"/>
    <tableColumn id="7" xr3:uid="{89F52D24-3700-4E96-A3EE-54C0BD6E6850}" name="Comments" dataDxfId="11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DN17:DT20" totalsRowShown="0" headerRowDxfId="225" dataDxfId="224">
  <autoFilter ref="DN17:DT20" xr:uid="{B4707D43-E248-4B9D-AB58-3D0829DFBB4F}"/>
  <sortState xmlns:xlrd2="http://schemas.microsoft.com/office/spreadsheetml/2017/richdata2" ref="DN18:DR19">
    <sortCondition descending="1" ref="DP17:DP19"/>
  </sortState>
  <tableColumns count="7">
    <tableColumn id="1" xr3:uid="{7672BA03-0DF7-4E41-B249-02049D4F4A5C}" name="Identifier" dataDxfId="117"/>
    <tableColumn id="2" xr3:uid="{BCD09FD8-ED15-428C-A59B-CFD0BF079641}" name="Project ID" dataDxfId="116"/>
    <tableColumn id="3" xr3:uid="{76AFB3BE-3FC3-4189-A098-6A9EA54A5EC9}" name="Phase" dataDxfId="115"/>
    <tableColumn id="4" xr3:uid="{33378BDF-E99D-44A7-8811-811CD7F1395F}" name="Structure ID" dataDxfId="114"/>
    <tableColumn id="5" xr3:uid="{DE6D6C26-BA61-4AFF-8E06-02AD273B29E8}" name="Water Depth [m]" dataDxfId="113"/>
    <tableColumn id="6" xr3:uid="{B865CAD0-836B-45FC-8185-9945C6562913}" name="Height Reference" dataDxfId="112"/>
    <tableColumn id="7" xr3:uid="{1F656F81-71F7-4B46-A4A6-8B1FC6147EC5}" name="Comments" dataDxfId="111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DV17:EA107" totalsRowShown="0" headerRowDxfId="223" dataDxfId="222">
  <autoFilter ref="DV17:EA107" xr:uid="{DE222362-04CC-46F7-A72F-CA8E23DD0237}"/>
  <sortState xmlns:xlrd2="http://schemas.microsoft.com/office/spreadsheetml/2017/richdata2" ref="DV18:EF42">
    <sortCondition ref="DV17:DV42"/>
  </sortState>
  <tableColumns count="6">
    <tableColumn id="1" xr3:uid="{A9C701CB-47B4-48F4-AFAB-2A8641408C96}" name="Section" dataDxfId="110"/>
    <tableColumn id="2" xr3:uid="{B6685CB3-8DE6-43F6-B6B6-9EE349AFDB7E}" name="Top [m]" dataDxfId="109"/>
    <tableColumn id="3" xr3:uid="{DF0BDC05-BDC5-4912-B19E-FE92634C630E}" name="Bottom [m]" dataDxfId="108"/>
    <tableColumn id="4" xr3:uid="{FE62A509-C225-4EE7-9E1A-92FB7B34D915}" name="D, top [m]" dataDxfId="107"/>
    <tableColumn id="5" xr3:uid="{40198B9A-CE5F-48D3-B6CF-9F426B6E0187}" name="D, bottom [m]" dataDxfId="106"/>
    <tableColumn id="6" xr3:uid="{9098A7F1-A089-4645-9946-FA698633501A}" name="t [mm]" dataDxfId="105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DD17:DL81" totalsRowShown="0" dataDxfId="221" headerRowBorderDxfId="220">
  <autoFilter ref="DD17:DL81" xr:uid="{E785A247-6678-47FD-8A48-16CD1A0703D0}"/>
  <sortState xmlns:xlrd2="http://schemas.microsoft.com/office/spreadsheetml/2017/richdata2" ref="DD18:DF71">
    <sortCondition descending="1" ref="DD17:DD71"/>
  </sortState>
  <tableColumns count="9">
    <tableColumn id="1" xr3:uid="{D015FF14-679F-4C4B-AD11-FD169A799F7D}" name="Name" dataDxfId="104"/>
    <tableColumn id="2" xr3:uid="{F6B0D10D-7C44-41C3-9301-C37A6304C787}" name="Top [m]" dataDxfId="103"/>
    <tableColumn id="3" xr3:uid="{F049C52E-CCD6-4E67-9C8C-52FA82F691D9}" name="Bottom [m]" dataDxfId="102"/>
    <tableColumn id="4" xr3:uid="{881A55B9-B2B1-4A72-A3DC-40E448C3A7E7}" name="Mass [kg]" dataDxfId="101"/>
    <tableColumn id="5" xr3:uid="{6B786E85-78FE-4288-9D59-240BB965DBAB}" name="Diameter [m]" dataDxfId="100"/>
    <tableColumn id="6" xr3:uid="{CCA7F990-23FC-417B-8516-94978103A8A2}" name="Orientation [°]" dataDxfId="99"/>
    <tableColumn id="7" xr3:uid="{C25A5D5B-7EB5-4357-955D-011445552E50}" name="Distance Axis to Axis" dataDxfId="98"/>
    <tableColumn id="8" xr3:uid="{2D190558-C237-4495-A29A-41A1FEE8CDAE}" name="Gap between surfaces" dataDxfId="97"/>
    <tableColumn id="9" xr3:uid="{48B01679-0519-4586-98B3-F0A27C26F8E4}" name="Surface roughness [m]" dataDxfId="96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EM11:EU24" totalsRowShown="0" dataDxfId="219">
  <autoFilter ref="EM11:EU24" xr:uid="{FEE1C0E0-398B-48E1-9521-CCB187180413}"/>
  <sortState xmlns:xlrd2="http://schemas.microsoft.com/office/spreadsheetml/2017/richdata2" ref="EM12:EX36">
    <sortCondition ref="EM11:EM36"/>
  </sortState>
  <tableColumns count="9">
    <tableColumn id="1" xr3:uid="{03A8E757-56E6-48B0-929F-24FBFFC0EAA8}" name="Identifier" dataDxfId="95"/>
    <tableColumn id="2" xr3:uid="{BF4DEE24-7E2F-4B20-9B44-27C601C754F1}" name="Power [MW]" dataDxfId="94"/>
    <tableColumn id="3" xr3:uid="{4CBE937C-DD0F-4596-BD90-BE03828E4CA7}" name="Rotor Diameter [m]" dataDxfId="93"/>
    <tableColumn id="4" xr3:uid="{DE89D440-DA99-4425-B50C-30544DB961F5}" name="Mass of RNA [kg]" dataDxfId="92"/>
    <tableColumn id="5" xr3:uid="{E2FB4084-506E-4EC7-9BC8-8255DFE52EE0}" name="Inertia of RNA fore-aft @COG [kg m^2]" dataDxfId="91"/>
    <tableColumn id="9" xr3:uid="{44DAFC7A-C2DD-41BB-881C-14AD34F8BE60}" name="Inertia of RNA side-side @COG [kg m^2]" dataDxfId="90"/>
    <tableColumn id="6" xr3:uid="{18C2BBB8-192B-4BEC-B9C5-5B12B65B00E4}" name="Vertical Offset TT to HH [m] " dataDxfId="89"/>
    <tableColumn id="7" xr3:uid="{224A58F0-EA11-4A11-9268-3AE211EDB8B3}" name="Vertical Offset TT_COG [m]" dataDxfId="88"/>
    <tableColumn id="8" xr3:uid="{6189FE8D-4B10-4B10-BBA8-06FA82BF9F0C}" name="comment" dataDxfId="87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EW11:FE24" totalsRowShown="0" dataDxfId="218">
  <autoFilter ref="EW11:FE24" xr:uid="{6273375F-28C8-4A14-A545-8B988B5C9E65}"/>
  <tableColumns count="9">
    <tableColumn id="1" xr3:uid="{C3AE8FB7-66D2-47E1-8AA6-F0260BDFFCB8}" name="Identifier" dataDxfId="86"/>
    <tableColumn id="2" xr3:uid="{5F848737-A14E-44D6-9231-85AB48A55526}" name="Power [MW]" dataDxfId="85"/>
    <tableColumn id="3" xr3:uid="{2C93533D-1E27-4EB2-B7E6-3A19FEC55632}" name="Rotor Diameter [m]" dataDxfId="84"/>
    <tableColumn id="4" xr3:uid="{9D1780E5-E668-4D12-AF46-0A1DF433FA8A}" name="Mass of RNA [kg]" dataDxfId="83"/>
    <tableColumn id="5" xr3:uid="{1CA8A517-990E-4959-826C-118C5EC0C261}" name="Inertia of RNA fore-aft @COG [kg m^2]" dataDxfId="82"/>
    <tableColumn id="6" xr3:uid="{9FFE4A1F-E32A-49E7-8031-A24CF653CD8C}" name="Inertia of RNA side-side @COG [kg m^2]" dataDxfId="81"/>
    <tableColumn id="8" xr3:uid="{C481EB76-DD37-4979-8B5D-F3C81E38423E}" name="vertical offset TT to HH [m] " dataDxfId="80"/>
    <tableColumn id="7" xr3:uid="{3BD257A8-5786-4E03-8F1F-6116921828A3}" name="vertical offset TT_COG [m]" dataDxfId="79"/>
    <tableColumn id="9" xr3:uid="{A74BD603-BB70-4B62-BE72-E692B1275ED2}" name="comment" dataDxfId="78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BDE973CA-C8D2-4A67-ACE1-6BE97A1FF0C7}" name="MP_MASSES_TRUE" displayName="MP_MASSES_TRUE" ref="AO17:AW19" totalsRowShown="0" dataDxfId="217">
  <autoFilter ref="AO17:AW19" xr:uid="{BDE973CA-C8D2-4A67-ACE1-6BE97A1FF0C7}"/>
  <tableColumns count="9">
    <tableColumn id="9" xr3:uid="{55BF990C-941A-438C-86DE-D99A5424D8A4}" name="Name" dataDxfId="216"/>
    <tableColumn id="2" xr3:uid="{D2CC7DEA-1AC5-4558-B6A8-7A00324F8731}" name="Top [m]" dataDxfId="215"/>
    <tableColumn id="12" xr3:uid="{63B7643C-B71B-4F75-B941-E84BE173CC9A}" name="Bottom [m]" dataDxfId="214"/>
    <tableColumn id="3" xr3:uid="{74DA4B22-9428-450B-B8ED-D23057E6EF7A}" name="Mass [kg]" dataDxfId="213"/>
    <tableColumn id="1" xr3:uid="{45265052-CB7D-44E4-B950-26F73BB47B9B}" name="Diameter [m]" dataDxfId="212"/>
    <tableColumn id="4" xr3:uid="{E80A5184-2DFE-4036-BD65-B61B96122334}" name="Orientation [°]" dataDxfId="211"/>
    <tableColumn id="5" xr3:uid="{F8C744AA-AA7B-4562-BFA1-0E7C53B53FF4}" name="Distance Axis to Axis" dataDxfId="210"/>
    <tableColumn id="6" xr3:uid="{A8D74212-5B24-4FC1-A938-5DFC386726CB}" name="Gap between surfaces" dataDxfId="209"/>
    <tableColumn id="7" xr3:uid="{9576E46D-F632-4BD0-8B5D-9B663892335B}" name="Surface roughness [m]" dataDxfId="208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1F045B63-B416-42BF-99C1-20F837A31BCE}" name="TP_MASSES_TRUE" displayName="TP_MASSES_TRUE" ref="CI17:CQ23" totalsRowShown="0" dataDxfId="207" headerRowBorderDxfId="206">
  <autoFilter ref="CI17:CQ23" xr:uid="{1F045B63-B416-42BF-99C1-20F837A31BCE}"/>
  <tableColumns count="9">
    <tableColumn id="1" xr3:uid="{1E006357-E9FA-474C-AA76-A377BD7BAEB9}" name="Name" dataDxfId="77"/>
    <tableColumn id="2" xr3:uid="{97496112-EE61-4A03-A70C-0E42A063A80B}" name="Top [m]" dataDxfId="76"/>
    <tableColumn id="3" xr3:uid="{6A1D249D-F969-4812-AFB7-E9AA5CF3C03F}" name="Bottom [m]" dataDxfId="75"/>
    <tableColumn id="4" xr3:uid="{6B7E0750-D91F-4F54-93A2-BF12CC001309}" name="Mass [kg]" dataDxfId="74"/>
    <tableColumn id="5" xr3:uid="{A6B712F5-2E62-4CB6-902D-034694900194}" name="Diameter [m]" dataDxfId="73"/>
    <tableColumn id="6" xr3:uid="{0855FC7D-54E1-4651-8EFE-5B9D8A4C314A}" name="Orientation [°]" dataDxfId="72"/>
    <tableColumn id="7" xr3:uid="{442EED36-58FF-468D-B238-38C09A88FDE2}" name="Distance Axis to Axis" dataDxfId="71"/>
    <tableColumn id="8" xr3:uid="{D05BE4AC-7418-4F23-AD96-E6E442E84F79}" name="Gap between surfaces" dataDxfId="70"/>
    <tableColumn id="9" xr3:uid="{885A70ED-19E3-40E8-A421-228F57041621}" name="Surface roughness [m]" dataDxfId="6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65DFF3A1-1064-4D95-8605-C0FBFA841E85}" name="TOWER_MASSES_TRUE" displayName="TOWER_MASSES_TRUE" ref="EC17:EK81" totalsRowShown="0" dataDxfId="205" headerRowBorderDxfId="204">
  <autoFilter ref="EC17:EK81" xr:uid="{65DFF3A1-1064-4D95-8605-C0FBFA841E85}"/>
  <sortState xmlns:xlrd2="http://schemas.microsoft.com/office/spreadsheetml/2017/richdata2" ref="EC18:EE71">
    <sortCondition descending="1" ref="EC17:EC71"/>
  </sortState>
  <tableColumns count="9">
    <tableColumn id="1" xr3:uid="{0D1EC3D9-D308-46EC-A44B-5657ACE1F68A}" name="Name" dataDxfId="68"/>
    <tableColumn id="2" xr3:uid="{213D84CC-5418-4980-BFB5-BDA8E1400263}" name="Top [m]" dataDxfId="67"/>
    <tableColumn id="3" xr3:uid="{94036DE0-9D06-4C65-A1D5-F25CC6BA0C03}" name="Bottom [m]" dataDxfId="66"/>
    <tableColumn id="4" xr3:uid="{B86D83EF-63F3-47D1-AFA4-F24F15CD807D}" name="Mass [kg]" dataDxfId="65"/>
    <tableColumn id="5" xr3:uid="{C34DA26C-828A-4AD7-B54B-0E1338188A03}" name="Diameter [m]" dataDxfId="64"/>
    <tableColumn id="6" xr3:uid="{E429ADA0-EE8B-4585-B926-E0E030EFBDF4}" name="Orientation [°]" dataDxfId="63"/>
    <tableColumn id="7" xr3:uid="{EBFC5A41-0636-4479-9EB5-15E275B365A1}" name="Distance Axis to Axis" dataDxfId="62"/>
    <tableColumn id="8" xr3:uid="{4EA54248-9551-4BC1-A756-8D35E64D9158}" name="Gap between surfaces" dataDxfId="61"/>
    <tableColumn id="9" xr3:uid="{AC984C1A-8BDB-4925-8E7A-D22CBDD72808}" name="Surface roughness [m]" dataDxfId="60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E26:K31" totalsRowShown="0" headerRowDxfId="203" dataDxfId="202">
  <autoFilter ref="E26:K31" xr:uid="{46FD7C67-BF9C-41F4-B134-682EDE7A007C}"/>
  <sortState xmlns:xlrd2="http://schemas.microsoft.com/office/spreadsheetml/2017/richdata2" ref="E27:I28">
    <sortCondition descending="1" ref="G26:G28"/>
  </sortState>
  <tableColumns count="7">
    <tableColumn id="1" xr3:uid="{43AB1C43-FBC5-42AE-8DFA-4651B77C56A0}" name="Identifier" dataDxfId="52"/>
    <tableColumn id="2" xr3:uid="{75FB6F15-9784-4F9D-9947-41C8E7DD1CC9}" name="Project ID" dataDxfId="51"/>
    <tableColumn id="3" xr3:uid="{DF3379D9-9371-4EDE-B715-A6A40C072275}" name="Phase" dataDxfId="50"/>
    <tableColumn id="4" xr3:uid="{B2F66CA1-64D8-49D4-A1DA-28FD14EC75C2}" name="Structure ID" dataDxfId="49"/>
    <tableColumn id="5" xr3:uid="{E0EC4989-22E7-49A3-8DAC-034A87568E19}" name="Water Depth [m]" dataDxfId="48"/>
    <tableColumn id="6" xr3:uid="{9873A46F-D488-4AA7-BC64-C1E65C65D808}" name="Height Reference" dataDxfId="47"/>
    <tableColumn id="7" xr3:uid="{CD60E691-17C5-40B2-9E26-571B6CB0C11D}" name="Comments" dataDxfId="46"/>
  </tableColumns>
  <tableStyleInfo name="JBO_Design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4:I131" headerRowDxfId="359" dataDxfId="358">
  <autoFilter ref="B14:I131" xr:uid="{6964430C-2D65-45C4-817F-08653037EDFC}"/>
  <tableColumns count="8">
    <tableColumn id="1" xr3:uid="{1C924510-54DB-4186-8521-598E5FD7BF93}" name="Section" totalsRowLabel="Ergebnis" dataDxfId="357" totalsRowDxfId="356"/>
    <tableColumn id="2" xr3:uid="{29F8F207-72DF-4027-A39E-C3D956F79382}" name="Affiliation" dataDxfId="355" totalsRowDxfId="354"/>
    <tableColumn id="3" xr3:uid="{F1A86E12-282B-4FE8-A989-9056549BE251}" name="local Section" dataDxfId="353" totalsRowDxfId="352"/>
    <tableColumn id="4" xr3:uid="{1F0B5480-90D3-4DBF-AAEC-010EB8A46507}" name="Top [m]" dataDxfId="351" totalsRowDxfId="350"/>
    <tableColumn id="5" xr3:uid="{2F9EEEB1-AE18-4058-A215-9A6EAD23E6F0}" name="Bottom [m]" dataDxfId="349" totalsRowDxfId="348"/>
    <tableColumn id="6" xr3:uid="{CAF3E9FD-22BF-4C53-97D3-15DEA70C9DE2}" name="D, top [m]" dataDxfId="347" totalsRowDxfId="346"/>
    <tableColumn id="7" xr3:uid="{EE4449DD-273C-4967-8180-25E33E65F937}" name="D, bottom [m]" dataDxfId="345" totalsRowDxfId="344"/>
    <tableColumn id="8" xr3:uid="{0EE8182A-58FD-432D-A87C-9A474A081C7F}" name="t [mm]" totalsRowFunction="sum" dataDxfId="343" totalsRowDxfId="342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4:X87" totalsRowShown="0" headerRowDxfId="341" dataDxfId="340">
  <autoFilter ref="O14:X87" xr:uid="{99775F4D-8879-4247-BCBB-9E55004F5FE5}"/>
  <tableColumns count="10">
    <tableColumn id="8" xr3:uid="{4222E379-EA2F-436F-A27E-F66347A2B7A2}" name="Affiliation" dataDxfId="339"/>
    <tableColumn id="1" xr3:uid="{00244646-90F3-4DDD-AB6B-0373781AFF60}" name="Name" dataDxfId="338"/>
    <tableColumn id="2" xr3:uid="{6305BA78-EC7F-4D5E-A143-DF4E3CB9A56C}" name="Top [m]" dataDxfId="337"/>
    <tableColumn id="3" xr3:uid="{156C5A02-52CD-48BE-87D5-E9BF8F935E99}" name="Bottom [m]" dataDxfId="336"/>
    <tableColumn id="4" xr3:uid="{BA986155-703C-4151-964B-7F7638569588}" name="Mass [kg]" dataDxfId="335"/>
    <tableColumn id="5" xr3:uid="{5FB39ED9-35A0-4964-ADC5-B9008F43FCB7}" name="Diameter [m]" dataDxfId="334"/>
    <tableColumn id="6" xr3:uid="{094B0EAF-8736-4B85-A464-028FE0E10FAC}" name="Orientation [°]" dataDxfId="333"/>
    <tableColumn id="7" xr3:uid="{F864D980-FF18-446E-8D28-70D3CBCA43E9}" name="Distance Axis to Axis" dataDxfId="332"/>
    <tableColumn id="9" xr3:uid="{FD2E8D1C-F275-49BC-BD8B-D63D6205E6DF}" name="Gap between surfaces" dataDxfId="331"/>
    <tableColumn id="10" xr3:uid="{DFEB932C-31A8-42AF-A99C-78CC47E5676D}" name="Surface roughness [m]" dataDxfId="330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AA18:AF19" totalsRowShown="0" headerRowDxfId="329" dataDxfId="327" headerRowBorderDxfId="328" tableBorderDxfId="326" totalsRowBorderDxfId="325">
  <autoFilter ref="AA18:AF19" xr:uid="{A1E86920-59C8-4A34-A4FA-D52D35DC047E}"/>
  <tableColumns count="6">
    <tableColumn id="1" xr3:uid="{D7BA5792-F27A-42AB-84A6-1A5C5073E624}" name="Affiliation" dataDxfId="324"/>
    <tableColumn id="3" xr3:uid="{F299E913-54CD-48A0-BB41-0880A93754FE}" name="Top [m]" dataDxfId="323"/>
    <tableColumn id="4" xr3:uid="{3FE7280C-AE16-43A5-98C5-AC81567063F8}" name="Bottom [m]" dataDxfId="322"/>
    <tableColumn id="5" xr3:uid="{494E1F17-E9F7-4B30-BF2F-0D837AD6C9EB}" name="D, top [m]" dataDxfId="321"/>
    <tableColumn id="6" xr3:uid="{9D18588B-23C1-495C-A81D-3BA5AF2F1DDD}" name="D, bottom [m]" dataDxfId="320"/>
    <tableColumn id="7" xr3:uid="{C3BA2567-9ACF-4834-A3FA-9599A0D98796}" name="t [mm]" dataDxfId="319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AA14:AD15" totalsRowShown="0" dataDxfId="317" headerRowBorderDxfId="318" tableBorderDxfId="316">
  <autoFilter ref="AA14:AD15" xr:uid="{CD52EECF-AB78-4C57-8765-66AA1058C0CF}"/>
  <tableColumns count="4">
    <tableColumn id="1" xr3:uid="{035BC3C9-B7CD-47B5-94D2-F8D64A04FD6C}" name="Affiliation" dataDxfId="315"/>
    <tableColumn id="2" xr3:uid="{9093341A-644E-4005-A4B0-0B05612EE421}" name="Elevation [m]" dataDxfId="314"/>
    <tableColumn id="3" xr3:uid="{71FE16E7-7251-4F14-B28B-4C6055F6AED1}" name="Mass [t]" dataDxfId="313"/>
    <tableColumn id="4" xr3:uid="{87F4221A-61DF-4C79-A116-8098A7C6FAAE}" name="comment" dataDxfId="312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R14:AV17" totalsRowShown="0" headerRowDxfId="311" dataDxfId="310">
  <autoFilter ref="AR14:AV17" xr:uid="{8D334D84-754D-4685-9A4A-6A66B2E4FFB9}"/>
  <tableColumns count="5">
    <tableColumn id="1" xr3:uid="{DB673771-BB6D-4B68-81A2-B0DFC2758DC6}" name="Bottom [m]" dataDxfId="309">
      <calculatedColumnFormula>IF(ISBLANK(AS15),"",AS14)</calculatedColumnFormula>
    </tableColumn>
    <tableColumn id="2" xr3:uid="{88DBAEFE-0CE9-43B7-BBD5-30E29A54DD0E}" name="Top [m]" dataDxfId="308"/>
    <tableColumn id="3" xr3:uid="{88F4E89D-F5DC-463C-AE91-5C5F8B82A591}" name="Marine Growth [mm]" dataDxfId="307"/>
    <tableColumn id="4" xr3:uid="{ABEE5949-3D04-400D-9A95-F3EBF7837C0E}" name="Density  [kg/m^3]" dataDxfId="306"/>
    <tableColumn id="5" xr3:uid="{F538BE21-E07F-43DA-9EA7-D7658B55572F}" name="Surface Roughness [m]" dataDxfId="305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X14:BA16" totalsRowShown="0" headerRowDxfId="304">
  <autoFilter ref="AX14:BA16" xr:uid="{87B4A03F-1005-4720-8887-A14737394284}"/>
  <tableColumns count="4">
    <tableColumn id="1" xr3:uid="{79B3039B-DCB3-4DB5-9657-9170C1A7D7A1}" name="Bottom [m]" dataDxfId="303"/>
    <tableColumn id="2" xr3:uid="{798BD679-C372-4555-9ABA-DF12AF1BEB7B}" name="Top [m]" dataDxfId="302"/>
    <tableColumn id="3" xr3:uid="{C28B4B73-F57A-4DF1-B531-CD436CEA398C}" name="cd" dataDxfId="301"/>
    <tableColumn id="4" xr3:uid="{B75141CC-AB54-4904-90B7-845CA3D69A1B}" name="cm" dataDxfId="300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H14:AP15" totalsRowShown="0" dataDxfId="298" headerRowBorderDxfId="299" tableBorderDxfId="297" totalsRowBorderDxfId="296">
  <autoFilter ref="AH14:AP15" xr:uid="{72CE8A2A-6760-4548-BB1E-BCA204D8C1BA}"/>
  <tableColumns count="9">
    <tableColumn id="1" xr3:uid="{46A5A21B-3002-456C-8AD9-5ECB42AC421F}" name="Identifier" dataDxfId="295"/>
    <tableColumn id="2" xr3:uid="{F5B4AC32-29FD-42F7-91EC-62CC42FCE0D7}" name="Power [MW]" dataDxfId="294"/>
    <tableColumn id="3" xr3:uid="{F6A77E93-EA0B-4A7B-91D9-D14361BC8B1A}" name="Rotor Diameter [m]" dataDxfId="293"/>
    <tableColumn id="4" xr3:uid="{324F57B3-0BB2-4A0A-864F-C4E295BA1417}" name="Mass of RNA [kg]" dataDxfId="292"/>
    <tableColumn id="5" xr3:uid="{498958C1-FF10-460A-950F-D28B6D477E67}" name="Inertia of RNA fore-aft @COG [kg m^2]" dataDxfId="291"/>
    <tableColumn id="8" xr3:uid="{234964DC-3BFC-4170-9D6A-7B3DBC67A11F}" name="Inertia of RNA side-side @COG [kg m^2]" dataDxfId="290"/>
    <tableColumn id="6" xr3:uid="{9A250389-A125-48C0-9709-4FC870698E51}" name="Vertical Offset TT to HH [m]" dataDxfId="289"/>
    <tableColumn id="7" xr3:uid="{7481D65D-D15B-4189-850C-213AFF247093}" name="Vertical Offset TT_COG [m]" dataDxfId="288"/>
    <tableColumn id="9" xr3:uid="{DC025F26-D4D4-42D6-A0AC-A10FD5B08484}" name="comment" dataDxfId="287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6" dataDxfId="286">
  <autoFilter ref="B2:D6" xr:uid="{C35E7AB2-603F-4F8E-A683-CC2DB9E03260}"/>
  <tableColumns count="3">
    <tableColumn id="1" xr3:uid="{249E4AC0-B025-41CE-B64B-B1C47A8B108A}" name="Parameter" dataDxfId="285" totalsRowDxfId="284"/>
    <tableColumn id="2" xr3:uid="{96957327-E448-409A-A132-2F66C10F1B05}" name="Value" dataDxfId="283" totalsRowDxfId="282"/>
    <tableColumn id="3" xr3:uid="{9BA3C973-0D4E-4458-9364-B9F23256E516}" name="Unit" dataDxfId="281" totalsRowDxfId="280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9:E16" totalsRowShown="0">
  <autoFilter ref="B9:E16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/>
    <tableColumn id="2" xr3:uid="{6C705FCB-5D10-4250-9912-E9DAC119643B}" name="Value" dataDxfId="279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B20:F59" totalsRowShown="0" headerRowDxfId="278">
  <autoFilter ref="B20:F59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277"/>
    <tableColumn id="4" xr3:uid="{E0487E44-0EED-4BFD-B57A-C884FB22266C}" name="default" dataDxfId="276"/>
    <tableColumn id="5" xr3:uid="{92045E4D-F12F-4D16-876C-05D25606D491}" name="SN1" dataDxfId="275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B8:L17" totalsRowShown="0" headerRowDxfId="274" dataDxfId="273">
  <autoFilter ref="B8:L17" xr:uid="{71E9ED97-D6B3-4021-B4A0-767262A463AF}"/>
  <tableColumns count="11">
    <tableColumn id="3" xr3:uid="{FEC1B86F-C35E-46DA-A7B6-958218640B32}" name="Use For (WL: Waveload generator, AM: Additional Masses) " dataDxfId="272"/>
    <tableColumn id="12" xr3:uid="{C2A89023-9057-4005-B5BC-7177CA0916E4}" name="Affiliation" dataDxfId="271"/>
    <tableColumn id="8" xr3:uid="{DA5288F4-A6D2-4654-91EF-5216E3A5D06D}" name="Name" dataDxfId="270"/>
    <tableColumn id="1" xr3:uid="{BCF04A15-F7A1-4B02-B968-2B77E93E65C8}" name="Top [m]" dataDxfId="269"/>
    <tableColumn id="2" xr3:uid="{7285DDF2-50C0-437F-A508-26E337365FD6}" name="Bottom [m]" dataDxfId="268"/>
    <tableColumn id="6" xr3:uid="{FF72EB0E-B8A4-4A02-BB1C-1EDDA8FDE8B6}" name="Mass [kg]" dataDxfId="267"/>
    <tableColumn id="4" xr3:uid="{C529D6EA-DB28-489B-9417-E4E43DA45BC2}" name="Diameter [m]" dataDxfId="266"/>
    <tableColumn id="7" xr3:uid="{187EAF26-0053-462C-A746-F4CFDD4FEA26}" name="Orientation [°]" dataDxfId="265"/>
    <tableColumn id="9" xr3:uid="{083E9AAE-21E0-4DD4-92EE-C339CE2D1002}" name="Distance Axis to Axis" dataDxfId="264"/>
    <tableColumn id="13" xr3:uid="{21BE8926-C21A-4E38-9100-554AFA0FA93B}" name="Gap between surfaces" dataDxfId="263"/>
    <tableColumn id="10" xr3:uid="{5E743F44-ADBC-4FED-9125-954BB70B4AA2}" name="Surface roughness [m]" dataDxfId="26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2.xml"/><Relationship Id="rId21" Type="http://schemas.openxmlformats.org/officeDocument/2006/relationships/ctrlProp" Target="../ctrlProps/ctrlProp22.xml"/><Relationship Id="rId34" Type="http://schemas.openxmlformats.org/officeDocument/2006/relationships/ctrlProp" Target="../ctrlProps/ctrlProp35.xml"/><Relationship Id="rId42" Type="http://schemas.openxmlformats.org/officeDocument/2006/relationships/table" Target="../tables/table5.xml"/><Relationship Id="rId47" Type="http://schemas.openxmlformats.org/officeDocument/2006/relationships/table" Target="../tables/table10.xml"/><Relationship Id="rId50" Type="http://schemas.openxmlformats.org/officeDocument/2006/relationships/table" Target="../tables/table13.xml"/><Relationship Id="rId55" Type="http://schemas.openxmlformats.org/officeDocument/2006/relationships/table" Target="../tables/table18.xml"/><Relationship Id="rId63" Type="http://schemas.openxmlformats.org/officeDocument/2006/relationships/table" Target="../tables/table26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ctrlProp" Target="../ctrlProps/ctrlProp38.xml"/><Relationship Id="rId40" Type="http://schemas.openxmlformats.org/officeDocument/2006/relationships/table" Target="../tables/table3.xml"/><Relationship Id="rId45" Type="http://schemas.openxmlformats.org/officeDocument/2006/relationships/table" Target="../tables/table8.xml"/><Relationship Id="rId53" Type="http://schemas.openxmlformats.org/officeDocument/2006/relationships/table" Target="../tables/table16.xml"/><Relationship Id="rId58" Type="http://schemas.openxmlformats.org/officeDocument/2006/relationships/table" Target="../tables/table21.xml"/><Relationship Id="rId5" Type="http://schemas.openxmlformats.org/officeDocument/2006/relationships/ctrlProp" Target="../ctrlProps/ctrlProp6.xml"/><Relationship Id="rId61" Type="http://schemas.openxmlformats.org/officeDocument/2006/relationships/table" Target="../tables/table24.xml"/><Relationship Id="rId19" Type="http://schemas.openxmlformats.org/officeDocument/2006/relationships/ctrlProp" Target="../ctrlProps/ctrlProp2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ctrlProp" Target="../ctrlProps/ctrlProp36.xml"/><Relationship Id="rId43" Type="http://schemas.openxmlformats.org/officeDocument/2006/relationships/table" Target="../tables/table6.xml"/><Relationship Id="rId48" Type="http://schemas.openxmlformats.org/officeDocument/2006/relationships/table" Target="../tables/table11.xml"/><Relationship Id="rId56" Type="http://schemas.openxmlformats.org/officeDocument/2006/relationships/table" Target="../tables/table19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1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ctrlProp" Target="../ctrlProps/ctrlProp34.xml"/><Relationship Id="rId38" Type="http://schemas.openxmlformats.org/officeDocument/2006/relationships/table" Target="../tables/table1.xml"/><Relationship Id="rId46" Type="http://schemas.openxmlformats.org/officeDocument/2006/relationships/table" Target="../tables/table9.xml"/><Relationship Id="rId59" Type="http://schemas.openxmlformats.org/officeDocument/2006/relationships/table" Target="../tables/table22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4.xml"/><Relationship Id="rId54" Type="http://schemas.openxmlformats.org/officeDocument/2006/relationships/table" Target="../tables/table17.xml"/><Relationship Id="rId62" Type="http://schemas.openxmlformats.org/officeDocument/2006/relationships/table" Target="../tables/table2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ctrlProp" Target="../ctrlProps/ctrlProp37.xml"/><Relationship Id="rId49" Type="http://schemas.openxmlformats.org/officeDocument/2006/relationships/table" Target="../tables/table12.xml"/><Relationship Id="rId57" Type="http://schemas.openxmlformats.org/officeDocument/2006/relationships/table" Target="../tables/table20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table" Target="../tables/table7.xml"/><Relationship Id="rId52" Type="http://schemas.openxmlformats.org/officeDocument/2006/relationships/table" Target="../tables/table15.xml"/><Relationship Id="rId60" Type="http://schemas.openxmlformats.org/officeDocument/2006/relationships/table" Target="../tables/table23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5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table" Target="../tables/table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3:C3"/>
  <sheetViews>
    <sheetView workbookViewId="0">
      <selection activeCell="F33" sqref="F33"/>
    </sheetView>
  </sheetViews>
  <sheetFormatPr baseColWidth="10" defaultRowHeight="15" x14ac:dyDescent="0.25"/>
  <cols>
    <col min="2" max="2" width="24.28515625" customWidth="1"/>
  </cols>
  <sheetData>
    <row r="3" spans="2:3" x14ac:dyDescent="0.25">
      <c r="B3" t="s">
        <v>254</v>
      </c>
      <c r="C3" t="s">
        <v>255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J28" sqref="J28"/>
    </sheetView>
  </sheetViews>
  <sheetFormatPr baseColWidth="10" defaultRowHeight="15" x14ac:dyDescent="0.25"/>
  <cols>
    <col min="2" max="2" width="17.85546875" customWidth="1"/>
    <col min="3" max="3" width="13.28515625" customWidth="1"/>
    <col min="4" max="4" width="13.5703125" customWidth="1"/>
    <col min="6" max="6" width="14.85546875" customWidth="1"/>
    <col min="9" max="9" width="14.140625" customWidth="1"/>
    <col min="11" max="11" width="20.28515625" customWidth="1"/>
  </cols>
  <sheetData>
    <row r="1" spans="1:24" x14ac:dyDescent="0.25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75" x14ac:dyDescent="0.25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.75" thickBot="1" x14ac:dyDescent="0.3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25">
      <c r="A4" s="41"/>
      <c r="B4" s="96" t="s">
        <v>42</v>
      </c>
      <c r="C4" s="97"/>
      <c r="D4" s="98"/>
      <c r="E4" s="40"/>
      <c r="F4" s="99" t="s">
        <v>26</v>
      </c>
      <c r="G4" s="100"/>
      <c r="H4" s="100"/>
      <c r="I4" s="101"/>
      <c r="J4" s="40"/>
      <c r="K4" s="102" t="s">
        <v>43</v>
      </c>
      <c r="L4" s="103"/>
      <c r="M4" s="104"/>
      <c r="N4" s="40"/>
      <c r="O4" s="41"/>
      <c r="P4" s="40"/>
      <c r="Q4" s="40"/>
      <c r="R4" s="39"/>
    </row>
    <row r="5" spans="1:24" x14ac:dyDescent="0.25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25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25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25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25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25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25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.75" thickBot="1" x14ac:dyDescent="0.3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.75" thickBot="1" x14ac:dyDescent="0.3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25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25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25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.75" thickBot="1" x14ac:dyDescent="0.3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25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25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25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25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25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25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25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25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25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25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25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25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25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25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25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25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25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25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25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25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25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25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25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25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25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25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25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25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25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25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25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25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25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25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25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25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25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25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25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25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25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25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25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25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25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25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25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25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.75" thickBot="1" x14ac:dyDescent="0.3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295275</xdr:colOff>
                    <xdr:row>13</xdr:row>
                    <xdr:rowOff>104775</xdr:rowOff>
                  </from>
                  <to>
                    <xdr:col>3</xdr:col>
                    <xdr:colOff>552450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47625</xdr:colOff>
                    <xdr:row>13</xdr:row>
                    <xdr:rowOff>123825</xdr:rowOff>
                  </from>
                  <to>
                    <xdr:col>5</xdr:col>
                    <xdr:colOff>495300</xdr:colOff>
                    <xdr:row>16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9525</xdr:colOff>
                    <xdr:row>13</xdr:row>
                    <xdr:rowOff>123825</xdr:rowOff>
                  </from>
                  <to>
                    <xdr:col>2</xdr:col>
                    <xdr:colOff>28575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819150</xdr:colOff>
                    <xdr:row>13</xdr:row>
                    <xdr:rowOff>133350</xdr:rowOff>
                  </from>
                  <to>
                    <xdr:col>7</xdr:col>
                    <xdr:colOff>371475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FL316"/>
  <sheetViews>
    <sheetView showGridLines="0" tabSelected="1" zoomScale="70" zoomScaleNormal="70" workbookViewId="0">
      <selection activeCell="I109" sqref="I109"/>
    </sheetView>
  </sheetViews>
  <sheetFormatPr baseColWidth="10" defaultColWidth="22.85546875" defaultRowHeight="18" customHeight="1" outlineLevelRow="1" x14ac:dyDescent="0.25"/>
  <cols>
    <col min="1" max="1" width="24.5703125" style="113" customWidth="1"/>
    <col min="2" max="2" width="24.7109375" style="112" customWidth="1"/>
    <col min="3" max="3" width="21" style="112" customWidth="1"/>
    <col min="4" max="4" width="23.140625" style="112" customWidth="1"/>
    <col min="5" max="5" width="50.140625" style="153" customWidth="1"/>
    <col min="6" max="7" width="22" style="123" customWidth="1"/>
    <col min="8" max="8" width="27.7109375" style="123" customWidth="1"/>
    <col min="9" max="9" width="22" style="123" customWidth="1"/>
    <col min="10" max="10" width="22" style="125" customWidth="1"/>
    <col min="11" max="11" width="22" style="171" customWidth="1"/>
    <col min="12" max="13" width="22" style="105" customWidth="1"/>
    <col min="14" max="14" width="22" style="136" customWidth="1"/>
    <col min="15" max="15" width="11.140625" style="105" customWidth="1"/>
    <col min="16" max="23" width="21.5703125" style="105" customWidth="1"/>
    <col min="24" max="24" width="21.5703125" style="66" customWidth="1"/>
    <col min="25" max="25" width="10.28515625" customWidth="1"/>
    <col min="26" max="33" width="22.85546875" customWidth="1"/>
    <col min="34" max="38" width="22.85546875" hidden="1" customWidth="1"/>
    <col min="39" max="39" width="25.140625" hidden="1" customWidth="1"/>
    <col min="40" max="40" width="21.140625" hidden="1" customWidth="1"/>
    <col min="41" max="41" width="18.28515625" hidden="1" customWidth="1"/>
    <col min="42" max="42" width="18.5703125" hidden="1" customWidth="1" collapsed="1"/>
    <col min="43" max="43" width="25.28515625" hidden="1" customWidth="1"/>
    <col min="44" max="44" width="20.7109375" hidden="1" customWidth="1"/>
    <col min="45" max="45" width="16.5703125" hidden="1" customWidth="1"/>
    <col min="46" max="46" width="20.7109375" hidden="1" customWidth="1"/>
    <col min="47" max="47" width="13.28515625" hidden="1" customWidth="1"/>
    <col min="48" max="49" width="22.85546875" hidden="1" customWidth="1"/>
    <col min="50" max="50" width="22.85546875" hidden="1" customWidth="1" collapsed="1"/>
    <col min="51" max="51" width="22.85546875" style="85" hidden="1" customWidth="1"/>
    <col min="52" max="52" width="22.85546875" style="65" hidden="1" customWidth="1"/>
    <col min="53" max="70" width="22.85546875" style="105" hidden="1" customWidth="1"/>
    <col min="71" max="71" width="11.7109375" style="105" hidden="1" customWidth="1"/>
    <col min="72" max="95" width="22.85546875" style="105" hidden="1" customWidth="1"/>
    <col min="96" max="96" width="22.85546875" style="112" hidden="1" customWidth="1"/>
    <col min="97" max="141" width="22.85546875" style="105" hidden="1" customWidth="1"/>
    <col min="142" max="142" width="22.85546875" style="105" hidden="1" customWidth="1" collapsed="1"/>
    <col min="143" max="161" width="22.85546875" style="105" hidden="1" customWidth="1"/>
    <col min="162" max="162" width="22.85546875" style="105" hidden="1" customWidth="1" collapsed="1"/>
    <col min="163" max="163" width="22.85546875" style="105" hidden="1" customWidth="1"/>
    <col min="164" max="167" width="22.85546875" style="105"/>
    <col min="168" max="168" width="22.85546875" style="66"/>
  </cols>
  <sheetData>
    <row r="1" spans="5:161" ht="18" customHeight="1" x14ac:dyDescent="0.25">
      <c r="E1" s="172"/>
      <c r="F1" s="137"/>
      <c r="G1" s="137"/>
      <c r="H1" s="137"/>
      <c r="I1" s="137"/>
      <c r="J1" s="173"/>
      <c r="K1" s="90"/>
      <c r="L1" s="89"/>
      <c r="M1" s="90"/>
      <c r="N1" s="90"/>
      <c r="O1" s="90"/>
      <c r="P1" s="90"/>
      <c r="Q1" s="90"/>
      <c r="R1" s="90"/>
      <c r="S1" s="90"/>
      <c r="T1" s="90"/>
      <c r="U1" s="90"/>
      <c r="V1" s="90"/>
      <c r="W1" s="90"/>
      <c r="X1" s="91"/>
    </row>
    <row r="2" spans="5:161" ht="43.5" customHeight="1" x14ac:dyDescent="0.25">
      <c r="E2" s="160" t="s">
        <v>69</v>
      </c>
      <c r="K2" s="105"/>
      <c r="L2" s="65"/>
      <c r="N2" s="105"/>
      <c r="AZ2" s="65" t="s">
        <v>86</v>
      </c>
    </row>
    <row r="3" spans="5:161" ht="18" customHeight="1" x14ac:dyDescent="0.25">
      <c r="E3" s="65"/>
      <c r="F3" s="105"/>
      <c r="G3" s="105"/>
      <c r="H3" s="105"/>
      <c r="I3" s="105"/>
      <c r="J3" s="105"/>
      <c r="K3" s="105"/>
      <c r="L3" s="65"/>
      <c r="N3" s="105"/>
      <c r="AX3" s="67" t="s">
        <v>133</v>
      </c>
      <c r="CR3" s="144" t="s">
        <v>133</v>
      </c>
      <c r="EL3" s="109"/>
    </row>
    <row r="4" spans="5:161" ht="19.5" customHeight="1" thickBot="1" x14ac:dyDescent="0.4">
      <c r="E4" s="177" t="s">
        <v>282</v>
      </c>
      <c r="F4" s="111"/>
      <c r="G4" s="111"/>
      <c r="H4" s="111"/>
      <c r="I4" s="111"/>
      <c r="J4" s="105"/>
      <c r="K4" s="105"/>
      <c r="L4" s="65"/>
      <c r="N4" s="105"/>
      <c r="CS4" s="111" t="s">
        <v>72</v>
      </c>
      <c r="DM4" s="105" t="s">
        <v>70</v>
      </c>
      <c r="EM4" s="111" t="s">
        <v>118</v>
      </c>
    </row>
    <row r="5" spans="5:161" ht="18" customHeight="1" x14ac:dyDescent="0.3">
      <c r="E5" s="130"/>
      <c r="F5" s="138" t="s">
        <v>278</v>
      </c>
      <c r="G5" s="131"/>
      <c r="H5" s="131"/>
      <c r="I5" s="131"/>
      <c r="J5" s="131"/>
      <c r="K5" s="131"/>
      <c r="L5" s="65"/>
      <c r="N5" s="114"/>
    </row>
    <row r="6" spans="5:161" ht="18" customHeight="1" x14ac:dyDescent="0.25">
      <c r="E6" s="132"/>
      <c r="F6" s="115" t="s">
        <v>84</v>
      </c>
      <c r="G6" s="108"/>
      <c r="H6" s="108"/>
      <c r="I6" s="108"/>
      <c r="J6" s="108"/>
      <c r="K6" s="108"/>
      <c r="L6" s="65"/>
      <c r="N6" s="105"/>
      <c r="AZ6" s="105"/>
      <c r="BA6" s="142"/>
      <c r="CT6" s="142" t="s">
        <v>83</v>
      </c>
      <c r="EN6" s="142" t="s">
        <v>136</v>
      </c>
    </row>
    <row r="7" spans="5:161" ht="18" customHeight="1" thickBot="1" x14ac:dyDescent="0.45">
      <c r="E7" s="132"/>
      <c r="F7" s="133"/>
      <c r="G7" s="133"/>
      <c r="H7" s="133"/>
      <c r="I7" s="133"/>
      <c r="J7" s="133"/>
      <c r="K7" s="133"/>
      <c r="L7" s="65"/>
      <c r="N7" s="105"/>
      <c r="AY7" s="151" t="s">
        <v>82</v>
      </c>
    </row>
    <row r="8" spans="5:161" ht="18" customHeight="1" thickBot="1" x14ac:dyDescent="0.3">
      <c r="E8" s="134"/>
      <c r="F8" s="135"/>
      <c r="G8" s="135"/>
      <c r="H8" s="135"/>
      <c r="I8" s="135"/>
      <c r="J8" s="135"/>
      <c r="K8" s="135"/>
      <c r="L8" s="65"/>
      <c r="N8" s="105"/>
      <c r="BC8" s="92" t="s">
        <v>274</v>
      </c>
      <c r="BD8" s="94"/>
      <c r="BE8" s="93"/>
    </row>
    <row r="9" spans="5:161" ht="18" customHeight="1" x14ac:dyDescent="0.25">
      <c r="E9" s="65"/>
      <c r="F9" s="105"/>
      <c r="G9" s="105"/>
      <c r="H9" s="105"/>
      <c r="I9" s="105"/>
      <c r="J9" s="105"/>
      <c r="K9" s="105"/>
      <c r="L9" s="65"/>
      <c r="N9" s="105"/>
    </row>
    <row r="10" spans="5:161" ht="18" customHeight="1" x14ac:dyDescent="0.25">
      <c r="E10" s="65"/>
      <c r="F10" s="105"/>
      <c r="G10" s="105"/>
      <c r="H10" s="105"/>
      <c r="I10" s="105"/>
      <c r="J10" s="105"/>
      <c r="K10" s="105"/>
      <c r="L10" s="65"/>
      <c r="N10" s="105"/>
    </row>
    <row r="11" spans="5:161" ht="18" customHeight="1" x14ac:dyDescent="0.35">
      <c r="E11" s="177" t="s">
        <v>283</v>
      </c>
      <c r="F11" s="105"/>
      <c r="G11" s="105"/>
      <c r="H11" s="105"/>
      <c r="I11" s="105"/>
      <c r="J11" s="105"/>
      <c r="K11" s="105"/>
      <c r="L11" s="65"/>
      <c r="N11" s="105"/>
      <c r="AH11" t="s">
        <v>74</v>
      </c>
      <c r="AI11" t="s">
        <v>75</v>
      </c>
      <c r="AJ11" t="s">
        <v>73</v>
      </c>
      <c r="AK11" t="s">
        <v>76</v>
      </c>
      <c r="AL11" t="s">
        <v>126</v>
      </c>
      <c r="AM11" t="s">
        <v>122</v>
      </c>
      <c r="AN11" t="s">
        <v>127</v>
      </c>
      <c r="AZ11" s="65" t="s">
        <v>74</v>
      </c>
      <c r="BA11" s="105" t="s">
        <v>75</v>
      </c>
      <c r="BB11" s="105" t="s">
        <v>73</v>
      </c>
      <c r="BC11" s="105" t="s">
        <v>76</v>
      </c>
      <c r="BD11" s="105" t="s">
        <v>126</v>
      </c>
      <c r="BE11" s="105" t="s">
        <v>122</v>
      </c>
      <c r="BF11" s="105" t="s">
        <v>127</v>
      </c>
      <c r="CB11" s="105" t="s">
        <v>74</v>
      </c>
      <c r="CC11" s="105" t="s">
        <v>75</v>
      </c>
      <c r="CD11" s="105" t="s">
        <v>73</v>
      </c>
      <c r="CE11" s="105" t="s">
        <v>76</v>
      </c>
      <c r="CF11" s="105" t="s">
        <v>126</v>
      </c>
      <c r="CG11" s="105" t="s">
        <v>122</v>
      </c>
      <c r="CH11" s="105" t="s">
        <v>127</v>
      </c>
      <c r="CS11" s="105" t="s">
        <v>74</v>
      </c>
      <c r="CT11" s="105" t="s">
        <v>75</v>
      </c>
      <c r="CU11" s="105" t="s">
        <v>73</v>
      </c>
      <c r="CV11" s="105" t="s">
        <v>76</v>
      </c>
      <c r="CW11" s="105" t="s">
        <v>126</v>
      </c>
      <c r="CX11" s="105" t="s">
        <v>122</v>
      </c>
      <c r="CY11" s="105" t="s">
        <v>127</v>
      </c>
      <c r="DV11" s="105" t="s">
        <v>74</v>
      </c>
      <c r="DW11" s="105" t="s">
        <v>75</v>
      </c>
      <c r="DX11" s="105" t="s">
        <v>73</v>
      </c>
      <c r="DY11" s="105" t="s">
        <v>76</v>
      </c>
      <c r="DZ11" s="105" t="s">
        <v>126</v>
      </c>
      <c r="EA11" s="105" t="s">
        <v>122</v>
      </c>
      <c r="EB11" s="105" t="s">
        <v>127</v>
      </c>
      <c r="EM11" s="105" t="s">
        <v>74</v>
      </c>
      <c r="EN11" s="105" t="s">
        <v>131</v>
      </c>
      <c r="EO11" s="105" t="s">
        <v>132</v>
      </c>
      <c r="EP11" s="105" t="s">
        <v>210</v>
      </c>
      <c r="EQ11" s="105" t="s">
        <v>219</v>
      </c>
      <c r="ER11" s="105" t="s">
        <v>220</v>
      </c>
      <c r="ES11" s="105" t="s">
        <v>227</v>
      </c>
      <c r="ET11" s="105" t="s">
        <v>228</v>
      </c>
      <c r="EU11" s="105" t="s">
        <v>19</v>
      </c>
      <c r="EW11" s="105" t="s">
        <v>74</v>
      </c>
      <c r="EX11" s="105" t="s">
        <v>131</v>
      </c>
      <c r="EY11" s="105" t="s">
        <v>132</v>
      </c>
      <c r="EZ11" s="105" t="s">
        <v>210</v>
      </c>
      <c r="FA11" s="105" t="s">
        <v>219</v>
      </c>
      <c r="FB11" s="105" t="s">
        <v>220</v>
      </c>
      <c r="FC11" s="105" t="s">
        <v>211</v>
      </c>
      <c r="FD11" s="105" t="s">
        <v>212</v>
      </c>
      <c r="FE11" s="105" t="s">
        <v>19</v>
      </c>
    </row>
    <row r="12" spans="5:161" ht="18" customHeight="1" x14ac:dyDescent="0.25">
      <c r="E12" s="139" t="s">
        <v>74</v>
      </c>
      <c r="F12" s="147" t="s">
        <v>75</v>
      </c>
      <c r="G12" s="147" t="s">
        <v>73</v>
      </c>
      <c r="H12" s="147" t="s">
        <v>76</v>
      </c>
      <c r="I12" s="147" t="s">
        <v>126</v>
      </c>
      <c r="J12" s="147" t="s">
        <v>122</v>
      </c>
      <c r="K12" s="147" t="s">
        <v>127</v>
      </c>
      <c r="L12" s="65"/>
      <c r="N12" s="105"/>
      <c r="AH12" t="s">
        <v>266</v>
      </c>
      <c r="AI12" t="s">
        <v>267</v>
      </c>
      <c r="AJ12" t="s">
        <v>268</v>
      </c>
      <c r="AK12" t="s">
        <v>269</v>
      </c>
      <c r="AL12">
        <v>38.9</v>
      </c>
      <c r="AM12" t="s">
        <v>49</v>
      </c>
      <c r="AZ12" s="145"/>
      <c r="BA12" s="119"/>
      <c r="BB12" s="119"/>
      <c r="BC12" s="119"/>
      <c r="BD12" s="119"/>
      <c r="BE12" s="119"/>
      <c r="BF12" s="119"/>
      <c r="CS12" s="105" t="s">
        <v>250</v>
      </c>
      <c r="CT12" s="105" t="s">
        <v>244</v>
      </c>
      <c r="CU12" s="105" t="s">
        <v>77</v>
      </c>
      <c r="CV12" s="105" t="s">
        <v>249</v>
      </c>
      <c r="CW12" s="105">
        <v>43.5</v>
      </c>
      <c r="CX12" s="105" t="s">
        <v>49</v>
      </c>
      <c r="DV12" s="105" t="s">
        <v>250</v>
      </c>
      <c r="DW12" s="105" t="s">
        <v>244</v>
      </c>
      <c r="DX12" s="105" t="s">
        <v>77</v>
      </c>
      <c r="DY12" s="105" t="s">
        <v>249</v>
      </c>
      <c r="DZ12" s="105">
        <v>43.5</v>
      </c>
      <c r="EA12" s="105" t="s">
        <v>49</v>
      </c>
      <c r="EM12" s="146" t="s">
        <v>137</v>
      </c>
      <c r="EN12" s="146">
        <v>3.6</v>
      </c>
      <c r="EO12" s="146">
        <v>120</v>
      </c>
      <c r="EP12" s="146">
        <v>237804</v>
      </c>
      <c r="EQ12" s="146">
        <v>20595330</v>
      </c>
      <c r="ER12" s="146">
        <v>20595330</v>
      </c>
      <c r="ES12" s="146">
        <v>2.2000000000000002</v>
      </c>
      <c r="ET12" s="146">
        <v>2.2000000000000002</v>
      </c>
      <c r="EU12" s="146" t="s">
        <v>148</v>
      </c>
      <c r="EW12" s="147" t="s">
        <v>137</v>
      </c>
      <c r="EX12" s="147">
        <v>3.6</v>
      </c>
      <c r="EY12" s="105">
        <v>120</v>
      </c>
      <c r="EZ12" s="105">
        <v>237804</v>
      </c>
      <c r="FA12" s="147">
        <v>20595330</v>
      </c>
      <c r="FB12" s="147">
        <v>20595330</v>
      </c>
      <c r="FC12" s="147">
        <v>2.2000000000000002</v>
      </c>
      <c r="FD12" s="105">
        <v>2.2000000000000002</v>
      </c>
      <c r="FE12" s="105" t="s">
        <v>148</v>
      </c>
    </row>
    <row r="13" spans="5:161" ht="18" customHeight="1" x14ac:dyDescent="0.25">
      <c r="E13" s="152" t="s">
        <v>266</v>
      </c>
      <c r="F13" s="116" t="s">
        <v>267</v>
      </c>
      <c r="G13" s="116" t="s">
        <v>268</v>
      </c>
      <c r="H13" s="116" t="s">
        <v>269</v>
      </c>
      <c r="I13" s="116">
        <v>38.9</v>
      </c>
      <c r="J13" s="116" t="s">
        <v>49</v>
      </c>
      <c r="K13" s="116"/>
      <c r="L13" s="65"/>
      <c r="N13" s="105"/>
      <c r="AH13" s="86"/>
      <c r="AI13" s="86"/>
      <c r="AJ13" s="86"/>
      <c r="AK13" s="86"/>
      <c r="AL13" s="86"/>
      <c r="AM13" s="86"/>
      <c r="CB13" s="117"/>
      <c r="CC13" s="117"/>
      <c r="CD13" s="117"/>
      <c r="CE13" s="117"/>
      <c r="CF13" s="117"/>
      <c r="DV13" s="117"/>
      <c r="DW13" s="117"/>
      <c r="DX13" s="117"/>
      <c r="DY13" s="117"/>
      <c r="DZ13" s="117"/>
      <c r="EM13" s="146" t="s">
        <v>138</v>
      </c>
      <c r="EN13" s="146">
        <v>5</v>
      </c>
      <c r="EO13" s="146">
        <v>122</v>
      </c>
      <c r="EP13" s="146">
        <v>427397</v>
      </c>
      <c r="EQ13" s="146">
        <v>37230240</v>
      </c>
      <c r="ER13" s="146">
        <v>37230240</v>
      </c>
      <c r="ES13" s="146">
        <v>3.2</v>
      </c>
      <c r="ET13" s="146">
        <v>3.2</v>
      </c>
      <c r="EU13" s="146" t="s">
        <v>148</v>
      </c>
      <c r="EW13" s="147" t="s">
        <v>138</v>
      </c>
      <c r="EX13" s="147">
        <v>5</v>
      </c>
      <c r="EY13" s="105">
        <v>122</v>
      </c>
      <c r="EZ13" s="105">
        <v>427397</v>
      </c>
      <c r="FA13" s="147">
        <v>37230240</v>
      </c>
      <c r="FB13" s="147">
        <v>37230240</v>
      </c>
      <c r="FC13" s="147">
        <v>3.2</v>
      </c>
      <c r="FD13" s="105">
        <v>3.2</v>
      </c>
      <c r="FE13" s="105" t="s">
        <v>148</v>
      </c>
    </row>
    <row r="14" spans="5:161" ht="18" customHeight="1" x14ac:dyDescent="0.25">
      <c r="E14" s="65"/>
      <c r="F14" s="105"/>
      <c r="G14" s="105"/>
      <c r="H14" s="105"/>
      <c r="I14" s="105"/>
      <c r="J14" s="105"/>
      <c r="K14" s="105"/>
      <c r="L14" s="65"/>
      <c r="N14" s="105"/>
      <c r="AZ14" s="65" t="s">
        <v>74</v>
      </c>
      <c r="BA14" s="105" t="s">
        <v>75</v>
      </c>
      <c r="BB14" s="105" t="s">
        <v>73</v>
      </c>
      <c r="BC14" s="105" t="s">
        <v>76</v>
      </c>
      <c r="BD14" s="105" t="s">
        <v>126</v>
      </c>
      <c r="BE14" s="105" t="s">
        <v>122</v>
      </c>
      <c r="BF14" s="105" t="s">
        <v>127</v>
      </c>
      <c r="CS14" s="105" t="s">
        <v>74</v>
      </c>
      <c r="CT14" s="105" t="s">
        <v>75</v>
      </c>
      <c r="CU14" s="105" t="s">
        <v>73</v>
      </c>
      <c r="CV14" s="105" t="s">
        <v>76</v>
      </c>
      <c r="CW14" s="105" t="s">
        <v>126</v>
      </c>
      <c r="CX14" s="105" t="s">
        <v>122</v>
      </c>
      <c r="CY14" s="105" t="s">
        <v>127</v>
      </c>
      <c r="EM14" s="146" t="s">
        <v>139</v>
      </c>
      <c r="EN14" s="146">
        <v>4</v>
      </c>
      <c r="EO14" s="146">
        <v>130</v>
      </c>
      <c r="EP14" s="146">
        <v>239664</v>
      </c>
      <c r="EQ14" s="146">
        <v>23265890</v>
      </c>
      <c r="ER14" s="146">
        <v>23265890</v>
      </c>
      <c r="ES14" s="146">
        <v>2.2000000000000002</v>
      </c>
      <c r="ET14" s="146">
        <v>2.2000000000000002</v>
      </c>
      <c r="EU14" s="146" t="s">
        <v>148</v>
      </c>
      <c r="EW14" s="147" t="s">
        <v>139</v>
      </c>
      <c r="EX14" s="147">
        <v>4</v>
      </c>
      <c r="EY14" s="105">
        <v>130</v>
      </c>
      <c r="EZ14" s="105">
        <v>239664</v>
      </c>
      <c r="FA14" s="147">
        <v>23265890</v>
      </c>
      <c r="FB14" s="147">
        <v>23265890</v>
      </c>
      <c r="FC14" s="147">
        <v>2.2000000000000002</v>
      </c>
      <c r="FD14" s="105">
        <v>2.2000000000000002</v>
      </c>
      <c r="FE14" s="105" t="s">
        <v>148</v>
      </c>
    </row>
    <row r="15" spans="5:161" ht="18" customHeight="1" x14ac:dyDescent="0.25">
      <c r="K15" s="105"/>
      <c r="L15" s="65"/>
      <c r="N15" s="105"/>
      <c r="AH15" s="67" t="s">
        <v>71</v>
      </c>
      <c r="AZ15" s="148"/>
      <c r="BA15" s="117"/>
      <c r="BB15" s="117"/>
      <c r="BC15" s="117"/>
      <c r="BD15" s="117"/>
      <c r="BE15" s="117"/>
      <c r="BF15" s="117"/>
      <c r="CB15" s="109" t="s">
        <v>71</v>
      </c>
      <c r="CT15" s="117"/>
      <c r="CU15" s="117"/>
      <c r="CV15" s="117"/>
      <c r="CW15" s="117"/>
      <c r="CX15" s="117"/>
      <c r="DV15" s="109" t="s">
        <v>71</v>
      </c>
      <c r="EM15" s="146" t="s">
        <v>140</v>
      </c>
      <c r="EN15" s="146">
        <v>6</v>
      </c>
      <c r="EO15" s="146">
        <v>142</v>
      </c>
      <c r="EP15" s="146">
        <v>312142</v>
      </c>
      <c r="EQ15" s="146">
        <v>59416040</v>
      </c>
      <c r="ER15" s="146">
        <v>59416040</v>
      </c>
      <c r="ES15" s="146">
        <v>2.85</v>
      </c>
      <c r="ET15" s="146">
        <v>2.85</v>
      </c>
      <c r="EU15" s="146" t="s">
        <v>148</v>
      </c>
      <c r="EW15" s="147" t="s">
        <v>140</v>
      </c>
      <c r="EX15" s="147">
        <v>6</v>
      </c>
      <c r="EY15" s="105">
        <v>142</v>
      </c>
      <c r="EZ15" s="105">
        <v>312142</v>
      </c>
      <c r="FA15" s="147">
        <v>59416040</v>
      </c>
      <c r="FB15" s="147">
        <v>59416040</v>
      </c>
      <c r="FC15" s="147">
        <v>2.85</v>
      </c>
      <c r="FD15" s="105">
        <v>2.85</v>
      </c>
      <c r="FE15" s="105" t="s">
        <v>148</v>
      </c>
    </row>
    <row r="16" spans="5:161" ht="18" customHeight="1" x14ac:dyDescent="0.35">
      <c r="E16" s="177" t="s">
        <v>284</v>
      </c>
      <c r="F16" s="105"/>
      <c r="G16" s="105"/>
      <c r="H16" s="105"/>
      <c r="I16" s="105"/>
      <c r="J16" s="105"/>
      <c r="K16" s="105"/>
      <c r="L16" s="65"/>
      <c r="N16" s="105"/>
      <c r="EM16" s="146" t="s">
        <v>141</v>
      </c>
      <c r="EN16" s="146">
        <v>8</v>
      </c>
      <c r="EO16" s="146">
        <v>164</v>
      </c>
      <c r="EP16" s="146">
        <v>450972</v>
      </c>
      <c r="EQ16" s="146">
        <v>72350120</v>
      </c>
      <c r="ER16" s="146">
        <v>72350120</v>
      </c>
      <c r="ES16" s="146">
        <v>2.29</v>
      </c>
      <c r="ET16" s="146">
        <v>2.29</v>
      </c>
      <c r="EU16" s="146" t="s">
        <v>148</v>
      </c>
      <c r="EW16" s="147" t="s">
        <v>141</v>
      </c>
      <c r="EX16" s="147">
        <v>8</v>
      </c>
      <c r="EY16" s="105">
        <v>164</v>
      </c>
      <c r="EZ16" s="105">
        <v>450972</v>
      </c>
      <c r="FA16" s="147">
        <v>72350120</v>
      </c>
      <c r="FB16" s="147">
        <v>72350120</v>
      </c>
      <c r="FC16" s="147">
        <v>2.29</v>
      </c>
      <c r="FD16" s="105">
        <v>2.29</v>
      </c>
      <c r="FE16" s="105" t="s">
        <v>148</v>
      </c>
    </row>
    <row r="17" spans="1:161" ht="18" customHeight="1" thickBot="1" x14ac:dyDescent="0.3">
      <c r="E17" s="139" t="s">
        <v>74</v>
      </c>
      <c r="F17" s="147" t="s">
        <v>75</v>
      </c>
      <c r="G17" s="147" t="s">
        <v>73</v>
      </c>
      <c r="H17" s="147" t="s">
        <v>76</v>
      </c>
      <c r="I17" s="147" t="s">
        <v>126</v>
      </c>
      <c r="J17" s="147" t="s">
        <v>122</v>
      </c>
      <c r="K17" s="147" t="s">
        <v>127</v>
      </c>
      <c r="L17" s="65"/>
      <c r="N17" s="105"/>
      <c r="AH17" t="s">
        <v>1</v>
      </c>
      <c r="AI17" t="s">
        <v>98</v>
      </c>
      <c r="AJ17" t="s">
        <v>97</v>
      </c>
      <c r="AK17" t="s">
        <v>79</v>
      </c>
      <c r="AL17" t="s">
        <v>80</v>
      </c>
      <c r="AM17" t="s">
        <v>81</v>
      </c>
      <c r="AO17" s="87" t="s">
        <v>257</v>
      </c>
      <c r="AP17" t="s">
        <v>98</v>
      </c>
      <c r="AQ17" t="s">
        <v>97</v>
      </c>
      <c r="AR17" t="s">
        <v>90</v>
      </c>
      <c r="AS17" t="s">
        <v>231</v>
      </c>
      <c r="AT17" t="s">
        <v>232</v>
      </c>
      <c r="AU17" t="s">
        <v>233</v>
      </c>
      <c r="AV17" t="s">
        <v>235</v>
      </c>
      <c r="AW17" t="s">
        <v>234</v>
      </c>
      <c r="AZ17" s="65" t="s">
        <v>1</v>
      </c>
      <c r="BA17" s="105" t="s">
        <v>98</v>
      </c>
      <c r="BB17" s="105" t="s">
        <v>97</v>
      </c>
      <c r="BC17" s="105" t="s">
        <v>79</v>
      </c>
      <c r="BD17" s="105" t="s">
        <v>80</v>
      </c>
      <c r="BE17" s="105" t="s">
        <v>81</v>
      </c>
      <c r="BF17" s="105" t="s">
        <v>9</v>
      </c>
      <c r="BG17" s="105" t="s">
        <v>10</v>
      </c>
      <c r="BH17" s="105" t="s">
        <v>11</v>
      </c>
      <c r="BI17" s="105" t="s">
        <v>12</v>
      </c>
      <c r="BK17" s="118" t="s">
        <v>257</v>
      </c>
      <c r="BL17" s="110" t="s">
        <v>98</v>
      </c>
      <c r="BM17" s="110" t="s">
        <v>97</v>
      </c>
      <c r="BN17" s="110" t="s">
        <v>90</v>
      </c>
      <c r="BO17" s="110" t="s">
        <v>231</v>
      </c>
      <c r="BP17" s="110" t="s">
        <v>232</v>
      </c>
      <c r="BQ17" s="110" t="s">
        <v>233</v>
      </c>
      <c r="BR17" s="110" t="s">
        <v>235</v>
      </c>
      <c r="BS17" s="110" t="s">
        <v>234</v>
      </c>
      <c r="BU17" s="105" t="s">
        <v>74</v>
      </c>
      <c r="BV17" s="105" t="s">
        <v>75</v>
      </c>
      <c r="BW17" s="105" t="s">
        <v>73</v>
      </c>
      <c r="BX17" s="105" t="s">
        <v>76</v>
      </c>
      <c r="BY17" s="105" t="s">
        <v>126</v>
      </c>
      <c r="BZ17" s="105" t="s">
        <v>122</v>
      </c>
      <c r="CA17" s="105" t="s">
        <v>127</v>
      </c>
      <c r="CB17" s="105" t="s">
        <v>1</v>
      </c>
      <c r="CC17" s="105" t="s">
        <v>98</v>
      </c>
      <c r="CD17" s="105" t="s">
        <v>97</v>
      </c>
      <c r="CE17" s="105" t="s">
        <v>79</v>
      </c>
      <c r="CF17" s="105" t="s">
        <v>80</v>
      </c>
      <c r="CG17" s="105" t="s">
        <v>81</v>
      </c>
      <c r="CI17" s="118" t="s">
        <v>257</v>
      </c>
      <c r="CJ17" s="110" t="s">
        <v>98</v>
      </c>
      <c r="CK17" s="110" t="s">
        <v>97</v>
      </c>
      <c r="CL17" s="110" t="s">
        <v>90</v>
      </c>
      <c r="CM17" s="110" t="s">
        <v>231</v>
      </c>
      <c r="CN17" s="110" t="s">
        <v>232</v>
      </c>
      <c r="CO17" s="110" t="s">
        <v>233</v>
      </c>
      <c r="CP17" s="110" t="s">
        <v>235</v>
      </c>
      <c r="CQ17" s="110" t="s">
        <v>234</v>
      </c>
      <c r="CS17" s="105" t="s">
        <v>1</v>
      </c>
      <c r="CT17" s="105" t="s">
        <v>98</v>
      </c>
      <c r="CU17" s="105" t="s">
        <v>97</v>
      </c>
      <c r="CV17" s="105" t="s">
        <v>79</v>
      </c>
      <c r="CW17" s="105" t="s">
        <v>80</v>
      </c>
      <c r="CX17" s="105" t="s">
        <v>81</v>
      </c>
      <c r="CY17" s="105" t="s">
        <v>9</v>
      </c>
      <c r="CZ17" s="105" t="s">
        <v>10</v>
      </c>
      <c r="DA17" s="105" t="s">
        <v>11</v>
      </c>
      <c r="DB17" s="105" t="s">
        <v>12</v>
      </c>
      <c r="DD17" s="118" t="s">
        <v>257</v>
      </c>
      <c r="DE17" s="110" t="s">
        <v>98</v>
      </c>
      <c r="DF17" s="110" t="s">
        <v>97</v>
      </c>
      <c r="DG17" s="110" t="s">
        <v>90</v>
      </c>
      <c r="DH17" s="110" t="s">
        <v>231</v>
      </c>
      <c r="DI17" s="110" t="s">
        <v>232</v>
      </c>
      <c r="DJ17" s="110" t="s">
        <v>233</v>
      </c>
      <c r="DK17" s="110" t="s">
        <v>235</v>
      </c>
      <c r="DL17" s="110" t="s">
        <v>234</v>
      </c>
      <c r="DN17" s="105" t="s">
        <v>74</v>
      </c>
      <c r="DO17" s="105" t="s">
        <v>75</v>
      </c>
      <c r="DP17" s="105" t="s">
        <v>73</v>
      </c>
      <c r="DQ17" s="105" t="s">
        <v>76</v>
      </c>
      <c r="DR17" s="105" t="s">
        <v>126</v>
      </c>
      <c r="DS17" s="105" t="s">
        <v>122</v>
      </c>
      <c r="DT17" s="105" t="s">
        <v>127</v>
      </c>
      <c r="DV17" s="105" t="s">
        <v>1</v>
      </c>
      <c r="DW17" s="105" t="s">
        <v>98</v>
      </c>
      <c r="DX17" s="105" t="s">
        <v>97</v>
      </c>
      <c r="DY17" s="105" t="s">
        <v>79</v>
      </c>
      <c r="DZ17" s="105" t="s">
        <v>80</v>
      </c>
      <c r="EA17" s="105" t="s">
        <v>81</v>
      </c>
      <c r="EC17" s="118" t="s">
        <v>257</v>
      </c>
      <c r="ED17" s="110" t="s">
        <v>98</v>
      </c>
      <c r="EE17" s="110" t="s">
        <v>97</v>
      </c>
      <c r="EF17" s="110" t="s">
        <v>90</v>
      </c>
      <c r="EG17" s="110" t="s">
        <v>231</v>
      </c>
      <c r="EH17" s="110" t="s">
        <v>232</v>
      </c>
      <c r="EI17" s="110" t="s">
        <v>233</v>
      </c>
      <c r="EJ17" s="110" t="s">
        <v>235</v>
      </c>
      <c r="EK17" s="110" t="s">
        <v>234</v>
      </c>
      <c r="EM17" s="146" t="s">
        <v>142</v>
      </c>
      <c r="EN17" s="146">
        <v>9.5</v>
      </c>
      <c r="EO17" s="146">
        <v>174</v>
      </c>
      <c r="EP17" s="146">
        <v>484588</v>
      </c>
      <c r="EQ17" s="146">
        <v>83636270</v>
      </c>
      <c r="ER17" s="146">
        <v>83636270</v>
      </c>
      <c r="ES17" s="146">
        <v>3.5</v>
      </c>
      <c r="ET17" s="146">
        <v>3.5</v>
      </c>
      <c r="EU17" s="146" t="s">
        <v>148</v>
      </c>
      <c r="EW17" s="147" t="s">
        <v>142</v>
      </c>
      <c r="EX17" s="147">
        <v>9.5</v>
      </c>
      <c r="EY17" s="105">
        <v>174</v>
      </c>
      <c r="EZ17" s="105">
        <v>484588</v>
      </c>
      <c r="FA17" s="147">
        <v>83636270</v>
      </c>
      <c r="FB17" s="147">
        <v>83636270</v>
      </c>
      <c r="FC17" s="147">
        <v>3.5</v>
      </c>
      <c r="FD17" s="105">
        <v>3.5</v>
      </c>
      <c r="FE17" s="105" t="s">
        <v>148</v>
      </c>
    </row>
    <row r="18" spans="1:161" ht="18" customHeight="1" x14ac:dyDescent="0.25">
      <c r="A18" s="141"/>
      <c r="B18" s="143"/>
      <c r="C18" s="141"/>
      <c r="D18" s="143"/>
      <c r="E18" s="148"/>
      <c r="F18" s="117"/>
      <c r="G18" s="117"/>
      <c r="H18" s="117"/>
      <c r="I18" s="117"/>
      <c r="J18" s="117"/>
      <c r="K18" s="117"/>
      <c r="L18" s="65"/>
      <c r="N18" s="105"/>
      <c r="AH18">
        <v>1</v>
      </c>
      <c r="AI18">
        <v>5.5</v>
      </c>
      <c r="AJ18">
        <v>1.7</v>
      </c>
      <c r="AK18">
        <v>8</v>
      </c>
      <c r="AL18">
        <v>8</v>
      </c>
      <c r="AM18">
        <v>108</v>
      </c>
      <c r="AO18" t="s">
        <v>92</v>
      </c>
      <c r="AP18">
        <v>4.3</v>
      </c>
      <c r="AQ18">
        <v>4.3</v>
      </c>
      <c r="AR18">
        <v>14000</v>
      </c>
      <c r="AZ18" s="145"/>
      <c r="BA18" s="119"/>
      <c r="BB18" s="119"/>
      <c r="BC18" s="119"/>
      <c r="BD18" s="119"/>
      <c r="BE18" s="119"/>
      <c r="BF18" s="105">
        <f>IFERROR(TP_DATA[[#This Row],[Bottom '[m']]]-TP_DATA[[#This Row],[D, top '[m']]], "")</f>
        <v>0</v>
      </c>
      <c r="BG18" s="105" t="str">
        <f>IFERROR(-(TP_DATA[[#This Row],[D, bottom '[m']]]-TP_DATA[[#This Row],[D, top '[m']]])/(TP_DATA[[#This Row],[Bottom '[m']]]-TP_DATA[[#This Row],[Top '[m']]]),"")</f>
        <v/>
      </c>
      <c r="BH18" s="105" t="str">
        <f>IF(7850/1000*(1/3)*PI()*ABS(BA18-BB18)*((BC18/2)^2+(BC18/2)*(BD18/2)+(BD18/2)^2-(BC18/2-BE18/1000)^2-(BC18/2-BE18/1000)*(BD18/2-BE18/1000)-(BD18/2-BE18/1000)^2)=0,"",7850/1000*(1/3)*PI()*ABS(BA18-BB18)*((BC18/2)^2+(BC18/2)*(BD18/2)+(BD18/2)^2-(BC18/2-BE18/1000)^2-(BC18/2-BE18/1000)*(BD18/2-BE18/1000)-(BD18/2-BE18/1000)^2))</f>
        <v/>
      </c>
      <c r="BI18" s="105" t="str">
        <f>IFERROR((TP_DATA[[#This Row],[D, bottom '[m']]]+TP_DATA[[#This Row],[D, top '[m']]])/(2*TP_DATA[[#This Row],[t '[mm']]]/1000),"")</f>
        <v/>
      </c>
      <c r="BK18" s="119"/>
      <c r="BL18" s="119"/>
      <c r="BM18" s="119"/>
      <c r="BN18" s="119"/>
      <c r="BO18" s="119"/>
      <c r="BP18" s="119"/>
      <c r="BQ18" s="119"/>
      <c r="BR18" s="119"/>
      <c r="BS18" s="119"/>
      <c r="BU18" s="105" t="s">
        <v>246</v>
      </c>
      <c r="BV18" s="105" t="s">
        <v>244</v>
      </c>
      <c r="BW18" s="105" t="s">
        <v>77</v>
      </c>
      <c r="BX18" s="105" t="s">
        <v>245</v>
      </c>
      <c r="BY18" s="105">
        <v>43.5</v>
      </c>
      <c r="BZ18" s="105" t="s">
        <v>49</v>
      </c>
      <c r="CR18" s="105"/>
      <c r="CS18" s="105">
        <v>1</v>
      </c>
      <c r="CT18" s="105">
        <v>140.49999999999997</v>
      </c>
      <c r="CU18" s="105">
        <v>140.32499999999996</v>
      </c>
      <c r="CV18" s="105">
        <v>5.6159999999999997</v>
      </c>
      <c r="CW18" s="105">
        <v>5.6159999999999997</v>
      </c>
      <c r="CX18" s="105">
        <v>42</v>
      </c>
      <c r="CY18" s="105">
        <f>IFERROR(TOWER_DATA[[#This Row],[Top '[m']]]-TOWER_DATA[[#This Row],[Bottom '[m']]], "")</f>
        <v>0.17500000000001137</v>
      </c>
      <c r="CZ18" s="105">
        <f>IFERROR(-(TOWER_DATA[[#This Row],[D, bottom '[m']]]-TOWER_DATA[[#This Row],[D, top '[m']]])/(TOWER_DATA[[#This Row],[Bottom '[m']]]-TOWER_DATA[[#This Row],[Top '[m']]]),"")</f>
        <v>0</v>
      </c>
      <c r="DA18" s="105">
        <f t="shared" ref="DA18:DA81" si="0">IF(7850/1000*(1/3)*PI()*ABS(CT18-CU18)*((CV18/2)^2+(CV18/2)*(CW18/2)+(CW18/2)^2-(CV18/2-CX18/1000)^2-(CV18/2-CX18/1000)*(CW18/2-CX18/1000)-(CW18/2-CX18/1000)^2)=0,"",7850/1000*(1/3)*PI()*ABS(CT18-CU18)*((CV18/2)^2+(CV18/2)*(CW18/2)+(CW18/2)^2-(CV18/2-CX18/1000)^2-(CV18/2-CX18/1000)*(CW18/2-CX18/1000)-(CW18/2-CX18/1000)^2))</f>
        <v>1.0103546228354485</v>
      </c>
      <c r="DB18" s="105">
        <f>IFERROR((TOWER_DATA[[#This Row],[D, bottom '[m']]]+TOWER_DATA[[#This Row],[D, top '[m']]])/(2*TOWER_DATA[[#This Row],[t '[mm']]]/1000),"")</f>
        <v>133.71428571428569</v>
      </c>
      <c r="DD18" s="105" t="s">
        <v>247</v>
      </c>
      <c r="DE18" s="105">
        <v>140.49999999999997</v>
      </c>
      <c r="DF18" s="105">
        <v>140.49999999999997</v>
      </c>
      <c r="DG18" s="105">
        <v>6154</v>
      </c>
      <c r="DN18" s="105" t="s">
        <v>250</v>
      </c>
      <c r="DO18" s="105" t="s">
        <v>244</v>
      </c>
      <c r="DP18" s="105" t="s">
        <v>77</v>
      </c>
      <c r="DQ18" s="105" t="s">
        <v>249</v>
      </c>
      <c r="DR18" s="105">
        <v>43.5</v>
      </c>
      <c r="DS18" s="105" t="s">
        <v>49</v>
      </c>
      <c r="DV18" s="105">
        <v>1</v>
      </c>
      <c r="DW18" s="105">
        <v>140.49999999999997</v>
      </c>
      <c r="DX18" s="105">
        <v>140.32499999999996</v>
      </c>
      <c r="DY18" s="105">
        <v>5.6159999999999997</v>
      </c>
      <c r="DZ18" s="105">
        <v>5.6159999999999997</v>
      </c>
      <c r="EA18" s="105">
        <v>42</v>
      </c>
      <c r="EC18" s="105" t="s">
        <v>247</v>
      </c>
      <c r="ED18" s="105">
        <v>140.49999999999997</v>
      </c>
      <c r="EE18" s="105">
        <v>140.49999999999997</v>
      </c>
      <c r="EF18" s="105">
        <v>6154</v>
      </c>
      <c r="EM18" s="105" t="s">
        <v>143</v>
      </c>
      <c r="EN18" s="105">
        <v>10</v>
      </c>
      <c r="EO18" s="105">
        <v>180</v>
      </c>
      <c r="EP18" s="105">
        <v>673916</v>
      </c>
      <c r="EQ18" s="105">
        <v>102240300</v>
      </c>
      <c r="ER18" s="105">
        <v>102240300</v>
      </c>
      <c r="ES18" s="105">
        <v>3.5</v>
      </c>
      <c r="ET18" s="105">
        <v>3.5</v>
      </c>
      <c r="EU18" s="105" t="s">
        <v>148</v>
      </c>
      <c r="EW18" s="105" t="s">
        <v>143</v>
      </c>
      <c r="EX18" s="105">
        <v>10</v>
      </c>
      <c r="EY18" s="105">
        <v>180</v>
      </c>
      <c r="EZ18" s="105">
        <v>673916</v>
      </c>
      <c r="FA18" s="105">
        <v>102240300</v>
      </c>
      <c r="FB18" s="105">
        <v>102240300</v>
      </c>
      <c r="FC18" s="105">
        <v>3.5</v>
      </c>
      <c r="FD18" s="105">
        <v>3.5</v>
      </c>
      <c r="FE18" s="105" t="s">
        <v>148</v>
      </c>
    </row>
    <row r="19" spans="1:161" ht="18" customHeight="1" x14ac:dyDescent="0.25">
      <c r="C19" s="113"/>
      <c r="K19" s="105"/>
      <c r="L19" s="65"/>
      <c r="N19" s="105"/>
      <c r="AH19">
        <v>2</v>
      </c>
      <c r="AI19">
        <v>1.7</v>
      </c>
      <c r="AJ19">
        <v>-1.8</v>
      </c>
      <c r="AK19">
        <v>8</v>
      </c>
      <c r="AL19">
        <v>8</v>
      </c>
      <c r="AM19">
        <v>100</v>
      </c>
      <c r="AO19" t="s">
        <v>93</v>
      </c>
      <c r="AP19">
        <v>0.55000000000000004</v>
      </c>
      <c r="AQ19">
        <v>0.55000000000000004</v>
      </c>
      <c r="AR19">
        <v>105000</v>
      </c>
      <c r="AZ19" s="145"/>
      <c r="BA19" s="119"/>
      <c r="BB19" s="119"/>
      <c r="BC19" s="119"/>
      <c r="BD19" s="119"/>
      <c r="BE19" s="119"/>
      <c r="BF19" s="105">
        <f>IFERROR(TP_DATA[[#This Row],[Bottom '[m']]]-TP_DATA[[#This Row],[D, top '[m']]], "")</f>
        <v>0</v>
      </c>
      <c r="BG19" s="105" t="str">
        <f>IFERROR(-(TP_DATA[[#This Row],[D, bottom '[m']]]-TP_DATA[[#This Row],[D, top '[m']]])/(TP_DATA[[#This Row],[Bottom '[m']]]-TP_DATA[[#This Row],[Top '[m']]]),"")</f>
        <v/>
      </c>
      <c r="BH19" s="105" t="str">
        <f>IF(7850/1000*(1/3)*PI()*ABS(BA19-BB19)*((BC19/2)^2+(BC19/2)*(BD19/2)+(BD19/2)^2-(BC19/2-BE19/1000)^2-(BC19/2-BE19/1000)*(BD19/2-BE19/1000)-(BD19/2-BE19/1000)^2)=0,"",7850/1000*(1/3)*PI()*ABS(BA19-BB19)*((BC19/2)^2+(BC19/2)*(BD19/2)+(BD19/2)^2-(BC19/2-BE19/1000)^2-(BC19/2-BE19/1000)*(BD19/2-BE19/1000)-(BD19/2-BE19/1000)^2))</f>
        <v/>
      </c>
      <c r="BI19" s="105" t="str">
        <f>IFERROR((TP_DATA[[#This Row],[D, bottom '[m']]]+TP_DATA[[#This Row],[D, top '[m']]])/(2*TP_DATA[[#This Row],[t '[mm']]]/1000),"")</f>
        <v/>
      </c>
      <c r="BK19" s="119"/>
      <c r="BL19" s="119"/>
      <c r="BM19" s="119"/>
      <c r="BN19" s="119"/>
      <c r="BO19" s="119"/>
      <c r="BP19" s="119"/>
      <c r="BQ19" s="119"/>
      <c r="BR19" s="119"/>
      <c r="BS19" s="119"/>
      <c r="CR19" s="105"/>
      <c r="CS19" s="105">
        <v>2</v>
      </c>
      <c r="CT19" s="105">
        <v>140.32499999999996</v>
      </c>
      <c r="CU19" s="105">
        <v>140.27499999999998</v>
      </c>
      <c r="CV19" s="105">
        <v>5.6159999999999997</v>
      </c>
      <c r="CW19" s="105">
        <v>5.609</v>
      </c>
      <c r="CX19" s="105">
        <v>42</v>
      </c>
      <c r="CY19" s="105">
        <f>IFERROR(TOWER_DATA[[#This Row],[Top '[m']]]-TOWER_DATA[[#This Row],[Bottom '[m']]], "")</f>
        <v>4.9999999999982947E-2</v>
      </c>
      <c r="CZ19" s="105">
        <f>IFERROR(-(TOWER_DATA[[#This Row],[D, bottom '[m']]]-TOWER_DATA[[#This Row],[D, top '[m']]])/(TOWER_DATA[[#This Row],[Bottom '[m']]]-TOWER_DATA[[#This Row],[Top '[m']]]),"")</f>
        <v>-0.1400000000000412</v>
      </c>
      <c r="DA19" s="105">
        <f t="shared" si="0"/>
        <v>0.28849148733930929</v>
      </c>
      <c r="DB19" s="105">
        <f>IFERROR((TOWER_DATA[[#This Row],[D, bottom '[m']]]+TOWER_DATA[[#This Row],[D, top '[m']]])/(2*TOWER_DATA[[#This Row],[t '[mm']]]/1000),"")</f>
        <v>133.63095238095238</v>
      </c>
      <c r="DD19" s="105" t="s">
        <v>247</v>
      </c>
      <c r="DE19" s="105">
        <v>140.32499999999996</v>
      </c>
      <c r="DF19" s="105">
        <v>140.32499999999996</v>
      </c>
      <c r="DG19" s="105">
        <v>5</v>
      </c>
      <c r="DN19" s="105" t="s">
        <v>259</v>
      </c>
      <c r="DO19" s="105" t="s">
        <v>260</v>
      </c>
      <c r="DP19" s="105" t="s">
        <v>261</v>
      </c>
      <c r="DQ19" s="105" t="s">
        <v>262</v>
      </c>
      <c r="DR19" s="105">
        <v>23.1</v>
      </c>
      <c r="DS19" s="105" t="s">
        <v>49</v>
      </c>
      <c r="DV19" s="105">
        <v>2</v>
      </c>
      <c r="DW19" s="105">
        <v>140.32499999999996</v>
      </c>
      <c r="DX19" s="105">
        <v>140.27499999999998</v>
      </c>
      <c r="DY19" s="105">
        <v>5.6159999999999997</v>
      </c>
      <c r="DZ19" s="105">
        <v>5.609</v>
      </c>
      <c r="EA19" s="105">
        <v>42</v>
      </c>
      <c r="EC19" s="105" t="s">
        <v>247</v>
      </c>
      <c r="ED19" s="105">
        <v>140.32499999999996</v>
      </c>
      <c r="EE19" s="105">
        <v>140.32499999999996</v>
      </c>
      <c r="EF19" s="105">
        <v>5</v>
      </c>
      <c r="EM19" s="105" t="s">
        <v>119</v>
      </c>
      <c r="EN19" s="105">
        <v>13</v>
      </c>
      <c r="EO19" s="105">
        <v>210</v>
      </c>
      <c r="EP19" s="105">
        <v>777534</v>
      </c>
      <c r="EQ19" s="105">
        <v>197394400</v>
      </c>
      <c r="ER19" s="105">
        <v>197394400</v>
      </c>
      <c r="ES19" s="105">
        <v>3.4</v>
      </c>
      <c r="ET19" s="105">
        <v>3.4</v>
      </c>
      <c r="EU19" s="105" t="s">
        <v>148</v>
      </c>
      <c r="EW19" s="105" t="s">
        <v>119</v>
      </c>
      <c r="EX19" s="105">
        <v>13</v>
      </c>
      <c r="EY19" s="105">
        <v>210</v>
      </c>
      <c r="EZ19" s="105">
        <v>777534</v>
      </c>
      <c r="FA19" s="105">
        <v>197394400</v>
      </c>
      <c r="FB19" s="105">
        <v>197394400</v>
      </c>
      <c r="FC19" s="105">
        <v>3.4</v>
      </c>
      <c r="FD19" s="105">
        <v>3.4</v>
      </c>
      <c r="FE19" s="105" t="s">
        <v>148</v>
      </c>
    </row>
    <row r="20" spans="1:161" ht="18" customHeight="1" x14ac:dyDescent="0.25">
      <c r="C20" s="113"/>
      <c r="K20" s="105"/>
      <c r="L20" s="65"/>
      <c r="N20" s="105"/>
      <c r="P20" s="154"/>
      <c r="Q20" s="154"/>
      <c r="R20" s="154"/>
      <c r="S20" s="154"/>
      <c r="T20" s="154"/>
      <c r="U20" s="154"/>
      <c r="V20" s="154"/>
      <c r="W20" s="154"/>
      <c r="X20" s="155"/>
      <c r="AH20">
        <v>3</v>
      </c>
      <c r="AI20">
        <v>-1.8</v>
      </c>
      <c r="AJ20">
        <v>-5.3</v>
      </c>
      <c r="AK20">
        <v>8</v>
      </c>
      <c r="AL20">
        <v>8</v>
      </c>
      <c r="AM20">
        <v>98</v>
      </c>
      <c r="AO20" s="127"/>
      <c r="AP20" s="127"/>
      <c r="AQ20" s="127"/>
      <c r="AR20" s="127"/>
      <c r="AS20" s="129"/>
      <c r="AT20" s="129"/>
      <c r="AU20" s="129"/>
      <c r="AV20" s="129"/>
      <c r="AW20" s="129"/>
      <c r="AZ20" s="145"/>
      <c r="BA20" s="119"/>
      <c r="BB20" s="119"/>
      <c r="BC20" s="119"/>
      <c r="BD20" s="119"/>
      <c r="BE20" s="119"/>
      <c r="BF20" s="105">
        <f>IFERROR(TP_DATA[[#This Row],[Bottom '[m']]]-TP_DATA[[#This Row],[D, top '[m']]], "")</f>
        <v>0</v>
      </c>
      <c r="BG20" s="105" t="str">
        <f>IFERROR(-(TP_DATA[[#This Row],[D, bottom '[m']]]-TP_DATA[[#This Row],[D, top '[m']]])/(TP_DATA[[#This Row],[Bottom '[m']]]-TP_DATA[[#This Row],[Top '[m']]]),"")</f>
        <v/>
      </c>
      <c r="BH20" s="105" t="str">
        <f>IF(7850/1000*(1/3)*PI()*ABS(BA20-BB20)*((BC20/2)^2+(BC20/2)*(BD20/2)+(BD20/2)^2-(BC20/2-BE20/1000)^2-(BC20/2-BE20/1000)*(BD20/2-BE20/1000)-(BD20/2-BE20/1000)^2)=0,"",7850/1000*(1/3)*PI()*ABS(BA20-BB20)*((BC20/2)^2+(BC20/2)*(BD20/2)+(BD20/2)^2-(BC20/2-BE20/1000)^2-(BC20/2-BE20/1000)*(BD20/2-BE20/1000)-(BD20/2-BE20/1000)^2))</f>
        <v/>
      </c>
      <c r="BI20" s="105" t="str">
        <f>IFERROR((TP_DATA[[#This Row],[D, bottom '[m']]]+TP_DATA[[#This Row],[D, top '[m']]])/(2*TP_DATA[[#This Row],[t '[mm']]]/1000),"")</f>
        <v/>
      </c>
      <c r="BK20" s="119"/>
      <c r="BL20" s="119"/>
      <c r="BM20" s="119"/>
      <c r="BN20" s="119"/>
      <c r="BO20" s="119"/>
      <c r="BP20" s="119"/>
      <c r="BQ20" s="119"/>
      <c r="BR20" s="119"/>
      <c r="BS20" s="119"/>
      <c r="CR20" s="105"/>
      <c r="CS20" s="105">
        <v>3</v>
      </c>
      <c r="CT20" s="105">
        <v>140.27499999999998</v>
      </c>
      <c r="CU20" s="105">
        <v>138.62499999999997</v>
      </c>
      <c r="CV20" s="105">
        <v>5.609</v>
      </c>
      <c r="CW20" s="105">
        <v>5.9039999999999999</v>
      </c>
      <c r="CX20" s="105">
        <v>35</v>
      </c>
      <c r="CY20" s="105">
        <f>IFERROR(TOWER_DATA[[#This Row],[Top '[m']]]-TOWER_DATA[[#This Row],[Bottom '[m']]], "")</f>
        <v>1.6500000000000057</v>
      </c>
      <c r="CZ20" s="105">
        <f>IFERROR(-(TOWER_DATA[[#This Row],[D, bottom '[m']]]-TOWER_DATA[[#This Row],[D, top '[m']]])/(TOWER_DATA[[#This Row],[Bottom '[m']]]-TOWER_DATA[[#This Row],[Top '[m']]]),"")</f>
        <v>0.17878787878787814</v>
      </c>
      <c r="DA20" s="105">
        <f t="shared" si="0"/>
        <v>8.1485703675329084</v>
      </c>
      <c r="DB20" s="105">
        <f>IFERROR((TOWER_DATA[[#This Row],[D, bottom '[m']]]+TOWER_DATA[[#This Row],[D, top '[m']]])/(2*TOWER_DATA[[#This Row],[t '[mm']]]/1000),"")</f>
        <v>164.47142857142856</v>
      </c>
      <c r="DD20" s="105" t="s">
        <v>247</v>
      </c>
      <c r="DE20" s="105">
        <v>140.27499999999998</v>
      </c>
      <c r="DF20" s="105">
        <v>140.27499999999998</v>
      </c>
      <c r="DG20" s="105">
        <v>2</v>
      </c>
      <c r="DN20" s="105" t="s">
        <v>263</v>
      </c>
      <c r="DO20" s="105" t="s">
        <v>264</v>
      </c>
      <c r="DP20" s="105" t="s">
        <v>265</v>
      </c>
      <c r="DQ20" s="105" t="s">
        <v>264</v>
      </c>
      <c r="DR20" s="105">
        <v>0</v>
      </c>
      <c r="DS20" s="105" t="s">
        <v>49</v>
      </c>
      <c r="DV20" s="105">
        <v>3</v>
      </c>
      <c r="DW20" s="105">
        <v>140.27499999999998</v>
      </c>
      <c r="DX20" s="105">
        <v>138.62499999999997</v>
      </c>
      <c r="DY20" s="105">
        <v>5.609</v>
      </c>
      <c r="DZ20" s="105">
        <v>5.9039999999999999</v>
      </c>
      <c r="EA20" s="105">
        <v>35</v>
      </c>
      <c r="EC20" s="105" t="s">
        <v>247</v>
      </c>
      <c r="ED20" s="105">
        <v>140.27499999999998</v>
      </c>
      <c r="EE20" s="105">
        <v>140.27499999999998</v>
      </c>
      <c r="EF20" s="105">
        <v>2</v>
      </c>
      <c r="EM20" s="105" t="s">
        <v>144</v>
      </c>
      <c r="EN20" s="105">
        <v>12</v>
      </c>
      <c r="EO20" s="105">
        <v>220</v>
      </c>
      <c r="EP20" s="105">
        <v>775567</v>
      </c>
      <c r="EQ20" s="105">
        <v>198819700</v>
      </c>
      <c r="ER20" s="105">
        <v>198819700</v>
      </c>
      <c r="ES20" s="105">
        <v>3.4</v>
      </c>
      <c r="ET20" s="105">
        <v>3.4</v>
      </c>
      <c r="EU20" s="105" t="s">
        <v>148</v>
      </c>
      <c r="EW20" s="105" t="s">
        <v>144</v>
      </c>
      <c r="EX20" s="105">
        <v>12</v>
      </c>
      <c r="EY20" s="105">
        <v>220</v>
      </c>
      <c r="EZ20" s="105">
        <v>775567</v>
      </c>
      <c r="FA20" s="105">
        <v>198819700</v>
      </c>
      <c r="FB20" s="105">
        <v>198819700</v>
      </c>
      <c r="FC20" s="105">
        <v>3.4</v>
      </c>
      <c r="FD20" s="105">
        <v>3.4</v>
      </c>
      <c r="FE20" s="105" t="s">
        <v>148</v>
      </c>
    </row>
    <row r="21" spans="1:161" ht="18" customHeight="1" thickBot="1" x14ac:dyDescent="0.4">
      <c r="A21" s="174"/>
      <c r="B21" s="175"/>
      <c r="C21" s="174"/>
      <c r="D21" s="175"/>
      <c r="E21" s="177" t="s">
        <v>285</v>
      </c>
      <c r="F21" s="105"/>
      <c r="G21" s="105"/>
      <c r="H21" s="126"/>
      <c r="I21" s="105"/>
      <c r="J21" s="105"/>
      <c r="K21" s="105"/>
      <c r="L21" s="65"/>
      <c r="N21" s="105"/>
      <c r="AH21">
        <v>4</v>
      </c>
      <c r="AI21">
        <v>-5.3</v>
      </c>
      <c r="AJ21">
        <v>-8.8000000000000007</v>
      </c>
      <c r="AK21">
        <v>8</v>
      </c>
      <c r="AL21">
        <v>8.36</v>
      </c>
      <c r="AM21">
        <v>98</v>
      </c>
      <c r="AZ21" s="145"/>
      <c r="BA21" s="119"/>
      <c r="BB21" s="119"/>
      <c r="BC21" s="119"/>
      <c r="BD21" s="119"/>
      <c r="BE21" s="119"/>
      <c r="BF21" s="105">
        <f>IFERROR(TP_DATA[[#This Row],[Bottom '[m']]]-TP_DATA[[#This Row],[D, top '[m']]], "")</f>
        <v>0</v>
      </c>
      <c r="BG21" s="105" t="str">
        <f>IFERROR(-(TP_DATA[[#This Row],[D, bottom '[m']]]-TP_DATA[[#This Row],[D, top '[m']]])/(TP_DATA[[#This Row],[Bottom '[m']]]-TP_DATA[[#This Row],[Top '[m']]]),"")</f>
        <v/>
      </c>
      <c r="BH21" s="105" t="str">
        <f>IF(7850/1000*(1/3)*PI()*ABS(BA21-BB21)*((BC21/2)^2+(BC21/2)*(BD21/2)+(BD21/2)^2-(BC21/2-BE21/1000)^2-(BC21/2-BE21/1000)*(BD21/2-BE21/1000)-(BD21/2-BE21/1000)^2)=0,"",7850/1000*(1/3)*PI()*ABS(BA21-BB21)*((BC21/2)^2+(BC21/2)*(BD21/2)+(BD21/2)^2-(BC21/2-BE21/1000)^2-(BC21/2-BE21/1000)*(BD21/2-BE21/1000)-(BD21/2-BE21/1000)^2))</f>
        <v/>
      </c>
      <c r="BI21" s="105" t="str">
        <f>IFERROR((TP_DATA[[#This Row],[D, bottom '[m']]]+TP_DATA[[#This Row],[D, top '[m']]])/(2*TP_DATA[[#This Row],[t '[mm']]]/1000),"")</f>
        <v/>
      </c>
      <c r="BK21" s="119"/>
      <c r="BL21" s="119"/>
      <c r="BM21" s="119"/>
      <c r="BN21" s="119"/>
      <c r="BO21" s="119"/>
      <c r="BP21" s="119"/>
      <c r="BQ21" s="119"/>
      <c r="BR21" s="119"/>
      <c r="BS21" s="119"/>
      <c r="CR21" s="105"/>
      <c r="CS21" s="105">
        <v>4</v>
      </c>
      <c r="CT21" s="105">
        <v>138.62499999999997</v>
      </c>
      <c r="CU21" s="105">
        <v>136.97499999999997</v>
      </c>
      <c r="CV21" s="105">
        <v>5.9039999999999999</v>
      </c>
      <c r="CW21" s="105">
        <v>6.258</v>
      </c>
      <c r="CX21" s="105">
        <v>40</v>
      </c>
      <c r="CY21" s="105">
        <f>IFERROR(TOWER_DATA[[#This Row],[Top '[m']]]-TOWER_DATA[[#This Row],[Bottom '[m']]], "")</f>
        <v>1.6500000000000057</v>
      </c>
      <c r="CZ21" s="105">
        <f>IFERROR(-(TOWER_DATA[[#This Row],[D, bottom '[m']]]-TOWER_DATA[[#This Row],[D, top '[m']]])/(TOWER_DATA[[#This Row],[Bottom '[m']]]-TOWER_DATA[[#This Row],[Top '[m']]]),"")</f>
        <v>0.21454545454545387</v>
      </c>
      <c r="DA21" s="105">
        <f t="shared" si="0"/>
        <v>9.8326889482561182</v>
      </c>
      <c r="DB21" s="105">
        <f>IFERROR((TOWER_DATA[[#This Row],[D, bottom '[m']]]+TOWER_DATA[[#This Row],[D, top '[m']]])/(2*TOWER_DATA[[#This Row],[t '[mm']]]/1000),"")</f>
        <v>152.02499999999998</v>
      </c>
      <c r="DD21" s="105" t="s">
        <v>247</v>
      </c>
      <c r="DE21" s="105">
        <v>138.23499999999999</v>
      </c>
      <c r="DF21" s="105">
        <v>138.23499999999999</v>
      </c>
      <c r="DG21" s="105">
        <v>1981</v>
      </c>
      <c r="DV21" s="105">
        <v>4</v>
      </c>
      <c r="DW21" s="105">
        <v>138.62499999999997</v>
      </c>
      <c r="DX21" s="105">
        <v>136.97499999999997</v>
      </c>
      <c r="DY21" s="105">
        <v>5.9039999999999999</v>
      </c>
      <c r="DZ21" s="105">
        <v>6.258</v>
      </c>
      <c r="EA21" s="105">
        <v>40</v>
      </c>
      <c r="EC21" s="105" t="s">
        <v>247</v>
      </c>
      <c r="ED21" s="105">
        <v>138.23499999999999</v>
      </c>
      <c r="EE21" s="105">
        <v>138.23499999999999</v>
      </c>
      <c r="EF21" s="105">
        <v>1981</v>
      </c>
      <c r="EM21" s="105" t="s">
        <v>145</v>
      </c>
      <c r="EN21" s="105">
        <v>15</v>
      </c>
      <c r="EO21" s="105">
        <v>220</v>
      </c>
      <c r="EP21" s="105">
        <v>1166238</v>
      </c>
      <c r="EQ21" s="105">
        <v>205031400</v>
      </c>
      <c r="ER21" s="105">
        <v>205031400</v>
      </c>
      <c r="ES21" s="105">
        <v>3.4</v>
      </c>
      <c r="ET21" s="105">
        <v>3.4</v>
      </c>
      <c r="EU21" s="105" t="s">
        <v>148</v>
      </c>
      <c r="EW21" s="105" t="s">
        <v>145</v>
      </c>
      <c r="EX21" s="105">
        <v>15</v>
      </c>
      <c r="EY21" s="105">
        <v>220</v>
      </c>
      <c r="EZ21" s="105">
        <v>1166238</v>
      </c>
      <c r="FA21" s="105">
        <v>205031400</v>
      </c>
      <c r="FB21" s="105">
        <v>205031400</v>
      </c>
      <c r="FC21" s="105">
        <v>3.4</v>
      </c>
      <c r="FD21" s="105">
        <v>3.4</v>
      </c>
      <c r="FE21" s="105" t="s">
        <v>148</v>
      </c>
    </row>
    <row r="22" spans="1:161" ht="18" customHeight="1" x14ac:dyDescent="0.25">
      <c r="A22" s="176" t="b">
        <v>1</v>
      </c>
      <c r="B22" s="176" t="b">
        <v>0</v>
      </c>
      <c r="C22" s="176" t="b">
        <v>1</v>
      </c>
      <c r="D22" s="176" t="b">
        <v>1</v>
      </c>
      <c r="E22" s="89"/>
      <c r="F22" s="183" t="s">
        <v>279</v>
      </c>
      <c r="G22" s="105"/>
      <c r="H22" s="105"/>
      <c r="I22" s="105"/>
      <c r="J22" s="105"/>
      <c r="K22" s="105"/>
      <c r="L22" s="65"/>
      <c r="N22" s="105"/>
      <c r="O22" s="105" t="str">
        <f>IFERROR((MP_DATA[[#This Row],[D, bottom '[m']]]+#REF!)/(2*#REF!/1000),"")</f>
        <v/>
      </c>
      <c r="AH22">
        <v>5</v>
      </c>
      <c r="AI22">
        <v>-8.8000000000000007</v>
      </c>
      <c r="AJ22">
        <v>-12.3</v>
      </c>
      <c r="AK22">
        <v>8.36</v>
      </c>
      <c r="AL22">
        <v>8.7200000000000006</v>
      </c>
      <c r="AM22">
        <v>104</v>
      </c>
      <c r="BF22" s="105" t="str">
        <f>IFERROR(TP_DATA[[#This Row],[Bottom '[m']]]-TP_DATA[[#This Row],[D, top '[m']]], "")</f>
        <v/>
      </c>
      <c r="BG22" s="105" t="str">
        <f>IFERROR(-(TP_DATA[[#This Row],[D, bottom '[m']]]-TP_DATA[[#This Row],[D, top '[m']]])/(TP_DATA[[#This Row],[Bottom '[m']]]-TP_DATA[[#This Row],[Top '[m']]]),"")</f>
        <v/>
      </c>
      <c r="BH22" s="105" t="str">
        <f>IF(7850/1000*(1/3)*PI()*ABS(BA22-BB22)*((BC22/2)^2+(BC22/2)*(BD22/2)+(BD22/2)^2-(BC22/2-BE22/1000)^2-(BC22/2-BE22/1000)*(BD22/2-BE22/1000)-(BD22/2-BE22/1000)^2)=0,"",7850/1000*(1/3)*PI()*ABS(BA22-BB22)*((BC22/2)^2+(BC22/2)*(BD22/2)+(BD22/2)^2-(BC22/2-BE22/1000)^2-(BC22/2-BE22/1000)*(BD22/2-BE22/1000)-(BD22/2-BE22/1000)^2))</f>
        <v/>
      </c>
      <c r="BI22" s="105" t="str">
        <f>IFERROR((TP_DATA[[#This Row],[D, bottom '[m']]]+TP_DATA[[#This Row],[D, top '[m']]])/(2*TP_DATA[[#This Row],[t '[mm']]]/1000),"")</f>
        <v/>
      </c>
      <c r="BJ22" s="105" t="str">
        <f>IFERROR((TP_DATA[[#This Row],[D, bottom '[m']]]+#REF!)/(2*#REF!/1000),"")</f>
        <v/>
      </c>
      <c r="BK22" s="119"/>
      <c r="BL22" s="119"/>
      <c r="BM22" s="119"/>
      <c r="BN22" s="119"/>
      <c r="BO22" s="119"/>
      <c r="BP22" s="119"/>
      <c r="BQ22" s="119"/>
      <c r="BR22" s="119"/>
      <c r="BS22" s="119"/>
      <c r="CR22" s="105"/>
      <c r="CS22" s="105">
        <v>5</v>
      </c>
      <c r="CT22" s="105">
        <v>136.97499999999997</v>
      </c>
      <c r="CU22" s="105">
        <v>136.38899999999998</v>
      </c>
      <c r="CV22" s="105">
        <v>6.258</v>
      </c>
      <c r="CW22" s="105">
        <v>6.258</v>
      </c>
      <c r="CX22" s="105">
        <v>58</v>
      </c>
      <c r="CY22" s="105">
        <f>IFERROR(TOWER_DATA[[#This Row],[Top '[m']]]-TOWER_DATA[[#This Row],[Bottom '[m']]], "")</f>
        <v>0.58599999999998431</v>
      </c>
      <c r="CZ22" s="105">
        <f>IFERROR(-(TOWER_DATA[[#This Row],[D, bottom '[m']]]-TOWER_DATA[[#This Row],[D, top '[m']]])/(TOWER_DATA[[#This Row],[Bottom '[m']]]-TOWER_DATA[[#This Row],[Top '[m']]]),"")</f>
        <v>0</v>
      </c>
      <c r="DA22" s="105">
        <f t="shared" si="0"/>
        <v>5.1968098755337806</v>
      </c>
      <c r="DB22" s="105">
        <f>IFERROR((TOWER_DATA[[#This Row],[D, bottom '[m']]]+TOWER_DATA[[#This Row],[D, top '[m']]])/(2*TOWER_DATA[[#This Row],[t '[mm']]]/1000),"")</f>
        <v>107.89655172413792</v>
      </c>
      <c r="DC22" s="105" t="str">
        <f>IFERROR((TOWER_DATA[[#This Row],[D, bottom '[m']]]+#REF!)/(2*#REF!/1000),"")</f>
        <v/>
      </c>
      <c r="DD22" s="105" t="s">
        <v>247</v>
      </c>
      <c r="DE22" s="105">
        <v>136.58499999999998</v>
      </c>
      <c r="DF22" s="105">
        <v>136.58499999999998</v>
      </c>
      <c r="DG22" s="105">
        <v>82</v>
      </c>
      <c r="DV22" s="105">
        <v>5</v>
      </c>
      <c r="DW22" s="105">
        <v>136.97499999999997</v>
      </c>
      <c r="DX22" s="105">
        <v>136.38899999999998</v>
      </c>
      <c r="DY22" s="105">
        <v>6.258</v>
      </c>
      <c r="DZ22" s="105">
        <v>6.258</v>
      </c>
      <c r="EA22" s="105">
        <v>58</v>
      </c>
      <c r="EC22" s="105" t="s">
        <v>247</v>
      </c>
      <c r="ED22" s="105">
        <v>136.58499999999998</v>
      </c>
      <c r="EE22" s="105">
        <v>136.58499999999998</v>
      </c>
      <c r="EF22" s="105">
        <v>82</v>
      </c>
      <c r="EM22" s="105" t="s">
        <v>146</v>
      </c>
      <c r="EO22" s="105">
        <v>236</v>
      </c>
      <c r="EP22" s="105">
        <v>565481</v>
      </c>
      <c r="EQ22" s="105">
        <v>241746700</v>
      </c>
      <c r="ER22" s="105">
        <v>241746700</v>
      </c>
      <c r="ES22" s="105">
        <v>3.5</v>
      </c>
      <c r="ET22" s="105">
        <v>3.5</v>
      </c>
      <c r="EU22" s="105" t="s">
        <v>148</v>
      </c>
      <c r="EW22" s="105" t="s">
        <v>146</v>
      </c>
      <c r="EY22" s="105">
        <v>236</v>
      </c>
      <c r="EZ22" s="105">
        <v>565481</v>
      </c>
      <c r="FA22" s="105">
        <v>241746700</v>
      </c>
      <c r="FB22" s="105">
        <v>241746700</v>
      </c>
      <c r="FC22" s="105">
        <v>3.5</v>
      </c>
      <c r="FD22" s="105">
        <v>3.5</v>
      </c>
      <c r="FE22" s="105" t="s">
        <v>148</v>
      </c>
    </row>
    <row r="23" spans="1:161" ht="18" customHeight="1" thickBot="1" x14ac:dyDescent="0.3">
      <c r="A23" s="176"/>
      <c r="B23" s="176"/>
      <c r="C23" s="176" t="b">
        <v>1</v>
      </c>
      <c r="D23" s="176"/>
      <c r="E23" s="95"/>
      <c r="F23" s="182"/>
      <c r="G23" s="105"/>
      <c r="H23" s="105"/>
      <c r="I23" s="105"/>
      <c r="J23" s="105"/>
      <c r="K23" s="105"/>
      <c r="L23" s="65"/>
      <c r="N23" s="105"/>
      <c r="O23" s="105" t="str">
        <f>IFERROR((MP_DATA[[#This Row],[D, bottom '[m']]]+#REF!)/(2*#REF!/1000),"")</f>
        <v/>
      </c>
      <c r="AH23">
        <v>6</v>
      </c>
      <c r="AI23">
        <v>-12.3</v>
      </c>
      <c r="AJ23">
        <v>-15.8</v>
      </c>
      <c r="AK23">
        <v>8.7200000000000006</v>
      </c>
      <c r="AL23">
        <v>9.08</v>
      </c>
      <c r="AM23">
        <v>98</v>
      </c>
      <c r="BF23" s="105" t="str">
        <f>IFERROR(TP_DATA[[#This Row],[Bottom '[m']]]-TP_DATA[[#This Row],[D, top '[m']]], "")</f>
        <v/>
      </c>
      <c r="BG23" s="105" t="str">
        <f>IFERROR(-(TP_DATA[[#This Row],[D, bottom '[m']]]-TP_DATA[[#This Row],[D, top '[m']]])/(TP_DATA[[#This Row],[Bottom '[m']]]-TP_DATA[[#This Row],[Top '[m']]]),"")</f>
        <v/>
      </c>
      <c r="BH23" s="105" t="str">
        <f>IF(7850/1000*(1/3)*PI()*ABS(BA23-BB23)*((BC23/2)^2+(BC23/2)*(BD23/2)+(BD23/2)^2-(BC23/2-BE23/1000)^2-(BC23/2-BE23/1000)*(BD23/2-BE23/1000)-(BD23/2-BE23/1000)^2)=0,"",7850/1000*(1/3)*PI()*ABS(BA23-BB23)*((BC23/2)^2+(BC23/2)*(BD23/2)+(BD23/2)^2-(BC23/2-BE23/1000)^2-(BC23/2-BE23/1000)*(BD23/2-BE23/1000)-(BD23/2-BE23/1000)^2))</f>
        <v/>
      </c>
      <c r="BI23" s="105" t="str">
        <f>IFERROR((TP_DATA[[#This Row],[D, bottom '[m']]]+TP_DATA[[#This Row],[D, top '[m']]])/(2*TP_DATA[[#This Row],[t '[mm']]]/1000),"")</f>
        <v/>
      </c>
      <c r="BJ23" s="105" t="str">
        <f>IFERROR((TP_DATA[[#This Row],[D, bottom '[m']]]+#REF!)/(2*#REF!/1000),"")</f>
        <v/>
      </c>
      <c r="BK23" s="119"/>
      <c r="BL23" s="119"/>
      <c r="BM23" s="119"/>
      <c r="BN23" s="119"/>
      <c r="BO23" s="119"/>
      <c r="BP23" s="119"/>
      <c r="BQ23" s="119"/>
      <c r="BR23" s="119"/>
      <c r="BS23" s="119"/>
      <c r="CR23" s="105"/>
      <c r="CS23" s="105">
        <v>6</v>
      </c>
      <c r="CT23" s="105">
        <v>136.38899999999998</v>
      </c>
      <c r="CU23" s="105">
        <v>135.29999999999998</v>
      </c>
      <c r="CV23" s="105">
        <v>6.258</v>
      </c>
      <c r="CW23" s="105">
        <v>6.258</v>
      </c>
      <c r="CX23" s="105">
        <v>58</v>
      </c>
      <c r="CY23" s="105">
        <f>IFERROR(TOWER_DATA[[#This Row],[Top '[m']]]-TOWER_DATA[[#This Row],[Bottom '[m']]], "")</f>
        <v>1.0889999999999986</v>
      </c>
      <c r="CZ23" s="105">
        <f>IFERROR(-(TOWER_DATA[[#This Row],[D, bottom '[m']]]-TOWER_DATA[[#This Row],[D, top '[m']]])/(TOWER_DATA[[#This Row],[Bottom '[m']]]-TOWER_DATA[[#This Row],[Top '[m']]]),"")</f>
        <v>0</v>
      </c>
      <c r="DA23" s="105">
        <f t="shared" si="0"/>
        <v>9.6575528233044903</v>
      </c>
      <c r="DB23" s="105">
        <f>IFERROR((TOWER_DATA[[#This Row],[D, bottom '[m']]]+TOWER_DATA[[#This Row],[D, top '[m']]])/(2*TOWER_DATA[[#This Row],[t '[mm']]]/1000),"")</f>
        <v>107.89655172413792</v>
      </c>
      <c r="DC23" s="105" t="str">
        <f>IFERROR((TOWER_DATA[[#This Row],[D, bottom '[m']]]+#REF!)/(2*#REF!/1000),"")</f>
        <v/>
      </c>
      <c r="DD23" s="105" t="s">
        <v>247</v>
      </c>
      <c r="DE23" s="105">
        <v>135.999</v>
      </c>
      <c r="DF23" s="105">
        <v>135.999</v>
      </c>
      <c r="DG23" s="105">
        <v>88</v>
      </c>
      <c r="DV23" s="105">
        <v>6</v>
      </c>
      <c r="DW23" s="105">
        <v>136.38899999999998</v>
      </c>
      <c r="DX23" s="105">
        <v>135.29999999999998</v>
      </c>
      <c r="DY23" s="105">
        <v>6.258</v>
      </c>
      <c r="DZ23" s="105">
        <v>6.258</v>
      </c>
      <c r="EA23" s="105">
        <v>58</v>
      </c>
      <c r="EC23" s="105" t="s">
        <v>247</v>
      </c>
      <c r="ED23" s="105">
        <v>135.999</v>
      </c>
      <c r="EE23" s="105">
        <v>135.999</v>
      </c>
      <c r="EF23" s="105">
        <v>88</v>
      </c>
      <c r="EM23" s="105" t="s">
        <v>147</v>
      </c>
      <c r="EN23" s="105">
        <v>15</v>
      </c>
      <c r="EO23" s="105">
        <v>240</v>
      </c>
      <c r="EP23" s="105">
        <v>1102065</v>
      </c>
      <c r="EQ23" s="105">
        <v>276287200</v>
      </c>
      <c r="ER23" s="105">
        <v>276287200</v>
      </c>
      <c r="ES23" s="105">
        <v>3.4</v>
      </c>
      <c r="ET23" s="105">
        <v>3.4</v>
      </c>
      <c r="EU23" s="105" t="s">
        <v>148</v>
      </c>
      <c r="EW23" s="105" t="s">
        <v>147</v>
      </c>
      <c r="EX23" s="105">
        <v>15</v>
      </c>
      <c r="EY23" s="105">
        <v>240</v>
      </c>
      <c r="EZ23" s="105">
        <v>1102065</v>
      </c>
      <c r="FA23" s="105">
        <v>276287200</v>
      </c>
      <c r="FB23" s="105">
        <v>276287200</v>
      </c>
      <c r="FC23" s="105">
        <v>3.4</v>
      </c>
      <c r="FD23" s="105">
        <v>3.4</v>
      </c>
      <c r="FE23" s="105" t="s">
        <v>148</v>
      </c>
    </row>
    <row r="24" spans="1:161" ht="18" customHeight="1" x14ac:dyDescent="0.25">
      <c r="K24" s="105"/>
      <c r="L24" s="65"/>
      <c r="N24" s="105"/>
      <c r="O24" s="105" t="str">
        <f>IFERROR((MP_DATA[[#This Row],[D, bottom '[m']]]+#REF!)/(2*#REF!/1000),"")</f>
        <v/>
      </c>
      <c r="AH24">
        <v>7</v>
      </c>
      <c r="AI24">
        <v>-15.8</v>
      </c>
      <c r="AJ24">
        <v>-19.3</v>
      </c>
      <c r="AK24">
        <v>9.08</v>
      </c>
      <c r="AL24">
        <v>9.44</v>
      </c>
      <c r="AM24">
        <v>94</v>
      </c>
      <c r="BE24" s="105" t="str">
        <f>IFERROR(TP_DATA[[#This Row],[Bottom '[m']]]-TP_DATA[[#This Row],[D, top '[m']]], "")</f>
        <v/>
      </c>
      <c r="BF24" s="105" t="str">
        <f>IFERROR(-(TP_DATA[[#This Row],[D, bottom '[m']]]-TP_DATA[[#This Row],[D, top '[m']]])/(TP_DATA[[#This Row],[Bottom '[m']]]-TP_DATA[[#This Row],[Top '[m']]]),"")</f>
        <v/>
      </c>
      <c r="BG24" s="105" t="str">
        <f t="shared" ref="BG18:BG81" si="1">IF(7850/1000*(1/3)*PI()*ABS(AZ24-BA24)*((BB24/2)^2+(BB24/2)*(BC24/2)+(BC24/2)^2-(BB24/2-BD24/1000)^2-(BB24/2-BD24/1000)*(BC24/2-BD24/1000)-(BC24/2-BD24/1000)^2)=0,"",7850/1000*(1/3)*PI()*ABS(AZ24-BA24)*((BB24/2)^2+(BB24/2)*(BC24/2)+(BC24/2)^2-(BB24/2-BD24/1000)^2-(BB24/2-BD24/1000)*(BC24/2-BD24/1000)-(BC24/2-BD24/1000)^2))</f>
        <v/>
      </c>
      <c r="BH24" s="105" t="str">
        <f>IFERROR((TP_DATA[[#This Row],[D, bottom '[m']]]+TP_DATA[[#This Row],[D, top '[m']]])/(2*TP_DATA[[#This Row],[t '[mm']]]/1000),"")</f>
        <v/>
      </c>
      <c r="BI24" s="105" t="str">
        <f>IFERROR((TP_DATA[[#This Row],[D, bottom '[m']]]+#REF!)/(2*#REF!/1000),"")</f>
        <v/>
      </c>
      <c r="CR24" s="105"/>
      <c r="CS24" s="105">
        <v>7</v>
      </c>
      <c r="CT24" s="105">
        <v>135.29999999999998</v>
      </c>
      <c r="CU24" s="105">
        <v>133.47499999999997</v>
      </c>
      <c r="CV24" s="105">
        <v>6.258</v>
      </c>
      <c r="CW24" s="105">
        <v>6.2229999999999999</v>
      </c>
      <c r="CX24" s="105">
        <v>58</v>
      </c>
      <c r="CY24" s="105">
        <f>IFERROR(TOWER_DATA[[#This Row],[Top '[m']]]-TOWER_DATA[[#This Row],[Bottom '[m']]], "")</f>
        <v>1.8250000000000171</v>
      </c>
      <c r="CZ24" s="105">
        <f>IFERROR(-(TOWER_DATA[[#This Row],[D, bottom '[m']]]-TOWER_DATA[[#This Row],[D, top '[m']]])/(TOWER_DATA[[#This Row],[Bottom '[m']]]-TOWER_DATA[[#This Row],[Top '[m']]]),"")</f>
        <v>-1.9178082191780719E-2</v>
      </c>
      <c r="DA24" s="105">
        <f t="shared" si="0"/>
        <v>16.138921784175626</v>
      </c>
      <c r="DB24" s="105">
        <f>IFERROR((TOWER_DATA[[#This Row],[D, bottom '[m']]]+TOWER_DATA[[#This Row],[D, top '[m']]])/(2*TOWER_DATA[[#This Row],[t '[mm']]]/1000),"")</f>
        <v>107.59482758620689</v>
      </c>
      <c r="DC24" s="105" t="str">
        <f>IFERROR((TOWER_DATA[[#This Row],[D, bottom '[m']]]+#REF!)/(2*#REF!/1000),"")</f>
        <v/>
      </c>
      <c r="DD24" s="105" t="s">
        <v>247</v>
      </c>
      <c r="DE24" s="105">
        <v>134.91</v>
      </c>
      <c r="DF24" s="105">
        <v>134.91</v>
      </c>
      <c r="DG24" s="105">
        <v>41600</v>
      </c>
      <c r="DV24" s="105">
        <v>7</v>
      </c>
      <c r="DW24" s="105">
        <v>135.29999999999998</v>
      </c>
      <c r="DX24" s="105">
        <v>133.47499999999997</v>
      </c>
      <c r="DY24" s="105">
        <v>6.258</v>
      </c>
      <c r="DZ24" s="105">
        <v>6.2229999999999999</v>
      </c>
      <c r="EA24" s="105">
        <v>58</v>
      </c>
      <c r="EC24" s="105" t="s">
        <v>247</v>
      </c>
      <c r="ED24" s="105">
        <v>134.91</v>
      </c>
      <c r="EE24" s="105">
        <v>134.91</v>
      </c>
      <c r="EF24" s="105">
        <v>41600</v>
      </c>
      <c r="EM24" s="105" t="s">
        <v>242</v>
      </c>
      <c r="EN24" s="105" t="s">
        <v>148</v>
      </c>
      <c r="EO24" s="105" t="s">
        <v>148</v>
      </c>
      <c r="EP24" s="105">
        <v>1394251</v>
      </c>
      <c r="EQ24" s="105">
        <v>382420000</v>
      </c>
      <c r="ER24" s="105">
        <v>639730000</v>
      </c>
      <c r="ES24" s="105">
        <v>6.59</v>
      </c>
      <c r="ET24" s="105">
        <v>5.74</v>
      </c>
      <c r="EU24" s="105" t="s">
        <v>251</v>
      </c>
      <c r="EW24" s="105" t="s">
        <v>242</v>
      </c>
      <c r="EX24" s="105" t="s">
        <v>148</v>
      </c>
      <c r="EY24" s="105" t="s">
        <v>148</v>
      </c>
      <c r="EZ24" s="105">
        <v>1394251</v>
      </c>
      <c r="FA24" s="105">
        <v>382420000</v>
      </c>
      <c r="FB24" s="105">
        <v>639730000</v>
      </c>
      <c r="FC24" s="105">
        <v>6.59</v>
      </c>
      <c r="FD24" s="105">
        <v>5.74</v>
      </c>
      <c r="FE24" s="105" t="s">
        <v>251</v>
      </c>
    </row>
    <row r="25" spans="1:161" ht="18" customHeight="1" thickBot="1" x14ac:dyDescent="0.4">
      <c r="E25" s="178" t="s">
        <v>286</v>
      </c>
      <c r="K25" s="105"/>
      <c r="L25" s="95"/>
      <c r="M25" s="106"/>
      <c r="N25" s="106"/>
      <c r="O25" s="106" t="str">
        <f>IFERROR((MP_DATA[[#This Row],[D, bottom '[m']]]+#REF!)/(2*#REF!/1000),"")</f>
        <v/>
      </c>
      <c r="P25" s="106"/>
      <c r="Q25" s="106"/>
      <c r="R25" s="106"/>
      <c r="S25" s="106"/>
      <c r="T25" s="106"/>
      <c r="U25" s="106"/>
      <c r="V25" s="106"/>
      <c r="W25" s="106"/>
      <c r="X25" s="107"/>
      <c r="AH25">
        <v>8</v>
      </c>
      <c r="AI25">
        <v>-19.3</v>
      </c>
      <c r="AJ25">
        <v>-22.8</v>
      </c>
      <c r="AK25">
        <v>9.44</v>
      </c>
      <c r="AL25">
        <v>9.8000000000000007</v>
      </c>
      <c r="AM25">
        <v>92</v>
      </c>
      <c r="BE25" s="105" t="str">
        <f>IFERROR(TP_DATA[[#This Row],[Bottom '[m']]]-TP_DATA[[#This Row],[D, top '[m']]], "")</f>
        <v/>
      </c>
      <c r="BF25" s="105" t="str">
        <f>IFERROR(-(TP_DATA[[#This Row],[D, bottom '[m']]]-TP_DATA[[#This Row],[D, top '[m']]])/(TP_DATA[[#This Row],[Bottom '[m']]]-TP_DATA[[#This Row],[Top '[m']]]),"")</f>
        <v/>
      </c>
      <c r="BG25" s="105" t="str">
        <f t="shared" si="1"/>
        <v/>
      </c>
      <c r="BH25" s="105" t="str">
        <f>IFERROR((TP_DATA[[#This Row],[D, bottom '[m']]]+TP_DATA[[#This Row],[D, top '[m']]])/(2*TP_DATA[[#This Row],[t '[mm']]]/1000),"")</f>
        <v/>
      </c>
      <c r="BI25" s="105" t="str">
        <f>IFERROR((TP_DATA[[#This Row],[D, bottom '[m']]]+#REF!)/(2*#REF!/1000),"")</f>
        <v/>
      </c>
      <c r="CR25" s="105"/>
      <c r="CS25" s="105">
        <v>8</v>
      </c>
      <c r="CT25" s="105">
        <v>133.47499999999997</v>
      </c>
      <c r="CU25" s="105">
        <v>131.23999999999998</v>
      </c>
      <c r="CV25" s="105">
        <v>6.2229999999999999</v>
      </c>
      <c r="CW25" s="105">
        <v>6.2229999999999999</v>
      </c>
      <c r="CX25" s="105">
        <v>23</v>
      </c>
      <c r="CY25" s="105">
        <f>IFERROR(TOWER_DATA[[#This Row],[Top '[m']]]-TOWER_DATA[[#This Row],[Bottom '[m']]], "")</f>
        <v>2.2349999999999852</v>
      </c>
      <c r="CZ25" s="105">
        <f>IFERROR(-(TOWER_DATA[[#This Row],[D, bottom '[m']]]-TOWER_DATA[[#This Row],[D, top '[m']]])/(TOWER_DATA[[#This Row],[Bottom '[m']]]-TOWER_DATA[[#This Row],[Top '[m']]]),"")</f>
        <v>0</v>
      </c>
      <c r="DA25" s="105">
        <f t="shared" si="0"/>
        <v>7.8598920693133492</v>
      </c>
      <c r="DB25" s="105">
        <f>IFERROR((TOWER_DATA[[#This Row],[D, bottom '[m']]]+TOWER_DATA[[#This Row],[D, top '[m']]])/(2*TOWER_DATA[[#This Row],[t '[mm']]]/1000),"")</f>
        <v>270.56521739130437</v>
      </c>
      <c r="DC25" s="105" t="str">
        <f>IFERROR((TOWER_DATA[[#This Row],[D, bottom '[m']]]+#REF!)/(2*#REF!/1000),"")</f>
        <v/>
      </c>
      <c r="DD25" s="105" t="s">
        <v>247</v>
      </c>
      <c r="DE25" s="105">
        <v>133.08499999999998</v>
      </c>
      <c r="DF25" s="105">
        <v>133.08499999999998</v>
      </c>
      <c r="DG25" s="105">
        <v>88</v>
      </c>
      <c r="DV25" s="105">
        <v>8</v>
      </c>
      <c r="DW25" s="105">
        <v>133.47499999999997</v>
      </c>
      <c r="DX25" s="105">
        <v>131.23999999999998</v>
      </c>
      <c r="DY25" s="105">
        <v>6.2229999999999999</v>
      </c>
      <c r="DZ25" s="105">
        <v>6.2229999999999999</v>
      </c>
      <c r="EA25" s="105">
        <v>23</v>
      </c>
      <c r="EC25" s="105" t="s">
        <v>247</v>
      </c>
      <c r="ED25" s="105">
        <v>133.08499999999998</v>
      </c>
      <c r="EE25" s="105">
        <v>133.08499999999998</v>
      </c>
      <c r="EF25" s="105">
        <v>88</v>
      </c>
    </row>
    <row r="26" spans="1:161" ht="18" hidden="1" customHeight="1" outlineLevel="1" x14ac:dyDescent="0.25">
      <c r="E26" s="65" t="s">
        <v>74</v>
      </c>
      <c r="F26" s="105" t="s">
        <v>75</v>
      </c>
      <c r="G26" s="105" t="s">
        <v>73</v>
      </c>
      <c r="H26" s="105" t="s">
        <v>76</v>
      </c>
      <c r="I26" s="105" t="s">
        <v>126</v>
      </c>
      <c r="J26" s="105" t="s">
        <v>122</v>
      </c>
      <c r="K26" s="105" t="s">
        <v>127</v>
      </c>
      <c r="N26" s="105"/>
      <c r="O26" s="105" t="str">
        <f>IFERROR((MP_DATA[[#This Row],[D, bottom '[m']]]+#REF!)/(2*#REF!/1000),"")</f>
        <v/>
      </c>
      <c r="AH26" s="127">
        <v>9</v>
      </c>
      <c r="AI26" s="128">
        <v>-22.8</v>
      </c>
      <c r="AJ26" s="128">
        <v>-26.7</v>
      </c>
      <c r="AK26" s="127">
        <v>9.8000000000000007</v>
      </c>
      <c r="AL26" s="127">
        <v>9.8000000000000007</v>
      </c>
      <c r="AM26" s="127">
        <v>90</v>
      </c>
      <c r="BE26" s="105" t="str">
        <f>IFERROR(TP_DATA[[#This Row],[Bottom '[m']]]-TP_DATA[[#This Row],[D, top '[m']]], "")</f>
        <v/>
      </c>
      <c r="BF26" s="105" t="str">
        <f>IFERROR(-(TP_DATA[[#This Row],[D, bottom '[m']]]-TP_DATA[[#This Row],[D, top '[m']]])/(TP_DATA[[#This Row],[Bottom '[m']]]-TP_DATA[[#This Row],[Top '[m']]]),"")</f>
        <v/>
      </c>
      <c r="BG26" s="105" t="str">
        <f t="shared" si="1"/>
        <v/>
      </c>
      <c r="BH26" s="105" t="str">
        <f>IFERROR((TP_DATA[[#This Row],[D, bottom '[m']]]+TP_DATA[[#This Row],[D, top '[m']]])/(2*TP_DATA[[#This Row],[t '[mm']]]/1000),"")</f>
        <v/>
      </c>
      <c r="BI26" s="105" t="str">
        <f>IFERROR((TP_DATA[[#This Row],[D, bottom '[m']]]+#REF!)/(2*#REF!/1000),"")</f>
        <v/>
      </c>
      <c r="CR26" s="105"/>
      <c r="CS26" s="105">
        <v>9</v>
      </c>
      <c r="CT26" s="105">
        <v>131.23999999999998</v>
      </c>
      <c r="CU26" s="105">
        <v>130.89999999999998</v>
      </c>
      <c r="CV26" s="105">
        <v>6.2229999999999999</v>
      </c>
      <c r="CW26" s="105">
        <v>6.2229999999999999</v>
      </c>
      <c r="CX26" s="105">
        <v>23</v>
      </c>
      <c r="CY26" s="105">
        <f>IFERROR(TOWER_DATA[[#This Row],[Top '[m']]]-TOWER_DATA[[#This Row],[Bottom '[m']]], "")</f>
        <v>0.34000000000000341</v>
      </c>
      <c r="CZ26" s="105">
        <f>IFERROR(-(TOWER_DATA[[#This Row],[D, bottom '[m']]]-TOWER_DATA[[#This Row],[D, top '[m']]])/(TOWER_DATA[[#This Row],[Bottom '[m']]]-TOWER_DATA[[#This Row],[Top '[m']]]),"")</f>
        <v>0</v>
      </c>
      <c r="DA26" s="105">
        <f t="shared" si="0"/>
        <v>1.1956882790007084</v>
      </c>
      <c r="DB26" s="105">
        <f>IFERROR((TOWER_DATA[[#This Row],[D, bottom '[m']]]+TOWER_DATA[[#This Row],[D, top '[m']]])/(2*TOWER_DATA[[#This Row],[t '[mm']]]/1000),"")</f>
        <v>270.56521739130437</v>
      </c>
      <c r="DC26" s="105" t="str">
        <f>IFERROR((TOWER_DATA[[#This Row],[D, bottom '[m']]]+#REF!)/(2*#REF!/1000),"")</f>
        <v/>
      </c>
      <c r="DD26" s="105" t="s">
        <v>247</v>
      </c>
      <c r="DE26" s="105">
        <v>131.23999999999998</v>
      </c>
      <c r="DF26" s="105">
        <v>131.23999999999998</v>
      </c>
      <c r="DG26" s="105">
        <v>92</v>
      </c>
      <c r="DV26" s="105">
        <v>9</v>
      </c>
      <c r="DW26" s="105">
        <v>131.23999999999998</v>
      </c>
      <c r="DX26" s="105">
        <v>130.89999999999998</v>
      </c>
      <c r="DY26" s="105">
        <v>6.2229999999999999</v>
      </c>
      <c r="DZ26" s="105">
        <v>6.2229999999999999</v>
      </c>
      <c r="EA26" s="105">
        <v>23</v>
      </c>
      <c r="EC26" s="105" t="s">
        <v>247</v>
      </c>
      <c r="ED26" s="105">
        <v>131.23999999999998</v>
      </c>
      <c r="EE26" s="105">
        <v>131.23999999999998</v>
      </c>
      <c r="EF26" s="105">
        <v>92</v>
      </c>
    </row>
    <row r="27" spans="1:161" ht="18" hidden="1" customHeight="1" outlineLevel="1" x14ac:dyDescent="0.25">
      <c r="E27" s="65" t="s">
        <v>246</v>
      </c>
      <c r="F27" s="105" t="s">
        <v>244</v>
      </c>
      <c r="G27" s="105" t="s">
        <v>77</v>
      </c>
      <c r="H27" s="105" t="s">
        <v>245</v>
      </c>
      <c r="I27" s="105">
        <v>43.5</v>
      </c>
      <c r="J27" s="105" t="s">
        <v>49</v>
      </c>
      <c r="K27" s="105" t="s">
        <v>243</v>
      </c>
      <c r="N27" s="105"/>
      <c r="O27" s="105" t="str">
        <f>IFERROR((MP_DATA[[#This Row],[D, bottom '[m']]]+#REF!)/(2*#REF!/1000),"")</f>
        <v/>
      </c>
      <c r="AH27" s="127">
        <v>10</v>
      </c>
      <c r="AI27" s="128">
        <v>-26.7</v>
      </c>
      <c r="AJ27" s="128">
        <v>-30.6</v>
      </c>
      <c r="AK27" s="127">
        <v>9.8000000000000007</v>
      </c>
      <c r="AL27" s="127">
        <v>9.8000000000000007</v>
      </c>
      <c r="AM27" s="127">
        <v>90</v>
      </c>
      <c r="BE27" s="105" t="str">
        <f>IFERROR(TP_DATA[[#This Row],[Bottom '[m']]]-TP_DATA[[#This Row],[D, top '[m']]], "")</f>
        <v/>
      </c>
      <c r="BF27" s="105" t="str">
        <f>IFERROR(-(TP_DATA[[#This Row],[D, bottom '[m']]]-TP_DATA[[#This Row],[D, top '[m']]])/(TP_DATA[[#This Row],[Bottom '[m']]]-TP_DATA[[#This Row],[Top '[m']]]),"")</f>
        <v/>
      </c>
      <c r="BG27" s="105" t="str">
        <f t="shared" si="1"/>
        <v/>
      </c>
      <c r="BH27" s="105" t="str">
        <f>IFERROR((TP_DATA[[#This Row],[D, bottom '[m']]]+TP_DATA[[#This Row],[D, top '[m']]])/(2*TP_DATA[[#This Row],[t '[mm']]]/1000),"")</f>
        <v/>
      </c>
      <c r="BI27" s="105" t="str">
        <f>IFERROR((TP_DATA[[#This Row],[D, bottom '[m']]]+#REF!)/(2*#REF!/1000),"")</f>
        <v/>
      </c>
      <c r="CR27" s="105"/>
      <c r="CS27" s="105">
        <v>10</v>
      </c>
      <c r="CT27" s="105">
        <v>130.89999999999998</v>
      </c>
      <c r="CU27" s="105">
        <v>128.48999999999998</v>
      </c>
      <c r="CV27" s="105">
        <v>6.2229999999999999</v>
      </c>
      <c r="CW27" s="105">
        <v>6.2229999999999999</v>
      </c>
      <c r="CX27" s="105">
        <v>23</v>
      </c>
      <c r="CY27" s="105">
        <f>IFERROR(TOWER_DATA[[#This Row],[Top '[m']]]-TOWER_DATA[[#This Row],[Bottom '[m']]], "")</f>
        <v>2.4099999999999966</v>
      </c>
      <c r="CZ27" s="105">
        <f>IFERROR(-(TOWER_DATA[[#This Row],[D, bottom '[m']]]-TOWER_DATA[[#This Row],[D, top '[m']]])/(TOWER_DATA[[#This Row],[Bottom '[m']]]-TOWER_DATA[[#This Row],[Top '[m']]]),"")</f>
        <v>0</v>
      </c>
      <c r="DA27" s="105">
        <f t="shared" si="0"/>
        <v>8.475319859975512</v>
      </c>
      <c r="DB27" s="105">
        <f>IFERROR((TOWER_DATA[[#This Row],[D, bottom '[m']]]+TOWER_DATA[[#This Row],[D, top '[m']]])/(2*TOWER_DATA[[#This Row],[t '[mm']]]/1000),"")</f>
        <v>270.56521739130437</v>
      </c>
      <c r="DC27" s="105" t="str">
        <f>IFERROR((TOWER_DATA[[#This Row],[D, bottom '[m']]]+#REF!)/(2*#REF!/1000),"")</f>
        <v/>
      </c>
      <c r="DD27" s="105" t="s">
        <v>247</v>
      </c>
      <c r="DE27" s="105">
        <v>130.89999999999998</v>
      </c>
      <c r="DF27" s="105">
        <v>130.89999999999998</v>
      </c>
      <c r="DG27" s="105">
        <v>138</v>
      </c>
      <c r="DV27" s="105">
        <v>10</v>
      </c>
      <c r="DW27" s="105">
        <v>130.89999999999998</v>
      </c>
      <c r="DX27" s="105">
        <v>128.48999999999998</v>
      </c>
      <c r="DY27" s="105">
        <v>6.2229999999999999</v>
      </c>
      <c r="DZ27" s="105">
        <v>6.2229999999999999</v>
      </c>
      <c r="EA27" s="105">
        <v>23</v>
      </c>
      <c r="EC27" s="105" t="s">
        <v>247</v>
      </c>
      <c r="ED27" s="105">
        <v>130.89999999999998</v>
      </c>
      <c r="EE27" s="105">
        <v>130.89999999999998</v>
      </c>
      <c r="EF27" s="105">
        <v>138</v>
      </c>
    </row>
    <row r="28" spans="1:161" ht="18" hidden="1" customHeight="1" outlineLevel="1" x14ac:dyDescent="0.25">
      <c r="E28" s="65" t="s">
        <v>259</v>
      </c>
      <c r="F28" s="105" t="s">
        <v>260</v>
      </c>
      <c r="G28" s="105" t="s">
        <v>261</v>
      </c>
      <c r="H28" s="105" t="s">
        <v>262</v>
      </c>
      <c r="I28" s="105">
        <v>23.1</v>
      </c>
      <c r="J28" s="105" t="s">
        <v>49</v>
      </c>
      <c r="K28" s="105"/>
      <c r="N28" s="105"/>
      <c r="O28" s="105" t="str">
        <f>IFERROR((MP_DATA[[#This Row],[D, bottom '[m']]]+#REF!)/(2*#REF!/1000),"")</f>
        <v/>
      </c>
      <c r="AH28" s="127">
        <v>11</v>
      </c>
      <c r="AI28" s="128">
        <v>-30.6</v>
      </c>
      <c r="AJ28" s="128">
        <v>-34.5</v>
      </c>
      <c r="AK28" s="127">
        <v>9.8000000000000007</v>
      </c>
      <c r="AL28" s="127">
        <v>9.8000000000000007</v>
      </c>
      <c r="AM28" s="127">
        <v>90</v>
      </c>
      <c r="BE28" s="105" t="str">
        <f>IFERROR(TP_DATA[[#This Row],[Bottom '[m']]]-TP_DATA[[#This Row],[D, top '[m']]], "")</f>
        <v/>
      </c>
      <c r="BF28" s="105" t="str">
        <f>IFERROR(-(TP_DATA[[#This Row],[D, bottom '[m']]]-TP_DATA[[#This Row],[D, top '[m']]])/(TP_DATA[[#This Row],[Bottom '[m']]]-TP_DATA[[#This Row],[Top '[m']]]),"")</f>
        <v/>
      </c>
      <c r="BG28" s="105" t="str">
        <f t="shared" si="1"/>
        <v/>
      </c>
      <c r="BH28" s="105" t="str">
        <f>IFERROR((TP_DATA[[#This Row],[D, bottom '[m']]]+TP_DATA[[#This Row],[D, top '[m']]])/(2*TP_DATA[[#This Row],[t '[mm']]]/1000),"")</f>
        <v/>
      </c>
      <c r="BI28" s="105" t="str">
        <f>IFERROR((TP_DATA[[#This Row],[D, bottom '[m']]]+#REF!)/(2*#REF!/1000),"")</f>
        <v/>
      </c>
      <c r="CR28" s="105"/>
      <c r="CS28" s="105">
        <v>11</v>
      </c>
      <c r="CT28" s="105">
        <v>128.48999999999998</v>
      </c>
      <c r="CU28" s="105">
        <v>125.74000000000001</v>
      </c>
      <c r="CV28" s="105">
        <v>6.2229999999999999</v>
      </c>
      <c r="CW28" s="105">
        <v>6.2229999999999999</v>
      </c>
      <c r="CX28" s="105">
        <v>23</v>
      </c>
      <c r="CY28" s="105">
        <f>IFERROR(TOWER_DATA[[#This Row],[Top '[m']]]-TOWER_DATA[[#This Row],[Bottom '[m']]], "")</f>
        <v>2.7499999999999716</v>
      </c>
      <c r="CZ28" s="105">
        <f>IFERROR(-(TOWER_DATA[[#This Row],[D, bottom '[m']]]-TOWER_DATA[[#This Row],[D, top '[m']]])/(TOWER_DATA[[#This Row],[Bottom '[m']]]-TOWER_DATA[[#This Row],[Top '[m']]]),"")</f>
        <v>0</v>
      </c>
      <c r="DA28" s="105">
        <f t="shared" si="0"/>
        <v>9.6710081389761218</v>
      </c>
      <c r="DB28" s="105">
        <f>IFERROR((TOWER_DATA[[#This Row],[D, bottom '[m']]]+TOWER_DATA[[#This Row],[D, top '[m']]])/(2*TOWER_DATA[[#This Row],[t '[mm']]]/1000),"")</f>
        <v>270.56521739130437</v>
      </c>
      <c r="DC28" s="105" t="str">
        <f>IFERROR((TOWER_DATA[[#This Row],[D, bottom '[m']]]+#REF!)/(2*#REF!/1000),"")</f>
        <v/>
      </c>
      <c r="DD28" s="105" t="s">
        <v>247</v>
      </c>
      <c r="DE28" s="105">
        <v>125.74</v>
      </c>
      <c r="DF28" s="105">
        <v>125.74</v>
      </c>
      <c r="DG28" s="105">
        <v>138</v>
      </c>
      <c r="DV28" s="105">
        <v>11</v>
      </c>
      <c r="DW28" s="105">
        <v>128.48999999999998</v>
      </c>
      <c r="DX28" s="105">
        <v>125.74000000000001</v>
      </c>
      <c r="DY28" s="105">
        <v>6.2229999999999999</v>
      </c>
      <c r="DZ28" s="105">
        <v>6.2229999999999999</v>
      </c>
      <c r="EA28" s="105">
        <v>23</v>
      </c>
      <c r="EC28" s="105" t="s">
        <v>247</v>
      </c>
      <c r="ED28" s="105">
        <v>125.74</v>
      </c>
      <c r="EE28" s="105">
        <v>125.74</v>
      </c>
      <c r="EF28" s="105">
        <v>138</v>
      </c>
    </row>
    <row r="29" spans="1:161" ht="18" hidden="1" customHeight="1" outlineLevel="1" x14ac:dyDescent="0.25">
      <c r="E29" s="65" t="s">
        <v>266</v>
      </c>
      <c r="F29" s="105" t="s">
        <v>267</v>
      </c>
      <c r="G29" s="105" t="s">
        <v>268</v>
      </c>
      <c r="H29" s="105" t="s">
        <v>269</v>
      </c>
      <c r="I29" s="105">
        <v>38.9</v>
      </c>
      <c r="J29" s="105" t="s">
        <v>49</v>
      </c>
      <c r="K29" s="105"/>
      <c r="N29" s="105"/>
      <c r="O29" s="105" t="str">
        <f>IFERROR((MP_DATA[[#This Row],[D, bottom '[m']]]+#REF!)/(2*#REF!/1000),"")</f>
        <v/>
      </c>
      <c r="AH29" s="127">
        <v>12</v>
      </c>
      <c r="AI29" s="128">
        <v>-34.5</v>
      </c>
      <c r="AJ29" s="128">
        <v>-38.200000000000003</v>
      </c>
      <c r="AK29" s="127">
        <v>9.8000000000000007</v>
      </c>
      <c r="AL29" s="127">
        <v>9.8000000000000007</v>
      </c>
      <c r="AM29" s="127">
        <v>98</v>
      </c>
      <c r="BE29" s="105" t="str">
        <f>IFERROR(TP_DATA[[#This Row],[Bottom '[m']]]-TP_DATA[[#This Row],[D, top '[m']]], "")</f>
        <v/>
      </c>
      <c r="BF29" s="105" t="str">
        <f>IFERROR(-(TP_DATA[[#This Row],[D, bottom '[m']]]-TP_DATA[[#This Row],[D, top '[m']]])/(TP_DATA[[#This Row],[Bottom '[m']]]-TP_DATA[[#This Row],[Top '[m']]]),"")</f>
        <v/>
      </c>
      <c r="BG29" s="105" t="str">
        <f t="shared" si="1"/>
        <v/>
      </c>
      <c r="BH29" s="105" t="str">
        <f>IFERROR((TP_DATA[[#This Row],[D, bottom '[m']]]+TP_DATA[[#This Row],[D, top '[m']]])/(2*TP_DATA[[#This Row],[t '[mm']]]/1000),"")</f>
        <v/>
      </c>
      <c r="BI29" s="105" t="str">
        <f>IFERROR((TP_DATA[[#This Row],[D, bottom '[m']]]+#REF!)/(2*#REF!/1000),"")</f>
        <v/>
      </c>
      <c r="CR29" s="105"/>
      <c r="CS29" s="105">
        <v>12</v>
      </c>
      <c r="CT29" s="105">
        <v>125.74000000000001</v>
      </c>
      <c r="CU29" s="105">
        <v>123.667</v>
      </c>
      <c r="CV29" s="105">
        <v>6.2229999999999999</v>
      </c>
      <c r="CW29" s="105">
        <v>6.2229999999999999</v>
      </c>
      <c r="CX29" s="105">
        <v>23</v>
      </c>
      <c r="CY29" s="105">
        <f>IFERROR(TOWER_DATA[[#This Row],[Top '[m']]]-TOWER_DATA[[#This Row],[Bottom '[m']]], "")</f>
        <v>2.0730000000000075</v>
      </c>
      <c r="CZ29" s="105">
        <f>IFERROR(-(TOWER_DATA[[#This Row],[D, bottom '[m']]]-TOWER_DATA[[#This Row],[D, top '[m']]])/(TOWER_DATA[[#This Row],[Bottom '[m']]]-TOWER_DATA[[#This Row],[Top '[m']]]),"")</f>
        <v>0</v>
      </c>
      <c r="DA29" s="105">
        <f t="shared" si="0"/>
        <v>7.2901817716719197</v>
      </c>
      <c r="DB29" s="105">
        <f>IFERROR((TOWER_DATA[[#This Row],[D, bottom '[m']]]+TOWER_DATA[[#This Row],[D, top '[m']]])/(2*TOWER_DATA[[#This Row],[t '[mm']]]/1000),"")</f>
        <v>270.56521739130437</v>
      </c>
      <c r="DC29" s="105" t="str">
        <f>IFERROR((TOWER_DATA[[#This Row],[D, bottom '[m']]]+#REF!)/(2*#REF!/1000),"")</f>
        <v/>
      </c>
      <c r="DD29" s="105" t="s">
        <v>247</v>
      </c>
      <c r="DE29" s="105">
        <v>123.66699999999999</v>
      </c>
      <c r="DF29" s="105">
        <v>123.66699999999999</v>
      </c>
      <c r="DG29" s="105">
        <v>147</v>
      </c>
      <c r="DV29" s="105">
        <v>12</v>
      </c>
      <c r="DW29" s="105">
        <v>125.74000000000001</v>
      </c>
      <c r="DX29" s="105">
        <v>123.667</v>
      </c>
      <c r="DY29" s="105">
        <v>6.2229999999999999</v>
      </c>
      <c r="DZ29" s="105">
        <v>6.2229999999999999</v>
      </c>
      <c r="EA29" s="105">
        <v>23</v>
      </c>
      <c r="EC29" s="105" t="s">
        <v>247</v>
      </c>
      <c r="ED29" s="105">
        <v>123.66699999999999</v>
      </c>
      <c r="EE29" s="105">
        <v>123.66699999999999</v>
      </c>
      <c r="EF29" s="105">
        <v>147</v>
      </c>
    </row>
    <row r="30" spans="1:161" ht="18" hidden="1" customHeight="1" outlineLevel="1" x14ac:dyDescent="0.25">
      <c r="E30" s="65" t="s">
        <v>270</v>
      </c>
      <c r="F30" s="105" t="s">
        <v>267</v>
      </c>
      <c r="G30" s="105" t="s">
        <v>268</v>
      </c>
      <c r="H30" s="105" t="s">
        <v>271</v>
      </c>
      <c r="I30" s="105">
        <v>38.9</v>
      </c>
      <c r="J30" s="105" t="s">
        <v>49</v>
      </c>
      <c r="K30" s="105"/>
      <c r="N30" s="105"/>
      <c r="O30" s="105" t="str">
        <f>IFERROR((MP_DATA[[#This Row],[D, bottom '[m']]]+#REF!)/(2*#REF!/1000),"")</f>
        <v/>
      </c>
      <c r="AH30" s="127">
        <v>13</v>
      </c>
      <c r="AI30" s="128">
        <v>-38.200000000000003</v>
      </c>
      <c r="AJ30" s="128">
        <v>-38.94</v>
      </c>
      <c r="AK30" s="127">
        <v>9.8000000000000007</v>
      </c>
      <c r="AL30" s="127">
        <v>9.8000000000000007</v>
      </c>
      <c r="AM30" s="127">
        <v>88</v>
      </c>
      <c r="BE30" s="105" t="str">
        <f>IFERROR(TP_DATA[[#This Row],[Bottom '[m']]]-TP_DATA[[#This Row],[D, top '[m']]], "")</f>
        <v/>
      </c>
      <c r="BF30" s="105" t="str">
        <f>IFERROR(-(TP_DATA[[#This Row],[D, bottom '[m']]]-TP_DATA[[#This Row],[D, top '[m']]])/(TP_DATA[[#This Row],[Bottom '[m']]]-TP_DATA[[#This Row],[Top '[m']]]),"")</f>
        <v/>
      </c>
      <c r="BG30" s="105" t="str">
        <f t="shared" si="1"/>
        <v/>
      </c>
      <c r="BH30" s="105" t="str">
        <f>IFERROR((TP_DATA[[#This Row],[D, bottom '[m']]]+TP_DATA[[#This Row],[D, top '[m']]])/(2*TP_DATA[[#This Row],[t '[mm']]]/1000),"")</f>
        <v/>
      </c>
      <c r="BI30" s="105" t="str">
        <f>IFERROR((TP_DATA[[#This Row],[D, bottom '[m']]]+#REF!)/(2*#REF!/1000),"")</f>
        <v/>
      </c>
      <c r="CR30" s="105"/>
      <c r="CS30" s="105">
        <v>13</v>
      </c>
      <c r="CT30" s="105">
        <v>123.667</v>
      </c>
      <c r="CU30" s="105">
        <v>122.81</v>
      </c>
      <c r="CV30" s="105">
        <v>6.2229999999999999</v>
      </c>
      <c r="CW30" s="105">
        <v>6.2229999999999999</v>
      </c>
      <c r="CX30" s="105">
        <v>23</v>
      </c>
      <c r="CY30" s="105">
        <f>IFERROR(TOWER_DATA[[#This Row],[Top '[m']]]-TOWER_DATA[[#This Row],[Bottom '[m']]], "")</f>
        <v>0.85699999999999932</v>
      </c>
      <c r="CZ30" s="105">
        <f>IFERROR(-(TOWER_DATA[[#This Row],[D, bottom '[m']]]-TOWER_DATA[[#This Row],[D, top '[m']]])/(TOWER_DATA[[#This Row],[Bottom '[m']]]-TOWER_DATA[[#This Row],[Top '[m']]]),"")</f>
        <v>0</v>
      </c>
      <c r="DA30" s="105">
        <f t="shared" si="0"/>
        <v>3.0138378091282236</v>
      </c>
      <c r="DB30" s="105">
        <f>IFERROR((TOWER_DATA[[#This Row],[D, bottom '[m']]]+TOWER_DATA[[#This Row],[D, top '[m']]])/(2*TOWER_DATA[[#This Row],[t '[mm']]]/1000),"")</f>
        <v>270.56521739130437</v>
      </c>
      <c r="DC30" s="105" t="str">
        <f>IFERROR((TOWER_DATA[[#This Row],[D, bottom '[m']]]+#REF!)/(2*#REF!/1000),"")</f>
        <v/>
      </c>
      <c r="DD30" s="105" t="s">
        <v>247</v>
      </c>
      <c r="DE30" s="105">
        <v>120.89999999999999</v>
      </c>
      <c r="DF30" s="105">
        <v>120.89999999999999</v>
      </c>
      <c r="DG30" s="105">
        <v>147</v>
      </c>
      <c r="DV30" s="105">
        <v>13</v>
      </c>
      <c r="DW30" s="105">
        <v>123.667</v>
      </c>
      <c r="DX30" s="105">
        <v>122.81</v>
      </c>
      <c r="DY30" s="105">
        <v>6.2229999999999999</v>
      </c>
      <c r="DZ30" s="105">
        <v>6.2229999999999999</v>
      </c>
      <c r="EA30" s="105">
        <v>23</v>
      </c>
      <c r="EC30" s="105" t="s">
        <v>247</v>
      </c>
      <c r="ED30" s="105">
        <v>120.89999999999999</v>
      </c>
      <c r="EE30" s="105">
        <v>120.89999999999999</v>
      </c>
      <c r="EF30" s="105">
        <v>147</v>
      </c>
    </row>
    <row r="31" spans="1:161" ht="18" hidden="1" customHeight="1" outlineLevel="1" x14ac:dyDescent="0.25">
      <c r="E31" s="65" t="s">
        <v>272</v>
      </c>
      <c r="F31" s="105" t="s">
        <v>267</v>
      </c>
      <c r="G31" s="105" t="s">
        <v>268</v>
      </c>
      <c r="H31" s="105" t="s">
        <v>273</v>
      </c>
      <c r="I31" s="105">
        <v>38.9</v>
      </c>
      <c r="J31" s="105" t="s">
        <v>49</v>
      </c>
      <c r="K31" s="105"/>
      <c r="N31" s="105"/>
      <c r="O31" s="105" t="str">
        <f>IFERROR((MP_DATA[[#This Row],[D, bottom '[m']]]+#REF!)/(2*#REF!/1000),"")</f>
        <v/>
      </c>
      <c r="AH31" s="127">
        <v>14</v>
      </c>
      <c r="AI31" s="128">
        <v>-38.94</v>
      </c>
      <c r="AJ31" s="128">
        <v>-42.2</v>
      </c>
      <c r="AK31" s="127">
        <v>9.8000000000000007</v>
      </c>
      <c r="AL31" s="127">
        <v>9.8000000000000007</v>
      </c>
      <c r="AM31" s="127">
        <v>88</v>
      </c>
      <c r="BE31" s="105" t="str">
        <f>IFERROR(TP_DATA[[#This Row],[Bottom '[m']]]-TP_DATA[[#This Row],[D, top '[m']]], "")</f>
        <v/>
      </c>
      <c r="BF31" s="105" t="str">
        <f>IFERROR(-(TP_DATA[[#This Row],[D, bottom '[m']]]-TP_DATA[[#This Row],[D, top '[m']]])/(TP_DATA[[#This Row],[Bottom '[m']]]-TP_DATA[[#This Row],[Top '[m']]]),"")</f>
        <v/>
      </c>
      <c r="BG31" s="105" t="str">
        <f t="shared" si="1"/>
        <v/>
      </c>
      <c r="BH31" s="105" t="str">
        <f>IFERROR((TP_DATA[[#This Row],[D, bottom '[m']]]+TP_DATA[[#This Row],[D, top '[m']]])/(2*TP_DATA[[#This Row],[t '[mm']]]/1000),"")</f>
        <v/>
      </c>
      <c r="BI31" s="105" t="str">
        <f>IFERROR((TP_DATA[[#This Row],[D, bottom '[m']]]+#REF!)/(2*#REF!/1000),"")</f>
        <v/>
      </c>
      <c r="CR31" s="105"/>
      <c r="CS31" s="105">
        <v>14</v>
      </c>
      <c r="CT31" s="105">
        <v>122.81</v>
      </c>
      <c r="CU31" s="105">
        <v>120.9</v>
      </c>
      <c r="CV31" s="105">
        <v>6.2229999999999999</v>
      </c>
      <c r="CW31" s="105">
        <v>6.2229999999999999</v>
      </c>
      <c r="CX31" s="105">
        <v>23</v>
      </c>
      <c r="CY31" s="105">
        <f>IFERROR(TOWER_DATA[[#This Row],[Top '[m']]]-TOWER_DATA[[#This Row],[Bottom '[m']]], "")</f>
        <v>1.9099999999999966</v>
      </c>
      <c r="CZ31" s="105">
        <f>IFERROR(-(TOWER_DATA[[#This Row],[D, bottom '[m']]]-TOWER_DATA[[#This Row],[D, top '[m']]])/(TOWER_DATA[[#This Row],[Bottom '[m']]]-TOWER_DATA[[#This Row],[Top '[m']]]),"")</f>
        <v>0</v>
      </c>
      <c r="DA31" s="105">
        <f t="shared" si="0"/>
        <v>6.7169547437980182</v>
      </c>
      <c r="DB31" s="105">
        <f>IFERROR((TOWER_DATA[[#This Row],[D, bottom '[m']]]+TOWER_DATA[[#This Row],[D, top '[m']]])/(2*TOWER_DATA[[#This Row],[t '[mm']]]/1000),"")</f>
        <v>270.56521739130437</v>
      </c>
      <c r="DC31" s="105" t="str">
        <f>IFERROR((TOWER_DATA[[#This Row],[D, bottom '[m']]]+#REF!)/(2*#REF!/1000),"")</f>
        <v/>
      </c>
      <c r="DD31" s="105" t="s">
        <v>247</v>
      </c>
      <c r="DE31" s="105">
        <v>119.88</v>
      </c>
      <c r="DF31" s="105">
        <v>119.88</v>
      </c>
      <c r="DG31" s="105">
        <v>1060</v>
      </c>
      <c r="DV31" s="105">
        <v>14</v>
      </c>
      <c r="DW31" s="105">
        <v>122.81</v>
      </c>
      <c r="DX31" s="105">
        <v>120.9</v>
      </c>
      <c r="DY31" s="105">
        <v>6.2229999999999999</v>
      </c>
      <c r="DZ31" s="105">
        <v>6.2229999999999999</v>
      </c>
      <c r="EA31" s="105">
        <v>23</v>
      </c>
      <c r="EC31" s="105" t="s">
        <v>247</v>
      </c>
      <c r="ED31" s="105">
        <v>119.88</v>
      </c>
      <c r="EE31" s="105">
        <v>119.88</v>
      </c>
      <c r="EF31" s="105">
        <v>1060</v>
      </c>
    </row>
    <row r="32" spans="1:161" ht="18" hidden="1" customHeight="1" outlineLevel="1" x14ac:dyDescent="0.25">
      <c r="K32" s="105"/>
      <c r="N32" s="105"/>
      <c r="O32" s="124" t="str">
        <f>IFERROR((MP_DATA[[#This Row],[D, bottom '[m']]]+#REF!)/(2*#REF!/1000),"")</f>
        <v/>
      </c>
      <c r="AH32" s="127">
        <v>15</v>
      </c>
      <c r="AI32" s="128">
        <v>-42.2</v>
      </c>
      <c r="AJ32" s="128">
        <v>-46.2</v>
      </c>
      <c r="AK32" s="127">
        <v>9.8000000000000007</v>
      </c>
      <c r="AL32" s="127">
        <v>9.8000000000000007</v>
      </c>
      <c r="AM32" s="127">
        <v>88</v>
      </c>
      <c r="BE32" s="124" t="str">
        <f>IFERROR(TP_DATA[[#This Row],[Bottom '[m']]]-TP_DATA[[#This Row],[D, top '[m']]], "")</f>
        <v/>
      </c>
      <c r="BF32" s="124" t="str">
        <f>IFERROR(-(TP_DATA[[#This Row],[D, bottom '[m']]]-TP_DATA[[#This Row],[D, top '[m']]])/(TP_DATA[[#This Row],[Bottom '[m']]]-TP_DATA[[#This Row],[Top '[m']]]),"")</f>
        <v/>
      </c>
      <c r="BG32" s="124" t="str">
        <f t="shared" si="1"/>
        <v/>
      </c>
      <c r="BH32" s="124" t="str">
        <f>IFERROR((TP_DATA[[#This Row],[D, bottom '[m']]]+TP_DATA[[#This Row],[D, top '[m']]])/(2*TP_DATA[[#This Row],[t '[mm']]]/1000),"")</f>
        <v/>
      </c>
      <c r="BI32" s="124" t="str">
        <f>IFERROR((TP_DATA[[#This Row],[D, bottom '[m']]]+#REF!)/(2*#REF!/1000),"")</f>
        <v/>
      </c>
      <c r="CB32" s="117"/>
      <c r="CC32" s="117"/>
      <c r="CD32" s="117"/>
      <c r="CE32" s="117"/>
      <c r="CF32" s="117"/>
      <c r="CG32" s="117"/>
      <c r="CS32" s="105">
        <v>15</v>
      </c>
      <c r="CT32" s="105">
        <v>120.9</v>
      </c>
      <c r="CU32" s="105">
        <v>119.88000000000001</v>
      </c>
      <c r="CV32" s="105">
        <v>6.2229999999999999</v>
      </c>
      <c r="CW32" s="105">
        <v>6.2229999999999999</v>
      </c>
      <c r="CX32" s="105">
        <v>23</v>
      </c>
      <c r="CY32" s="124">
        <f>IFERROR(TOWER_DATA[[#This Row],[Top '[m']]]-TOWER_DATA[[#This Row],[Bottom '[m']]], "")</f>
        <v>1.019999999999996</v>
      </c>
      <c r="CZ32" s="124">
        <f>IFERROR(-(TOWER_DATA[[#This Row],[D, bottom '[m']]]-TOWER_DATA[[#This Row],[D, top '[m']]])/(TOWER_DATA[[#This Row],[Bottom '[m']]]-TOWER_DATA[[#This Row],[Top '[m']]]),"")</f>
        <v>0</v>
      </c>
      <c r="DA32" s="124">
        <f t="shared" si="0"/>
        <v>3.587064837002075</v>
      </c>
      <c r="DB32" s="124">
        <f>IFERROR((TOWER_DATA[[#This Row],[D, bottom '[m']]]+TOWER_DATA[[#This Row],[D, top '[m']]])/(2*TOWER_DATA[[#This Row],[t '[mm']]]/1000),"")</f>
        <v>270.56521739130437</v>
      </c>
      <c r="DC32" s="124" t="str">
        <f>IFERROR((TOWER_DATA[[#This Row],[D, bottom '[m']]]+#REF!)/(2*#REF!/1000),"")</f>
        <v/>
      </c>
      <c r="DD32" s="149" t="s">
        <v>247</v>
      </c>
      <c r="DE32" s="149">
        <v>116.94999999999999</v>
      </c>
      <c r="DF32" s="149">
        <v>116.94999999999999</v>
      </c>
      <c r="DG32" s="149">
        <v>147</v>
      </c>
      <c r="DH32" s="149"/>
      <c r="DI32" s="149"/>
      <c r="DJ32" s="149"/>
      <c r="DK32" s="149"/>
      <c r="DL32" s="149"/>
      <c r="DV32" s="117">
        <v>15</v>
      </c>
      <c r="DW32" s="117">
        <v>120.9</v>
      </c>
      <c r="DX32" s="117">
        <v>119.88000000000001</v>
      </c>
      <c r="DY32" s="117">
        <v>6.2229999999999999</v>
      </c>
      <c r="DZ32" s="117">
        <v>6.2229999999999999</v>
      </c>
      <c r="EA32" s="117">
        <v>23</v>
      </c>
      <c r="EC32" s="150" t="s">
        <v>247</v>
      </c>
      <c r="ED32" s="150">
        <v>116.94999999999999</v>
      </c>
      <c r="EE32" s="150">
        <v>116.94999999999999</v>
      </c>
      <c r="EF32" s="150">
        <v>147</v>
      </c>
      <c r="EG32" s="149"/>
      <c r="EH32" s="149"/>
      <c r="EI32" s="149"/>
      <c r="EJ32" s="149"/>
      <c r="EK32" s="149"/>
      <c r="ET32" s="124"/>
      <c r="EU32" s="124"/>
    </row>
    <row r="33" spans="11:151" ht="18" hidden="1" customHeight="1" outlineLevel="1" x14ac:dyDescent="0.25">
      <c r="K33" s="105"/>
      <c r="N33" s="105"/>
      <c r="O33" s="124" t="str">
        <f>IFERROR((MP_DATA[[#This Row],[D, bottom '[m']]]+#REF!)/(2*#REF!/1000),"")</f>
        <v/>
      </c>
      <c r="AH33" s="127">
        <v>16</v>
      </c>
      <c r="AI33" s="128">
        <v>-46.2</v>
      </c>
      <c r="AJ33" s="128">
        <v>-50.2</v>
      </c>
      <c r="AK33" s="127">
        <v>9.8000000000000007</v>
      </c>
      <c r="AL33" s="127">
        <v>9.8000000000000007</v>
      </c>
      <c r="AM33" s="127">
        <v>81</v>
      </c>
      <c r="BE33" s="124" t="str">
        <f>IFERROR(TP_DATA[[#This Row],[Bottom '[m']]]-TP_DATA[[#This Row],[D, top '[m']]], "")</f>
        <v/>
      </c>
      <c r="BF33" s="124" t="str">
        <f>IFERROR(-(TP_DATA[[#This Row],[D, bottom '[m']]]-TP_DATA[[#This Row],[D, top '[m']]])/(TP_DATA[[#This Row],[Bottom '[m']]]-TP_DATA[[#This Row],[Top '[m']]]),"")</f>
        <v/>
      </c>
      <c r="BG33" s="124" t="str">
        <f t="shared" si="1"/>
        <v/>
      </c>
      <c r="BH33" s="124" t="str">
        <f>IFERROR((TP_DATA[[#This Row],[D, bottom '[m']]]+TP_DATA[[#This Row],[D, top '[m']]])/(2*TP_DATA[[#This Row],[t '[mm']]]/1000),"")</f>
        <v/>
      </c>
      <c r="BI33" s="124" t="str">
        <f>IFERROR((TP_DATA[[#This Row],[D, bottom '[m']]]+#REF!)/(2*#REF!/1000),"")</f>
        <v/>
      </c>
      <c r="CB33" s="117"/>
      <c r="CC33" s="117"/>
      <c r="CD33" s="117"/>
      <c r="CE33" s="117"/>
      <c r="CF33" s="117"/>
      <c r="CG33" s="117"/>
      <c r="CS33" s="105">
        <v>16</v>
      </c>
      <c r="CT33" s="105">
        <v>119.88000000000001</v>
      </c>
      <c r="CU33" s="105">
        <v>116.95</v>
      </c>
      <c r="CV33" s="105">
        <v>6.2229999999999999</v>
      </c>
      <c r="CW33" s="105">
        <v>6.2229999999999999</v>
      </c>
      <c r="CX33" s="105">
        <v>23</v>
      </c>
      <c r="CY33" s="124">
        <f>IFERROR(TOWER_DATA[[#This Row],[Top '[m']]]-TOWER_DATA[[#This Row],[Bottom '[m']]], "")</f>
        <v>2.9300000000000068</v>
      </c>
      <c r="CZ33" s="124">
        <f>IFERROR(-(TOWER_DATA[[#This Row],[D, bottom '[m']]]-TOWER_DATA[[#This Row],[D, top '[m']]])/(TOWER_DATA[[#This Row],[Bottom '[m']]]-TOWER_DATA[[#This Row],[Top '[m']]]),"")</f>
        <v>0</v>
      </c>
      <c r="DA33" s="124">
        <f t="shared" si="0"/>
        <v>10.304019580800142</v>
      </c>
      <c r="DB33" s="124">
        <f>IFERROR((TOWER_DATA[[#This Row],[D, bottom '[m']]]+TOWER_DATA[[#This Row],[D, top '[m']]])/(2*TOWER_DATA[[#This Row],[t '[mm']]]/1000),"")</f>
        <v>270.56521739130437</v>
      </c>
      <c r="DC33" s="124" t="str">
        <f>IFERROR((TOWER_DATA[[#This Row],[D, bottom '[m']]]+#REF!)/(2*#REF!/1000),"")</f>
        <v/>
      </c>
      <c r="DD33" s="149" t="s">
        <v>247</v>
      </c>
      <c r="DE33" s="149">
        <v>115.446</v>
      </c>
      <c r="DF33" s="149">
        <v>115.446</v>
      </c>
      <c r="DG33" s="149">
        <v>147</v>
      </c>
      <c r="DH33" s="149"/>
      <c r="DI33" s="149"/>
      <c r="DJ33" s="149"/>
      <c r="DK33" s="149"/>
      <c r="DL33" s="149"/>
      <c r="DV33" s="117">
        <v>16</v>
      </c>
      <c r="DW33" s="117">
        <v>119.88000000000001</v>
      </c>
      <c r="DX33" s="117">
        <v>116.95</v>
      </c>
      <c r="DY33" s="117">
        <v>6.2229999999999999</v>
      </c>
      <c r="DZ33" s="117">
        <v>6.2229999999999999</v>
      </c>
      <c r="EA33" s="117">
        <v>23</v>
      </c>
      <c r="EC33" s="150" t="s">
        <v>247</v>
      </c>
      <c r="ED33" s="150">
        <v>115.446</v>
      </c>
      <c r="EE33" s="150">
        <v>115.446</v>
      </c>
      <c r="EF33" s="150">
        <v>147</v>
      </c>
      <c r="EG33" s="149"/>
      <c r="EH33" s="149"/>
      <c r="EI33" s="149"/>
      <c r="EJ33" s="149"/>
      <c r="EK33" s="149"/>
      <c r="ET33" s="124"/>
      <c r="EU33" s="124"/>
    </row>
    <row r="34" spans="11:151" ht="18" hidden="1" customHeight="1" outlineLevel="1" x14ac:dyDescent="0.25">
      <c r="K34" s="105"/>
      <c r="N34" s="105"/>
      <c r="O34" s="124" t="str">
        <f>IFERROR((MP_DATA[[#This Row],[D, bottom '[m']]]+#REF!)/(2*#REF!/1000),"")</f>
        <v/>
      </c>
      <c r="AH34" s="127">
        <v>17</v>
      </c>
      <c r="AI34" s="128">
        <v>-50.2</v>
      </c>
      <c r="AJ34" s="128">
        <v>-54.2</v>
      </c>
      <c r="AK34" s="127">
        <v>9.8000000000000007</v>
      </c>
      <c r="AL34" s="127">
        <v>9.8000000000000007</v>
      </c>
      <c r="AM34" s="127">
        <v>81</v>
      </c>
      <c r="BE34" s="124" t="str">
        <f>IFERROR(TP_DATA[[#This Row],[Bottom '[m']]]-TP_DATA[[#This Row],[D, top '[m']]], "")</f>
        <v/>
      </c>
      <c r="BF34" s="124" t="str">
        <f>IFERROR(-(TP_DATA[[#This Row],[D, bottom '[m']]]-TP_DATA[[#This Row],[D, top '[m']]])/(TP_DATA[[#This Row],[Bottom '[m']]]-TP_DATA[[#This Row],[Top '[m']]]),"")</f>
        <v/>
      </c>
      <c r="BG34" s="124" t="str">
        <f t="shared" si="1"/>
        <v/>
      </c>
      <c r="BH34" s="124" t="str">
        <f>IFERROR((TP_DATA[[#This Row],[D, bottom '[m']]]+TP_DATA[[#This Row],[D, top '[m']]])/(2*TP_DATA[[#This Row],[t '[mm']]]/1000),"")</f>
        <v/>
      </c>
      <c r="BI34" s="124" t="str">
        <f>IFERROR((TP_DATA[[#This Row],[D, bottom '[m']]]+#REF!)/(2*#REF!/1000),"")</f>
        <v/>
      </c>
      <c r="CB34" s="117"/>
      <c r="CC34" s="117"/>
      <c r="CD34" s="117"/>
      <c r="CE34" s="117"/>
      <c r="CF34" s="117"/>
      <c r="CG34" s="117"/>
      <c r="CS34" s="105">
        <v>17</v>
      </c>
      <c r="CT34" s="105">
        <v>116.95</v>
      </c>
      <c r="CU34" s="105">
        <v>115.44600000000001</v>
      </c>
      <c r="CV34" s="105">
        <v>6.2229999999999999</v>
      </c>
      <c r="CW34" s="105">
        <v>6.2229999999999999</v>
      </c>
      <c r="CX34" s="105">
        <v>23</v>
      </c>
      <c r="CY34" s="124">
        <f>IFERROR(TOWER_DATA[[#This Row],[Top '[m']]]-TOWER_DATA[[#This Row],[Bottom '[m']]], "")</f>
        <v>1.5039999999999907</v>
      </c>
      <c r="CZ34" s="124">
        <f>IFERROR(-(TOWER_DATA[[#This Row],[D, bottom '[m']]]-TOWER_DATA[[#This Row],[D, top '[m']]])/(TOWER_DATA[[#This Row],[Bottom '[m']]]-TOWER_DATA[[#This Row],[Top '[m']]]),"")</f>
        <v>0</v>
      </c>
      <c r="DA34" s="124">
        <f t="shared" si="0"/>
        <v>5.2891622694618716</v>
      </c>
      <c r="DB34" s="124">
        <f>IFERROR((TOWER_DATA[[#This Row],[D, bottom '[m']]]+TOWER_DATA[[#This Row],[D, top '[m']]])/(2*TOWER_DATA[[#This Row],[t '[mm']]]/1000),"")</f>
        <v>270.56521739130437</v>
      </c>
      <c r="DC34" s="124" t="str">
        <f>IFERROR((TOWER_DATA[[#This Row],[D, bottom '[m']]]+#REF!)/(2*#REF!/1000),"")</f>
        <v/>
      </c>
      <c r="DD34" s="149" t="s">
        <v>247</v>
      </c>
      <c r="DE34" s="149">
        <v>111.08999999999999</v>
      </c>
      <c r="DF34" s="149">
        <v>111.08999999999999</v>
      </c>
      <c r="DG34" s="149">
        <v>147</v>
      </c>
      <c r="DH34" s="149"/>
      <c r="DI34" s="149"/>
      <c r="DJ34" s="149"/>
      <c r="DK34" s="149"/>
      <c r="DL34" s="149"/>
      <c r="DV34" s="117">
        <v>17</v>
      </c>
      <c r="DW34" s="117">
        <v>116.95</v>
      </c>
      <c r="DX34" s="117">
        <v>115.44600000000001</v>
      </c>
      <c r="DY34" s="117">
        <v>6.2229999999999999</v>
      </c>
      <c r="DZ34" s="117">
        <v>6.2229999999999999</v>
      </c>
      <c r="EA34" s="117">
        <v>23</v>
      </c>
      <c r="EC34" s="150" t="s">
        <v>247</v>
      </c>
      <c r="ED34" s="150">
        <v>111.08999999999999</v>
      </c>
      <c r="EE34" s="150">
        <v>111.08999999999999</v>
      </c>
      <c r="EF34" s="150">
        <v>147</v>
      </c>
      <c r="EG34" s="149"/>
      <c r="EH34" s="149"/>
      <c r="EI34" s="149"/>
      <c r="EJ34" s="149"/>
      <c r="EK34" s="149"/>
      <c r="ET34" s="124"/>
      <c r="EU34" s="124"/>
    </row>
    <row r="35" spans="11:151" ht="18" hidden="1" customHeight="1" outlineLevel="1" x14ac:dyDescent="0.25">
      <c r="K35" s="105"/>
      <c r="N35" s="105"/>
      <c r="O35" s="124" t="str">
        <f>IFERROR((MP_DATA[[#This Row],[D, bottom '[m']]]+#REF!)/(2*#REF!/1000),"")</f>
        <v/>
      </c>
      <c r="AH35" s="127">
        <v>18</v>
      </c>
      <c r="AI35" s="128">
        <v>-54.2</v>
      </c>
      <c r="AJ35" s="128">
        <v>-57.7</v>
      </c>
      <c r="AK35" s="127">
        <v>9.8000000000000007</v>
      </c>
      <c r="AL35" s="127">
        <v>9.8000000000000007</v>
      </c>
      <c r="AM35" s="127">
        <v>81</v>
      </c>
      <c r="BE35" s="124" t="str">
        <f>IFERROR(TP_DATA[[#This Row],[Bottom '[m']]]-TP_DATA[[#This Row],[D, top '[m']]], "")</f>
        <v/>
      </c>
      <c r="BF35" s="124" t="str">
        <f>IFERROR(-(TP_DATA[[#This Row],[D, bottom '[m']]]-TP_DATA[[#This Row],[D, top '[m']]])/(TP_DATA[[#This Row],[Bottom '[m']]]-TP_DATA[[#This Row],[Top '[m']]]),"")</f>
        <v/>
      </c>
      <c r="BG35" s="124" t="str">
        <f t="shared" si="1"/>
        <v/>
      </c>
      <c r="BH35" s="124" t="str">
        <f>IFERROR((TP_DATA[[#This Row],[D, bottom '[m']]]+TP_DATA[[#This Row],[D, top '[m']]])/(2*TP_DATA[[#This Row],[t '[mm']]]/1000),"")</f>
        <v/>
      </c>
      <c r="BI35" s="124" t="str">
        <f>IFERROR((TP_DATA[[#This Row],[D, bottom '[m']]]+#REF!)/(2*#REF!/1000),"")</f>
        <v/>
      </c>
      <c r="CB35" s="117"/>
      <c r="CC35" s="117"/>
      <c r="CD35" s="117"/>
      <c r="CE35" s="117"/>
      <c r="CF35" s="117"/>
      <c r="CG35" s="117"/>
      <c r="CS35" s="105">
        <v>18</v>
      </c>
      <c r="CT35" s="105">
        <v>115.44600000000001</v>
      </c>
      <c r="CU35" s="105">
        <v>114.02000000000001</v>
      </c>
      <c r="CV35" s="105">
        <v>6.2229999999999999</v>
      </c>
      <c r="CW35" s="105">
        <v>6.2240000000000002</v>
      </c>
      <c r="CX35" s="105">
        <v>23</v>
      </c>
      <c r="CY35" s="124">
        <f>IFERROR(TOWER_DATA[[#This Row],[Top '[m']]]-TOWER_DATA[[#This Row],[Bottom '[m']]], "")</f>
        <v>1.4260000000000019</v>
      </c>
      <c r="CZ35" s="124">
        <f>IFERROR(-(TOWER_DATA[[#This Row],[D, bottom '[m']]]-TOWER_DATA[[#This Row],[D, top '[m']]])/(TOWER_DATA[[#This Row],[Bottom '[m']]]-TOWER_DATA[[#This Row],[Top '[m']]]),"")</f>
        <v>7.0126227208999476E-4</v>
      </c>
      <c r="DA35" s="124">
        <f t="shared" si="0"/>
        <v>5.0152617353149624</v>
      </c>
      <c r="DB35" s="124">
        <f>IFERROR((TOWER_DATA[[#This Row],[D, bottom '[m']]]+TOWER_DATA[[#This Row],[D, top '[m']]])/(2*TOWER_DATA[[#This Row],[t '[mm']]]/1000),"")</f>
        <v>270.58695652173913</v>
      </c>
      <c r="DC35" s="124" t="str">
        <f>IFERROR((TOWER_DATA[[#This Row],[D, bottom '[m']]]+#REF!)/(2*#REF!/1000),"")</f>
        <v/>
      </c>
      <c r="DD35" s="149" t="s">
        <v>247</v>
      </c>
      <c r="DE35" s="149">
        <v>110.89999999999999</v>
      </c>
      <c r="DF35" s="149">
        <v>110.89999999999999</v>
      </c>
      <c r="DG35" s="149">
        <v>147</v>
      </c>
      <c r="DH35" s="149"/>
      <c r="DI35" s="149"/>
      <c r="DJ35" s="149"/>
      <c r="DK35" s="149"/>
      <c r="DL35" s="149"/>
      <c r="DV35" s="117">
        <v>18</v>
      </c>
      <c r="DW35" s="117">
        <v>115.44600000000001</v>
      </c>
      <c r="DX35" s="117">
        <v>114.02000000000001</v>
      </c>
      <c r="DY35" s="117">
        <v>6.2229999999999999</v>
      </c>
      <c r="DZ35" s="117">
        <v>6.2240000000000002</v>
      </c>
      <c r="EA35" s="117">
        <v>23</v>
      </c>
      <c r="EC35" s="150" t="s">
        <v>247</v>
      </c>
      <c r="ED35" s="150">
        <v>110.89999999999999</v>
      </c>
      <c r="EE35" s="150">
        <v>110.89999999999999</v>
      </c>
      <c r="EF35" s="150">
        <v>147</v>
      </c>
      <c r="EG35" s="149"/>
      <c r="EH35" s="149"/>
      <c r="EI35" s="149"/>
      <c r="EJ35" s="149"/>
      <c r="EK35" s="149"/>
      <c r="ET35" s="124"/>
      <c r="EU35" s="124"/>
    </row>
    <row r="36" spans="11:151" ht="18" hidden="1" customHeight="1" outlineLevel="1" x14ac:dyDescent="0.25">
      <c r="K36" s="105"/>
      <c r="N36" s="105"/>
      <c r="O36" s="124" t="str">
        <f>IFERROR((MP_DATA[[#This Row],[D, bottom '[m']]]+#REF!)/(2*#REF!/1000),"")</f>
        <v/>
      </c>
      <c r="AH36" s="127">
        <v>19</v>
      </c>
      <c r="AI36" s="128">
        <v>-57.7</v>
      </c>
      <c r="AJ36" s="128">
        <v>-61.2</v>
      </c>
      <c r="AK36" s="127">
        <v>9.8000000000000007</v>
      </c>
      <c r="AL36" s="127">
        <v>9.8000000000000007</v>
      </c>
      <c r="AM36" s="127">
        <v>81</v>
      </c>
      <c r="BE36" s="124" t="str">
        <f>IFERROR(TP_DATA[[#This Row],[Bottom '[m']]]-TP_DATA[[#This Row],[D, top '[m']]], "")</f>
        <v/>
      </c>
      <c r="BF36" s="124" t="str">
        <f>IFERROR(-(TP_DATA[[#This Row],[D, bottom '[m']]]-TP_DATA[[#This Row],[D, top '[m']]])/(TP_DATA[[#This Row],[Bottom '[m']]]-TP_DATA[[#This Row],[Top '[m']]]),"")</f>
        <v/>
      </c>
      <c r="BG36" s="124" t="str">
        <f t="shared" si="1"/>
        <v/>
      </c>
      <c r="BH36" s="124" t="str">
        <f>IFERROR((TP_DATA[[#This Row],[D, bottom '[m']]]+TP_DATA[[#This Row],[D, top '[m']]])/(2*TP_DATA[[#This Row],[t '[mm']]]/1000),"")</f>
        <v/>
      </c>
      <c r="BI36" s="124" t="str">
        <f>IFERROR((TP_DATA[[#This Row],[D, bottom '[m']]]+#REF!)/(2*#REF!/1000),"")</f>
        <v/>
      </c>
      <c r="CB36" s="117"/>
      <c r="CC36" s="117"/>
      <c r="CD36" s="117"/>
      <c r="CE36" s="117"/>
      <c r="CF36" s="117"/>
      <c r="CG36" s="117"/>
      <c r="CS36" s="105">
        <v>19</v>
      </c>
      <c r="CT36" s="105">
        <v>114.02000000000001</v>
      </c>
      <c r="CU36" s="105">
        <v>111.09</v>
      </c>
      <c r="CV36" s="105">
        <v>6.2240000000000002</v>
      </c>
      <c r="CW36" s="105">
        <v>6.2249999999999996</v>
      </c>
      <c r="CX36" s="105">
        <v>24</v>
      </c>
      <c r="CY36" s="124">
        <f>IFERROR(TOWER_DATA[[#This Row],[Top '[m']]]-TOWER_DATA[[#This Row],[Bottom '[m']]], "")</f>
        <v>2.9300000000000068</v>
      </c>
      <c r="CZ36" s="124">
        <f>IFERROR(-(TOWER_DATA[[#This Row],[D, bottom '[m']]]-TOWER_DATA[[#This Row],[D, top '[m']]])/(TOWER_DATA[[#This Row],[Bottom '[m']]]-TOWER_DATA[[#This Row],[Top '[m']]]),"")</f>
        <v>3.412969283274551E-4</v>
      </c>
      <c r="DA36" s="124">
        <f t="shared" si="0"/>
        <v>10.752887530560983</v>
      </c>
      <c r="DB36" s="124">
        <f>IFERROR((TOWER_DATA[[#This Row],[D, bottom '[m']]]+TOWER_DATA[[#This Row],[D, top '[m']]])/(2*TOWER_DATA[[#This Row],[t '[mm']]]/1000),"")</f>
        <v>259.35416666666669</v>
      </c>
      <c r="DC36" s="124" t="str">
        <f>IFERROR((TOWER_DATA[[#This Row],[D, bottom '[m']]]+#REF!)/(2*#REF!/1000),"")</f>
        <v/>
      </c>
      <c r="DD36" s="149" t="s">
        <v>247</v>
      </c>
      <c r="DE36" s="149">
        <v>107.22399999999999</v>
      </c>
      <c r="DF36" s="149">
        <v>107.22399999999999</v>
      </c>
      <c r="DG36" s="149">
        <v>147</v>
      </c>
      <c r="DH36" s="149"/>
      <c r="DI36" s="149"/>
      <c r="DJ36" s="149"/>
      <c r="DK36" s="149"/>
      <c r="DL36" s="149"/>
      <c r="DV36" s="117">
        <v>19</v>
      </c>
      <c r="DW36" s="117">
        <v>114.02000000000001</v>
      </c>
      <c r="DX36" s="117">
        <v>111.09</v>
      </c>
      <c r="DY36" s="117">
        <v>6.2240000000000002</v>
      </c>
      <c r="DZ36" s="117">
        <v>6.2249999999999996</v>
      </c>
      <c r="EA36" s="117">
        <v>24</v>
      </c>
      <c r="EC36" s="150" t="s">
        <v>247</v>
      </c>
      <c r="ED36" s="150">
        <v>107.22399999999999</v>
      </c>
      <c r="EE36" s="150">
        <v>107.22399999999999</v>
      </c>
      <c r="EF36" s="150">
        <v>147</v>
      </c>
      <c r="EG36" s="149"/>
      <c r="EH36" s="149"/>
      <c r="EI36" s="149"/>
      <c r="EJ36" s="149"/>
      <c r="EK36" s="149"/>
      <c r="ET36" s="124"/>
      <c r="EU36" s="124"/>
    </row>
    <row r="37" spans="11:151" ht="18" hidden="1" customHeight="1" outlineLevel="1" x14ac:dyDescent="0.25">
      <c r="K37" s="105"/>
      <c r="N37" s="105"/>
      <c r="AH37" s="127">
        <v>20</v>
      </c>
      <c r="AI37" s="128">
        <v>-61.2</v>
      </c>
      <c r="AJ37" s="128">
        <v>-64.7</v>
      </c>
      <c r="AK37" s="127">
        <v>9.8000000000000007</v>
      </c>
      <c r="AL37" s="127">
        <v>9.8000000000000007</v>
      </c>
      <c r="AM37" s="127">
        <v>81</v>
      </c>
      <c r="BE37" s="124" t="str">
        <f>IFERROR(TP_DATA[[#This Row],[Bottom '[m']]]-TP_DATA[[#This Row],[D, top '[m']]], "")</f>
        <v/>
      </c>
      <c r="BF37" s="124" t="str">
        <f>IFERROR(-(TP_DATA[[#This Row],[D, bottom '[m']]]-TP_DATA[[#This Row],[D, top '[m']]])/(TP_DATA[[#This Row],[Bottom '[m']]]-TP_DATA[[#This Row],[Top '[m']]]),"")</f>
        <v/>
      </c>
      <c r="BG37" s="124" t="str">
        <f t="shared" si="1"/>
        <v/>
      </c>
      <c r="BH37" s="124" t="str">
        <f>IFERROR((TP_DATA[[#This Row],[D, bottom '[m']]]+TP_DATA[[#This Row],[D, top '[m']]])/(2*TP_DATA[[#This Row],[t '[mm']]]/1000),"")</f>
        <v/>
      </c>
      <c r="BI37" s="124" t="str">
        <f>IFERROR((TP_DATA[[#This Row],[D, bottom '[m']]]+#REF!)/(2*#REF!/1000),"")</f>
        <v/>
      </c>
      <c r="CB37" s="117"/>
      <c r="CC37" s="117"/>
      <c r="CD37" s="117"/>
      <c r="CE37" s="117"/>
      <c r="CF37" s="117"/>
      <c r="CG37" s="117"/>
      <c r="CS37" s="105">
        <v>20</v>
      </c>
      <c r="CT37" s="105">
        <v>111.09</v>
      </c>
      <c r="CU37" s="105">
        <v>110.9</v>
      </c>
      <c r="CV37" s="105">
        <v>6.2249999999999996</v>
      </c>
      <c r="CW37" s="105">
        <v>6.2249999999999996</v>
      </c>
      <c r="CX37" s="105">
        <v>25</v>
      </c>
      <c r="CY37" s="124">
        <f>IFERROR(TOWER_DATA[[#This Row],[Top '[m']]]-TOWER_DATA[[#This Row],[Bottom '[m']]], "")</f>
        <v>0.18999999999999773</v>
      </c>
      <c r="CZ37" s="124">
        <f>IFERROR(-(TOWER_DATA[[#This Row],[D, bottom '[m']]]-TOWER_DATA[[#This Row],[D, top '[m']]])/(TOWER_DATA[[#This Row],[Bottom '[m']]]-TOWER_DATA[[#This Row],[Top '[m']]]),"")</f>
        <v>0</v>
      </c>
      <c r="DA37" s="124">
        <f t="shared" si="0"/>
        <v>0.72628124363851332</v>
      </c>
      <c r="DB37" s="124">
        <f>IFERROR((TOWER_DATA[[#This Row],[D, bottom '[m']]]+TOWER_DATA[[#This Row],[D, top '[m']]])/(2*TOWER_DATA[[#This Row],[t '[mm']]]/1000),"")</f>
        <v>248.99999999999997</v>
      </c>
      <c r="DC37" s="124" t="str">
        <f>IFERROR((TOWER_DATA[[#This Row],[D, bottom '[m']]]+#REF!)/(2*#REF!/1000),"")</f>
        <v/>
      </c>
      <c r="DD37" s="149" t="s">
        <v>247</v>
      </c>
      <c r="DE37" s="149">
        <v>102.3</v>
      </c>
      <c r="DF37" s="149">
        <v>102.3</v>
      </c>
      <c r="DG37" s="149">
        <v>147</v>
      </c>
      <c r="DH37" s="149"/>
      <c r="DI37" s="149"/>
      <c r="DJ37" s="149"/>
      <c r="DK37" s="149"/>
      <c r="DL37" s="149"/>
      <c r="DV37" s="117">
        <v>20</v>
      </c>
      <c r="DW37" s="117">
        <v>111.09</v>
      </c>
      <c r="DX37" s="117">
        <v>110.9</v>
      </c>
      <c r="DY37" s="117">
        <v>6.2249999999999996</v>
      </c>
      <c r="DZ37" s="117">
        <v>6.2249999999999996</v>
      </c>
      <c r="EA37" s="117">
        <v>25</v>
      </c>
      <c r="EC37" s="150" t="s">
        <v>247</v>
      </c>
      <c r="ED37" s="150">
        <v>102.3</v>
      </c>
      <c r="EE37" s="150">
        <v>102.3</v>
      </c>
      <c r="EF37" s="150">
        <v>147</v>
      </c>
      <c r="EG37" s="149"/>
      <c r="EH37" s="149"/>
      <c r="EI37" s="149"/>
      <c r="EJ37" s="149"/>
      <c r="EK37" s="149"/>
      <c r="ET37" s="124"/>
      <c r="EU37" s="124"/>
    </row>
    <row r="38" spans="11:151" ht="18" hidden="1" customHeight="1" outlineLevel="1" x14ac:dyDescent="0.25">
      <c r="K38" s="105"/>
      <c r="N38" s="105"/>
      <c r="AH38" s="127">
        <v>21</v>
      </c>
      <c r="AI38" s="128">
        <v>-64.7</v>
      </c>
      <c r="AJ38" s="128">
        <v>-68.2</v>
      </c>
      <c r="AK38" s="127">
        <v>9.8000000000000007</v>
      </c>
      <c r="AL38" s="127">
        <v>9.8000000000000007</v>
      </c>
      <c r="AM38" s="127">
        <v>87</v>
      </c>
      <c r="BE38" s="124" t="str">
        <f>IFERROR(TP_DATA[[#This Row],[Bottom '[m']]]-TP_DATA[[#This Row],[D, top '[m']]], "")</f>
        <v/>
      </c>
      <c r="BF38" s="124" t="str">
        <f>IFERROR(-(TP_DATA[[#This Row],[D, bottom '[m']]]-TP_DATA[[#This Row],[D, top '[m']]])/(TP_DATA[[#This Row],[Bottom '[m']]]-TP_DATA[[#This Row],[Top '[m']]]),"")</f>
        <v/>
      </c>
      <c r="BG38" s="124" t="str">
        <f t="shared" si="1"/>
        <v/>
      </c>
      <c r="BH38" s="124" t="str">
        <f>IFERROR((TP_DATA[[#This Row],[D, bottom '[m']]]+TP_DATA[[#This Row],[D, top '[m']]])/(2*TP_DATA[[#This Row],[t '[mm']]]/1000),"")</f>
        <v/>
      </c>
      <c r="BI38" s="124" t="str">
        <f>IFERROR((TP_DATA[[#This Row],[D, bottom '[m']]]+#REF!)/(2*#REF!/1000),"")</f>
        <v/>
      </c>
      <c r="CB38" s="117"/>
      <c r="CC38" s="117"/>
      <c r="CD38" s="117"/>
      <c r="CE38" s="117"/>
      <c r="CF38" s="117"/>
      <c r="CG38" s="117"/>
      <c r="CS38" s="105">
        <v>21</v>
      </c>
      <c r="CT38" s="105">
        <v>110.9</v>
      </c>
      <c r="CU38" s="105">
        <v>108.16000000000001</v>
      </c>
      <c r="CV38" s="105">
        <v>6.2249999999999996</v>
      </c>
      <c r="CW38" s="105">
        <v>6.226</v>
      </c>
      <c r="CX38" s="105">
        <v>25</v>
      </c>
      <c r="CY38" s="124">
        <f>IFERROR(TOWER_DATA[[#This Row],[Top '[m']]]-TOWER_DATA[[#This Row],[Bottom '[m']]], "")</f>
        <v>2.7399999999999949</v>
      </c>
      <c r="CZ38" s="124">
        <f>IFERROR(-(TOWER_DATA[[#This Row],[D, bottom '[m']]]-TOWER_DATA[[#This Row],[D, top '[m']]])/(TOWER_DATA[[#This Row],[Bottom '[m']]]-TOWER_DATA[[#This Row],[Top '[m']]]),"")</f>
        <v>3.6496350364975758E-4</v>
      </c>
      <c r="DA38" s="124">
        <f t="shared" si="0"/>
        <v>10.474584696294533</v>
      </c>
      <c r="DB38" s="124">
        <f>IFERROR((TOWER_DATA[[#This Row],[D, bottom '[m']]]+TOWER_DATA[[#This Row],[D, top '[m']]])/(2*TOWER_DATA[[#This Row],[t '[mm']]]/1000),"")</f>
        <v>249.02</v>
      </c>
      <c r="DC38" s="124" t="str">
        <f>IFERROR((TOWER_DATA[[#This Row],[D, bottom '[m']]]+#REF!)/(2*#REF!/1000),"")</f>
        <v/>
      </c>
      <c r="DD38" s="149" t="s">
        <v>247</v>
      </c>
      <c r="DE38" s="149">
        <v>102.25999999999999</v>
      </c>
      <c r="DF38" s="149">
        <v>102.25999999999999</v>
      </c>
      <c r="DG38" s="149">
        <v>5610</v>
      </c>
      <c r="DH38" s="149"/>
      <c r="DI38" s="149"/>
      <c r="DJ38" s="149"/>
      <c r="DK38" s="149"/>
      <c r="DL38" s="149"/>
      <c r="DV38" s="117">
        <v>21</v>
      </c>
      <c r="DW38" s="117">
        <v>110.9</v>
      </c>
      <c r="DX38" s="117">
        <v>108.16000000000001</v>
      </c>
      <c r="DY38" s="117">
        <v>6.2249999999999996</v>
      </c>
      <c r="DZ38" s="117">
        <v>6.226</v>
      </c>
      <c r="EA38" s="117">
        <v>25</v>
      </c>
      <c r="EC38" s="150" t="s">
        <v>247</v>
      </c>
      <c r="ED38" s="150">
        <v>102.25999999999999</v>
      </c>
      <c r="EE38" s="150">
        <v>102.25999999999999</v>
      </c>
      <c r="EF38" s="150">
        <v>5610</v>
      </c>
      <c r="EG38" s="149"/>
      <c r="EH38" s="149"/>
      <c r="EI38" s="149"/>
      <c r="EJ38" s="149"/>
      <c r="EK38" s="149"/>
      <c r="ET38" s="124"/>
      <c r="EU38" s="124"/>
    </row>
    <row r="39" spans="11:151" ht="18" hidden="1" customHeight="1" outlineLevel="1" x14ac:dyDescent="0.25">
      <c r="K39" s="105"/>
      <c r="N39" s="105"/>
      <c r="AH39" s="127">
        <v>22</v>
      </c>
      <c r="AI39" s="128">
        <v>-68.2</v>
      </c>
      <c r="AJ39" s="128">
        <v>-71.52</v>
      </c>
      <c r="AK39" s="127">
        <v>9.8000000000000007</v>
      </c>
      <c r="AL39" s="127">
        <v>9.8000000000000007</v>
      </c>
      <c r="AM39" s="127">
        <v>95</v>
      </c>
      <c r="BE39" s="124" t="str">
        <f>IFERROR(TP_DATA[[#This Row],[Bottom '[m']]]-TP_DATA[[#This Row],[D, top '[m']]], "")</f>
        <v/>
      </c>
      <c r="BF39" s="124" t="str">
        <f>IFERROR(-(TP_DATA[[#This Row],[D, bottom '[m']]]-TP_DATA[[#This Row],[D, top '[m']]])/(TP_DATA[[#This Row],[Bottom '[m']]]-TP_DATA[[#This Row],[Top '[m']]]),"")</f>
        <v/>
      </c>
      <c r="BG39" s="124" t="str">
        <f t="shared" si="1"/>
        <v/>
      </c>
      <c r="BH39" s="124" t="str">
        <f>IFERROR((TP_DATA[[#This Row],[D, bottom '[m']]]+TP_DATA[[#This Row],[D, top '[m']]])/(2*TP_DATA[[#This Row],[t '[mm']]]/1000),"")</f>
        <v/>
      </c>
      <c r="BI39" s="124" t="str">
        <f>IFERROR((TP_DATA[[#This Row],[D, bottom '[m']]]+#REF!)/(2*#REF!/1000),"")</f>
        <v/>
      </c>
      <c r="CB39" s="117"/>
      <c r="CC39" s="117"/>
      <c r="CD39" s="117"/>
      <c r="CE39" s="117"/>
      <c r="CF39" s="117"/>
      <c r="CG39" s="117"/>
      <c r="CS39" s="105">
        <v>22</v>
      </c>
      <c r="CT39" s="105">
        <v>108.16000000000001</v>
      </c>
      <c r="CU39" s="105">
        <v>107.224</v>
      </c>
      <c r="CV39" s="105">
        <v>6.226</v>
      </c>
      <c r="CW39" s="105">
        <v>6.226</v>
      </c>
      <c r="CX39" s="105">
        <v>26</v>
      </c>
      <c r="CY39" s="124">
        <f>IFERROR(TOWER_DATA[[#This Row],[Top '[m']]]-TOWER_DATA[[#This Row],[Bottom '[m']]], "")</f>
        <v>0.93600000000000705</v>
      </c>
      <c r="CZ39" s="124">
        <f>IFERROR(-(TOWER_DATA[[#This Row],[D, bottom '[m']]]-TOWER_DATA[[#This Row],[D, top '[m']]])/(TOWER_DATA[[#This Row],[Bottom '[m']]]-TOWER_DATA[[#This Row],[Top '[m']]]),"")</f>
        <v>0</v>
      </c>
      <c r="DA39" s="124">
        <f t="shared" si="0"/>
        <v>3.7210063884604585</v>
      </c>
      <c r="DB39" s="124">
        <f>IFERROR((TOWER_DATA[[#This Row],[D, bottom '[m']]]+TOWER_DATA[[#This Row],[D, top '[m']]])/(2*TOWER_DATA[[#This Row],[t '[mm']]]/1000),"")</f>
        <v>239.46153846153848</v>
      </c>
      <c r="DC39" s="124" t="str">
        <f>IFERROR((TOWER_DATA[[#This Row],[D, bottom '[m']]]+#REF!)/(2*#REF!/1000),"")</f>
        <v/>
      </c>
      <c r="DD39" s="149" t="s">
        <v>247</v>
      </c>
      <c r="DE39" s="149">
        <v>102.1</v>
      </c>
      <c r="DF39" s="149">
        <v>102.1</v>
      </c>
      <c r="DG39" s="149">
        <v>8160</v>
      </c>
      <c r="DH39" s="149"/>
      <c r="DI39" s="149"/>
      <c r="DJ39" s="149"/>
      <c r="DK39" s="149"/>
      <c r="DL39" s="149"/>
      <c r="DV39" s="117">
        <v>22</v>
      </c>
      <c r="DW39" s="117">
        <v>108.16000000000001</v>
      </c>
      <c r="DX39" s="117">
        <v>107.224</v>
      </c>
      <c r="DY39" s="117">
        <v>6.226</v>
      </c>
      <c r="DZ39" s="117">
        <v>6.226</v>
      </c>
      <c r="EA39" s="117">
        <v>26</v>
      </c>
      <c r="EC39" s="150" t="s">
        <v>247</v>
      </c>
      <c r="ED39" s="150">
        <v>102.1</v>
      </c>
      <c r="EE39" s="150">
        <v>102.1</v>
      </c>
      <c r="EF39" s="150">
        <v>8160</v>
      </c>
      <c r="EG39" s="149"/>
      <c r="EH39" s="149"/>
      <c r="EI39" s="149"/>
      <c r="EJ39" s="149"/>
      <c r="EK39" s="149"/>
      <c r="ET39" s="124"/>
      <c r="EU39" s="124"/>
    </row>
    <row r="40" spans="11:151" ht="18" hidden="1" customHeight="1" outlineLevel="1" x14ac:dyDescent="0.25">
      <c r="K40" s="105"/>
      <c r="N40" s="105"/>
      <c r="AH40" s="127"/>
      <c r="AI40" s="128"/>
      <c r="AJ40" s="128"/>
      <c r="AK40" s="127"/>
      <c r="AL40" s="127"/>
      <c r="AM40" s="127"/>
      <c r="BE40" s="124" t="str">
        <f>IFERROR(TP_DATA[[#This Row],[Bottom '[m']]]-TP_DATA[[#This Row],[D, top '[m']]], "")</f>
        <v/>
      </c>
      <c r="BF40" s="124" t="str">
        <f>IFERROR(-(TP_DATA[[#This Row],[D, bottom '[m']]]-TP_DATA[[#This Row],[D, top '[m']]])/(TP_DATA[[#This Row],[Bottom '[m']]]-TP_DATA[[#This Row],[Top '[m']]]),"")</f>
        <v/>
      </c>
      <c r="BG40" s="124" t="str">
        <f t="shared" si="1"/>
        <v/>
      </c>
      <c r="BH40" s="124" t="str">
        <f>IFERROR((TP_DATA[[#This Row],[D, bottom '[m']]]+TP_DATA[[#This Row],[D, top '[m']]])/(2*TP_DATA[[#This Row],[t '[mm']]]/1000),"")</f>
        <v/>
      </c>
      <c r="BI40" s="124" t="str">
        <f>IFERROR((TP_DATA[[#This Row],[D, bottom '[m']]]+#REF!)/(2*#REF!/1000),"")</f>
        <v/>
      </c>
      <c r="CB40" s="117"/>
      <c r="CC40" s="117"/>
      <c r="CD40" s="117"/>
      <c r="CE40" s="117"/>
      <c r="CF40" s="117"/>
      <c r="CG40" s="117"/>
      <c r="CS40" s="105">
        <v>23</v>
      </c>
      <c r="CT40" s="105">
        <v>107.224</v>
      </c>
      <c r="CU40" s="105">
        <v>105.23</v>
      </c>
      <c r="CV40" s="105">
        <v>6.226</v>
      </c>
      <c r="CW40" s="105">
        <v>6.226</v>
      </c>
      <c r="CX40" s="105">
        <v>26</v>
      </c>
      <c r="CY40" s="124">
        <f>IFERROR(TOWER_DATA[[#This Row],[Top '[m']]]-TOWER_DATA[[#This Row],[Bottom '[m']]], "")</f>
        <v>1.9939999999999998</v>
      </c>
      <c r="CZ40" s="124">
        <f>IFERROR(-(TOWER_DATA[[#This Row],[D, bottom '[m']]]-TOWER_DATA[[#This Row],[D, top '[m']]])/(TOWER_DATA[[#This Row],[Bottom '[m']]]-TOWER_DATA[[#This Row],[Top '[m']]]),"")</f>
        <v>0</v>
      </c>
      <c r="DA40" s="124">
        <f t="shared" si="0"/>
        <v>7.9270157463569424</v>
      </c>
      <c r="DB40" s="124">
        <f>IFERROR((TOWER_DATA[[#This Row],[D, bottom '[m']]]+TOWER_DATA[[#This Row],[D, top '[m']]])/(2*TOWER_DATA[[#This Row],[t '[mm']]]/1000),"")</f>
        <v>239.46153846153848</v>
      </c>
      <c r="DC40" s="124" t="str">
        <f>IFERROR((TOWER_DATA[[#This Row],[D, bottom '[m']]]+#REF!)/(2*#REF!/1000),"")</f>
        <v/>
      </c>
      <c r="DD40" s="149" t="s">
        <v>247</v>
      </c>
      <c r="DE40" s="149">
        <v>101.94</v>
      </c>
      <c r="DF40" s="149">
        <v>101.94</v>
      </c>
      <c r="DG40" s="149">
        <v>5</v>
      </c>
      <c r="DH40" s="149"/>
      <c r="DI40" s="149"/>
      <c r="DJ40" s="149"/>
      <c r="DK40" s="149"/>
      <c r="DL40" s="149"/>
      <c r="DV40" s="117">
        <v>23</v>
      </c>
      <c r="DW40" s="117">
        <v>107.224</v>
      </c>
      <c r="DX40" s="117">
        <v>105.23</v>
      </c>
      <c r="DY40" s="117">
        <v>6.226</v>
      </c>
      <c r="DZ40" s="117">
        <v>6.226</v>
      </c>
      <c r="EA40" s="117">
        <v>26</v>
      </c>
      <c r="EC40" s="150" t="s">
        <v>247</v>
      </c>
      <c r="ED40" s="150">
        <v>101.94</v>
      </c>
      <c r="EE40" s="150">
        <v>101.94</v>
      </c>
      <c r="EF40" s="150">
        <v>5</v>
      </c>
      <c r="EG40" s="149"/>
      <c r="EH40" s="149"/>
      <c r="EI40" s="149"/>
      <c r="EJ40" s="149"/>
      <c r="EK40" s="149"/>
      <c r="ET40" s="124"/>
      <c r="EU40" s="124"/>
    </row>
    <row r="41" spans="11:151" ht="18" hidden="1" customHeight="1" outlineLevel="1" x14ac:dyDescent="0.25">
      <c r="K41" s="105"/>
      <c r="N41" s="105"/>
      <c r="O41" s="124" t="str">
        <f>IFERROR((MP_DATA[[#This Row],[D, bottom '[m']]]+#REF!)/(2*#REF!/1000),"")</f>
        <v/>
      </c>
      <c r="AH41" s="86"/>
      <c r="AI41" s="88"/>
      <c r="AJ41" s="88"/>
      <c r="AK41" s="86"/>
      <c r="AL41" s="86"/>
      <c r="AM41" s="86"/>
      <c r="BE41" s="124" t="str">
        <f>IFERROR(TP_DATA[[#This Row],[Bottom '[m']]]-TP_DATA[[#This Row],[D, top '[m']]], "")</f>
        <v/>
      </c>
      <c r="BF41" s="124" t="str">
        <f>IFERROR(-(TP_DATA[[#This Row],[D, bottom '[m']]]-TP_DATA[[#This Row],[D, top '[m']]])/(TP_DATA[[#This Row],[Bottom '[m']]]-TP_DATA[[#This Row],[Top '[m']]]),"")</f>
        <v/>
      </c>
      <c r="BG41" s="124" t="str">
        <f t="shared" si="1"/>
        <v/>
      </c>
      <c r="BH41" s="124" t="str">
        <f>IFERROR((TP_DATA[[#This Row],[D, bottom '[m']]]+TP_DATA[[#This Row],[D, top '[m']]])/(2*TP_DATA[[#This Row],[t '[mm']]]/1000),"")</f>
        <v/>
      </c>
      <c r="BI41" s="124" t="str">
        <f>IFERROR((TP_DATA[[#This Row],[D, bottom '[m']]]+#REF!)/(2*#REF!/1000),"")</f>
        <v/>
      </c>
      <c r="CB41" s="117"/>
      <c r="CC41" s="117"/>
      <c r="CD41" s="117"/>
      <c r="CE41" s="117"/>
      <c r="CF41" s="117"/>
      <c r="CG41" s="117"/>
      <c r="CS41" s="105">
        <v>24</v>
      </c>
      <c r="CT41" s="105">
        <v>105.23</v>
      </c>
      <c r="CU41" s="105">
        <v>102.30000000000001</v>
      </c>
      <c r="CV41" s="105">
        <v>6.226</v>
      </c>
      <c r="CW41" s="105">
        <v>6.2279999999999998</v>
      </c>
      <c r="CX41" s="105">
        <v>26</v>
      </c>
      <c r="CY41" s="124">
        <f>IFERROR(TOWER_DATA[[#This Row],[Top '[m']]]-TOWER_DATA[[#This Row],[Bottom '[m']]], "")</f>
        <v>2.9299999999999926</v>
      </c>
      <c r="CZ41" s="124">
        <f>IFERROR(-(TOWER_DATA[[#This Row],[D, bottom '[m']]]-TOWER_DATA[[#This Row],[D, top '[m']]])/(TOWER_DATA[[#This Row],[Bottom '[m']]]-TOWER_DATA[[#This Row],[Top '[m']]]),"")</f>
        <v>6.825938566552166E-4</v>
      </c>
      <c r="DA41" s="124">
        <f t="shared" si="0"/>
        <v>11.64990084806473</v>
      </c>
      <c r="DB41" s="124">
        <f>IFERROR((TOWER_DATA[[#This Row],[D, bottom '[m']]]+TOWER_DATA[[#This Row],[D, top '[m']]])/(2*TOWER_DATA[[#This Row],[t '[mm']]]/1000),"")</f>
        <v>239.50000000000003</v>
      </c>
      <c r="DC41" s="124" t="str">
        <f>IFERROR((TOWER_DATA[[#This Row],[D, bottom '[m']]]+#REF!)/(2*#REF!/1000),"")</f>
        <v/>
      </c>
      <c r="DD41" s="149" t="s">
        <v>247</v>
      </c>
      <c r="DE41" s="149">
        <v>101.89999999999999</v>
      </c>
      <c r="DF41" s="149">
        <v>101.89999999999999</v>
      </c>
      <c r="DG41" s="149">
        <v>1</v>
      </c>
      <c r="DH41" s="149"/>
      <c r="DI41" s="149"/>
      <c r="DJ41" s="149"/>
      <c r="DK41" s="149"/>
      <c r="DL41" s="149"/>
      <c r="DV41" s="117">
        <v>24</v>
      </c>
      <c r="DW41" s="117">
        <v>105.23</v>
      </c>
      <c r="DX41" s="117">
        <v>102.30000000000001</v>
      </c>
      <c r="DY41" s="117">
        <v>6.226</v>
      </c>
      <c r="DZ41" s="117">
        <v>6.2279999999999998</v>
      </c>
      <c r="EA41" s="117">
        <v>26</v>
      </c>
      <c r="EC41" s="150" t="s">
        <v>247</v>
      </c>
      <c r="ED41" s="150">
        <v>101.89999999999999</v>
      </c>
      <c r="EE41" s="150">
        <v>101.89999999999999</v>
      </c>
      <c r="EF41" s="150">
        <v>1</v>
      </c>
      <c r="EG41" s="149"/>
      <c r="EH41" s="149"/>
      <c r="EI41" s="149"/>
      <c r="EJ41" s="149"/>
      <c r="EK41" s="149"/>
      <c r="ET41" s="124"/>
      <c r="EU41" s="124"/>
    </row>
    <row r="42" spans="11:151" ht="18" hidden="1" customHeight="1" outlineLevel="1" x14ac:dyDescent="0.25">
      <c r="K42" s="105"/>
      <c r="N42" s="105"/>
      <c r="O42" s="124" t="str">
        <f>IFERROR((MP_DATA[[#This Row],[D, bottom '[m']]]+#REF!)/(2*#REF!/1000),"")</f>
        <v/>
      </c>
      <c r="AH42" s="86"/>
      <c r="AI42" s="88"/>
      <c r="AJ42" s="88"/>
      <c r="AK42" s="86"/>
      <c r="AL42" s="86"/>
      <c r="AM42" s="86"/>
      <c r="BE42" s="124" t="str">
        <f>IFERROR(TP_DATA[[#This Row],[Bottom '[m']]]-TP_DATA[[#This Row],[D, top '[m']]], "")</f>
        <v/>
      </c>
      <c r="BF42" s="124" t="str">
        <f>IFERROR(-(TP_DATA[[#This Row],[D, bottom '[m']]]-TP_DATA[[#This Row],[D, top '[m']]])/(TP_DATA[[#This Row],[Bottom '[m']]]-TP_DATA[[#This Row],[Top '[m']]]),"")</f>
        <v/>
      </c>
      <c r="BG42" s="124" t="str">
        <f t="shared" si="1"/>
        <v/>
      </c>
      <c r="BH42" s="124" t="str">
        <f>IFERROR((TP_DATA[[#This Row],[D, bottom '[m']]]+TP_DATA[[#This Row],[D, top '[m']]])/(2*TP_DATA[[#This Row],[t '[mm']]]/1000),"")</f>
        <v/>
      </c>
      <c r="BI42" s="124" t="str">
        <f>IFERROR((TP_DATA[[#This Row],[D, bottom '[m']]]+#REF!)/(2*#REF!/1000),"")</f>
        <v/>
      </c>
      <c r="CB42" s="117"/>
      <c r="CC42" s="117"/>
      <c r="CD42" s="117"/>
      <c r="CE42" s="117"/>
      <c r="CF42" s="117"/>
      <c r="CG42" s="117"/>
      <c r="CS42" s="105">
        <v>25</v>
      </c>
      <c r="CT42" s="105">
        <v>102.30000000000001</v>
      </c>
      <c r="CU42" s="105">
        <v>102.26</v>
      </c>
      <c r="CV42" s="105">
        <v>6.2279999999999998</v>
      </c>
      <c r="CW42" s="105">
        <v>6.2279999999999998</v>
      </c>
      <c r="CX42" s="105">
        <v>28</v>
      </c>
      <c r="CY42" s="124">
        <f>IFERROR(TOWER_DATA[[#This Row],[Top '[m']]]-TOWER_DATA[[#This Row],[Bottom '[m']]], "")</f>
        <v>4.0000000000006253E-2</v>
      </c>
      <c r="CZ42" s="124">
        <f>IFERROR(-(TOWER_DATA[[#This Row],[D, bottom '[m']]]-TOWER_DATA[[#This Row],[D, top '[m']]])/(TOWER_DATA[[#This Row],[Bottom '[m']]]-TOWER_DATA[[#This Row],[Top '[m']]]),"")</f>
        <v>0</v>
      </c>
      <c r="DA42" s="124">
        <f t="shared" si="0"/>
        <v>0.17124947218426703</v>
      </c>
      <c r="DB42" s="124">
        <f>IFERROR((TOWER_DATA[[#This Row],[D, bottom '[m']]]+TOWER_DATA[[#This Row],[D, top '[m']]])/(2*TOWER_DATA[[#This Row],[t '[mm']]]/1000),"")</f>
        <v>222.42857142857142</v>
      </c>
      <c r="DC42" s="124" t="str">
        <f>IFERROR((TOWER_DATA[[#This Row],[D, bottom '[m']]]+#REF!)/(2*#REF!/1000),"")</f>
        <v/>
      </c>
      <c r="DD42" s="149" t="s">
        <v>247</v>
      </c>
      <c r="DE42" s="149">
        <v>100.89999999999999</v>
      </c>
      <c r="DF42" s="149">
        <v>100.89999999999999</v>
      </c>
      <c r="DG42" s="149">
        <v>1003</v>
      </c>
      <c r="DH42" s="149"/>
      <c r="DI42" s="149"/>
      <c r="DJ42" s="149"/>
      <c r="DK42" s="149"/>
      <c r="DL42" s="149"/>
      <c r="DV42" s="117">
        <v>25</v>
      </c>
      <c r="DW42" s="117">
        <v>102.30000000000001</v>
      </c>
      <c r="DX42" s="117">
        <v>102.26</v>
      </c>
      <c r="DY42" s="117">
        <v>6.2279999999999998</v>
      </c>
      <c r="DZ42" s="117">
        <v>6.2279999999999998</v>
      </c>
      <c r="EA42" s="117">
        <v>28</v>
      </c>
      <c r="EC42" s="150" t="s">
        <v>247</v>
      </c>
      <c r="ED42" s="150">
        <v>100.89999999999999</v>
      </c>
      <c r="EE42" s="150">
        <v>100.89999999999999</v>
      </c>
      <c r="EF42" s="150">
        <v>1003</v>
      </c>
      <c r="EG42" s="149"/>
      <c r="EH42" s="149"/>
      <c r="EI42" s="149"/>
      <c r="EJ42" s="149"/>
      <c r="EK42" s="149"/>
      <c r="ET42" s="124"/>
      <c r="EU42" s="124"/>
    </row>
    <row r="43" spans="11:151" ht="18" hidden="1" customHeight="1" outlineLevel="1" x14ac:dyDescent="0.25">
      <c r="K43" s="105"/>
      <c r="N43" s="105"/>
      <c r="O43" s="124" t="str">
        <f>IFERROR((MP_DATA[[#This Row],[D, bottom '[m']]]+#REF!)/(2*#REF!/1000),"")</f>
        <v/>
      </c>
      <c r="BE43" s="124" t="str">
        <f>IFERROR(TP_DATA[[#This Row],[Bottom '[m']]]-TP_DATA[[#This Row],[D, top '[m']]], "")</f>
        <v/>
      </c>
      <c r="BF43" s="124" t="str">
        <f>IFERROR(-(TP_DATA[[#This Row],[D, bottom '[m']]]-TP_DATA[[#This Row],[D, top '[m']]])/(TP_DATA[[#This Row],[Bottom '[m']]]-TP_DATA[[#This Row],[Top '[m']]]),"")</f>
        <v/>
      </c>
      <c r="BG43" s="124" t="str">
        <f t="shared" si="1"/>
        <v/>
      </c>
      <c r="BH43" s="124" t="str">
        <f>IFERROR((TP_DATA[[#This Row],[D, bottom '[m']]]+TP_DATA[[#This Row],[D, top '[m']]])/(2*TP_DATA[[#This Row],[t '[mm']]]/1000),"")</f>
        <v/>
      </c>
      <c r="BI43" s="124" t="str">
        <f>IFERROR((TP_DATA[[#This Row],[D, bottom '[m']]]+#REF!)/(2*#REF!/1000),"")</f>
        <v/>
      </c>
      <c r="CS43" s="105">
        <v>26</v>
      </c>
      <c r="CT43" s="105">
        <v>102.26</v>
      </c>
      <c r="CU43" s="105">
        <v>102.10000000000001</v>
      </c>
      <c r="CV43" s="105">
        <v>6.2279999999999998</v>
      </c>
      <c r="CW43" s="105">
        <v>6.2279999999999998</v>
      </c>
      <c r="CX43" s="105">
        <v>28</v>
      </c>
      <c r="CY43" s="124">
        <f>IFERROR(TOWER_DATA[[#This Row],[Top '[m']]]-TOWER_DATA[[#This Row],[Bottom '[m']]], "")</f>
        <v>0.15999999999999659</v>
      </c>
      <c r="CZ43" s="124">
        <f>IFERROR(-(TOWER_DATA[[#This Row],[D, bottom '[m']]]-TOWER_DATA[[#This Row],[D, top '[m']]])/(TOWER_DATA[[#This Row],[Bottom '[m']]]-TOWER_DATA[[#This Row],[Top '[m']]]),"")</f>
        <v>0</v>
      </c>
      <c r="DA43" s="124">
        <f t="shared" si="0"/>
        <v>0.68499788873694645</v>
      </c>
      <c r="DB43" s="124">
        <f>IFERROR((TOWER_DATA[[#This Row],[D, bottom '[m']]]+TOWER_DATA[[#This Row],[D, top '[m']]])/(2*TOWER_DATA[[#This Row],[t '[mm']]]/1000),"")</f>
        <v>222.42857142857142</v>
      </c>
      <c r="DC43" s="124" t="str">
        <f>IFERROR((TOWER_DATA[[#This Row],[D, bottom '[m']]]+#REF!)/(2*#REF!/1000),"")</f>
        <v/>
      </c>
      <c r="DD43" s="149" t="s">
        <v>247</v>
      </c>
      <c r="DE43" s="149">
        <v>99.002999999999986</v>
      </c>
      <c r="DF43" s="149">
        <v>99.002999999999986</v>
      </c>
      <c r="DG43" s="149">
        <v>137</v>
      </c>
      <c r="DH43" s="149"/>
      <c r="DI43" s="149"/>
      <c r="DJ43" s="149"/>
      <c r="DK43" s="149"/>
      <c r="DL43" s="149"/>
      <c r="DV43" s="117">
        <v>26</v>
      </c>
      <c r="DW43" s="117">
        <v>102.26</v>
      </c>
      <c r="DX43" s="117">
        <v>102.10000000000001</v>
      </c>
      <c r="DY43" s="117">
        <v>6.2279999999999998</v>
      </c>
      <c r="DZ43" s="117">
        <v>6.2279999999999998</v>
      </c>
      <c r="EA43" s="117">
        <v>28</v>
      </c>
      <c r="EC43" s="150" t="s">
        <v>247</v>
      </c>
      <c r="ED43" s="150">
        <v>99.002999999999986</v>
      </c>
      <c r="EE43" s="150">
        <v>99.002999999999986</v>
      </c>
      <c r="EF43" s="150">
        <v>137</v>
      </c>
      <c r="EG43" s="149"/>
      <c r="EH43" s="149"/>
      <c r="EI43" s="149"/>
      <c r="EJ43" s="149"/>
      <c r="EK43" s="149"/>
      <c r="ET43" s="124"/>
      <c r="EU43" s="124"/>
    </row>
    <row r="44" spans="11:151" ht="18" hidden="1" customHeight="1" outlineLevel="1" x14ac:dyDescent="0.25">
      <c r="K44" s="105"/>
      <c r="N44" s="105"/>
      <c r="O44" s="124" t="str">
        <f>IFERROR((MP_DATA[[#This Row],[D, bottom '[m']]]+#REF!)/(2*#REF!/1000),"")</f>
        <v/>
      </c>
      <c r="BE44" s="124" t="str">
        <f>IFERROR(TP_DATA[[#This Row],[Bottom '[m']]]-TP_DATA[[#This Row],[D, top '[m']]], "")</f>
        <v/>
      </c>
      <c r="BF44" s="124" t="str">
        <f>IFERROR(-(TP_DATA[[#This Row],[D, bottom '[m']]]-TP_DATA[[#This Row],[D, top '[m']]])/(TP_DATA[[#This Row],[Bottom '[m']]]-TP_DATA[[#This Row],[Top '[m']]]),"")</f>
        <v/>
      </c>
      <c r="BG44" s="124" t="str">
        <f t="shared" si="1"/>
        <v/>
      </c>
      <c r="BH44" s="124" t="str">
        <f>IFERROR((TP_DATA[[#This Row],[D, bottom '[m']]]+TP_DATA[[#This Row],[D, top '[m']]])/(2*TP_DATA[[#This Row],[t '[mm']]]/1000),"")</f>
        <v/>
      </c>
      <c r="BI44" s="124" t="str">
        <f>IFERROR((TP_DATA[[#This Row],[D, bottom '[m']]]+#REF!)/(2*#REF!/1000),"")</f>
        <v/>
      </c>
      <c r="CS44" s="105">
        <v>27</v>
      </c>
      <c r="CT44" s="105">
        <v>102.10000000000001</v>
      </c>
      <c r="CU44" s="105">
        <v>101.94000000000001</v>
      </c>
      <c r="CV44" s="105">
        <v>6.2279999999999998</v>
      </c>
      <c r="CW44" s="105">
        <v>6.2279999999999998</v>
      </c>
      <c r="CX44" s="105">
        <v>28</v>
      </c>
      <c r="CY44" s="124">
        <f>IFERROR(TOWER_DATA[[#This Row],[Top '[m']]]-TOWER_DATA[[#This Row],[Bottom '[m']]], "")</f>
        <v>0.15999999999999659</v>
      </c>
      <c r="CZ44" s="124">
        <f>IFERROR(-(TOWER_DATA[[#This Row],[D, bottom '[m']]]-TOWER_DATA[[#This Row],[D, top '[m']]])/(TOWER_DATA[[#This Row],[Bottom '[m']]]-TOWER_DATA[[#This Row],[Top '[m']]]),"")</f>
        <v>0</v>
      </c>
      <c r="DA44" s="124">
        <f t="shared" si="0"/>
        <v>0.68499788873694645</v>
      </c>
      <c r="DB44" s="124">
        <f>IFERROR((TOWER_DATA[[#This Row],[D, bottom '[m']]]+TOWER_DATA[[#This Row],[D, top '[m']]])/(2*TOWER_DATA[[#This Row],[t '[mm']]]/1000),"")</f>
        <v>222.42857142857142</v>
      </c>
      <c r="DC44" s="124" t="str">
        <f>IFERROR((TOWER_DATA[[#This Row],[D, bottom '[m']]]+#REF!)/(2*#REF!/1000),"")</f>
        <v/>
      </c>
      <c r="DD44" s="149" t="s">
        <v>247</v>
      </c>
      <c r="DE44" s="149">
        <v>94.891999999999996</v>
      </c>
      <c r="DF44" s="149">
        <v>94.891999999999996</v>
      </c>
      <c r="DG44" s="149">
        <v>138</v>
      </c>
      <c r="DH44" s="149"/>
      <c r="DI44" s="149"/>
      <c r="DJ44" s="149"/>
      <c r="DK44" s="149"/>
      <c r="DL44" s="149"/>
      <c r="DV44" s="117">
        <v>27</v>
      </c>
      <c r="DW44" s="117">
        <v>102.10000000000001</v>
      </c>
      <c r="DX44" s="117">
        <v>101.94000000000001</v>
      </c>
      <c r="DY44" s="117">
        <v>6.2279999999999998</v>
      </c>
      <c r="DZ44" s="117">
        <v>6.2279999999999998</v>
      </c>
      <c r="EA44" s="117">
        <v>28</v>
      </c>
      <c r="EC44" s="150" t="s">
        <v>247</v>
      </c>
      <c r="ED44" s="150">
        <v>94.891999999999996</v>
      </c>
      <c r="EE44" s="150">
        <v>94.891999999999996</v>
      </c>
      <c r="EF44" s="150">
        <v>138</v>
      </c>
      <c r="EG44" s="149"/>
      <c r="EH44" s="149"/>
      <c r="EI44" s="149"/>
      <c r="EJ44" s="149"/>
      <c r="EK44" s="149"/>
      <c r="ET44" s="124"/>
      <c r="EU44" s="124"/>
    </row>
    <row r="45" spans="11:151" ht="18" hidden="1" customHeight="1" outlineLevel="1" x14ac:dyDescent="0.25">
      <c r="K45" s="105"/>
      <c r="N45" s="105"/>
      <c r="O45" s="124" t="str">
        <f>IFERROR((MP_DATA[[#This Row],[D, bottom '[m']]]+#REF!)/(2*#REF!/1000),"")</f>
        <v/>
      </c>
      <c r="BE45" s="124" t="str">
        <f>IFERROR(TP_DATA[[#This Row],[Bottom '[m']]]-TP_DATA[[#This Row],[D, top '[m']]], "")</f>
        <v/>
      </c>
      <c r="BF45" s="124" t="str">
        <f>IFERROR(-(TP_DATA[[#This Row],[D, bottom '[m']]]-TP_DATA[[#This Row],[D, top '[m']]])/(TP_DATA[[#This Row],[Bottom '[m']]]-TP_DATA[[#This Row],[Top '[m']]]),"")</f>
        <v/>
      </c>
      <c r="BG45" s="124" t="str">
        <f t="shared" si="1"/>
        <v/>
      </c>
      <c r="BH45" s="124" t="str">
        <f>IFERROR((TP_DATA[[#This Row],[D, bottom '[m']]]+TP_DATA[[#This Row],[D, top '[m']]])/(2*TP_DATA[[#This Row],[t '[mm']]]/1000),"")</f>
        <v/>
      </c>
      <c r="BI45" s="124" t="str">
        <f>IFERROR((TP_DATA[[#This Row],[D, bottom '[m']]]+#REF!)/(2*#REF!/1000),"")</f>
        <v/>
      </c>
      <c r="CS45" s="105">
        <v>28</v>
      </c>
      <c r="CT45" s="105">
        <v>101.94000000000001</v>
      </c>
      <c r="CU45" s="105">
        <v>101.9</v>
      </c>
      <c r="CV45" s="105">
        <v>6.2279999999999998</v>
      </c>
      <c r="CW45" s="105">
        <v>6.23</v>
      </c>
      <c r="CX45" s="105">
        <v>28</v>
      </c>
      <c r="CY45" s="124">
        <f>IFERROR(TOWER_DATA[[#This Row],[Top '[m']]]-TOWER_DATA[[#This Row],[Bottom '[m']]], "")</f>
        <v>4.0000000000006253E-2</v>
      </c>
      <c r="CZ45" s="124">
        <f>IFERROR(-(TOWER_DATA[[#This Row],[D, bottom '[m']]]-TOWER_DATA[[#This Row],[D, top '[m']]])/(TOWER_DATA[[#This Row],[Bottom '[m']]]-TOWER_DATA[[#This Row],[Top '[m']]]),"")</f>
        <v>5.0000000000008885E-2</v>
      </c>
      <c r="DA45" s="124">
        <f t="shared" si="0"/>
        <v>0.1712770930668801</v>
      </c>
      <c r="DB45" s="124">
        <f>IFERROR((TOWER_DATA[[#This Row],[D, bottom '[m']]]+TOWER_DATA[[#This Row],[D, top '[m']]])/(2*TOWER_DATA[[#This Row],[t '[mm']]]/1000),"")</f>
        <v>222.46428571428572</v>
      </c>
      <c r="DC45" s="124" t="str">
        <f>IFERROR((TOWER_DATA[[#This Row],[D, bottom '[m']]]+#REF!)/(2*#REF!/1000),"")</f>
        <v/>
      </c>
      <c r="DD45" s="149" t="s">
        <v>247</v>
      </c>
      <c r="DE45" s="149">
        <v>91.005999999999986</v>
      </c>
      <c r="DF45" s="149">
        <v>91.005999999999986</v>
      </c>
      <c r="DG45" s="149">
        <v>138</v>
      </c>
      <c r="DH45" s="149"/>
      <c r="DI45" s="149"/>
      <c r="DJ45" s="149"/>
      <c r="DK45" s="149"/>
      <c r="DL45" s="149"/>
      <c r="DV45" s="117">
        <v>28</v>
      </c>
      <c r="DW45" s="117">
        <v>101.94000000000001</v>
      </c>
      <c r="DX45" s="117">
        <v>101.9</v>
      </c>
      <c r="DY45" s="117">
        <v>6.2279999999999998</v>
      </c>
      <c r="DZ45" s="117">
        <v>6.23</v>
      </c>
      <c r="EA45" s="117">
        <v>28</v>
      </c>
      <c r="EC45" s="150" t="s">
        <v>247</v>
      </c>
      <c r="ED45" s="150">
        <v>91.005999999999986</v>
      </c>
      <c r="EE45" s="150">
        <v>91.005999999999986</v>
      </c>
      <c r="EF45" s="150">
        <v>138</v>
      </c>
      <c r="EG45" s="149"/>
      <c r="EH45" s="149"/>
      <c r="EI45" s="149"/>
      <c r="EJ45" s="149"/>
      <c r="EK45" s="149"/>
      <c r="ET45" s="124"/>
      <c r="EU45" s="124"/>
    </row>
    <row r="46" spans="11:151" ht="18" hidden="1" customHeight="1" outlineLevel="1" x14ac:dyDescent="0.25">
      <c r="K46" s="105"/>
      <c r="N46" s="105"/>
      <c r="O46" s="124" t="str">
        <f>IFERROR((MP_DATA[[#This Row],[D, bottom '[m']]]+#REF!)/(2*#REF!/1000),"")</f>
        <v/>
      </c>
      <c r="BE46" s="124" t="str">
        <f>IFERROR(TP_DATA[[#This Row],[Bottom '[m']]]-TP_DATA[[#This Row],[D, top '[m']]], "")</f>
        <v/>
      </c>
      <c r="BF46" s="124" t="str">
        <f>IFERROR(-(TP_DATA[[#This Row],[D, bottom '[m']]]-TP_DATA[[#This Row],[D, top '[m']]])/(TP_DATA[[#This Row],[Bottom '[m']]]-TP_DATA[[#This Row],[Top '[m']]]),"")</f>
        <v/>
      </c>
      <c r="BG46" s="124" t="str">
        <f t="shared" si="1"/>
        <v/>
      </c>
      <c r="BH46" s="124" t="str">
        <f>IFERROR((TP_DATA[[#This Row],[D, bottom '[m']]]+TP_DATA[[#This Row],[D, top '[m']]])/(2*TP_DATA[[#This Row],[t '[mm']]]/1000),"")</f>
        <v/>
      </c>
      <c r="BI46" s="124" t="str">
        <f>IFERROR((TP_DATA[[#This Row],[D, bottom '[m']]]+#REF!)/(2*#REF!/1000),"")</f>
        <v/>
      </c>
      <c r="CS46" s="105">
        <v>29</v>
      </c>
      <c r="CT46" s="105">
        <v>101.9</v>
      </c>
      <c r="CU46" s="105">
        <v>100.9</v>
      </c>
      <c r="CV46" s="105">
        <v>6.23</v>
      </c>
      <c r="CW46" s="105">
        <v>6.2530000000000001</v>
      </c>
      <c r="CX46" s="105">
        <v>30.099999999999998</v>
      </c>
      <c r="CY46" s="124">
        <f>IFERROR(TOWER_DATA[[#This Row],[Top '[m']]]-TOWER_DATA[[#This Row],[Bottom '[m']]], "")</f>
        <v>1</v>
      </c>
      <c r="CZ46" s="124">
        <f>IFERROR(-(TOWER_DATA[[#This Row],[D, bottom '[m']]]-TOWER_DATA[[#This Row],[D, top '[m']]])/(TOWER_DATA[[#This Row],[Bottom '[m']]]-TOWER_DATA[[#This Row],[Top '[m']]]),"")</f>
        <v>2.2999999999999687E-2</v>
      </c>
      <c r="DA46" s="124">
        <f t="shared" si="0"/>
        <v>4.610791912861246</v>
      </c>
      <c r="DB46" s="124">
        <f>IFERROR((TOWER_DATA[[#This Row],[D, bottom '[m']]]+TOWER_DATA[[#This Row],[D, top '[m']]])/(2*TOWER_DATA[[#This Row],[t '[mm']]]/1000),"")</f>
        <v>207.358803986711</v>
      </c>
      <c r="DC46" s="124" t="str">
        <f>IFERROR((TOWER_DATA[[#This Row],[D, bottom '[m']]]+#REF!)/(2*#REF!/1000),"")</f>
        <v/>
      </c>
      <c r="DD46" s="149" t="s">
        <v>247</v>
      </c>
      <c r="DE46" s="149">
        <v>90.899999999999991</v>
      </c>
      <c r="DF46" s="149">
        <v>90.899999999999991</v>
      </c>
      <c r="DG46" s="149">
        <v>139</v>
      </c>
      <c r="DH46" s="149"/>
      <c r="DI46" s="149"/>
      <c r="DJ46" s="149"/>
      <c r="DK46" s="149"/>
      <c r="DL46" s="149"/>
      <c r="DV46" s="117">
        <v>29</v>
      </c>
      <c r="DW46" s="117">
        <v>101.9</v>
      </c>
      <c r="DX46" s="117">
        <v>100.9</v>
      </c>
      <c r="DY46" s="117">
        <v>6.23</v>
      </c>
      <c r="DZ46" s="117">
        <v>6.2530000000000001</v>
      </c>
      <c r="EA46" s="117">
        <v>30.099999999999998</v>
      </c>
      <c r="EC46" s="150" t="s">
        <v>247</v>
      </c>
      <c r="ED46" s="150">
        <v>90.899999999999991</v>
      </c>
      <c r="EE46" s="150">
        <v>90.899999999999991</v>
      </c>
      <c r="EF46" s="150">
        <v>139</v>
      </c>
      <c r="EG46" s="149"/>
      <c r="EH46" s="149"/>
      <c r="EI46" s="149"/>
      <c r="EJ46" s="149"/>
      <c r="EK46" s="149"/>
      <c r="ET46" s="124"/>
      <c r="EU46" s="124"/>
    </row>
    <row r="47" spans="11:151" ht="18" hidden="1" customHeight="1" outlineLevel="1" x14ac:dyDescent="0.25">
      <c r="K47" s="105"/>
      <c r="N47" s="105"/>
      <c r="O47" s="124"/>
      <c r="BE47" s="124" t="str">
        <f>IFERROR(TP_DATA[[#This Row],[Bottom '[m']]]-TP_DATA[[#This Row],[D, top '[m']]], "")</f>
        <v/>
      </c>
      <c r="BF47" s="124" t="str">
        <f>IFERROR(-(TP_DATA[[#This Row],[D, bottom '[m']]]-TP_DATA[[#This Row],[D, top '[m']]])/(TP_DATA[[#This Row],[Bottom '[m']]]-TP_DATA[[#This Row],[Top '[m']]]),"")</f>
        <v/>
      </c>
      <c r="BG47" s="124" t="str">
        <f t="shared" si="1"/>
        <v/>
      </c>
      <c r="BH47" s="124" t="str">
        <f>IFERROR((TP_DATA[[#This Row],[D, bottom '[m']]]+TP_DATA[[#This Row],[D, top '[m']]])/(2*TP_DATA[[#This Row],[t '[mm']]]/1000),"")</f>
        <v/>
      </c>
      <c r="BI47" s="124"/>
      <c r="CS47" s="105">
        <v>30</v>
      </c>
      <c r="CT47" s="105">
        <v>100.9</v>
      </c>
      <c r="CU47" s="105">
        <v>99.172000000000011</v>
      </c>
      <c r="CV47" s="105">
        <v>6.2530000000000001</v>
      </c>
      <c r="CW47" s="105">
        <v>6.2889999999999997</v>
      </c>
      <c r="CX47" s="105">
        <v>30.099999999999998</v>
      </c>
      <c r="CY47" s="124">
        <f>IFERROR(TOWER_DATA[[#This Row],[Top '[m']]]-TOWER_DATA[[#This Row],[Bottom '[m']]], "")</f>
        <v>1.7279999999999944</v>
      </c>
      <c r="CZ47" s="124">
        <f>IFERROR(-(TOWER_DATA[[#This Row],[D, bottom '[m']]]-TOWER_DATA[[#This Row],[D, top '[m']]])/(TOWER_DATA[[#This Row],[Bottom '[m']]]-TOWER_DATA[[#This Row],[Top '[m']]]),"")</f>
        <v>2.0833333333333162E-2</v>
      </c>
      <c r="DA47" s="124">
        <f t="shared" si="0"/>
        <v>8.0052884821827153</v>
      </c>
      <c r="DB47" s="124">
        <f>IFERROR((TOWER_DATA[[#This Row],[D, bottom '[m']]]+TOWER_DATA[[#This Row],[D, top '[m']]])/(2*TOWER_DATA[[#This Row],[t '[mm']]]/1000),"")</f>
        <v>208.3388704318937</v>
      </c>
      <c r="DC47" s="124"/>
      <c r="DD47" s="149" t="s">
        <v>247</v>
      </c>
      <c r="DE47" s="149">
        <v>86.670999999999992</v>
      </c>
      <c r="DF47" s="149">
        <v>86.670999999999992</v>
      </c>
      <c r="DG47" s="149">
        <v>139</v>
      </c>
      <c r="DH47" s="149"/>
      <c r="DI47" s="149"/>
      <c r="DJ47" s="149"/>
      <c r="DK47" s="149"/>
      <c r="DL47" s="149"/>
      <c r="DV47" s="117">
        <v>30</v>
      </c>
      <c r="DW47" s="117">
        <v>100.9</v>
      </c>
      <c r="DX47" s="117">
        <v>99.172000000000011</v>
      </c>
      <c r="DY47" s="117">
        <v>6.2530000000000001</v>
      </c>
      <c r="DZ47" s="117">
        <v>6.2889999999999997</v>
      </c>
      <c r="EA47" s="117">
        <v>30.099999999999998</v>
      </c>
      <c r="EC47" s="150" t="s">
        <v>247</v>
      </c>
      <c r="ED47" s="150">
        <v>86.670999999999992</v>
      </c>
      <c r="EE47" s="150">
        <v>86.670999999999992</v>
      </c>
      <c r="EF47" s="150">
        <v>139</v>
      </c>
      <c r="EG47" s="149"/>
      <c r="EH47" s="149"/>
      <c r="EI47" s="149"/>
      <c r="EJ47" s="149"/>
      <c r="EK47" s="149"/>
      <c r="ET47" s="124"/>
      <c r="EU47" s="124"/>
    </row>
    <row r="48" spans="11:151" ht="18" hidden="1" customHeight="1" outlineLevel="1" x14ac:dyDescent="0.25">
      <c r="K48" s="105"/>
      <c r="N48" s="105"/>
      <c r="O48" s="124"/>
      <c r="BE48" s="124" t="str">
        <f>IFERROR(TP_DATA[[#This Row],[Bottom '[m']]]-TP_DATA[[#This Row],[D, top '[m']]], "")</f>
        <v/>
      </c>
      <c r="BF48" s="124" t="str">
        <f>IFERROR(-(TP_DATA[[#This Row],[D, bottom '[m']]]-TP_DATA[[#This Row],[D, top '[m']]])/(TP_DATA[[#This Row],[Bottom '[m']]]-TP_DATA[[#This Row],[Top '[m']]]),"")</f>
        <v/>
      </c>
      <c r="BG48" s="124" t="str">
        <f t="shared" si="1"/>
        <v/>
      </c>
      <c r="BH48" s="124" t="str">
        <f>IFERROR((TP_DATA[[#This Row],[D, bottom '[m']]]+TP_DATA[[#This Row],[D, top '[m']]])/(2*TP_DATA[[#This Row],[t '[mm']]]/1000),"")</f>
        <v/>
      </c>
      <c r="BI48" s="124"/>
      <c r="CS48" s="105">
        <v>31</v>
      </c>
      <c r="CT48" s="105">
        <v>99.172000000000011</v>
      </c>
      <c r="CU48" s="105">
        <v>99.003</v>
      </c>
      <c r="CV48" s="105">
        <v>6.2889999999999997</v>
      </c>
      <c r="CW48" s="105">
        <v>6.2919999999999998</v>
      </c>
      <c r="CX48" s="105">
        <v>26.5</v>
      </c>
      <c r="CY48" s="124">
        <f>IFERROR(TOWER_DATA[[#This Row],[Top '[m']]]-TOWER_DATA[[#This Row],[Bottom '[m']]], "")</f>
        <v>0.16900000000001114</v>
      </c>
      <c r="CZ48" s="124">
        <f>IFERROR(-(TOWER_DATA[[#This Row],[D, bottom '[m']]]-TOWER_DATA[[#This Row],[D, top '[m']]])/(TOWER_DATA[[#This Row],[Bottom '[m']]]-TOWER_DATA[[#This Row],[Top '[m']]]),"")</f>
        <v>1.7751479289940329E-2</v>
      </c>
      <c r="DA48" s="124">
        <f t="shared" si="0"/>
        <v>0.69183711520936486</v>
      </c>
      <c r="DB48" s="124">
        <f>IFERROR((TOWER_DATA[[#This Row],[D, bottom '[m']]]+TOWER_DATA[[#This Row],[D, top '[m']]])/(2*TOWER_DATA[[#This Row],[t '[mm']]]/1000),"")</f>
        <v>237.37735849056602</v>
      </c>
      <c r="DC48" s="124"/>
      <c r="DD48" s="149" t="s">
        <v>247</v>
      </c>
      <c r="DE48" s="149">
        <v>82.839999999999989</v>
      </c>
      <c r="DF48" s="149">
        <v>82.839999999999989</v>
      </c>
      <c r="DG48" s="149">
        <v>140</v>
      </c>
      <c r="DH48" s="149"/>
      <c r="DI48" s="149"/>
      <c r="DJ48" s="149"/>
      <c r="DK48" s="149"/>
      <c r="DL48" s="149"/>
      <c r="DV48" s="117">
        <v>31</v>
      </c>
      <c r="DW48" s="117">
        <v>99.172000000000011</v>
      </c>
      <c r="DX48" s="117">
        <v>99.003</v>
      </c>
      <c r="DY48" s="117">
        <v>6.2889999999999997</v>
      </c>
      <c r="DZ48" s="117">
        <v>6.2919999999999998</v>
      </c>
      <c r="EA48" s="117">
        <v>26.5</v>
      </c>
      <c r="EC48" s="150" t="s">
        <v>247</v>
      </c>
      <c r="ED48" s="150">
        <v>82.839999999999989</v>
      </c>
      <c r="EE48" s="150">
        <v>82.839999999999989</v>
      </c>
      <c r="EF48" s="150">
        <v>140</v>
      </c>
      <c r="EG48" s="149"/>
      <c r="EH48" s="149"/>
      <c r="EI48" s="149"/>
      <c r="EJ48" s="149"/>
      <c r="EK48" s="149"/>
      <c r="ET48" s="124"/>
      <c r="EU48" s="124"/>
    </row>
    <row r="49" spans="11:151" ht="18" hidden="1" customHeight="1" outlineLevel="1" x14ac:dyDescent="0.25">
      <c r="K49" s="105"/>
      <c r="N49" s="105"/>
      <c r="O49" s="124"/>
      <c r="BE49" s="124" t="str">
        <f>IFERROR(TP_DATA[[#This Row],[Bottom '[m']]]-TP_DATA[[#This Row],[D, top '[m']]], "")</f>
        <v/>
      </c>
      <c r="BF49" s="124" t="str">
        <f>IFERROR(-(TP_DATA[[#This Row],[D, bottom '[m']]]-TP_DATA[[#This Row],[D, top '[m']]])/(TP_DATA[[#This Row],[Bottom '[m']]]-TP_DATA[[#This Row],[Top '[m']]]),"")</f>
        <v/>
      </c>
      <c r="BG49" s="124" t="str">
        <f t="shared" si="1"/>
        <v/>
      </c>
      <c r="BH49" s="124" t="str">
        <f>IFERROR((TP_DATA[[#This Row],[D, bottom '[m']]]+TP_DATA[[#This Row],[D, top '[m']]])/(2*TP_DATA[[#This Row],[t '[mm']]]/1000),"")</f>
        <v/>
      </c>
      <c r="BI49" s="124"/>
      <c r="CS49" s="105">
        <v>32</v>
      </c>
      <c r="CT49" s="105">
        <v>99.003</v>
      </c>
      <c r="CU49" s="105">
        <v>96.45</v>
      </c>
      <c r="CV49" s="105">
        <v>6.2919999999999998</v>
      </c>
      <c r="CW49" s="105">
        <v>6.351</v>
      </c>
      <c r="CX49" s="105">
        <v>26.5</v>
      </c>
      <c r="CY49" s="124">
        <f>IFERROR(TOWER_DATA[[#This Row],[Top '[m']]]-TOWER_DATA[[#This Row],[Bottom '[m']]], "")</f>
        <v>2.5529999999999973</v>
      </c>
      <c r="CZ49" s="124">
        <f>IFERROR(-(TOWER_DATA[[#This Row],[D, bottom '[m']]]-TOWER_DATA[[#This Row],[D, top '[m']]])/(TOWER_DATA[[#This Row],[Bottom '[m']]]-TOWER_DATA[[#This Row],[Top '[m']]]),"")</f>
        <v>2.3110066588327545E-2</v>
      </c>
      <c r="DA49" s="124">
        <f t="shared" si="0"/>
        <v>10.502965831367973</v>
      </c>
      <c r="DB49" s="124">
        <f>IFERROR((TOWER_DATA[[#This Row],[D, bottom '[m']]]+TOWER_DATA[[#This Row],[D, top '[m']]])/(2*TOWER_DATA[[#This Row],[t '[mm']]]/1000),"")</f>
        <v>238.54716981132077</v>
      </c>
      <c r="DC49" s="124"/>
      <c r="DD49" s="149" t="s">
        <v>247</v>
      </c>
      <c r="DE49" s="149">
        <v>80.899999999999991</v>
      </c>
      <c r="DF49" s="149">
        <v>80.899999999999991</v>
      </c>
      <c r="DG49" s="149">
        <v>140</v>
      </c>
      <c r="DH49" s="149"/>
      <c r="DI49" s="149"/>
      <c r="DJ49" s="149"/>
      <c r="DK49" s="149"/>
      <c r="DL49" s="149"/>
      <c r="DV49" s="117">
        <v>32</v>
      </c>
      <c r="DW49" s="117">
        <v>99.003</v>
      </c>
      <c r="DX49" s="117">
        <v>96.45</v>
      </c>
      <c r="DY49" s="117">
        <v>6.2919999999999998</v>
      </c>
      <c r="DZ49" s="117">
        <v>6.351</v>
      </c>
      <c r="EA49" s="117">
        <v>26.5</v>
      </c>
      <c r="EC49" s="150" t="s">
        <v>247</v>
      </c>
      <c r="ED49" s="150">
        <v>80.899999999999991</v>
      </c>
      <c r="EE49" s="150">
        <v>80.899999999999991</v>
      </c>
      <c r="EF49" s="150">
        <v>140</v>
      </c>
      <c r="EG49" s="149"/>
      <c r="EH49" s="149"/>
      <c r="EI49" s="149"/>
      <c r="EJ49" s="149"/>
      <c r="EK49" s="149"/>
      <c r="ET49" s="124"/>
      <c r="EU49" s="124"/>
    </row>
    <row r="50" spans="11:151" ht="18" hidden="1" customHeight="1" outlineLevel="1" x14ac:dyDescent="0.25">
      <c r="K50" s="105"/>
      <c r="N50" s="105"/>
      <c r="O50" s="124"/>
      <c r="BE50" s="124" t="str">
        <f>IFERROR(TP_DATA[[#This Row],[Bottom '[m']]]-TP_DATA[[#This Row],[D, top '[m']]], "")</f>
        <v/>
      </c>
      <c r="BF50" s="124" t="str">
        <f>IFERROR(-(TP_DATA[[#This Row],[D, bottom '[m']]]-TP_DATA[[#This Row],[D, top '[m']]])/(TP_DATA[[#This Row],[Bottom '[m']]]-TP_DATA[[#This Row],[Top '[m']]]),"")</f>
        <v/>
      </c>
      <c r="BG50" s="124" t="str">
        <f t="shared" si="1"/>
        <v/>
      </c>
      <c r="BH50" s="124" t="str">
        <f>IFERROR((TP_DATA[[#This Row],[D, bottom '[m']]]+TP_DATA[[#This Row],[D, top '[m']]])/(2*TP_DATA[[#This Row],[t '[mm']]]/1000),"")</f>
        <v/>
      </c>
      <c r="BI50" s="124"/>
      <c r="CS50" s="105">
        <v>33</v>
      </c>
      <c r="CT50" s="105">
        <v>96.45</v>
      </c>
      <c r="CU50" s="105">
        <v>94.89200000000001</v>
      </c>
      <c r="CV50" s="105">
        <v>6.351</v>
      </c>
      <c r="CW50" s="105">
        <v>6.3869999999999996</v>
      </c>
      <c r="CX50" s="105">
        <v>28</v>
      </c>
      <c r="CY50" s="124">
        <f>IFERROR(TOWER_DATA[[#This Row],[Top '[m']]]-TOWER_DATA[[#This Row],[Bottom '[m']]], "")</f>
        <v>1.5579999999999927</v>
      </c>
      <c r="CZ50" s="124">
        <f>IFERROR(-(TOWER_DATA[[#This Row],[D, bottom '[m']]]-TOWER_DATA[[#This Row],[D, top '[m']]])/(TOWER_DATA[[#This Row],[Bottom '[m']]]-TOWER_DATA[[#This Row],[Top '[m']]]),"")</f>
        <v>2.3106546854942078E-2</v>
      </c>
      <c r="DA50" s="124">
        <f t="shared" si="0"/>
        <v>6.8218594478281238</v>
      </c>
      <c r="DB50" s="124">
        <f>IFERROR((TOWER_DATA[[#This Row],[D, bottom '[m']]]+TOWER_DATA[[#This Row],[D, top '[m']]])/(2*TOWER_DATA[[#This Row],[t '[mm']]]/1000),"")</f>
        <v>227.46428571428569</v>
      </c>
      <c r="DC50" s="124"/>
      <c r="DD50" s="149" t="s">
        <v>247</v>
      </c>
      <c r="DE50" s="149">
        <v>78.449999999999989</v>
      </c>
      <c r="DF50" s="149">
        <v>78.449999999999989</v>
      </c>
      <c r="DG50" s="149">
        <v>141</v>
      </c>
      <c r="DH50" s="149"/>
      <c r="DI50" s="149"/>
      <c r="DJ50" s="149"/>
      <c r="DK50" s="149"/>
      <c r="DL50" s="149"/>
      <c r="DV50" s="117">
        <v>33</v>
      </c>
      <c r="DW50" s="117">
        <v>96.45</v>
      </c>
      <c r="DX50" s="117">
        <v>94.89200000000001</v>
      </c>
      <c r="DY50" s="117">
        <v>6.351</v>
      </c>
      <c r="DZ50" s="117">
        <v>6.3869999999999996</v>
      </c>
      <c r="EA50" s="117">
        <v>28</v>
      </c>
      <c r="EC50" s="150" t="s">
        <v>247</v>
      </c>
      <c r="ED50" s="150">
        <v>78.449999999999989</v>
      </c>
      <c r="EE50" s="150">
        <v>78.449999999999989</v>
      </c>
      <c r="EF50" s="150">
        <v>141</v>
      </c>
      <c r="EG50" s="149"/>
      <c r="EH50" s="149"/>
      <c r="EI50" s="149"/>
      <c r="EJ50" s="149"/>
      <c r="EK50" s="149"/>
      <c r="ET50" s="124"/>
      <c r="EU50" s="124"/>
    </row>
    <row r="51" spans="11:151" ht="18" hidden="1" customHeight="1" outlineLevel="1" x14ac:dyDescent="0.25">
      <c r="K51" s="105"/>
      <c r="N51" s="105"/>
      <c r="O51" s="124"/>
      <c r="BE51" s="124" t="str">
        <f>IFERROR(TP_DATA[[#This Row],[Bottom '[m']]]-TP_DATA[[#This Row],[D, top '[m']]], "")</f>
        <v/>
      </c>
      <c r="BF51" s="124" t="str">
        <f>IFERROR(-(TP_DATA[[#This Row],[D, bottom '[m']]]-TP_DATA[[#This Row],[D, top '[m']]])/(TP_DATA[[#This Row],[Bottom '[m']]]-TP_DATA[[#This Row],[Top '[m']]]),"")</f>
        <v/>
      </c>
      <c r="BG51" s="124" t="str">
        <f t="shared" si="1"/>
        <v/>
      </c>
      <c r="BH51" s="124" t="str">
        <f>IFERROR((TP_DATA[[#This Row],[D, bottom '[m']]]+TP_DATA[[#This Row],[D, top '[m']]])/(2*TP_DATA[[#This Row],[t '[mm']]]/1000),"")</f>
        <v/>
      </c>
      <c r="BI51" s="124"/>
      <c r="CS51" s="105">
        <v>34</v>
      </c>
      <c r="CT51" s="105">
        <v>94.89200000000001</v>
      </c>
      <c r="CU51" s="105">
        <v>93.728000000000009</v>
      </c>
      <c r="CV51" s="105">
        <v>6.3869999999999996</v>
      </c>
      <c r="CW51" s="105">
        <v>6.4139999999999997</v>
      </c>
      <c r="CX51" s="105">
        <v>28</v>
      </c>
      <c r="CY51" s="124">
        <f>IFERROR(TOWER_DATA[[#This Row],[Top '[m']]]-TOWER_DATA[[#This Row],[Bottom '[m']]], "")</f>
        <v>1.1640000000000015</v>
      </c>
      <c r="CZ51" s="124">
        <f>IFERROR(-(TOWER_DATA[[#This Row],[D, bottom '[m']]]-TOWER_DATA[[#This Row],[D, top '[m']]])/(TOWER_DATA[[#This Row],[Bottom '[m']]]-TOWER_DATA[[#This Row],[Top '[m']]]),"")</f>
        <v>2.3195876288659881E-2</v>
      </c>
      <c r="DA51" s="124">
        <f t="shared" si="0"/>
        <v>5.1220095660448148</v>
      </c>
      <c r="DB51" s="124">
        <f>IFERROR((TOWER_DATA[[#This Row],[D, bottom '[m']]]+TOWER_DATA[[#This Row],[D, top '[m']]])/(2*TOWER_DATA[[#This Row],[t '[mm']]]/1000),"")</f>
        <v>228.58928571428569</v>
      </c>
      <c r="DC51" s="124"/>
      <c r="DD51" s="149" t="s">
        <v>247</v>
      </c>
      <c r="DE51" s="149">
        <v>74.673999999999992</v>
      </c>
      <c r="DF51" s="149">
        <v>74.673999999999992</v>
      </c>
      <c r="DG51" s="149">
        <v>141</v>
      </c>
      <c r="DH51" s="149"/>
      <c r="DI51" s="149"/>
      <c r="DJ51" s="149"/>
      <c r="DK51" s="149"/>
      <c r="DL51" s="149"/>
      <c r="DV51" s="117">
        <v>34</v>
      </c>
      <c r="DW51" s="117">
        <v>94.89200000000001</v>
      </c>
      <c r="DX51" s="117">
        <v>93.728000000000009</v>
      </c>
      <c r="DY51" s="117">
        <v>6.3869999999999996</v>
      </c>
      <c r="DZ51" s="117">
        <v>6.4139999999999997</v>
      </c>
      <c r="EA51" s="117">
        <v>28</v>
      </c>
      <c r="EC51" s="150" t="s">
        <v>247</v>
      </c>
      <c r="ED51" s="150">
        <v>74.673999999999992</v>
      </c>
      <c r="EE51" s="150">
        <v>74.673999999999992</v>
      </c>
      <c r="EF51" s="150">
        <v>141</v>
      </c>
      <c r="EG51" s="149"/>
      <c r="EH51" s="149"/>
      <c r="EI51" s="149"/>
      <c r="EJ51" s="149"/>
      <c r="EK51" s="149"/>
      <c r="ET51" s="124"/>
      <c r="EU51" s="124"/>
    </row>
    <row r="52" spans="11:151" ht="18" hidden="1" customHeight="1" outlineLevel="1" x14ac:dyDescent="0.25">
      <c r="K52" s="105"/>
      <c r="N52" s="105"/>
      <c r="O52" s="124"/>
      <c r="BE52" s="124" t="str">
        <f>IFERROR(TP_DATA[[#This Row],[Bottom '[m']]]-TP_DATA[[#This Row],[D, top '[m']]], "")</f>
        <v/>
      </c>
      <c r="BF52" s="124" t="str">
        <f>IFERROR(-(TP_DATA[[#This Row],[D, bottom '[m']]]-TP_DATA[[#This Row],[D, top '[m']]])/(TP_DATA[[#This Row],[Bottom '[m']]]-TP_DATA[[#This Row],[Top '[m']]]),"")</f>
        <v/>
      </c>
      <c r="BG52" s="124" t="str">
        <f t="shared" si="1"/>
        <v/>
      </c>
      <c r="BH52" s="124" t="str">
        <f>IFERROR((TP_DATA[[#This Row],[D, bottom '[m']]]+TP_DATA[[#This Row],[D, top '[m']]])/(2*TP_DATA[[#This Row],[t '[mm']]]/1000),"")</f>
        <v/>
      </c>
      <c r="BI52" s="124"/>
      <c r="CS52" s="105">
        <v>35</v>
      </c>
      <c r="CT52" s="105">
        <v>93.728000000000009</v>
      </c>
      <c r="CU52" s="105">
        <v>91.006</v>
      </c>
      <c r="CV52" s="105">
        <v>6.4139999999999997</v>
      </c>
      <c r="CW52" s="105">
        <v>6.4749999999999996</v>
      </c>
      <c r="CX52" s="105">
        <v>28.6</v>
      </c>
      <c r="CY52" s="124">
        <f>IFERROR(TOWER_DATA[[#This Row],[Top '[m']]]-TOWER_DATA[[#This Row],[Bottom '[m']]], "")</f>
        <v>2.7220000000000084</v>
      </c>
      <c r="CZ52" s="124">
        <f>IFERROR(-(TOWER_DATA[[#This Row],[D, bottom '[m']]]-TOWER_DATA[[#This Row],[D, top '[m']]])/(TOWER_DATA[[#This Row],[Bottom '[m']]]-TOWER_DATA[[#This Row],[Top '[m']]]),"")</f>
        <v>2.2409992652461335E-2</v>
      </c>
      <c r="DA52" s="124">
        <f t="shared" si="0"/>
        <v>12.317746718159135</v>
      </c>
      <c r="DB52" s="124">
        <f>IFERROR((TOWER_DATA[[#This Row],[D, bottom '[m']]]+TOWER_DATA[[#This Row],[D, top '[m']]])/(2*TOWER_DATA[[#This Row],[t '[mm']]]/1000),"")</f>
        <v>225.33216783216781</v>
      </c>
      <c r="DC52" s="124"/>
      <c r="DD52" s="149" t="s">
        <v>247</v>
      </c>
      <c r="DE52" s="149">
        <v>71.951999999999984</v>
      </c>
      <c r="DF52" s="149">
        <v>71.951999999999984</v>
      </c>
      <c r="DG52" s="149">
        <v>142</v>
      </c>
      <c r="DH52" s="149"/>
      <c r="DI52" s="149"/>
      <c r="DJ52" s="149"/>
      <c r="DK52" s="149"/>
      <c r="DL52" s="149"/>
      <c r="DV52" s="117">
        <v>35</v>
      </c>
      <c r="DW52" s="117">
        <v>93.728000000000009</v>
      </c>
      <c r="DX52" s="117">
        <v>91.006</v>
      </c>
      <c r="DY52" s="117">
        <v>6.4139999999999997</v>
      </c>
      <c r="DZ52" s="117">
        <v>6.4749999999999996</v>
      </c>
      <c r="EA52" s="117">
        <v>28.6</v>
      </c>
      <c r="EC52" s="150" t="s">
        <v>247</v>
      </c>
      <c r="ED52" s="150">
        <v>71.951999999999984</v>
      </c>
      <c r="EE52" s="150">
        <v>71.951999999999984</v>
      </c>
      <c r="EF52" s="150">
        <v>142</v>
      </c>
      <c r="EG52" s="149"/>
      <c r="EH52" s="149"/>
      <c r="EI52" s="149"/>
      <c r="EJ52" s="149"/>
      <c r="EK52" s="149"/>
      <c r="ET52" s="124"/>
      <c r="EU52" s="124"/>
    </row>
    <row r="53" spans="11:151" ht="18" hidden="1" customHeight="1" outlineLevel="1" x14ac:dyDescent="0.25">
      <c r="K53" s="105"/>
      <c r="N53" s="105"/>
      <c r="O53" s="124"/>
      <c r="BE53" s="124" t="str">
        <f>IFERROR(TP_DATA[[#This Row],[Bottom '[m']]]-TP_DATA[[#This Row],[D, top '[m']]], "")</f>
        <v/>
      </c>
      <c r="BF53" s="124" t="str">
        <f>IFERROR(-(TP_DATA[[#This Row],[D, bottom '[m']]]-TP_DATA[[#This Row],[D, top '[m']]])/(TP_DATA[[#This Row],[Bottom '[m']]]-TP_DATA[[#This Row],[Top '[m']]]),"")</f>
        <v/>
      </c>
      <c r="BG53" s="124" t="str">
        <f t="shared" si="1"/>
        <v/>
      </c>
      <c r="BH53" s="124" t="str">
        <f>IFERROR((TP_DATA[[#This Row],[D, bottom '[m']]]+TP_DATA[[#This Row],[D, top '[m']]])/(2*TP_DATA[[#This Row],[t '[mm']]]/1000),"")</f>
        <v/>
      </c>
      <c r="BI53" s="124"/>
      <c r="CS53" s="105">
        <v>36</v>
      </c>
      <c r="CT53" s="105">
        <v>91.006</v>
      </c>
      <c r="CU53" s="105">
        <v>90.9</v>
      </c>
      <c r="CV53" s="105">
        <v>6.4749999999999996</v>
      </c>
      <c r="CW53" s="105">
        <v>6.4779999999999998</v>
      </c>
      <c r="CX53" s="105">
        <v>29.4</v>
      </c>
      <c r="CY53" s="124">
        <f>IFERROR(TOWER_DATA[[#This Row],[Top '[m']]]-TOWER_DATA[[#This Row],[Bottom '[m']]], "")</f>
        <v>0.10599999999999454</v>
      </c>
      <c r="CZ53" s="124">
        <f>IFERROR(-(TOWER_DATA[[#This Row],[D, bottom '[m']]]-TOWER_DATA[[#This Row],[D, top '[m']]])/(TOWER_DATA[[#This Row],[Bottom '[m']]]-TOWER_DATA[[#This Row],[Top '[m']]]),"")</f>
        <v>2.830188679245536E-2</v>
      </c>
      <c r="DA53" s="124">
        <f t="shared" si="0"/>
        <v>0.49549255301145406</v>
      </c>
      <c r="DB53" s="124">
        <f>IFERROR((TOWER_DATA[[#This Row],[D, bottom '[m']]]+TOWER_DATA[[#This Row],[D, top '[m']]])/(2*TOWER_DATA[[#This Row],[t '[mm']]]/1000),"")</f>
        <v>220.28911564625849</v>
      </c>
      <c r="DC53" s="124"/>
      <c r="DD53" s="149" t="s">
        <v>247</v>
      </c>
      <c r="DE53" s="149">
        <v>70.899999999999991</v>
      </c>
      <c r="DF53" s="149">
        <v>70.899999999999991</v>
      </c>
      <c r="DG53" s="149">
        <v>143</v>
      </c>
      <c r="DH53" s="149"/>
      <c r="DI53" s="149"/>
      <c r="DJ53" s="149"/>
      <c r="DK53" s="149"/>
      <c r="DL53" s="149"/>
      <c r="DV53" s="117">
        <v>36</v>
      </c>
      <c r="DW53" s="117">
        <v>91.006</v>
      </c>
      <c r="DX53" s="117">
        <v>90.9</v>
      </c>
      <c r="DY53" s="117">
        <v>6.4749999999999996</v>
      </c>
      <c r="DZ53" s="117">
        <v>6.4779999999999998</v>
      </c>
      <c r="EA53" s="117">
        <v>29.4</v>
      </c>
      <c r="EC53" s="150" t="s">
        <v>247</v>
      </c>
      <c r="ED53" s="150">
        <v>70.899999999999991</v>
      </c>
      <c r="EE53" s="150">
        <v>70.899999999999991</v>
      </c>
      <c r="EF53" s="150">
        <v>143</v>
      </c>
      <c r="EG53" s="149"/>
      <c r="EH53" s="149"/>
      <c r="EI53" s="149"/>
      <c r="EJ53" s="149"/>
      <c r="EK53" s="149"/>
      <c r="ET53" s="124"/>
      <c r="EU53" s="124"/>
    </row>
    <row r="54" spans="11:151" ht="18" hidden="1" customHeight="1" outlineLevel="1" x14ac:dyDescent="0.25">
      <c r="K54" s="105"/>
      <c r="N54" s="105"/>
      <c r="O54" s="124"/>
      <c r="BE54" s="124" t="str">
        <f>IFERROR(TP_DATA[[#This Row],[Bottom '[m']]]-TP_DATA[[#This Row],[D, top '[m']]], "")</f>
        <v/>
      </c>
      <c r="BF54" s="124" t="str">
        <f>IFERROR(-(TP_DATA[[#This Row],[D, bottom '[m']]]-TP_DATA[[#This Row],[D, top '[m']]])/(TP_DATA[[#This Row],[Bottom '[m']]]-TP_DATA[[#This Row],[Top '[m']]]),"")</f>
        <v/>
      </c>
      <c r="BG54" s="124" t="str">
        <f t="shared" si="1"/>
        <v/>
      </c>
      <c r="BH54" s="124" t="str">
        <f>IFERROR((TP_DATA[[#This Row],[D, bottom '[m']]]+TP_DATA[[#This Row],[D, top '[m']]])/(2*TP_DATA[[#This Row],[t '[mm']]]/1000),"")</f>
        <v/>
      </c>
      <c r="BI54" s="124"/>
      <c r="CS54" s="105">
        <v>37</v>
      </c>
      <c r="CT54" s="105">
        <v>90.9</v>
      </c>
      <c r="CU54" s="105">
        <v>88.284000000000006</v>
      </c>
      <c r="CV54" s="105">
        <v>6.4779999999999998</v>
      </c>
      <c r="CW54" s="105">
        <v>6.5380000000000003</v>
      </c>
      <c r="CX54" s="105">
        <v>29.4</v>
      </c>
      <c r="CY54" s="124">
        <f>IFERROR(TOWER_DATA[[#This Row],[Top '[m']]]-TOWER_DATA[[#This Row],[Bottom '[m']]], "")</f>
        <v>2.6159999999999997</v>
      </c>
      <c r="CZ54" s="124">
        <f>IFERROR(-(TOWER_DATA[[#This Row],[D, bottom '[m']]]-TOWER_DATA[[#This Row],[D, top '[m']]])/(TOWER_DATA[[#This Row],[Bottom '[m']]]-TOWER_DATA[[#This Row],[Top '[m']]]),"")</f>
        <v>2.2935779816513954E-2</v>
      </c>
      <c r="DA54" s="124">
        <f t="shared" si="0"/>
        <v>12.288129120958363</v>
      </c>
      <c r="DB54" s="124">
        <f>IFERROR((TOWER_DATA[[#This Row],[D, bottom '[m']]]+TOWER_DATA[[#This Row],[D, top '[m']]])/(2*TOWER_DATA[[#This Row],[t '[mm']]]/1000),"")</f>
        <v>221.36054421768708</v>
      </c>
      <c r="DC54" s="124"/>
      <c r="DD54" s="149" t="s">
        <v>247</v>
      </c>
      <c r="DE54" s="149">
        <v>66.489999999999995</v>
      </c>
      <c r="DF54" s="149">
        <v>66.489999999999995</v>
      </c>
      <c r="DG54" s="149">
        <v>144</v>
      </c>
      <c r="DH54" s="149"/>
      <c r="DI54" s="149"/>
      <c r="DJ54" s="149"/>
      <c r="DK54" s="149"/>
      <c r="DL54" s="149"/>
      <c r="DV54" s="117">
        <v>37</v>
      </c>
      <c r="DW54" s="117">
        <v>90.9</v>
      </c>
      <c r="DX54" s="117">
        <v>88.284000000000006</v>
      </c>
      <c r="DY54" s="117">
        <v>6.4779999999999998</v>
      </c>
      <c r="DZ54" s="117">
        <v>6.5380000000000003</v>
      </c>
      <c r="EA54" s="117">
        <v>29.4</v>
      </c>
      <c r="EC54" s="150" t="s">
        <v>247</v>
      </c>
      <c r="ED54" s="150">
        <v>66.489999999999995</v>
      </c>
      <c r="EE54" s="150">
        <v>66.489999999999995</v>
      </c>
      <c r="EF54" s="150">
        <v>144</v>
      </c>
      <c r="EG54" s="149"/>
      <c r="EH54" s="149"/>
      <c r="EI54" s="149"/>
      <c r="EJ54" s="149"/>
      <c r="EK54" s="149"/>
      <c r="ET54" s="124"/>
      <c r="EU54" s="124"/>
    </row>
    <row r="55" spans="11:151" ht="18" hidden="1" customHeight="1" outlineLevel="1" x14ac:dyDescent="0.25">
      <c r="K55" s="105"/>
      <c r="N55" s="105"/>
      <c r="O55" s="124"/>
      <c r="BE55" s="124" t="str">
        <f>IFERROR(TP_DATA[[#This Row],[Bottom '[m']]]-TP_DATA[[#This Row],[D, top '[m']]], "")</f>
        <v/>
      </c>
      <c r="BF55" s="124" t="str">
        <f>IFERROR(-(TP_DATA[[#This Row],[D, bottom '[m']]]-TP_DATA[[#This Row],[D, top '[m']]])/(TP_DATA[[#This Row],[Bottom '[m']]]-TP_DATA[[#This Row],[Top '[m']]]),"")</f>
        <v/>
      </c>
      <c r="BG55" s="124" t="str">
        <f t="shared" si="1"/>
        <v/>
      </c>
      <c r="BH55" s="124" t="str">
        <f>IFERROR((TP_DATA[[#This Row],[D, bottom '[m']]]+TP_DATA[[#This Row],[D, top '[m']]])/(2*TP_DATA[[#This Row],[t '[mm']]]/1000),"")</f>
        <v/>
      </c>
      <c r="BI55" s="124"/>
      <c r="CS55" s="105">
        <v>38</v>
      </c>
      <c r="CT55" s="105">
        <v>88.284000000000006</v>
      </c>
      <c r="CU55" s="105">
        <v>86.671000000000006</v>
      </c>
      <c r="CV55" s="105">
        <v>6.5380000000000003</v>
      </c>
      <c r="CW55" s="105">
        <v>6.5739999999999998</v>
      </c>
      <c r="CX55" s="105">
        <v>29.5</v>
      </c>
      <c r="CY55" s="124">
        <f>IFERROR(TOWER_DATA[[#This Row],[Top '[m']]]-TOWER_DATA[[#This Row],[Bottom '[m']]], "")</f>
        <v>1.6129999999999995</v>
      </c>
      <c r="CZ55" s="124">
        <f>IFERROR(-(TOWER_DATA[[#This Row],[D, bottom '[m']]]-TOWER_DATA[[#This Row],[D, top '[m']]])/(TOWER_DATA[[#This Row],[Bottom '[m']]]-TOWER_DATA[[#This Row],[Top '[m']]]),"")</f>
        <v>2.2318660880346931E-2</v>
      </c>
      <c r="DA55" s="124">
        <f t="shared" si="0"/>
        <v>7.6587211107854793</v>
      </c>
      <c r="DB55" s="124">
        <f>IFERROR((TOWER_DATA[[#This Row],[D, bottom '[m']]]+TOWER_DATA[[#This Row],[D, top '[m']]])/(2*TOWER_DATA[[#This Row],[t '[mm']]]/1000),"")</f>
        <v>222.23728813559325</v>
      </c>
      <c r="DC55" s="124"/>
      <c r="DD55" s="149" t="s">
        <v>247</v>
      </c>
      <c r="DE55" s="149">
        <v>66.444999999999993</v>
      </c>
      <c r="DF55" s="149">
        <v>66.444999999999993</v>
      </c>
      <c r="DG55" s="149">
        <v>7316</v>
      </c>
      <c r="DH55" s="149"/>
      <c r="DI55" s="149"/>
      <c r="DJ55" s="149"/>
      <c r="DK55" s="149"/>
      <c r="DL55" s="149"/>
      <c r="DV55" s="117">
        <v>38</v>
      </c>
      <c r="DW55" s="117">
        <v>88.284000000000006</v>
      </c>
      <c r="DX55" s="117">
        <v>86.671000000000006</v>
      </c>
      <c r="DY55" s="117">
        <v>6.5380000000000003</v>
      </c>
      <c r="DZ55" s="117">
        <v>6.5739999999999998</v>
      </c>
      <c r="EA55" s="117">
        <v>29.5</v>
      </c>
      <c r="EC55" s="150" t="s">
        <v>247</v>
      </c>
      <c r="ED55" s="150">
        <v>66.444999999999993</v>
      </c>
      <c r="EE55" s="150">
        <v>66.444999999999993</v>
      </c>
      <c r="EF55" s="150">
        <v>7316</v>
      </c>
      <c r="EG55" s="149"/>
      <c r="EH55" s="149"/>
      <c r="EI55" s="149"/>
      <c r="EJ55" s="149"/>
      <c r="EK55" s="149"/>
      <c r="ET55" s="124"/>
      <c r="EU55" s="124"/>
    </row>
    <row r="56" spans="11:151" ht="18" hidden="1" customHeight="1" outlineLevel="1" x14ac:dyDescent="0.25">
      <c r="K56" s="105"/>
      <c r="N56" s="105"/>
      <c r="O56" s="124"/>
      <c r="BE56" s="124" t="str">
        <f>IFERROR(TP_DATA[[#This Row],[Bottom '[m']]]-TP_DATA[[#This Row],[D, top '[m']]], "")</f>
        <v/>
      </c>
      <c r="BF56" s="124" t="str">
        <f>IFERROR(-(TP_DATA[[#This Row],[D, bottom '[m']]]-TP_DATA[[#This Row],[D, top '[m']]])/(TP_DATA[[#This Row],[Bottom '[m']]]-TP_DATA[[#This Row],[Top '[m']]]),"")</f>
        <v/>
      </c>
      <c r="BG56" s="124" t="str">
        <f t="shared" si="1"/>
        <v/>
      </c>
      <c r="BH56" s="124" t="str">
        <f>IFERROR((TP_DATA[[#This Row],[D, bottom '[m']]]+TP_DATA[[#This Row],[D, top '[m']]])/(2*TP_DATA[[#This Row],[t '[mm']]]/1000),"")</f>
        <v/>
      </c>
      <c r="BI56" s="124"/>
      <c r="CS56" s="105">
        <v>39</v>
      </c>
      <c r="CT56" s="105">
        <v>86.671000000000006</v>
      </c>
      <c r="CU56" s="105">
        <v>85.562000000000012</v>
      </c>
      <c r="CV56" s="105">
        <v>6.5739999999999998</v>
      </c>
      <c r="CW56" s="105">
        <v>6.601</v>
      </c>
      <c r="CX56" s="105">
        <v>29.5</v>
      </c>
      <c r="CY56" s="124">
        <f>IFERROR(TOWER_DATA[[#This Row],[Top '[m']]]-TOWER_DATA[[#This Row],[Bottom '[m']]], "")</f>
        <v>1.1089999999999947</v>
      </c>
      <c r="CZ56" s="124">
        <f>IFERROR(-(TOWER_DATA[[#This Row],[D, bottom '[m']]]-TOWER_DATA[[#This Row],[D, top '[m']]])/(TOWER_DATA[[#This Row],[Bottom '[m']]]-TOWER_DATA[[#This Row],[Top '[m']]]),"")</f>
        <v>2.4346257889991223E-2</v>
      </c>
      <c r="DA56" s="124">
        <f t="shared" si="0"/>
        <v>5.2910821427568031</v>
      </c>
      <c r="DB56" s="124">
        <f>IFERROR((TOWER_DATA[[#This Row],[D, bottom '[m']]]+TOWER_DATA[[#This Row],[D, top '[m']]])/(2*TOWER_DATA[[#This Row],[t '[mm']]]/1000),"")</f>
        <v>223.30508474576274</v>
      </c>
      <c r="DC56" s="124"/>
      <c r="DD56" s="149" t="s">
        <v>247</v>
      </c>
      <c r="DE56" s="149">
        <v>66.259999999999991</v>
      </c>
      <c r="DF56" s="149">
        <v>66.259999999999991</v>
      </c>
      <c r="DG56" s="149">
        <v>10048</v>
      </c>
      <c r="DH56" s="149"/>
      <c r="DI56" s="149"/>
      <c r="DJ56" s="149"/>
      <c r="DK56" s="149"/>
      <c r="DL56" s="149"/>
      <c r="DV56" s="117">
        <v>39</v>
      </c>
      <c r="DW56" s="117">
        <v>86.671000000000006</v>
      </c>
      <c r="DX56" s="117">
        <v>85.562000000000012</v>
      </c>
      <c r="DY56" s="117">
        <v>6.5739999999999998</v>
      </c>
      <c r="DZ56" s="117">
        <v>6.601</v>
      </c>
      <c r="EA56" s="117">
        <v>29.5</v>
      </c>
      <c r="EC56" s="150" t="s">
        <v>247</v>
      </c>
      <c r="ED56" s="150">
        <v>66.259999999999991</v>
      </c>
      <c r="EE56" s="150">
        <v>66.259999999999991</v>
      </c>
      <c r="EF56" s="150">
        <v>10048</v>
      </c>
      <c r="EG56" s="149"/>
      <c r="EH56" s="149"/>
      <c r="EI56" s="149"/>
      <c r="EJ56" s="149"/>
      <c r="EK56" s="149"/>
      <c r="ET56" s="124"/>
      <c r="EU56" s="124"/>
    </row>
    <row r="57" spans="11:151" ht="18" hidden="1" customHeight="1" outlineLevel="1" x14ac:dyDescent="0.25">
      <c r="K57" s="105"/>
      <c r="N57" s="105"/>
      <c r="O57" s="124"/>
      <c r="BE57" s="124" t="str">
        <f>IFERROR(TP_DATA[[#This Row],[Bottom '[m']]]-TP_DATA[[#This Row],[D, top '[m']]], "")</f>
        <v/>
      </c>
      <c r="BF57" s="124" t="str">
        <f>IFERROR(-(TP_DATA[[#This Row],[D, bottom '[m']]]-TP_DATA[[#This Row],[D, top '[m']]])/(TP_DATA[[#This Row],[Bottom '[m']]]-TP_DATA[[#This Row],[Top '[m']]]),"")</f>
        <v/>
      </c>
      <c r="BG57" s="124" t="str">
        <f t="shared" si="1"/>
        <v/>
      </c>
      <c r="BH57" s="124" t="str">
        <f>IFERROR((TP_DATA[[#This Row],[D, bottom '[m']]]+TP_DATA[[#This Row],[D, top '[m']]])/(2*TP_DATA[[#This Row],[t '[mm']]]/1000),"")</f>
        <v/>
      </c>
      <c r="BI57" s="124"/>
      <c r="CS57" s="105">
        <v>40</v>
      </c>
      <c r="CT57" s="105">
        <v>85.562000000000012</v>
      </c>
      <c r="CU57" s="105">
        <v>82.84</v>
      </c>
      <c r="CV57" s="105">
        <v>6.601</v>
      </c>
      <c r="CW57" s="105">
        <v>6.6619999999999999</v>
      </c>
      <c r="CX57" s="105">
        <v>31.5</v>
      </c>
      <c r="CY57" s="124">
        <f>IFERROR(TOWER_DATA[[#This Row],[Top '[m']]]-TOWER_DATA[[#This Row],[Bottom '[m']]], "")</f>
        <v>2.7220000000000084</v>
      </c>
      <c r="CZ57" s="124">
        <f>IFERROR(-(TOWER_DATA[[#This Row],[D, bottom '[m']]]-TOWER_DATA[[#This Row],[D, top '[m']]])/(TOWER_DATA[[#This Row],[Bottom '[m']]]-TOWER_DATA[[#This Row],[Top '[m']]]),"")</f>
        <v>2.2409992652461335E-2</v>
      </c>
      <c r="DA57" s="124">
        <f t="shared" si="0"/>
        <v>13.956037882640588</v>
      </c>
      <c r="DB57" s="124">
        <f>IFERROR((TOWER_DATA[[#This Row],[D, bottom '[m']]]+TOWER_DATA[[#This Row],[D, top '[m']]])/(2*TOWER_DATA[[#This Row],[t '[mm']]]/1000),"")</f>
        <v>210.52380952380952</v>
      </c>
      <c r="DC57" s="124"/>
      <c r="DD57" s="149" t="s">
        <v>247</v>
      </c>
      <c r="DE57" s="149">
        <v>66.074999999999989</v>
      </c>
      <c r="DF57" s="149">
        <v>66.074999999999989</v>
      </c>
      <c r="DG57" s="149">
        <v>6</v>
      </c>
      <c r="DH57" s="149"/>
      <c r="DI57" s="149"/>
      <c r="DJ57" s="149"/>
      <c r="DK57" s="149"/>
      <c r="DL57" s="149"/>
      <c r="DV57" s="117">
        <v>40</v>
      </c>
      <c r="DW57" s="117">
        <v>85.562000000000012</v>
      </c>
      <c r="DX57" s="117">
        <v>82.84</v>
      </c>
      <c r="DY57" s="117">
        <v>6.601</v>
      </c>
      <c r="DZ57" s="117">
        <v>6.6619999999999999</v>
      </c>
      <c r="EA57" s="117">
        <v>31.5</v>
      </c>
      <c r="EC57" s="150" t="s">
        <v>247</v>
      </c>
      <c r="ED57" s="150">
        <v>66.074999999999989</v>
      </c>
      <c r="EE57" s="150">
        <v>66.074999999999989</v>
      </c>
      <c r="EF57" s="150">
        <v>6</v>
      </c>
      <c r="EG57" s="149"/>
      <c r="EH57" s="149"/>
      <c r="EI57" s="149"/>
      <c r="EJ57" s="149"/>
      <c r="EK57" s="149"/>
      <c r="ET57" s="124"/>
      <c r="EU57" s="124"/>
    </row>
    <row r="58" spans="11:151" ht="18" hidden="1" customHeight="1" outlineLevel="1" x14ac:dyDescent="0.25">
      <c r="K58" s="105"/>
      <c r="N58" s="105"/>
      <c r="O58" s="124"/>
      <c r="BE58" s="124" t="str">
        <f>IFERROR(TP_DATA[[#This Row],[Bottom '[m']]]-TP_DATA[[#This Row],[D, top '[m']]], "")</f>
        <v/>
      </c>
      <c r="BF58" s="124" t="str">
        <f>IFERROR(-(TP_DATA[[#This Row],[D, bottom '[m']]]-TP_DATA[[#This Row],[D, top '[m']]])/(TP_DATA[[#This Row],[Bottom '[m']]]-TP_DATA[[#This Row],[Top '[m']]]),"")</f>
        <v/>
      </c>
      <c r="BG58" s="124" t="str">
        <f t="shared" si="1"/>
        <v/>
      </c>
      <c r="BH58" s="124" t="str">
        <f>IFERROR((TP_DATA[[#This Row],[D, bottom '[m']]]+TP_DATA[[#This Row],[D, top '[m']]])/(2*TP_DATA[[#This Row],[t '[mm']]]/1000),"")</f>
        <v/>
      </c>
      <c r="BI58" s="124"/>
      <c r="CS58" s="105">
        <v>41</v>
      </c>
      <c r="CT58" s="105">
        <v>82.84</v>
      </c>
      <c r="CU58" s="105">
        <v>82.56</v>
      </c>
      <c r="CV58" s="105">
        <v>6.6619999999999999</v>
      </c>
      <c r="CW58" s="105">
        <v>6.6689999999999996</v>
      </c>
      <c r="CX58" s="105">
        <v>31.2</v>
      </c>
      <c r="CY58" s="124">
        <f>IFERROR(TOWER_DATA[[#This Row],[Top '[m']]]-TOWER_DATA[[#This Row],[Bottom '[m']]], "")</f>
        <v>0.28000000000000114</v>
      </c>
      <c r="CZ58" s="124">
        <f>IFERROR(-(TOWER_DATA[[#This Row],[D, bottom '[m']]]-TOWER_DATA[[#This Row],[D, top '[m']]])/(TOWER_DATA[[#This Row],[Bottom '[m']]]-TOWER_DATA[[#This Row],[Top '[m']]]),"")</f>
        <v>2.4999999999998732E-2</v>
      </c>
      <c r="DA58" s="124">
        <f t="shared" si="0"/>
        <v>1.4293127277149946</v>
      </c>
      <c r="DB58" s="124">
        <f>IFERROR((TOWER_DATA[[#This Row],[D, bottom '[m']]]+TOWER_DATA[[#This Row],[D, top '[m']]])/(2*TOWER_DATA[[#This Row],[t '[mm']]]/1000),"")</f>
        <v>213.63782051282053</v>
      </c>
      <c r="DC58" s="124"/>
      <c r="DD58" s="149" t="s">
        <v>247</v>
      </c>
      <c r="DE58" s="149">
        <v>66.029999999999987</v>
      </c>
      <c r="DF58" s="149">
        <v>66.029999999999987</v>
      </c>
      <c r="DG58" s="149">
        <v>1061</v>
      </c>
      <c r="DH58" s="149"/>
      <c r="DI58" s="149"/>
      <c r="DJ58" s="149"/>
      <c r="DK58" s="149"/>
      <c r="DL58" s="149"/>
      <c r="DV58" s="117">
        <v>41</v>
      </c>
      <c r="DW58" s="117">
        <v>82.84</v>
      </c>
      <c r="DX58" s="117">
        <v>82.56</v>
      </c>
      <c r="DY58" s="117">
        <v>6.6619999999999999</v>
      </c>
      <c r="DZ58" s="117">
        <v>6.6689999999999996</v>
      </c>
      <c r="EA58" s="117">
        <v>31.2</v>
      </c>
      <c r="EC58" s="150" t="s">
        <v>247</v>
      </c>
      <c r="ED58" s="150">
        <v>66.029999999999987</v>
      </c>
      <c r="EE58" s="150">
        <v>66.029999999999987</v>
      </c>
      <c r="EF58" s="150">
        <v>1061</v>
      </c>
      <c r="EG58" s="149"/>
      <c r="EH58" s="149"/>
      <c r="EI58" s="149"/>
      <c r="EJ58" s="149"/>
      <c r="EK58" s="149"/>
      <c r="ET58" s="124"/>
      <c r="EU58" s="124"/>
    </row>
    <row r="59" spans="11:151" ht="18" hidden="1" customHeight="1" outlineLevel="1" x14ac:dyDescent="0.25">
      <c r="K59" s="105"/>
      <c r="N59" s="105"/>
      <c r="O59" s="124" t="str">
        <f>IFERROR((MP_DATA[[#This Row],[D, bottom '[m']]]+#REF!)/(2*#REF!/1000),"")</f>
        <v/>
      </c>
      <c r="BE59" s="124" t="str">
        <f>IFERROR(TP_DATA[[#This Row],[Bottom '[m']]]-TP_DATA[[#This Row],[D, top '[m']]], "")</f>
        <v/>
      </c>
      <c r="BF59" s="124" t="str">
        <f>IFERROR(-(TP_DATA[[#This Row],[D, bottom '[m']]]-TP_DATA[[#This Row],[D, top '[m']]])/(TP_DATA[[#This Row],[Bottom '[m']]]-TP_DATA[[#This Row],[Top '[m']]]),"")</f>
        <v/>
      </c>
      <c r="BG59" s="124" t="str">
        <f t="shared" si="1"/>
        <v/>
      </c>
      <c r="BH59" s="124" t="str">
        <f>IFERROR((TP_DATA[[#This Row],[D, bottom '[m']]]+TP_DATA[[#This Row],[D, top '[m']]])/(2*TP_DATA[[#This Row],[t '[mm']]]/1000),"")</f>
        <v/>
      </c>
      <c r="BI59" s="124" t="str">
        <f>IFERROR((TP_DATA[[#This Row],[D, bottom '[m']]]+#REF!)/(2*#REF!/1000),"")</f>
        <v/>
      </c>
      <c r="CS59" s="105">
        <v>42</v>
      </c>
      <c r="CT59" s="105">
        <v>82.56</v>
      </c>
      <c r="CU59" s="105">
        <v>80.900000000000006</v>
      </c>
      <c r="CV59" s="105">
        <v>6.6689999999999996</v>
      </c>
      <c r="CW59" s="105">
        <v>6.7060000000000004</v>
      </c>
      <c r="CX59" s="105">
        <v>31.2</v>
      </c>
      <c r="CY59" s="124">
        <f>IFERROR(TOWER_DATA[[#This Row],[Top '[m']]]-TOWER_DATA[[#This Row],[Bottom '[m']]], "")</f>
        <v>1.6599999999999966</v>
      </c>
      <c r="CZ59" s="124">
        <f>IFERROR(-(TOWER_DATA[[#This Row],[D, bottom '[m']]]-TOWER_DATA[[#This Row],[D, top '[m']]])/(TOWER_DATA[[#This Row],[Bottom '[m']]]-TOWER_DATA[[#This Row],[Top '[m']]]),"")</f>
        <v>2.2289156626506559E-2</v>
      </c>
      <c r="DA59" s="124">
        <f t="shared" si="0"/>
        <v>8.5018825076561395</v>
      </c>
      <c r="DB59" s="124">
        <f>IFERROR((TOWER_DATA[[#This Row],[D, bottom '[m']]]+TOWER_DATA[[#This Row],[D, top '[m']]])/(2*TOWER_DATA[[#This Row],[t '[mm']]]/1000),"")</f>
        <v>214.34294871794873</v>
      </c>
      <c r="DC59" s="124" t="str">
        <f>IFERROR((TOWER_DATA[[#This Row],[D, bottom '[m']]]+#REF!)/(2*#REF!/1000),"")</f>
        <v/>
      </c>
      <c r="DD59" s="149" t="s">
        <v>247</v>
      </c>
      <c r="DE59" s="149">
        <v>63.308000000000007</v>
      </c>
      <c r="DF59" s="149">
        <v>63.308000000000007</v>
      </c>
      <c r="DG59" s="149">
        <v>143</v>
      </c>
      <c r="DH59" s="149"/>
      <c r="DI59" s="149"/>
      <c r="DJ59" s="149"/>
      <c r="DK59" s="149"/>
      <c r="DL59" s="149"/>
      <c r="DV59" s="117">
        <v>42</v>
      </c>
      <c r="DW59" s="117">
        <v>82.56</v>
      </c>
      <c r="DX59" s="117">
        <v>80.900000000000006</v>
      </c>
      <c r="DY59" s="117">
        <v>6.6689999999999996</v>
      </c>
      <c r="DZ59" s="117">
        <v>6.7060000000000004</v>
      </c>
      <c r="EA59" s="117">
        <v>31.2</v>
      </c>
      <c r="EC59" s="150" t="s">
        <v>247</v>
      </c>
      <c r="ED59" s="150">
        <v>63.308000000000007</v>
      </c>
      <c r="EE59" s="150">
        <v>63.308000000000007</v>
      </c>
      <c r="EF59" s="150">
        <v>143</v>
      </c>
      <c r="EG59" s="149"/>
      <c r="EH59" s="149"/>
      <c r="EI59" s="149"/>
      <c r="EJ59" s="149"/>
      <c r="EK59" s="149"/>
      <c r="ET59" s="124"/>
      <c r="EU59" s="124"/>
    </row>
    <row r="60" spans="11:151" ht="18" hidden="1" customHeight="1" outlineLevel="1" x14ac:dyDescent="0.25">
      <c r="K60" s="105"/>
      <c r="N60" s="105"/>
      <c r="O60" s="124" t="str">
        <f>IFERROR((MP_DATA[[#This Row],[D, bottom '[m']]]+#REF!)/(2*#REF!/1000),"")</f>
        <v/>
      </c>
      <c r="BE60" s="124" t="str">
        <f>IFERROR(TP_DATA[[#This Row],[Bottom '[m']]]-TP_DATA[[#This Row],[D, top '[m']]], "")</f>
        <v/>
      </c>
      <c r="BF60" s="124" t="str">
        <f>IFERROR(-(TP_DATA[[#This Row],[D, bottom '[m']]]-TP_DATA[[#This Row],[D, top '[m']]])/(TP_DATA[[#This Row],[Bottom '[m']]]-TP_DATA[[#This Row],[Top '[m']]]),"")</f>
        <v/>
      </c>
      <c r="BG60" s="124" t="str">
        <f t="shared" si="1"/>
        <v/>
      </c>
      <c r="BH60" s="124" t="str">
        <f>IFERROR((TP_DATA[[#This Row],[D, bottom '[m']]]+TP_DATA[[#This Row],[D, top '[m']]])/(2*TP_DATA[[#This Row],[t '[mm']]]/1000),"")</f>
        <v/>
      </c>
      <c r="BI60" s="124" t="str">
        <f>IFERROR((TP_DATA[[#This Row],[D, bottom '[m']]]+#REF!)/(2*#REF!/1000),"")</f>
        <v/>
      </c>
      <c r="CS60" s="105">
        <v>43</v>
      </c>
      <c r="CT60" s="105">
        <v>80.900000000000006</v>
      </c>
      <c r="CU60" s="105">
        <v>80.118000000000009</v>
      </c>
      <c r="CV60" s="105">
        <v>6.7060000000000004</v>
      </c>
      <c r="CW60" s="105">
        <v>6.7240000000000002</v>
      </c>
      <c r="CX60" s="105">
        <v>31.2</v>
      </c>
      <c r="CY60" s="124">
        <f>IFERROR(TOWER_DATA[[#This Row],[Top '[m']]]-TOWER_DATA[[#This Row],[Bottom '[m']]], "")</f>
        <v>0.78199999999999648</v>
      </c>
      <c r="CZ60" s="124">
        <f>IFERROR(-(TOWER_DATA[[#This Row],[D, bottom '[m']]]-TOWER_DATA[[#This Row],[D, top '[m']]])/(TOWER_DATA[[#This Row],[Bottom '[m']]]-TOWER_DATA[[#This Row],[Top '[m']]]),"")</f>
        <v>2.3017902813299074E-2</v>
      </c>
      <c r="DA60" s="124">
        <f t="shared" si="0"/>
        <v>4.0216504702994413</v>
      </c>
      <c r="DB60" s="124">
        <f>IFERROR((TOWER_DATA[[#This Row],[D, bottom '[m']]]+TOWER_DATA[[#This Row],[D, top '[m']]])/(2*TOWER_DATA[[#This Row],[t '[mm']]]/1000),"")</f>
        <v>215.22435897435898</v>
      </c>
      <c r="DC60" s="124" t="str">
        <f>IFERROR((TOWER_DATA[[#This Row],[D, bottom '[m']]]+#REF!)/(2*#REF!/1000),"")</f>
        <v/>
      </c>
      <c r="DD60" s="149" t="s">
        <v>247</v>
      </c>
      <c r="DE60" s="149">
        <v>62.007000000000005</v>
      </c>
      <c r="DF60" s="149">
        <v>62.007000000000005</v>
      </c>
      <c r="DG60" s="149">
        <v>144</v>
      </c>
      <c r="DH60" s="149"/>
      <c r="DI60" s="149"/>
      <c r="DJ60" s="149"/>
      <c r="DK60" s="149"/>
      <c r="DL60" s="149"/>
      <c r="DV60" s="117">
        <v>43</v>
      </c>
      <c r="DW60" s="117">
        <v>80.900000000000006</v>
      </c>
      <c r="DX60" s="117">
        <v>80.118000000000009</v>
      </c>
      <c r="DY60" s="117">
        <v>6.7060000000000004</v>
      </c>
      <c r="DZ60" s="117">
        <v>6.7240000000000002</v>
      </c>
      <c r="EA60" s="117">
        <v>31.2</v>
      </c>
      <c r="EC60" s="150" t="s">
        <v>247</v>
      </c>
      <c r="ED60" s="150">
        <v>62.007000000000005</v>
      </c>
      <c r="EE60" s="150">
        <v>62.007000000000005</v>
      </c>
      <c r="EF60" s="150">
        <v>144</v>
      </c>
      <c r="EG60" s="149"/>
      <c r="EH60" s="149"/>
      <c r="EI60" s="149"/>
      <c r="EJ60" s="149"/>
      <c r="EK60" s="149"/>
      <c r="ET60" s="124"/>
      <c r="EU60" s="124"/>
    </row>
    <row r="61" spans="11:151" ht="18" hidden="1" customHeight="1" outlineLevel="1" x14ac:dyDescent="0.25">
      <c r="K61" s="105"/>
      <c r="N61" s="105"/>
      <c r="O61" s="124" t="str">
        <f>IFERROR((MP_DATA[[#This Row],[D, bottom '[m']]]+#REF!)/(2*#REF!/1000),"")</f>
        <v/>
      </c>
      <c r="BE61" s="124" t="str">
        <f>IFERROR(TP_DATA[[#This Row],[Bottom '[m']]]-TP_DATA[[#This Row],[D, top '[m']]], "")</f>
        <v/>
      </c>
      <c r="BF61" s="124" t="str">
        <f>IFERROR(-(TP_DATA[[#This Row],[D, bottom '[m']]]-TP_DATA[[#This Row],[D, top '[m']]])/(TP_DATA[[#This Row],[Bottom '[m']]]-TP_DATA[[#This Row],[Top '[m']]]),"")</f>
        <v/>
      </c>
      <c r="BG61" s="124" t="str">
        <f t="shared" si="1"/>
        <v/>
      </c>
      <c r="BH61" s="124" t="str">
        <f>IFERROR((TP_DATA[[#This Row],[D, bottom '[m']]]+TP_DATA[[#This Row],[D, top '[m']]])/(2*TP_DATA[[#This Row],[t '[mm']]]/1000),"")</f>
        <v/>
      </c>
      <c r="BI61" s="124" t="str">
        <f>IFERROR((TP_DATA[[#This Row],[D, bottom '[m']]]+#REF!)/(2*#REF!/1000),"")</f>
        <v/>
      </c>
      <c r="CS61" s="105">
        <v>44</v>
      </c>
      <c r="CT61" s="105">
        <v>80.118000000000009</v>
      </c>
      <c r="CU61" s="105">
        <v>78.45</v>
      </c>
      <c r="CV61" s="105">
        <v>6.7240000000000002</v>
      </c>
      <c r="CW61" s="105">
        <v>6.7619999999999996</v>
      </c>
      <c r="CX61" s="105">
        <v>31.7</v>
      </c>
      <c r="CY61" s="124">
        <f>IFERROR(TOWER_DATA[[#This Row],[Top '[m']]]-TOWER_DATA[[#This Row],[Bottom '[m']]], "")</f>
        <v>1.6680000000000064</v>
      </c>
      <c r="CZ61" s="124">
        <f>IFERROR(-(TOWER_DATA[[#This Row],[D, bottom '[m']]]-TOWER_DATA[[#This Row],[D, top '[m']]])/(TOWER_DATA[[#This Row],[Bottom '[m']]]-TOWER_DATA[[#This Row],[Top '[m']]]),"")</f>
        <v>2.2781774580335264E-2</v>
      </c>
      <c r="DA61" s="124">
        <f t="shared" si="0"/>
        <v>8.751479715240583</v>
      </c>
      <c r="DB61" s="124">
        <f>IFERROR((TOWER_DATA[[#This Row],[D, bottom '[m']]]+TOWER_DATA[[#This Row],[D, top '[m']]])/(2*TOWER_DATA[[#This Row],[t '[mm']]]/1000),"")</f>
        <v>212.71293375394325</v>
      </c>
      <c r="DC61" s="124" t="str">
        <f>IFERROR((TOWER_DATA[[#This Row],[D, bottom '[m']]]+#REF!)/(2*#REF!/1000),"")</f>
        <v/>
      </c>
      <c r="DD61" s="149" t="s">
        <v>247</v>
      </c>
      <c r="DE61" s="149">
        <v>57.896000000000001</v>
      </c>
      <c r="DF61" s="149">
        <v>57.896000000000001</v>
      </c>
      <c r="DG61" s="149">
        <v>144</v>
      </c>
      <c r="DH61" s="149"/>
      <c r="DI61" s="149"/>
      <c r="DJ61" s="149"/>
      <c r="DK61" s="149"/>
      <c r="DL61" s="149"/>
      <c r="DV61" s="117">
        <v>44</v>
      </c>
      <c r="DW61" s="117">
        <v>80.118000000000009</v>
      </c>
      <c r="DX61" s="117">
        <v>78.45</v>
      </c>
      <c r="DY61" s="117">
        <v>6.7240000000000002</v>
      </c>
      <c r="DZ61" s="117">
        <v>6.7619999999999996</v>
      </c>
      <c r="EA61" s="117">
        <v>31.7</v>
      </c>
      <c r="EC61" s="150" t="s">
        <v>247</v>
      </c>
      <c r="ED61" s="150">
        <v>57.896000000000001</v>
      </c>
      <c r="EE61" s="150">
        <v>57.896000000000001</v>
      </c>
      <c r="EF61" s="150">
        <v>144</v>
      </c>
      <c r="EG61" s="149"/>
      <c r="EH61" s="149"/>
      <c r="EI61" s="149"/>
      <c r="EJ61" s="149"/>
      <c r="EK61" s="149"/>
      <c r="ET61" s="124"/>
      <c r="EU61" s="124"/>
    </row>
    <row r="62" spans="11:151" ht="18" hidden="1" customHeight="1" outlineLevel="1" x14ac:dyDescent="0.25">
      <c r="K62" s="105"/>
      <c r="N62" s="105"/>
      <c r="O62" s="124" t="str">
        <f>IFERROR((MP_DATA[[#This Row],[D, bottom '[m']]]+#REF!)/(2*#REF!/1000),"")</f>
        <v/>
      </c>
      <c r="BE62" s="124" t="str">
        <f>IFERROR(TP_DATA[[#This Row],[Bottom '[m']]]-TP_DATA[[#This Row],[D, top '[m']]], "")</f>
        <v/>
      </c>
      <c r="BF62" s="124" t="str">
        <f>IFERROR(-(TP_DATA[[#This Row],[D, bottom '[m']]]-TP_DATA[[#This Row],[D, top '[m']]])/(TP_DATA[[#This Row],[Bottom '[m']]]-TP_DATA[[#This Row],[Top '[m']]]),"")</f>
        <v/>
      </c>
      <c r="BG62" s="124" t="str">
        <f t="shared" si="1"/>
        <v/>
      </c>
      <c r="BH62" s="124" t="str">
        <f>IFERROR((TP_DATA[[#This Row],[D, bottom '[m']]]+TP_DATA[[#This Row],[D, top '[m']]])/(2*TP_DATA[[#This Row],[t '[mm']]]/1000),"")</f>
        <v/>
      </c>
      <c r="BI62" s="124" t="str">
        <f>IFERROR((TP_DATA[[#This Row],[D, bottom '[m']]]+#REF!)/(2*#REF!/1000),"")</f>
        <v/>
      </c>
      <c r="CS62" s="105">
        <v>45</v>
      </c>
      <c r="CT62" s="105">
        <v>78.45</v>
      </c>
      <c r="CU62" s="105">
        <v>77.396000000000001</v>
      </c>
      <c r="CV62" s="105">
        <v>6.7619999999999996</v>
      </c>
      <c r="CW62" s="105">
        <v>6.7859999999999996</v>
      </c>
      <c r="CX62" s="105">
        <v>31.7</v>
      </c>
      <c r="CY62" s="124">
        <f>IFERROR(TOWER_DATA[[#This Row],[Top '[m']]]-TOWER_DATA[[#This Row],[Bottom '[m']]], "")</f>
        <v>1.054000000000002</v>
      </c>
      <c r="CZ62" s="124">
        <f>IFERROR(-(TOWER_DATA[[#This Row],[D, bottom '[m']]]-TOWER_DATA[[#This Row],[D, top '[m']]])/(TOWER_DATA[[#This Row],[Bottom '[m']]]-TOWER_DATA[[#This Row],[Top '[m']]]),"")</f>
        <v>2.277039848197341E-2</v>
      </c>
      <c r="DA62" s="124">
        <f t="shared" si="0"/>
        <v>5.5555553031988758</v>
      </c>
      <c r="DB62" s="124">
        <f>IFERROR((TOWER_DATA[[#This Row],[D, bottom '[m']]]+TOWER_DATA[[#This Row],[D, top '[m']]])/(2*TOWER_DATA[[#This Row],[t '[mm']]]/1000),"")</f>
        <v>213.69085173501574</v>
      </c>
      <c r="DC62" s="124" t="str">
        <f>IFERROR((TOWER_DATA[[#This Row],[D, bottom '[m']]]+#REF!)/(2*#REF!/1000),"")</f>
        <v/>
      </c>
      <c r="DD62" s="149" t="s">
        <v>247</v>
      </c>
      <c r="DE62" s="149">
        <v>55.153999999999996</v>
      </c>
      <c r="DF62" s="149">
        <v>55.153999999999996</v>
      </c>
      <c r="DG62" s="149">
        <v>144</v>
      </c>
      <c r="DH62" s="149"/>
      <c r="DI62" s="149"/>
      <c r="DJ62" s="149"/>
      <c r="DK62" s="149"/>
      <c r="DL62" s="149"/>
      <c r="DV62" s="117">
        <v>45</v>
      </c>
      <c r="DW62" s="117">
        <v>78.45</v>
      </c>
      <c r="DX62" s="117">
        <v>77.396000000000001</v>
      </c>
      <c r="DY62" s="117">
        <v>6.7619999999999996</v>
      </c>
      <c r="DZ62" s="117">
        <v>6.7859999999999996</v>
      </c>
      <c r="EA62" s="117">
        <v>31.7</v>
      </c>
      <c r="EC62" s="150" t="s">
        <v>247</v>
      </c>
      <c r="ED62" s="150">
        <v>55.153999999999996</v>
      </c>
      <c r="EE62" s="150">
        <v>55.153999999999996</v>
      </c>
      <c r="EF62" s="150">
        <v>144</v>
      </c>
      <c r="EG62" s="149"/>
      <c r="EH62" s="149"/>
      <c r="EI62" s="149"/>
      <c r="EJ62" s="149"/>
      <c r="EK62" s="149"/>
      <c r="ET62" s="124"/>
      <c r="EU62" s="124"/>
    </row>
    <row r="63" spans="11:151" ht="18" hidden="1" customHeight="1" outlineLevel="1" x14ac:dyDescent="0.25">
      <c r="K63" s="105"/>
      <c r="N63" s="105"/>
      <c r="O63" s="124" t="str">
        <f>IFERROR((MP_DATA[[#This Row],[D, bottom '[m']]]+#REF!)/(2*#REF!/1000),"")</f>
        <v/>
      </c>
      <c r="BE63" s="124" t="str">
        <f>IFERROR(TP_DATA[[#This Row],[Bottom '[m']]]-TP_DATA[[#This Row],[D, top '[m']]], "")</f>
        <v/>
      </c>
      <c r="BF63" s="124" t="str">
        <f>IFERROR(-(TP_DATA[[#This Row],[D, bottom '[m']]]-TP_DATA[[#This Row],[D, top '[m']]])/(TP_DATA[[#This Row],[Bottom '[m']]]-TP_DATA[[#This Row],[Top '[m']]]),"")</f>
        <v/>
      </c>
      <c r="BG63" s="124" t="str">
        <f t="shared" si="1"/>
        <v/>
      </c>
      <c r="BH63" s="124" t="str">
        <f>IFERROR((TP_DATA[[#This Row],[D, bottom '[m']]]+TP_DATA[[#This Row],[D, top '[m']]])/(2*TP_DATA[[#This Row],[t '[mm']]]/1000),"")</f>
        <v/>
      </c>
      <c r="BI63" s="124" t="str">
        <f>IFERROR((TP_DATA[[#This Row],[D, bottom '[m']]]+#REF!)/(2*#REF!/1000),"")</f>
        <v/>
      </c>
      <c r="CS63" s="105">
        <v>46</v>
      </c>
      <c r="CT63" s="105">
        <v>77.396000000000001</v>
      </c>
      <c r="CU63" s="105">
        <v>74.674000000000007</v>
      </c>
      <c r="CV63" s="105">
        <v>6.7859999999999996</v>
      </c>
      <c r="CW63" s="105">
        <v>6.8479999999999999</v>
      </c>
      <c r="CX63" s="105">
        <v>32.200000000000003</v>
      </c>
      <c r="CY63" s="124">
        <f>IFERROR(TOWER_DATA[[#This Row],[Top '[m']]]-TOWER_DATA[[#This Row],[Bottom '[m']]], "")</f>
        <v>2.7219999999999942</v>
      </c>
      <c r="CZ63" s="124">
        <f>IFERROR(-(TOWER_DATA[[#This Row],[D, bottom '[m']]]-TOWER_DATA[[#This Row],[D, top '[m']]])/(TOWER_DATA[[#This Row],[Bottom '[m']]]-TOWER_DATA[[#This Row],[Top '[m']]]),"")</f>
        <v>2.2777369581190452E-2</v>
      </c>
      <c r="DA63" s="124">
        <f t="shared" si="0"/>
        <v>14.665624875429092</v>
      </c>
      <c r="DB63" s="124">
        <f>IFERROR((TOWER_DATA[[#This Row],[D, bottom '[m']]]+TOWER_DATA[[#This Row],[D, top '[m']]])/(2*TOWER_DATA[[#This Row],[t '[mm']]]/1000),"")</f>
        <v>211.70807453416151</v>
      </c>
      <c r="DC63" s="124" t="str">
        <f>IFERROR((TOWER_DATA[[#This Row],[D, bottom '[m']]]+#REF!)/(2*#REF!/1000),"")</f>
        <v/>
      </c>
      <c r="DD63" s="149" t="s">
        <v>247</v>
      </c>
      <c r="DE63" s="149">
        <v>53.786000000000001</v>
      </c>
      <c r="DF63" s="149">
        <v>53.786000000000001</v>
      </c>
      <c r="DG63" s="149">
        <v>145</v>
      </c>
      <c r="DH63" s="149"/>
      <c r="DI63" s="149"/>
      <c r="DJ63" s="149"/>
      <c r="DK63" s="149"/>
      <c r="DL63" s="149"/>
      <c r="DV63" s="117">
        <v>46</v>
      </c>
      <c r="DW63" s="117">
        <v>77.396000000000001</v>
      </c>
      <c r="DX63" s="117">
        <v>74.674000000000007</v>
      </c>
      <c r="DY63" s="117">
        <v>6.7859999999999996</v>
      </c>
      <c r="DZ63" s="117">
        <v>6.8479999999999999</v>
      </c>
      <c r="EA63" s="117">
        <v>32.200000000000003</v>
      </c>
      <c r="EC63" s="150" t="s">
        <v>247</v>
      </c>
      <c r="ED63" s="150">
        <v>53.786000000000001</v>
      </c>
      <c r="EE63" s="150">
        <v>53.786000000000001</v>
      </c>
      <c r="EF63" s="150">
        <v>145</v>
      </c>
      <c r="EG63" s="149"/>
      <c r="EH63" s="149"/>
      <c r="EI63" s="149"/>
      <c r="EJ63" s="149"/>
      <c r="EK63" s="149"/>
      <c r="ET63" s="124"/>
      <c r="EU63" s="124"/>
    </row>
    <row r="64" spans="11:151" ht="18" hidden="1" customHeight="1" outlineLevel="1" x14ac:dyDescent="0.25">
      <c r="K64" s="105"/>
      <c r="N64" s="105"/>
      <c r="O64" s="124" t="str">
        <f>IFERROR((MP_DATA[[#This Row],[D, bottom '[m']]]+#REF!)/(2*#REF!/1000),"")</f>
        <v/>
      </c>
      <c r="BE64" s="124" t="str">
        <f>IFERROR(TP_DATA[[#This Row],[Bottom '[m']]]-TP_DATA[[#This Row],[D, top '[m']]], "")</f>
        <v/>
      </c>
      <c r="BF64" s="124" t="str">
        <f>IFERROR(-(TP_DATA[[#This Row],[D, bottom '[m']]]-TP_DATA[[#This Row],[D, top '[m']]])/(TP_DATA[[#This Row],[Bottom '[m']]]-TP_DATA[[#This Row],[Top '[m']]]),"")</f>
        <v/>
      </c>
      <c r="BG64" s="124" t="str">
        <f t="shared" si="1"/>
        <v/>
      </c>
      <c r="BH64" s="124" t="str">
        <f>IFERROR((TP_DATA[[#This Row],[D, bottom '[m']]]+TP_DATA[[#This Row],[D, top '[m']]])/(2*TP_DATA[[#This Row],[t '[mm']]]/1000),"")</f>
        <v/>
      </c>
      <c r="BI64" s="124" t="str">
        <f>IFERROR((TP_DATA[[#This Row],[D, bottom '[m']]]+#REF!)/(2*#REF!/1000),"")</f>
        <v/>
      </c>
      <c r="CS64" s="105">
        <v>47</v>
      </c>
      <c r="CT64" s="105">
        <v>74.674000000000007</v>
      </c>
      <c r="CU64" s="105">
        <v>71.951999999999998</v>
      </c>
      <c r="CV64" s="105">
        <v>6.8479999999999999</v>
      </c>
      <c r="CW64" s="105">
        <v>6.9109999999999996</v>
      </c>
      <c r="CX64" s="105">
        <v>32.5</v>
      </c>
      <c r="CY64" s="124">
        <f>IFERROR(TOWER_DATA[[#This Row],[Top '[m']]]-TOWER_DATA[[#This Row],[Bottom '[m']]], "")</f>
        <v>2.7220000000000084</v>
      </c>
      <c r="CZ64" s="124">
        <f>IFERROR(-(TOWER_DATA[[#This Row],[D, bottom '[m']]]-TOWER_DATA[[#This Row],[D, top '[m']]])/(TOWER_DATA[[#This Row],[Bottom '[m']]]-TOWER_DATA[[#This Row],[Top '[m']]]),"")</f>
        <v>2.3144746509919004E-2</v>
      </c>
      <c r="DA64" s="124">
        <f t="shared" si="0"/>
        <v>14.937961615821818</v>
      </c>
      <c r="DB64" s="124">
        <f>IFERROR((TOWER_DATA[[#This Row],[D, bottom '[m']]]+TOWER_DATA[[#This Row],[D, top '[m']]])/(2*TOWER_DATA[[#This Row],[t '[mm']]]/1000),"")</f>
        <v>211.67692307692309</v>
      </c>
      <c r="DC64" s="124" t="str">
        <f>IFERROR((TOWER_DATA[[#This Row],[D, bottom '[m']]]+#REF!)/(2*#REF!/1000),"")</f>
        <v/>
      </c>
      <c r="DD64" s="149" t="s">
        <v>247</v>
      </c>
      <c r="DE64" s="149">
        <v>50.900000000000006</v>
      </c>
      <c r="DF64" s="149">
        <v>50.900000000000006</v>
      </c>
      <c r="DG64" s="149">
        <v>145</v>
      </c>
      <c r="DH64" s="149"/>
      <c r="DI64" s="149"/>
      <c r="DJ64" s="149"/>
      <c r="DK64" s="149"/>
      <c r="DL64" s="149"/>
      <c r="DV64" s="117">
        <v>47</v>
      </c>
      <c r="DW64" s="117">
        <v>74.674000000000007</v>
      </c>
      <c r="DX64" s="117">
        <v>71.951999999999998</v>
      </c>
      <c r="DY64" s="117">
        <v>6.8479999999999999</v>
      </c>
      <c r="DZ64" s="117">
        <v>6.9109999999999996</v>
      </c>
      <c r="EA64" s="117">
        <v>32.5</v>
      </c>
      <c r="EC64" s="150" t="s">
        <v>247</v>
      </c>
      <c r="ED64" s="150">
        <v>50.900000000000006</v>
      </c>
      <c r="EE64" s="150">
        <v>50.900000000000006</v>
      </c>
      <c r="EF64" s="150">
        <v>145</v>
      </c>
      <c r="EG64" s="149"/>
      <c r="EH64" s="149"/>
      <c r="EI64" s="149"/>
      <c r="EJ64" s="149"/>
      <c r="EK64" s="149"/>
      <c r="ET64" s="124"/>
      <c r="EU64" s="124"/>
    </row>
    <row r="65" spans="11:151" ht="18" hidden="1" customHeight="1" outlineLevel="1" x14ac:dyDescent="0.25">
      <c r="K65" s="105"/>
      <c r="N65" s="105"/>
      <c r="O65" s="124" t="str">
        <f>IFERROR((MP_DATA[[#This Row],[D, bottom '[m']]]+#REF!)/(2*#REF!/1000),"")</f>
        <v/>
      </c>
      <c r="BE65" s="124" t="str">
        <f>IFERROR(TP_DATA[[#This Row],[Bottom '[m']]]-TP_DATA[[#This Row],[D, top '[m']]], "")</f>
        <v/>
      </c>
      <c r="BF65" s="124" t="str">
        <f>IFERROR(-(TP_DATA[[#This Row],[D, bottom '[m']]]-TP_DATA[[#This Row],[D, top '[m']]])/(TP_DATA[[#This Row],[Bottom '[m']]]-TP_DATA[[#This Row],[Top '[m']]]),"")</f>
        <v/>
      </c>
      <c r="BG65" s="124" t="str">
        <f t="shared" si="1"/>
        <v/>
      </c>
      <c r="BH65" s="124" t="str">
        <f>IFERROR((TP_DATA[[#This Row],[D, bottom '[m']]]+TP_DATA[[#This Row],[D, top '[m']]])/(2*TP_DATA[[#This Row],[t '[mm']]]/1000),"")</f>
        <v/>
      </c>
      <c r="BI65" s="124" t="str">
        <f>IFERROR((TP_DATA[[#This Row],[D, bottom '[m']]]+#REF!)/(2*#REF!/1000),"")</f>
        <v/>
      </c>
      <c r="CS65" s="105">
        <v>48</v>
      </c>
      <c r="CT65" s="105">
        <v>71.951999999999998</v>
      </c>
      <c r="CU65" s="105">
        <v>70.900000000000006</v>
      </c>
      <c r="CV65" s="105">
        <v>6.9109999999999996</v>
      </c>
      <c r="CW65" s="105">
        <v>6.9340000000000002</v>
      </c>
      <c r="CX65" s="105">
        <v>33.5</v>
      </c>
      <c r="CY65" s="124">
        <f>IFERROR(TOWER_DATA[[#This Row],[Top '[m']]]-TOWER_DATA[[#This Row],[Bottom '[m']]], "")</f>
        <v>1.0519999999999925</v>
      </c>
      <c r="CZ65" s="124">
        <f>IFERROR(-(TOWER_DATA[[#This Row],[D, bottom '[m']]]-TOWER_DATA[[#This Row],[D, top '[m']]])/(TOWER_DATA[[#This Row],[Bottom '[m']]]-TOWER_DATA[[#This Row],[Top '[m']]]),"")</f>
        <v>2.1863117870723137E-2</v>
      </c>
      <c r="DA65" s="124">
        <f t="shared" si="0"/>
        <v>5.9873722621344063</v>
      </c>
      <c r="DB65" s="124">
        <f>IFERROR((TOWER_DATA[[#This Row],[D, bottom '[m']]]+TOWER_DATA[[#This Row],[D, top '[m']]])/(2*TOWER_DATA[[#This Row],[t '[mm']]]/1000),"")</f>
        <v>206.64179104477608</v>
      </c>
      <c r="DC65" s="124" t="str">
        <f>IFERROR((TOWER_DATA[[#This Row],[D, bottom '[m']]]+#REF!)/(2*#REF!/1000),"")</f>
        <v/>
      </c>
      <c r="DD65" s="149" t="s">
        <v>247</v>
      </c>
      <c r="DE65" s="149">
        <v>49.674999999999997</v>
      </c>
      <c r="DF65" s="149">
        <v>49.674999999999997</v>
      </c>
      <c r="DG65" s="149">
        <v>145</v>
      </c>
      <c r="DH65" s="149"/>
      <c r="DI65" s="149"/>
      <c r="DJ65" s="149"/>
      <c r="DK65" s="149"/>
      <c r="DL65" s="149"/>
      <c r="DV65" s="117">
        <v>48</v>
      </c>
      <c r="DW65" s="117">
        <v>71.951999999999998</v>
      </c>
      <c r="DX65" s="117">
        <v>70.900000000000006</v>
      </c>
      <c r="DY65" s="117">
        <v>6.9109999999999996</v>
      </c>
      <c r="DZ65" s="117">
        <v>6.9340000000000002</v>
      </c>
      <c r="EA65" s="117">
        <v>33.5</v>
      </c>
      <c r="EC65" s="150" t="s">
        <v>247</v>
      </c>
      <c r="ED65" s="150">
        <v>49.674999999999997</v>
      </c>
      <c r="EE65" s="150">
        <v>49.674999999999997</v>
      </c>
      <c r="EF65" s="150">
        <v>145</v>
      </c>
      <c r="EG65" s="149"/>
      <c r="EH65" s="149"/>
      <c r="EI65" s="149"/>
      <c r="EJ65" s="149"/>
      <c r="EK65" s="149"/>
      <c r="ET65" s="124"/>
      <c r="EU65" s="124"/>
    </row>
    <row r="66" spans="11:151" ht="18" hidden="1" customHeight="1" outlineLevel="1" x14ac:dyDescent="0.25">
      <c r="K66" s="105"/>
      <c r="N66" s="105"/>
      <c r="O66" s="124" t="str">
        <f>IFERROR((MP_DATA[[#This Row],[D, bottom '[m']]]+#REF!)/(2*#REF!/1000),"")</f>
        <v/>
      </c>
      <c r="BE66" s="124" t="str">
        <f>IFERROR(TP_DATA[[#This Row],[Bottom '[m']]]-TP_DATA[[#This Row],[D, top '[m']]], "")</f>
        <v/>
      </c>
      <c r="BF66" s="124" t="str">
        <f>IFERROR(-(TP_DATA[[#This Row],[D, bottom '[m']]]-TP_DATA[[#This Row],[D, top '[m']]])/(TP_DATA[[#This Row],[Bottom '[m']]]-TP_DATA[[#This Row],[Top '[m']]]),"")</f>
        <v/>
      </c>
      <c r="BG66" s="124" t="str">
        <f t="shared" si="1"/>
        <v/>
      </c>
      <c r="BH66" s="124" t="str">
        <f>IFERROR((TP_DATA[[#This Row],[D, bottom '[m']]]+TP_DATA[[#This Row],[D, top '[m']]])/(2*TP_DATA[[#This Row],[t '[mm']]]/1000),"")</f>
        <v/>
      </c>
      <c r="BI66" s="124" t="str">
        <f>IFERROR((TP_DATA[[#This Row],[D, bottom '[m']]]+#REF!)/(2*#REF!/1000),"")</f>
        <v/>
      </c>
      <c r="CS66" s="105">
        <v>49</v>
      </c>
      <c r="CT66" s="105">
        <v>70.900000000000006</v>
      </c>
      <c r="CU66" s="105">
        <v>69.225000000000009</v>
      </c>
      <c r="CV66" s="105">
        <v>6.9340000000000002</v>
      </c>
      <c r="CW66" s="105">
        <v>6.9720000000000004</v>
      </c>
      <c r="CX66" s="105">
        <v>33.5</v>
      </c>
      <c r="CY66" s="124">
        <f>IFERROR(TOWER_DATA[[#This Row],[Top '[m']]]-TOWER_DATA[[#This Row],[Bottom '[m']]], "")</f>
        <v>1.6749999999999972</v>
      </c>
      <c r="CZ66" s="124">
        <f>IFERROR(-(TOWER_DATA[[#This Row],[D, bottom '[m']]]-TOWER_DATA[[#This Row],[D, top '[m']]])/(TOWER_DATA[[#This Row],[Bottom '[m']]]-TOWER_DATA[[#This Row],[Top '[m']]]),"")</f>
        <v>2.2686567164179296E-2</v>
      </c>
      <c r="DA66" s="124">
        <f t="shared" si="0"/>
        <v>9.5753324534747843</v>
      </c>
      <c r="DB66" s="124">
        <f>IFERROR((TOWER_DATA[[#This Row],[D, bottom '[m']]]+TOWER_DATA[[#This Row],[D, top '[m']]])/(2*TOWER_DATA[[#This Row],[t '[mm']]]/1000),"")</f>
        <v>207.55223880597015</v>
      </c>
      <c r="DC66" s="124" t="str">
        <f>IFERROR((TOWER_DATA[[#This Row],[D, bottom '[m']]]+#REF!)/(2*#REF!/1000),"")</f>
        <v/>
      </c>
      <c r="DD66" s="149" t="s">
        <v>247</v>
      </c>
      <c r="DE66" s="149">
        <v>45.564000000000007</v>
      </c>
      <c r="DF66" s="149">
        <v>45.564000000000007</v>
      </c>
      <c r="DG66" s="149">
        <v>146</v>
      </c>
      <c r="DH66" s="149"/>
      <c r="DI66" s="149"/>
      <c r="DJ66" s="149"/>
      <c r="DK66" s="149"/>
      <c r="DL66" s="149"/>
      <c r="DV66" s="117">
        <v>49</v>
      </c>
      <c r="DW66" s="117">
        <v>70.900000000000006</v>
      </c>
      <c r="DX66" s="117">
        <v>69.225000000000009</v>
      </c>
      <c r="DY66" s="117">
        <v>6.9340000000000002</v>
      </c>
      <c r="DZ66" s="117">
        <v>6.9720000000000004</v>
      </c>
      <c r="EA66" s="117">
        <v>33.5</v>
      </c>
      <c r="EC66" s="150" t="s">
        <v>247</v>
      </c>
      <c r="ED66" s="150">
        <v>45.564000000000007</v>
      </c>
      <c r="EE66" s="150">
        <v>45.564000000000007</v>
      </c>
      <c r="EF66" s="150">
        <v>146</v>
      </c>
      <c r="EG66" s="149"/>
      <c r="EH66" s="149"/>
      <c r="EI66" s="149"/>
      <c r="EJ66" s="149"/>
      <c r="EK66" s="149"/>
      <c r="ET66" s="124"/>
      <c r="EU66" s="124"/>
    </row>
    <row r="67" spans="11:151" ht="18" hidden="1" customHeight="1" outlineLevel="1" x14ac:dyDescent="0.25">
      <c r="K67" s="105"/>
      <c r="N67" s="105"/>
      <c r="O67" s="124" t="str">
        <f>IFERROR((MP_DATA[[#This Row],[D, bottom '[m']]]+#REF!)/(2*#REF!/1000),"")</f>
        <v/>
      </c>
      <c r="BE67" s="124" t="str">
        <f>IFERROR(TP_DATA[[#This Row],[Bottom '[m']]]-TP_DATA[[#This Row],[D, top '[m']]], "")</f>
        <v/>
      </c>
      <c r="BF67" s="124" t="str">
        <f>IFERROR(-(TP_DATA[[#This Row],[D, bottom '[m']]]-TP_DATA[[#This Row],[D, top '[m']]])/(TP_DATA[[#This Row],[Bottom '[m']]]-TP_DATA[[#This Row],[Top '[m']]]),"")</f>
        <v/>
      </c>
      <c r="BG67" s="124" t="str">
        <f t="shared" si="1"/>
        <v/>
      </c>
      <c r="BH67" s="124" t="str">
        <f>IFERROR((TP_DATA[[#This Row],[D, bottom '[m']]]+TP_DATA[[#This Row],[D, top '[m']]])/(2*TP_DATA[[#This Row],[t '[mm']]]/1000),"")</f>
        <v/>
      </c>
      <c r="BI67" s="124" t="str">
        <f>IFERROR((TP_DATA[[#This Row],[D, bottom '[m']]]+#REF!)/(2*#REF!/1000),"")</f>
        <v/>
      </c>
      <c r="CS67" s="105">
        <v>50</v>
      </c>
      <c r="CT67" s="105">
        <v>69.225000000000009</v>
      </c>
      <c r="CU67" s="105">
        <v>66.490000000000009</v>
      </c>
      <c r="CV67" s="105">
        <v>6.9720000000000004</v>
      </c>
      <c r="CW67" s="105">
        <v>7.0380000000000003</v>
      </c>
      <c r="CX67" s="105">
        <v>34</v>
      </c>
      <c r="CY67" s="124">
        <f>IFERROR(TOWER_DATA[[#This Row],[Top '[m']]]-TOWER_DATA[[#This Row],[Bottom '[m']]], "")</f>
        <v>2.7349999999999994</v>
      </c>
      <c r="CZ67" s="124">
        <f>IFERROR(-(TOWER_DATA[[#This Row],[D, bottom '[m']]]-TOWER_DATA[[#This Row],[D, top '[m']]])/(TOWER_DATA[[#This Row],[Bottom '[m']]]-TOWER_DATA[[#This Row],[Top '[m']]]),"")</f>
        <v>2.4131627056672707E-2</v>
      </c>
      <c r="DA67" s="124">
        <f t="shared" si="0"/>
        <v>15.986406792159258</v>
      </c>
      <c r="DB67" s="124">
        <f>IFERROR((TOWER_DATA[[#This Row],[D, bottom '[m']]]+TOWER_DATA[[#This Row],[D, top '[m']]])/(2*TOWER_DATA[[#This Row],[t '[mm']]]/1000),"")</f>
        <v>206.02941176470588</v>
      </c>
      <c r="DC67" s="124" t="str">
        <f>IFERROR((TOWER_DATA[[#This Row],[D, bottom '[m']]]+#REF!)/(2*#REF!/1000),"")</f>
        <v/>
      </c>
      <c r="DD67" s="149" t="s">
        <v>247</v>
      </c>
      <c r="DE67" s="149">
        <v>41.561000000000007</v>
      </c>
      <c r="DF67" s="149">
        <v>41.561000000000007</v>
      </c>
      <c r="DG67" s="149">
        <v>146</v>
      </c>
      <c r="DH67" s="149"/>
      <c r="DI67" s="149"/>
      <c r="DJ67" s="149"/>
      <c r="DK67" s="149"/>
      <c r="DL67" s="149"/>
      <c r="DV67" s="117">
        <v>50</v>
      </c>
      <c r="DW67" s="117">
        <v>69.225000000000009</v>
      </c>
      <c r="DX67" s="117">
        <v>66.490000000000009</v>
      </c>
      <c r="DY67" s="117">
        <v>6.9720000000000004</v>
      </c>
      <c r="DZ67" s="117">
        <v>7.0380000000000003</v>
      </c>
      <c r="EA67" s="117">
        <v>34</v>
      </c>
      <c r="EC67" s="150" t="s">
        <v>247</v>
      </c>
      <c r="ED67" s="150">
        <v>41.561000000000007</v>
      </c>
      <c r="EE67" s="150">
        <v>41.561000000000007</v>
      </c>
      <c r="EF67" s="150">
        <v>146</v>
      </c>
      <c r="EG67" s="149"/>
      <c r="EH67" s="149"/>
      <c r="EI67" s="149"/>
      <c r="EJ67" s="149"/>
      <c r="EK67" s="149"/>
      <c r="ET67" s="124"/>
      <c r="EU67" s="124"/>
    </row>
    <row r="68" spans="11:151" ht="18" hidden="1" customHeight="1" outlineLevel="1" x14ac:dyDescent="0.25">
      <c r="K68" s="105"/>
      <c r="N68" s="105"/>
      <c r="O68" s="124" t="str">
        <f>IFERROR((MP_DATA[[#This Row],[D, bottom '[m']]]+#REF!)/(2*#REF!/1000),"")</f>
        <v/>
      </c>
      <c r="BE68" s="124" t="str">
        <f>IFERROR(TP_DATA[[#This Row],[Bottom '[m']]]-TP_DATA[[#This Row],[D, top '[m']]], "")</f>
        <v/>
      </c>
      <c r="BF68" s="124" t="str">
        <f>IFERROR(-(TP_DATA[[#This Row],[D, bottom '[m']]]-TP_DATA[[#This Row],[D, top '[m']]])/(TP_DATA[[#This Row],[Bottom '[m']]]-TP_DATA[[#This Row],[Top '[m']]]),"")</f>
        <v/>
      </c>
      <c r="BG68" s="124" t="str">
        <f t="shared" si="1"/>
        <v/>
      </c>
      <c r="BH68" s="124" t="str">
        <f>IFERROR((TP_DATA[[#This Row],[D, bottom '[m']]]+TP_DATA[[#This Row],[D, top '[m']]])/(2*TP_DATA[[#This Row],[t '[mm']]]/1000),"")</f>
        <v/>
      </c>
      <c r="BI68" s="124" t="str">
        <f>IFERROR((TP_DATA[[#This Row],[D, bottom '[m']]]+#REF!)/(2*#REF!/1000),"")</f>
        <v/>
      </c>
      <c r="CS68" s="105">
        <v>51</v>
      </c>
      <c r="CT68" s="105">
        <v>66.490000000000009</v>
      </c>
      <c r="CU68" s="105">
        <v>66.445000000000007</v>
      </c>
      <c r="CV68" s="105">
        <v>7.0380000000000003</v>
      </c>
      <c r="CW68" s="105">
        <v>7.0380000000000003</v>
      </c>
      <c r="CX68" s="105">
        <v>38</v>
      </c>
      <c r="CY68" s="124">
        <f>IFERROR(TOWER_DATA[[#This Row],[Top '[m']]]-TOWER_DATA[[#This Row],[Bottom '[m']]], "")</f>
        <v>4.5000000000001705E-2</v>
      </c>
      <c r="CZ68" s="124">
        <f>IFERROR(-(TOWER_DATA[[#This Row],[D, bottom '[m']]]-TOWER_DATA[[#This Row],[D, top '[m']]])/(TOWER_DATA[[#This Row],[Bottom '[m']]]-TOWER_DATA[[#This Row],[Top '[m']]]),"")</f>
        <v>0</v>
      </c>
      <c r="DA68" s="124">
        <f t="shared" si="0"/>
        <v>0.29519818289824729</v>
      </c>
      <c r="DB68" s="124">
        <f>IFERROR((TOWER_DATA[[#This Row],[D, bottom '[m']]]+TOWER_DATA[[#This Row],[D, top '[m']]])/(2*TOWER_DATA[[#This Row],[t '[mm']]]/1000),"")</f>
        <v>185.21052631578948</v>
      </c>
      <c r="DC68" s="124" t="str">
        <f>IFERROR((TOWER_DATA[[#This Row],[D, bottom '[m']]]+#REF!)/(2*#REF!/1000),"")</f>
        <v/>
      </c>
      <c r="DD68" s="149" t="s">
        <v>247</v>
      </c>
      <c r="DE68" s="149">
        <v>40.900000000000006</v>
      </c>
      <c r="DF68" s="149">
        <v>40.900000000000006</v>
      </c>
      <c r="DG68" s="149">
        <v>150</v>
      </c>
      <c r="DH68" s="149"/>
      <c r="DI68" s="149"/>
      <c r="DJ68" s="149"/>
      <c r="DK68" s="149"/>
      <c r="DL68" s="149"/>
      <c r="DV68" s="117">
        <v>51</v>
      </c>
      <c r="DW68" s="117">
        <v>66.490000000000009</v>
      </c>
      <c r="DX68" s="117">
        <v>66.445000000000007</v>
      </c>
      <c r="DY68" s="117">
        <v>7.0380000000000003</v>
      </c>
      <c r="DZ68" s="117">
        <v>7.0380000000000003</v>
      </c>
      <c r="EA68" s="117">
        <v>38</v>
      </c>
      <c r="EC68" s="150" t="s">
        <v>247</v>
      </c>
      <c r="ED68" s="150">
        <v>40.900000000000006</v>
      </c>
      <c r="EE68" s="150">
        <v>40.900000000000006</v>
      </c>
      <c r="EF68" s="150">
        <v>150</v>
      </c>
      <c r="EG68" s="149"/>
      <c r="EH68" s="149"/>
      <c r="EI68" s="149"/>
      <c r="EJ68" s="149"/>
      <c r="EK68" s="149"/>
      <c r="ET68" s="124"/>
      <c r="EU68" s="124"/>
    </row>
    <row r="69" spans="11:151" ht="18" hidden="1" customHeight="1" outlineLevel="1" x14ac:dyDescent="0.25">
      <c r="K69" s="105"/>
      <c r="N69" s="105"/>
      <c r="O69" s="124" t="str">
        <f>IFERROR((MP_DATA[[#This Row],[D, bottom '[m']]]+#REF!)/(2*#REF!/1000),"")</f>
        <v/>
      </c>
      <c r="BE69" s="124" t="str">
        <f>IFERROR(TP_DATA[[#This Row],[Bottom '[m']]]-TP_DATA[[#This Row],[D, top '[m']]], "")</f>
        <v/>
      </c>
      <c r="BF69" s="124" t="str">
        <f>IFERROR(-(TP_DATA[[#This Row],[D, bottom '[m']]]-TP_DATA[[#This Row],[D, top '[m']]])/(TP_DATA[[#This Row],[Bottom '[m']]]-TP_DATA[[#This Row],[Top '[m']]]),"")</f>
        <v/>
      </c>
      <c r="BG69" s="124" t="str">
        <f t="shared" si="1"/>
        <v/>
      </c>
      <c r="BH69" s="124" t="str">
        <f>IFERROR((TP_DATA[[#This Row],[D, bottom '[m']]]+TP_DATA[[#This Row],[D, top '[m']]])/(2*TP_DATA[[#This Row],[t '[mm']]]/1000),"")</f>
        <v/>
      </c>
      <c r="BI69" s="124" t="str">
        <f>IFERROR((TP_DATA[[#This Row],[D, bottom '[m']]]+#REF!)/(2*#REF!/1000),"")</f>
        <v/>
      </c>
      <c r="CS69" s="105">
        <v>52</v>
      </c>
      <c r="CT69" s="105">
        <v>66.445000000000007</v>
      </c>
      <c r="CU69" s="105">
        <v>66.260000000000005</v>
      </c>
      <c r="CV69" s="105">
        <v>7.0380000000000003</v>
      </c>
      <c r="CW69" s="105">
        <v>7.0380000000000003</v>
      </c>
      <c r="CX69" s="105">
        <v>38</v>
      </c>
      <c r="CY69" s="124">
        <f>IFERROR(TOWER_DATA[[#This Row],[Top '[m']]]-TOWER_DATA[[#This Row],[Bottom '[m']]], "")</f>
        <v>0.18500000000000227</v>
      </c>
      <c r="CZ69" s="124">
        <f>IFERROR(-(TOWER_DATA[[#This Row],[D, bottom '[m']]]-TOWER_DATA[[#This Row],[D, top '[m']]])/(TOWER_DATA[[#This Row],[Bottom '[m']]]-TOWER_DATA[[#This Row],[Top '[m']]]),"")</f>
        <v>0</v>
      </c>
      <c r="DA69" s="124">
        <f t="shared" si="0"/>
        <v>1.2135925296927634</v>
      </c>
      <c r="DB69" s="124">
        <f>IFERROR((TOWER_DATA[[#This Row],[D, bottom '[m']]]+TOWER_DATA[[#This Row],[D, top '[m']]])/(2*TOWER_DATA[[#This Row],[t '[mm']]]/1000),"")</f>
        <v>185.21052631578948</v>
      </c>
      <c r="DC69" s="124" t="str">
        <f>IFERROR((TOWER_DATA[[#This Row],[D, bottom '[m']]]+#REF!)/(2*#REF!/1000),"")</f>
        <v/>
      </c>
      <c r="DD69" s="149" t="s">
        <v>247</v>
      </c>
      <c r="DE69" s="149">
        <v>38.725000000000001</v>
      </c>
      <c r="DF69" s="149">
        <v>38.725000000000001</v>
      </c>
      <c r="DG69" s="149">
        <v>7072</v>
      </c>
      <c r="DH69" s="149"/>
      <c r="DI69" s="149"/>
      <c r="DJ69" s="149"/>
      <c r="DK69" s="149"/>
      <c r="DL69" s="149"/>
      <c r="DV69" s="117">
        <v>52</v>
      </c>
      <c r="DW69" s="117">
        <v>66.445000000000007</v>
      </c>
      <c r="DX69" s="117">
        <v>66.260000000000005</v>
      </c>
      <c r="DY69" s="117">
        <v>7.0380000000000003</v>
      </c>
      <c r="DZ69" s="117">
        <v>7.0380000000000003</v>
      </c>
      <c r="EA69" s="117">
        <v>38</v>
      </c>
      <c r="EC69" s="150" t="s">
        <v>247</v>
      </c>
      <c r="ED69" s="150">
        <v>38.725000000000001</v>
      </c>
      <c r="EE69" s="150">
        <v>38.725000000000001</v>
      </c>
      <c r="EF69" s="150">
        <v>7072</v>
      </c>
      <c r="EG69" s="149"/>
      <c r="EH69" s="149"/>
      <c r="EI69" s="149"/>
      <c r="EJ69" s="149"/>
      <c r="EK69" s="149"/>
      <c r="ET69" s="124"/>
      <c r="EU69" s="124"/>
    </row>
    <row r="70" spans="11:151" ht="18" hidden="1" customHeight="1" outlineLevel="1" x14ac:dyDescent="0.25">
      <c r="K70" s="105"/>
      <c r="N70" s="105"/>
      <c r="O70" s="124" t="str">
        <f>IFERROR((MP_DATA[[#This Row],[D, bottom '[m']]]+#REF!)/(2*#REF!/1000),"")</f>
        <v/>
      </c>
      <c r="BE70" s="124" t="str">
        <f>IFERROR(TP_DATA[[#This Row],[Bottom '[m']]]-TP_DATA[[#This Row],[D, top '[m']]], "")</f>
        <v/>
      </c>
      <c r="BF70" s="124" t="str">
        <f>IFERROR(-(TP_DATA[[#This Row],[D, bottom '[m']]]-TP_DATA[[#This Row],[D, top '[m']]])/(TP_DATA[[#This Row],[Bottom '[m']]]-TP_DATA[[#This Row],[Top '[m']]]),"")</f>
        <v/>
      </c>
      <c r="BG70" s="124" t="str">
        <f t="shared" si="1"/>
        <v/>
      </c>
      <c r="BH70" s="124" t="str">
        <f>IFERROR((TP_DATA[[#This Row],[D, bottom '[m']]]+TP_DATA[[#This Row],[D, top '[m']]])/(2*TP_DATA[[#This Row],[t '[mm']]]/1000),"")</f>
        <v/>
      </c>
      <c r="BI70" s="124" t="str">
        <f>IFERROR((TP_DATA[[#This Row],[D, bottom '[m']]]+#REF!)/(2*#REF!/1000),"")</f>
        <v/>
      </c>
      <c r="CS70" s="105">
        <v>53</v>
      </c>
      <c r="CT70" s="105">
        <v>66.260000000000005</v>
      </c>
      <c r="CU70" s="105">
        <v>66.075000000000003</v>
      </c>
      <c r="CV70" s="105">
        <v>7.0380000000000003</v>
      </c>
      <c r="CW70" s="105">
        <v>7.0380000000000003</v>
      </c>
      <c r="CX70" s="105">
        <v>38</v>
      </c>
      <c r="CY70" s="124">
        <f>IFERROR(TOWER_DATA[[#This Row],[Top '[m']]]-TOWER_DATA[[#This Row],[Bottom '[m']]], "")</f>
        <v>0.18500000000000227</v>
      </c>
      <c r="CZ70" s="124">
        <f>IFERROR(-(TOWER_DATA[[#This Row],[D, bottom '[m']]]-TOWER_DATA[[#This Row],[D, top '[m']]])/(TOWER_DATA[[#This Row],[Bottom '[m']]]-TOWER_DATA[[#This Row],[Top '[m']]]),"")</f>
        <v>0</v>
      </c>
      <c r="DA70" s="124">
        <f t="shared" si="0"/>
        <v>1.2135925296927634</v>
      </c>
      <c r="DB70" s="124">
        <f>IFERROR((TOWER_DATA[[#This Row],[D, bottom '[m']]]+TOWER_DATA[[#This Row],[D, top '[m']]])/(2*TOWER_DATA[[#This Row],[t '[mm']]]/1000),"")</f>
        <v>185.21052631578948</v>
      </c>
      <c r="DC70" s="124" t="str">
        <f>IFERROR((TOWER_DATA[[#This Row],[D, bottom '[m']]]+#REF!)/(2*#REF!/1000),"")</f>
        <v/>
      </c>
      <c r="DD70" s="149" t="s">
        <v>247</v>
      </c>
      <c r="DE70" s="149">
        <v>38.540000000000006</v>
      </c>
      <c r="DF70" s="149">
        <v>38.540000000000006</v>
      </c>
      <c r="DG70" s="149">
        <v>11176</v>
      </c>
      <c r="DH70" s="149"/>
      <c r="DI70" s="149"/>
      <c r="DJ70" s="149"/>
      <c r="DK70" s="149"/>
      <c r="DL70" s="149"/>
      <c r="DV70" s="117">
        <v>53</v>
      </c>
      <c r="DW70" s="117">
        <v>66.260000000000005</v>
      </c>
      <c r="DX70" s="117">
        <v>66.075000000000003</v>
      </c>
      <c r="DY70" s="117">
        <v>7.0380000000000003</v>
      </c>
      <c r="DZ70" s="117">
        <v>7.0380000000000003</v>
      </c>
      <c r="EA70" s="117">
        <v>38</v>
      </c>
      <c r="EC70" s="150" t="s">
        <v>247</v>
      </c>
      <c r="ED70" s="150">
        <v>38.540000000000006</v>
      </c>
      <c r="EE70" s="150">
        <v>38.540000000000006</v>
      </c>
      <c r="EF70" s="150">
        <v>11176</v>
      </c>
      <c r="EG70" s="149"/>
      <c r="EH70" s="149"/>
      <c r="EI70" s="149"/>
      <c r="EJ70" s="149"/>
      <c r="EK70" s="149"/>
      <c r="ET70" s="124"/>
      <c r="EU70" s="124"/>
    </row>
    <row r="71" spans="11:151" ht="18" hidden="1" customHeight="1" outlineLevel="1" x14ac:dyDescent="0.25">
      <c r="K71" s="105"/>
      <c r="N71" s="105"/>
      <c r="O71" s="124" t="str">
        <f>IFERROR((MP_DATA[[#This Row],[D, bottom '[m']]]+#REF!)/(2*#REF!/1000),"")</f>
        <v/>
      </c>
      <c r="BE71" s="124" t="str">
        <f>IFERROR(TP_DATA[[#This Row],[Bottom '[m']]]-TP_DATA[[#This Row],[D, top '[m']]], "")</f>
        <v/>
      </c>
      <c r="BF71" s="124" t="str">
        <f>IFERROR(-(TP_DATA[[#This Row],[D, bottom '[m']]]-TP_DATA[[#This Row],[D, top '[m']]])/(TP_DATA[[#This Row],[Bottom '[m']]]-TP_DATA[[#This Row],[Top '[m']]]),"")</f>
        <v/>
      </c>
      <c r="BG71" s="124" t="str">
        <f t="shared" si="1"/>
        <v/>
      </c>
      <c r="BH71" s="124" t="str">
        <f>IFERROR((TP_DATA[[#This Row],[D, bottom '[m']]]+TP_DATA[[#This Row],[D, top '[m']]])/(2*TP_DATA[[#This Row],[t '[mm']]]/1000),"")</f>
        <v/>
      </c>
      <c r="BI71" s="124" t="str">
        <f>IFERROR((TP_DATA[[#This Row],[D, bottom '[m']]]+#REF!)/(2*#REF!/1000),"")</f>
        <v/>
      </c>
      <c r="CS71" s="105">
        <v>54</v>
      </c>
      <c r="CT71" s="105">
        <v>66.075000000000003</v>
      </c>
      <c r="CU71" s="105">
        <v>66.03</v>
      </c>
      <c r="CV71" s="105">
        <v>7.0380000000000003</v>
      </c>
      <c r="CW71" s="105">
        <v>7.032</v>
      </c>
      <c r="CX71" s="105">
        <v>38</v>
      </c>
      <c r="CY71" s="124">
        <f>IFERROR(TOWER_DATA[[#This Row],[Top '[m']]]-TOWER_DATA[[#This Row],[Bottom '[m']]], "")</f>
        <v>4.5000000000001705E-2</v>
      </c>
      <c r="CZ71" s="124">
        <f>IFERROR(-(TOWER_DATA[[#This Row],[D, bottom '[m']]]-TOWER_DATA[[#This Row],[D, top '[m']]])/(TOWER_DATA[[#This Row],[Bottom '[m']]]-TOWER_DATA[[#This Row],[Top '[m']]]),"")</f>
        <v>-0.13333333333333333</v>
      </c>
      <c r="DA71" s="124">
        <f t="shared" si="0"/>
        <v>0.29507166939129226</v>
      </c>
      <c r="DB71" s="124">
        <f>IFERROR((TOWER_DATA[[#This Row],[D, bottom '[m']]]+TOWER_DATA[[#This Row],[D, top '[m']]])/(2*TOWER_DATA[[#This Row],[t '[mm']]]/1000),"")</f>
        <v>185.13157894736844</v>
      </c>
      <c r="DC71" s="124" t="str">
        <f>IFERROR((TOWER_DATA[[#This Row],[D, bottom '[m']]]+#REF!)/(2*#REF!/1000),"")</f>
        <v/>
      </c>
      <c r="DD71" s="149" t="s">
        <v>247</v>
      </c>
      <c r="DE71" s="149">
        <v>38.355000000000004</v>
      </c>
      <c r="DF71" s="149">
        <v>38.355000000000004</v>
      </c>
      <c r="DG71" s="149">
        <v>6</v>
      </c>
      <c r="DH71" s="149"/>
      <c r="DI71" s="149"/>
      <c r="DJ71" s="149"/>
      <c r="DK71" s="149"/>
      <c r="DL71" s="149"/>
      <c r="DV71" s="117">
        <v>54</v>
      </c>
      <c r="DW71" s="117">
        <v>66.075000000000003</v>
      </c>
      <c r="DX71" s="117">
        <v>66.03</v>
      </c>
      <c r="DY71" s="117">
        <v>7.0380000000000003</v>
      </c>
      <c r="DZ71" s="117">
        <v>7.032</v>
      </c>
      <c r="EA71" s="117">
        <v>38</v>
      </c>
      <c r="EC71" s="150" t="s">
        <v>247</v>
      </c>
      <c r="ED71" s="150">
        <v>38.355000000000004</v>
      </c>
      <c r="EE71" s="150">
        <v>38.355000000000004</v>
      </c>
      <c r="EF71" s="150">
        <v>6</v>
      </c>
      <c r="EG71" s="149"/>
      <c r="EH71" s="149"/>
      <c r="EI71" s="149"/>
      <c r="EJ71" s="149"/>
      <c r="EK71" s="149"/>
      <c r="ET71" s="124"/>
      <c r="EU71" s="124"/>
    </row>
    <row r="72" spans="11:151" ht="18" hidden="1" customHeight="1" outlineLevel="1" x14ac:dyDescent="0.25">
      <c r="K72" s="105"/>
      <c r="N72" s="105"/>
      <c r="O72" s="124" t="str">
        <f>IFERROR((MP_DATA[[#This Row],[D, bottom '[m']]]+#REF!)/(2*#REF!/1000),"")</f>
        <v/>
      </c>
      <c r="BE72" s="124" t="str">
        <f>IFERROR(TP_DATA[[#This Row],[Bottom '[m']]]-TP_DATA[[#This Row],[D, top '[m']]], "")</f>
        <v/>
      </c>
      <c r="BF72" s="124" t="str">
        <f>IFERROR(-(TP_DATA[[#This Row],[D, bottom '[m']]]-TP_DATA[[#This Row],[D, top '[m']]])/(TP_DATA[[#This Row],[Bottom '[m']]]-TP_DATA[[#This Row],[Top '[m']]]),"")</f>
        <v/>
      </c>
      <c r="BG72" s="124" t="str">
        <f t="shared" si="1"/>
        <v/>
      </c>
      <c r="BH72" s="124" t="str">
        <f>IFERROR((TP_DATA[[#This Row],[D, bottom '[m']]]+TP_DATA[[#This Row],[D, top '[m']]])/(2*TP_DATA[[#This Row],[t '[mm']]]/1000),"")</f>
        <v/>
      </c>
      <c r="BI72" s="124" t="str">
        <f>IFERROR((TP_DATA[[#This Row],[D, bottom '[m']]]+#REF!)/(2*#REF!/1000),"")</f>
        <v/>
      </c>
      <c r="CS72" s="105">
        <v>55</v>
      </c>
      <c r="CT72" s="105">
        <v>66.03</v>
      </c>
      <c r="CU72" s="105">
        <v>63.308000000000007</v>
      </c>
      <c r="CV72" s="105">
        <v>7.032</v>
      </c>
      <c r="CW72" s="105">
        <v>7.0759999999999996</v>
      </c>
      <c r="CX72" s="105">
        <v>32</v>
      </c>
      <c r="CY72" s="124">
        <f>IFERROR(TOWER_DATA[[#This Row],[Top '[m']]]-TOWER_DATA[[#This Row],[Bottom '[m']]], "")</f>
        <v>2.7219999999999942</v>
      </c>
      <c r="CZ72" s="124">
        <f>IFERROR(-(TOWER_DATA[[#This Row],[D, bottom '[m']]]-TOWER_DATA[[#This Row],[D, top '[m']]])/(TOWER_DATA[[#This Row],[Bottom '[m']]]-TOWER_DATA[[#This Row],[Top '[m']]]),"")</f>
        <v>1.6164584864070422E-2</v>
      </c>
      <c r="DA72" s="124">
        <f t="shared" si="0"/>
        <v>15.0840670340591</v>
      </c>
      <c r="DB72" s="124">
        <f>IFERROR((TOWER_DATA[[#This Row],[D, bottom '[m']]]+TOWER_DATA[[#This Row],[D, top '[m']]])/(2*TOWER_DATA[[#This Row],[t '[mm']]]/1000),"")</f>
        <v>220.4375</v>
      </c>
      <c r="DC72" s="124" t="str">
        <f>IFERROR((TOWER_DATA[[#This Row],[D, bottom '[m']]]+#REF!)/(2*#REF!/1000),"")</f>
        <v/>
      </c>
      <c r="DD72" s="149" t="s">
        <v>247</v>
      </c>
      <c r="DE72" s="149">
        <v>38.305000000000007</v>
      </c>
      <c r="DF72" s="149">
        <v>38.305000000000007</v>
      </c>
      <c r="DG72" s="149">
        <v>2</v>
      </c>
      <c r="DH72" s="149"/>
      <c r="DI72" s="149"/>
      <c r="DJ72" s="149"/>
      <c r="DK72" s="149"/>
      <c r="DL72" s="149"/>
      <c r="DV72" s="117">
        <v>55</v>
      </c>
      <c r="DW72" s="117">
        <v>66.03</v>
      </c>
      <c r="DX72" s="117">
        <v>63.308000000000007</v>
      </c>
      <c r="DY72" s="117">
        <v>7.032</v>
      </c>
      <c r="DZ72" s="117">
        <v>7.0759999999999996</v>
      </c>
      <c r="EA72" s="117">
        <v>32</v>
      </c>
      <c r="EC72" s="150" t="s">
        <v>247</v>
      </c>
      <c r="ED72" s="150">
        <v>38.305000000000007</v>
      </c>
      <c r="EE72" s="150">
        <v>38.305000000000007</v>
      </c>
      <c r="EF72" s="150">
        <v>2</v>
      </c>
      <c r="EG72" s="149"/>
      <c r="EH72" s="149"/>
      <c r="EI72" s="149"/>
      <c r="EJ72" s="149"/>
      <c r="EK72" s="149"/>
      <c r="ET72" s="124"/>
      <c r="EU72" s="124"/>
    </row>
    <row r="73" spans="11:151" ht="18" hidden="1" customHeight="1" outlineLevel="1" x14ac:dyDescent="0.25">
      <c r="K73" s="105"/>
      <c r="N73" s="105"/>
      <c r="O73" s="124" t="str">
        <f>IFERROR((MP_DATA[[#This Row],[D, bottom '[m']]]+#REF!)/(2*#REF!/1000),"")</f>
        <v/>
      </c>
      <c r="BE73" s="124" t="str">
        <f>IFERROR(TP_DATA[[#This Row],[Bottom '[m']]]-TP_DATA[[#This Row],[D, top '[m']]], "")</f>
        <v/>
      </c>
      <c r="BF73" s="124" t="str">
        <f>IFERROR(-(TP_DATA[[#This Row],[D, bottom '[m']]]-TP_DATA[[#This Row],[D, top '[m']]])/(TP_DATA[[#This Row],[Bottom '[m']]]-TP_DATA[[#This Row],[Top '[m']]]),"")</f>
        <v/>
      </c>
      <c r="BG73" s="124" t="str">
        <f t="shared" si="1"/>
        <v/>
      </c>
      <c r="BH73" s="124" t="str">
        <f>IFERROR((TP_DATA[[#This Row],[D, bottom '[m']]]+TP_DATA[[#This Row],[D, top '[m']]])/(2*TP_DATA[[#This Row],[t '[mm']]]/1000),"")</f>
        <v/>
      </c>
      <c r="BI73" s="124" t="str">
        <f>IFERROR((TP_DATA[[#This Row],[D, bottom '[m']]]+#REF!)/(2*#REF!/1000),"")</f>
        <v/>
      </c>
      <c r="CS73" s="105">
        <v>56</v>
      </c>
      <c r="CT73" s="105">
        <v>63.308000000000007</v>
      </c>
      <c r="CU73" s="105">
        <v>62.007000000000005</v>
      </c>
      <c r="CV73" s="105">
        <v>7.0759999999999996</v>
      </c>
      <c r="CW73" s="105">
        <v>7.0970000000000004</v>
      </c>
      <c r="CX73" s="105">
        <v>33</v>
      </c>
      <c r="CY73" s="124">
        <f>IFERROR(TOWER_DATA[[#This Row],[Top '[m']]]-TOWER_DATA[[#This Row],[Bottom '[m']]], "")</f>
        <v>1.3010000000000019</v>
      </c>
      <c r="CZ73" s="124">
        <f>IFERROR(-(TOWER_DATA[[#This Row],[D, bottom '[m']]]-TOWER_DATA[[#This Row],[D, top '[m']]])/(TOWER_DATA[[#This Row],[Bottom '[m']]]-TOWER_DATA[[#This Row],[Top '[m']]]),"")</f>
        <v>1.6141429669485598E-2</v>
      </c>
      <c r="DA73" s="124">
        <f t="shared" si="0"/>
        <v>7.4681913438982228</v>
      </c>
      <c r="DB73" s="124">
        <f>IFERROR((TOWER_DATA[[#This Row],[D, bottom '[m']]]+TOWER_DATA[[#This Row],[D, top '[m']]])/(2*TOWER_DATA[[#This Row],[t '[mm']]]/1000),"")</f>
        <v>214.74242424242422</v>
      </c>
      <c r="DC73" s="124" t="str">
        <f>IFERROR((TOWER_DATA[[#This Row],[D, bottom '[m']]]+#REF!)/(2*#REF!/1000),"")</f>
        <v/>
      </c>
      <c r="DD73" s="149" t="s">
        <v>247</v>
      </c>
      <c r="DE73" s="149">
        <v>37.343000000000004</v>
      </c>
      <c r="DF73" s="149">
        <v>37.343000000000004</v>
      </c>
      <c r="DG73" s="149">
        <v>1318</v>
      </c>
      <c r="DH73" s="149"/>
      <c r="DI73" s="149"/>
      <c r="DJ73" s="149"/>
      <c r="DK73" s="149"/>
      <c r="DL73" s="149"/>
      <c r="DV73" s="117">
        <v>56</v>
      </c>
      <c r="DW73" s="117">
        <v>63.308000000000007</v>
      </c>
      <c r="DX73" s="117">
        <v>62.007000000000005</v>
      </c>
      <c r="DY73" s="117">
        <v>7.0759999999999996</v>
      </c>
      <c r="DZ73" s="117">
        <v>7.0970000000000004</v>
      </c>
      <c r="EA73" s="117">
        <v>33</v>
      </c>
      <c r="EC73" s="150" t="s">
        <v>247</v>
      </c>
      <c r="ED73" s="150">
        <v>37.343000000000004</v>
      </c>
      <c r="EE73" s="150">
        <v>37.343000000000004</v>
      </c>
      <c r="EF73" s="150">
        <v>1318</v>
      </c>
      <c r="EG73" s="149"/>
      <c r="EH73" s="149"/>
      <c r="EI73" s="149"/>
      <c r="EJ73" s="149"/>
      <c r="EK73" s="149"/>
      <c r="ET73" s="124"/>
      <c r="EU73" s="124"/>
    </row>
    <row r="74" spans="11:151" ht="18" hidden="1" customHeight="1" outlineLevel="1" x14ac:dyDescent="0.25">
      <c r="K74" s="105"/>
      <c r="N74" s="105"/>
      <c r="O74" s="124" t="str">
        <f>IFERROR((MP_DATA[[#This Row],[D, bottom '[m']]]+#REF!)/(2*#REF!/1000),"")</f>
        <v/>
      </c>
      <c r="BE74" s="124" t="str">
        <f>IFERROR(TP_DATA[[#This Row],[Bottom '[m']]]-TP_DATA[[#This Row],[D, top '[m']]], "")</f>
        <v/>
      </c>
      <c r="BF74" s="124" t="str">
        <f>IFERROR(-(TP_DATA[[#This Row],[D, bottom '[m']]]-TP_DATA[[#This Row],[D, top '[m']]])/(TP_DATA[[#This Row],[Bottom '[m']]]-TP_DATA[[#This Row],[Top '[m']]]),"")</f>
        <v/>
      </c>
      <c r="BG74" s="124" t="str">
        <f t="shared" si="1"/>
        <v/>
      </c>
      <c r="BH74" s="124" t="str">
        <f>IFERROR((TP_DATA[[#This Row],[D, bottom '[m']]]+TP_DATA[[#This Row],[D, top '[m']]])/(2*TP_DATA[[#This Row],[t '[mm']]]/1000),"")</f>
        <v/>
      </c>
      <c r="BI74" s="124" t="str">
        <f>IFERROR((TP_DATA[[#This Row],[D, bottom '[m']]]+#REF!)/(2*#REF!/1000),"")</f>
        <v/>
      </c>
      <c r="CS74" s="105">
        <v>57</v>
      </c>
      <c r="CT74" s="105">
        <v>62.007000000000005</v>
      </c>
      <c r="CU74" s="105">
        <v>60.900000000000006</v>
      </c>
      <c r="CV74" s="105">
        <v>7.0970000000000004</v>
      </c>
      <c r="CW74" s="105">
        <v>7.1139999999999999</v>
      </c>
      <c r="CX74" s="105">
        <v>33</v>
      </c>
      <c r="CY74" s="124">
        <f>IFERROR(TOWER_DATA[[#This Row],[Top '[m']]]-TOWER_DATA[[#This Row],[Bottom '[m']]], "")</f>
        <v>1.1069999999999993</v>
      </c>
      <c r="CZ74" s="124">
        <f>IFERROR(-(TOWER_DATA[[#This Row],[D, bottom '[m']]]-TOWER_DATA[[#This Row],[D, top '[m']]])/(TOWER_DATA[[#This Row],[Bottom '[m']]]-TOWER_DATA[[#This Row],[Top '[m']]]),"")</f>
        <v>1.5356820234868536E-2</v>
      </c>
      <c r="DA74" s="124">
        <f t="shared" si="0"/>
        <v>6.3716813187634509</v>
      </c>
      <c r="DB74" s="124">
        <f>IFERROR((TOWER_DATA[[#This Row],[D, bottom '[m']]]+TOWER_DATA[[#This Row],[D, top '[m']]])/(2*TOWER_DATA[[#This Row],[t '[mm']]]/1000),"")</f>
        <v>215.31818181818181</v>
      </c>
      <c r="DC74" s="124" t="str">
        <f>IFERROR((TOWER_DATA[[#This Row],[D, bottom '[m']]]+#REF!)/(2*#REF!/1000),"")</f>
        <v/>
      </c>
      <c r="DD74" s="149" t="s">
        <v>247</v>
      </c>
      <c r="DE74" s="149">
        <v>33.231999999999999</v>
      </c>
      <c r="DF74" s="149">
        <v>33.231999999999999</v>
      </c>
      <c r="DG74" s="149">
        <v>158</v>
      </c>
      <c r="DH74" s="149"/>
      <c r="DI74" s="149"/>
      <c r="DJ74" s="149"/>
      <c r="DK74" s="149"/>
      <c r="DL74" s="149"/>
      <c r="DV74" s="117">
        <v>57</v>
      </c>
      <c r="DW74" s="117">
        <v>62.007000000000005</v>
      </c>
      <c r="DX74" s="117">
        <v>60.900000000000006</v>
      </c>
      <c r="DY74" s="117">
        <v>7.0970000000000004</v>
      </c>
      <c r="DZ74" s="117">
        <v>7.1139999999999999</v>
      </c>
      <c r="EA74" s="117">
        <v>33</v>
      </c>
      <c r="EC74" s="150" t="s">
        <v>247</v>
      </c>
      <c r="ED74" s="150">
        <v>33.231999999999999</v>
      </c>
      <c r="EE74" s="150">
        <v>33.231999999999999</v>
      </c>
      <c r="EF74" s="150">
        <v>158</v>
      </c>
      <c r="EG74" s="149"/>
      <c r="EH74" s="149"/>
      <c r="EI74" s="149"/>
      <c r="EJ74" s="149"/>
      <c r="EK74" s="149"/>
      <c r="ET74" s="124"/>
      <c r="EU74" s="124"/>
    </row>
    <row r="75" spans="11:151" ht="18" hidden="1" customHeight="1" outlineLevel="1" x14ac:dyDescent="0.25">
      <c r="K75" s="105"/>
      <c r="N75" s="105"/>
      <c r="O75" s="124" t="str">
        <f>IFERROR((MP_DATA[[#This Row],[D, bottom '[m']]]+#REF!)/(2*#REF!/1000),"")</f>
        <v/>
      </c>
      <c r="BE75" s="124" t="str">
        <f>IFERROR(TP_DATA[[#This Row],[Bottom '[m']]]-TP_DATA[[#This Row],[D, top '[m']]], "")</f>
        <v/>
      </c>
      <c r="BF75" s="124" t="str">
        <f>IFERROR(-(TP_DATA[[#This Row],[D, bottom '[m']]]-TP_DATA[[#This Row],[D, top '[m']]])/(TP_DATA[[#This Row],[Bottom '[m']]]-TP_DATA[[#This Row],[Top '[m']]]),"")</f>
        <v/>
      </c>
      <c r="BG75" s="124" t="str">
        <f t="shared" si="1"/>
        <v/>
      </c>
      <c r="BH75" s="124" t="str">
        <f>IFERROR((TP_DATA[[#This Row],[D, bottom '[m']]]+TP_DATA[[#This Row],[D, top '[m']]])/(2*TP_DATA[[#This Row],[t '[mm']]]/1000),"")</f>
        <v/>
      </c>
      <c r="BI75" s="124" t="str">
        <f>IFERROR((TP_DATA[[#This Row],[D, bottom '[m']]]+#REF!)/(2*#REF!/1000),"")</f>
        <v/>
      </c>
      <c r="CS75" s="105">
        <v>58</v>
      </c>
      <c r="CT75" s="105">
        <v>60.900000000000006</v>
      </c>
      <c r="CU75" s="105">
        <v>60.59</v>
      </c>
      <c r="CV75" s="105">
        <v>7.1139999999999999</v>
      </c>
      <c r="CW75" s="105">
        <v>7.1189999999999998</v>
      </c>
      <c r="CX75" s="105">
        <v>33</v>
      </c>
      <c r="CY75" s="124">
        <f>IFERROR(TOWER_DATA[[#This Row],[Top '[m']]]-TOWER_DATA[[#This Row],[Bottom '[m']]], "")</f>
        <v>0.31000000000000227</v>
      </c>
      <c r="CZ75" s="124">
        <f>IFERROR(-(TOWER_DATA[[#This Row],[D, bottom '[m']]]-TOWER_DATA[[#This Row],[D, top '[m']]])/(TOWER_DATA[[#This Row],[Bottom '[m']]]-TOWER_DATA[[#This Row],[Top '[m']]]),"")</f>
        <v>1.6129032258064054E-2</v>
      </c>
      <c r="DA75" s="124">
        <f t="shared" si="0"/>
        <v>1.7870761604983658</v>
      </c>
      <c r="DB75" s="124">
        <f>IFERROR((TOWER_DATA[[#This Row],[D, bottom '[m']]]+TOWER_DATA[[#This Row],[D, top '[m']]])/(2*TOWER_DATA[[#This Row],[t '[mm']]]/1000),"")</f>
        <v>215.65151515151516</v>
      </c>
      <c r="DC75" s="124" t="str">
        <f>IFERROR((TOWER_DATA[[#This Row],[D, bottom '[m']]]+#REF!)/(2*#REF!/1000),"")</f>
        <v/>
      </c>
      <c r="DD75" s="149" t="s">
        <v>247</v>
      </c>
      <c r="DE75" s="149">
        <v>30.900000000000002</v>
      </c>
      <c r="DF75" s="149">
        <v>30.900000000000002</v>
      </c>
      <c r="DG75" s="149">
        <v>158</v>
      </c>
      <c r="DH75" s="149"/>
      <c r="DI75" s="149"/>
      <c r="DJ75" s="149"/>
      <c r="DK75" s="149"/>
      <c r="DL75" s="149"/>
      <c r="DV75" s="117">
        <v>58</v>
      </c>
      <c r="DW75" s="117">
        <v>60.900000000000006</v>
      </c>
      <c r="DX75" s="117">
        <v>60.59</v>
      </c>
      <c r="DY75" s="117">
        <v>7.1139999999999999</v>
      </c>
      <c r="DZ75" s="117">
        <v>7.1189999999999998</v>
      </c>
      <c r="EA75" s="117">
        <v>33</v>
      </c>
      <c r="EC75" s="150" t="s">
        <v>247</v>
      </c>
      <c r="ED75" s="150">
        <v>30.900000000000002</v>
      </c>
      <c r="EE75" s="150">
        <v>30.900000000000002</v>
      </c>
      <c r="EF75" s="150">
        <v>158</v>
      </c>
      <c r="EG75" s="149"/>
      <c r="EH75" s="149"/>
      <c r="EI75" s="149"/>
      <c r="EJ75" s="149"/>
      <c r="EK75" s="149"/>
      <c r="ET75" s="124"/>
      <c r="EU75" s="124"/>
    </row>
    <row r="76" spans="11:151" ht="18" hidden="1" customHeight="1" outlineLevel="1" x14ac:dyDescent="0.25">
      <c r="K76" s="105"/>
      <c r="N76" s="105"/>
      <c r="O76" s="124" t="str">
        <f>IFERROR((MP_DATA[[#This Row],[D, bottom '[m']]]+#REF!)/(2*#REF!/1000),"")</f>
        <v/>
      </c>
      <c r="BE76" s="124" t="str">
        <f>IFERROR(TP_DATA[[#This Row],[Bottom '[m']]]-TP_DATA[[#This Row],[D, top '[m']]], "")</f>
        <v/>
      </c>
      <c r="BF76" s="124" t="str">
        <f>IFERROR(-(TP_DATA[[#This Row],[D, bottom '[m']]]-TP_DATA[[#This Row],[D, top '[m']]])/(TP_DATA[[#This Row],[Bottom '[m']]]-TP_DATA[[#This Row],[Top '[m']]]),"")</f>
        <v/>
      </c>
      <c r="BG76" s="124" t="str">
        <f t="shared" si="1"/>
        <v/>
      </c>
      <c r="BH76" s="124" t="str">
        <f>IFERROR((TP_DATA[[#This Row],[D, bottom '[m']]]+TP_DATA[[#This Row],[D, top '[m']]])/(2*TP_DATA[[#This Row],[t '[mm']]]/1000),"")</f>
        <v/>
      </c>
      <c r="BI76" s="124" t="str">
        <f>IFERROR((TP_DATA[[#This Row],[D, bottom '[m']]]+#REF!)/(2*#REF!/1000),"")</f>
        <v/>
      </c>
      <c r="CS76" s="105">
        <v>59</v>
      </c>
      <c r="CT76" s="105">
        <v>60.59</v>
      </c>
      <c r="CU76" s="105">
        <v>57.896000000000001</v>
      </c>
      <c r="CV76" s="105">
        <v>7.1189999999999998</v>
      </c>
      <c r="CW76" s="105">
        <v>7.1619999999999999</v>
      </c>
      <c r="CX76" s="105">
        <v>33</v>
      </c>
      <c r="CY76" s="124">
        <f>IFERROR(TOWER_DATA[[#This Row],[Top '[m']]]-TOWER_DATA[[#This Row],[Bottom '[m']]], "")</f>
        <v>2.6940000000000026</v>
      </c>
      <c r="CZ76" s="124">
        <f>IFERROR(-(TOWER_DATA[[#This Row],[D, bottom '[m']]]-TOWER_DATA[[#This Row],[D, top '[m']]])/(TOWER_DATA[[#This Row],[Bottom '[m']]]-TOWER_DATA[[#This Row],[Top '[m']]]),"")</f>
        <v>1.5961395694135155E-2</v>
      </c>
      <c r="DA76" s="124">
        <f t="shared" si="0"/>
        <v>15.582887276036354</v>
      </c>
      <c r="DB76" s="124">
        <f>IFERROR((TOWER_DATA[[#This Row],[D, bottom '[m']]]+TOWER_DATA[[#This Row],[D, top '[m']]])/(2*TOWER_DATA[[#This Row],[t '[mm']]]/1000),"")</f>
        <v>216.37878787878785</v>
      </c>
      <c r="DC76" s="124" t="str">
        <f>IFERROR((TOWER_DATA[[#This Row],[D, bottom '[m']]]+#REF!)/(2*#REF!/1000),"")</f>
        <v/>
      </c>
      <c r="DD76" s="149" t="s">
        <v>247</v>
      </c>
      <c r="DE76" s="149">
        <v>29.121000000000002</v>
      </c>
      <c r="DF76" s="149">
        <v>29.121000000000002</v>
      </c>
      <c r="DG76" s="149">
        <v>158</v>
      </c>
      <c r="DH76" s="149"/>
      <c r="DI76" s="149"/>
      <c r="DJ76" s="149"/>
      <c r="DK76" s="149"/>
      <c r="DL76" s="149"/>
      <c r="DV76" s="117">
        <v>59</v>
      </c>
      <c r="DW76" s="117">
        <v>60.59</v>
      </c>
      <c r="DX76" s="117">
        <v>57.896000000000001</v>
      </c>
      <c r="DY76" s="117">
        <v>7.1189999999999998</v>
      </c>
      <c r="DZ76" s="117">
        <v>7.1619999999999999</v>
      </c>
      <c r="EA76" s="117">
        <v>33</v>
      </c>
      <c r="EC76" s="150" t="s">
        <v>247</v>
      </c>
      <c r="ED76" s="150">
        <v>29.121000000000002</v>
      </c>
      <c r="EE76" s="150">
        <v>29.121000000000002</v>
      </c>
      <c r="EF76" s="150">
        <v>158</v>
      </c>
      <c r="EG76" s="149"/>
      <c r="EH76" s="149"/>
      <c r="EI76" s="149"/>
      <c r="EJ76" s="149"/>
      <c r="EK76" s="149"/>
      <c r="ET76" s="124"/>
      <c r="EU76" s="124"/>
    </row>
    <row r="77" spans="11:151" ht="18" hidden="1" customHeight="1" outlineLevel="1" x14ac:dyDescent="0.25">
      <c r="K77" s="105"/>
      <c r="N77" s="105"/>
      <c r="O77" s="124" t="str">
        <f>IFERROR((MP_DATA[[#This Row],[D, bottom '[m']]]+#REF!)/(2*#REF!/1000),"")</f>
        <v/>
      </c>
      <c r="BE77" s="124" t="str">
        <f>IFERROR(TP_DATA[[#This Row],[Bottom '[m']]]-TP_DATA[[#This Row],[D, top '[m']]], "")</f>
        <v/>
      </c>
      <c r="BF77" s="124" t="str">
        <f>IFERROR(-(TP_DATA[[#This Row],[D, bottom '[m']]]-TP_DATA[[#This Row],[D, top '[m']]])/(TP_DATA[[#This Row],[Bottom '[m']]]-TP_DATA[[#This Row],[Top '[m']]]),"")</f>
        <v/>
      </c>
      <c r="BG77" s="124" t="str">
        <f t="shared" si="1"/>
        <v/>
      </c>
      <c r="BH77" s="124" t="str">
        <f>IFERROR((TP_DATA[[#This Row],[D, bottom '[m']]]+TP_DATA[[#This Row],[D, top '[m']]])/(2*TP_DATA[[#This Row],[t '[mm']]]/1000),"")</f>
        <v/>
      </c>
      <c r="BI77" s="124" t="str">
        <f>IFERROR((TP_DATA[[#This Row],[D, bottom '[m']]]+#REF!)/(2*#REF!/1000),"")</f>
        <v/>
      </c>
      <c r="CS77" s="105">
        <v>60</v>
      </c>
      <c r="CT77" s="105">
        <v>57.896000000000001</v>
      </c>
      <c r="CU77" s="105">
        <v>57.872</v>
      </c>
      <c r="CV77" s="105">
        <v>7.1619999999999999</v>
      </c>
      <c r="CW77" s="105">
        <v>7.1630000000000003</v>
      </c>
      <c r="CX77" s="105">
        <v>33</v>
      </c>
      <c r="CY77" s="124">
        <f>IFERROR(TOWER_DATA[[#This Row],[Top '[m']]]-TOWER_DATA[[#This Row],[Bottom '[m']]], "")</f>
        <v>2.4000000000000909E-2</v>
      </c>
      <c r="CZ77" s="124">
        <f>IFERROR(-(TOWER_DATA[[#This Row],[D, bottom '[m']]]-TOWER_DATA[[#This Row],[D, top '[m']]])/(TOWER_DATA[[#This Row],[Bottom '[m']]]-TOWER_DATA[[#This Row],[Top '[m']]]),"")</f>
        <v>4.1666666666679002E-2</v>
      </c>
      <c r="DA77" s="124">
        <f t="shared" si="0"/>
        <v>0.13925275124633829</v>
      </c>
      <c r="DB77" s="124">
        <f>IFERROR((TOWER_DATA[[#This Row],[D, bottom '[m']]]+TOWER_DATA[[#This Row],[D, top '[m']]])/(2*TOWER_DATA[[#This Row],[t '[mm']]]/1000),"")</f>
        <v>217.04545454545453</v>
      </c>
      <c r="DC77" s="124" t="str">
        <f>IFERROR((TOWER_DATA[[#This Row],[D, bottom '[m']]]+#REF!)/(2*#REF!/1000),"")</f>
        <v/>
      </c>
      <c r="DD77" s="149" t="s">
        <v>247</v>
      </c>
      <c r="DE77" s="149">
        <v>25.050000000000004</v>
      </c>
      <c r="DF77" s="149">
        <v>25.050000000000004</v>
      </c>
      <c r="DG77" s="149">
        <v>86</v>
      </c>
      <c r="DH77" s="149"/>
      <c r="DI77" s="149"/>
      <c r="DJ77" s="149"/>
      <c r="DK77" s="149"/>
      <c r="DL77" s="149"/>
      <c r="DV77" s="117">
        <v>60</v>
      </c>
      <c r="DW77" s="117">
        <v>57.896000000000001</v>
      </c>
      <c r="DX77" s="117">
        <v>57.872</v>
      </c>
      <c r="DY77" s="117">
        <v>7.1619999999999999</v>
      </c>
      <c r="DZ77" s="117">
        <v>7.1630000000000003</v>
      </c>
      <c r="EA77" s="117">
        <v>33</v>
      </c>
      <c r="EC77" s="150" t="s">
        <v>247</v>
      </c>
      <c r="ED77" s="150">
        <v>25.050000000000004</v>
      </c>
      <c r="EE77" s="150">
        <v>25.050000000000004</v>
      </c>
      <c r="EF77" s="150">
        <v>86</v>
      </c>
      <c r="EG77" s="149"/>
      <c r="EH77" s="149"/>
      <c r="EI77" s="149"/>
      <c r="EJ77" s="149"/>
      <c r="EK77" s="149"/>
      <c r="ET77" s="124"/>
      <c r="EU77" s="124"/>
    </row>
    <row r="78" spans="11:151" ht="18" hidden="1" customHeight="1" outlineLevel="1" x14ac:dyDescent="0.25">
      <c r="K78" s="105"/>
      <c r="N78" s="105"/>
      <c r="O78" s="124" t="str">
        <f>IFERROR((MP_DATA[[#This Row],[D, bottom '[m']]]+#REF!)/(2*#REF!/1000),"")</f>
        <v/>
      </c>
      <c r="BE78" s="124" t="str">
        <f>IFERROR(TP_DATA[[#This Row],[Bottom '[m']]]-TP_DATA[[#This Row],[D, top '[m']]], "")</f>
        <v/>
      </c>
      <c r="BF78" s="124" t="str">
        <f>IFERROR(-(TP_DATA[[#This Row],[D, bottom '[m']]]-TP_DATA[[#This Row],[D, top '[m']]])/(TP_DATA[[#This Row],[Bottom '[m']]]-TP_DATA[[#This Row],[Top '[m']]]),"")</f>
        <v/>
      </c>
      <c r="BG78" s="124" t="str">
        <f t="shared" si="1"/>
        <v/>
      </c>
      <c r="BH78" s="124" t="str">
        <f>IFERROR((TP_DATA[[#This Row],[D, bottom '[m']]]+TP_DATA[[#This Row],[D, top '[m']]])/(2*TP_DATA[[#This Row],[t '[mm']]]/1000),"")</f>
        <v/>
      </c>
      <c r="BI78" s="124" t="str">
        <f>IFERROR((TP_DATA[[#This Row],[D, bottom '[m']]]+#REF!)/(2*#REF!/1000),"")</f>
        <v/>
      </c>
      <c r="CS78" s="105">
        <v>61</v>
      </c>
      <c r="CT78" s="105">
        <v>57.872</v>
      </c>
      <c r="CU78" s="105">
        <v>55.153999999999996</v>
      </c>
      <c r="CV78" s="105">
        <v>7.1630000000000003</v>
      </c>
      <c r="CW78" s="105">
        <v>7.21</v>
      </c>
      <c r="CX78" s="105">
        <v>34</v>
      </c>
      <c r="CY78" s="124">
        <f>IFERROR(TOWER_DATA[[#This Row],[Top '[m']]]-TOWER_DATA[[#This Row],[Bottom '[m']]], "")</f>
        <v>2.7180000000000035</v>
      </c>
      <c r="CZ78" s="124">
        <f>IFERROR(-(TOWER_DATA[[#This Row],[D, bottom '[m']]]-TOWER_DATA[[#This Row],[D, top '[m']]])/(TOWER_DATA[[#This Row],[Bottom '[m']]]-TOWER_DATA[[#This Row],[Top '[m']]]),"")</f>
        <v>1.7292126563649615E-2</v>
      </c>
      <c r="DA78" s="124">
        <f t="shared" si="0"/>
        <v>16.300681633570363</v>
      </c>
      <c r="DB78" s="124">
        <f>IFERROR((TOWER_DATA[[#This Row],[D, bottom '[m']]]+TOWER_DATA[[#This Row],[D, top '[m']]])/(2*TOWER_DATA[[#This Row],[t '[mm']]]/1000),"")</f>
        <v>211.36764705882354</v>
      </c>
      <c r="DC78" s="124" t="str">
        <f>IFERROR((TOWER_DATA[[#This Row],[D, bottom '[m']]]+#REF!)/(2*#REF!/1000),"")</f>
        <v/>
      </c>
      <c r="DD78" s="149" t="s">
        <v>247</v>
      </c>
      <c r="DE78" s="149">
        <v>25.011000000000003</v>
      </c>
      <c r="DF78" s="149">
        <v>25.011000000000003</v>
      </c>
      <c r="DG78" s="149">
        <v>688</v>
      </c>
      <c r="DH78" s="149"/>
      <c r="DI78" s="149"/>
      <c r="DJ78" s="149"/>
      <c r="DK78" s="149"/>
      <c r="DL78" s="149"/>
      <c r="DV78" s="117">
        <v>61</v>
      </c>
      <c r="DW78" s="117">
        <v>57.872</v>
      </c>
      <c r="DX78" s="117">
        <v>55.153999999999996</v>
      </c>
      <c r="DY78" s="117">
        <v>7.1630000000000003</v>
      </c>
      <c r="DZ78" s="117">
        <v>7.21</v>
      </c>
      <c r="EA78" s="117">
        <v>34</v>
      </c>
      <c r="EC78" s="150" t="s">
        <v>247</v>
      </c>
      <c r="ED78" s="150">
        <v>25.011000000000003</v>
      </c>
      <c r="EE78" s="150">
        <v>25.011000000000003</v>
      </c>
      <c r="EF78" s="150">
        <v>688</v>
      </c>
      <c r="EG78" s="149"/>
      <c r="EH78" s="149"/>
      <c r="EI78" s="149"/>
      <c r="EJ78" s="149"/>
      <c r="EK78" s="149"/>
      <c r="ET78" s="124"/>
      <c r="EU78" s="124"/>
    </row>
    <row r="79" spans="11:151" ht="18" hidden="1" customHeight="1" outlineLevel="1" x14ac:dyDescent="0.25">
      <c r="K79" s="105"/>
      <c r="N79" s="105"/>
      <c r="O79" s="124" t="str">
        <f>IFERROR((MP_DATA[[#This Row],[D, bottom '[m']]]+#REF!)/(2*#REF!/1000),"")</f>
        <v/>
      </c>
      <c r="BE79" s="124" t="str">
        <f>IFERROR(TP_DATA[[#This Row],[Bottom '[m']]]-TP_DATA[[#This Row],[D, top '[m']]], "")</f>
        <v/>
      </c>
      <c r="BF79" s="124" t="str">
        <f>IFERROR(-(TP_DATA[[#This Row],[D, bottom '[m']]]-TP_DATA[[#This Row],[D, top '[m']]])/(TP_DATA[[#This Row],[Bottom '[m']]]-TP_DATA[[#This Row],[Top '[m']]]),"")</f>
        <v/>
      </c>
      <c r="BG79" s="124" t="str">
        <f t="shared" si="1"/>
        <v/>
      </c>
      <c r="BH79" s="124" t="str">
        <f>IFERROR((TP_DATA[[#This Row],[D, bottom '[m']]]+TP_DATA[[#This Row],[D, top '[m']]])/(2*TP_DATA[[#This Row],[t '[mm']]]/1000),"")</f>
        <v/>
      </c>
      <c r="BI79" s="124" t="str">
        <f>IFERROR((TP_DATA[[#This Row],[D, bottom '[m']]]+#REF!)/(2*#REF!/1000),"")</f>
        <v/>
      </c>
      <c r="CS79" s="105">
        <v>62</v>
      </c>
      <c r="CT79" s="105">
        <v>55.153999999999996</v>
      </c>
      <c r="CU79" s="105">
        <v>53.786000000000001</v>
      </c>
      <c r="CV79" s="105">
        <v>7.21</v>
      </c>
      <c r="CW79" s="105">
        <v>7.2309999999999999</v>
      </c>
      <c r="CX79" s="105">
        <v>38.199999999999996</v>
      </c>
      <c r="CY79" s="124">
        <f>IFERROR(TOWER_DATA[[#This Row],[Top '[m']]]-TOWER_DATA[[#This Row],[Bottom '[m']]], "")</f>
        <v>1.367999999999995</v>
      </c>
      <c r="CZ79" s="124">
        <f>IFERROR(-(TOWER_DATA[[#This Row],[D, bottom '[m']]]-TOWER_DATA[[#This Row],[D, top '[m']]])/(TOWER_DATA[[#This Row],[Bottom '[m']]]-TOWER_DATA[[#This Row],[Top '[m']]]),"")</f>
        <v>1.5350877192982445E-2</v>
      </c>
      <c r="DA79" s="124">
        <f t="shared" si="0"/>
        <v>9.2561957628509823</v>
      </c>
      <c r="DB79" s="124">
        <f>IFERROR((TOWER_DATA[[#This Row],[D, bottom '[m']]]+TOWER_DATA[[#This Row],[D, top '[m']]])/(2*TOWER_DATA[[#This Row],[t '[mm']]]/1000),"")</f>
        <v>189.01832460732984</v>
      </c>
      <c r="DC79" s="124" t="str">
        <f>IFERROR((TOWER_DATA[[#This Row],[D, bottom '[m']]]+#REF!)/(2*#REF!/1000),"")</f>
        <v/>
      </c>
      <c r="DD79" s="149" t="s">
        <v>247</v>
      </c>
      <c r="DE79" s="149">
        <v>22.12</v>
      </c>
      <c r="DF79" s="149">
        <v>22.12</v>
      </c>
      <c r="DG79" s="149">
        <v>13900</v>
      </c>
      <c r="DH79" s="149"/>
      <c r="DI79" s="149"/>
      <c r="DJ79" s="149"/>
      <c r="DK79" s="149"/>
      <c r="DL79" s="149"/>
      <c r="DV79" s="117">
        <v>62</v>
      </c>
      <c r="DW79" s="117">
        <v>55.153999999999996</v>
      </c>
      <c r="DX79" s="117">
        <v>53.786000000000001</v>
      </c>
      <c r="DY79" s="117">
        <v>7.21</v>
      </c>
      <c r="DZ79" s="117">
        <v>7.2309999999999999</v>
      </c>
      <c r="EA79" s="117">
        <v>38.199999999999996</v>
      </c>
      <c r="EC79" s="150" t="s">
        <v>247</v>
      </c>
      <c r="ED79" s="150">
        <v>22.12</v>
      </c>
      <c r="EE79" s="150">
        <v>22.12</v>
      </c>
      <c r="EF79" s="150">
        <v>13900</v>
      </c>
      <c r="EG79" s="149"/>
      <c r="EH79" s="149"/>
      <c r="EI79" s="149"/>
      <c r="EJ79" s="149"/>
      <c r="EK79" s="149"/>
      <c r="ET79" s="124"/>
      <c r="EU79" s="124"/>
    </row>
    <row r="80" spans="11:151" ht="18" hidden="1" customHeight="1" outlineLevel="1" x14ac:dyDescent="0.25">
      <c r="K80" s="105"/>
      <c r="N80" s="105"/>
      <c r="O80" s="124" t="str">
        <f>IFERROR((MP_DATA[[#This Row],[D, bottom '[m']]]+#REF!)/(2*#REF!/1000),"")</f>
        <v/>
      </c>
      <c r="BE80" s="124" t="str">
        <f>IFERROR(TP_DATA[[#This Row],[Bottom '[m']]]-TP_DATA[[#This Row],[D, top '[m']]], "")</f>
        <v/>
      </c>
      <c r="BF80" s="124" t="str">
        <f>IFERROR(-(TP_DATA[[#This Row],[D, bottom '[m']]]-TP_DATA[[#This Row],[D, top '[m']]])/(TP_DATA[[#This Row],[Bottom '[m']]]-TP_DATA[[#This Row],[Top '[m']]]),"")</f>
        <v/>
      </c>
      <c r="BG80" s="124" t="str">
        <f t="shared" si="1"/>
        <v/>
      </c>
      <c r="BH80" s="124" t="str">
        <f>IFERROR((TP_DATA[[#This Row],[D, bottom '[m']]]+TP_DATA[[#This Row],[D, top '[m']]])/(2*TP_DATA[[#This Row],[t '[mm']]]/1000),"")</f>
        <v/>
      </c>
      <c r="BI80" s="124" t="str">
        <f>IFERROR((TP_DATA[[#This Row],[D, bottom '[m']]]+#REF!)/(2*#REF!/1000),"")</f>
        <v/>
      </c>
      <c r="CS80" s="105">
        <v>63</v>
      </c>
      <c r="CT80" s="105">
        <v>53.786000000000001</v>
      </c>
      <c r="CU80" s="105">
        <v>52.436000000000007</v>
      </c>
      <c r="CV80" s="105">
        <v>7.2309999999999999</v>
      </c>
      <c r="CW80" s="105">
        <v>7.2519999999999998</v>
      </c>
      <c r="CX80" s="105">
        <v>38.199999999999996</v>
      </c>
      <c r="CY80" s="124">
        <f>IFERROR(TOWER_DATA[[#This Row],[Top '[m']]]-TOWER_DATA[[#This Row],[Bottom '[m']]], "")</f>
        <v>1.3499999999999943</v>
      </c>
      <c r="CZ80" s="124">
        <f>IFERROR(-(TOWER_DATA[[#This Row],[D, bottom '[m']]]-TOWER_DATA[[#This Row],[D, top '[m']]])/(TOWER_DATA[[#This Row],[Bottom '[m']]]-TOWER_DATA[[#This Row],[Top '[m']]]),"")</f>
        <v>1.5555555555555553E-2</v>
      </c>
      <c r="DA80" s="124">
        <f t="shared" si="0"/>
        <v>9.1611113805187827</v>
      </c>
      <c r="DB80" s="124">
        <f>IFERROR((TOWER_DATA[[#This Row],[D, bottom '[m']]]+TOWER_DATA[[#This Row],[D, top '[m']]])/(2*TOWER_DATA[[#This Row],[t '[mm']]]/1000),"")</f>
        <v>189.56806282722516</v>
      </c>
      <c r="DC80" s="124" t="str">
        <f>IFERROR((TOWER_DATA[[#This Row],[D, bottom '[m']]]+#REF!)/(2*#REF!/1000),"")</f>
        <v/>
      </c>
      <c r="DD80" s="149" t="s">
        <v>247</v>
      </c>
      <c r="DE80" s="149">
        <v>21.14</v>
      </c>
      <c r="DF80" s="149">
        <v>21.14</v>
      </c>
      <c r="DG80" s="149">
        <v>53</v>
      </c>
      <c r="DH80" s="149"/>
      <c r="DI80" s="149"/>
      <c r="DJ80" s="149"/>
      <c r="DK80" s="149"/>
      <c r="DL80" s="149"/>
      <c r="DV80" s="117">
        <v>63</v>
      </c>
      <c r="DW80" s="117">
        <v>53.786000000000001</v>
      </c>
      <c r="DX80" s="117">
        <v>52.436000000000007</v>
      </c>
      <c r="DY80" s="117">
        <v>7.2309999999999999</v>
      </c>
      <c r="DZ80" s="117">
        <v>7.2519999999999998</v>
      </c>
      <c r="EA80" s="117">
        <v>38.199999999999996</v>
      </c>
      <c r="EC80" s="150" t="s">
        <v>247</v>
      </c>
      <c r="ED80" s="150">
        <v>21.14</v>
      </c>
      <c r="EE80" s="150">
        <v>21.14</v>
      </c>
      <c r="EF80" s="150">
        <v>53</v>
      </c>
      <c r="EG80" s="149"/>
      <c r="EH80" s="149"/>
      <c r="EI80" s="149"/>
      <c r="EJ80" s="149"/>
      <c r="EK80" s="149"/>
      <c r="ET80" s="124"/>
      <c r="EU80" s="124"/>
    </row>
    <row r="81" spans="11:151" ht="18" hidden="1" customHeight="1" outlineLevel="1" x14ac:dyDescent="0.25">
      <c r="K81" s="124" t="str">
        <f>IFERROR(MP_DATA[[#This Row],[Bottom '[m']]]-MP_DATA[[#This Row],[D, top '[m']]], "")</f>
        <v/>
      </c>
      <c r="L81" s="105" t="str">
        <f>IFERROR(-(MP_DATA[[#This Row],[D, bottom '[m']]]-MP_DATA[[#This Row],[D, top '[m']]])/(MP_DATA[[#This Row],[Bottom '[m']]]-MP_DATA[[#This Row],[Top '[m']]]),"")</f>
        <v/>
      </c>
      <c r="M81" s="124" t="str">
        <f t="shared" ref="M81:M112" si="2">IF(7850/1000*(1/3)*PI()*ABS(F140-G140)*((H140/2)^2+(H140/2)*(I140/2)+(I140/2)^2-(H140/2-J140/1000)^2-(H140/2-J140/1000)*(I140/2-J140/1000)-(I140/2-J140/1000)^2)=0,"",7850/1000*(1/3)*PI()*ABS(F140-G140)*((H140/2)^2+(H140/2)*(I140/2)+(I140/2)^2-(H140/2-J140/1000)^2-(H140/2-J140/1000)*(I140/2-J140/1000)-(I140/2-J140/1000)^2))</f>
        <v/>
      </c>
      <c r="N81" s="124" t="str">
        <f>IFERROR((MP_DATA[[#This Row],[D, bottom '[m']]]+MP_DATA[[#This Row],[D, top '[m']]])/(2*MP_DATA[[#This Row],[t '[mm']]]/1000),"")</f>
        <v/>
      </c>
      <c r="O81" s="124" t="str">
        <f>IFERROR((MP_DATA[[#This Row],[D, bottom '[m']]]+#REF!)/(2*#REF!/1000),"")</f>
        <v/>
      </c>
      <c r="BE81" s="124" t="str">
        <f>IFERROR(TP_DATA[[#This Row],[Bottom '[m']]]-TP_DATA[[#This Row],[D, top '[m']]], "")</f>
        <v/>
      </c>
      <c r="BF81" s="124" t="str">
        <f>IFERROR(-(TP_DATA[[#This Row],[D, bottom '[m']]]-TP_DATA[[#This Row],[D, top '[m']]])/(TP_DATA[[#This Row],[Bottom '[m']]]-TP_DATA[[#This Row],[Top '[m']]]),"")</f>
        <v/>
      </c>
      <c r="BG81" s="124" t="str">
        <f t="shared" si="1"/>
        <v/>
      </c>
      <c r="BH81" s="124" t="str">
        <f>IFERROR((TP_DATA[[#This Row],[D, bottom '[m']]]+TP_DATA[[#This Row],[D, top '[m']]])/(2*TP_DATA[[#This Row],[t '[mm']]]/1000),"")</f>
        <v/>
      </c>
      <c r="BI81" s="124" t="str">
        <f>IFERROR((TP_DATA[[#This Row],[D, bottom '[m']]]+#REF!)/(2*#REF!/1000),"")</f>
        <v/>
      </c>
      <c r="CS81" s="105">
        <v>64</v>
      </c>
      <c r="CT81" s="105">
        <v>52.436000000000007</v>
      </c>
      <c r="CU81" s="105">
        <v>50.900000000000006</v>
      </c>
      <c r="CV81" s="105">
        <v>7.2519999999999998</v>
      </c>
      <c r="CW81" s="105">
        <v>7.2770000000000001</v>
      </c>
      <c r="CX81" s="105">
        <v>38.199999999999996</v>
      </c>
      <c r="CY81" s="124">
        <f>IFERROR(TOWER_DATA[[#This Row],[Top '[m']]]-TOWER_DATA[[#This Row],[Bottom '[m']]], "")</f>
        <v>1.5360000000000014</v>
      </c>
      <c r="CZ81" s="124">
        <f>IFERROR(-(TOWER_DATA[[#This Row],[D, bottom '[m']]]-TOWER_DATA[[#This Row],[D, top '[m']]])/(TOWER_DATA[[#This Row],[Bottom '[m']]]-TOWER_DATA[[#This Row],[Top '[m']]]),"")</f>
        <v>1.6276041666666883E-2</v>
      </c>
      <c r="DA81" s="124">
        <f t="shared" si="0"/>
        <v>10.456590375877102</v>
      </c>
      <c r="DB81" s="124">
        <f>IFERROR((TOWER_DATA[[#This Row],[D, bottom '[m']]]+TOWER_DATA[[#This Row],[D, top '[m']]])/(2*TOWER_DATA[[#This Row],[t '[mm']]]/1000),"")</f>
        <v>190.17015706806285</v>
      </c>
      <c r="DC81" s="124" t="str">
        <f>IFERROR((TOWER_DATA[[#This Row],[D, bottom '[m']]]+#REF!)/(2*#REF!/1000),"")</f>
        <v/>
      </c>
      <c r="DD81" s="149" t="s">
        <v>247</v>
      </c>
      <c r="DE81" s="149">
        <v>21.080000000000002</v>
      </c>
      <c r="DF81" s="149">
        <v>21.080000000000002</v>
      </c>
      <c r="DG81" s="149">
        <v>14132</v>
      </c>
      <c r="DH81" s="149"/>
      <c r="DI81" s="149"/>
      <c r="DJ81" s="149"/>
      <c r="DK81" s="149"/>
      <c r="DL81" s="149"/>
      <c r="DV81" s="117">
        <v>64</v>
      </c>
      <c r="DW81" s="117">
        <v>52.436000000000007</v>
      </c>
      <c r="DX81" s="117">
        <v>50.900000000000006</v>
      </c>
      <c r="DY81" s="117">
        <v>7.2519999999999998</v>
      </c>
      <c r="DZ81" s="117">
        <v>7.2770000000000001</v>
      </c>
      <c r="EA81" s="117">
        <v>38.199999999999996</v>
      </c>
      <c r="EC81" s="150" t="s">
        <v>247</v>
      </c>
      <c r="ED81" s="150">
        <v>21.080000000000002</v>
      </c>
      <c r="EE81" s="150">
        <v>21.080000000000002</v>
      </c>
      <c r="EF81" s="150">
        <v>14132</v>
      </c>
      <c r="EG81" s="149"/>
      <c r="EH81" s="149"/>
      <c r="EI81" s="149"/>
      <c r="EJ81" s="149"/>
      <c r="EK81" s="149"/>
      <c r="ET81" s="124"/>
      <c r="EU81" s="124"/>
    </row>
    <row r="82" spans="11:151" ht="18" hidden="1" customHeight="1" outlineLevel="1" x14ac:dyDescent="0.25">
      <c r="K82" s="124" t="str">
        <f>IFERROR(MP_DATA[[#This Row],[Bottom '[m']]]-MP_DATA[[#This Row],[D, top '[m']]], "")</f>
        <v/>
      </c>
      <c r="L82" s="105" t="str">
        <f>IFERROR(-(MP_DATA[[#This Row],[D, bottom '[m']]]-MP_DATA[[#This Row],[D, top '[m']]])/(MP_DATA[[#This Row],[Bottom '[m']]]-MP_DATA[[#This Row],[Top '[m']]]),"")</f>
        <v/>
      </c>
      <c r="M82" s="124" t="str">
        <f t="shared" si="2"/>
        <v/>
      </c>
      <c r="N82" s="124" t="str">
        <f>IFERROR((MP_DATA[[#This Row],[D, bottom '[m']]]+MP_DATA[[#This Row],[D, top '[m']]])/(2*MP_DATA[[#This Row],[t '[mm']]]/1000),"")</f>
        <v/>
      </c>
      <c r="O82" s="124" t="str">
        <f>IFERROR((MP_DATA[[#This Row],[D, bottom '[m']]]+#REF!)/(2*#REF!/1000),"")</f>
        <v/>
      </c>
      <c r="BE82" s="124" t="str">
        <f>IFERROR(TP_DATA[[#This Row],[Bottom '[m']]]-TP_DATA[[#This Row],[D, top '[m']]], "")</f>
        <v/>
      </c>
      <c r="BF82" s="124" t="str">
        <f>IFERROR(-(TP_DATA[[#This Row],[D, bottom '[m']]]-TP_DATA[[#This Row],[D, top '[m']]])/(TP_DATA[[#This Row],[Bottom '[m']]]-TP_DATA[[#This Row],[Top '[m']]]),"")</f>
        <v/>
      </c>
      <c r="BG82" s="124" t="str">
        <f t="shared" ref="BG82:BG88" si="3">IF(7850/1000*(1/3)*PI()*ABS(AZ82-BA82)*((BB82/2)^2+(BB82/2)*(BC82/2)+(BC82/2)^2-(BB82/2-BD82/1000)^2-(BB82/2-BD82/1000)*(BC82/2-BD82/1000)-(BC82/2-BD82/1000)^2)=0,"",7850/1000*(1/3)*PI()*ABS(AZ82-BA82)*((BB82/2)^2+(BB82/2)*(BC82/2)+(BC82/2)^2-(BB82/2-BD82/1000)^2-(BB82/2-BD82/1000)*(BC82/2-BD82/1000)-(BC82/2-BD82/1000)^2))</f>
        <v/>
      </c>
      <c r="BH82" s="124" t="str">
        <f>IFERROR((TP_DATA[[#This Row],[D, bottom '[m']]]+TP_DATA[[#This Row],[D, top '[m']]])/(2*TP_DATA[[#This Row],[t '[mm']]]/1000),"")</f>
        <v/>
      </c>
      <c r="BI82" s="124" t="str">
        <f>IFERROR((TP_DATA[[#This Row],[D, bottom '[m']]]+#REF!)/(2*#REF!/1000),"")</f>
        <v/>
      </c>
      <c r="CS82" s="105">
        <v>65</v>
      </c>
      <c r="CT82" s="105">
        <v>50.900000000000006</v>
      </c>
      <c r="CU82" s="105">
        <v>49.718000000000004</v>
      </c>
      <c r="CV82" s="105">
        <v>7.2770000000000001</v>
      </c>
      <c r="CW82" s="105">
        <v>7.2919999999999998</v>
      </c>
      <c r="CX82" s="105">
        <v>38.199999999999996</v>
      </c>
      <c r="CY82" s="124">
        <f>IFERROR(TOWER_DATA[[#This Row],[Top '[m']]]-TOWER_DATA[[#This Row],[Bottom '[m']]], "")</f>
        <v>1.1820000000000022</v>
      </c>
      <c r="CZ82" s="124">
        <f>IFERROR(-(TOWER_DATA[[#This Row],[D, bottom '[m']]]-TOWER_DATA[[#This Row],[D, top '[m']]])/(TOWER_DATA[[#This Row],[Bottom '[m']]]-TOWER_DATA[[#This Row],[Top '[m']]]),"")</f>
        <v>1.2690355329948945E-2</v>
      </c>
      <c r="DA82" s="124">
        <f t="shared" ref="DA82:DA107" si="4">IF(7850/1000*(1/3)*PI()*ABS(CT82-CU82)*((CV82/2)^2+(CV82/2)*(CW82/2)+(CW82/2)^2-(CV82/2-CX82/1000)^2-(CV82/2-CX82/1000)*(CW82/2-CX82/1000)-(CW82/2-CX82/1000)^2)=0,"",7850/1000*(1/3)*PI()*ABS(CT82-CU82)*((CV82/2)^2+(CV82/2)*(CW82/2)+(CW82/2)^2-(CV82/2-CX82/1000)^2-(CV82/2-CX82/1000)*(CW82/2-CX82/1000)-(CW82/2-CX82/1000)^2))</f>
        <v>8.0689435830434757</v>
      </c>
      <c r="DB82" s="124">
        <f>IFERROR((TOWER_DATA[[#This Row],[D, bottom '[m']]]+TOWER_DATA[[#This Row],[D, top '[m']]])/(2*TOWER_DATA[[#This Row],[t '[mm']]]/1000),"")</f>
        <v>190.69371727748691</v>
      </c>
      <c r="DC82" s="124" t="str">
        <f>IFERROR((TOWER_DATA[[#This Row],[D, bottom '[m']]]+#REF!)/(2*#REF!/1000),"")</f>
        <v/>
      </c>
      <c r="DD82" s="149"/>
      <c r="DE82" s="149"/>
      <c r="DF82" s="149"/>
      <c r="DG82" s="149"/>
      <c r="DH82" s="149"/>
      <c r="DI82" s="149"/>
      <c r="DJ82" s="149"/>
      <c r="DK82" s="149"/>
      <c r="DL82" s="149"/>
      <c r="DV82" s="117">
        <v>65</v>
      </c>
      <c r="DW82" s="117">
        <v>50.900000000000006</v>
      </c>
      <c r="DX82" s="117">
        <v>49.718000000000004</v>
      </c>
      <c r="DY82" s="117">
        <v>7.2770000000000001</v>
      </c>
      <c r="DZ82" s="117">
        <v>7.2919999999999998</v>
      </c>
      <c r="EA82" s="117">
        <v>38.199999999999996</v>
      </c>
      <c r="EC82" s="149"/>
      <c r="ED82" s="149"/>
      <c r="EE82" s="149"/>
      <c r="EF82" s="149"/>
      <c r="EG82" s="149"/>
      <c r="EH82" s="149"/>
      <c r="EI82" s="149"/>
      <c r="EJ82" s="149"/>
      <c r="EK82" s="149"/>
      <c r="ET82" s="124"/>
      <c r="EU82" s="124"/>
    </row>
    <row r="83" spans="11:151" ht="18" hidden="1" customHeight="1" outlineLevel="1" x14ac:dyDescent="0.25">
      <c r="K83" s="124" t="str">
        <f>IFERROR(MP_DATA[[#This Row],[Bottom '[m']]]-MP_DATA[[#This Row],[D, top '[m']]], "")</f>
        <v/>
      </c>
      <c r="L83" s="124" t="str">
        <f>IFERROR(-(MP_DATA[[#This Row],[D, bottom '[m']]]-MP_DATA[[#This Row],[D, top '[m']]])/(MP_DATA[[#This Row],[Bottom '[m']]]-MP_DATA[[#This Row],[Top '[m']]]),"")</f>
        <v/>
      </c>
      <c r="M83" s="124" t="str">
        <f t="shared" si="2"/>
        <v/>
      </c>
      <c r="N83" s="124" t="str">
        <f>IFERROR((MP_DATA[[#This Row],[D, bottom '[m']]]+MP_DATA[[#This Row],[D, top '[m']]])/(2*MP_DATA[[#This Row],[t '[mm']]]/1000),"")</f>
        <v/>
      </c>
      <c r="O83" s="124" t="str">
        <f>IFERROR((MP_DATA[[#This Row],[D, bottom '[m']]]+#REF!)/(2*#REF!/1000),"")</f>
        <v/>
      </c>
      <c r="BE83" s="124" t="str">
        <f>IFERROR(TP_DATA[[#This Row],[Bottom '[m']]]-TP_DATA[[#This Row],[D, top '[m']]], "")</f>
        <v/>
      </c>
      <c r="BF83" s="124" t="str">
        <f>IFERROR(-(TP_DATA[[#This Row],[D, bottom '[m']]]-TP_DATA[[#This Row],[D, top '[m']]])/(TP_DATA[[#This Row],[Bottom '[m']]]-TP_DATA[[#This Row],[Top '[m']]]),"")</f>
        <v/>
      </c>
      <c r="BG83" s="124" t="str">
        <f t="shared" si="3"/>
        <v/>
      </c>
      <c r="BH83" s="124" t="str">
        <f>IFERROR((TP_DATA[[#This Row],[D, bottom '[m']]]+TP_DATA[[#This Row],[D, top '[m']]])/(2*TP_DATA[[#This Row],[t '[mm']]]/1000),"")</f>
        <v/>
      </c>
      <c r="BI83" s="124" t="str">
        <f>IFERROR((TP_DATA[[#This Row],[D, bottom '[m']]]+#REF!)/(2*#REF!/1000),"")</f>
        <v/>
      </c>
      <c r="CS83" s="105">
        <v>66</v>
      </c>
      <c r="CT83" s="105">
        <v>49.718000000000004</v>
      </c>
      <c r="CU83" s="105">
        <v>49.674999999999997</v>
      </c>
      <c r="CV83" s="105">
        <v>7.2919999999999998</v>
      </c>
      <c r="CW83" s="105">
        <v>7.2919999999999998</v>
      </c>
      <c r="CX83" s="105">
        <v>34.5</v>
      </c>
      <c r="CY83" s="124">
        <f>IFERROR(TOWER_DATA[[#This Row],[Top '[m']]]-TOWER_DATA[[#This Row],[Bottom '[m']]], "")</f>
        <v>4.3000000000006366E-2</v>
      </c>
      <c r="CZ83" s="124">
        <f>IFERROR(-(TOWER_DATA[[#This Row],[D, bottom '[m']]]-TOWER_DATA[[#This Row],[D, top '[m']]])/(TOWER_DATA[[#This Row],[Bottom '[m']]]-TOWER_DATA[[#This Row],[Top '[m']]]),"")</f>
        <v>0</v>
      </c>
      <c r="DA83" s="124">
        <f t="shared" si="4"/>
        <v>0.26551809567018186</v>
      </c>
      <c r="DB83" s="124">
        <f>IFERROR((TOWER_DATA[[#This Row],[D, bottom '[m']]]+TOWER_DATA[[#This Row],[D, top '[m']]])/(2*TOWER_DATA[[#This Row],[t '[mm']]]/1000),"")</f>
        <v>211.36231884057969</v>
      </c>
      <c r="DC83" s="124" t="str">
        <f>IFERROR((TOWER_DATA[[#This Row],[D, bottom '[m']]]+#REF!)/(2*#REF!/1000),"")</f>
        <v/>
      </c>
      <c r="DD83" s="149"/>
      <c r="DE83" s="149"/>
      <c r="DF83" s="149"/>
      <c r="DG83" s="149"/>
      <c r="DH83" s="149"/>
      <c r="DI83" s="149"/>
      <c r="DJ83" s="149"/>
      <c r="DK83" s="149"/>
      <c r="DL83" s="149"/>
      <c r="DV83" s="117">
        <v>66</v>
      </c>
      <c r="DW83" s="117">
        <v>49.718000000000004</v>
      </c>
      <c r="DX83" s="117">
        <v>49.674999999999997</v>
      </c>
      <c r="DY83" s="117">
        <v>7.2919999999999998</v>
      </c>
      <c r="DZ83" s="117">
        <v>7.2919999999999998</v>
      </c>
      <c r="EA83" s="117">
        <v>34.5</v>
      </c>
      <c r="EC83" s="117"/>
      <c r="ED83" s="117"/>
      <c r="EE83" s="117"/>
      <c r="EF83" s="117"/>
      <c r="EG83" s="117"/>
      <c r="EH83" s="117"/>
      <c r="EI83" s="117"/>
      <c r="EJ83" s="117"/>
      <c r="EK83" s="117"/>
      <c r="ET83" s="124"/>
      <c r="EU83" s="124"/>
    </row>
    <row r="84" spans="11:151" ht="18" hidden="1" customHeight="1" outlineLevel="1" x14ac:dyDescent="0.25">
      <c r="K84" s="105"/>
      <c r="N84" s="105"/>
      <c r="O84" s="124" t="str">
        <f>IFERROR((MP_DATA[[#This Row],[D, bottom '[m']]]+#REF!)/(2*#REF!/1000),"")</f>
        <v/>
      </c>
      <c r="BE84" s="124" t="str">
        <f>IFERROR(TP_DATA[[#This Row],[Bottom '[m']]]-TP_DATA[[#This Row],[D, top '[m']]], "")</f>
        <v/>
      </c>
      <c r="BF84" s="124" t="str">
        <f>IFERROR(-(TP_DATA[[#This Row],[D, bottom '[m']]]-TP_DATA[[#This Row],[D, top '[m']]])/(TP_DATA[[#This Row],[Bottom '[m']]]-TP_DATA[[#This Row],[Top '[m']]]),"")</f>
        <v/>
      </c>
      <c r="BG84" s="124" t="str">
        <f t="shared" si="3"/>
        <v/>
      </c>
      <c r="BH84" s="124" t="str">
        <f>IFERROR((TP_DATA[[#This Row],[D, bottom '[m']]]+TP_DATA[[#This Row],[D, top '[m']]])/(2*TP_DATA[[#This Row],[t '[mm']]]/1000),"")</f>
        <v/>
      </c>
      <c r="BI84" s="124" t="str">
        <f>IFERROR((TP_DATA[[#This Row],[D, bottom '[m']]]+#REF!)/(2*#REF!/1000),"")</f>
        <v/>
      </c>
      <c r="CS84" s="105">
        <v>67</v>
      </c>
      <c r="CT84" s="105">
        <v>49.674999999999997</v>
      </c>
      <c r="CU84" s="105">
        <v>47</v>
      </c>
      <c r="CV84" s="105">
        <v>7.2919999999999998</v>
      </c>
      <c r="CW84" s="105">
        <v>7.335</v>
      </c>
      <c r="CX84" s="105">
        <v>34.5</v>
      </c>
      <c r="CY84" s="124">
        <f>IFERROR(TOWER_DATA[[#This Row],[Top '[m']]]-TOWER_DATA[[#This Row],[Bottom '[m']]], "")</f>
        <v>2.6749999999999972</v>
      </c>
      <c r="CZ84" s="124">
        <f>IFERROR(-(TOWER_DATA[[#This Row],[D, bottom '[m']]]-TOWER_DATA[[#This Row],[D, top '[m']]])/(TOWER_DATA[[#This Row],[Bottom '[m']]]-TOWER_DATA[[#This Row],[Top '[m']]]),"")</f>
        <v>1.6074766355140258E-2</v>
      </c>
      <c r="DA84" s="124">
        <f t="shared" si="4"/>
        <v>16.566628376977938</v>
      </c>
      <c r="DB84" s="124">
        <f>IFERROR((TOWER_DATA[[#This Row],[D, bottom '[m']]]+TOWER_DATA[[#This Row],[D, top '[m']]])/(2*TOWER_DATA[[#This Row],[t '[mm']]]/1000),"")</f>
        <v>211.98550724637678</v>
      </c>
      <c r="DC84" s="124" t="str">
        <f>IFERROR((TOWER_DATA[[#This Row],[D, bottom '[m']]]+#REF!)/(2*#REF!/1000),"")</f>
        <v/>
      </c>
      <c r="DD84" s="149"/>
      <c r="DE84" s="149"/>
      <c r="DF84" s="149"/>
      <c r="DG84" s="149"/>
      <c r="DH84" s="149"/>
      <c r="DI84" s="149"/>
      <c r="DJ84" s="149"/>
      <c r="DK84" s="149"/>
      <c r="DL84" s="149"/>
      <c r="DV84" s="117">
        <v>67</v>
      </c>
      <c r="DW84" s="117">
        <v>49.674999999999997</v>
      </c>
      <c r="DX84" s="117">
        <v>47</v>
      </c>
      <c r="DY84" s="117">
        <v>7.2919999999999998</v>
      </c>
      <c r="DZ84" s="117">
        <v>7.335</v>
      </c>
      <c r="EA84" s="117">
        <v>34.5</v>
      </c>
      <c r="EC84" s="117"/>
      <c r="ED84" s="117"/>
      <c r="EE84" s="117"/>
      <c r="EF84" s="117"/>
      <c r="EG84" s="117"/>
      <c r="EH84" s="117"/>
      <c r="EI84" s="117"/>
      <c r="EJ84" s="117"/>
      <c r="EK84" s="117"/>
      <c r="ET84" s="124"/>
      <c r="EU84" s="124"/>
    </row>
    <row r="85" spans="11:151" ht="18" hidden="1" customHeight="1" outlineLevel="1" x14ac:dyDescent="0.25">
      <c r="K85" s="105"/>
      <c r="N85" s="105"/>
      <c r="O85" s="124" t="str">
        <f>IFERROR((MP_DATA[[#This Row],[D, bottom '[m']]]+#REF!)/(2*#REF!/1000),"")</f>
        <v/>
      </c>
      <c r="BE85" s="124" t="str">
        <f>IFERROR(TP_DATA[[#This Row],[Bottom '[m']]]-TP_DATA[[#This Row],[D, top '[m']]], "")</f>
        <v/>
      </c>
      <c r="BF85" s="124" t="str">
        <f>IFERROR(-(TP_DATA[[#This Row],[D, bottom '[m']]]-TP_DATA[[#This Row],[D, top '[m']]])/(TP_DATA[[#This Row],[Bottom '[m']]]-TP_DATA[[#This Row],[Top '[m']]]),"")</f>
        <v/>
      </c>
      <c r="BG85" s="124" t="str">
        <f t="shared" si="3"/>
        <v/>
      </c>
      <c r="BH85" s="124" t="str">
        <f>IFERROR((TP_DATA[[#This Row],[D, bottom '[m']]]+TP_DATA[[#This Row],[D, top '[m']]])/(2*TP_DATA[[#This Row],[t '[mm']]]/1000),"")</f>
        <v/>
      </c>
      <c r="BI85" s="124" t="str">
        <f>IFERROR((TP_DATA[[#This Row],[D, bottom '[m']]]+#REF!)/(2*#REF!/1000),"")</f>
        <v/>
      </c>
      <c r="CS85" s="105">
        <v>68</v>
      </c>
      <c r="CT85" s="105">
        <v>47</v>
      </c>
      <c r="CU85" s="105">
        <v>45.564000000000007</v>
      </c>
      <c r="CV85" s="105">
        <v>7.335</v>
      </c>
      <c r="CW85" s="105">
        <v>7.3579999999999997</v>
      </c>
      <c r="CX85" s="105">
        <v>35</v>
      </c>
      <c r="CY85" s="124">
        <f>IFERROR(TOWER_DATA[[#This Row],[Top '[m']]]-TOWER_DATA[[#This Row],[Bottom '[m']]], "")</f>
        <v>1.4359999999999928</v>
      </c>
      <c r="CZ85" s="124">
        <f>IFERROR(-(TOWER_DATA[[#This Row],[D, bottom '[m']]]-TOWER_DATA[[#This Row],[D, top '[m']]])/(TOWER_DATA[[#This Row],[Bottom '[m']]]-TOWER_DATA[[#This Row],[Top '[m']]]),"")</f>
        <v>1.6016713091921868E-2</v>
      </c>
      <c r="DA85" s="124">
        <f t="shared" si="4"/>
        <v>9.0625099838538912</v>
      </c>
      <c r="DB85" s="124">
        <f>IFERROR((TOWER_DATA[[#This Row],[D, bottom '[m']]]+TOWER_DATA[[#This Row],[D, top '[m']]])/(2*TOWER_DATA[[#This Row],[t '[mm']]]/1000),"")</f>
        <v>209.89999999999998</v>
      </c>
      <c r="DC85" s="124" t="str">
        <f>IFERROR((TOWER_DATA[[#This Row],[D, bottom '[m']]]+#REF!)/(2*#REF!/1000),"")</f>
        <v/>
      </c>
      <c r="DD85" s="149"/>
      <c r="DE85" s="149"/>
      <c r="DF85" s="149"/>
      <c r="DG85" s="149"/>
      <c r="DH85" s="149"/>
      <c r="DI85" s="149"/>
      <c r="DJ85" s="149"/>
      <c r="DK85" s="149"/>
      <c r="DL85" s="149"/>
      <c r="DV85" s="117">
        <v>68</v>
      </c>
      <c r="DW85" s="117">
        <v>47</v>
      </c>
      <c r="DX85" s="117">
        <v>45.564000000000007</v>
      </c>
      <c r="DY85" s="117">
        <v>7.335</v>
      </c>
      <c r="DZ85" s="117">
        <v>7.3579999999999997</v>
      </c>
      <c r="EA85" s="117">
        <v>35</v>
      </c>
      <c r="EC85" s="117"/>
      <c r="ED85" s="117"/>
      <c r="EE85" s="117"/>
      <c r="EF85" s="117"/>
      <c r="EG85" s="117"/>
      <c r="EH85" s="117"/>
      <c r="EI85" s="117"/>
      <c r="EJ85" s="117"/>
      <c r="EK85" s="117"/>
      <c r="ET85" s="124"/>
      <c r="EU85" s="124"/>
    </row>
    <row r="86" spans="11:151" ht="18" hidden="1" customHeight="1" outlineLevel="1" x14ac:dyDescent="0.25">
      <c r="K86" s="105"/>
      <c r="N86" s="105"/>
      <c r="O86" s="124" t="str">
        <f>IFERROR((MP_DATA[[#This Row],[D, bottom '[m']]]+#REF!)/(2*#REF!/1000),"")</f>
        <v/>
      </c>
      <c r="BE86" s="124" t="str">
        <f>IFERROR(TP_DATA[[#This Row],[Bottom '[m']]]-TP_DATA[[#This Row],[D, top '[m']]], "")</f>
        <v/>
      </c>
      <c r="BF86" s="124" t="str">
        <f>IFERROR(-(TP_DATA[[#This Row],[D, bottom '[m']]]-TP_DATA[[#This Row],[D, top '[m']]])/(TP_DATA[[#This Row],[Bottom '[m']]]-TP_DATA[[#This Row],[Top '[m']]]),"")</f>
        <v/>
      </c>
      <c r="BG86" s="124" t="str">
        <f t="shared" si="3"/>
        <v/>
      </c>
      <c r="BH86" s="124" t="str">
        <f>IFERROR((TP_DATA[[#This Row],[D, bottom '[m']]]+TP_DATA[[#This Row],[D, top '[m']]])/(2*TP_DATA[[#This Row],[t '[mm']]]/1000),"")</f>
        <v/>
      </c>
      <c r="BI86" s="124" t="str">
        <f>IFERROR((TP_DATA[[#This Row],[D, bottom '[m']]]+#REF!)/(2*#REF!/1000),"")</f>
        <v/>
      </c>
      <c r="CS86" s="105">
        <v>69</v>
      </c>
      <c r="CT86" s="105">
        <v>45.564000000000007</v>
      </c>
      <c r="CU86" s="105">
        <v>44.282000000000004</v>
      </c>
      <c r="CV86" s="105">
        <v>7.3579999999999997</v>
      </c>
      <c r="CW86" s="105">
        <v>7.3789999999999996</v>
      </c>
      <c r="CX86" s="105">
        <v>35</v>
      </c>
      <c r="CY86" s="124">
        <f>IFERROR(TOWER_DATA[[#This Row],[Top '[m']]]-TOWER_DATA[[#This Row],[Bottom '[m']]], "")</f>
        <v>1.2820000000000036</v>
      </c>
      <c r="CZ86" s="124">
        <f>IFERROR(-(TOWER_DATA[[#This Row],[D, bottom '[m']]]-TOWER_DATA[[#This Row],[D, top '[m']]])/(TOWER_DATA[[#This Row],[Bottom '[m']]]-TOWER_DATA[[#This Row],[Top '[m']]]),"")</f>
        <v>1.6380655226208931E-2</v>
      </c>
      <c r="DA86" s="124">
        <f t="shared" si="4"/>
        <v>8.1149695638373931</v>
      </c>
      <c r="DB86" s="124">
        <f>IFERROR((TOWER_DATA[[#This Row],[D, bottom '[m']]]+TOWER_DATA[[#This Row],[D, top '[m']]])/(2*TOWER_DATA[[#This Row],[t '[mm']]]/1000),"")</f>
        <v>210.52857142857138</v>
      </c>
      <c r="DC86" s="124" t="str">
        <f>IFERROR((TOWER_DATA[[#This Row],[D, bottom '[m']]]+#REF!)/(2*#REF!/1000),"")</f>
        <v/>
      </c>
      <c r="DD86" s="149"/>
      <c r="DE86" s="149"/>
      <c r="DF86" s="149"/>
      <c r="DG86" s="149"/>
      <c r="DH86" s="149"/>
      <c r="DI86" s="149"/>
      <c r="DJ86" s="149"/>
      <c r="DK86" s="149"/>
      <c r="DL86" s="149"/>
      <c r="DV86" s="117">
        <v>69</v>
      </c>
      <c r="DW86" s="117">
        <v>45.564000000000007</v>
      </c>
      <c r="DX86" s="117">
        <v>44.282000000000004</v>
      </c>
      <c r="DY86" s="117">
        <v>7.3579999999999997</v>
      </c>
      <c r="DZ86" s="117">
        <v>7.3789999999999996</v>
      </c>
      <c r="EA86" s="117">
        <v>35</v>
      </c>
      <c r="EC86" s="117"/>
      <c r="ED86" s="117"/>
      <c r="EE86" s="117"/>
      <c r="EF86" s="117"/>
      <c r="EG86" s="117"/>
      <c r="EH86" s="117"/>
      <c r="EI86" s="117"/>
      <c r="EJ86" s="117"/>
      <c r="EK86" s="117"/>
      <c r="ET86" s="124"/>
      <c r="EU86" s="124"/>
    </row>
    <row r="87" spans="11:151" ht="18" hidden="1" customHeight="1" outlineLevel="1" x14ac:dyDescent="0.25">
      <c r="K87" s="105"/>
      <c r="N87" s="105"/>
      <c r="O87" s="124" t="str">
        <f>IFERROR((MP_DATA[[#This Row],[D, bottom '[m']]]+#REF!)/(2*#REF!/1000),"")</f>
        <v/>
      </c>
      <c r="BE87" s="124" t="str">
        <f>IFERROR(TP_DATA[[#This Row],[Bottom '[m']]]-TP_DATA[[#This Row],[D, top '[m']]], "")</f>
        <v/>
      </c>
      <c r="BF87" s="124" t="str">
        <f>IFERROR(-(TP_DATA[[#This Row],[D, bottom '[m']]]-TP_DATA[[#This Row],[D, top '[m']]])/(TP_DATA[[#This Row],[Bottom '[m']]]-TP_DATA[[#This Row],[Top '[m']]]),"")</f>
        <v/>
      </c>
      <c r="BG87" s="124" t="str">
        <f t="shared" si="3"/>
        <v/>
      </c>
      <c r="BH87" s="124" t="str">
        <f>IFERROR((TP_DATA[[#This Row],[D, bottom '[m']]]+TP_DATA[[#This Row],[D, top '[m']]])/(2*TP_DATA[[#This Row],[t '[mm']]]/1000),"")</f>
        <v/>
      </c>
      <c r="BI87" s="124" t="str">
        <f>IFERROR((TP_DATA[[#This Row],[D, bottom '[m']]]+#REF!)/(2*#REF!/1000),"")</f>
        <v/>
      </c>
      <c r="CS87" s="105">
        <v>70</v>
      </c>
      <c r="CT87" s="105">
        <v>44.282000000000004</v>
      </c>
      <c r="CU87" s="105">
        <v>41.561000000000007</v>
      </c>
      <c r="CV87" s="105">
        <v>7.3789999999999996</v>
      </c>
      <c r="CW87" s="105">
        <v>7.4249999999999998</v>
      </c>
      <c r="CX87" s="105">
        <v>35.799999999999997</v>
      </c>
      <c r="CY87" s="124">
        <f>IFERROR(TOWER_DATA[[#This Row],[Top '[m']]]-TOWER_DATA[[#This Row],[Bottom '[m']]], "")</f>
        <v>2.7209999999999965</v>
      </c>
      <c r="CZ87" s="124">
        <f>IFERROR(-(TOWER_DATA[[#This Row],[D, bottom '[m']]]-TOWER_DATA[[#This Row],[D, top '[m']]])/(TOWER_DATA[[#This Row],[Bottom '[m']]]-TOWER_DATA[[#This Row],[Top '[m']]]),"")</f>
        <v>1.6905549430356603E-2</v>
      </c>
      <c r="DA87" s="124">
        <f t="shared" si="4"/>
        <v>17.695979401197722</v>
      </c>
      <c r="DB87" s="124">
        <f>IFERROR((TOWER_DATA[[#This Row],[D, bottom '[m']]]+TOWER_DATA[[#This Row],[D, top '[m']]])/(2*TOWER_DATA[[#This Row],[t '[mm']]]/1000),"")</f>
        <v>206.75977653631284</v>
      </c>
      <c r="DC87" s="124" t="str">
        <f>IFERROR((TOWER_DATA[[#This Row],[D, bottom '[m']]]+#REF!)/(2*#REF!/1000),"")</f>
        <v/>
      </c>
      <c r="DD87" s="149"/>
      <c r="DE87" s="149"/>
      <c r="DF87" s="149"/>
      <c r="DG87" s="149"/>
      <c r="DH87" s="149"/>
      <c r="DI87" s="149"/>
      <c r="DJ87" s="149"/>
      <c r="DK87" s="149"/>
      <c r="DL87" s="149"/>
      <c r="DV87" s="117">
        <v>70</v>
      </c>
      <c r="DW87" s="117">
        <v>44.282000000000004</v>
      </c>
      <c r="DX87" s="117">
        <v>41.561000000000007</v>
      </c>
      <c r="DY87" s="117">
        <v>7.3789999999999996</v>
      </c>
      <c r="DZ87" s="117">
        <v>7.4249999999999998</v>
      </c>
      <c r="EA87" s="117">
        <v>35.799999999999997</v>
      </c>
      <c r="EC87" s="117"/>
      <c r="ED87" s="117"/>
      <c r="EE87" s="117"/>
      <c r="EF87" s="117"/>
      <c r="EG87" s="117"/>
      <c r="EH87" s="117"/>
      <c r="EI87" s="117"/>
      <c r="EJ87" s="117"/>
      <c r="EK87" s="117"/>
      <c r="ET87" s="124" t="str">
        <f>IF(7850/1000*(1/3)*PI()*ABS(EN87-EO87)*((EP87/2)^2+(EP87/2)*(EQ87/2)+(EQ87/2)^2-(EP87/2-ES87/1000)^2-(EP87/2-ES87/1000)*(EQ87/2-ES87/1000)-(EQ87/2-ES87/1000)^2)=0,"",7850/1000*(1/3)*PI()*ABS(EN87-EO87)*((EP87/2)^2+(EP87/2)*(EQ87/2)+(EQ87/2)^2-(EP87/2-ES87/1000)^2-(EP87/2-ES87/1000)*(EQ87/2-ES87/1000)-(EQ87/2-ES87/1000)^2))</f>
        <v/>
      </c>
      <c r="EU87" s="124"/>
    </row>
    <row r="88" spans="11:151" ht="18" hidden="1" customHeight="1" outlineLevel="1" x14ac:dyDescent="0.25">
      <c r="K88" s="105"/>
      <c r="N88" s="105"/>
      <c r="O88" s="124" t="str">
        <f>IFERROR((MP_DATA[[#This Row],[D, bottom '[m']]]+#REF!)/(2*#REF!/1000),"")</f>
        <v/>
      </c>
      <c r="BE88" s="124" t="str">
        <f>IFERROR(TP_DATA[[#This Row],[Bottom '[m']]]-TP_DATA[[#This Row],[D, top '[m']]], "")</f>
        <v/>
      </c>
      <c r="BF88" s="124" t="str">
        <f>IFERROR(-(TP_DATA[[#This Row],[D, bottom '[m']]]-TP_DATA[[#This Row],[D, top '[m']]])/(TP_DATA[[#This Row],[Bottom '[m']]]-TP_DATA[[#This Row],[Top '[m']]]),"")</f>
        <v/>
      </c>
      <c r="BG88" s="124" t="str">
        <f t="shared" si="3"/>
        <v/>
      </c>
      <c r="BH88" s="124" t="str">
        <f>IFERROR((TP_DATA[[#This Row],[D, bottom '[m']]]+TP_DATA[[#This Row],[D, top '[m']]])/(2*TP_DATA[[#This Row],[t '[mm']]]/1000),"")</f>
        <v/>
      </c>
      <c r="BI88" s="124" t="str">
        <f>IFERROR((TP_DATA[[#This Row],[D, bottom '[m']]]+#REF!)/(2*#REF!/1000),"")</f>
        <v/>
      </c>
      <c r="CS88" s="105">
        <v>71</v>
      </c>
      <c r="CT88" s="105">
        <v>41.561000000000007</v>
      </c>
      <c r="CU88" s="105">
        <v>40.900000000000006</v>
      </c>
      <c r="CV88" s="105">
        <v>7.4249999999999998</v>
      </c>
      <c r="CW88" s="105">
        <v>7.4349999999999996</v>
      </c>
      <c r="CX88" s="105">
        <v>39</v>
      </c>
      <c r="CY88" s="124">
        <f>IFERROR(TOWER_DATA[[#This Row],[Top '[m']]]-TOWER_DATA[[#This Row],[Bottom '[m']]], "")</f>
        <v>0.66100000000000136</v>
      </c>
      <c r="CZ88" s="124">
        <f>IFERROR(-(TOWER_DATA[[#This Row],[D, bottom '[m']]]-TOWER_DATA[[#This Row],[D, top '[m']]])/(TOWER_DATA[[#This Row],[Bottom '[m']]]-TOWER_DATA[[#This Row],[Top '[m']]]),"")</f>
        <v>1.5128593040846848E-2</v>
      </c>
      <c r="DA88" s="124">
        <f t="shared" si="4"/>
        <v>4.6988198876939959</v>
      </c>
      <c r="DB88" s="124">
        <f>IFERROR((TOWER_DATA[[#This Row],[D, bottom '[m']]]+TOWER_DATA[[#This Row],[D, top '[m']]])/(2*TOWER_DATA[[#This Row],[t '[mm']]]/1000),"")</f>
        <v>190.5128205128205</v>
      </c>
      <c r="DC88" s="124" t="str">
        <f>IFERROR((TOWER_DATA[[#This Row],[D, bottom '[m']]]+#REF!)/(2*#REF!/1000),"")</f>
        <v/>
      </c>
      <c r="DD88" s="149"/>
      <c r="DE88" s="149"/>
      <c r="DF88" s="149"/>
      <c r="DG88" s="149"/>
      <c r="DH88" s="149"/>
      <c r="DI88" s="149"/>
      <c r="DJ88" s="149"/>
      <c r="DK88" s="149"/>
      <c r="DL88" s="149"/>
      <c r="DV88" s="117">
        <v>71</v>
      </c>
      <c r="DW88" s="117">
        <v>41.561000000000007</v>
      </c>
      <c r="DX88" s="117">
        <v>40.900000000000006</v>
      </c>
      <c r="DY88" s="117">
        <v>7.4249999999999998</v>
      </c>
      <c r="DZ88" s="117">
        <v>7.4349999999999996</v>
      </c>
      <c r="EA88" s="117">
        <v>39</v>
      </c>
      <c r="EC88" s="117"/>
      <c r="ED88" s="117"/>
      <c r="EE88" s="117"/>
      <c r="EF88" s="117"/>
      <c r="EG88" s="117"/>
      <c r="EH88" s="117"/>
      <c r="EI88" s="117"/>
      <c r="EJ88" s="117"/>
      <c r="EK88" s="117"/>
      <c r="ET88" s="124" t="str">
        <f>IF(7850/1000*(1/3)*PI()*ABS(EN88-EO88)*((EP88/2)^2+(EP88/2)*(EQ88/2)+(EQ88/2)^2-(EP88/2-ES88/1000)^2-(EP88/2-ES88/1000)*(EQ88/2-ES88/1000)-(EQ88/2-ES88/1000)^2)=0,"",7850/1000*(1/3)*PI()*ABS(EN88-EO88)*((EP88/2)^2+(EP88/2)*(EQ88/2)+(EQ88/2)^2-(EP88/2-ES88/1000)^2-(EP88/2-ES88/1000)*(EQ88/2-ES88/1000)-(EQ88/2-ES88/1000)^2))</f>
        <v/>
      </c>
      <c r="EU88" s="124"/>
    </row>
    <row r="89" spans="11:151" ht="18" hidden="1" customHeight="1" outlineLevel="1" x14ac:dyDescent="0.25">
      <c r="K89" s="105"/>
      <c r="N89" s="105"/>
      <c r="O89" s="124" t="str">
        <f>IFERROR((MP_DATA[[#This Row],[D, bottom '[m']]]+#REF!)/(2*#REF!/1000),"")</f>
        <v/>
      </c>
      <c r="BE89" s="124" t="str">
        <f>IFERROR(TP_DATA[[#This Row],[Bottom '[m']]]-TP_DATA[[#This Row],[D, top '[m']]], "")</f>
        <v/>
      </c>
      <c r="BF89" s="124" t="str">
        <f>IFERROR(-(TP_DATA[[#This Row],[D, bottom '[m']]]-TP_DATA[[#This Row],[D, top '[m']]])/(TP_DATA[[#This Row],[Bottom '[m']]]-TP_DATA[[#This Row],[Top '[m']]]),"")</f>
        <v/>
      </c>
      <c r="BG89" s="124" t="str">
        <f t="shared" ref="BG89:BG122" si="5">IF(7850/1000*(1/3)*PI()*ABS(AZ89-BA89)*((BB89/2)^2+(BB89/2)*(BC89/2)+(BC89/2)^2-(BB89/2-BD89/1000)^2-(BB89/2-BD89/1000)*(BC89/2-BD89/1000)-(BC89/2-BD89/1000)^2)=0,"",7850/1000*(1/3)*PI()*ABS(AZ89-BA89)*((BB89/2)^2+(BB89/2)*(BC89/2)+(BC89/2)^2-(BB89/2-BD89/1000)^2-(BB89/2-BD89/1000)*(BC89/2-BD89/1000)-(BC89/2-BD89/1000)^2))</f>
        <v/>
      </c>
      <c r="BH89" s="124" t="str">
        <f>IFERROR((TP_DATA[[#This Row],[D, bottom '[m']]]+TP_DATA[[#This Row],[D, top '[m']]])/(2*TP_DATA[[#This Row],[t '[mm']]]/1000),"")</f>
        <v/>
      </c>
      <c r="BI89" s="124" t="str">
        <f>IFERROR((TP_DATA[[#This Row],[D, bottom '[m']]]+#REF!)/(2*#REF!/1000),"")</f>
        <v/>
      </c>
      <c r="CS89" s="105">
        <v>72</v>
      </c>
      <c r="CT89" s="105">
        <v>40.900000000000006</v>
      </c>
      <c r="CU89" s="105">
        <v>38.775000000000006</v>
      </c>
      <c r="CV89" s="105">
        <v>7.4349999999999996</v>
      </c>
      <c r="CW89" s="105">
        <v>7.476</v>
      </c>
      <c r="CX89" s="105">
        <v>39</v>
      </c>
      <c r="CY89" s="124">
        <f>IFERROR(TOWER_DATA[[#This Row],[Top '[m']]]-TOWER_DATA[[#This Row],[Bottom '[m']]], "")</f>
        <v>2.125</v>
      </c>
      <c r="CZ89" s="124">
        <f>IFERROR(-(TOWER_DATA[[#This Row],[D, bottom '[m']]]-TOWER_DATA[[#This Row],[D, top '[m']]])/(TOWER_DATA[[#This Row],[Bottom '[m']]]-TOWER_DATA[[#This Row],[Top '[m']]]),"")</f>
        <v>1.9294117647058996E-2</v>
      </c>
      <c r="DA89" s="124">
        <f t="shared" si="4"/>
        <v>15.158005904941108</v>
      </c>
      <c r="DB89" s="124">
        <f>IFERROR((TOWER_DATA[[#This Row],[D, bottom '[m']]]+TOWER_DATA[[#This Row],[D, top '[m']]])/(2*TOWER_DATA[[#This Row],[t '[mm']]]/1000),"")</f>
        <v>191.16666666666666</v>
      </c>
      <c r="DC89" s="124" t="str">
        <f>IFERROR((TOWER_DATA[[#This Row],[D, bottom '[m']]]+#REF!)/(2*#REF!/1000),"")</f>
        <v/>
      </c>
      <c r="DD89" s="149"/>
      <c r="DE89" s="149"/>
      <c r="DF89" s="149"/>
      <c r="DG89" s="149"/>
      <c r="DH89" s="149"/>
      <c r="DI89" s="149"/>
      <c r="DJ89" s="149"/>
      <c r="DK89" s="149"/>
      <c r="DL89" s="149"/>
      <c r="DV89" s="117">
        <v>72</v>
      </c>
      <c r="DW89" s="117">
        <v>40.900000000000006</v>
      </c>
      <c r="DX89" s="117">
        <v>38.775000000000006</v>
      </c>
      <c r="DY89" s="117">
        <v>7.4349999999999996</v>
      </c>
      <c r="DZ89" s="117">
        <v>7.476</v>
      </c>
      <c r="EA89" s="117">
        <v>39</v>
      </c>
      <c r="EC89" s="117"/>
      <c r="ED89" s="117"/>
      <c r="EE89" s="117"/>
      <c r="EF89" s="117"/>
      <c r="EG89" s="117"/>
      <c r="EH89" s="117"/>
      <c r="EI89" s="117"/>
      <c r="EJ89" s="117"/>
      <c r="EK89" s="117"/>
      <c r="ET89" s="124" t="str">
        <f>IF(7850/1000*(1/3)*PI()*ABS(EN89-EO89)*((EP89/2)^2+(EP89/2)*(EQ89/2)+(EQ89/2)^2-(EP89/2-ES89/1000)^2-(EP89/2-ES89/1000)*(EQ89/2-ES89/1000)-(EQ89/2-ES89/1000)^2)=0,"",7850/1000*(1/3)*PI()*ABS(EN89-EO89)*((EP89/2)^2+(EP89/2)*(EQ89/2)+(EQ89/2)^2-(EP89/2-ES89/1000)^2-(EP89/2-ES89/1000)*(EQ89/2-ES89/1000)-(EQ89/2-ES89/1000)^2))</f>
        <v/>
      </c>
      <c r="EU89" s="124"/>
    </row>
    <row r="90" spans="11:151" ht="18" hidden="1" customHeight="1" outlineLevel="1" x14ac:dyDescent="0.25">
      <c r="K90" s="105"/>
      <c r="N90" s="105"/>
      <c r="O90" s="124" t="str">
        <f>IFERROR((MP_DATA[[#This Row],[D, bottom '[m']]]+#REF!)/(2*#REF!/1000),"")</f>
        <v/>
      </c>
      <c r="BE90" s="124" t="str">
        <f>IFERROR(TP_DATA[[#This Row],[Bottom '[m']]]-TP_DATA[[#This Row],[D, top '[m']]], "")</f>
        <v/>
      </c>
      <c r="BF90" s="124" t="str">
        <f>IFERROR(-(TP_DATA[[#This Row],[D, bottom '[m']]]-TP_DATA[[#This Row],[D, top '[m']]])/(TP_DATA[[#This Row],[Bottom '[m']]]-TP_DATA[[#This Row],[Top '[m']]]),"")</f>
        <v/>
      </c>
      <c r="BG90" s="124" t="str">
        <f t="shared" si="5"/>
        <v/>
      </c>
      <c r="BH90" s="124" t="str">
        <f>IFERROR((TP_DATA[[#This Row],[D, bottom '[m']]]+TP_DATA[[#This Row],[D, top '[m']]])/(2*TP_DATA[[#This Row],[t '[mm']]]/1000),"")</f>
        <v/>
      </c>
      <c r="BI90" s="124" t="str">
        <f>IFERROR((TP_DATA[[#This Row],[D, bottom '[m']]]+#REF!)/(2*#REF!/1000),"")</f>
        <v/>
      </c>
      <c r="CS90" s="105">
        <v>73</v>
      </c>
      <c r="CT90" s="105">
        <v>38.775000000000006</v>
      </c>
      <c r="CU90" s="105">
        <v>38.725000000000001</v>
      </c>
      <c r="CV90" s="105">
        <v>7.476</v>
      </c>
      <c r="CW90" s="105">
        <v>7.476</v>
      </c>
      <c r="CX90" s="105">
        <v>46</v>
      </c>
      <c r="CY90" s="124">
        <f>IFERROR(TOWER_DATA[[#This Row],[Top '[m']]]-TOWER_DATA[[#This Row],[Bottom '[m']]], "")</f>
        <v>5.0000000000004263E-2</v>
      </c>
      <c r="CZ90" s="124">
        <f>IFERROR(-(TOWER_DATA[[#This Row],[D, bottom '[m']]]-TOWER_DATA[[#This Row],[D, top '[m']]])/(TOWER_DATA[[#This Row],[Bottom '[m']]]-TOWER_DATA[[#This Row],[Top '[m']]]),"")</f>
        <v>0</v>
      </c>
      <c r="DA90" s="124">
        <f t="shared" si="4"/>
        <v>0.42144041332902277</v>
      </c>
      <c r="DB90" s="124">
        <f>IFERROR((TOWER_DATA[[#This Row],[D, bottom '[m']]]+TOWER_DATA[[#This Row],[D, top '[m']]])/(2*TOWER_DATA[[#This Row],[t '[mm']]]/1000),"")</f>
        <v>162.52173913043478</v>
      </c>
      <c r="DC90" s="124" t="str">
        <f>IFERROR((TOWER_DATA[[#This Row],[D, bottom '[m']]]+#REF!)/(2*#REF!/1000),"")</f>
        <v/>
      </c>
      <c r="DD90" s="149"/>
      <c r="DE90" s="149"/>
      <c r="DF90" s="149"/>
      <c r="DG90" s="149"/>
      <c r="DH90" s="149"/>
      <c r="DI90" s="149"/>
      <c r="DJ90" s="149"/>
      <c r="DK90" s="149"/>
      <c r="DL90" s="149"/>
      <c r="DV90" s="117">
        <v>73</v>
      </c>
      <c r="DW90" s="117">
        <v>38.775000000000006</v>
      </c>
      <c r="DX90" s="117">
        <v>38.725000000000001</v>
      </c>
      <c r="DY90" s="117">
        <v>7.476</v>
      </c>
      <c r="DZ90" s="117">
        <v>7.476</v>
      </c>
      <c r="EA90" s="117">
        <v>46</v>
      </c>
      <c r="EC90" s="117"/>
      <c r="ED90" s="117"/>
      <c r="EE90" s="117"/>
      <c r="EF90" s="117"/>
      <c r="EG90" s="117"/>
      <c r="EH90" s="117"/>
      <c r="EI90" s="117"/>
      <c r="EJ90" s="117"/>
      <c r="EK90" s="117"/>
      <c r="ET90" s="124" t="str">
        <f t="shared" ref="ET90:ET123" si="6">IF(7850/1000*(1/3)*PI()*ABS(EN90-EO90)*((EP90/2)^2+(EP90/2)*(EQ90/2)+(EQ90/2)^2-(EP90/2-ES90/1000)^2-(EP90/2-ES90/1000)*(EQ90/2-ES90/1000)-(EQ90/2-ES90/1000)^2)=0,"",7850/1000*(1/3)*PI()*ABS(EN90-EO90)*((EP90/2)^2+(EP90/2)*(EQ90/2)+(EQ90/2)^2-(EP90/2-ES90/1000)^2-(EP90/2-ES90/1000)*(EQ90/2-ES90/1000)-(EQ90/2-ES90/1000)^2))</f>
        <v/>
      </c>
      <c r="EU90" s="124"/>
    </row>
    <row r="91" spans="11:151" ht="18" hidden="1" customHeight="1" outlineLevel="1" x14ac:dyDescent="0.25">
      <c r="K91" s="105"/>
      <c r="N91" s="105"/>
      <c r="O91" s="124" t="str">
        <f>IFERROR((MP_DATA[[#This Row],[D, bottom '[m']]]+#REF!)/(2*#REF!/1000),"")</f>
        <v/>
      </c>
      <c r="BE91" s="124" t="str">
        <f>IFERROR(TP_DATA[[#This Row],[Bottom '[m']]]-TP_DATA[[#This Row],[D, top '[m']]], "")</f>
        <v/>
      </c>
      <c r="BF91" s="124" t="str">
        <f>IFERROR(-(TP_DATA[[#This Row],[D, bottom '[m']]]-TP_DATA[[#This Row],[D, top '[m']]])/(TP_DATA[[#This Row],[Bottom '[m']]]-TP_DATA[[#This Row],[Top '[m']]]),"")</f>
        <v/>
      </c>
      <c r="BG91" s="124" t="str">
        <f t="shared" si="5"/>
        <v/>
      </c>
      <c r="BH91" s="124" t="str">
        <f>IFERROR((TP_DATA[[#This Row],[D, bottom '[m']]]+TP_DATA[[#This Row],[D, top '[m']]])/(2*TP_DATA[[#This Row],[t '[mm']]]/1000),"")</f>
        <v/>
      </c>
      <c r="BI91" s="124" t="str">
        <f>IFERROR((TP_DATA[[#This Row],[D, bottom '[m']]]+#REF!)/(2*#REF!/1000),"")</f>
        <v/>
      </c>
      <c r="CS91" s="105">
        <v>74</v>
      </c>
      <c r="CT91" s="105">
        <v>38.725000000000001</v>
      </c>
      <c r="CU91" s="105">
        <v>38.540000000000006</v>
      </c>
      <c r="CV91" s="105">
        <v>7.476</v>
      </c>
      <c r="CW91" s="105">
        <v>7.476</v>
      </c>
      <c r="CX91" s="105">
        <v>46</v>
      </c>
      <c r="CY91" s="124">
        <f>IFERROR(TOWER_DATA[[#This Row],[Top '[m']]]-TOWER_DATA[[#This Row],[Bottom '[m']]], "")</f>
        <v>0.18499999999999517</v>
      </c>
      <c r="CZ91" s="124">
        <f>IFERROR(-(TOWER_DATA[[#This Row],[D, bottom '[m']]]-TOWER_DATA[[#This Row],[D, top '[m']]])/(TOWER_DATA[[#This Row],[Bottom '[m']]]-TOWER_DATA[[#This Row],[Top '[m']]]),"")</f>
        <v>0</v>
      </c>
      <c r="DA91" s="124">
        <f t="shared" si="4"/>
        <v>1.5593295293172105</v>
      </c>
      <c r="DB91" s="124">
        <f>IFERROR((TOWER_DATA[[#This Row],[D, bottom '[m']]]+TOWER_DATA[[#This Row],[D, top '[m']]])/(2*TOWER_DATA[[#This Row],[t '[mm']]]/1000),"")</f>
        <v>162.52173913043478</v>
      </c>
      <c r="DC91" s="124" t="str">
        <f>IFERROR((TOWER_DATA[[#This Row],[D, bottom '[m']]]+#REF!)/(2*#REF!/1000),"")</f>
        <v/>
      </c>
      <c r="DD91" s="149"/>
      <c r="DE91" s="149"/>
      <c r="DF91" s="149"/>
      <c r="DG91" s="149"/>
      <c r="DH91" s="149"/>
      <c r="DI91" s="149"/>
      <c r="DJ91" s="149"/>
      <c r="DK91" s="149"/>
      <c r="DL91" s="149"/>
      <c r="DV91" s="117">
        <v>74</v>
      </c>
      <c r="DW91" s="117">
        <v>38.725000000000001</v>
      </c>
      <c r="DX91" s="117">
        <v>38.540000000000006</v>
      </c>
      <c r="DY91" s="117">
        <v>7.476</v>
      </c>
      <c r="DZ91" s="117">
        <v>7.476</v>
      </c>
      <c r="EA91" s="117">
        <v>46</v>
      </c>
      <c r="EC91" s="117"/>
      <c r="ED91" s="117"/>
      <c r="EE91" s="117"/>
      <c r="EF91" s="117"/>
      <c r="EG91" s="117"/>
      <c r="EH91" s="117"/>
      <c r="EI91" s="117"/>
      <c r="EJ91" s="117"/>
      <c r="EK91" s="117"/>
      <c r="ET91" s="124" t="str">
        <f t="shared" si="6"/>
        <v/>
      </c>
      <c r="EU91" s="124"/>
    </row>
    <row r="92" spans="11:151" ht="18" hidden="1" customHeight="1" outlineLevel="1" x14ac:dyDescent="0.25">
      <c r="K92" s="105"/>
      <c r="N92" s="105"/>
      <c r="O92" s="124" t="str">
        <f>IFERROR((MP_DATA[[#This Row],[D, bottom '[m']]]+#REF!)/(2*#REF!/1000),"")</f>
        <v/>
      </c>
      <c r="BE92" s="124" t="str">
        <f>IFERROR(TP_DATA[[#This Row],[Bottom '[m']]]-TP_DATA[[#This Row],[D, top '[m']]], "")</f>
        <v/>
      </c>
      <c r="BF92" s="124" t="str">
        <f>IFERROR(-(TP_DATA[[#This Row],[D, bottom '[m']]]-TP_DATA[[#This Row],[D, top '[m']]])/(TP_DATA[[#This Row],[Bottom '[m']]]-TP_DATA[[#This Row],[Top '[m']]]),"")</f>
        <v/>
      </c>
      <c r="BG92" s="124" t="str">
        <f t="shared" si="5"/>
        <v/>
      </c>
      <c r="BH92" s="124" t="str">
        <f>IFERROR((TP_DATA[[#This Row],[D, bottom '[m']]]+TP_DATA[[#This Row],[D, top '[m']]])/(2*TP_DATA[[#This Row],[t '[mm']]]/1000),"")</f>
        <v/>
      </c>
      <c r="BI92" s="124" t="str">
        <f>IFERROR((TP_DATA[[#This Row],[D, bottom '[m']]]+#REF!)/(2*#REF!/1000),"")</f>
        <v/>
      </c>
      <c r="CS92" s="105">
        <v>75</v>
      </c>
      <c r="CT92" s="105">
        <v>38.540000000000006</v>
      </c>
      <c r="CU92" s="105">
        <v>38.355000000000004</v>
      </c>
      <c r="CV92" s="105">
        <v>7.476</v>
      </c>
      <c r="CW92" s="105">
        <v>7.476</v>
      </c>
      <c r="CX92" s="105">
        <v>46</v>
      </c>
      <c r="CY92" s="124">
        <f>IFERROR(TOWER_DATA[[#This Row],[Top '[m']]]-TOWER_DATA[[#This Row],[Bottom '[m']]], "")</f>
        <v>0.18500000000000227</v>
      </c>
      <c r="CZ92" s="124">
        <f>IFERROR(-(TOWER_DATA[[#This Row],[D, bottom '[m']]]-TOWER_DATA[[#This Row],[D, top '[m']]])/(TOWER_DATA[[#This Row],[Bottom '[m']]]-TOWER_DATA[[#This Row],[Top '[m']]]),"")</f>
        <v>0</v>
      </c>
      <c r="DA92" s="124">
        <f t="shared" si="4"/>
        <v>1.5593295293172704</v>
      </c>
      <c r="DB92" s="124">
        <f>IFERROR((TOWER_DATA[[#This Row],[D, bottom '[m']]]+TOWER_DATA[[#This Row],[D, top '[m']]])/(2*TOWER_DATA[[#This Row],[t '[mm']]]/1000),"")</f>
        <v>162.52173913043478</v>
      </c>
      <c r="DC92" s="124" t="str">
        <f>IFERROR((TOWER_DATA[[#This Row],[D, bottom '[m']]]+#REF!)/(2*#REF!/1000),"")</f>
        <v/>
      </c>
      <c r="DD92" s="149"/>
      <c r="DE92" s="149"/>
      <c r="DF92" s="149"/>
      <c r="DG92" s="149"/>
      <c r="DH92" s="149"/>
      <c r="DI92" s="149"/>
      <c r="DJ92" s="149"/>
      <c r="DK92" s="149"/>
      <c r="DL92" s="149"/>
      <c r="DV92" s="117">
        <v>75</v>
      </c>
      <c r="DW92" s="117">
        <v>38.540000000000006</v>
      </c>
      <c r="DX92" s="117">
        <v>38.355000000000004</v>
      </c>
      <c r="DY92" s="117">
        <v>7.476</v>
      </c>
      <c r="DZ92" s="117">
        <v>7.476</v>
      </c>
      <c r="EA92" s="117">
        <v>46</v>
      </c>
      <c r="EC92" s="117"/>
      <c r="ED92" s="117"/>
      <c r="EE92" s="117"/>
      <c r="EF92" s="117"/>
      <c r="EG92" s="117"/>
      <c r="EH92" s="117"/>
      <c r="EI92" s="117"/>
      <c r="EJ92" s="117"/>
      <c r="EK92" s="117"/>
      <c r="ET92" s="124" t="str">
        <f t="shared" si="6"/>
        <v/>
      </c>
      <c r="EU92" s="124"/>
    </row>
    <row r="93" spans="11:151" ht="18" hidden="1" customHeight="1" outlineLevel="1" x14ac:dyDescent="0.25">
      <c r="K93" s="105"/>
      <c r="N93" s="105"/>
      <c r="O93" s="124" t="str">
        <f>IFERROR((MP_DATA[[#This Row],[D, bottom '[m']]]+#REF!)/(2*#REF!/1000),"")</f>
        <v/>
      </c>
      <c r="BE93" s="124" t="str">
        <f>IFERROR(TP_DATA[[#This Row],[Bottom '[m']]]-TP_DATA[[#This Row],[D, top '[m']]], "")</f>
        <v/>
      </c>
      <c r="BF93" s="124" t="str">
        <f>IFERROR(-(TP_DATA[[#This Row],[D, bottom '[m']]]-TP_DATA[[#This Row],[D, top '[m']]])/(TP_DATA[[#This Row],[Bottom '[m']]]-TP_DATA[[#This Row],[Top '[m']]]),"")</f>
        <v/>
      </c>
      <c r="BG93" s="124" t="str">
        <f t="shared" si="5"/>
        <v/>
      </c>
      <c r="BH93" s="124" t="str">
        <f>IFERROR((TP_DATA[[#This Row],[D, bottom '[m']]]+TP_DATA[[#This Row],[D, top '[m']]])/(2*TP_DATA[[#This Row],[t '[mm']]]/1000),"")</f>
        <v/>
      </c>
      <c r="BI93" s="124" t="str">
        <f>IFERROR((TP_DATA[[#This Row],[D, bottom '[m']]]+#REF!)/(2*#REF!/1000),"")</f>
        <v/>
      </c>
      <c r="CS93" s="105">
        <v>76</v>
      </c>
      <c r="CT93" s="105">
        <v>38.355000000000004</v>
      </c>
      <c r="CU93" s="105">
        <v>38.305000000000007</v>
      </c>
      <c r="CV93" s="105">
        <v>7.476</v>
      </c>
      <c r="CW93" s="105">
        <v>7.4740000000000002</v>
      </c>
      <c r="CX93" s="105">
        <v>46</v>
      </c>
      <c r="CY93" s="124">
        <f>IFERROR(TOWER_DATA[[#This Row],[Top '[m']]]-TOWER_DATA[[#This Row],[Bottom '[m']]], "")</f>
        <v>4.9999999999997158E-2</v>
      </c>
      <c r="CZ93" s="124">
        <f>IFERROR(-(TOWER_DATA[[#This Row],[D, bottom '[m']]]-TOWER_DATA[[#This Row],[D, top '[m']]])/(TOWER_DATA[[#This Row],[Bottom '[m']]]-TOWER_DATA[[#This Row],[Top '[m']]]),"")</f>
        <v>-3.9999999999997871E-2</v>
      </c>
      <c r="DA93" s="124">
        <f t="shared" si="4"/>
        <v>0.42138369187360242</v>
      </c>
      <c r="DB93" s="124">
        <f>IFERROR((TOWER_DATA[[#This Row],[D, bottom '[m']]]+TOWER_DATA[[#This Row],[D, top '[m']]])/(2*TOWER_DATA[[#This Row],[t '[mm']]]/1000),"")</f>
        <v>162.5</v>
      </c>
      <c r="DC93" s="124" t="str">
        <f>IFERROR((TOWER_DATA[[#This Row],[D, bottom '[m']]]+#REF!)/(2*#REF!/1000),"")</f>
        <v/>
      </c>
      <c r="DD93" s="149"/>
      <c r="DE93" s="149"/>
      <c r="DF93" s="149"/>
      <c r="DG93" s="149"/>
      <c r="DH93" s="149"/>
      <c r="DI93" s="149"/>
      <c r="DJ93" s="149"/>
      <c r="DK93" s="149"/>
      <c r="DL93" s="149"/>
      <c r="DV93" s="117">
        <v>76</v>
      </c>
      <c r="DW93" s="117">
        <v>38.355000000000004</v>
      </c>
      <c r="DX93" s="117">
        <v>38.305000000000007</v>
      </c>
      <c r="DY93" s="117">
        <v>7.476</v>
      </c>
      <c r="DZ93" s="117">
        <v>7.4740000000000002</v>
      </c>
      <c r="EA93" s="117">
        <v>46</v>
      </c>
      <c r="EC93" s="117"/>
      <c r="ED93" s="117"/>
      <c r="EE93" s="117"/>
      <c r="EF93" s="117"/>
      <c r="EG93" s="117"/>
      <c r="EH93" s="117"/>
      <c r="EI93" s="117"/>
      <c r="EJ93" s="117"/>
      <c r="EK93" s="117"/>
      <c r="ET93" s="124" t="str">
        <f t="shared" si="6"/>
        <v/>
      </c>
      <c r="EU93" s="124"/>
    </row>
    <row r="94" spans="11:151" ht="18" hidden="1" customHeight="1" outlineLevel="1" x14ac:dyDescent="0.25">
      <c r="K94" s="105"/>
      <c r="N94" s="105"/>
      <c r="O94" s="124" t="str">
        <f>IFERROR((MP_DATA[[#This Row],[D, bottom '[m']]]+#REF!)/(2*#REF!/1000),"")</f>
        <v/>
      </c>
      <c r="BE94" s="124" t="str">
        <f>IFERROR(TP_DATA[[#This Row],[Bottom '[m']]]-TP_DATA[[#This Row],[D, top '[m']]], "")</f>
        <v/>
      </c>
      <c r="BF94" s="124" t="str">
        <f>IFERROR(-(TP_DATA[[#This Row],[D, bottom '[m']]]-TP_DATA[[#This Row],[D, top '[m']]])/(TP_DATA[[#This Row],[Bottom '[m']]]-TP_DATA[[#This Row],[Top '[m']]]),"")</f>
        <v/>
      </c>
      <c r="BG94" s="124" t="str">
        <f t="shared" si="5"/>
        <v/>
      </c>
      <c r="BH94" s="124" t="str">
        <f>IFERROR((TP_DATA[[#This Row],[D, bottom '[m']]]+TP_DATA[[#This Row],[D, top '[m']]])/(2*TP_DATA[[#This Row],[t '[mm']]]/1000),"")</f>
        <v/>
      </c>
      <c r="BI94" s="124" t="str">
        <f>IFERROR((TP_DATA[[#This Row],[D, bottom '[m']]]+#REF!)/(2*#REF!/1000),"")</f>
        <v/>
      </c>
      <c r="CS94" s="105">
        <v>77</v>
      </c>
      <c r="CT94" s="105">
        <v>38.305000000000007</v>
      </c>
      <c r="CU94" s="105">
        <v>37.343000000000004</v>
      </c>
      <c r="CV94" s="105">
        <v>7.4740000000000002</v>
      </c>
      <c r="CW94" s="105">
        <v>7.4740000000000002</v>
      </c>
      <c r="CX94" s="105">
        <v>44.1</v>
      </c>
      <c r="CY94" s="124">
        <f>IFERROR(TOWER_DATA[[#This Row],[Top '[m']]]-TOWER_DATA[[#This Row],[Bottom '[m']]], "")</f>
        <v>0.9620000000000033</v>
      </c>
      <c r="CZ94" s="124">
        <f>IFERROR(-(TOWER_DATA[[#This Row],[D, bottom '[m']]]-TOWER_DATA[[#This Row],[D, top '[m']]])/(TOWER_DATA[[#This Row],[Bottom '[m']]]-TOWER_DATA[[#This Row],[Top '[m']]]),"")</f>
        <v>0</v>
      </c>
      <c r="DA94" s="124">
        <f t="shared" si="4"/>
        <v>7.7734920638760601</v>
      </c>
      <c r="DB94" s="124">
        <f>IFERROR((TOWER_DATA[[#This Row],[D, bottom '[m']]]+TOWER_DATA[[#This Row],[D, top '[m']]])/(2*TOWER_DATA[[#This Row],[t '[mm']]]/1000),"")</f>
        <v>169.47845804988663</v>
      </c>
      <c r="DC94" s="124" t="str">
        <f>IFERROR((TOWER_DATA[[#This Row],[D, bottom '[m']]]+#REF!)/(2*#REF!/1000),"")</f>
        <v/>
      </c>
      <c r="DD94" s="149"/>
      <c r="DE94" s="149"/>
      <c r="DF94" s="149"/>
      <c r="DG94" s="149"/>
      <c r="DH94" s="149"/>
      <c r="DI94" s="149"/>
      <c r="DJ94" s="149"/>
      <c r="DK94" s="149"/>
      <c r="DL94" s="149"/>
      <c r="DV94" s="117">
        <v>77</v>
      </c>
      <c r="DW94" s="117">
        <v>38.305000000000007</v>
      </c>
      <c r="DX94" s="117">
        <v>37.343000000000004</v>
      </c>
      <c r="DY94" s="117">
        <v>7.4740000000000002</v>
      </c>
      <c r="DZ94" s="117">
        <v>7.4740000000000002</v>
      </c>
      <c r="EA94" s="117">
        <v>44.1</v>
      </c>
      <c r="EC94" s="117"/>
      <c r="ED94" s="117"/>
      <c r="EE94" s="117"/>
      <c r="EF94" s="117"/>
      <c r="EG94" s="117"/>
      <c r="EH94" s="117"/>
      <c r="EI94" s="117"/>
      <c r="EJ94" s="117"/>
      <c r="EK94" s="117"/>
      <c r="ET94" s="124" t="str">
        <f t="shared" si="6"/>
        <v/>
      </c>
      <c r="EU94" s="124"/>
    </row>
    <row r="95" spans="11:151" ht="18" hidden="1" customHeight="1" outlineLevel="1" x14ac:dyDescent="0.25">
      <c r="K95" s="105"/>
      <c r="N95" s="105"/>
      <c r="O95" s="124" t="str">
        <f>IFERROR((MP_DATA[[#This Row],[D, bottom '[m']]]+#REF!)/(2*#REF!/1000),"")</f>
        <v/>
      </c>
      <c r="BE95" s="124" t="str">
        <f>IFERROR(TP_DATA[[#This Row],[Bottom '[m']]]-TP_DATA[[#This Row],[D, top '[m']]], "")</f>
        <v/>
      </c>
      <c r="BF95" s="124" t="str">
        <f>IFERROR(-(TP_DATA[[#This Row],[D, bottom '[m']]]-TP_DATA[[#This Row],[D, top '[m']]])/(TP_DATA[[#This Row],[Bottom '[m']]]-TP_DATA[[#This Row],[Top '[m']]]),"")</f>
        <v/>
      </c>
      <c r="BG95" s="124" t="str">
        <f t="shared" si="5"/>
        <v/>
      </c>
      <c r="BH95" s="124" t="str">
        <f>IFERROR((TP_DATA[[#This Row],[D, bottom '[m']]]+TP_DATA[[#This Row],[D, top '[m']]])/(2*TP_DATA[[#This Row],[t '[mm']]]/1000),"")</f>
        <v/>
      </c>
      <c r="BI95" s="124" t="str">
        <f>IFERROR((TP_DATA[[#This Row],[D, bottom '[m']]]+#REF!)/(2*#REF!/1000),"")</f>
        <v/>
      </c>
      <c r="CS95" s="105">
        <v>78</v>
      </c>
      <c r="CT95" s="105">
        <v>37.343000000000004</v>
      </c>
      <c r="CU95" s="105">
        <v>35.43</v>
      </c>
      <c r="CV95" s="105">
        <v>7.4740000000000002</v>
      </c>
      <c r="CW95" s="105">
        <v>7.476</v>
      </c>
      <c r="CX95" s="105">
        <v>44.1</v>
      </c>
      <c r="CY95" s="124">
        <f>IFERROR(TOWER_DATA[[#This Row],[Top '[m']]]-TOWER_DATA[[#This Row],[Bottom '[m']]], "")</f>
        <v>1.9130000000000038</v>
      </c>
      <c r="CZ95" s="124">
        <f>IFERROR(-(TOWER_DATA[[#This Row],[D, bottom '[m']]]-TOWER_DATA[[#This Row],[D, top '[m']]])/(TOWER_DATA[[#This Row],[Bottom '[m']]]-TOWER_DATA[[#This Row],[Top '[m']]]),"")</f>
        <v>1.0454783063250266E-3</v>
      </c>
      <c r="DA95" s="124">
        <f t="shared" si="4"/>
        <v>15.460178569581235</v>
      </c>
      <c r="DB95" s="124">
        <f>IFERROR((TOWER_DATA[[#This Row],[D, bottom '[m']]]+TOWER_DATA[[#This Row],[D, top '[m']]])/(2*TOWER_DATA[[#This Row],[t '[mm']]]/1000),"")</f>
        <v>169.50113378684807</v>
      </c>
      <c r="DC95" s="124" t="str">
        <f>IFERROR((TOWER_DATA[[#This Row],[D, bottom '[m']]]+#REF!)/(2*#REF!/1000),"")</f>
        <v/>
      </c>
      <c r="DD95" s="149"/>
      <c r="DE95" s="149"/>
      <c r="DF95" s="149"/>
      <c r="DG95" s="149"/>
      <c r="DH95" s="149"/>
      <c r="DI95" s="149"/>
      <c r="DJ95" s="149"/>
      <c r="DK95" s="149"/>
      <c r="DL95" s="149"/>
      <c r="DV95" s="117">
        <v>78</v>
      </c>
      <c r="DW95" s="117">
        <v>37.343000000000004</v>
      </c>
      <c r="DX95" s="117">
        <v>35.43</v>
      </c>
      <c r="DY95" s="117">
        <v>7.4740000000000002</v>
      </c>
      <c r="DZ95" s="117">
        <v>7.476</v>
      </c>
      <c r="EA95" s="117">
        <v>44.1</v>
      </c>
      <c r="EC95" s="117"/>
      <c r="ED95" s="117"/>
      <c r="EE95" s="117"/>
      <c r="EF95" s="117"/>
      <c r="EG95" s="117"/>
      <c r="EH95" s="117"/>
      <c r="EI95" s="117"/>
      <c r="EJ95" s="117"/>
      <c r="EK95" s="117"/>
      <c r="ET95" s="124" t="str">
        <f t="shared" si="6"/>
        <v/>
      </c>
      <c r="EU95" s="124"/>
    </row>
    <row r="96" spans="11:151" ht="18" hidden="1" customHeight="1" outlineLevel="1" x14ac:dyDescent="0.25">
      <c r="K96" s="105"/>
      <c r="N96" s="105"/>
      <c r="O96" s="124" t="str">
        <f>IFERROR((MP_DATA[[#This Row],[D, bottom '[m']]]+#REF!)/(2*#REF!/1000),"")</f>
        <v/>
      </c>
      <c r="BE96" s="124" t="str">
        <f>IFERROR(TP_DATA[[#This Row],[Bottom '[m']]]-TP_DATA[[#This Row],[D, top '[m']]], "")</f>
        <v/>
      </c>
      <c r="BF96" s="124" t="str">
        <f>IFERROR(-(TP_DATA[[#This Row],[D, bottom '[m']]]-TP_DATA[[#This Row],[D, top '[m']]])/(TP_DATA[[#This Row],[Bottom '[m']]]-TP_DATA[[#This Row],[Top '[m']]]),"")</f>
        <v/>
      </c>
      <c r="BG96" s="124" t="str">
        <f t="shared" si="5"/>
        <v/>
      </c>
      <c r="BH96" s="124" t="str">
        <f>IFERROR((TP_DATA[[#This Row],[D, bottom '[m']]]+TP_DATA[[#This Row],[D, top '[m']]])/(2*TP_DATA[[#This Row],[t '[mm']]]/1000),"")</f>
        <v/>
      </c>
      <c r="BI96" s="124" t="str">
        <f>IFERROR((TP_DATA[[#This Row],[D, bottom '[m']]]+#REF!)/(2*#REF!/1000),"")</f>
        <v/>
      </c>
      <c r="CS96" s="105">
        <v>79</v>
      </c>
      <c r="CT96" s="105">
        <v>35.43</v>
      </c>
      <c r="CU96" s="105">
        <v>33.231999999999999</v>
      </c>
      <c r="CV96" s="105">
        <v>7.476</v>
      </c>
      <c r="CW96" s="105">
        <v>7.476</v>
      </c>
      <c r="CX96" s="105">
        <v>45.6</v>
      </c>
      <c r="CY96" s="124">
        <f>IFERROR(TOWER_DATA[[#This Row],[Top '[m']]]-TOWER_DATA[[#This Row],[Bottom '[m']]], "")</f>
        <v>2.1980000000000004</v>
      </c>
      <c r="CZ96" s="124">
        <f>IFERROR(-(TOWER_DATA[[#This Row],[D, bottom '[m']]]-TOWER_DATA[[#This Row],[D, top '[m']]])/(TOWER_DATA[[#This Row],[Bottom '[m']]]-TOWER_DATA[[#This Row],[Top '[m']]]),"")</f>
        <v>0</v>
      </c>
      <c r="DA96" s="124">
        <f t="shared" si="4"/>
        <v>18.36640910818716</v>
      </c>
      <c r="DB96" s="124">
        <f>IFERROR((TOWER_DATA[[#This Row],[D, bottom '[m']]]+TOWER_DATA[[#This Row],[D, top '[m']]])/(2*TOWER_DATA[[#This Row],[t '[mm']]]/1000),"")</f>
        <v>163.94736842105263</v>
      </c>
      <c r="DC96" s="124" t="str">
        <f>IFERROR((TOWER_DATA[[#This Row],[D, bottom '[m']]]+#REF!)/(2*#REF!/1000),"")</f>
        <v/>
      </c>
      <c r="DD96" s="149"/>
      <c r="DE96" s="149"/>
      <c r="DF96" s="149"/>
      <c r="DG96" s="149"/>
      <c r="DH96" s="149"/>
      <c r="DI96" s="149"/>
      <c r="DJ96" s="149"/>
      <c r="DK96" s="149"/>
      <c r="DL96" s="149"/>
      <c r="DV96" s="117">
        <v>79</v>
      </c>
      <c r="DW96" s="117">
        <v>35.43</v>
      </c>
      <c r="DX96" s="117">
        <v>33.231999999999999</v>
      </c>
      <c r="DY96" s="117">
        <v>7.476</v>
      </c>
      <c r="DZ96" s="117">
        <v>7.476</v>
      </c>
      <c r="EA96" s="117">
        <v>45.6</v>
      </c>
      <c r="EC96" s="117"/>
      <c r="ED96" s="117"/>
      <c r="EE96" s="117"/>
      <c r="EF96" s="117"/>
      <c r="EG96" s="117"/>
      <c r="EH96" s="117"/>
      <c r="EI96" s="117"/>
      <c r="EJ96" s="117"/>
      <c r="EK96" s="117"/>
      <c r="ET96" s="124" t="str">
        <f t="shared" si="6"/>
        <v/>
      </c>
      <c r="EU96" s="124"/>
    </row>
    <row r="97" spans="5:151" ht="18" hidden="1" customHeight="1" outlineLevel="1" x14ac:dyDescent="0.25">
      <c r="K97" s="105"/>
      <c r="N97" s="105"/>
      <c r="O97" s="124" t="str">
        <f>IFERROR((MP_DATA[[#This Row],[D, bottom '[m']]]+#REF!)/(2*#REF!/1000),"")</f>
        <v/>
      </c>
      <c r="BE97" s="124" t="str">
        <f>IFERROR(TP_DATA[[#This Row],[Bottom '[m']]]-TP_DATA[[#This Row],[D, top '[m']]], "")</f>
        <v/>
      </c>
      <c r="BF97" s="124" t="str">
        <f>IFERROR(-(TP_DATA[[#This Row],[D, bottom '[m']]]-TP_DATA[[#This Row],[D, top '[m']]])/(TP_DATA[[#This Row],[Bottom '[m']]]-TP_DATA[[#This Row],[Top '[m']]]),"")</f>
        <v/>
      </c>
      <c r="BG97" s="124" t="str">
        <f t="shared" si="5"/>
        <v/>
      </c>
      <c r="BH97" s="124" t="str">
        <f>IFERROR((TP_DATA[[#This Row],[D, bottom '[m']]]+TP_DATA[[#This Row],[D, top '[m']]])/(2*TP_DATA[[#This Row],[t '[mm']]]/1000),"")</f>
        <v/>
      </c>
      <c r="BI97" s="124" t="str">
        <f>IFERROR((TP_DATA[[#This Row],[D, bottom '[m']]]+#REF!)/(2*#REF!/1000),"")</f>
        <v/>
      </c>
      <c r="CS97" s="105">
        <v>80</v>
      </c>
      <c r="CT97" s="105">
        <v>33.231999999999999</v>
      </c>
      <c r="CU97" s="105">
        <v>32.5</v>
      </c>
      <c r="CV97" s="105">
        <v>7.476</v>
      </c>
      <c r="CW97" s="105">
        <v>7.4770000000000003</v>
      </c>
      <c r="CX97" s="105">
        <v>45.6</v>
      </c>
      <c r="CY97" s="124">
        <f>IFERROR(TOWER_DATA[[#This Row],[Top '[m']]]-TOWER_DATA[[#This Row],[Bottom '[m']]], "")</f>
        <v>0.73199999999999932</v>
      </c>
      <c r="CZ97" s="124">
        <f>IFERROR(-(TOWER_DATA[[#This Row],[D, bottom '[m']]]-TOWER_DATA[[#This Row],[D, top '[m']]])/(TOWER_DATA[[#This Row],[Bottom '[m']]]-TOWER_DATA[[#This Row],[Top '[m']]]),"")</f>
        <v>1.3661202185796925E-3</v>
      </c>
      <c r="DA97" s="124">
        <f t="shared" si="4"/>
        <v>6.1169773172667181</v>
      </c>
      <c r="DB97" s="124">
        <f>IFERROR((TOWER_DATA[[#This Row],[D, bottom '[m']]]+TOWER_DATA[[#This Row],[D, top '[m']]])/(2*TOWER_DATA[[#This Row],[t '[mm']]]/1000),"")</f>
        <v>163.95833333333331</v>
      </c>
      <c r="DC97" s="124" t="str">
        <f>IFERROR((TOWER_DATA[[#This Row],[D, bottom '[m']]]+#REF!)/(2*#REF!/1000),"")</f>
        <v/>
      </c>
      <c r="DD97" s="149"/>
      <c r="DE97" s="149"/>
      <c r="DF97" s="149"/>
      <c r="DG97" s="149"/>
      <c r="DH97" s="149"/>
      <c r="DI97" s="149"/>
      <c r="DJ97" s="149"/>
      <c r="DK97" s="149"/>
      <c r="DL97" s="149"/>
      <c r="DV97" s="117">
        <v>80</v>
      </c>
      <c r="DW97" s="117">
        <v>33.231999999999999</v>
      </c>
      <c r="DX97" s="117">
        <v>32.5</v>
      </c>
      <c r="DY97" s="117">
        <v>7.476</v>
      </c>
      <c r="DZ97" s="117">
        <v>7.4770000000000003</v>
      </c>
      <c r="EA97" s="117">
        <v>45.6</v>
      </c>
      <c r="EC97" s="117"/>
      <c r="ED97" s="117"/>
      <c r="EE97" s="117"/>
      <c r="EF97" s="117"/>
      <c r="EG97" s="117"/>
      <c r="EH97" s="117"/>
      <c r="EI97" s="117"/>
      <c r="EJ97" s="117"/>
      <c r="EK97" s="117"/>
      <c r="ET97" s="124" t="str">
        <f t="shared" si="6"/>
        <v/>
      </c>
      <c r="EU97" s="124"/>
    </row>
    <row r="98" spans="5:151" ht="18" hidden="1" customHeight="1" outlineLevel="1" x14ac:dyDescent="0.25">
      <c r="K98" s="105"/>
      <c r="N98" s="105"/>
      <c r="O98" s="124" t="str">
        <f>IFERROR((MP_DATA[[#This Row],[D, bottom '[m']]]+#REF!)/(2*#REF!/1000),"")</f>
        <v/>
      </c>
      <c r="BE98" s="124" t="str">
        <f>IFERROR(TP_DATA[[#This Row],[Bottom '[m']]]-TP_DATA[[#This Row],[D, top '[m']]], "")</f>
        <v/>
      </c>
      <c r="BF98" s="124" t="str">
        <f>IFERROR(-(TP_DATA[[#This Row],[D, bottom '[m']]]-TP_DATA[[#This Row],[D, top '[m']]])/(TP_DATA[[#This Row],[Bottom '[m']]]-TP_DATA[[#This Row],[Top '[m']]]),"")</f>
        <v/>
      </c>
      <c r="BG98" s="124" t="str">
        <f t="shared" si="5"/>
        <v/>
      </c>
      <c r="BH98" s="124" t="str">
        <f>IFERROR((TP_DATA[[#This Row],[D, bottom '[m']]]+TP_DATA[[#This Row],[D, top '[m']]])/(2*TP_DATA[[#This Row],[t '[mm']]]/1000),"")</f>
        <v/>
      </c>
      <c r="BI98" s="124" t="str">
        <f>IFERROR((TP_DATA[[#This Row],[D, bottom '[m']]]+#REF!)/(2*#REF!/1000),"")</f>
        <v/>
      </c>
      <c r="CS98" s="105">
        <v>81</v>
      </c>
      <c r="CT98" s="105">
        <v>32.5</v>
      </c>
      <c r="CU98" s="105">
        <v>30.9</v>
      </c>
      <c r="CV98" s="105">
        <v>7.4770000000000003</v>
      </c>
      <c r="CW98" s="105">
        <v>7.4770000000000003</v>
      </c>
      <c r="CX98" s="105">
        <v>47.1</v>
      </c>
      <c r="CY98" s="124">
        <f>IFERROR(TOWER_DATA[[#This Row],[Top '[m']]]-TOWER_DATA[[#This Row],[Bottom '[m']]], "")</f>
        <v>1.6000000000000014</v>
      </c>
      <c r="CZ98" s="124">
        <f>IFERROR(-(TOWER_DATA[[#This Row],[D, bottom '[m']]]-TOWER_DATA[[#This Row],[D, top '[m']]])/(TOWER_DATA[[#This Row],[Bottom '[m']]]-TOWER_DATA[[#This Row],[Top '[m']]]),"")</f>
        <v>0</v>
      </c>
      <c r="DA98" s="124">
        <f t="shared" si="4"/>
        <v>13.808400911123877</v>
      </c>
      <c r="DB98" s="124">
        <f>IFERROR((TOWER_DATA[[#This Row],[D, bottom '[m']]]+TOWER_DATA[[#This Row],[D, top '[m']]])/(2*TOWER_DATA[[#This Row],[t '[mm']]]/1000),"")</f>
        <v>158.74734607218684</v>
      </c>
      <c r="DC98" s="124" t="str">
        <f>IFERROR((TOWER_DATA[[#This Row],[D, bottom '[m']]]+#REF!)/(2*#REF!/1000),"")</f>
        <v/>
      </c>
      <c r="DD98" s="149"/>
      <c r="DE98" s="149"/>
      <c r="DF98" s="149"/>
      <c r="DG98" s="149"/>
      <c r="DH98" s="149"/>
      <c r="DI98" s="149"/>
      <c r="DJ98" s="149"/>
      <c r="DK98" s="149"/>
      <c r="DL98" s="149"/>
      <c r="DV98" s="117">
        <v>81</v>
      </c>
      <c r="DW98" s="117">
        <v>32.5</v>
      </c>
      <c r="DX98" s="117">
        <v>30.9</v>
      </c>
      <c r="DY98" s="117">
        <v>7.4770000000000003</v>
      </c>
      <c r="DZ98" s="117">
        <v>7.4770000000000003</v>
      </c>
      <c r="EA98" s="117">
        <v>47.1</v>
      </c>
      <c r="EC98" s="117"/>
      <c r="ED98" s="117"/>
      <c r="EE98" s="117"/>
      <c r="EF98" s="117"/>
      <c r="EG98" s="117"/>
      <c r="EH98" s="117"/>
      <c r="EI98" s="117"/>
      <c r="EJ98" s="117"/>
      <c r="EK98" s="117"/>
      <c r="ET98" s="124" t="str">
        <f t="shared" si="6"/>
        <v/>
      </c>
      <c r="EU98" s="124"/>
    </row>
    <row r="99" spans="5:151" ht="18" hidden="1" customHeight="1" outlineLevel="1" x14ac:dyDescent="0.25">
      <c r="K99" s="105"/>
      <c r="N99" s="105"/>
      <c r="O99" s="124" t="str">
        <f>IFERROR((MP_DATA[[#This Row],[D, bottom '[m']]]+#REF!)/(2*#REF!/1000),"")</f>
        <v/>
      </c>
      <c r="BE99" s="124" t="str">
        <f>IFERROR(TP_DATA[[#This Row],[Bottom '[m']]]-TP_DATA[[#This Row],[D, top '[m']]], "")</f>
        <v/>
      </c>
      <c r="BF99" s="124" t="str">
        <f>IFERROR(-(TP_DATA[[#This Row],[D, bottom '[m']]]-TP_DATA[[#This Row],[D, top '[m']]])/(TP_DATA[[#This Row],[Bottom '[m']]]-TP_DATA[[#This Row],[Top '[m']]]),"")</f>
        <v/>
      </c>
      <c r="BG99" s="124" t="str">
        <f t="shared" si="5"/>
        <v/>
      </c>
      <c r="BH99" s="124" t="str">
        <f>IFERROR((TP_DATA[[#This Row],[D, bottom '[m']]]+TP_DATA[[#This Row],[D, top '[m']]])/(2*TP_DATA[[#This Row],[t '[mm']]]/1000),"")</f>
        <v/>
      </c>
      <c r="BI99" s="124" t="str">
        <f>IFERROR((TP_DATA[[#This Row],[D, bottom '[m']]]+#REF!)/(2*#REF!/1000),"")</f>
        <v/>
      </c>
      <c r="CS99" s="105">
        <v>82</v>
      </c>
      <c r="CT99" s="105">
        <v>30.9</v>
      </c>
      <c r="CU99" s="105">
        <v>29.569999999999997</v>
      </c>
      <c r="CV99" s="105">
        <v>7.4770000000000003</v>
      </c>
      <c r="CW99" s="105">
        <v>7.4790000000000001</v>
      </c>
      <c r="CX99" s="105">
        <v>47.1</v>
      </c>
      <c r="CY99" s="124">
        <f>IFERROR(TOWER_DATA[[#This Row],[Top '[m']]]-TOWER_DATA[[#This Row],[Bottom '[m']]], "")</f>
        <v>1.3300000000000018</v>
      </c>
      <c r="CZ99" s="124">
        <f>IFERROR(-(TOWER_DATA[[#This Row],[D, bottom '[m']]]-TOWER_DATA[[#This Row],[D, top '[m']]])/(TOWER_DATA[[#This Row],[Bottom '[m']]]-TOWER_DATA[[#This Row],[Top '[m']]]),"")</f>
        <v>1.5037593984960729E-3</v>
      </c>
      <c r="DA99" s="124">
        <f t="shared" si="4"/>
        <v>11.47977812786228</v>
      </c>
      <c r="DB99" s="124">
        <f>IFERROR((TOWER_DATA[[#This Row],[D, bottom '[m']]]+TOWER_DATA[[#This Row],[D, top '[m']]])/(2*TOWER_DATA[[#This Row],[t '[mm']]]/1000),"")</f>
        <v>158.76857749469212</v>
      </c>
      <c r="DC99" s="124" t="str">
        <f>IFERROR((TOWER_DATA[[#This Row],[D, bottom '[m']]]+#REF!)/(2*#REF!/1000),"")</f>
        <v/>
      </c>
      <c r="DD99" s="149"/>
      <c r="DE99" s="149"/>
      <c r="DF99" s="149"/>
      <c r="DG99" s="149"/>
      <c r="DH99" s="149"/>
      <c r="DI99" s="149"/>
      <c r="DJ99" s="149"/>
      <c r="DK99" s="149"/>
      <c r="DL99" s="149"/>
      <c r="DV99" s="117">
        <v>82</v>
      </c>
      <c r="DW99" s="117">
        <v>30.9</v>
      </c>
      <c r="DX99" s="117">
        <v>29.569999999999997</v>
      </c>
      <c r="DY99" s="117">
        <v>7.4770000000000003</v>
      </c>
      <c r="DZ99" s="117">
        <v>7.4790000000000001</v>
      </c>
      <c r="EA99" s="117">
        <v>47.1</v>
      </c>
      <c r="EC99" s="117"/>
      <c r="ED99" s="117"/>
      <c r="EE99" s="117"/>
      <c r="EF99" s="117"/>
      <c r="EG99" s="117"/>
      <c r="EH99" s="117"/>
      <c r="EI99" s="117"/>
      <c r="EJ99" s="117"/>
      <c r="EK99" s="117"/>
      <c r="ET99" s="124" t="str">
        <f t="shared" si="6"/>
        <v/>
      </c>
      <c r="EU99" s="124"/>
    </row>
    <row r="100" spans="5:151" ht="18" hidden="1" customHeight="1" outlineLevel="1" x14ac:dyDescent="0.25">
      <c r="K100" s="105"/>
      <c r="N100" s="105"/>
      <c r="O100" s="124" t="str">
        <f>IFERROR((MP_DATA[[#This Row],[D, bottom '[m']]]+#REF!)/(2*#REF!/1000),"")</f>
        <v/>
      </c>
      <c r="BE100" s="124" t="str">
        <f>IFERROR(TP_DATA[[#This Row],[Bottom '[m']]]-TP_DATA[[#This Row],[D, top '[m']]], "")</f>
        <v/>
      </c>
      <c r="BF100" s="124" t="str">
        <f>IFERROR(-(TP_DATA[[#This Row],[D, bottom '[m']]]-TP_DATA[[#This Row],[D, top '[m']]])/(TP_DATA[[#This Row],[Bottom '[m']]]-TP_DATA[[#This Row],[Top '[m']]]),"")</f>
        <v/>
      </c>
      <c r="BG100" s="124" t="str">
        <f t="shared" si="5"/>
        <v/>
      </c>
      <c r="BH100" s="124" t="str">
        <f>IFERROR((TP_DATA[[#This Row],[D, bottom '[m']]]+TP_DATA[[#This Row],[D, top '[m']]])/(2*TP_DATA[[#This Row],[t '[mm']]]/1000),"")</f>
        <v/>
      </c>
      <c r="BI100" s="124" t="str">
        <f>IFERROR((TP_DATA[[#This Row],[D, bottom '[m']]]+#REF!)/(2*#REF!/1000),"")</f>
        <v/>
      </c>
      <c r="CS100" s="105">
        <v>83</v>
      </c>
      <c r="CT100" s="105">
        <v>29.569999999999997</v>
      </c>
      <c r="CU100" s="105">
        <v>29.120999999999999</v>
      </c>
      <c r="CV100" s="105">
        <v>7.4790000000000001</v>
      </c>
      <c r="CW100" s="105">
        <v>7.4790000000000001</v>
      </c>
      <c r="CX100" s="105">
        <v>49</v>
      </c>
      <c r="CY100" s="124">
        <f>IFERROR(TOWER_DATA[[#This Row],[Top '[m']]]-TOWER_DATA[[#This Row],[Bottom '[m']]], "")</f>
        <v>0.44899999999999807</v>
      </c>
      <c r="CZ100" s="124">
        <f>IFERROR(-(TOWER_DATA[[#This Row],[D, bottom '[m']]]-TOWER_DATA[[#This Row],[D, top '[m']]])/(TOWER_DATA[[#This Row],[Bottom '[m']]]-TOWER_DATA[[#This Row],[Top '[m']]]),"")</f>
        <v>0</v>
      </c>
      <c r="DA100" s="124">
        <f t="shared" si="4"/>
        <v>4.0313524059352366</v>
      </c>
      <c r="DB100" s="124">
        <f>IFERROR((TOWER_DATA[[#This Row],[D, bottom '[m']]]+TOWER_DATA[[#This Row],[D, top '[m']]])/(2*TOWER_DATA[[#This Row],[t '[mm']]]/1000),"")</f>
        <v>152.63265306122449</v>
      </c>
      <c r="DC100" s="124" t="str">
        <f>IFERROR((TOWER_DATA[[#This Row],[D, bottom '[m']]]+#REF!)/(2*#REF!/1000),"")</f>
        <v/>
      </c>
      <c r="DD100" s="149"/>
      <c r="DE100" s="149"/>
      <c r="DF100" s="149"/>
      <c r="DG100" s="149"/>
      <c r="DH100" s="149"/>
      <c r="DI100" s="149"/>
      <c r="DJ100" s="149"/>
      <c r="DK100" s="149"/>
      <c r="DL100" s="149"/>
      <c r="DV100" s="117">
        <v>83</v>
      </c>
      <c r="DW100" s="117">
        <v>29.569999999999997</v>
      </c>
      <c r="DX100" s="117">
        <v>29.120999999999999</v>
      </c>
      <c r="DY100" s="117">
        <v>7.4790000000000001</v>
      </c>
      <c r="DZ100" s="117">
        <v>7.4790000000000001</v>
      </c>
      <c r="EA100" s="117">
        <v>49</v>
      </c>
      <c r="EC100" s="117"/>
      <c r="ED100" s="117"/>
      <c r="EE100" s="117"/>
      <c r="EF100" s="117"/>
      <c r="EG100" s="117"/>
      <c r="EH100" s="117"/>
      <c r="EI100" s="117"/>
      <c r="EJ100" s="117"/>
      <c r="EK100" s="117"/>
      <c r="ET100" s="124" t="str">
        <f t="shared" si="6"/>
        <v/>
      </c>
      <c r="EU100" s="124"/>
    </row>
    <row r="101" spans="5:151" ht="18" hidden="1" customHeight="1" outlineLevel="1" x14ac:dyDescent="0.25">
      <c r="K101" s="105"/>
      <c r="N101" s="105"/>
      <c r="O101" s="124" t="str">
        <f>IFERROR((MP_DATA[[#This Row],[D, bottom '[m']]]+#REF!)/(2*#REF!/1000),"")</f>
        <v/>
      </c>
      <c r="BE101" s="124" t="str">
        <f>IFERROR(TP_DATA[[#This Row],[Bottom '[m']]]-TP_DATA[[#This Row],[D, top '[m']]], "")</f>
        <v/>
      </c>
      <c r="BF101" s="124" t="str">
        <f>IFERROR(-(TP_DATA[[#This Row],[D, bottom '[m']]]-TP_DATA[[#This Row],[D, top '[m']]])/(TP_DATA[[#This Row],[Bottom '[m']]]-TP_DATA[[#This Row],[Top '[m']]]),"")</f>
        <v/>
      </c>
      <c r="BG101" s="124" t="str">
        <f t="shared" si="5"/>
        <v/>
      </c>
      <c r="BH101" s="124" t="str">
        <f>IFERROR((TP_DATA[[#This Row],[D, bottom '[m']]]+TP_DATA[[#This Row],[D, top '[m']]])/(2*TP_DATA[[#This Row],[t '[mm']]]/1000),"")</f>
        <v/>
      </c>
      <c r="BI101" s="124" t="str">
        <f>IFERROR((TP_DATA[[#This Row],[D, bottom '[m']]]+#REF!)/(2*#REF!/1000),"")</f>
        <v/>
      </c>
      <c r="CS101" s="105">
        <v>84</v>
      </c>
      <c r="CT101" s="105">
        <v>29.120999999999999</v>
      </c>
      <c r="CU101" s="105">
        <v>26.639999999999997</v>
      </c>
      <c r="CV101" s="105">
        <v>7.4790000000000001</v>
      </c>
      <c r="CW101" s="105">
        <v>7.5</v>
      </c>
      <c r="CX101" s="105">
        <v>49</v>
      </c>
      <c r="CY101" s="124">
        <f>IFERROR(TOWER_DATA[[#This Row],[Top '[m']]]-TOWER_DATA[[#This Row],[Bottom '[m']]], "")</f>
        <v>2.4810000000000016</v>
      </c>
      <c r="CZ101" s="124">
        <f>IFERROR(-(TOWER_DATA[[#This Row],[D, bottom '[m']]]-TOWER_DATA[[#This Row],[D, top '[m']]])/(TOWER_DATA[[#This Row],[Bottom '[m']]]-TOWER_DATA[[#This Row],[Top '[m']]]),"")</f>
        <v>8.4643288996371999E-3</v>
      </c>
      <c r="DA101" s="124">
        <f t="shared" si="4"/>
        <v>22.307170912766217</v>
      </c>
      <c r="DB101" s="124">
        <f>IFERROR((TOWER_DATA[[#This Row],[D, bottom '[m']]]+TOWER_DATA[[#This Row],[D, top '[m']]])/(2*TOWER_DATA[[#This Row],[t '[mm']]]/1000),"")</f>
        <v>152.84693877551018</v>
      </c>
      <c r="DC101" s="124" t="str">
        <f>IFERROR((TOWER_DATA[[#This Row],[D, bottom '[m']]]+#REF!)/(2*#REF!/1000),"")</f>
        <v/>
      </c>
      <c r="DK101" s="149"/>
      <c r="DL101" s="149"/>
      <c r="DV101" s="117">
        <v>84</v>
      </c>
      <c r="DW101" s="117">
        <v>29.120999999999999</v>
      </c>
      <c r="DX101" s="117">
        <v>26.639999999999997</v>
      </c>
      <c r="DY101" s="117">
        <v>7.4790000000000001</v>
      </c>
      <c r="DZ101" s="117">
        <v>7.5</v>
      </c>
      <c r="EA101" s="117">
        <v>49</v>
      </c>
      <c r="EC101" s="117"/>
      <c r="ED101" s="117"/>
      <c r="EE101" s="117"/>
      <c r="EF101" s="117"/>
      <c r="EG101" s="117"/>
      <c r="EH101" s="117"/>
      <c r="EI101" s="117"/>
      <c r="EJ101" s="117"/>
      <c r="EK101" s="117"/>
      <c r="ET101" s="124" t="str">
        <f t="shared" si="6"/>
        <v/>
      </c>
      <c r="EU101" s="124"/>
    </row>
    <row r="102" spans="5:151" ht="18" hidden="1" customHeight="1" outlineLevel="1" x14ac:dyDescent="0.25">
      <c r="K102" s="105"/>
      <c r="N102" s="105"/>
      <c r="O102" s="124" t="str">
        <f>IFERROR((MP_DATA[[#This Row],[D, bottom '[m']]]+#REF!)/(2*#REF!/1000),"")</f>
        <v/>
      </c>
      <c r="BE102" s="124" t="str">
        <f>IFERROR(TP_DATA[[#This Row],[Bottom '[m']]]-TP_DATA[[#This Row],[D, top '[m']]], "")</f>
        <v/>
      </c>
      <c r="BF102" s="124" t="str">
        <f>IFERROR(-(TP_DATA[[#This Row],[D, bottom '[m']]]-TP_DATA[[#This Row],[D, top '[m']]])/(TP_DATA[[#This Row],[Bottom '[m']]]-TP_DATA[[#This Row],[Top '[m']]]),"")</f>
        <v/>
      </c>
      <c r="BG102" s="124" t="str">
        <f t="shared" si="5"/>
        <v/>
      </c>
      <c r="BH102" s="124" t="str">
        <f>IFERROR((TP_DATA[[#This Row],[D, bottom '[m']]]+TP_DATA[[#This Row],[D, top '[m']]])/(2*TP_DATA[[#This Row],[t '[mm']]]/1000),"")</f>
        <v/>
      </c>
      <c r="BI102" s="124" t="str">
        <f>IFERROR((TP_DATA[[#This Row],[D, bottom '[m']]]+#REF!)/(2*#REF!/1000),"")</f>
        <v/>
      </c>
      <c r="CS102" s="105">
        <v>85</v>
      </c>
      <c r="CT102" s="105">
        <v>26.639999999999997</v>
      </c>
      <c r="CU102" s="105">
        <v>25.05</v>
      </c>
      <c r="CV102" s="105">
        <v>7.5</v>
      </c>
      <c r="CW102" s="105">
        <v>7.5</v>
      </c>
      <c r="CX102" s="105">
        <v>70</v>
      </c>
      <c r="CY102" s="124">
        <f>IFERROR(TOWER_DATA[[#This Row],[Top '[m']]]-TOWER_DATA[[#This Row],[Bottom '[m']]], "")</f>
        <v>1.5899999999999963</v>
      </c>
      <c r="CZ102" s="124">
        <f>IFERROR(-(TOWER_DATA[[#This Row],[D, bottom '[m']]]-TOWER_DATA[[#This Row],[D, top '[m']]])/(TOWER_DATA[[#This Row],[Bottom '[m']]]-TOWER_DATA[[#This Row],[Top '[m']]]),"")</f>
        <v>0</v>
      </c>
      <c r="DA102" s="124">
        <f t="shared" si="4"/>
        <v>20.394051305876623</v>
      </c>
      <c r="DB102" s="124">
        <f>IFERROR((TOWER_DATA[[#This Row],[D, bottom '[m']]]+TOWER_DATA[[#This Row],[D, top '[m']]])/(2*TOWER_DATA[[#This Row],[t '[mm']]]/1000),"")</f>
        <v>107.14285714285714</v>
      </c>
      <c r="DC102" s="124" t="str">
        <f>IFERROR((TOWER_DATA[[#This Row],[D, bottom '[m']]]+#REF!)/(2*#REF!/1000),"")</f>
        <v/>
      </c>
      <c r="DK102" s="149"/>
      <c r="DL102" s="149"/>
      <c r="DV102" s="117">
        <v>85</v>
      </c>
      <c r="DW102" s="117">
        <v>26.639999999999997</v>
      </c>
      <c r="DX102" s="117">
        <v>25.05</v>
      </c>
      <c r="DY102" s="117">
        <v>7.5</v>
      </c>
      <c r="DZ102" s="117">
        <v>7.5</v>
      </c>
      <c r="EA102" s="117">
        <v>70</v>
      </c>
      <c r="EC102" s="117"/>
      <c r="ED102" s="117"/>
      <c r="EE102" s="117"/>
      <c r="EF102" s="117"/>
      <c r="EG102" s="117"/>
      <c r="EH102" s="117"/>
      <c r="EI102" s="117"/>
      <c r="EJ102" s="117"/>
      <c r="EK102" s="117"/>
      <c r="ET102" s="124" t="str">
        <f t="shared" si="6"/>
        <v/>
      </c>
      <c r="EU102" s="124"/>
    </row>
    <row r="103" spans="5:151" ht="18" hidden="1" customHeight="1" outlineLevel="1" x14ac:dyDescent="0.25">
      <c r="K103" s="105"/>
      <c r="N103" s="105"/>
      <c r="O103" s="124" t="str">
        <f>IFERROR((MP_DATA[[#This Row],[D, bottom '[m']]]+#REF!)/(2*#REF!/1000),"")</f>
        <v/>
      </c>
      <c r="BE103" s="124" t="str">
        <f>IFERROR(TP_DATA[[#This Row],[Bottom '[m']]]-TP_DATA[[#This Row],[D, top '[m']]], "")</f>
        <v/>
      </c>
      <c r="BF103" s="124" t="str">
        <f>IFERROR(-(TP_DATA[[#This Row],[D, bottom '[m']]]-TP_DATA[[#This Row],[D, top '[m']]])/(TP_DATA[[#This Row],[Bottom '[m']]]-TP_DATA[[#This Row],[Top '[m']]]),"")</f>
        <v/>
      </c>
      <c r="BG103" s="124" t="str">
        <f t="shared" si="5"/>
        <v/>
      </c>
      <c r="BH103" s="124" t="str">
        <f>IFERROR((TP_DATA[[#This Row],[D, bottom '[m']]]+TP_DATA[[#This Row],[D, top '[m']]])/(2*TP_DATA[[#This Row],[t '[mm']]]/1000),"")</f>
        <v/>
      </c>
      <c r="BI103" s="124" t="str">
        <f>IFERROR((TP_DATA[[#This Row],[D, bottom '[m']]]+#REF!)/(2*#REF!/1000),"")</f>
        <v/>
      </c>
      <c r="CS103" s="105">
        <v>86</v>
      </c>
      <c r="CT103" s="105">
        <v>25.05</v>
      </c>
      <c r="CU103" s="105">
        <v>25.010999999999999</v>
      </c>
      <c r="CV103" s="105">
        <v>7.5</v>
      </c>
      <c r="CW103" s="105">
        <v>7.5</v>
      </c>
      <c r="CX103" s="105">
        <v>70</v>
      </c>
      <c r="CY103" s="124">
        <f>IFERROR(TOWER_DATA[[#This Row],[Top '[m']]]-TOWER_DATA[[#This Row],[Bottom '[m']]], "")</f>
        <v>3.9000000000001478E-2</v>
      </c>
      <c r="CZ103" s="124">
        <f>IFERROR(-(TOWER_DATA[[#This Row],[D, bottom '[m']]]-TOWER_DATA[[#This Row],[D, top '[m']]])/(TOWER_DATA[[#This Row],[Bottom '[m']]]-TOWER_DATA[[#This Row],[Top '[m']]]),"")</f>
        <v>0</v>
      </c>
      <c r="DA103" s="124">
        <f t="shared" si="4"/>
        <v>0.50023144712529577</v>
      </c>
      <c r="DB103" s="124">
        <f>IFERROR((TOWER_DATA[[#This Row],[D, bottom '[m']]]+TOWER_DATA[[#This Row],[D, top '[m']]])/(2*TOWER_DATA[[#This Row],[t '[mm']]]/1000),"")</f>
        <v>107.14285714285714</v>
      </c>
      <c r="DC103" s="124" t="str">
        <f>IFERROR((TOWER_DATA[[#This Row],[D, bottom '[m']]]+#REF!)/(2*#REF!/1000),"")</f>
        <v/>
      </c>
      <c r="DD103" s="149"/>
      <c r="DE103" s="149"/>
      <c r="DF103" s="149"/>
      <c r="DG103" s="149"/>
      <c r="DH103" s="149"/>
      <c r="DI103" s="149"/>
      <c r="DJ103" s="149"/>
      <c r="DK103" s="149"/>
      <c r="DL103" s="149"/>
      <c r="DV103" s="117">
        <v>86</v>
      </c>
      <c r="DW103" s="117">
        <v>25.05</v>
      </c>
      <c r="DX103" s="117">
        <v>25.010999999999999</v>
      </c>
      <c r="DY103" s="117">
        <v>7.5</v>
      </c>
      <c r="DZ103" s="117">
        <v>7.5</v>
      </c>
      <c r="EA103" s="117">
        <v>70</v>
      </c>
      <c r="EC103" s="117"/>
      <c r="ED103" s="117"/>
      <c r="EE103" s="117"/>
      <c r="EF103" s="117"/>
      <c r="EG103" s="117"/>
      <c r="EH103" s="117"/>
      <c r="EI103" s="117"/>
      <c r="EJ103" s="117"/>
      <c r="EK103" s="117"/>
      <c r="ET103" s="124" t="str">
        <f t="shared" si="6"/>
        <v/>
      </c>
      <c r="EU103" s="124"/>
    </row>
    <row r="104" spans="5:151" ht="18" hidden="1" customHeight="1" outlineLevel="1" x14ac:dyDescent="0.25">
      <c r="K104" s="105"/>
      <c r="N104" s="105"/>
      <c r="O104" s="124" t="str">
        <f>IFERROR((MP_DATA[[#This Row],[D, bottom '[m']]]+#REF!)/(2*#REF!/1000),"")</f>
        <v/>
      </c>
      <c r="BE104" s="124" t="str">
        <f>IFERROR(TP_DATA[[#This Row],[Bottom '[m']]]-TP_DATA[[#This Row],[D, top '[m']]], "")</f>
        <v/>
      </c>
      <c r="BF104" s="124" t="str">
        <f>IFERROR(-(TP_DATA[[#This Row],[D, bottom '[m']]]-TP_DATA[[#This Row],[D, top '[m']]])/(TP_DATA[[#This Row],[Bottom '[m']]]-TP_DATA[[#This Row],[Top '[m']]]),"")</f>
        <v/>
      </c>
      <c r="BG104" s="124" t="str">
        <f t="shared" si="5"/>
        <v/>
      </c>
      <c r="BH104" s="124" t="str">
        <f>IFERROR((TP_DATA[[#This Row],[D, bottom '[m']]]+TP_DATA[[#This Row],[D, top '[m']]])/(2*TP_DATA[[#This Row],[t '[mm']]]/1000),"")</f>
        <v/>
      </c>
      <c r="BI104" s="124" t="str">
        <f>IFERROR((TP_DATA[[#This Row],[D, bottom '[m']]]+#REF!)/(2*#REF!/1000),"")</f>
        <v/>
      </c>
      <c r="CS104" s="105">
        <v>87</v>
      </c>
      <c r="CT104" s="105">
        <v>25.010999999999999</v>
      </c>
      <c r="CU104" s="105">
        <v>22.119999999999997</v>
      </c>
      <c r="CV104" s="105">
        <v>7.5</v>
      </c>
      <c r="CW104" s="105">
        <v>7.5</v>
      </c>
      <c r="CX104" s="105">
        <v>70</v>
      </c>
      <c r="CY104" s="124">
        <f>IFERROR(TOWER_DATA[[#This Row],[Top '[m']]]-TOWER_DATA[[#This Row],[Bottom '[m']]], "")</f>
        <v>2.8910000000000018</v>
      </c>
      <c r="CZ104" s="124">
        <f>IFERROR(-(TOWER_DATA[[#This Row],[D, bottom '[m']]]-TOWER_DATA[[#This Row],[D, top '[m']]])/(TOWER_DATA[[#This Row],[Bottom '[m']]]-TOWER_DATA[[#This Row],[Top '[m']]]),"")</f>
        <v>0</v>
      </c>
      <c r="DA104" s="124">
        <f t="shared" si="4"/>
        <v>37.081259324081437</v>
      </c>
      <c r="DB104" s="124">
        <f>IFERROR((TOWER_DATA[[#This Row],[D, bottom '[m']]]+TOWER_DATA[[#This Row],[D, top '[m']]])/(2*TOWER_DATA[[#This Row],[t '[mm']]]/1000),"")</f>
        <v>107.14285714285714</v>
      </c>
      <c r="DC104" s="124" t="str">
        <f>IFERROR((TOWER_DATA[[#This Row],[D, bottom '[m']]]+#REF!)/(2*#REF!/1000),"")</f>
        <v/>
      </c>
      <c r="DD104" s="149"/>
      <c r="DE104" s="149"/>
      <c r="DF104" s="149"/>
      <c r="DG104" s="149"/>
      <c r="DH104" s="149"/>
      <c r="DI104" s="149"/>
      <c r="DJ104" s="149"/>
      <c r="DK104" s="149"/>
      <c r="DL104" s="149"/>
      <c r="DV104" s="117">
        <v>87</v>
      </c>
      <c r="DW104" s="117">
        <v>25.010999999999999</v>
      </c>
      <c r="DX104" s="117">
        <v>22.119999999999997</v>
      </c>
      <c r="DY104" s="117">
        <v>7.5</v>
      </c>
      <c r="DZ104" s="117">
        <v>7.5</v>
      </c>
      <c r="EA104" s="117">
        <v>70</v>
      </c>
      <c r="EC104" s="117"/>
      <c r="ED104" s="117"/>
      <c r="EE104" s="117"/>
      <c r="EF104" s="117"/>
      <c r="EG104" s="117"/>
      <c r="EH104" s="117"/>
      <c r="EI104" s="117"/>
      <c r="EJ104" s="117"/>
      <c r="EK104" s="117"/>
      <c r="ET104" s="124" t="str">
        <f t="shared" si="6"/>
        <v/>
      </c>
      <c r="EU104" s="124"/>
    </row>
    <row r="105" spans="5:151" ht="18" hidden="1" customHeight="1" outlineLevel="1" x14ac:dyDescent="0.25">
      <c r="K105" s="105"/>
      <c r="N105" s="105"/>
      <c r="O105" s="124" t="str">
        <f>IFERROR((MP_DATA[[#This Row],[D, bottom '[m']]]+#REF!)/(2*#REF!/1000),"")</f>
        <v/>
      </c>
      <c r="BE105" s="124" t="str">
        <f>IFERROR(TP_DATA[[#This Row],[Bottom '[m']]]-TP_DATA[[#This Row],[D, top '[m']]], "")</f>
        <v/>
      </c>
      <c r="BF105" s="124" t="str">
        <f>IFERROR(-(TP_DATA[[#This Row],[D, bottom '[m']]]-TP_DATA[[#This Row],[D, top '[m']]])/(TP_DATA[[#This Row],[Bottom '[m']]]-TP_DATA[[#This Row],[Top '[m']]]),"")</f>
        <v/>
      </c>
      <c r="BG105" s="124" t="str">
        <f t="shared" si="5"/>
        <v/>
      </c>
      <c r="BH105" s="124" t="str">
        <f>IFERROR((TP_DATA[[#This Row],[D, bottom '[m']]]+TP_DATA[[#This Row],[D, top '[m']]])/(2*TP_DATA[[#This Row],[t '[mm']]]/1000),"")</f>
        <v/>
      </c>
      <c r="BI105" s="124" t="str">
        <f>IFERROR((TP_DATA[[#This Row],[D, bottom '[m']]]+#REF!)/(2*#REF!/1000),"")</f>
        <v/>
      </c>
      <c r="CS105" s="105">
        <v>88</v>
      </c>
      <c r="CT105" s="105">
        <v>22.119999999999997</v>
      </c>
      <c r="CU105" s="105">
        <v>21.139999999999997</v>
      </c>
      <c r="CV105" s="105">
        <v>7.5</v>
      </c>
      <c r="CW105" s="105">
        <v>7.5</v>
      </c>
      <c r="CX105" s="105">
        <v>70</v>
      </c>
      <c r="CY105" s="124">
        <f>IFERROR(TOWER_DATA[[#This Row],[Top '[m']]]-TOWER_DATA[[#This Row],[Bottom '[m']]], "")</f>
        <v>0.98000000000000043</v>
      </c>
      <c r="CZ105" s="124">
        <f>IFERROR(-(TOWER_DATA[[#This Row],[D, bottom '[m']]]-TOWER_DATA[[#This Row],[D, top '[m']]])/(TOWER_DATA[[#This Row],[Bottom '[m']]]-TOWER_DATA[[#This Row],[Top '[m']]]),"")</f>
        <v>0</v>
      </c>
      <c r="DA105" s="124">
        <f t="shared" si="4"/>
        <v>12.569918414942858</v>
      </c>
      <c r="DB105" s="124">
        <f>IFERROR((TOWER_DATA[[#This Row],[D, bottom '[m']]]+TOWER_DATA[[#This Row],[D, top '[m']]])/(2*TOWER_DATA[[#This Row],[t '[mm']]]/1000),"")</f>
        <v>107.14285714285714</v>
      </c>
      <c r="DC105" s="124" t="str">
        <f>IFERROR((TOWER_DATA[[#This Row],[D, bottom '[m']]]+#REF!)/(2*#REF!/1000),"")</f>
        <v/>
      </c>
      <c r="DD105" s="149"/>
      <c r="DE105" s="149"/>
      <c r="DF105" s="149"/>
      <c r="DG105" s="149"/>
      <c r="DH105" s="149"/>
      <c r="DI105" s="149"/>
      <c r="DJ105" s="149"/>
      <c r="DK105" s="149"/>
      <c r="DL105" s="149"/>
      <c r="DV105" s="117">
        <v>88</v>
      </c>
      <c r="DW105" s="117">
        <v>22.119999999999997</v>
      </c>
      <c r="DX105" s="117">
        <v>21.139999999999997</v>
      </c>
      <c r="DY105" s="117">
        <v>7.5</v>
      </c>
      <c r="DZ105" s="117">
        <v>7.5</v>
      </c>
      <c r="EA105" s="117">
        <v>70</v>
      </c>
      <c r="EC105" s="117"/>
      <c r="ED105" s="117"/>
      <c r="EE105" s="117"/>
      <c r="EF105" s="117"/>
      <c r="EG105" s="117"/>
      <c r="EH105" s="117"/>
      <c r="EI105" s="117"/>
      <c r="EJ105" s="117"/>
      <c r="EK105" s="117"/>
      <c r="ET105" s="124" t="str">
        <f t="shared" si="6"/>
        <v/>
      </c>
      <c r="EU105" s="124"/>
    </row>
    <row r="106" spans="5:151" ht="18" hidden="1" customHeight="1" outlineLevel="1" x14ac:dyDescent="0.25">
      <c r="K106" s="105"/>
      <c r="N106" s="105"/>
      <c r="O106" s="105" t="str">
        <f>IFERROR((MP_DATA[[#This Row],[D, bottom '[m']]]+#REF!)/(2*#REF!/1000),"")</f>
        <v/>
      </c>
      <c r="BE106" s="124" t="str">
        <f>IFERROR(TP_DATA[[#This Row],[Bottom '[m']]]-TP_DATA[[#This Row],[D, top '[m']]], "")</f>
        <v/>
      </c>
      <c r="BF106" s="124" t="str">
        <f>IFERROR(-(TP_DATA[[#This Row],[D, bottom '[m']]]-TP_DATA[[#This Row],[D, top '[m']]])/(TP_DATA[[#This Row],[Bottom '[m']]]-TP_DATA[[#This Row],[Top '[m']]]),"")</f>
        <v/>
      </c>
      <c r="BG106" s="124" t="str">
        <f t="shared" si="5"/>
        <v/>
      </c>
      <c r="BH106" s="124" t="str">
        <f>IFERROR((TP_DATA[[#This Row],[D, bottom '[m']]]+TP_DATA[[#This Row],[D, top '[m']]])/(2*TP_DATA[[#This Row],[t '[mm']]]/1000),"")</f>
        <v/>
      </c>
      <c r="BI106" s="105" t="str">
        <f>IFERROR((TP_DATA[[#This Row],[D, bottom '[m']]]+#REF!)/(2*#REF!/1000),"")</f>
        <v/>
      </c>
      <c r="CS106" s="105">
        <v>89</v>
      </c>
      <c r="CT106" s="105">
        <v>21.139999999999997</v>
      </c>
      <c r="CU106" s="105">
        <v>21.08</v>
      </c>
      <c r="CV106" s="105">
        <v>7.5</v>
      </c>
      <c r="CW106" s="105">
        <v>7.5</v>
      </c>
      <c r="CX106" s="105">
        <v>70</v>
      </c>
      <c r="CY106" s="124">
        <f>IFERROR(TOWER_DATA[[#This Row],[Top '[m']]]-TOWER_DATA[[#This Row],[Bottom '[m']]], "")</f>
        <v>5.9999999999998721E-2</v>
      </c>
      <c r="CZ106" s="124">
        <f>IFERROR(-(TOWER_DATA[[#This Row],[D, bottom '[m']]]-TOWER_DATA[[#This Row],[D, top '[m']]])/(TOWER_DATA[[#This Row],[Bottom '[m']]]-TOWER_DATA[[#This Row],[Top '[m']]]),"")</f>
        <v>0</v>
      </c>
      <c r="DA106" s="124">
        <f t="shared" si="4"/>
        <v>0.76958684173117875</v>
      </c>
      <c r="DB106" s="124">
        <f>IFERROR((TOWER_DATA[[#This Row],[D, bottom '[m']]]+TOWER_DATA[[#This Row],[D, top '[m']]])/(2*TOWER_DATA[[#This Row],[t '[mm']]]/1000),"")</f>
        <v>107.14285714285714</v>
      </c>
      <c r="DC106" s="105" t="str">
        <f>IFERROR((TOWER_DATA[[#This Row],[D, bottom '[m']]]+#REF!)/(2*#REF!/1000),"")</f>
        <v/>
      </c>
      <c r="DD106" s="149"/>
      <c r="DE106" s="149"/>
      <c r="DF106" s="149"/>
      <c r="DG106" s="149"/>
      <c r="DH106" s="149"/>
      <c r="DI106" s="149"/>
      <c r="DJ106" s="149"/>
      <c r="DK106" s="149"/>
      <c r="DL106" s="149"/>
      <c r="DV106" s="117">
        <v>89</v>
      </c>
      <c r="DW106" s="117">
        <v>21.139999999999997</v>
      </c>
      <c r="DX106" s="117">
        <v>21.08</v>
      </c>
      <c r="DY106" s="117">
        <v>7.5</v>
      </c>
      <c r="DZ106" s="117">
        <v>7.5</v>
      </c>
      <c r="EA106" s="117">
        <v>70</v>
      </c>
      <c r="EC106" s="117"/>
      <c r="ED106" s="117"/>
      <c r="EE106" s="117"/>
      <c r="EF106" s="117"/>
      <c r="EG106" s="117"/>
      <c r="EH106" s="117"/>
      <c r="EI106" s="117"/>
      <c r="EJ106" s="117"/>
      <c r="EK106" s="117"/>
      <c r="ET106" s="124" t="str">
        <f t="shared" si="6"/>
        <v/>
      </c>
      <c r="EU106" s="124"/>
    </row>
    <row r="107" spans="5:151" ht="18" hidden="1" customHeight="1" outlineLevel="1" x14ac:dyDescent="0.25">
      <c r="K107" s="105"/>
      <c r="N107" s="105"/>
      <c r="O107" s="105" t="str">
        <f>IFERROR((MP_DATA[[#This Row],[D, bottom '[m']]]+#REF!)/(2*#REF!/1000),"")</f>
        <v/>
      </c>
      <c r="BE107" s="124" t="str">
        <f>IFERROR(TP_DATA[[#This Row],[Bottom '[m']]]-TP_DATA[[#This Row],[D, top '[m']]], "")</f>
        <v/>
      </c>
      <c r="BF107" s="124" t="str">
        <f>IFERROR(-(TP_DATA[[#This Row],[D, bottom '[m']]]-TP_DATA[[#This Row],[D, top '[m']]])/(TP_DATA[[#This Row],[Bottom '[m']]]-TP_DATA[[#This Row],[Top '[m']]]),"")</f>
        <v/>
      </c>
      <c r="BG107" s="124" t="str">
        <f t="shared" si="5"/>
        <v/>
      </c>
      <c r="BH107" s="124" t="str">
        <f>IFERROR((TP_DATA[[#This Row],[D, bottom '[m']]]+TP_DATA[[#This Row],[D, top '[m']]])/(2*TP_DATA[[#This Row],[t '[mm']]]/1000),"")</f>
        <v/>
      </c>
      <c r="BI107" s="105" t="str">
        <f>IFERROR((TP_DATA[[#This Row],[D, bottom '[m']]]+#REF!)/(2*#REF!/1000),"")</f>
        <v/>
      </c>
      <c r="CS107" s="105">
        <v>90</v>
      </c>
      <c r="CT107" s="105">
        <v>21.08</v>
      </c>
      <c r="CU107" s="105">
        <v>20.9</v>
      </c>
      <c r="CV107" s="105">
        <v>7.5</v>
      </c>
      <c r="CW107" s="105">
        <v>7.5</v>
      </c>
      <c r="CX107" s="105">
        <v>70</v>
      </c>
      <c r="CY107" s="124">
        <f>IFERROR(TOWER_DATA[[#This Row],[Top '[m']]]-TOWER_DATA[[#This Row],[Bottom '[m']]], "")</f>
        <v>0.17999999999999972</v>
      </c>
      <c r="CZ107" s="124">
        <f>IFERROR(-(TOWER_DATA[[#This Row],[D, bottom '[m']]]-TOWER_DATA[[#This Row],[D, top '[m']]])/(TOWER_DATA[[#This Row],[Bottom '[m']]]-TOWER_DATA[[#This Row],[Top '[m']]]),"")</f>
        <v>0</v>
      </c>
      <c r="DA107" s="124">
        <f t="shared" si="4"/>
        <v>2.3087605251935819</v>
      </c>
      <c r="DB107" s="124">
        <f>IFERROR((TOWER_DATA[[#This Row],[D, bottom '[m']]]+TOWER_DATA[[#This Row],[D, top '[m']]])/(2*TOWER_DATA[[#This Row],[t '[mm']]]/1000),"")</f>
        <v>107.14285714285714</v>
      </c>
      <c r="DC107" s="105" t="str">
        <f>IFERROR((TOWER_DATA[[#This Row],[D, bottom '[m']]]+#REF!)/(2*#REF!/1000),"")</f>
        <v/>
      </c>
      <c r="DD107" s="149"/>
      <c r="DE107" s="149"/>
      <c r="DF107" s="149"/>
      <c r="DG107" s="149"/>
      <c r="DH107" s="149"/>
      <c r="DI107" s="149"/>
      <c r="DJ107" s="149"/>
      <c r="DK107" s="149"/>
      <c r="DL107" s="149"/>
      <c r="DV107" s="117">
        <v>90</v>
      </c>
      <c r="DW107" s="117">
        <v>21.08</v>
      </c>
      <c r="DX107" s="117">
        <v>20.9</v>
      </c>
      <c r="DY107" s="117">
        <v>7.5</v>
      </c>
      <c r="DZ107" s="117">
        <v>7.5</v>
      </c>
      <c r="EA107" s="117">
        <v>70</v>
      </c>
      <c r="EC107" s="117"/>
      <c r="ED107" s="117"/>
      <c r="EE107" s="117"/>
      <c r="EF107" s="117"/>
      <c r="EG107" s="117"/>
      <c r="EH107" s="117"/>
      <c r="EI107" s="117"/>
      <c r="EJ107" s="117"/>
      <c r="EK107" s="117"/>
      <c r="ET107" s="124" t="str">
        <f t="shared" si="6"/>
        <v/>
      </c>
      <c r="EU107" s="124"/>
    </row>
    <row r="108" spans="5:151" ht="18" hidden="1" customHeight="1" outlineLevel="1" x14ac:dyDescent="0.25">
      <c r="K108" s="124" t="str">
        <f>IFERROR(MP_DATA[[#This Row],[Bottom '[m']]]-MP_DATA[[#This Row],[D, top '[m']]], "")</f>
        <v/>
      </c>
      <c r="L108" s="105" t="str">
        <f>IFERROR(-(MP_DATA[[#This Row],[D, bottom '[m']]]-MP_DATA[[#This Row],[D, top '[m']]])/(MP_DATA[[#This Row],[Bottom '[m']]]-MP_DATA[[#This Row],[Top '[m']]]),"")</f>
        <v/>
      </c>
      <c r="M108" s="124" t="str">
        <f t="shared" si="2"/>
        <v/>
      </c>
      <c r="N108" s="124" t="str">
        <f>IFERROR((MP_DATA[[#This Row],[D, bottom '[m']]]+MP_DATA[[#This Row],[D, top '[m']]])/(2*MP_DATA[[#This Row],[t '[mm']]]/1000),"")</f>
        <v/>
      </c>
      <c r="O108" s="105" t="str">
        <f>IFERROR((MP_DATA[[#This Row],[D, bottom '[m']]]+#REF!)/(2*#REF!/1000),"")</f>
        <v/>
      </c>
      <c r="BE108" s="124" t="str">
        <f>IFERROR(TP_DATA[[#This Row],[Bottom '[m']]]-TP_DATA[[#This Row],[D, top '[m']]], "")</f>
        <v/>
      </c>
      <c r="BF108" s="124" t="str">
        <f>IFERROR(-(TP_DATA[[#This Row],[D, bottom '[m']]]-TP_DATA[[#This Row],[D, top '[m']]])/(TP_DATA[[#This Row],[Bottom '[m']]]-TP_DATA[[#This Row],[Top '[m']]]),"")</f>
        <v/>
      </c>
      <c r="BG108" s="124" t="str">
        <f t="shared" si="5"/>
        <v/>
      </c>
      <c r="BH108" s="124" t="str">
        <f>IFERROR((TP_DATA[[#This Row],[D, bottom '[m']]]+TP_DATA[[#This Row],[D, top '[m']]])/(2*TP_DATA[[#This Row],[t '[mm']]]/1000),"")</f>
        <v/>
      </c>
      <c r="BI108" s="105" t="str">
        <f>IFERROR((TP_DATA[[#This Row],[D, bottom '[m']]]+#REF!)/(2*#REF!/1000),"")</f>
        <v/>
      </c>
      <c r="CY108" s="124" t="str">
        <f>IFERROR(TOWER_DATA[[#This Row],[Top '[m']]]-TOWER_DATA[[#This Row],[Bottom '[m']]], "")</f>
        <v/>
      </c>
      <c r="CZ108" s="124" t="str">
        <f>IFERROR(-(TOWER_DATA[[#This Row],[D, bottom '[m']]]-TOWER_DATA[[#This Row],[D, top '[m']]])/(TOWER_DATA[[#This Row],[Bottom '[m']]]-TOWER_DATA[[#This Row],[Top '[m']]]),"")</f>
        <v/>
      </c>
      <c r="DA108" s="124" t="str">
        <f t="shared" ref="DA108:DA132" si="7">IF(7850/1000*(1/3)*PI()*ABS(CT108-CU108)*((CV108/2)^2+(CV108/2)*(CW108/2)+(CW108/2)^2-(CV108/2-CX108/1000)^2-(CV108/2-CX108/1000)*(CW108/2-CX108/1000)-(CW108/2-CX108/1000)^2)=0,"",7850/1000*(1/3)*PI()*ABS(CT108-CU108)*((CV108/2)^2+(CV108/2)*(CW108/2)+(CW108/2)^2-(CV108/2-CX108/1000)^2-(CV108/2-CX108/1000)*(CW108/2-CX108/1000)-(CW108/2-CX108/1000)^2))</f>
        <v/>
      </c>
      <c r="DB108" s="124" t="str">
        <f>IFERROR((TOWER_DATA[[#This Row],[D, bottom '[m']]]+TOWER_DATA[[#This Row],[D, top '[m']]])/(2*TOWER_DATA[[#This Row],[t '[mm']]]/1000),"")</f>
        <v/>
      </c>
      <c r="DC108" s="105" t="str">
        <f>IFERROR((TOWER_DATA[[#This Row],[D, bottom '[m']]]+#REF!)/(2*#REF!/1000),"")</f>
        <v/>
      </c>
      <c r="DD108" s="149"/>
      <c r="DE108" s="149"/>
      <c r="DF108" s="149"/>
      <c r="DG108" s="149"/>
      <c r="DH108" s="149"/>
      <c r="DI108" s="149"/>
      <c r="DJ108" s="149"/>
      <c r="DK108" s="149"/>
      <c r="DL108" s="149"/>
      <c r="EC108" s="117"/>
      <c r="ED108" s="117"/>
      <c r="EE108" s="117"/>
      <c r="EF108" s="117"/>
      <c r="EG108" s="117"/>
      <c r="EH108" s="117"/>
      <c r="EI108" s="117"/>
      <c r="EJ108" s="117"/>
      <c r="EK108" s="117"/>
      <c r="ET108" s="124" t="str">
        <f t="shared" si="6"/>
        <v/>
      </c>
      <c r="EU108" s="124"/>
    </row>
    <row r="109" spans="5:151" ht="18" customHeight="1" collapsed="1" x14ac:dyDescent="0.25">
      <c r="K109" s="124" t="str">
        <f>IFERROR(MP_DATA[[#This Row],[Bottom '[m']]]-MP_DATA[[#This Row],[D, top '[m']]], "")</f>
        <v/>
      </c>
      <c r="L109" s="124" t="str">
        <f>IFERROR(-(MP_DATA[[#This Row],[D, bottom '[m']]]-MP_DATA[[#This Row],[D, top '[m']]])/(MP_DATA[[#This Row],[Bottom '[m']]]-MP_DATA[[#This Row],[Top '[m']]]),"")</f>
        <v/>
      </c>
      <c r="M109" s="124" t="str">
        <f t="shared" si="2"/>
        <v/>
      </c>
      <c r="N109" s="124" t="str">
        <f>IFERROR((MP_DATA[[#This Row],[D, bottom '[m']]]+MP_DATA[[#This Row],[D, top '[m']]])/(2*MP_DATA[[#This Row],[t '[mm']]]/1000),"")</f>
        <v/>
      </c>
      <c r="O109" s="105" t="str">
        <f>IFERROR((MP_DATA[[#This Row],[D, bottom '[m']]]+#REF!)/(2*#REF!/1000),"")</f>
        <v/>
      </c>
      <c r="BE109" s="124" t="str">
        <f>IFERROR(TP_DATA[[#This Row],[Bottom '[m']]]-TP_DATA[[#This Row],[D, top '[m']]], "")</f>
        <v/>
      </c>
      <c r="BF109" s="124" t="str">
        <f>IFERROR(-(TP_DATA[[#This Row],[D, bottom '[m']]]-TP_DATA[[#This Row],[D, top '[m']]])/(TP_DATA[[#This Row],[Bottom '[m']]]-TP_DATA[[#This Row],[Top '[m']]]),"")</f>
        <v/>
      </c>
      <c r="BG109" s="124" t="str">
        <f t="shared" si="5"/>
        <v/>
      </c>
      <c r="BH109" s="124" t="str">
        <f>IFERROR((TP_DATA[[#This Row],[D, bottom '[m']]]+TP_DATA[[#This Row],[D, top '[m']]])/(2*TP_DATA[[#This Row],[t '[mm']]]/1000),"")</f>
        <v/>
      </c>
      <c r="BI109" s="105" t="str">
        <f>IFERROR((TP_DATA[[#This Row],[D, bottom '[m']]]+#REF!)/(2*#REF!/1000),"")</f>
        <v/>
      </c>
      <c r="CY109" s="124" t="str">
        <f>IFERROR(TOWER_DATA[[#This Row],[Top '[m']]]-TOWER_DATA[[#This Row],[Bottom '[m']]], "")</f>
        <v/>
      </c>
      <c r="CZ109" s="124" t="str">
        <f>IFERROR(-(TOWER_DATA[[#This Row],[D, bottom '[m']]]-TOWER_DATA[[#This Row],[D, top '[m']]])/(TOWER_DATA[[#This Row],[Bottom '[m']]]-TOWER_DATA[[#This Row],[Top '[m']]]),"")</f>
        <v/>
      </c>
      <c r="DA109" s="124" t="str">
        <f t="shared" si="7"/>
        <v/>
      </c>
      <c r="DB109" s="124" t="str">
        <f>IFERROR((TOWER_DATA[[#This Row],[D, bottom '[m']]]+TOWER_DATA[[#This Row],[D, top '[m']]])/(2*TOWER_DATA[[#This Row],[t '[mm']]]/1000),"")</f>
        <v/>
      </c>
      <c r="DC109" s="105" t="str">
        <f>IFERROR((TOWER_DATA[[#This Row],[D, bottom '[m']]]+#REF!)/(2*#REF!/1000),"")</f>
        <v/>
      </c>
      <c r="DD109" s="149"/>
      <c r="DE109" s="149"/>
      <c r="DF109" s="149"/>
      <c r="DG109" s="149"/>
      <c r="DH109" s="149"/>
      <c r="DI109" s="149"/>
      <c r="DJ109" s="149"/>
      <c r="DK109" s="149"/>
      <c r="DL109" s="149"/>
      <c r="EC109" s="117"/>
      <c r="ED109" s="117"/>
      <c r="EE109" s="117"/>
      <c r="EF109" s="117"/>
      <c r="EG109" s="117"/>
      <c r="EH109" s="117"/>
      <c r="EI109" s="117"/>
      <c r="EJ109" s="117"/>
      <c r="EK109" s="117"/>
      <c r="ET109" s="124" t="str">
        <f t="shared" si="6"/>
        <v/>
      </c>
      <c r="EU109" s="124"/>
    </row>
    <row r="110" spans="5:151" ht="18" customHeight="1" x14ac:dyDescent="0.35">
      <c r="E110" s="177" t="s">
        <v>287</v>
      </c>
      <c r="F110" s="105"/>
      <c r="G110" s="105"/>
      <c r="H110" s="105"/>
      <c r="I110" s="105"/>
      <c r="J110" s="105"/>
      <c r="K110" s="120" t="s">
        <v>281</v>
      </c>
      <c r="N110" s="105"/>
      <c r="O110" s="105" t="str">
        <f>IFERROR((MP_DATA[[#This Row],[D, bottom '[m']]]+#REF!)/(2*#REF!/1000),"")</f>
        <v/>
      </c>
      <c r="P110" s="179" t="s">
        <v>280</v>
      </c>
      <c r="BE110" s="124" t="str">
        <f>IFERROR(TP_DATA[[#This Row],[Bottom '[m']]]-TP_DATA[[#This Row],[D, top '[m']]], "")</f>
        <v/>
      </c>
      <c r="BF110" s="124" t="str">
        <f>IFERROR(-(TP_DATA[[#This Row],[D, bottom '[m']]]-TP_DATA[[#This Row],[D, top '[m']]])/(TP_DATA[[#This Row],[Bottom '[m']]]-TP_DATA[[#This Row],[Top '[m']]]),"")</f>
        <v/>
      </c>
      <c r="BG110" s="124" t="str">
        <f t="shared" si="5"/>
        <v/>
      </c>
      <c r="BH110" s="124" t="str">
        <f>IFERROR((TP_DATA[[#This Row],[D, bottom '[m']]]+TP_DATA[[#This Row],[D, top '[m']]])/(2*TP_DATA[[#This Row],[t '[mm']]]/1000),"")</f>
        <v/>
      </c>
      <c r="BI110" s="105" t="str">
        <f>IFERROR((TP_DATA[[#This Row],[D, bottom '[m']]]+#REF!)/(2*#REF!/1000),"")</f>
        <v/>
      </c>
      <c r="CY110" s="124" t="str">
        <f>IFERROR(TOWER_DATA[[#This Row],[Top '[m']]]-TOWER_DATA[[#This Row],[Bottom '[m']]], "")</f>
        <v/>
      </c>
      <c r="CZ110" s="124" t="str">
        <f>IFERROR(-(TOWER_DATA[[#This Row],[D, bottom '[m']]]-TOWER_DATA[[#This Row],[D, top '[m']]])/(TOWER_DATA[[#This Row],[Bottom '[m']]]-TOWER_DATA[[#This Row],[Top '[m']]]),"")</f>
        <v/>
      </c>
      <c r="DA110" s="124" t="str">
        <f t="shared" si="7"/>
        <v/>
      </c>
      <c r="DB110" s="124" t="str">
        <f>IFERROR((TOWER_DATA[[#This Row],[D, bottom '[m']]]+TOWER_DATA[[#This Row],[D, top '[m']]])/(2*TOWER_DATA[[#This Row],[t '[mm']]]/1000),"")</f>
        <v/>
      </c>
      <c r="DC110" s="105" t="str">
        <f>IFERROR((TOWER_DATA[[#This Row],[D, bottom '[m']]]+#REF!)/(2*#REF!/1000),"")</f>
        <v/>
      </c>
      <c r="DD110" s="149"/>
      <c r="DE110" s="149"/>
      <c r="DF110" s="149"/>
      <c r="DG110" s="149"/>
      <c r="DH110" s="149"/>
      <c r="DI110" s="149"/>
      <c r="DJ110" s="149"/>
      <c r="DK110" s="149"/>
      <c r="DL110" s="149"/>
      <c r="EC110" s="117"/>
      <c r="ED110" s="117"/>
      <c r="EE110" s="117"/>
      <c r="EF110" s="117"/>
      <c r="EG110" s="117"/>
      <c r="EH110" s="117"/>
      <c r="EI110" s="117"/>
      <c r="EJ110" s="117"/>
      <c r="EK110" s="117"/>
      <c r="ET110" s="124" t="str">
        <f t="shared" si="6"/>
        <v/>
      </c>
      <c r="EU110" s="124"/>
    </row>
    <row r="111" spans="5:151" ht="18" customHeight="1" x14ac:dyDescent="0.25">
      <c r="E111" s="139" t="s">
        <v>1</v>
      </c>
      <c r="F111" s="147" t="s">
        <v>98</v>
      </c>
      <c r="G111" s="147" t="s">
        <v>97</v>
      </c>
      <c r="H111" s="147" t="s">
        <v>79</v>
      </c>
      <c r="I111" s="147" t="s">
        <v>80</v>
      </c>
      <c r="J111" s="147" t="s">
        <v>81</v>
      </c>
      <c r="K111" s="161" t="s">
        <v>275</v>
      </c>
      <c r="L111" s="162" t="s">
        <v>276</v>
      </c>
      <c r="M111" s="162" t="s">
        <v>87</v>
      </c>
      <c r="N111" s="163" t="s">
        <v>277</v>
      </c>
      <c r="O111" s="105" t="str">
        <f>IFERROR((MP_DATA[[#This Row],[D, bottom '[m']]]+#REF!)/(2*#REF!/1000),"")</f>
        <v/>
      </c>
      <c r="P111" s="184" t="s">
        <v>257</v>
      </c>
      <c r="Q111" s="147" t="s">
        <v>98</v>
      </c>
      <c r="R111" s="147" t="s">
        <v>97</v>
      </c>
      <c r="S111" s="147" t="s">
        <v>90</v>
      </c>
      <c r="T111" s="147" t="s">
        <v>231</v>
      </c>
      <c r="U111" s="147" t="s">
        <v>232</v>
      </c>
      <c r="V111" s="147" t="s">
        <v>233</v>
      </c>
      <c r="W111" s="147" t="s">
        <v>235</v>
      </c>
      <c r="X111" s="185" t="s">
        <v>234</v>
      </c>
      <c r="BE111" s="124" t="str">
        <f>IFERROR(TP_DATA[[#This Row],[Bottom '[m']]]-TP_DATA[[#This Row],[D, top '[m']]], "")</f>
        <v/>
      </c>
      <c r="BF111" s="124" t="str">
        <f>IFERROR(-(TP_DATA[[#This Row],[D, bottom '[m']]]-TP_DATA[[#This Row],[D, top '[m']]])/(TP_DATA[[#This Row],[Bottom '[m']]]-TP_DATA[[#This Row],[Top '[m']]]),"")</f>
        <v/>
      </c>
      <c r="BG111" s="124" t="str">
        <f t="shared" si="5"/>
        <v/>
      </c>
      <c r="BH111" s="124" t="str">
        <f>IFERROR((TP_DATA[[#This Row],[D, bottom '[m']]]+TP_DATA[[#This Row],[D, top '[m']]])/(2*TP_DATA[[#This Row],[t '[mm']]]/1000),"")</f>
        <v/>
      </c>
      <c r="BI111" s="105" t="str">
        <f>IFERROR((TP_DATA[[#This Row],[D, bottom '[m']]]+#REF!)/(2*#REF!/1000),"")</f>
        <v/>
      </c>
      <c r="CY111" s="124" t="str">
        <f>IFERROR(TOWER_DATA[[#This Row],[Top '[m']]]-TOWER_DATA[[#This Row],[Bottom '[m']]], "")</f>
        <v/>
      </c>
      <c r="CZ111" s="124" t="str">
        <f>IFERROR(-(TOWER_DATA[[#This Row],[D, bottom '[m']]]-TOWER_DATA[[#This Row],[D, top '[m']]])/(TOWER_DATA[[#This Row],[Bottom '[m']]]-TOWER_DATA[[#This Row],[Top '[m']]]),"")</f>
        <v/>
      </c>
      <c r="DA111" s="124" t="str">
        <f t="shared" si="7"/>
        <v/>
      </c>
      <c r="DB111" s="124" t="str">
        <f>IFERROR((TOWER_DATA[[#This Row],[D, bottom '[m']]]+TOWER_DATA[[#This Row],[D, top '[m']]])/(2*TOWER_DATA[[#This Row],[t '[mm']]]/1000),"")</f>
        <v/>
      </c>
      <c r="DC111" s="105" t="str">
        <f>IFERROR((TOWER_DATA[[#This Row],[D, bottom '[m']]]+#REF!)/(2*#REF!/1000),"")</f>
        <v/>
      </c>
      <c r="DD111" s="149"/>
      <c r="DE111" s="149"/>
      <c r="DF111" s="149"/>
      <c r="DG111" s="149"/>
      <c r="DH111" s="149"/>
      <c r="DI111" s="149"/>
      <c r="DJ111" s="149"/>
      <c r="DK111" s="149"/>
      <c r="DL111" s="149"/>
      <c r="EC111" s="117"/>
      <c r="ED111" s="117"/>
      <c r="EE111" s="117"/>
      <c r="EF111" s="117"/>
      <c r="EG111" s="117"/>
      <c r="EH111" s="117"/>
      <c r="EI111" s="117"/>
      <c r="EJ111" s="117"/>
      <c r="EK111" s="117"/>
      <c r="ET111" s="124" t="str">
        <f t="shared" si="6"/>
        <v/>
      </c>
      <c r="EU111" s="124"/>
    </row>
    <row r="112" spans="5:151" ht="18" customHeight="1" x14ac:dyDescent="0.25">
      <c r="E112" s="156">
        <v>1</v>
      </c>
      <c r="F112" s="122">
        <v>5.5</v>
      </c>
      <c r="G112" s="122">
        <v>1.7</v>
      </c>
      <c r="H112" s="122">
        <v>8</v>
      </c>
      <c r="I112" s="122">
        <v>8</v>
      </c>
      <c r="J112" s="121">
        <v>108</v>
      </c>
      <c r="K112" s="164">
        <f>IFERROR(MP_DATA[[#This Row],[Bottom '[m']]]-MP_DATA[[#This Row],[D, top '[m']]], "")</f>
        <v>-6.3</v>
      </c>
      <c r="L112" s="165">
        <f>IFERROR(-(MP_DATA[[#This Row],[D, bottom '[m']]]-MP_DATA[[#This Row],[D, top '[m']]])/(MP_DATA[[#This Row],[Bottom '[m']]]-MP_DATA[[#This Row],[Top '[m']]]),"")</f>
        <v>0</v>
      </c>
      <c r="M112" s="165">
        <f>IF(7850/1000*(1/3)*PI()*ABS(F112-G112)*((H112/2)^2+(H112/2)*(I112/2)+(I112/2)^2-(H112/2-J112/1000)^2-(H112/2-J112/1000)*(I112/2-J112/1000)-(I112/2-J112/1000)^2)=0,"",7850/1000*(1/3)*PI()*ABS(F112-G112)*((H112/2)^2+(H112/2)*(I112/2)+(I112/2)^2-(H112/2-J112/1000)^2-(H112/2-J112/1000)*(I112/2-J112/1000)-(I112/2-J112/1000)^2))</f>
        <v>79.875567751985059</v>
      </c>
      <c r="N112" s="166">
        <f>IFERROR((MP_DATA[[#This Row],[D, bottom '[m']]]+MP_DATA[[#This Row],[D, top '[m']]])/(2*MP_DATA[[#This Row],[t '[mm']]]/1000),"")</f>
        <v>74.074074074074076</v>
      </c>
      <c r="P112" s="116" t="s">
        <v>92</v>
      </c>
      <c r="Q112" s="116">
        <v>4.3</v>
      </c>
      <c r="R112" s="116">
        <v>4.3</v>
      </c>
      <c r="S112" s="116">
        <v>14000</v>
      </c>
      <c r="T112" s="116"/>
      <c r="U112" s="116"/>
      <c r="V112" s="116"/>
      <c r="W112" s="116"/>
      <c r="X112" s="186"/>
      <c r="BE112" s="124" t="str">
        <f>IFERROR(TP_DATA[[#This Row],[Bottom '[m']]]-TP_DATA[[#This Row],[D, top '[m']]], "")</f>
        <v/>
      </c>
      <c r="BF112" s="124" t="str">
        <f>IFERROR(-(TP_DATA[[#This Row],[D, bottom '[m']]]-TP_DATA[[#This Row],[D, top '[m']]])/(TP_DATA[[#This Row],[Bottom '[m']]]-TP_DATA[[#This Row],[Top '[m']]]),"")</f>
        <v/>
      </c>
      <c r="BG112" s="124" t="str">
        <f t="shared" si="5"/>
        <v/>
      </c>
      <c r="BH112" s="124" t="str">
        <f>IFERROR((TP_DATA[[#This Row],[D, bottom '[m']]]+TP_DATA[[#This Row],[D, top '[m']]])/(2*TP_DATA[[#This Row],[t '[mm']]]/1000),"")</f>
        <v/>
      </c>
      <c r="CY112" s="124" t="str">
        <f>IFERROR(TOWER_DATA[[#This Row],[Top '[m']]]-TOWER_DATA[[#This Row],[Bottom '[m']]], "")</f>
        <v/>
      </c>
      <c r="CZ112" s="124" t="str">
        <f>IFERROR(-(TOWER_DATA[[#This Row],[D, bottom '[m']]]-TOWER_DATA[[#This Row],[D, top '[m']]])/(TOWER_DATA[[#This Row],[Bottom '[m']]]-TOWER_DATA[[#This Row],[Top '[m']]]),"")</f>
        <v/>
      </c>
      <c r="DA112" s="124" t="str">
        <f t="shared" si="7"/>
        <v/>
      </c>
      <c r="DB112" s="124" t="str">
        <f>IFERROR((TOWER_DATA[[#This Row],[D, bottom '[m']]]+TOWER_DATA[[#This Row],[D, top '[m']]])/(2*TOWER_DATA[[#This Row],[t '[mm']]]/1000),"")</f>
        <v/>
      </c>
      <c r="DD112" s="149"/>
      <c r="DE112" s="149"/>
      <c r="DF112" s="149"/>
      <c r="DG112" s="149"/>
      <c r="DH112" s="149"/>
      <c r="DI112" s="149"/>
      <c r="DJ112" s="149"/>
      <c r="DK112" s="149"/>
      <c r="DL112" s="149"/>
      <c r="EC112" s="117"/>
      <c r="ED112" s="117"/>
      <c r="EE112" s="117"/>
      <c r="EF112" s="117"/>
      <c r="EG112" s="117"/>
      <c r="EH112" s="117"/>
      <c r="EI112" s="117"/>
      <c r="EJ112" s="117"/>
      <c r="EK112" s="117"/>
      <c r="ET112" s="124" t="str">
        <f t="shared" si="6"/>
        <v/>
      </c>
      <c r="EU112" s="124"/>
    </row>
    <row r="113" spans="5:151" ht="18" customHeight="1" x14ac:dyDescent="0.25">
      <c r="E113" s="156">
        <v>2</v>
      </c>
      <c r="F113" s="122">
        <v>1.7</v>
      </c>
      <c r="G113" s="122">
        <v>-1.8</v>
      </c>
      <c r="H113" s="122">
        <v>8</v>
      </c>
      <c r="I113" s="122">
        <v>8</v>
      </c>
      <c r="J113" s="121">
        <v>100</v>
      </c>
      <c r="K113" s="167">
        <f>IFERROR(MP_DATA[[#This Row],[Bottom '[m']]]-MP_DATA[[#This Row],[D, top '[m']]], "")</f>
        <v>-9.8000000000000007</v>
      </c>
      <c r="L113" s="123">
        <f>IFERROR(-(MP_DATA[[#This Row],[D, bottom '[m']]]-MP_DATA[[#This Row],[D, top '[m']]])/(MP_DATA[[#This Row],[Bottom '[m']]]-MP_DATA[[#This Row],[Top '[m']]]),"")</f>
        <v>0</v>
      </c>
      <c r="M113" s="123">
        <f>IF(7850/1000*(1/3)*PI()*ABS(F113-G113)*((H113/2)^2+(H113/2)*(I113/2)+(I113/2)^2-(H113/2-J113/1000)^2-(H113/2-J113/1000)*(I113/2-J113/1000)-(I113/2-J113/1000)^2)=0,"",7850/1000*(1/3)*PI()*ABS(F113-G113)*((H113/2)^2+(H113/2)*(I113/2)+(I113/2)^2-(H113/2-J113/1000)^2-(H113/2-J113/1000)*(I113/2-J113/1000)-(I113/2-J113/1000)^2))</f>
        <v>68.189053944329828</v>
      </c>
      <c r="N113" s="168">
        <f>IFERROR((MP_DATA[[#This Row],[D, bottom '[m']]]+MP_DATA[[#This Row],[D, top '[m']]])/(2*MP_DATA[[#This Row],[t '[mm']]]/1000),"")</f>
        <v>80</v>
      </c>
      <c r="P113" s="116" t="s">
        <v>93</v>
      </c>
      <c r="Q113" s="116">
        <v>0.55000000000000004</v>
      </c>
      <c r="R113" s="116">
        <v>0.55000000000000004</v>
      </c>
      <c r="S113" s="116">
        <v>105000</v>
      </c>
      <c r="T113" s="116"/>
      <c r="U113" s="116"/>
      <c r="V113" s="116"/>
      <c r="W113" s="116"/>
      <c r="X113" s="186"/>
      <c r="BE113" s="124" t="str">
        <f>IFERROR(TP_DATA[[#This Row],[Bottom '[m']]]-TP_DATA[[#This Row],[D, top '[m']]], "")</f>
        <v/>
      </c>
      <c r="BF113" s="124" t="str">
        <f>IFERROR(-(TP_DATA[[#This Row],[D, bottom '[m']]]-TP_DATA[[#This Row],[D, top '[m']]])/(TP_DATA[[#This Row],[Bottom '[m']]]-TP_DATA[[#This Row],[Top '[m']]]),"")</f>
        <v/>
      </c>
      <c r="BG113" s="124" t="str">
        <f t="shared" si="5"/>
        <v/>
      </c>
      <c r="BH113" s="124" t="str">
        <f>IFERROR((TP_DATA[[#This Row],[D, bottom '[m']]]+TP_DATA[[#This Row],[D, top '[m']]])/(2*TP_DATA[[#This Row],[t '[mm']]]/1000),"")</f>
        <v/>
      </c>
      <c r="CY113" s="124" t="str">
        <f>IFERROR(TOWER_DATA[[#This Row],[Top '[m']]]-TOWER_DATA[[#This Row],[Bottom '[m']]], "")</f>
        <v/>
      </c>
      <c r="CZ113" s="124" t="str">
        <f>IFERROR(-(TOWER_DATA[[#This Row],[D, bottom '[m']]]-TOWER_DATA[[#This Row],[D, top '[m']]])/(TOWER_DATA[[#This Row],[Bottom '[m']]]-TOWER_DATA[[#This Row],[Top '[m']]]),"")</f>
        <v/>
      </c>
      <c r="DA113" s="124" t="str">
        <f t="shared" si="7"/>
        <v/>
      </c>
      <c r="DB113" s="124" t="str">
        <f>IFERROR((TOWER_DATA[[#This Row],[D, bottom '[m']]]+TOWER_DATA[[#This Row],[D, top '[m']]])/(2*TOWER_DATA[[#This Row],[t '[mm']]]/1000),"")</f>
        <v/>
      </c>
      <c r="DD113" s="149"/>
      <c r="DE113" s="149"/>
      <c r="DF113" s="149"/>
      <c r="DG113" s="149"/>
      <c r="DH113" s="149"/>
      <c r="DI113" s="149"/>
      <c r="DJ113" s="149"/>
      <c r="DK113" s="149"/>
      <c r="DL113" s="149"/>
      <c r="EC113" s="117"/>
      <c r="ED113" s="117"/>
      <c r="EE113" s="117"/>
      <c r="EF113" s="117"/>
      <c r="EG113" s="117"/>
      <c r="EH113" s="117"/>
      <c r="EI113" s="117"/>
      <c r="EJ113" s="117"/>
      <c r="EK113" s="117"/>
      <c r="ET113" s="124" t="str">
        <f t="shared" si="6"/>
        <v/>
      </c>
      <c r="EU113" s="124"/>
    </row>
    <row r="114" spans="5:151" ht="18" customHeight="1" x14ac:dyDescent="0.25">
      <c r="E114" s="156">
        <v>3</v>
      </c>
      <c r="F114" s="122">
        <v>-1.8</v>
      </c>
      <c r="G114" s="122">
        <v>-5.3</v>
      </c>
      <c r="H114" s="122">
        <v>8</v>
      </c>
      <c r="I114" s="122">
        <v>8</v>
      </c>
      <c r="J114" s="121">
        <v>98</v>
      </c>
      <c r="K114" s="167">
        <f>IFERROR(MP_DATA[[#This Row],[Bottom '[m']]]-MP_DATA[[#This Row],[D, top '[m']]], "")</f>
        <v>-13.3</v>
      </c>
      <c r="L114" s="123">
        <f>IFERROR(-(MP_DATA[[#This Row],[D, bottom '[m']]]-MP_DATA[[#This Row],[D, top '[m']]])/(MP_DATA[[#This Row],[Bottom '[m']]]-MP_DATA[[#This Row],[Top '[m']]]),"")</f>
        <v>0</v>
      </c>
      <c r="M114" s="123">
        <f>IF(7850/1000*(1/3)*PI()*ABS(F114-G114)*((H114/2)^2+(H114/2)*(I114/2)+(I114/2)^2-(H114/2-J114/1000)^2-(H114/2-J114/1000)*(I114/2-J114/1000)-(I114/2-J114/1000)^2)=0,"",7850/1000*(1/3)*PI()*ABS(F114-G114)*((H114/2)^2+(H114/2)*(I114/2)+(I114/2)^2-(H114/2-J114/1000)^2-(H114/2-J114/1000)*(I114/2-J114/1000)-(I114/2-J114/1000)^2))</f>
        <v>66.84219065604195</v>
      </c>
      <c r="N114" s="168">
        <f>IFERROR((MP_DATA[[#This Row],[D, bottom '[m']]]+MP_DATA[[#This Row],[D, top '[m']]])/(2*MP_DATA[[#This Row],[t '[mm']]]/1000),"")</f>
        <v>81.632653061224488</v>
      </c>
      <c r="P114" s="187"/>
      <c r="Q114" s="187"/>
      <c r="R114" s="187"/>
      <c r="S114" s="187"/>
      <c r="T114" s="187"/>
      <c r="U114" s="187"/>
      <c r="V114" s="187"/>
      <c r="W114" s="187"/>
      <c r="X114" s="188"/>
      <c r="BE114" s="124" t="str">
        <f>IFERROR(TP_DATA[[#This Row],[Bottom '[m']]]-TP_DATA[[#This Row],[D, top '[m']]], "")</f>
        <v/>
      </c>
      <c r="BF114" s="124" t="str">
        <f>IFERROR(-(TP_DATA[[#This Row],[D, bottom '[m']]]-TP_DATA[[#This Row],[D, top '[m']]])/(TP_DATA[[#This Row],[Bottom '[m']]]-TP_DATA[[#This Row],[Top '[m']]]),"")</f>
        <v/>
      </c>
      <c r="BG114" s="124" t="str">
        <f t="shared" si="5"/>
        <v/>
      </c>
      <c r="BH114" s="124" t="str">
        <f>IFERROR((TP_DATA[[#This Row],[D, bottom '[m']]]+TP_DATA[[#This Row],[D, top '[m']]])/(2*TP_DATA[[#This Row],[t '[mm']]]/1000),"")</f>
        <v/>
      </c>
      <c r="CY114" s="124" t="str">
        <f>IFERROR(TOWER_DATA[[#This Row],[Top '[m']]]-TOWER_DATA[[#This Row],[Bottom '[m']]], "")</f>
        <v/>
      </c>
      <c r="CZ114" s="124" t="str">
        <f>IFERROR(-(TOWER_DATA[[#This Row],[D, bottom '[m']]]-TOWER_DATA[[#This Row],[D, top '[m']]])/(TOWER_DATA[[#This Row],[Bottom '[m']]]-TOWER_DATA[[#This Row],[Top '[m']]]),"")</f>
        <v/>
      </c>
      <c r="DA114" s="124" t="str">
        <f t="shared" si="7"/>
        <v/>
      </c>
      <c r="DB114" s="124" t="str">
        <f>IFERROR((TOWER_DATA[[#This Row],[D, bottom '[m']]]+TOWER_DATA[[#This Row],[D, top '[m']]])/(2*TOWER_DATA[[#This Row],[t '[mm']]]/1000),"")</f>
        <v/>
      </c>
      <c r="DD114" s="149"/>
      <c r="DE114" s="149"/>
      <c r="DF114" s="149"/>
      <c r="DG114" s="149"/>
      <c r="DH114" s="149"/>
      <c r="DI114" s="149"/>
      <c r="DJ114" s="149"/>
      <c r="DK114" s="149"/>
      <c r="DL114" s="149"/>
      <c r="EC114" s="117"/>
      <c r="ED114" s="117"/>
      <c r="EE114" s="117"/>
      <c r="EF114" s="117"/>
      <c r="EG114" s="117"/>
      <c r="EH114" s="117"/>
      <c r="EI114" s="117"/>
      <c r="EJ114" s="117"/>
      <c r="EK114" s="117"/>
      <c r="ET114" s="124" t="str">
        <f t="shared" si="6"/>
        <v/>
      </c>
      <c r="EU114" s="124"/>
    </row>
    <row r="115" spans="5:151" ht="18" customHeight="1" x14ac:dyDescent="0.25">
      <c r="E115" s="156">
        <v>4</v>
      </c>
      <c r="F115" s="122">
        <v>-5.3</v>
      </c>
      <c r="G115" s="122">
        <v>-8.8000000000000007</v>
      </c>
      <c r="H115" s="122">
        <v>8</v>
      </c>
      <c r="I115" s="122">
        <v>8.36</v>
      </c>
      <c r="J115" s="121">
        <v>98</v>
      </c>
      <c r="K115" s="167">
        <f>IFERROR(MP_DATA[[#This Row],[Bottom '[m']]]-MP_DATA[[#This Row],[D, top '[m']]], "")</f>
        <v>-16.8</v>
      </c>
      <c r="L115" s="123">
        <f>IFERROR(-(MP_DATA[[#This Row],[D, bottom '[m']]]-MP_DATA[[#This Row],[D, top '[m']]])/(MP_DATA[[#This Row],[Bottom '[m']]]-MP_DATA[[#This Row],[Top '[m']]]),"")</f>
        <v>0.10285714285714267</v>
      </c>
      <c r="M115" s="123">
        <f>IF(7850/1000*(1/3)*PI()*ABS(F115-G115)*((H115/2)^2+(H115/2)*(I115/2)+(I115/2)^2-(H115/2-J115/1000)^2-(H115/2-J115/1000)*(I115/2-J115/1000)-(I115/2-J115/1000)^2)=0,"",7850/1000*(1/3)*PI()*ABS(F115-G115)*((H115/2)^2+(H115/2)*(I115/2)+(I115/2)^2-(H115/2-J115/1000)^2-(H115/2-J115/1000)*(I115/2-J115/1000)-(I115/2-J115/1000)^2))</f>
        <v>68.364791809938041</v>
      </c>
      <c r="N115" s="168">
        <f>IFERROR((MP_DATA[[#This Row],[D, bottom '[m']]]+MP_DATA[[#This Row],[D, top '[m']]])/(2*MP_DATA[[#This Row],[t '[mm']]]/1000),"")</f>
        <v>83.469387755102034</v>
      </c>
      <c r="BE115" s="124" t="str">
        <f>IFERROR(TP_DATA[[#This Row],[Bottom '[m']]]-TP_DATA[[#This Row],[D, top '[m']]], "")</f>
        <v/>
      </c>
      <c r="BF115" s="124" t="str">
        <f>IFERROR(-(TP_DATA[[#This Row],[D, bottom '[m']]]-TP_DATA[[#This Row],[D, top '[m']]])/(TP_DATA[[#This Row],[Bottom '[m']]]-TP_DATA[[#This Row],[Top '[m']]]),"")</f>
        <v/>
      </c>
      <c r="BG115" s="124" t="str">
        <f t="shared" si="5"/>
        <v/>
      </c>
      <c r="BH115" s="124" t="str">
        <f>IFERROR((TP_DATA[[#This Row],[D, bottom '[m']]]+TP_DATA[[#This Row],[D, top '[m']]])/(2*TP_DATA[[#This Row],[t '[mm']]]/1000),"")</f>
        <v/>
      </c>
      <c r="CY115" s="124" t="str">
        <f>IFERROR(TOWER_DATA[[#This Row],[Top '[m']]]-TOWER_DATA[[#This Row],[Bottom '[m']]], "")</f>
        <v/>
      </c>
      <c r="CZ115" s="124" t="str">
        <f>IFERROR(-(TOWER_DATA[[#This Row],[D, bottom '[m']]]-TOWER_DATA[[#This Row],[D, top '[m']]])/(TOWER_DATA[[#This Row],[Bottom '[m']]]-TOWER_DATA[[#This Row],[Top '[m']]]),"")</f>
        <v/>
      </c>
      <c r="DA115" s="124" t="str">
        <f t="shared" si="7"/>
        <v/>
      </c>
      <c r="DB115" s="124" t="str">
        <f>IFERROR((TOWER_DATA[[#This Row],[D, bottom '[m']]]+TOWER_DATA[[#This Row],[D, top '[m']]])/(2*TOWER_DATA[[#This Row],[t '[mm']]]/1000),"")</f>
        <v/>
      </c>
      <c r="DD115" s="149"/>
      <c r="DE115" s="149"/>
      <c r="DF115" s="149"/>
      <c r="DG115" s="149"/>
      <c r="DH115" s="149"/>
      <c r="DI115" s="149"/>
      <c r="DJ115" s="149"/>
      <c r="DK115" s="149"/>
      <c r="DL115" s="149"/>
      <c r="EC115" s="117"/>
      <c r="ED115" s="117"/>
      <c r="EE115" s="117"/>
      <c r="EF115" s="117"/>
      <c r="EG115" s="117"/>
      <c r="EH115" s="117"/>
      <c r="EI115" s="117"/>
      <c r="EJ115" s="117"/>
      <c r="EK115" s="117"/>
      <c r="ET115" s="124" t="str">
        <f t="shared" si="6"/>
        <v/>
      </c>
      <c r="EU115" s="124"/>
    </row>
    <row r="116" spans="5:151" ht="18" customHeight="1" x14ac:dyDescent="0.25">
      <c r="E116" s="156">
        <v>5</v>
      </c>
      <c r="F116" s="122">
        <v>-8.8000000000000007</v>
      </c>
      <c r="G116" s="122">
        <v>-12.3</v>
      </c>
      <c r="H116" s="122">
        <v>8.36</v>
      </c>
      <c r="I116" s="122">
        <v>8.7200000000000006</v>
      </c>
      <c r="J116" s="121">
        <v>104</v>
      </c>
      <c r="K116" s="167">
        <f>IFERROR(MP_DATA[[#This Row],[Bottom '[m']]]-MP_DATA[[#This Row],[D, top '[m']]], "")</f>
        <v>-20.66</v>
      </c>
      <c r="L116" s="123">
        <f>IFERROR(-(MP_DATA[[#This Row],[D, bottom '[m']]]-MP_DATA[[#This Row],[D, top '[m']]])/(MP_DATA[[#This Row],[Bottom '[m']]]-MP_DATA[[#This Row],[Top '[m']]]),"")</f>
        <v>0.1028571428571432</v>
      </c>
      <c r="M116" s="123">
        <f>IF(7850/1000*(1/3)*PI()*ABS(F116-G116)*((H116/2)^2+(H116/2)*(I116/2)+(I116/2)^2-(H116/2-J116/1000)^2-(H116/2-J116/1000)*(I116/2-J116/1000)-(I116/2-J116/1000)^2)=0,"",7850/1000*(1/3)*PI()*ABS(F116-G116)*((H116/2)^2+(H116/2)*(I116/2)+(I116/2)^2-(H116/2-J116/1000)^2-(H116/2-J116/1000)*(I116/2-J116/1000)-(I116/2-J116/1000)^2))</f>
        <v>75.728173852827865</v>
      </c>
      <c r="N116" s="168">
        <f>IFERROR((MP_DATA[[#This Row],[D, bottom '[m']]]+MP_DATA[[#This Row],[D, top '[m']]])/(2*MP_DATA[[#This Row],[t '[mm']]]/1000),"")</f>
        <v>82.115384615384613</v>
      </c>
      <c r="BE116" s="124" t="str">
        <f>IFERROR(TP_DATA[[#This Row],[Bottom '[m']]]-TP_DATA[[#This Row],[D, top '[m']]], "")</f>
        <v/>
      </c>
      <c r="BF116" s="124" t="str">
        <f>IFERROR(-(TP_DATA[[#This Row],[D, bottom '[m']]]-TP_DATA[[#This Row],[D, top '[m']]])/(TP_DATA[[#This Row],[Bottom '[m']]]-TP_DATA[[#This Row],[Top '[m']]]),"")</f>
        <v/>
      </c>
      <c r="BG116" s="124" t="str">
        <f t="shared" si="5"/>
        <v/>
      </c>
      <c r="BH116" s="124" t="str">
        <f>IFERROR((TP_DATA[[#This Row],[D, bottom '[m']]]+TP_DATA[[#This Row],[D, top '[m']]])/(2*TP_DATA[[#This Row],[t '[mm']]]/1000),"")</f>
        <v/>
      </c>
      <c r="CY116" s="124" t="str">
        <f>IFERROR(TOWER_DATA[[#This Row],[Top '[m']]]-TOWER_DATA[[#This Row],[Bottom '[m']]], "")</f>
        <v/>
      </c>
      <c r="CZ116" s="124" t="str">
        <f>IFERROR(-(TOWER_DATA[[#This Row],[D, bottom '[m']]]-TOWER_DATA[[#This Row],[D, top '[m']]])/(TOWER_DATA[[#This Row],[Bottom '[m']]]-TOWER_DATA[[#This Row],[Top '[m']]]),"")</f>
        <v/>
      </c>
      <c r="DA116" s="124" t="str">
        <f t="shared" si="7"/>
        <v/>
      </c>
      <c r="DB116" s="124" t="str">
        <f>IFERROR((TOWER_DATA[[#This Row],[D, bottom '[m']]]+TOWER_DATA[[#This Row],[D, top '[m']]])/(2*TOWER_DATA[[#This Row],[t '[mm']]]/1000),"")</f>
        <v/>
      </c>
      <c r="DD116" s="149"/>
      <c r="DE116" s="149"/>
      <c r="DF116" s="149"/>
      <c r="DG116" s="149"/>
      <c r="DH116" s="149"/>
      <c r="DI116" s="149"/>
      <c r="DJ116" s="149"/>
      <c r="DK116" s="149"/>
      <c r="DL116" s="149"/>
      <c r="EC116" s="117"/>
      <c r="ED116" s="117"/>
      <c r="EE116" s="117"/>
      <c r="EF116" s="117"/>
      <c r="EG116" s="117"/>
      <c r="EH116" s="117"/>
      <c r="EI116" s="117"/>
      <c r="EJ116" s="117"/>
      <c r="EK116" s="117"/>
      <c r="ET116" s="124" t="str">
        <f t="shared" si="6"/>
        <v/>
      </c>
      <c r="EU116" s="124"/>
    </row>
    <row r="117" spans="5:151" ht="18" customHeight="1" x14ac:dyDescent="0.25">
      <c r="E117" s="156">
        <v>6</v>
      </c>
      <c r="F117" s="122">
        <v>-12.3</v>
      </c>
      <c r="G117" s="122">
        <v>-15.8</v>
      </c>
      <c r="H117" s="122">
        <v>8.7200000000000006</v>
      </c>
      <c r="I117" s="122">
        <v>9.08</v>
      </c>
      <c r="J117" s="121">
        <v>98</v>
      </c>
      <c r="K117" s="167">
        <f>IFERROR(MP_DATA[[#This Row],[Bottom '[m']]]-MP_DATA[[#This Row],[D, top '[m']]], "")</f>
        <v>-24.520000000000003</v>
      </c>
      <c r="L117" s="123">
        <f>IFERROR(-(MP_DATA[[#This Row],[D, bottom '[m']]]-MP_DATA[[#This Row],[D, top '[m']]])/(MP_DATA[[#This Row],[Bottom '[m']]]-MP_DATA[[#This Row],[Top '[m']]]),"")</f>
        <v>0.10285714285714269</v>
      </c>
      <c r="M117" s="123">
        <f>IF(7850/1000*(1/3)*PI()*ABS(F117-G117)*((H117/2)^2+(H117/2)*(I117/2)+(I117/2)^2-(H117/2-J117/1000)^2-(H117/2-J117/1000)*(I117/2-J117/1000)-(I117/2-J117/1000)^2)=0,"",7850/1000*(1/3)*PI()*ABS(F117-G117)*((H117/2)^2+(H117/2)*(I117/2)+(I117/2)^2-(H117/2-J117/1000)^2-(H117/2-J117/1000)*(I117/2-J117/1000)-(I117/2-J117/1000)^2))</f>
        <v>74.455196425522658</v>
      </c>
      <c r="N117" s="168">
        <f>IFERROR((MP_DATA[[#This Row],[D, bottom '[m']]]+MP_DATA[[#This Row],[D, top '[m']]])/(2*MP_DATA[[#This Row],[t '[mm']]]/1000),"")</f>
        <v>90.816326530612244</v>
      </c>
      <c r="BE117" s="124" t="str">
        <f>IFERROR(TP_DATA[[#This Row],[Bottom '[m']]]-TP_DATA[[#This Row],[D, top '[m']]], "")</f>
        <v/>
      </c>
      <c r="BF117" s="124" t="str">
        <f>IFERROR(-(TP_DATA[[#This Row],[D, bottom '[m']]]-TP_DATA[[#This Row],[D, top '[m']]])/(TP_DATA[[#This Row],[Bottom '[m']]]-TP_DATA[[#This Row],[Top '[m']]]),"")</f>
        <v/>
      </c>
      <c r="BG117" s="124" t="str">
        <f t="shared" si="5"/>
        <v/>
      </c>
      <c r="BH117" s="124" t="str">
        <f>IFERROR((TP_DATA[[#This Row],[D, bottom '[m']]]+TP_DATA[[#This Row],[D, top '[m']]])/(2*TP_DATA[[#This Row],[t '[mm']]]/1000),"")</f>
        <v/>
      </c>
      <c r="CY117" s="124" t="str">
        <f>IFERROR(TOWER_DATA[[#This Row],[Top '[m']]]-TOWER_DATA[[#This Row],[Bottom '[m']]], "")</f>
        <v/>
      </c>
      <c r="CZ117" s="124" t="str">
        <f>IFERROR(-(TOWER_DATA[[#This Row],[D, bottom '[m']]]-TOWER_DATA[[#This Row],[D, top '[m']]])/(TOWER_DATA[[#This Row],[Bottom '[m']]]-TOWER_DATA[[#This Row],[Top '[m']]]),"")</f>
        <v/>
      </c>
      <c r="DA117" s="124" t="str">
        <f t="shared" si="7"/>
        <v/>
      </c>
      <c r="DB117" s="124" t="str">
        <f>IFERROR((TOWER_DATA[[#This Row],[D, bottom '[m']]]+TOWER_DATA[[#This Row],[D, top '[m']]])/(2*TOWER_DATA[[#This Row],[t '[mm']]]/1000),"")</f>
        <v/>
      </c>
      <c r="DD117" s="149"/>
      <c r="DE117" s="149"/>
      <c r="DF117" s="149"/>
      <c r="DG117" s="149"/>
      <c r="DH117" s="149"/>
      <c r="DI117" s="149"/>
      <c r="DJ117" s="149"/>
      <c r="DK117" s="149"/>
      <c r="DL117" s="149"/>
      <c r="EC117" s="117"/>
      <c r="ED117" s="117"/>
      <c r="EE117" s="117"/>
      <c r="EF117" s="117"/>
      <c r="EG117" s="117"/>
      <c r="EH117" s="117"/>
      <c r="EI117" s="117"/>
      <c r="EJ117" s="117"/>
      <c r="EK117" s="117"/>
      <c r="ET117" s="124" t="str">
        <f t="shared" si="6"/>
        <v/>
      </c>
      <c r="EU117" s="124"/>
    </row>
    <row r="118" spans="5:151" ht="18" customHeight="1" x14ac:dyDescent="0.25">
      <c r="E118" s="156">
        <v>7</v>
      </c>
      <c r="F118" s="122">
        <v>-15.8</v>
      </c>
      <c r="G118" s="122">
        <v>-19.3</v>
      </c>
      <c r="H118" s="122">
        <v>9.08</v>
      </c>
      <c r="I118" s="122">
        <v>9.44</v>
      </c>
      <c r="J118" s="121">
        <v>94</v>
      </c>
      <c r="K118" s="167">
        <f>IFERROR(MP_DATA[[#This Row],[Bottom '[m']]]-MP_DATA[[#This Row],[D, top '[m']]], "")</f>
        <v>-28.380000000000003</v>
      </c>
      <c r="L118" s="123">
        <f>IFERROR(-(MP_DATA[[#This Row],[D, bottom '[m']]]-MP_DATA[[#This Row],[D, top '[m']]])/(MP_DATA[[#This Row],[Bottom '[m']]]-MP_DATA[[#This Row],[Top '[m']]]),"")</f>
        <v>0.10285714285714269</v>
      </c>
      <c r="M118" s="123">
        <f>IF(7850/1000*(1/3)*PI()*ABS(F118-G118)*((H118/2)^2+(H118/2)*(I118/2)+(I118/2)^2-(H118/2-J118/1000)^2-(H118/2-J118/1000)*(I118/2-J118/1000)-(I118/2-J118/1000)^2)=0,"",7850/1000*(1/3)*PI()*ABS(F118-G118)*((H118/2)^2+(H118/2)*(I118/2)+(I118/2)^2-(H118/2-J118/1000)^2-(H118/2-J118/1000)*(I118/2-J118/1000)-(I118/2-J118/1000)^2))</f>
        <v>74.36957168943114</v>
      </c>
      <c r="N118" s="168">
        <f>IFERROR((MP_DATA[[#This Row],[D, bottom '[m']]]+MP_DATA[[#This Row],[D, top '[m']]])/(2*MP_DATA[[#This Row],[t '[mm']]]/1000),"")</f>
        <v>98.510638297872333</v>
      </c>
      <c r="BE118" s="124" t="str">
        <f>IFERROR(TP_DATA[[#This Row],[Bottom '[m']]]-TP_DATA[[#This Row],[D, top '[m']]], "")</f>
        <v/>
      </c>
      <c r="BF118" s="124" t="str">
        <f>IFERROR(-(TP_DATA[[#This Row],[D, bottom '[m']]]-TP_DATA[[#This Row],[D, top '[m']]])/(TP_DATA[[#This Row],[Bottom '[m']]]-TP_DATA[[#This Row],[Top '[m']]]),"")</f>
        <v/>
      </c>
      <c r="BG118" s="124" t="str">
        <f t="shared" si="5"/>
        <v/>
      </c>
      <c r="BH118" s="124" t="str">
        <f>IFERROR((TP_DATA[[#This Row],[D, bottom '[m']]]+TP_DATA[[#This Row],[D, top '[m']]])/(2*TP_DATA[[#This Row],[t '[mm']]]/1000),"")</f>
        <v/>
      </c>
      <c r="CY118" s="124" t="str">
        <f>IFERROR(TOWER_DATA[[#This Row],[Top '[m']]]-TOWER_DATA[[#This Row],[Bottom '[m']]], "")</f>
        <v/>
      </c>
      <c r="CZ118" s="124" t="str">
        <f>IFERROR(-(TOWER_DATA[[#This Row],[D, bottom '[m']]]-TOWER_DATA[[#This Row],[D, top '[m']]])/(TOWER_DATA[[#This Row],[Bottom '[m']]]-TOWER_DATA[[#This Row],[Top '[m']]]),"")</f>
        <v/>
      </c>
      <c r="DA118" s="124" t="str">
        <f t="shared" si="7"/>
        <v/>
      </c>
      <c r="DB118" s="124" t="str">
        <f>IFERROR((TOWER_DATA[[#This Row],[D, bottom '[m']]]+TOWER_DATA[[#This Row],[D, top '[m']]])/(2*TOWER_DATA[[#This Row],[t '[mm']]]/1000),"")</f>
        <v/>
      </c>
      <c r="DD118" s="149"/>
      <c r="DE118" s="149"/>
      <c r="DF118" s="149"/>
      <c r="DG118" s="149"/>
      <c r="DH118" s="149"/>
      <c r="DI118" s="149"/>
      <c r="DJ118" s="149"/>
      <c r="DK118" s="149"/>
      <c r="DL118" s="149"/>
      <c r="EC118" s="117"/>
      <c r="ED118" s="117"/>
      <c r="EE118" s="117"/>
      <c r="EF118" s="117"/>
      <c r="EG118" s="117"/>
      <c r="EH118" s="117"/>
      <c r="EI118" s="117"/>
      <c r="EJ118" s="117"/>
      <c r="EK118" s="117"/>
      <c r="ET118" s="124" t="str">
        <f t="shared" si="6"/>
        <v/>
      </c>
      <c r="EU118" s="124"/>
    </row>
    <row r="119" spans="5:151" ht="18" customHeight="1" x14ac:dyDescent="0.25">
      <c r="E119" s="156">
        <v>8</v>
      </c>
      <c r="F119" s="122">
        <v>-19.3</v>
      </c>
      <c r="G119" s="122">
        <v>-22.8</v>
      </c>
      <c r="H119" s="122">
        <v>9.44</v>
      </c>
      <c r="I119" s="122">
        <v>9.8000000000000007</v>
      </c>
      <c r="J119" s="121">
        <v>92</v>
      </c>
      <c r="K119" s="167">
        <f>IFERROR(MP_DATA[[#This Row],[Bottom '[m']]]-MP_DATA[[#This Row],[D, top '[m']]], "")</f>
        <v>-32.24</v>
      </c>
      <c r="L119" s="123">
        <f>IFERROR(-(MP_DATA[[#This Row],[D, bottom '[m']]]-MP_DATA[[#This Row],[D, top '[m']]])/(MP_DATA[[#This Row],[Bottom '[m']]]-MP_DATA[[#This Row],[Top '[m']]]),"")</f>
        <v>0.1028571428571432</v>
      </c>
      <c r="M119" s="123">
        <f>IF(7850/1000*(1/3)*PI()*ABS(F119-G119)*((H119/2)^2+(H119/2)*(I119/2)+(I119/2)^2-(H119/2-J119/1000)^2-(H119/2-J119/1000)*(I119/2-J119/1000)-(I119/2-J119/1000)^2)=0,"",7850/1000*(1/3)*PI()*ABS(F119-G119)*((H119/2)^2+(H119/2)*(I119/2)+(I119/2)^2-(H119/2-J119/1000)^2-(H119/2-J119/1000)*(I119/2-J119/1000)-(I119/2-J119/1000)^2))</f>
        <v>75.661883734563034</v>
      </c>
      <c r="N119" s="168">
        <f>IFERROR((MP_DATA[[#This Row],[D, bottom '[m']]]+MP_DATA[[#This Row],[D, top '[m']]])/(2*MP_DATA[[#This Row],[t '[mm']]]/1000),"")</f>
        <v>104.56521739130436</v>
      </c>
      <c r="BE119" s="124" t="str">
        <f>IFERROR(TP_DATA[[#This Row],[Bottom '[m']]]-TP_DATA[[#This Row],[D, top '[m']]], "")</f>
        <v/>
      </c>
      <c r="BF119" s="124" t="str">
        <f>IFERROR(-(TP_DATA[[#This Row],[D, bottom '[m']]]-TP_DATA[[#This Row],[D, top '[m']]])/(TP_DATA[[#This Row],[Bottom '[m']]]-TP_DATA[[#This Row],[Top '[m']]]),"")</f>
        <v/>
      </c>
      <c r="BG119" s="124" t="str">
        <f t="shared" si="5"/>
        <v/>
      </c>
      <c r="BH119" s="124" t="str">
        <f>IFERROR((TP_DATA[[#This Row],[D, bottom '[m']]]+TP_DATA[[#This Row],[D, top '[m']]])/(2*TP_DATA[[#This Row],[t '[mm']]]/1000),"")</f>
        <v/>
      </c>
      <c r="CY119" s="124" t="str">
        <f>IFERROR(TOWER_DATA[[#This Row],[Top '[m']]]-TOWER_DATA[[#This Row],[Bottom '[m']]], "")</f>
        <v/>
      </c>
      <c r="CZ119" s="124" t="str">
        <f>IFERROR(-(TOWER_DATA[[#This Row],[D, bottom '[m']]]-TOWER_DATA[[#This Row],[D, top '[m']]])/(TOWER_DATA[[#This Row],[Bottom '[m']]]-TOWER_DATA[[#This Row],[Top '[m']]]),"")</f>
        <v/>
      </c>
      <c r="DA119" s="124" t="str">
        <f t="shared" si="7"/>
        <v/>
      </c>
      <c r="DB119" s="124" t="str">
        <f>IFERROR((TOWER_DATA[[#This Row],[D, bottom '[m']]]+TOWER_DATA[[#This Row],[D, top '[m']]])/(2*TOWER_DATA[[#This Row],[t '[mm']]]/1000),"")</f>
        <v/>
      </c>
      <c r="DD119" s="149"/>
      <c r="DE119" s="149"/>
      <c r="DF119" s="149"/>
      <c r="DG119" s="149"/>
      <c r="DH119" s="149"/>
      <c r="DI119" s="149"/>
      <c r="DJ119" s="149"/>
      <c r="DK119" s="149"/>
      <c r="DL119" s="149"/>
      <c r="EC119" s="117"/>
      <c r="ED119" s="117"/>
      <c r="EE119" s="117"/>
      <c r="EF119" s="117"/>
      <c r="EG119" s="117"/>
      <c r="EH119" s="117"/>
      <c r="EI119" s="117"/>
      <c r="EJ119" s="117"/>
      <c r="EK119" s="117"/>
      <c r="ET119" s="124" t="str">
        <f t="shared" si="6"/>
        <v/>
      </c>
      <c r="EU119" s="124"/>
    </row>
    <row r="120" spans="5:151" ht="18" customHeight="1" x14ac:dyDescent="0.25">
      <c r="E120" s="157">
        <v>9</v>
      </c>
      <c r="F120" s="158">
        <v>-22.8</v>
      </c>
      <c r="G120" s="158">
        <v>-26.7</v>
      </c>
      <c r="H120" s="158">
        <v>9.8000000000000007</v>
      </c>
      <c r="I120" s="158">
        <v>9.8000000000000007</v>
      </c>
      <c r="J120" s="159">
        <v>90</v>
      </c>
      <c r="K120" s="167">
        <f>IFERROR(MP_DATA[[#This Row],[Bottom '[m']]]-MP_DATA[[#This Row],[D, top '[m']]], "")</f>
        <v>-36.5</v>
      </c>
      <c r="L120" s="123">
        <f>IFERROR(-(MP_DATA[[#This Row],[D, bottom '[m']]]-MP_DATA[[#This Row],[D, top '[m']]])/(MP_DATA[[#This Row],[Bottom '[m']]]-MP_DATA[[#This Row],[Top '[m']]]),"")</f>
        <v>0</v>
      </c>
      <c r="M120" s="123">
        <f>IF(7850/1000*(1/3)*PI()*ABS(F120-G120)*((H120/2)^2+(H120/2)*(I120/2)+(I120/2)^2-(H120/2-J120/1000)^2-(H120/2-J120/1000)*(I120/2-J120/1000)-(I120/2-J120/1000)^2)=0,"",7850/1000*(1/3)*PI()*ABS(F120-G120)*((H120/2)^2+(H120/2)*(I120/2)+(I120/2)^2-(H120/2-J120/1000)^2-(H120/2-J120/1000)*(I120/2-J120/1000)-(I120/2-J120/1000)^2))</f>
        <v>84.051578858446319</v>
      </c>
      <c r="N120" s="168">
        <f>IFERROR((MP_DATA[[#This Row],[D, bottom '[m']]]+MP_DATA[[#This Row],[D, top '[m']]])/(2*MP_DATA[[#This Row],[t '[mm']]]/1000),"")</f>
        <v>108.8888888888889</v>
      </c>
      <c r="BE120" s="124" t="str">
        <f>IFERROR(TP_DATA[[#This Row],[Bottom '[m']]]-TP_DATA[[#This Row],[D, top '[m']]], "")</f>
        <v/>
      </c>
      <c r="BF120" s="124" t="str">
        <f>IFERROR(-(TP_DATA[[#This Row],[D, bottom '[m']]]-TP_DATA[[#This Row],[D, top '[m']]])/(TP_DATA[[#This Row],[Bottom '[m']]]-TP_DATA[[#This Row],[Top '[m']]]),"")</f>
        <v/>
      </c>
      <c r="BG120" s="124" t="str">
        <f t="shared" si="5"/>
        <v/>
      </c>
      <c r="BH120" s="124" t="str">
        <f>IFERROR((TP_DATA[[#This Row],[D, bottom '[m']]]+TP_DATA[[#This Row],[D, top '[m']]])/(2*TP_DATA[[#This Row],[t '[mm']]]/1000),"")</f>
        <v/>
      </c>
      <c r="CY120" s="124" t="str">
        <f>IFERROR(TOWER_DATA[[#This Row],[Top '[m']]]-TOWER_DATA[[#This Row],[Bottom '[m']]], "")</f>
        <v/>
      </c>
      <c r="CZ120" s="124" t="str">
        <f>IFERROR(-(TOWER_DATA[[#This Row],[D, bottom '[m']]]-TOWER_DATA[[#This Row],[D, top '[m']]])/(TOWER_DATA[[#This Row],[Bottom '[m']]]-TOWER_DATA[[#This Row],[Top '[m']]]),"")</f>
        <v/>
      </c>
      <c r="DA120" s="124" t="str">
        <f t="shared" si="7"/>
        <v/>
      </c>
      <c r="DB120" s="124" t="str">
        <f>IFERROR((TOWER_DATA[[#This Row],[D, bottom '[m']]]+TOWER_DATA[[#This Row],[D, top '[m']]])/(2*TOWER_DATA[[#This Row],[t '[mm']]]/1000),"")</f>
        <v/>
      </c>
      <c r="DD120" s="149"/>
      <c r="DE120" s="149"/>
      <c r="DF120" s="149"/>
      <c r="DG120" s="149"/>
      <c r="DH120" s="149"/>
      <c r="DI120" s="149"/>
      <c r="DJ120" s="149"/>
      <c r="DK120" s="149"/>
      <c r="DL120" s="149"/>
      <c r="EC120" s="117"/>
      <c r="ED120" s="117"/>
      <c r="EE120" s="117"/>
      <c r="EF120" s="117"/>
      <c r="EG120" s="117"/>
      <c r="EH120" s="117"/>
      <c r="EI120" s="117"/>
      <c r="EJ120" s="117"/>
      <c r="EK120" s="117"/>
      <c r="ET120" s="124" t="str">
        <f t="shared" si="6"/>
        <v/>
      </c>
      <c r="EU120" s="124"/>
    </row>
    <row r="121" spans="5:151" ht="18" customHeight="1" x14ac:dyDescent="0.25">
      <c r="E121" s="157">
        <v>10</v>
      </c>
      <c r="F121" s="158">
        <v>-26.7</v>
      </c>
      <c r="G121" s="158">
        <v>-30.6</v>
      </c>
      <c r="H121" s="158">
        <v>9.8000000000000007</v>
      </c>
      <c r="I121" s="158">
        <v>9.8000000000000007</v>
      </c>
      <c r="J121" s="159">
        <v>90</v>
      </c>
      <c r="K121" s="167">
        <f>IFERROR(MP_DATA[[#This Row],[Bottom '[m']]]-MP_DATA[[#This Row],[D, top '[m']]], "")</f>
        <v>-40.400000000000006</v>
      </c>
      <c r="L121" s="123">
        <f>IFERROR(-(MP_DATA[[#This Row],[D, bottom '[m']]]-MP_DATA[[#This Row],[D, top '[m']]])/(MP_DATA[[#This Row],[Bottom '[m']]]-MP_DATA[[#This Row],[Top '[m']]]),"")</f>
        <v>0</v>
      </c>
      <c r="M121" s="123">
        <f>IF(7850/1000*(1/3)*PI()*ABS(F121-G121)*((H121/2)^2+(H121/2)*(I121/2)+(I121/2)^2-(H121/2-J121/1000)^2-(H121/2-J121/1000)*(I121/2-J121/1000)-(I121/2-J121/1000)^2)=0,"",7850/1000*(1/3)*PI()*ABS(F121-G121)*((H121/2)^2+(H121/2)*(I121/2)+(I121/2)^2-(H121/2-J121/1000)^2-(H121/2-J121/1000)*(I121/2-J121/1000)-(I121/2-J121/1000)^2))</f>
        <v>84.051578858446391</v>
      </c>
      <c r="N121" s="168">
        <f>IFERROR((MP_DATA[[#This Row],[D, bottom '[m']]]+MP_DATA[[#This Row],[D, top '[m']]])/(2*MP_DATA[[#This Row],[t '[mm']]]/1000),"")</f>
        <v>108.8888888888889</v>
      </c>
      <c r="BE121" s="124" t="str">
        <f>IFERROR(TP_DATA[[#This Row],[Bottom '[m']]]-TP_DATA[[#This Row],[D, top '[m']]], "")</f>
        <v/>
      </c>
      <c r="BF121" s="124" t="str">
        <f>IFERROR(-(TP_DATA[[#This Row],[D, bottom '[m']]]-TP_DATA[[#This Row],[D, top '[m']]])/(TP_DATA[[#This Row],[Bottom '[m']]]-TP_DATA[[#This Row],[Top '[m']]]),"")</f>
        <v/>
      </c>
      <c r="BG121" s="124" t="str">
        <f t="shared" si="5"/>
        <v/>
      </c>
      <c r="BH121" s="124" t="str">
        <f>IFERROR((TP_DATA[[#This Row],[D, bottom '[m']]]+TP_DATA[[#This Row],[D, top '[m']]])/(2*TP_DATA[[#This Row],[t '[mm']]]/1000),"")</f>
        <v/>
      </c>
      <c r="CY121" s="124" t="str">
        <f>IFERROR(TOWER_DATA[[#This Row],[Top '[m']]]-TOWER_DATA[[#This Row],[Bottom '[m']]], "")</f>
        <v/>
      </c>
      <c r="CZ121" s="124" t="str">
        <f>IFERROR(-(TOWER_DATA[[#This Row],[D, bottom '[m']]]-TOWER_DATA[[#This Row],[D, top '[m']]])/(TOWER_DATA[[#This Row],[Bottom '[m']]]-TOWER_DATA[[#This Row],[Top '[m']]]),"")</f>
        <v/>
      </c>
      <c r="DA121" s="124" t="str">
        <f t="shared" si="7"/>
        <v/>
      </c>
      <c r="DB121" s="124" t="str">
        <f>IFERROR((TOWER_DATA[[#This Row],[D, bottom '[m']]]+TOWER_DATA[[#This Row],[D, top '[m']]])/(2*TOWER_DATA[[#This Row],[t '[mm']]]/1000),"")</f>
        <v/>
      </c>
      <c r="DD121" s="149"/>
      <c r="DE121" s="149"/>
      <c r="DF121" s="149"/>
      <c r="DG121" s="149"/>
      <c r="DH121" s="149"/>
      <c r="DI121" s="149"/>
      <c r="DJ121" s="149"/>
      <c r="DK121" s="149"/>
      <c r="DL121" s="149"/>
      <c r="ET121" s="124" t="str">
        <f t="shared" si="6"/>
        <v/>
      </c>
      <c r="EU121" s="124"/>
    </row>
    <row r="122" spans="5:151" ht="18" customHeight="1" x14ac:dyDescent="0.25">
      <c r="E122" s="157">
        <v>11</v>
      </c>
      <c r="F122" s="158">
        <v>-30.6</v>
      </c>
      <c r="G122" s="158">
        <v>-34.5</v>
      </c>
      <c r="H122" s="158">
        <v>9.8000000000000007</v>
      </c>
      <c r="I122" s="158">
        <v>9.8000000000000007</v>
      </c>
      <c r="J122" s="159">
        <v>90</v>
      </c>
      <c r="K122" s="167">
        <f>IFERROR(MP_DATA[[#This Row],[Bottom '[m']]]-MP_DATA[[#This Row],[D, top '[m']]], "")</f>
        <v>-44.3</v>
      </c>
      <c r="L122" s="123">
        <f>IFERROR(-(MP_DATA[[#This Row],[D, bottom '[m']]]-MP_DATA[[#This Row],[D, top '[m']]])/(MP_DATA[[#This Row],[Bottom '[m']]]-MP_DATA[[#This Row],[Top '[m']]]),"")</f>
        <v>0</v>
      </c>
      <c r="M122" s="123">
        <f>IF(7850/1000*(1/3)*PI()*ABS(F122-G122)*((H122/2)^2+(H122/2)*(I122/2)+(I122/2)^2-(H122/2-J122/1000)^2-(H122/2-J122/1000)*(I122/2-J122/1000)-(I122/2-J122/1000)^2)=0,"",7850/1000*(1/3)*PI()*ABS(F122-G122)*((H122/2)^2+(H122/2)*(I122/2)+(I122/2)^2-(H122/2-J122/1000)^2-(H122/2-J122/1000)*(I122/2-J122/1000)-(I122/2-J122/1000)^2))</f>
        <v>84.051578858446319</v>
      </c>
      <c r="N122" s="168">
        <f>IFERROR((MP_DATA[[#This Row],[D, bottom '[m']]]+MP_DATA[[#This Row],[D, top '[m']]])/(2*MP_DATA[[#This Row],[t '[mm']]]/1000),"")</f>
        <v>108.8888888888889</v>
      </c>
      <c r="BE122" s="124" t="str">
        <f>IFERROR(TP_DATA[[#This Row],[Bottom '[m']]]-TP_DATA[[#This Row],[D, top '[m']]], "")</f>
        <v/>
      </c>
      <c r="BF122" s="124" t="str">
        <f>IFERROR(-(TP_DATA[[#This Row],[D, bottom '[m']]]-TP_DATA[[#This Row],[D, top '[m']]])/(TP_DATA[[#This Row],[Bottom '[m']]]-TP_DATA[[#This Row],[Top '[m']]]),"")</f>
        <v/>
      </c>
      <c r="BG122" s="124" t="str">
        <f t="shared" si="5"/>
        <v/>
      </c>
      <c r="BH122" s="124" t="str">
        <f>IFERROR((TP_DATA[[#This Row],[D, bottom '[m']]]+TP_DATA[[#This Row],[D, top '[m']]])/(2*TP_DATA[[#This Row],[t '[mm']]]/1000),"")</f>
        <v/>
      </c>
      <c r="CY122" s="124" t="str">
        <f>IFERROR(TOWER_DATA[[#This Row],[Top '[m']]]-TOWER_DATA[[#This Row],[Bottom '[m']]], "")</f>
        <v/>
      </c>
      <c r="CZ122" s="124" t="str">
        <f>IFERROR(-(TOWER_DATA[[#This Row],[D, bottom '[m']]]-TOWER_DATA[[#This Row],[D, top '[m']]])/(TOWER_DATA[[#This Row],[Bottom '[m']]]-TOWER_DATA[[#This Row],[Top '[m']]]),"")</f>
        <v/>
      </c>
      <c r="DA122" s="124" t="str">
        <f t="shared" si="7"/>
        <v/>
      </c>
      <c r="DB122" s="124" t="str">
        <f>IFERROR((TOWER_DATA[[#This Row],[D, bottom '[m']]]+TOWER_DATA[[#This Row],[D, top '[m']]])/(2*TOWER_DATA[[#This Row],[t '[mm']]]/1000),"")</f>
        <v/>
      </c>
      <c r="DD122" s="149"/>
      <c r="DE122" s="149"/>
      <c r="DF122" s="149"/>
      <c r="DG122" s="149"/>
      <c r="DH122" s="149"/>
      <c r="DI122" s="149"/>
      <c r="DJ122" s="149"/>
      <c r="DK122" s="149"/>
      <c r="DL122" s="149"/>
      <c r="ET122" s="124" t="str">
        <f t="shared" si="6"/>
        <v/>
      </c>
      <c r="EU122" s="124"/>
    </row>
    <row r="123" spans="5:151" ht="18" customHeight="1" x14ac:dyDescent="0.25">
      <c r="E123" s="157">
        <v>12</v>
      </c>
      <c r="F123" s="158">
        <v>-34.5</v>
      </c>
      <c r="G123" s="158">
        <v>-38.200000000000003</v>
      </c>
      <c r="H123" s="158">
        <v>9.8000000000000007</v>
      </c>
      <c r="I123" s="158">
        <v>9.8000000000000007</v>
      </c>
      <c r="J123" s="159">
        <v>98</v>
      </c>
      <c r="K123" s="167">
        <f>IFERROR(MP_DATA[[#This Row],[Bottom '[m']]]-MP_DATA[[#This Row],[D, top '[m']]], "")</f>
        <v>-48</v>
      </c>
      <c r="L123" s="123">
        <f>IFERROR(-(MP_DATA[[#This Row],[D, bottom '[m']]]-MP_DATA[[#This Row],[D, top '[m']]])/(MP_DATA[[#This Row],[Bottom '[m']]]-MP_DATA[[#This Row],[Top '[m']]]),"")</f>
        <v>0</v>
      </c>
      <c r="M123" s="123">
        <f>IF(7850/1000*(1/3)*PI()*ABS(F123-G123)*((H123/2)^2+(H123/2)*(I123/2)+(I123/2)^2-(H123/2-J123/1000)^2-(H123/2-J123/1000)*(I123/2-J123/1000)-(I123/2-J123/1000)^2)=0,"",7850/1000*(1/3)*PI()*ABS(F123-G123)*((H123/2)^2+(H123/2)*(I123/2)+(I123/2)^2-(H123/2-J123/1000)^2-(H123/2-J123/1000)*(I123/2-J123/1000)-(I123/2-J123/1000)^2))</f>
        <v>86.757813749004058</v>
      </c>
      <c r="N123" s="168">
        <f>IFERROR((MP_DATA[[#This Row],[D, bottom '[m']]]+MP_DATA[[#This Row],[D, top '[m']]])/(2*MP_DATA[[#This Row],[t '[mm']]]/1000),"")</f>
        <v>100</v>
      </c>
      <c r="BE123" s="124" t="str">
        <f>IFERROR(TP_DATA[[#This Row],[Bottom '[m']]]-TP_DATA[[#This Row],[D, top '[m']]], "")</f>
        <v/>
      </c>
      <c r="BF123" s="124" t="str">
        <f>IFERROR(-(TP_DATA[[#This Row],[D, bottom '[m']]]-TP_DATA[[#This Row],[D, top '[m']]])/(TP_DATA[[#This Row],[Bottom '[m']]]-TP_DATA[[#This Row],[Top '[m']]]),"")</f>
        <v/>
      </c>
      <c r="BG123" s="124" t="str">
        <f t="shared" ref="BG123:BG130" si="8">IF(7850/1000*(1/3)*PI()*ABS(AZ123-BA123)*((BB123/2)^2+(BB123/2)*(BC123/2)+(BC123/2)^2-(BB123/2-BD123/1000)^2-(BB123/2-BD123/1000)*(BC123/2-BD123/1000)-(BC123/2-BD123/1000)^2)=0,"",7850/1000*(1/3)*PI()*ABS(AZ123-BA123)*((BB123/2)^2+(BB123/2)*(BC123/2)+(BC123/2)^2-(BB123/2-BD123/1000)^2-(BB123/2-BD123/1000)*(BC123/2-BD123/1000)-(BC123/2-BD123/1000)^2))</f>
        <v/>
      </c>
      <c r="BH123" s="124" t="str">
        <f>IFERROR((TP_DATA[[#This Row],[D, bottom '[m']]]+TP_DATA[[#This Row],[D, top '[m']]])/(2*TP_DATA[[#This Row],[t '[mm']]]/1000),"")</f>
        <v/>
      </c>
      <c r="CY123" s="124" t="str">
        <f>IFERROR(TOWER_DATA[[#This Row],[Top '[m']]]-TOWER_DATA[[#This Row],[Bottom '[m']]], "")</f>
        <v/>
      </c>
      <c r="CZ123" s="124" t="str">
        <f>IFERROR(-(TOWER_DATA[[#This Row],[D, bottom '[m']]]-TOWER_DATA[[#This Row],[D, top '[m']]])/(TOWER_DATA[[#This Row],[Bottom '[m']]]-TOWER_DATA[[#This Row],[Top '[m']]]),"")</f>
        <v/>
      </c>
      <c r="DA123" s="124" t="str">
        <f t="shared" si="7"/>
        <v/>
      </c>
      <c r="DB123" s="124" t="str">
        <f>IFERROR((TOWER_DATA[[#This Row],[D, bottom '[m']]]+TOWER_DATA[[#This Row],[D, top '[m']]])/(2*TOWER_DATA[[#This Row],[t '[mm']]]/1000),"")</f>
        <v/>
      </c>
      <c r="DD123" s="149"/>
      <c r="DE123" s="149"/>
      <c r="DF123" s="149"/>
      <c r="DG123" s="149"/>
      <c r="DH123" s="149"/>
      <c r="DI123" s="149"/>
      <c r="DJ123" s="149"/>
      <c r="DK123" s="149"/>
      <c r="DL123" s="149"/>
      <c r="ET123" s="124" t="str">
        <f t="shared" si="6"/>
        <v/>
      </c>
      <c r="EU123" s="124"/>
    </row>
    <row r="124" spans="5:151" ht="18" customHeight="1" x14ac:dyDescent="0.25">
      <c r="E124" s="157">
        <v>13</v>
      </c>
      <c r="F124" s="158">
        <v>-38.200000000000003</v>
      </c>
      <c r="G124" s="158">
        <v>-38.94</v>
      </c>
      <c r="H124" s="158">
        <v>9.8000000000000007</v>
      </c>
      <c r="I124" s="158">
        <v>9.8000000000000007</v>
      </c>
      <c r="J124" s="159">
        <v>88</v>
      </c>
      <c r="K124" s="167">
        <f>IFERROR(MP_DATA[[#This Row],[Bottom '[m']]]-MP_DATA[[#This Row],[D, top '[m']]], "")</f>
        <v>-48.739999999999995</v>
      </c>
      <c r="L124" s="123">
        <f>IFERROR(-(MP_DATA[[#This Row],[D, bottom '[m']]]-MP_DATA[[#This Row],[D, top '[m']]])/(MP_DATA[[#This Row],[Bottom '[m']]]-MP_DATA[[#This Row],[Top '[m']]]),"")</f>
        <v>0</v>
      </c>
      <c r="M124" s="123">
        <f>IF(7850/1000*(1/3)*PI()*ABS(F124-G124)*((H124/2)^2+(H124/2)*(I124/2)+(I124/2)^2-(H124/2-J124/1000)^2-(H124/2-J124/1000)*(I124/2-J124/1000)-(I124/2-J124/1000)^2)=0,"",7850/1000*(1/3)*PI()*ABS(F124-G124)*((H124/2)^2+(H124/2)*(I124/2)+(I124/2)^2-(H124/2-J124/1000)^2-(H124/2-J124/1000)*(I124/2-J124/1000)-(I124/2-J124/1000)^2))</f>
        <v>15.597054692587808</v>
      </c>
      <c r="N124" s="168">
        <f>IFERROR((MP_DATA[[#This Row],[D, bottom '[m']]]+MP_DATA[[#This Row],[D, top '[m']]])/(2*MP_DATA[[#This Row],[t '[mm']]]/1000),"")</f>
        <v>111.36363636363637</v>
      </c>
      <c r="BE124" s="124" t="str">
        <f>IFERROR(TP_DATA[[#This Row],[Bottom '[m']]]-TP_DATA[[#This Row],[D, top '[m']]], "")</f>
        <v/>
      </c>
      <c r="BF124" s="124" t="str">
        <f>IFERROR(-(TP_DATA[[#This Row],[D, bottom '[m']]]-TP_DATA[[#This Row],[D, top '[m']]])/(TP_DATA[[#This Row],[Bottom '[m']]]-TP_DATA[[#This Row],[Top '[m']]]),"")</f>
        <v/>
      </c>
      <c r="BG124" s="124" t="str">
        <f t="shared" si="8"/>
        <v/>
      </c>
      <c r="BH124" s="124" t="str">
        <f>IFERROR((TP_DATA[[#This Row],[D, bottom '[m']]]+TP_DATA[[#This Row],[D, top '[m']]])/(2*TP_DATA[[#This Row],[t '[mm']]]/1000),"")</f>
        <v/>
      </c>
      <c r="CY124" s="124" t="str">
        <f>IFERROR(TOWER_DATA[[#This Row],[Top '[m']]]-TOWER_DATA[[#This Row],[Bottom '[m']]], "")</f>
        <v/>
      </c>
      <c r="CZ124" s="124" t="str">
        <f>IFERROR(-(TOWER_DATA[[#This Row],[D, bottom '[m']]]-TOWER_DATA[[#This Row],[D, top '[m']]])/(TOWER_DATA[[#This Row],[Bottom '[m']]]-TOWER_DATA[[#This Row],[Top '[m']]]),"")</f>
        <v/>
      </c>
      <c r="DA124" s="124" t="str">
        <f t="shared" si="7"/>
        <v/>
      </c>
      <c r="DB124" s="124" t="str">
        <f>IFERROR((TOWER_DATA[[#This Row],[D, bottom '[m']]]+TOWER_DATA[[#This Row],[D, top '[m']]])/(2*TOWER_DATA[[#This Row],[t '[mm']]]/1000),"")</f>
        <v/>
      </c>
      <c r="DD124" s="149"/>
      <c r="DE124" s="149"/>
      <c r="DF124" s="149"/>
      <c r="DG124" s="149"/>
      <c r="DH124" s="149"/>
      <c r="DI124" s="149"/>
      <c r="DJ124" s="149"/>
      <c r="DK124" s="149"/>
      <c r="DL124" s="149"/>
      <c r="ET124" s="124" t="str">
        <f t="shared" ref="ET124:ET133" si="9">IF(7850/1000*(1/3)*PI()*ABS(EN124-EO124)*((EP124/2)^2+(EP124/2)*(EQ124/2)+(EQ124/2)^2-(EP124/2-ES124/1000)^2-(EP124/2-ES124/1000)*(EQ124/2-ES124/1000)-(EQ124/2-ES124/1000)^2)=0,"",7850/1000*(1/3)*PI()*ABS(EN124-EO124)*((EP124/2)^2+(EP124/2)*(EQ124/2)+(EQ124/2)^2-(EP124/2-ES124/1000)^2-(EP124/2-ES124/1000)*(EQ124/2-ES124/1000)-(EQ124/2-ES124/1000)^2))</f>
        <v/>
      </c>
      <c r="EU124" s="124"/>
    </row>
    <row r="125" spans="5:151" ht="18" customHeight="1" x14ac:dyDescent="0.25">
      <c r="E125" s="157">
        <v>14</v>
      </c>
      <c r="F125" s="158">
        <v>-38.94</v>
      </c>
      <c r="G125" s="158">
        <v>-42.2</v>
      </c>
      <c r="H125" s="158">
        <v>9.8000000000000007</v>
      </c>
      <c r="I125" s="158">
        <v>9.8000000000000007</v>
      </c>
      <c r="J125" s="159">
        <v>88</v>
      </c>
      <c r="K125" s="167">
        <f>IFERROR(MP_DATA[[#This Row],[Bottom '[m']]]-MP_DATA[[#This Row],[D, top '[m']]], "")</f>
        <v>-52</v>
      </c>
      <c r="L125" s="123">
        <f>IFERROR(-(MP_DATA[[#This Row],[D, bottom '[m']]]-MP_DATA[[#This Row],[D, top '[m']]])/(MP_DATA[[#This Row],[Bottom '[m']]]-MP_DATA[[#This Row],[Top '[m']]]),"")</f>
        <v>0</v>
      </c>
      <c r="M125" s="123">
        <f>IF(7850/1000*(1/3)*PI()*ABS(F125-G125)*((H125/2)^2+(H125/2)*(I125/2)+(I125/2)^2-(H125/2-J125/1000)^2-(H125/2-J125/1000)*(I125/2-J125/1000)-(I125/2-J125/1000)^2)=0,"",7850/1000*(1/3)*PI()*ABS(F125-G125)*((H125/2)^2+(H125/2)*(I125/2)+(I125/2)^2-(H125/2-J125/1000)^2-(H125/2-J125/1000)*(I125/2-J125/1000)-(I125/2-J125/1000)^2))</f>
        <v>68.711349051130654</v>
      </c>
      <c r="N125" s="168">
        <f>IFERROR((MP_DATA[[#This Row],[D, bottom '[m']]]+MP_DATA[[#This Row],[D, top '[m']]])/(2*MP_DATA[[#This Row],[t '[mm']]]/1000),"")</f>
        <v>111.36363636363637</v>
      </c>
      <c r="BE125" s="124" t="str">
        <f>IFERROR(TP_DATA[[#This Row],[Bottom '[m']]]-TP_DATA[[#This Row],[D, top '[m']]], "")</f>
        <v/>
      </c>
      <c r="BF125" s="124" t="str">
        <f>IFERROR(-(TP_DATA[[#This Row],[D, bottom '[m']]]-TP_DATA[[#This Row],[D, top '[m']]])/(TP_DATA[[#This Row],[Bottom '[m']]]-TP_DATA[[#This Row],[Top '[m']]]),"")</f>
        <v/>
      </c>
      <c r="BG125" s="124" t="str">
        <f t="shared" si="8"/>
        <v/>
      </c>
      <c r="BH125" s="124" t="str">
        <f>IFERROR((TP_DATA[[#This Row],[D, bottom '[m']]]+TP_DATA[[#This Row],[D, top '[m']]])/(2*TP_DATA[[#This Row],[t '[mm']]]/1000),"")</f>
        <v/>
      </c>
      <c r="CY125" s="124" t="str">
        <f>IFERROR(TOWER_DATA[[#This Row],[Top '[m']]]-TOWER_DATA[[#This Row],[Bottom '[m']]], "")</f>
        <v/>
      </c>
      <c r="CZ125" s="124" t="str">
        <f>IFERROR(-(TOWER_DATA[[#This Row],[D, bottom '[m']]]-TOWER_DATA[[#This Row],[D, top '[m']]])/(TOWER_DATA[[#This Row],[Bottom '[m']]]-TOWER_DATA[[#This Row],[Top '[m']]]),"")</f>
        <v/>
      </c>
      <c r="DA125" s="124" t="str">
        <f t="shared" si="7"/>
        <v/>
      </c>
      <c r="DB125" s="124" t="str">
        <f>IFERROR((TOWER_DATA[[#This Row],[D, bottom '[m']]]+TOWER_DATA[[#This Row],[D, top '[m']]])/(2*TOWER_DATA[[#This Row],[t '[mm']]]/1000),"")</f>
        <v/>
      </c>
      <c r="DD125" s="149"/>
      <c r="DE125" s="149"/>
      <c r="DF125" s="149"/>
      <c r="DG125" s="149"/>
      <c r="DH125" s="149"/>
      <c r="DI125" s="149"/>
      <c r="DJ125" s="149"/>
      <c r="DK125" s="149"/>
      <c r="DL125" s="149"/>
      <c r="ET125" s="124" t="str">
        <f t="shared" si="9"/>
        <v/>
      </c>
      <c r="EU125" s="124"/>
    </row>
    <row r="126" spans="5:151" ht="18" customHeight="1" x14ac:dyDescent="0.25">
      <c r="E126" s="157">
        <v>15</v>
      </c>
      <c r="F126" s="158">
        <v>-42.2</v>
      </c>
      <c r="G126" s="158">
        <v>-46.2</v>
      </c>
      <c r="H126" s="158">
        <v>9.8000000000000007</v>
      </c>
      <c r="I126" s="158">
        <v>9.8000000000000007</v>
      </c>
      <c r="J126" s="159">
        <v>88</v>
      </c>
      <c r="K126" s="167">
        <f>IFERROR(MP_DATA[[#This Row],[Bottom '[m']]]-MP_DATA[[#This Row],[D, top '[m']]], "")</f>
        <v>-56</v>
      </c>
      <c r="L126" s="123">
        <f>IFERROR(-(MP_DATA[[#This Row],[D, bottom '[m']]]-MP_DATA[[#This Row],[D, top '[m']]])/(MP_DATA[[#This Row],[Bottom '[m']]]-MP_DATA[[#This Row],[Top '[m']]]),"")</f>
        <v>0</v>
      </c>
      <c r="M126" s="123">
        <f>IF(7850/1000*(1/3)*PI()*ABS(F126-G126)*((H126/2)^2+(H126/2)*(I126/2)+(I126/2)^2-(H126/2-J126/1000)^2-(H126/2-J126/1000)*(I126/2-J126/1000)-(I126/2-J126/1000)^2)=0,"",7850/1000*(1/3)*PI()*ABS(F126-G126)*((H126/2)^2+(H126/2)*(I126/2)+(I126/2)^2-(H126/2-J126/1000)^2-(H126/2-J126/1000)*(I126/2-J126/1000)-(I126/2-J126/1000)^2))</f>
        <v>84.308403743718472</v>
      </c>
      <c r="N126" s="168">
        <f>IFERROR((MP_DATA[[#This Row],[D, bottom '[m']]]+MP_DATA[[#This Row],[D, top '[m']]])/(2*MP_DATA[[#This Row],[t '[mm']]]/1000),"")</f>
        <v>111.36363636363637</v>
      </c>
      <c r="BE126" s="124" t="str">
        <f>IFERROR(TP_DATA[[#This Row],[Bottom '[m']]]-TP_DATA[[#This Row],[D, top '[m']]], "")</f>
        <v/>
      </c>
      <c r="BF126" s="124" t="str">
        <f>IFERROR(-(TP_DATA[[#This Row],[D, bottom '[m']]]-TP_DATA[[#This Row],[D, top '[m']]])/(TP_DATA[[#This Row],[Bottom '[m']]]-TP_DATA[[#This Row],[Top '[m']]]),"")</f>
        <v/>
      </c>
      <c r="BG126" s="124" t="str">
        <f t="shared" si="8"/>
        <v/>
      </c>
      <c r="BH126" s="124" t="str">
        <f>IFERROR((TP_DATA[[#This Row],[D, bottom '[m']]]+TP_DATA[[#This Row],[D, top '[m']]])/(2*TP_DATA[[#This Row],[t '[mm']]]/1000),"")</f>
        <v/>
      </c>
      <c r="CY126" s="124" t="str">
        <f>IFERROR(TOWER_DATA[[#This Row],[Top '[m']]]-TOWER_DATA[[#This Row],[Bottom '[m']]], "")</f>
        <v/>
      </c>
      <c r="CZ126" s="124" t="str">
        <f>IFERROR(-(TOWER_DATA[[#This Row],[D, bottom '[m']]]-TOWER_DATA[[#This Row],[D, top '[m']]])/(TOWER_DATA[[#This Row],[Bottom '[m']]]-TOWER_DATA[[#This Row],[Top '[m']]]),"")</f>
        <v/>
      </c>
      <c r="DA126" s="124" t="str">
        <f t="shared" si="7"/>
        <v/>
      </c>
      <c r="DB126" s="124" t="str">
        <f>IFERROR((TOWER_DATA[[#This Row],[D, bottom '[m']]]+TOWER_DATA[[#This Row],[D, top '[m']]])/(2*TOWER_DATA[[#This Row],[t '[mm']]]/1000),"")</f>
        <v/>
      </c>
      <c r="DD126" s="149"/>
      <c r="DE126" s="149"/>
      <c r="DF126" s="149"/>
      <c r="DG126" s="149"/>
      <c r="DH126" s="149"/>
      <c r="DI126" s="149"/>
      <c r="DJ126" s="149"/>
      <c r="DK126" s="149"/>
      <c r="DL126" s="149"/>
      <c r="ET126" s="124" t="str">
        <f t="shared" si="9"/>
        <v/>
      </c>
      <c r="EU126" s="124"/>
    </row>
    <row r="127" spans="5:151" ht="18" customHeight="1" x14ac:dyDescent="0.25">
      <c r="E127" s="157">
        <v>16</v>
      </c>
      <c r="F127" s="158">
        <v>-46.2</v>
      </c>
      <c r="G127" s="158">
        <v>-50.2</v>
      </c>
      <c r="H127" s="158">
        <v>9.8000000000000007</v>
      </c>
      <c r="I127" s="158">
        <v>9.8000000000000007</v>
      </c>
      <c r="J127" s="159">
        <v>81</v>
      </c>
      <c r="K127" s="167">
        <f>IFERROR(MP_DATA[[#This Row],[Bottom '[m']]]-MP_DATA[[#This Row],[D, top '[m']]], "")</f>
        <v>-60</v>
      </c>
      <c r="L127" s="123">
        <f>IFERROR(-(MP_DATA[[#This Row],[D, bottom '[m']]]-MP_DATA[[#This Row],[D, top '[m']]])/(MP_DATA[[#This Row],[Bottom '[m']]]-MP_DATA[[#This Row],[Top '[m']]]),"")</f>
        <v>0</v>
      </c>
      <c r="M127" s="123">
        <f>IF(7850/1000*(1/3)*PI()*ABS(F127-G127)*((H127/2)^2+(H127/2)*(I127/2)+(I127/2)^2-(H127/2-J127/1000)^2-(H127/2-J127/1000)*(I127/2-J127/1000)-(I127/2-J127/1000)^2)=0,"",7850/1000*(1/3)*PI()*ABS(F127-G127)*((H127/2)^2+(H127/2)*(I127/2)+(I127/2)^2-(H127/2-J127/1000)^2-(H127/2-J127/1000)*(I127/2-J127/1000)-(I127/2-J127/1000)^2))</f>
        <v>77.657985733209031</v>
      </c>
      <c r="N127" s="168">
        <f>IFERROR((MP_DATA[[#This Row],[D, bottom '[m']]]+MP_DATA[[#This Row],[D, top '[m']]])/(2*MP_DATA[[#This Row],[t '[mm']]]/1000),"")</f>
        <v>120.98765432098766</v>
      </c>
      <c r="BE127" s="124" t="str">
        <f>IFERROR(TP_DATA[[#This Row],[Bottom '[m']]]-TP_DATA[[#This Row],[D, top '[m']]], "")</f>
        <v/>
      </c>
      <c r="BF127" s="124" t="str">
        <f>IFERROR(-(TP_DATA[[#This Row],[D, bottom '[m']]]-TP_DATA[[#This Row],[D, top '[m']]])/(TP_DATA[[#This Row],[Bottom '[m']]]-TP_DATA[[#This Row],[Top '[m']]]),"")</f>
        <v/>
      </c>
      <c r="BG127" s="124" t="str">
        <f t="shared" si="8"/>
        <v/>
      </c>
      <c r="BH127" s="124" t="str">
        <f>IFERROR((TP_DATA[[#This Row],[D, bottom '[m']]]+TP_DATA[[#This Row],[D, top '[m']]])/(2*TP_DATA[[#This Row],[t '[mm']]]/1000),"")</f>
        <v/>
      </c>
      <c r="CY127" s="124" t="str">
        <f>IFERROR(TOWER_DATA[[#This Row],[Top '[m']]]-TOWER_DATA[[#This Row],[Bottom '[m']]], "")</f>
        <v/>
      </c>
      <c r="CZ127" s="124" t="str">
        <f>IFERROR(-(TOWER_DATA[[#This Row],[D, bottom '[m']]]-TOWER_DATA[[#This Row],[D, top '[m']]])/(TOWER_DATA[[#This Row],[Bottom '[m']]]-TOWER_DATA[[#This Row],[Top '[m']]]),"")</f>
        <v/>
      </c>
      <c r="DA127" s="124" t="str">
        <f t="shared" si="7"/>
        <v/>
      </c>
      <c r="DB127" s="124" t="str">
        <f>IFERROR((TOWER_DATA[[#This Row],[D, bottom '[m']]]+TOWER_DATA[[#This Row],[D, top '[m']]])/(2*TOWER_DATA[[#This Row],[t '[mm']]]/1000),"")</f>
        <v/>
      </c>
      <c r="DD127" s="149"/>
      <c r="DE127" s="149"/>
      <c r="DF127" s="149"/>
      <c r="DG127" s="149"/>
      <c r="DH127" s="149"/>
      <c r="DI127" s="149"/>
      <c r="DJ127" s="149"/>
      <c r="DK127" s="149"/>
      <c r="DL127" s="149"/>
      <c r="ET127" s="124" t="str">
        <f t="shared" si="9"/>
        <v/>
      </c>
      <c r="EU127" s="124"/>
    </row>
    <row r="128" spans="5:151" ht="18" customHeight="1" x14ac:dyDescent="0.25">
      <c r="E128" s="157">
        <v>17</v>
      </c>
      <c r="F128" s="158">
        <v>-50.2</v>
      </c>
      <c r="G128" s="140">
        <v>-60</v>
      </c>
      <c r="H128" s="158">
        <v>9.8000000000000007</v>
      </c>
      <c r="I128" s="158">
        <v>9.8000000000000007</v>
      </c>
      <c r="J128" s="159">
        <v>81</v>
      </c>
      <c r="K128" s="167">
        <f>IFERROR(MP_DATA[[#This Row],[Bottom '[m']]]-MP_DATA[[#This Row],[D, top '[m']]], "")</f>
        <v>-69.8</v>
      </c>
      <c r="L128" s="123">
        <f>IFERROR(-(MP_DATA[[#This Row],[D, bottom '[m']]]-MP_DATA[[#This Row],[D, top '[m']]])/(MP_DATA[[#This Row],[Bottom '[m']]]-MP_DATA[[#This Row],[Top '[m']]]),"")</f>
        <v>0</v>
      </c>
      <c r="M128" s="123">
        <f>IF(7850/1000*(1/3)*PI()*ABS(F128-G128)*((H128/2)^2+(H128/2)*(I128/2)+(I128/2)^2-(H128/2-J128/1000)^2-(H128/2-J128/1000)*(I128/2-J128/1000)-(I128/2-J128/1000)^2)=0,"",7850/1000*(1/3)*PI()*ABS(F128-G128)*((H128/2)^2+(H128/2)*(I128/2)+(I128/2)^2-(H128/2-J128/1000)^2-(H128/2-J128/1000)*(I128/2-J128/1000)-(I128/2-J128/1000)^2))</f>
        <v>190.26206504636204</v>
      </c>
      <c r="N128" s="168">
        <f>IFERROR((MP_DATA[[#This Row],[D, bottom '[m']]]+MP_DATA[[#This Row],[D, top '[m']]])/(2*MP_DATA[[#This Row],[t '[mm']]]/1000),"")</f>
        <v>120.98765432098766</v>
      </c>
      <c r="BE128" s="124" t="str">
        <f>IFERROR(TP_DATA[[#This Row],[Bottom '[m']]]-TP_DATA[[#This Row],[D, top '[m']]], "")</f>
        <v/>
      </c>
      <c r="BF128" s="124" t="str">
        <f>IFERROR(-(TP_DATA[[#This Row],[D, bottom '[m']]]-TP_DATA[[#This Row],[D, top '[m']]])/(TP_DATA[[#This Row],[Bottom '[m']]]-TP_DATA[[#This Row],[Top '[m']]]),"")</f>
        <v/>
      </c>
      <c r="BG128" s="124" t="str">
        <f t="shared" si="8"/>
        <v/>
      </c>
      <c r="BH128" s="124" t="str">
        <f>IFERROR((TP_DATA[[#This Row],[D, bottom '[m']]]+TP_DATA[[#This Row],[D, top '[m']]])/(2*TP_DATA[[#This Row],[t '[mm']]]/1000),"")</f>
        <v/>
      </c>
      <c r="CY128" s="124" t="str">
        <f>IFERROR(TOWER_DATA[[#This Row],[Top '[m']]]-TOWER_DATA[[#This Row],[Bottom '[m']]], "")</f>
        <v/>
      </c>
      <c r="CZ128" s="124" t="str">
        <f>IFERROR(-(TOWER_DATA[[#This Row],[D, bottom '[m']]]-TOWER_DATA[[#This Row],[D, top '[m']]])/(TOWER_DATA[[#This Row],[Bottom '[m']]]-TOWER_DATA[[#This Row],[Top '[m']]]),"")</f>
        <v/>
      </c>
      <c r="DA128" s="124" t="str">
        <f t="shared" si="7"/>
        <v/>
      </c>
      <c r="DB128" s="124" t="str">
        <f>IFERROR((TOWER_DATA[[#This Row],[D, bottom '[m']]]+TOWER_DATA[[#This Row],[D, top '[m']]])/(2*TOWER_DATA[[#This Row],[t '[mm']]]/1000),"")</f>
        <v/>
      </c>
      <c r="DD128" s="149"/>
      <c r="DE128" s="149"/>
      <c r="DF128" s="149"/>
      <c r="DG128" s="149"/>
      <c r="DH128" s="149"/>
      <c r="DI128" s="149"/>
      <c r="DJ128" s="149"/>
      <c r="DK128" s="149"/>
      <c r="DL128" s="149"/>
      <c r="ET128" s="124" t="str">
        <f t="shared" si="9"/>
        <v/>
      </c>
      <c r="EU128" s="124"/>
    </row>
    <row r="129" spans="5:151" ht="18" customHeight="1" x14ac:dyDescent="0.25">
      <c r="E129" s="157">
        <v>18</v>
      </c>
      <c r="F129" s="158">
        <v>-54.2</v>
      </c>
      <c r="G129" s="158">
        <v>-57.7</v>
      </c>
      <c r="H129" s="158">
        <v>9.8000000000000007</v>
      </c>
      <c r="I129" s="158">
        <v>9.8000000000000007</v>
      </c>
      <c r="J129" s="159">
        <v>81</v>
      </c>
      <c r="K129" s="167">
        <f>IFERROR(MP_DATA[[#This Row],[Bottom '[m']]]-MP_DATA[[#This Row],[D, top '[m']]], "")</f>
        <v>-67.5</v>
      </c>
      <c r="L129" s="123">
        <f>IFERROR(-(MP_DATA[[#This Row],[D, bottom '[m']]]-MP_DATA[[#This Row],[D, top '[m']]])/(MP_DATA[[#This Row],[Bottom '[m']]]-MP_DATA[[#This Row],[Top '[m']]]),"")</f>
        <v>0</v>
      </c>
      <c r="M129" s="123">
        <f>IF(7850/1000*(1/3)*PI()*ABS(F129-G129)*((H129/2)^2+(H129/2)*(I129/2)+(I129/2)^2-(H129/2-J129/1000)^2-(H129/2-J129/1000)*(I129/2-J129/1000)-(I129/2-J129/1000)^2)=0,"",7850/1000*(1/3)*PI()*ABS(F129-G129)*((H129/2)^2+(H129/2)*(I129/2)+(I129/2)^2-(H129/2-J129/1000)^2-(H129/2-J129/1000)*(I129/2-J129/1000)-(I129/2-J129/1000)^2))</f>
        <v>67.950737516557894</v>
      </c>
      <c r="N129" s="168">
        <f>IFERROR((MP_DATA[[#This Row],[D, bottom '[m']]]+MP_DATA[[#This Row],[D, top '[m']]])/(2*MP_DATA[[#This Row],[t '[mm']]]/1000),"")</f>
        <v>120.98765432098766</v>
      </c>
      <c r="BE129" s="124" t="str">
        <f>IFERROR(TP_DATA[[#This Row],[Bottom '[m']]]-TP_DATA[[#This Row],[D, top '[m']]], "")</f>
        <v/>
      </c>
      <c r="BF129" s="124" t="str">
        <f>IFERROR(-(TP_DATA[[#This Row],[D, bottom '[m']]]-TP_DATA[[#This Row],[D, top '[m']]])/(TP_DATA[[#This Row],[Bottom '[m']]]-TP_DATA[[#This Row],[Top '[m']]]),"")</f>
        <v/>
      </c>
      <c r="BG129" s="124" t="str">
        <f t="shared" si="8"/>
        <v/>
      </c>
      <c r="BH129" s="124" t="str">
        <f>IFERROR((TP_DATA[[#This Row],[D, bottom '[m']]]+TP_DATA[[#This Row],[D, top '[m']]])/(2*TP_DATA[[#This Row],[t '[mm']]]/1000),"")</f>
        <v/>
      </c>
      <c r="CY129" s="124" t="str">
        <f>IFERROR(TOWER_DATA[[#This Row],[Top '[m']]]-TOWER_DATA[[#This Row],[Bottom '[m']]], "")</f>
        <v/>
      </c>
      <c r="CZ129" s="124" t="str">
        <f>IFERROR(-(TOWER_DATA[[#This Row],[D, bottom '[m']]]-TOWER_DATA[[#This Row],[D, top '[m']]])/(TOWER_DATA[[#This Row],[Bottom '[m']]]-TOWER_DATA[[#This Row],[Top '[m']]]),"")</f>
        <v/>
      </c>
      <c r="DA129" s="124" t="str">
        <f t="shared" si="7"/>
        <v/>
      </c>
      <c r="DB129" s="124" t="str">
        <f>IFERROR((TOWER_DATA[[#This Row],[D, bottom '[m']]]+TOWER_DATA[[#This Row],[D, top '[m']]])/(2*TOWER_DATA[[#This Row],[t '[mm']]]/1000),"")</f>
        <v/>
      </c>
      <c r="DD129" s="149"/>
      <c r="DE129" s="149"/>
      <c r="DF129" s="149"/>
      <c r="DG129" s="149"/>
      <c r="DH129" s="149"/>
      <c r="DI129" s="149"/>
      <c r="DJ129" s="149"/>
      <c r="DK129" s="149"/>
      <c r="DL129" s="149"/>
      <c r="ET129" s="124" t="str">
        <f t="shared" si="9"/>
        <v/>
      </c>
      <c r="EU129" s="124"/>
    </row>
    <row r="130" spans="5:151" ht="18" customHeight="1" x14ac:dyDescent="0.25">
      <c r="E130" s="157">
        <v>19</v>
      </c>
      <c r="F130" s="158">
        <v>-57.7</v>
      </c>
      <c r="G130" s="158">
        <v>-61.2</v>
      </c>
      <c r="H130" s="158">
        <v>9.8000000000000007</v>
      </c>
      <c r="I130" s="158">
        <v>9.8000000000000007</v>
      </c>
      <c r="J130" s="159">
        <v>81</v>
      </c>
      <c r="K130" s="167">
        <f>IFERROR(MP_DATA[[#This Row],[Bottom '[m']]]-MP_DATA[[#This Row],[D, top '[m']]], "")</f>
        <v>-71</v>
      </c>
      <c r="L130" s="123">
        <f>IFERROR(-(MP_DATA[[#This Row],[D, bottom '[m']]]-MP_DATA[[#This Row],[D, top '[m']]])/(MP_DATA[[#This Row],[Bottom '[m']]]-MP_DATA[[#This Row],[Top '[m']]]),"")</f>
        <v>0</v>
      </c>
      <c r="M130" s="123">
        <f>IF(7850/1000*(1/3)*PI()*ABS(F130-G130)*((H130/2)^2+(H130/2)*(I130/2)+(I130/2)^2-(H130/2-J130/1000)^2-(H130/2-J130/1000)*(I130/2-J130/1000)-(I130/2-J130/1000)^2)=0,"",7850/1000*(1/3)*PI()*ABS(F130-G130)*((H130/2)^2+(H130/2)*(I130/2)+(I130/2)^2-(H130/2-J130/1000)^2-(H130/2-J130/1000)*(I130/2-J130/1000)-(I130/2-J130/1000)^2))</f>
        <v>67.950737516557894</v>
      </c>
      <c r="N130" s="168">
        <f>IFERROR((MP_DATA[[#This Row],[D, bottom '[m']]]+MP_DATA[[#This Row],[D, top '[m']]])/(2*MP_DATA[[#This Row],[t '[mm']]]/1000),"")</f>
        <v>120.98765432098766</v>
      </c>
      <c r="BE130" s="124" t="str">
        <f>IFERROR(TP_DATA[[#This Row],[Bottom '[m']]]-TP_DATA[[#This Row],[D, top '[m']]], "")</f>
        <v/>
      </c>
      <c r="BF130" s="124" t="str">
        <f>IFERROR(-(TP_DATA[[#This Row],[D, bottom '[m']]]-TP_DATA[[#This Row],[D, top '[m']]])/(TP_DATA[[#This Row],[Bottom '[m']]]-TP_DATA[[#This Row],[Top '[m']]]),"")</f>
        <v/>
      </c>
      <c r="BG130" s="124" t="str">
        <f t="shared" si="8"/>
        <v/>
      </c>
      <c r="BH130" s="124" t="str">
        <f>IFERROR((TP_DATA[[#This Row],[D, bottom '[m']]]+TP_DATA[[#This Row],[D, top '[m']]])/(2*TP_DATA[[#This Row],[t '[mm']]]/1000),"")</f>
        <v/>
      </c>
      <c r="CY130" s="124" t="str">
        <f>IFERROR(TOWER_DATA[[#This Row],[Top '[m']]]-TOWER_DATA[[#This Row],[Bottom '[m']]], "")</f>
        <v/>
      </c>
      <c r="CZ130" s="124" t="str">
        <f>IFERROR(-(TOWER_DATA[[#This Row],[D, bottom '[m']]]-TOWER_DATA[[#This Row],[D, top '[m']]])/(TOWER_DATA[[#This Row],[Bottom '[m']]]-TOWER_DATA[[#This Row],[Top '[m']]]),"")</f>
        <v/>
      </c>
      <c r="DA130" s="124" t="str">
        <f t="shared" si="7"/>
        <v/>
      </c>
      <c r="DB130" s="124" t="str">
        <f>IFERROR((TOWER_DATA[[#This Row],[D, bottom '[m']]]+TOWER_DATA[[#This Row],[D, top '[m']]])/(2*TOWER_DATA[[#This Row],[t '[mm']]]/1000),"")</f>
        <v/>
      </c>
      <c r="DD130" s="149"/>
      <c r="DE130" s="149"/>
      <c r="DF130" s="149"/>
      <c r="DG130" s="149"/>
      <c r="DH130" s="149"/>
      <c r="DI130" s="149"/>
      <c r="DJ130" s="149"/>
      <c r="DK130" s="149"/>
      <c r="DL130" s="149"/>
      <c r="ET130" s="124" t="str">
        <f t="shared" si="9"/>
        <v/>
      </c>
      <c r="EU130" s="124"/>
    </row>
    <row r="131" spans="5:151" ht="18" customHeight="1" x14ac:dyDescent="0.25">
      <c r="E131" s="157">
        <v>20</v>
      </c>
      <c r="F131" s="158">
        <v>-61.2</v>
      </c>
      <c r="G131" s="158">
        <v>-64.7</v>
      </c>
      <c r="H131" s="158">
        <v>9.8000000000000007</v>
      </c>
      <c r="I131" s="158">
        <v>9.8000000000000007</v>
      </c>
      <c r="J131" s="159">
        <v>81</v>
      </c>
      <c r="K131" s="167">
        <f>IFERROR(MP_DATA[[#This Row],[Bottom '[m']]]-MP_DATA[[#This Row],[D, top '[m']]], "")</f>
        <v>-74.5</v>
      </c>
      <c r="L131" s="123">
        <f>IFERROR(-(MP_DATA[[#This Row],[D, bottom '[m']]]-MP_DATA[[#This Row],[D, top '[m']]])/(MP_DATA[[#This Row],[Bottom '[m']]]-MP_DATA[[#This Row],[Top '[m']]]),"")</f>
        <v>0</v>
      </c>
      <c r="M131" s="123">
        <f>IF(7850/1000*(1/3)*PI()*ABS(F131-G131)*((H131/2)^2+(H131/2)*(I131/2)+(I131/2)^2-(H131/2-J131/1000)^2-(H131/2-J131/1000)*(I131/2-J131/1000)-(I131/2-J131/1000)^2)=0,"",7850/1000*(1/3)*PI()*ABS(F131-G131)*((H131/2)^2+(H131/2)*(I131/2)+(I131/2)^2-(H131/2-J131/1000)^2-(H131/2-J131/1000)*(I131/2-J131/1000)-(I131/2-J131/1000)^2))</f>
        <v>67.950737516557894</v>
      </c>
      <c r="N131" s="168">
        <f>IFERROR((MP_DATA[[#This Row],[D, bottom '[m']]]+MP_DATA[[#This Row],[D, top '[m']]])/(2*MP_DATA[[#This Row],[t '[mm']]]/1000),"")</f>
        <v>120.98765432098766</v>
      </c>
      <c r="BE131" s="124" t="str">
        <f>IFERROR(TP_DATA[[#This Row],[Bottom '[m']]]-TP_DATA[[#This Row],[D, top '[m']]], "")</f>
        <v/>
      </c>
      <c r="BF131" s="124" t="str">
        <f>IFERROR(-(TP_DATA[[#This Row],[D, bottom '[m']]]-TP_DATA[[#This Row],[D, top '[m']]])/(TP_DATA[[#This Row],[Bottom '[m']]]-TP_DATA[[#This Row],[Top '[m']]]),"")</f>
        <v/>
      </c>
      <c r="BH131" s="124" t="str">
        <f>IFERROR((TP_DATA[[#This Row],[D, bottom '[m']]]+TP_DATA[[#This Row],[D, top '[m']]])/(2*TP_DATA[[#This Row],[t '[mm']]]/1000),"")</f>
        <v/>
      </c>
      <c r="CY131" s="124" t="str">
        <f>IFERROR(TOWER_DATA[[#This Row],[Top '[m']]]-TOWER_DATA[[#This Row],[Bottom '[m']]], "")</f>
        <v/>
      </c>
      <c r="CZ131" s="124" t="str">
        <f>IFERROR(-(TOWER_DATA[[#This Row],[D, bottom '[m']]]-TOWER_DATA[[#This Row],[D, top '[m']]])/(TOWER_DATA[[#This Row],[Bottom '[m']]]-TOWER_DATA[[#This Row],[Top '[m']]]),"")</f>
        <v/>
      </c>
      <c r="DA131" s="124" t="str">
        <f t="shared" si="7"/>
        <v/>
      </c>
      <c r="DB131" s="124" t="str">
        <f>IFERROR((TOWER_DATA[[#This Row],[D, bottom '[m']]]+TOWER_DATA[[#This Row],[D, top '[m']]])/(2*TOWER_DATA[[#This Row],[t '[mm']]]/1000),"")</f>
        <v/>
      </c>
      <c r="DD131" s="149"/>
      <c r="DE131" s="149"/>
      <c r="DF131" s="149"/>
      <c r="DG131" s="149"/>
      <c r="DH131" s="149"/>
      <c r="DI131" s="149"/>
      <c r="DJ131" s="149"/>
      <c r="DK131" s="149"/>
      <c r="DL131" s="149"/>
      <c r="ET131" s="124" t="str">
        <f t="shared" si="9"/>
        <v/>
      </c>
      <c r="EU131" s="124"/>
    </row>
    <row r="132" spans="5:151" ht="18" customHeight="1" x14ac:dyDescent="0.25">
      <c r="E132" s="157">
        <v>21</v>
      </c>
      <c r="F132" s="158">
        <v>-64.7</v>
      </c>
      <c r="G132" s="158">
        <v>-68.2</v>
      </c>
      <c r="H132" s="158">
        <v>9.8000000000000007</v>
      </c>
      <c r="I132" s="158">
        <v>9.8000000000000007</v>
      </c>
      <c r="J132" s="159">
        <v>87</v>
      </c>
      <c r="K132" s="167">
        <f>IFERROR(MP_DATA[[#This Row],[Bottom '[m']]]-MP_DATA[[#This Row],[D, top '[m']]], "")</f>
        <v>-78</v>
      </c>
      <c r="L132" s="123">
        <f>IFERROR(-(MP_DATA[[#This Row],[D, bottom '[m']]]-MP_DATA[[#This Row],[D, top '[m']]])/(MP_DATA[[#This Row],[Bottom '[m']]]-MP_DATA[[#This Row],[Top '[m']]]),"")</f>
        <v>0</v>
      </c>
      <c r="M132" s="123">
        <f>IF(7850/1000*(1/3)*PI()*ABS(F132-G132)*((H132/2)^2+(H132/2)*(I132/2)+(I132/2)^2-(H132/2-J132/1000)^2-(H132/2-J132/1000)*(I132/2-J132/1000)-(I132/2-J132/1000)^2)=0,"",7850/1000*(1/3)*PI()*ABS(F132-G132)*((H132/2)^2+(H132/2)*(I132/2)+(I132/2)^2-(H132/2-J132/1000)^2-(H132/2-J132/1000)*(I132/2-J132/1000)-(I132/2-J132/1000)^2))</f>
        <v>72.9390689159885</v>
      </c>
      <c r="N132" s="168">
        <f>IFERROR((MP_DATA[[#This Row],[D, bottom '[m']]]+MP_DATA[[#This Row],[D, top '[m']]])/(2*MP_DATA[[#This Row],[t '[mm']]]/1000),"")</f>
        <v>112.64367816091955</v>
      </c>
      <c r="BE132" s="124" t="str">
        <f>IFERROR(TP_DATA[[#This Row],[Bottom '[m']]]-TP_DATA[[#This Row],[D, top '[m']]], "")</f>
        <v/>
      </c>
      <c r="BF132" s="124" t="str">
        <f>IFERROR(-(TP_DATA[[#This Row],[D, bottom '[m']]]-TP_DATA[[#This Row],[D, top '[m']]])/(TP_DATA[[#This Row],[Bottom '[m']]]-TP_DATA[[#This Row],[Top '[m']]]),"")</f>
        <v/>
      </c>
      <c r="BH132" s="124" t="str">
        <f>IFERROR((TP_DATA[[#This Row],[D, bottom '[m']]]+TP_DATA[[#This Row],[D, top '[m']]])/(2*TP_DATA[[#This Row],[t '[mm']]]/1000),"")</f>
        <v/>
      </c>
      <c r="CY132" s="124" t="str">
        <f>IFERROR(TOWER_DATA[[#This Row],[Top '[m']]]-TOWER_DATA[[#This Row],[Bottom '[m']]], "")</f>
        <v/>
      </c>
      <c r="CZ132" s="124" t="str">
        <f>IFERROR(-(TOWER_DATA[[#This Row],[D, bottom '[m']]]-TOWER_DATA[[#This Row],[D, top '[m']]])/(TOWER_DATA[[#This Row],[Bottom '[m']]]-TOWER_DATA[[#This Row],[Top '[m']]]),"")</f>
        <v/>
      </c>
      <c r="DA132" s="124" t="str">
        <f t="shared" si="7"/>
        <v/>
      </c>
      <c r="DB132" s="124" t="str">
        <f>IFERROR((TOWER_DATA[[#This Row],[D, bottom '[m']]]+TOWER_DATA[[#This Row],[D, top '[m']]])/(2*TOWER_DATA[[#This Row],[t '[mm']]]/1000),"")</f>
        <v/>
      </c>
      <c r="DD132" s="149"/>
      <c r="DE132" s="149"/>
      <c r="DF132" s="149"/>
      <c r="DG132" s="149"/>
      <c r="DH132" s="149"/>
      <c r="DI132" s="149"/>
      <c r="DJ132" s="149"/>
      <c r="DK132" s="149"/>
      <c r="DL132" s="149"/>
      <c r="ET132" s="124" t="str">
        <f t="shared" si="9"/>
        <v/>
      </c>
      <c r="EU132" s="124"/>
    </row>
    <row r="133" spans="5:151" ht="18" customHeight="1" x14ac:dyDescent="0.25">
      <c r="E133" s="157">
        <v>22</v>
      </c>
      <c r="F133" s="158">
        <v>-68.2</v>
      </c>
      <c r="G133" s="140">
        <v>-80</v>
      </c>
      <c r="H133" s="158">
        <v>9.8000000000000007</v>
      </c>
      <c r="I133" s="158">
        <v>9.8000000000000007</v>
      </c>
      <c r="J133" s="159">
        <v>95</v>
      </c>
      <c r="K133" s="167">
        <f>IFERROR(MP_DATA[[#This Row],[Bottom '[m']]]-MP_DATA[[#This Row],[D, top '[m']]], "")</f>
        <v>-89.8</v>
      </c>
      <c r="L133" s="123">
        <f>IFERROR(-(MP_DATA[[#This Row],[D, bottom '[m']]]-MP_DATA[[#This Row],[D, top '[m']]])/(MP_DATA[[#This Row],[Bottom '[m']]]-MP_DATA[[#This Row],[Top '[m']]]),"")</f>
        <v>0</v>
      </c>
      <c r="M133" s="123">
        <f>IF(7850/1000*(1/3)*PI()*ABS(F133-G133)*((H133/2)^2+(H133/2)*(I133/2)+(I133/2)^2-(H133/2-J133/1000)^2-(H133/2-J133/1000)*(I133/2-J133/1000)-(I133/2-J133/1000)^2)=0,"",7850/1000*(1/3)*PI()*ABS(F133-G133)*((H133/2)^2+(H133/2)*(I133/2)+(I133/2)^2-(H133/2-J133/1000)^2-(H133/2-J133/1000)*(I133/2-J133/1000)-(I133/2-J133/1000)^2))</f>
        <v>268.3000056136774</v>
      </c>
      <c r="N133" s="168">
        <f>IFERROR((MP_DATA[[#This Row],[D, bottom '[m']]]+MP_DATA[[#This Row],[D, top '[m']]])/(2*MP_DATA[[#This Row],[t '[mm']]]/1000),"")</f>
        <v>103.15789473684211</v>
      </c>
      <c r="BE133" s="124" t="str">
        <f>IFERROR(TP_DATA[[#This Row],[Bottom '[m']]]-TP_DATA[[#This Row],[D, top '[m']]], "")</f>
        <v/>
      </c>
      <c r="BF133" s="124" t="str">
        <f>IFERROR(-(TP_DATA[[#This Row],[D, bottom '[m']]]-TP_DATA[[#This Row],[D, top '[m']]])/(TP_DATA[[#This Row],[Bottom '[m']]]-TP_DATA[[#This Row],[Top '[m']]]),"")</f>
        <v/>
      </c>
      <c r="BH133" s="124" t="str">
        <f>IFERROR((TP_DATA[[#This Row],[D, bottom '[m']]]+TP_DATA[[#This Row],[D, top '[m']]])/(2*TP_DATA[[#This Row],[t '[mm']]]/1000),"")</f>
        <v/>
      </c>
      <c r="CY133" s="124" t="str">
        <f>IFERROR(TOWER_DATA[[#This Row],[Top '[m']]]-TOWER_DATA[[#This Row],[Bottom '[m']]], "")</f>
        <v/>
      </c>
      <c r="CZ133" s="124" t="str">
        <f>IFERROR(-(TOWER_DATA[[#This Row],[D, bottom '[m']]]-TOWER_DATA[[#This Row],[D, top '[m']]])/(TOWER_DATA[[#This Row],[Bottom '[m']]]-TOWER_DATA[[#This Row],[Top '[m']]]),"")</f>
        <v/>
      </c>
      <c r="DB133" s="124" t="str">
        <f>IFERROR((TOWER_DATA[[#This Row],[D, bottom '[m']]]+TOWER_DATA[[#This Row],[D, top '[m']]])/(2*TOWER_DATA[[#This Row],[t '[mm']]]/1000),"")</f>
        <v/>
      </c>
      <c r="DD133" s="149"/>
      <c r="DE133" s="149"/>
      <c r="DF133" s="149"/>
      <c r="DG133" s="149"/>
      <c r="DH133" s="149"/>
      <c r="DI133" s="149"/>
      <c r="DJ133" s="149"/>
      <c r="DK133" s="149"/>
      <c r="DL133" s="149"/>
      <c r="ET133" s="124" t="str">
        <f t="shared" si="9"/>
        <v/>
      </c>
      <c r="EU133" s="124"/>
    </row>
    <row r="134" spans="5:151" ht="18" customHeight="1" x14ac:dyDescent="0.25">
      <c r="E134" s="157"/>
      <c r="F134" s="158"/>
      <c r="G134" s="158"/>
      <c r="H134" s="158"/>
      <c r="I134" s="158"/>
      <c r="J134" s="159"/>
      <c r="K134" s="180" t="str">
        <f>IFERROR(MP_DATA[[#This Row],[Bottom '[m']]]-MP_DATA[[#This Row],[D, top '[m']]], "")</f>
        <v/>
      </c>
      <c r="L134" s="147" t="str">
        <f>IFERROR(-(MP_DATA[[#This Row],[D, bottom '[m']]]-MP_DATA[[#This Row],[D, top '[m']]])/(MP_DATA[[#This Row],[Bottom '[m']]]-MP_DATA[[#This Row],[Top '[m']]]),"")</f>
        <v/>
      </c>
      <c r="M134" s="123" t="str">
        <f>IF(7850/1000*(1/3)*PI()*ABS(F134-G134)*((H134/2)^2+(H134/2)*(I134/2)+(I134/2)^2-(H134/2-J134/1000)^2-(H134/2-J134/1000)*(I134/2-J134/1000)-(I134/2-J134/1000)^2)=0,"",7850/1000*(1/3)*PI()*ABS(F134-G134)*((H134/2)^2+(H134/2)*(I134/2)+(I134/2)^2-(H134/2-J134/1000)^2-(H134/2-J134/1000)*(I134/2-J134/1000)-(I134/2-J134/1000)^2))</f>
        <v/>
      </c>
      <c r="N134" s="181" t="str">
        <f>IFERROR((MP_DATA[[#This Row],[D, bottom '[m']]]+MP_DATA[[#This Row],[D, top '[m']]])/(2*MP_DATA[[#This Row],[t '[mm']]]/1000),"")</f>
        <v/>
      </c>
      <c r="BE134" s="124" t="str">
        <f>IFERROR(TP_DATA[[#This Row],[Bottom '[m']]]-TP_DATA[[#This Row],[D, top '[m']]], "")</f>
        <v/>
      </c>
      <c r="BF134" s="124" t="str">
        <f>IFERROR(-(TP_DATA[[#This Row],[D, bottom '[m']]]-TP_DATA[[#This Row],[D, top '[m']]])/(TP_DATA[[#This Row],[Bottom '[m']]]-TP_DATA[[#This Row],[Top '[m']]]),"")</f>
        <v/>
      </c>
      <c r="BH134" s="124" t="str">
        <f>IFERROR((TP_DATA[[#This Row],[D, bottom '[m']]]+TP_DATA[[#This Row],[D, top '[m']]])/(2*TP_DATA[[#This Row],[t '[mm']]]/1000),"")</f>
        <v/>
      </c>
      <c r="CY134" s="124" t="str">
        <f>IFERROR(TOWER_DATA[[#This Row],[Top '[m']]]-TOWER_DATA[[#This Row],[Bottom '[m']]], "")</f>
        <v/>
      </c>
      <c r="CZ134" s="124" t="str">
        <f>IFERROR(-(TOWER_DATA[[#This Row],[D, bottom '[m']]]-TOWER_DATA[[#This Row],[D, top '[m']]])/(TOWER_DATA[[#This Row],[Bottom '[m']]]-TOWER_DATA[[#This Row],[Top '[m']]]),"")</f>
        <v/>
      </c>
      <c r="DB134" s="124" t="str">
        <f>IFERROR((TOWER_DATA[[#This Row],[D, bottom '[m']]]+TOWER_DATA[[#This Row],[D, top '[m']]])/(2*TOWER_DATA[[#This Row],[t '[mm']]]/1000),"")</f>
        <v/>
      </c>
      <c r="DD134" s="149"/>
      <c r="DE134" s="149"/>
      <c r="DF134" s="149"/>
      <c r="DG134" s="149"/>
      <c r="DH134" s="149"/>
      <c r="DI134" s="149"/>
      <c r="DJ134" s="149"/>
      <c r="DK134" s="149"/>
      <c r="DL134" s="149"/>
    </row>
    <row r="135" spans="5:151" ht="18" customHeight="1" x14ac:dyDescent="0.25">
      <c r="K135" s="169" t="str">
        <f>IFERROR(MP_DATA[[#This Row],[Bottom '[m']]]-MP_DATA[[#This Row],[D, top '[m']]], "")</f>
        <v/>
      </c>
      <c r="L135" s="124" t="str">
        <f>IFERROR(-(MP_DATA[[#This Row],[D, bottom '[m']]]-MP_DATA[[#This Row],[D, top '[m']]])/(MP_DATA[[#This Row],[Bottom '[m']]]-MP_DATA[[#This Row],[Top '[m']]]),"")</f>
        <v/>
      </c>
      <c r="M135" s="123" t="str">
        <f>IF(7850/1000*(1/3)*PI()*ABS(F135-G135)*((H135/2)^2+(H135/2)*(I135/2)+(I135/2)^2-(H135/2-J135/1000)^2-(H135/2-J135/1000)*(I135/2-J135/1000)-(I135/2-J135/1000)^2)=0,"",7850/1000*(1/3)*PI()*ABS(F135-G135)*((H135/2)^2+(H135/2)*(I135/2)+(I135/2)^2-(H135/2-J135/1000)^2-(H135/2-J135/1000)*(I135/2-J135/1000)-(I135/2-J135/1000)^2))</f>
        <v/>
      </c>
      <c r="N135" s="170" t="str">
        <f>IFERROR((MP_DATA[[#This Row],[D, bottom '[m']]]+MP_DATA[[#This Row],[D, top '[m']]])/(2*MP_DATA[[#This Row],[t '[mm']]]/1000),"")</f>
        <v/>
      </c>
      <c r="BE135" s="124" t="str">
        <f>IFERROR(TP_DATA[[#This Row],[Bottom '[m']]]-TP_DATA[[#This Row],[D, top '[m']]], "")</f>
        <v/>
      </c>
      <c r="BF135" s="124" t="str">
        <f>IFERROR(-(TP_DATA[[#This Row],[D, bottom '[m']]]-TP_DATA[[#This Row],[D, top '[m']]])/(TP_DATA[[#This Row],[Bottom '[m']]]-TP_DATA[[#This Row],[Top '[m']]]),"")</f>
        <v/>
      </c>
      <c r="BH135" s="124" t="str">
        <f>IFERROR((TP_DATA[[#This Row],[D, bottom '[m']]]+TP_DATA[[#This Row],[D, top '[m']]])/(2*TP_DATA[[#This Row],[t '[mm']]]/1000),"")</f>
        <v/>
      </c>
      <c r="CY135" s="124" t="str">
        <f>IFERROR(TOWER_DATA[[#This Row],[Top '[m']]]-TOWER_DATA[[#This Row],[Bottom '[m']]], "")</f>
        <v/>
      </c>
      <c r="CZ135" s="124" t="str">
        <f>IFERROR(-(TOWER_DATA[[#This Row],[D, bottom '[m']]]-TOWER_DATA[[#This Row],[D, top '[m']]])/(TOWER_DATA[[#This Row],[Bottom '[m']]]-TOWER_DATA[[#This Row],[Top '[m']]]),"")</f>
        <v/>
      </c>
      <c r="DB135" s="124" t="str">
        <f>IFERROR((TOWER_DATA[[#This Row],[D, bottom '[m']]]+TOWER_DATA[[#This Row],[D, top '[m']]])/(2*TOWER_DATA[[#This Row],[t '[mm']]]/1000),"")</f>
        <v/>
      </c>
      <c r="DD135" s="149"/>
      <c r="DE135" s="149"/>
      <c r="DF135" s="149"/>
      <c r="DG135" s="149"/>
      <c r="DH135" s="149"/>
      <c r="DI135" s="149"/>
      <c r="DJ135" s="149"/>
      <c r="DK135" s="149"/>
      <c r="DL135" s="149"/>
    </row>
    <row r="136" spans="5:151" ht="18" customHeight="1" x14ac:dyDescent="0.25">
      <c r="K136" s="169" t="str">
        <f>IFERROR(MP_DATA[[#This Row],[Bottom '[m']]]-MP_DATA[[#This Row],[D, top '[m']]], "")</f>
        <v/>
      </c>
      <c r="L136" s="124" t="str">
        <f>IFERROR(-(MP_DATA[[#This Row],[D, bottom '[m']]]-MP_DATA[[#This Row],[D, top '[m']]])/(MP_DATA[[#This Row],[Bottom '[m']]]-MP_DATA[[#This Row],[Top '[m']]]),"")</f>
        <v/>
      </c>
      <c r="M136" s="123" t="str">
        <f>IF(7850/1000*(1/3)*PI()*ABS(F136-G136)*((H136/2)^2+(H136/2)*(I136/2)+(I136/2)^2-(H136/2-J136/1000)^2-(H136/2-J136/1000)*(I136/2-J136/1000)-(I136/2-J136/1000)^2)=0,"",7850/1000*(1/3)*PI()*ABS(F136-G136)*((H136/2)^2+(H136/2)*(I136/2)+(I136/2)^2-(H136/2-J136/1000)^2-(H136/2-J136/1000)*(I136/2-J136/1000)-(I136/2-J136/1000)^2))</f>
        <v/>
      </c>
      <c r="N136" s="170" t="str">
        <f>IFERROR((MP_DATA[[#This Row],[D, bottom '[m']]]+MP_DATA[[#This Row],[D, top '[m']]])/(2*MP_DATA[[#This Row],[t '[mm']]]/1000),"")</f>
        <v/>
      </c>
      <c r="BE136" s="124" t="str">
        <f>IFERROR(TP_DATA[[#This Row],[Bottom '[m']]]-TP_DATA[[#This Row],[D, top '[m']]], "")</f>
        <v/>
      </c>
      <c r="BF136" s="124" t="str">
        <f>IFERROR(-(TP_DATA[[#This Row],[D, bottom '[m']]]-TP_DATA[[#This Row],[D, top '[m']]])/(TP_DATA[[#This Row],[Bottom '[m']]]-TP_DATA[[#This Row],[Top '[m']]]),"")</f>
        <v/>
      </c>
      <c r="BH136" s="124" t="str">
        <f>IFERROR((TP_DATA[[#This Row],[D, bottom '[m']]]+TP_DATA[[#This Row],[D, top '[m']]])/(2*TP_DATA[[#This Row],[t '[mm']]]/1000),"")</f>
        <v/>
      </c>
      <c r="CY136" s="124" t="str">
        <f>IFERROR(TOWER_DATA[[#This Row],[Top '[m']]]-TOWER_DATA[[#This Row],[Bottom '[m']]], "")</f>
        <v/>
      </c>
      <c r="CZ136" s="124" t="str">
        <f>IFERROR(-(TOWER_DATA[[#This Row],[D, bottom '[m']]]-TOWER_DATA[[#This Row],[D, top '[m']]])/(TOWER_DATA[[#This Row],[Bottom '[m']]]-TOWER_DATA[[#This Row],[Top '[m']]]),"")</f>
        <v/>
      </c>
      <c r="DB136" s="124" t="str">
        <f>IFERROR((TOWER_DATA[[#This Row],[D, bottom '[m']]]+TOWER_DATA[[#This Row],[D, top '[m']]])/(2*TOWER_DATA[[#This Row],[t '[mm']]]/1000),"")</f>
        <v/>
      </c>
      <c r="DD136" s="149"/>
      <c r="DE136" s="149"/>
      <c r="DF136" s="149"/>
      <c r="DG136" s="149"/>
      <c r="DH136" s="149"/>
      <c r="DI136" s="149"/>
      <c r="DJ136" s="149"/>
      <c r="DK136" s="149"/>
      <c r="DL136" s="149"/>
    </row>
    <row r="137" spans="5:151" ht="18" customHeight="1" x14ac:dyDescent="0.25">
      <c r="K137" s="169" t="str">
        <f>IFERROR(MP_DATA[[#This Row],[Bottom '[m']]]-MP_DATA[[#This Row],[D, top '[m']]], "")</f>
        <v/>
      </c>
      <c r="M137" s="123" t="str">
        <f>IF(7850/1000*(1/3)*PI()*ABS(F137-G137)*((H137/2)^2+(H137/2)*(I137/2)+(I137/2)^2-(H137/2-J137/1000)^2-(H137/2-J137/1000)*(I137/2-J137/1000)-(I137/2-J137/1000)^2)=0,"",7850/1000*(1/3)*PI()*ABS(F137-G137)*((H137/2)^2+(H137/2)*(I137/2)+(I137/2)^2-(H137/2-J137/1000)^2-(H137/2-J137/1000)*(I137/2-J137/1000)-(I137/2-J137/1000)^2))</f>
        <v/>
      </c>
      <c r="N137" s="170" t="str">
        <f>IFERROR((MP_DATA[[#This Row],[D, bottom '[m']]]+MP_DATA[[#This Row],[D, top '[m']]])/(2*MP_DATA[[#This Row],[t '[mm']]]/1000),"")</f>
        <v/>
      </c>
      <c r="CJ137" s="124"/>
      <c r="CK137" s="124"/>
      <c r="CL137" s="124"/>
      <c r="CM137" s="124"/>
      <c r="DD137" s="149"/>
      <c r="DE137" s="149"/>
      <c r="DF137" s="149"/>
      <c r="DG137" s="149"/>
      <c r="DH137" s="149"/>
      <c r="DI137" s="149"/>
      <c r="DJ137" s="149"/>
      <c r="DK137" s="149"/>
      <c r="DL137" s="149"/>
    </row>
    <row r="138" spans="5:151" ht="18" customHeight="1" x14ac:dyDescent="0.25">
      <c r="CJ138" s="124"/>
      <c r="CK138" s="124"/>
      <c r="CL138" s="124"/>
      <c r="CM138" s="124"/>
      <c r="DD138" s="149"/>
      <c r="DE138" s="149"/>
      <c r="DF138" s="149"/>
      <c r="DG138" s="149"/>
      <c r="DH138" s="149"/>
      <c r="DI138" s="149"/>
      <c r="DJ138" s="149"/>
      <c r="DK138" s="149"/>
      <c r="DL138" s="149"/>
    </row>
    <row r="139" spans="5:151" ht="18" customHeight="1" x14ac:dyDescent="0.25">
      <c r="DD139" s="149"/>
      <c r="DE139" s="149"/>
      <c r="DF139" s="149"/>
      <c r="DG139" s="149"/>
      <c r="DH139" s="149"/>
      <c r="DI139" s="149"/>
      <c r="DJ139" s="149"/>
      <c r="DK139" s="149"/>
      <c r="DL139" s="149"/>
    </row>
    <row r="140" spans="5:151" ht="18" customHeight="1" x14ac:dyDescent="0.25">
      <c r="DD140" s="149"/>
      <c r="DE140" s="149"/>
      <c r="DF140" s="149"/>
      <c r="DG140" s="149"/>
      <c r="DH140" s="149"/>
      <c r="DI140" s="149"/>
      <c r="DJ140" s="149"/>
      <c r="DK140" s="149"/>
      <c r="DL140" s="149"/>
    </row>
    <row r="141" spans="5:151" ht="18" customHeight="1" x14ac:dyDescent="0.25">
      <c r="DD141" s="149"/>
      <c r="DE141" s="149"/>
      <c r="DF141" s="149"/>
      <c r="DG141" s="149"/>
      <c r="DH141" s="149"/>
      <c r="DI141" s="149"/>
      <c r="DJ141" s="149"/>
      <c r="DK141" s="149"/>
      <c r="DL141" s="149"/>
    </row>
    <row r="142" spans="5:151" ht="18" customHeight="1" x14ac:dyDescent="0.25">
      <c r="DD142" s="149"/>
      <c r="DE142" s="149"/>
      <c r="DF142" s="149"/>
      <c r="DG142" s="149"/>
      <c r="DH142" s="149"/>
      <c r="DI142" s="149"/>
      <c r="DJ142" s="149"/>
      <c r="DK142" s="149"/>
      <c r="DL142" s="149"/>
    </row>
    <row r="143" spans="5:151" ht="18" customHeight="1" x14ac:dyDescent="0.25">
      <c r="DD143" s="149"/>
      <c r="DE143" s="149"/>
      <c r="DF143" s="149"/>
      <c r="DG143" s="149"/>
      <c r="DH143" s="149"/>
      <c r="DI143" s="149"/>
      <c r="DJ143" s="149"/>
      <c r="DK143" s="149"/>
      <c r="DL143" s="149"/>
    </row>
    <row r="144" spans="5:151" ht="18" customHeight="1" x14ac:dyDescent="0.25">
      <c r="DD144" s="149"/>
      <c r="DE144" s="149"/>
      <c r="DF144" s="149"/>
      <c r="DG144" s="149"/>
      <c r="DH144" s="149"/>
      <c r="DI144" s="149"/>
      <c r="DJ144" s="149"/>
      <c r="DK144" s="149"/>
      <c r="DL144" s="149"/>
    </row>
    <row r="145" spans="108:116" ht="18" customHeight="1" x14ac:dyDescent="0.25">
      <c r="DD145" s="149"/>
      <c r="DE145" s="149"/>
      <c r="DF145" s="149"/>
      <c r="DG145" s="149"/>
      <c r="DH145" s="149"/>
      <c r="DI145" s="149"/>
      <c r="DJ145" s="149"/>
      <c r="DK145" s="149"/>
      <c r="DL145" s="149"/>
    </row>
    <row r="146" spans="108:116" ht="18" customHeight="1" x14ac:dyDescent="0.25">
      <c r="DD146" s="149"/>
      <c r="DE146" s="149"/>
      <c r="DF146" s="149"/>
      <c r="DG146" s="149"/>
      <c r="DH146" s="149"/>
      <c r="DI146" s="149"/>
      <c r="DJ146" s="149"/>
      <c r="DK146" s="149"/>
      <c r="DL146" s="149"/>
    </row>
    <row r="147" spans="108:116" ht="18" customHeight="1" x14ac:dyDescent="0.25">
      <c r="DD147" s="149"/>
      <c r="DE147" s="149"/>
      <c r="DF147" s="149"/>
      <c r="DG147" s="149"/>
      <c r="DH147" s="149"/>
      <c r="DI147" s="149"/>
      <c r="DJ147" s="149"/>
      <c r="DK147" s="149"/>
      <c r="DL147" s="149"/>
    </row>
    <row r="148" spans="108:116" ht="18" customHeight="1" x14ac:dyDescent="0.25">
      <c r="DD148" s="149"/>
      <c r="DE148" s="149"/>
      <c r="DF148" s="149"/>
      <c r="DG148" s="149"/>
      <c r="DH148" s="149"/>
      <c r="DI148" s="149"/>
      <c r="DJ148" s="149"/>
      <c r="DK148" s="149"/>
      <c r="DL148" s="149"/>
    </row>
    <row r="149" spans="108:116" ht="18" customHeight="1" x14ac:dyDescent="0.25">
      <c r="DD149" s="149"/>
      <c r="DE149" s="149"/>
      <c r="DF149" s="149"/>
      <c r="DG149" s="149"/>
      <c r="DH149" s="149"/>
      <c r="DI149" s="149"/>
      <c r="DJ149" s="149"/>
      <c r="DK149" s="149"/>
      <c r="DL149" s="149"/>
    </row>
    <row r="150" spans="108:116" ht="18" customHeight="1" x14ac:dyDescent="0.25">
      <c r="DD150" s="149"/>
      <c r="DE150" s="149"/>
      <c r="DF150" s="149"/>
      <c r="DG150" s="149"/>
      <c r="DH150" s="149"/>
      <c r="DI150" s="149"/>
      <c r="DJ150" s="149"/>
      <c r="DK150" s="149"/>
      <c r="DL150" s="149"/>
    </row>
    <row r="151" spans="108:116" ht="18" customHeight="1" x14ac:dyDescent="0.25">
      <c r="DD151" s="149"/>
      <c r="DE151" s="149"/>
      <c r="DF151" s="149"/>
      <c r="DG151" s="149"/>
      <c r="DH151" s="149"/>
      <c r="DI151" s="149"/>
      <c r="DJ151" s="149"/>
      <c r="DK151" s="149"/>
      <c r="DL151" s="149"/>
    </row>
    <row r="152" spans="108:116" ht="18" customHeight="1" x14ac:dyDescent="0.25">
      <c r="DD152" s="149"/>
      <c r="DE152" s="149"/>
      <c r="DF152" s="149"/>
      <c r="DG152" s="149"/>
      <c r="DH152" s="149"/>
      <c r="DI152" s="149"/>
      <c r="DJ152" s="149"/>
      <c r="DK152" s="149"/>
      <c r="DL152" s="149"/>
    </row>
    <row r="153" spans="108:116" ht="18" customHeight="1" x14ac:dyDescent="0.25">
      <c r="DD153" s="149"/>
      <c r="DE153" s="149"/>
      <c r="DF153" s="149"/>
      <c r="DG153" s="149"/>
      <c r="DH153" s="149"/>
      <c r="DI153" s="149"/>
      <c r="DJ153" s="149"/>
      <c r="DK153" s="149"/>
      <c r="DL153" s="149"/>
    </row>
    <row r="154" spans="108:116" ht="18" customHeight="1" x14ac:dyDescent="0.25">
      <c r="DD154" s="149"/>
      <c r="DE154" s="149"/>
      <c r="DF154" s="149"/>
      <c r="DG154" s="149"/>
      <c r="DH154" s="149"/>
      <c r="DI154" s="149"/>
      <c r="DJ154" s="149"/>
      <c r="DK154" s="149"/>
      <c r="DL154" s="149"/>
    </row>
    <row r="155" spans="108:116" ht="18" customHeight="1" x14ac:dyDescent="0.25">
      <c r="DD155" s="149"/>
      <c r="DE155" s="149"/>
      <c r="DF155" s="149"/>
      <c r="DG155" s="149"/>
      <c r="DH155" s="149"/>
      <c r="DI155" s="149"/>
      <c r="DJ155" s="149"/>
      <c r="DK155" s="149"/>
      <c r="DL155" s="149"/>
    </row>
    <row r="156" spans="108:116" ht="18" customHeight="1" x14ac:dyDescent="0.25">
      <c r="DD156" s="149"/>
      <c r="DE156" s="149"/>
      <c r="DF156" s="149"/>
      <c r="DG156" s="149"/>
      <c r="DH156" s="149"/>
      <c r="DI156" s="149"/>
      <c r="DJ156" s="149"/>
      <c r="DK156" s="149"/>
      <c r="DL156" s="149"/>
    </row>
    <row r="157" spans="108:116" ht="18" customHeight="1" x14ac:dyDescent="0.25">
      <c r="DD157" s="149"/>
      <c r="DE157" s="149"/>
      <c r="DF157" s="149"/>
      <c r="DG157" s="149"/>
      <c r="DH157" s="149"/>
      <c r="DI157" s="149"/>
      <c r="DJ157" s="149"/>
      <c r="DK157" s="149"/>
      <c r="DL157" s="149"/>
    </row>
    <row r="158" spans="108:116" ht="18" customHeight="1" x14ac:dyDescent="0.25">
      <c r="DD158" s="149"/>
      <c r="DE158" s="149"/>
      <c r="DF158" s="149"/>
      <c r="DG158" s="149"/>
      <c r="DH158" s="149"/>
      <c r="DI158" s="149"/>
      <c r="DJ158" s="149"/>
      <c r="DK158" s="149"/>
      <c r="DL158" s="149"/>
    </row>
    <row r="159" spans="108:116" ht="18" customHeight="1" x14ac:dyDescent="0.25">
      <c r="DD159" s="149"/>
      <c r="DE159" s="149"/>
      <c r="DF159" s="149"/>
      <c r="DG159" s="149"/>
      <c r="DH159" s="149"/>
      <c r="DI159" s="149"/>
      <c r="DJ159" s="149"/>
      <c r="DK159" s="149"/>
      <c r="DL159" s="149"/>
    </row>
    <row r="160" spans="108:116" ht="18" customHeight="1" x14ac:dyDescent="0.25">
      <c r="DD160" s="149"/>
      <c r="DE160" s="149"/>
      <c r="DF160" s="149"/>
      <c r="DG160" s="149"/>
      <c r="DH160" s="149"/>
      <c r="DI160" s="149"/>
      <c r="DJ160" s="149"/>
      <c r="DK160" s="149"/>
      <c r="DL160" s="149"/>
    </row>
    <row r="161" spans="108:116" ht="18" customHeight="1" x14ac:dyDescent="0.25">
      <c r="DD161" s="149"/>
      <c r="DE161" s="149"/>
      <c r="DF161" s="149"/>
      <c r="DG161" s="149"/>
      <c r="DH161" s="149"/>
      <c r="DI161" s="149"/>
      <c r="DJ161" s="149"/>
      <c r="DK161" s="149"/>
      <c r="DL161" s="149"/>
    </row>
    <row r="162" spans="108:116" ht="18" customHeight="1" x14ac:dyDescent="0.25">
      <c r="DD162" s="149"/>
      <c r="DE162" s="149"/>
      <c r="DF162" s="149"/>
      <c r="DG162" s="149"/>
      <c r="DH162" s="149"/>
      <c r="DI162" s="149"/>
      <c r="DJ162" s="149"/>
      <c r="DK162" s="149"/>
      <c r="DL162" s="149"/>
    </row>
    <row r="163" spans="108:116" ht="18" customHeight="1" x14ac:dyDescent="0.25">
      <c r="DD163" s="149"/>
      <c r="DE163" s="149"/>
      <c r="DF163" s="149"/>
      <c r="DG163" s="149"/>
      <c r="DH163" s="149"/>
      <c r="DI163" s="149"/>
      <c r="DJ163" s="149"/>
      <c r="DK163" s="149"/>
      <c r="DL163" s="149"/>
    </row>
    <row r="164" spans="108:116" ht="18" customHeight="1" x14ac:dyDescent="0.25">
      <c r="DD164" s="149"/>
      <c r="DE164" s="149"/>
      <c r="DF164" s="149"/>
      <c r="DG164" s="149"/>
      <c r="DH164" s="149"/>
      <c r="DI164" s="149"/>
      <c r="DJ164" s="149"/>
      <c r="DK164" s="149"/>
      <c r="DL164" s="149"/>
    </row>
    <row r="165" spans="108:116" ht="18" customHeight="1" x14ac:dyDescent="0.25">
      <c r="DD165" s="149"/>
      <c r="DE165" s="149"/>
      <c r="DF165" s="149"/>
      <c r="DG165" s="149"/>
      <c r="DH165" s="149"/>
      <c r="DI165" s="149"/>
      <c r="DJ165" s="149"/>
      <c r="DK165" s="149"/>
      <c r="DL165" s="149"/>
    </row>
    <row r="166" spans="108:116" ht="18" customHeight="1" x14ac:dyDescent="0.25">
      <c r="DD166" s="149"/>
      <c r="DE166" s="149"/>
      <c r="DF166" s="149"/>
      <c r="DG166" s="149"/>
      <c r="DH166" s="149"/>
      <c r="DI166" s="149"/>
      <c r="DJ166" s="149"/>
      <c r="DK166" s="149"/>
      <c r="DL166" s="149"/>
    </row>
    <row r="167" spans="108:116" ht="18" customHeight="1" x14ac:dyDescent="0.25">
      <c r="DD167" s="149"/>
      <c r="DE167" s="149"/>
      <c r="DF167" s="149"/>
      <c r="DG167" s="149"/>
      <c r="DH167" s="149"/>
      <c r="DI167" s="149"/>
      <c r="DJ167" s="149"/>
      <c r="DK167" s="149"/>
      <c r="DL167" s="149"/>
    </row>
    <row r="168" spans="108:116" ht="18" customHeight="1" x14ac:dyDescent="0.25">
      <c r="DD168" s="149"/>
      <c r="DE168" s="149"/>
      <c r="DF168" s="149"/>
      <c r="DG168" s="149"/>
      <c r="DH168" s="149"/>
      <c r="DI168" s="149"/>
      <c r="DJ168" s="149"/>
      <c r="DK168" s="149"/>
      <c r="DL168" s="149"/>
    </row>
    <row r="169" spans="108:116" ht="18" customHeight="1" x14ac:dyDescent="0.25">
      <c r="DD169" s="149"/>
      <c r="DE169" s="149"/>
      <c r="DF169" s="149"/>
      <c r="DG169" s="149"/>
      <c r="DH169" s="149"/>
      <c r="DI169" s="149"/>
      <c r="DJ169" s="149"/>
      <c r="DK169" s="149"/>
      <c r="DL169" s="149"/>
    </row>
    <row r="170" spans="108:116" ht="18" customHeight="1" x14ac:dyDescent="0.25">
      <c r="DD170" s="149"/>
      <c r="DE170" s="149"/>
      <c r="DF170" s="149"/>
      <c r="DG170" s="149"/>
      <c r="DH170" s="149"/>
      <c r="DI170" s="149"/>
      <c r="DJ170" s="149"/>
      <c r="DK170" s="149"/>
      <c r="DL170" s="149"/>
    </row>
    <row r="171" spans="108:116" ht="18" customHeight="1" x14ac:dyDescent="0.25">
      <c r="DD171" s="149"/>
      <c r="DE171" s="149"/>
      <c r="DF171" s="149"/>
      <c r="DG171" s="149"/>
      <c r="DH171" s="149"/>
      <c r="DI171" s="149"/>
      <c r="DJ171" s="149"/>
      <c r="DK171" s="149"/>
      <c r="DL171" s="149"/>
    </row>
    <row r="172" spans="108:116" ht="18" customHeight="1" x14ac:dyDescent="0.25">
      <c r="DD172" s="149"/>
      <c r="DE172" s="149"/>
      <c r="DF172" s="149"/>
      <c r="DG172" s="149"/>
      <c r="DH172" s="149"/>
      <c r="DI172" s="149"/>
      <c r="DJ172" s="149"/>
      <c r="DK172" s="149"/>
      <c r="DL172" s="149"/>
    </row>
    <row r="173" spans="108:116" ht="18" customHeight="1" x14ac:dyDescent="0.25">
      <c r="DD173" s="149"/>
      <c r="DE173" s="149"/>
      <c r="DF173" s="149"/>
      <c r="DG173" s="149"/>
      <c r="DH173" s="149"/>
      <c r="DI173" s="149"/>
      <c r="DJ173" s="149"/>
      <c r="DK173" s="149"/>
      <c r="DL173" s="149"/>
    </row>
    <row r="174" spans="108:116" ht="18" customHeight="1" x14ac:dyDescent="0.25">
      <c r="DD174" s="149"/>
      <c r="DE174" s="149"/>
      <c r="DF174" s="149"/>
      <c r="DG174" s="149"/>
      <c r="DH174" s="149"/>
      <c r="DI174" s="149"/>
      <c r="DJ174" s="149"/>
      <c r="DK174" s="149"/>
      <c r="DL174" s="149"/>
    </row>
    <row r="175" spans="108:116" ht="18" customHeight="1" x14ac:dyDescent="0.25">
      <c r="DD175" s="149"/>
      <c r="DE175" s="149"/>
      <c r="DF175" s="149"/>
      <c r="DG175" s="149"/>
      <c r="DH175" s="149"/>
      <c r="DI175" s="149"/>
      <c r="DJ175" s="149"/>
      <c r="DK175" s="149"/>
      <c r="DL175" s="149"/>
    </row>
    <row r="176" spans="108:116" ht="18" customHeight="1" x14ac:dyDescent="0.25">
      <c r="DD176" s="149"/>
      <c r="DE176" s="149"/>
      <c r="DF176" s="149"/>
      <c r="DG176" s="149"/>
      <c r="DH176" s="149"/>
      <c r="DI176" s="149"/>
      <c r="DJ176" s="149"/>
      <c r="DK176" s="149"/>
      <c r="DL176" s="149"/>
    </row>
    <row r="177" spans="108:116" ht="18" customHeight="1" x14ac:dyDescent="0.25">
      <c r="DD177" s="149"/>
      <c r="DE177" s="149"/>
      <c r="DF177" s="149"/>
      <c r="DG177" s="149"/>
      <c r="DH177" s="149"/>
      <c r="DI177" s="149"/>
      <c r="DJ177" s="149"/>
      <c r="DK177" s="149"/>
      <c r="DL177" s="149"/>
    </row>
    <row r="178" spans="108:116" ht="18" customHeight="1" x14ac:dyDescent="0.25">
      <c r="DD178" s="149"/>
      <c r="DE178" s="149"/>
      <c r="DF178" s="149"/>
      <c r="DG178" s="149"/>
      <c r="DH178" s="149"/>
      <c r="DI178" s="149"/>
      <c r="DJ178" s="149"/>
      <c r="DK178" s="149"/>
      <c r="DL178" s="149"/>
    </row>
    <row r="179" spans="108:116" ht="18" customHeight="1" x14ac:dyDescent="0.25">
      <c r="DD179" s="149"/>
      <c r="DE179" s="149"/>
      <c r="DF179" s="149"/>
      <c r="DG179" s="149"/>
      <c r="DH179" s="149"/>
      <c r="DI179" s="149"/>
      <c r="DJ179" s="149"/>
      <c r="DK179" s="149"/>
      <c r="DL179" s="149"/>
    </row>
    <row r="180" spans="108:116" ht="18" customHeight="1" x14ac:dyDescent="0.25">
      <c r="DD180" s="149"/>
      <c r="DE180" s="149"/>
      <c r="DF180" s="149"/>
      <c r="DG180" s="149"/>
      <c r="DH180" s="149"/>
      <c r="DI180" s="149"/>
      <c r="DJ180" s="149"/>
      <c r="DK180" s="149"/>
      <c r="DL180" s="149"/>
    </row>
    <row r="181" spans="108:116" ht="18" customHeight="1" x14ac:dyDescent="0.25">
      <c r="DD181" s="149"/>
      <c r="DE181" s="149"/>
      <c r="DF181" s="149"/>
      <c r="DG181" s="149"/>
      <c r="DH181" s="149"/>
      <c r="DI181" s="149"/>
      <c r="DJ181" s="149"/>
      <c r="DK181" s="149"/>
      <c r="DL181" s="149"/>
    </row>
    <row r="182" spans="108:116" ht="18" customHeight="1" x14ac:dyDescent="0.25">
      <c r="DD182" s="149"/>
      <c r="DE182" s="149"/>
      <c r="DF182" s="149"/>
      <c r="DG182" s="149"/>
      <c r="DH182" s="149"/>
      <c r="DI182" s="149"/>
      <c r="DJ182" s="149"/>
      <c r="DK182" s="149"/>
      <c r="DL182" s="149"/>
    </row>
    <row r="183" spans="108:116" ht="18" customHeight="1" x14ac:dyDescent="0.25">
      <c r="DD183" s="149"/>
      <c r="DE183" s="149"/>
      <c r="DF183" s="149"/>
      <c r="DG183" s="149"/>
      <c r="DH183" s="149"/>
      <c r="DI183" s="149"/>
      <c r="DJ183" s="149"/>
      <c r="DK183" s="149"/>
      <c r="DL183" s="149"/>
    </row>
    <row r="184" spans="108:116" ht="18" customHeight="1" x14ac:dyDescent="0.25">
      <c r="DD184" s="149"/>
      <c r="DE184" s="149"/>
      <c r="DF184" s="149"/>
      <c r="DG184" s="149"/>
      <c r="DH184" s="149"/>
      <c r="DI184" s="149"/>
      <c r="DJ184" s="149"/>
      <c r="DK184" s="149"/>
      <c r="DL184" s="149"/>
    </row>
    <row r="185" spans="108:116" ht="18" customHeight="1" x14ac:dyDescent="0.25">
      <c r="DD185" s="149"/>
      <c r="DE185" s="149"/>
      <c r="DF185" s="149"/>
      <c r="DG185" s="149"/>
      <c r="DH185" s="149"/>
      <c r="DI185" s="149"/>
      <c r="DJ185" s="149"/>
      <c r="DK185" s="149"/>
      <c r="DL185" s="149"/>
    </row>
    <row r="186" spans="108:116" ht="18" customHeight="1" x14ac:dyDescent="0.25">
      <c r="DD186" s="149"/>
      <c r="DE186" s="149"/>
      <c r="DF186" s="149"/>
      <c r="DG186" s="149"/>
      <c r="DH186" s="149"/>
      <c r="DI186" s="149"/>
      <c r="DJ186" s="149"/>
      <c r="DK186" s="149"/>
      <c r="DL186" s="149"/>
    </row>
    <row r="187" spans="108:116" ht="18" customHeight="1" x14ac:dyDescent="0.25">
      <c r="DD187" s="149"/>
      <c r="DE187" s="149"/>
      <c r="DF187" s="149"/>
      <c r="DG187" s="149"/>
      <c r="DH187" s="149"/>
      <c r="DI187" s="149"/>
      <c r="DJ187" s="149"/>
      <c r="DK187" s="149"/>
      <c r="DL187" s="149"/>
    </row>
    <row r="188" spans="108:116" ht="18" customHeight="1" x14ac:dyDescent="0.25">
      <c r="DD188" s="149"/>
      <c r="DE188" s="149"/>
      <c r="DF188" s="149"/>
      <c r="DG188" s="149"/>
      <c r="DH188" s="149"/>
      <c r="DI188" s="149"/>
      <c r="DJ188" s="149"/>
      <c r="DK188" s="149"/>
      <c r="DL188" s="149"/>
    </row>
    <row r="189" spans="108:116" ht="18" customHeight="1" x14ac:dyDescent="0.25">
      <c r="DD189" s="149"/>
      <c r="DE189" s="149"/>
      <c r="DF189" s="149"/>
      <c r="DG189" s="149"/>
      <c r="DH189" s="149"/>
      <c r="DI189" s="149"/>
      <c r="DJ189" s="149"/>
      <c r="DK189" s="149"/>
      <c r="DL189" s="149"/>
    </row>
    <row r="190" spans="108:116" ht="18" customHeight="1" x14ac:dyDescent="0.25">
      <c r="DD190" s="149"/>
      <c r="DE190" s="149"/>
      <c r="DF190" s="149"/>
      <c r="DG190" s="149"/>
      <c r="DH190" s="149"/>
      <c r="DI190" s="149"/>
      <c r="DJ190" s="149"/>
      <c r="DK190" s="149"/>
      <c r="DL190" s="149"/>
    </row>
    <row r="191" spans="108:116" ht="18" customHeight="1" x14ac:dyDescent="0.25">
      <c r="DD191" s="149"/>
      <c r="DE191" s="149"/>
      <c r="DF191" s="149"/>
      <c r="DG191" s="149"/>
      <c r="DH191" s="149"/>
      <c r="DI191" s="149"/>
      <c r="DJ191" s="149"/>
      <c r="DK191" s="149"/>
      <c r="DL191" s="149"/>
    </row>
    <row r="192" spans="108:116" ht="18" customHeight="1" x14ac:dyDescent="0.25">
      <c r="DD192" s="149"/>
      <c r="DE192" s="149"/>
      <c r="DF192" s="149"/>
      <c r="DG192" s="149"/>
      <c r="DH192" s="149"/>
      <c r="DI192" s="149"/>
      <c r="DJ192" s="149"/>
      <c r="DK192" s="149"/>
      <c r="DL192" s="149"/>
    </row>
    <row r="193" spans="108:116" ht="18" customHeight="1" x14ac:dyDescent="0.25">
      <c r="DD193" s="149"/>
      <c r="DE193" s="149"/>
      <c r="DF193" s="149"/>
      <c r="DG193" s="149"/>
      <c r="DH193" s="149"/>
      <c r="DI193" s="149"/>
      <c r="DJ193" s="149"/>
      <c r="DK193" s="149"/>
      <c r="DL193" s="149"/>
    </row>
    <row r="194" spans="108:116" ht="18" customHeight="1" x14ac:dyDescent="0.25">
      <c r="DD194" s="149"/>
      <c r="DE194" s="149"/>
      <c r="DF194" s="149"/>
      <c r="DG194" s="149"/>
      <c r="DH194" s="149"/>
      <c r="DI194" s="149"/>
      <c r="DJ194" s="149"/>
      <c r="DK194" s="149"/>
      <c r="DL194" s="149"/>
    </row>
    <row r="195" spans="108:116" ht="18" customHeight="1" x14ac:dyDescent="0.25">
      <c r="DD195" s="149"/>
      <c r="DE195" s="149"/>
      <c r="DF195" s="149"/>
      <c r="DG195" s="149"/>
      <c r="DH195" s="149"/>
      <c r="DI195" s="149"/>
      <c r="DJ195" s="149"/>
      <c r="DK195" s="149"/>
      <c r="DL195" s="149"/>
    </row>
    <row r="196" spans="108:116" ht="18" customHeight="1" x14ac:dyDescent="0.25">
      <c r="DD196" s="149"/>
      <c r="DE196" s="149"/>
      <c r="DF196" s="149"/>
      <c r="DG196" s="149"/>
      <c r="DH196" s="149"/>
      <c r="DI196" s="149"/>
      <c r="DJ196" s="149"/>
      <c r="DK196" s="149"/>
      <c r="DL196" s="149"/>
    </row>
    <row r="197" spans="108:116" ht="18" customHeight="1" x14ac:dyDescent="0.25">
      <c r="DD197" s="149"/>
      <c r="DE197" s="149"/>
      <c r="DF197" s="149"/>
      <c r="DG197" s="149"/>
      <c r="DH197" s="149"/>
      <c r="DI197" s="149"/>
      <c r="DJ197" s="149"/>
      <c r="DK197" s="149"/>
      <c r="DL197" s="149"/>
    </row>
    <row r="198" spans="108:116" ht="18" customHeight="1" x14ac:dyDescent="0.25">
      <c r="DD198" s="149"/>
      <c r="DE198" s="149"/>
      <c r="DF198" s="149"/>
      <c r="DG198" s="149"/>
      <c r="DH198" s="149"/>
      <c r="DI198" s="149"/>
      <c r="DJ198" s="149"/>
      <c r="DK198" s="149"/>
      <c r="DL198" s="149"/>
    </row>
    <row r="199" spans="108:116" ht="18" customHeight="1" x14ac:dyDescent="0.25">
      <c r="DD199" s="149"/>
      <c r="DE199" s="149"/>
      <c r="DF199" s="149"/>
      <c r="DG199" s="149"/>
      <c r="DH199" s="149"/>
      <c r="DI199" s="149"/>
      <c r="DJ199" s="149"/>
      <c r="DK199" s="149"/>
      <c r="DL199" s="149"/>
    </row>
    <row r="200" spans="108:116" ht="18" customHeight="1" x14ac:dyDescent="0.25">
      <c r="DD200" s="149"/>
      <c r="DE200" s="149"/>
      <c r="DF200" s="149"/>
      <c r="DG200" s="149"/>
      <c r="DH200" s="149"/>
      <c r="DI200" s="149"/>
      <c r="DJ200" s="149"/>
      <c r="DK200" s="149"/>
      <c r="DL200" s="149"/>
    </row>
    <row r="201" spans="108:116" ht="18" customHeight="1" x14ac:dyDescent="0.25">
      <c r="DD201" s="149"/>
      <c r="DE201" s="149"/>
      <c r="DF201" s="149"/>
      <c r="DG201" s="149"/>
      <c r="DH201" s="149"/>
      <c r="DI201" s="149"/>
      <c r="DJ201" s="149"/>
      <c r="DK201" s="149"/>
      <c r="DL201" s="149"/>
    </row>
    <row r="202" spans="108:116" ht="18" customHeight="1" x14ac:dyDescent="0.25">
      <c r="DD202" s="149"/>
      <c r="DE202" s="149"/>
      <c r="DF202" s="149"/>
      <c r="DG202" s="149"/>
      <c r="DH202" s="149"/>
      <c r="DI202" s="149"/>
      <c r="DJ202" s="149"/>
      <c r="DK202" s="149"/>
      <c r="DL202" s="149"/>
    </row>
    <row r="203" spans="108:116" ht="18" customHeight="1" x14ac:dyDescent="0.25">
      <c r="DD203" s="149"/>
      <c r="DE203" s="149"/>
      <c r="DF203" s="149"/>
      <c r="DG203" s="149"/>
      <c r="DH203" s="149"/>
      <c r="DI203" s="149"/>
      <c r="DJ203" s="149"/>
      <c r="DK203" s="149"/>
      <c r="DL203" s="149"/>
    </row>
    <row r="204" spans="108:116" ht="18" customHeight="1" x14ac:dyDescent="0.25">
      <c r="DD204" s="149"/>
      <c r="DE204" s="149"/>
      <c r="DF204" s="149"/>
      <c r="DG204" s="149"/>
      <c r="DH204" s="149"/>
      <c r="DI204" s="149"/>
      <c r="DJ204" s="149"/>
      <c r="DK204" s="149"/>
      <c r="DL204" s="149"/>
    </row>
    <row r="205" spans="108:116" ht="18" customHeight="1" x14ac:dyDescent="0.25">
      <c r="DD205" s="149"/>
      <c r="DE205" s="149"/>
      <c r="DF205" s="149"/>
      <c r="DG205" s="149"/>
      <c r="DH205" s="149"/>
      <c r="DI205" s="149"/>
      <c r="DJ205" s="149"/>
      <c r="DK205" s="149"/>
      <c r="DL205" s="149"/>
    </row>
    <row r="206" spans="108:116" ht="18" customHeight="1" x14ac:dyDescent="0.25">
      <c r="DD206" s="149"/>
      <c r="DE206" s="149"/>
      <c r="DF206" s="149"/>
      <c r="DG206" s="149"/>
      <c r="DH206" s="149"/>
      <c r="DI206" s="149"/>
      <c r="DJ206" s="149"/>
      <c r="DK206" s="149"/>
      <c r="DL206" s="149"/>
    </row>
    <row r="207" spans="108:116" ht="18" customHeight="1" x14ac:dyDescent="0.25">
      <c r="DD207" s="149"/>
      <c r="DE207" s="149"/>
      <c r="DF207" s="149"/>
      <c r="DG207" s="149"/>
      <c r="DH207" s="149"/>
      <c r="DI207" s="149"/>
      <c r="DJ207" s="149"/>
      <c r="DK207" s="149"/>
      <c r="DL207" s="149"/>
    </row>
    <row r="208" spans="108:116" ht="18" customHeight="1" x14ac:dyDescent="0.25">
      <c r="DD208" s="149"/>
      <c r="DE208" s="149"/>
      <c r="DF208" s="149"/>
      <c r="DG208" s="149"/>
      <c r="DH208" s="149"/>
      <c r="DI208" s="149"/>
      <c r="DJ208" s="149"/>
      <c r="DK208" s="149"/>
      <c r="DL208" s="149"/>
    </row>
    <row r="209" spans="108:116" ht="18" customHeight="1" x14ac:dyDescent="0.25">
      <c r="DD209" s="149"/>
      <c r="DE209" s="149"/>
      <c r="DF209" s="149"/>
      <c r="DG209" s="149"/>
      <c r="DH209" s="149"/>
      <c r="DI209" s="149"/>
      <c r="DJ209" s="149"/>
      <c r="DK209" s="149"/>
      <c r="DL209" s="149"/>
    </row>
    <row r="210" spans="108:116" ht="18" customHeight="1" x14ac:dyDescent="0.25">
      <c r="DD210" s="149"/>
      <c r="DE210" s="149"/>
      <c r="DF210" s="149"/>
      <c r="DG210" s="149"/>
      <c r="DH210" s="149"/>
      <c r="DI210" s="149"/>
      <c r="DJ210" s="149"/>
      <c r="DK210" s="149"/>
      <c r="DL210" s="149"/>
    </row>
    <row r="211" spans="108:116" ht="18" customHeight="1" x14ac:dyDescent="0.25">
      <c r="DD211" s="149"/>
      <c r="DE211" s="149"/>
      <c r="DF211" s="149"/>
      <c r="DG211" s="149"/>
      <c r="DH211" s="149"/>
      <c r="DI211" s="149"/>
      <c r="DJ211" s="149"/>
      <c r="DK211" s="149"/>
      <c r="DL211" s="149"/>
    </row>
    <row r="212" spans="108:116" ht="18" customHeight="1" x14ac:dyDescent="0.25">
      <c r="DD212" s="149"/>
      <c r="DE212" s="149"/>
      <c r="DF212" s="149"/>
      <c r="DG212" s="149"/>
      <c r="DH212" s="149"/>
      <c r="DI212" s="149"/>
      <c r="DJ212" s="149"/>
      <c r="DK212" s="149"/>
      <c r="DL212" s="149"/>
    </row>
    <row r="213" spans="108:116" ht="18" customHeight="1" x14ac:dyDescent="0.25">
      <c r="DD213" s="149"/>
      <c r="DE213" s="149"/>
      <c r="DF213" s="149"/>
      <c r="DG213" s="149"/>
      <c r="DH213" s="149"/>
      <c r="DI213" s="149"/>
      <c r="DJ213" s="149"/>
      <c r="DK213" s="149"/>
      <c r="DL213" s="149"/>
    </row>
    <row r="214" spans="108:116" ht="18" customHeight="1" x14ac:dyDescent="0.25">
      <c r="DD214" s="149"/>
      <c r="DE214" s="149"/>
      <c r="DF214" s="149"/>
      <c r="DG214" s="149"/>
      <c r="DH214" s="149"/>
      <c r="DI214" s="149"/>
      <c r="DJ214" s="149"/>
      <c r="DK214" s="149"/>
      <c r="DL214" s="149"/>
    </row>
    <row r="215" spans="108:116" ht="18" customHeight="1" x14ac:dyDescent="0.25">
      <c r="DD215" s="149"/>
      <c r="DE215" s="149"/>
      <c r="DF215" s="149"/>
      <c r="DG215" s="149"/>
      <c r="DH215" s="149"/>
      <c r="DI215" s="149"/>
      <c r="DJ215" s="149"/>
      <c r="DK215" s="149"/>
      <c r="DL215" s="149"/>
    </row>
    <row r="216" spans="108:116" ht="18" customHeight="1" x14ac:dyDescent="0.25">
      <c r="DD216" s="149"/>
      <c r="DE216" s="149"/>
      <c r="DF216" s="149"/>
      <c r="DG216" s="149"/>
      <c r="DH216" s="149"/>
      <c r="DI216" s="149"/>
      <c r="DJ216" s="149"/>
      <c r="DK216" s="149"/>
      <c r="DL216" s="149"/>
    </row>
    <row r="217" spans="108:116" ht="18" customHeight="1" x14ac:dyDescent="0.25">
      <c r="DD217" s="149"/>
      <c r="DE217" s="149"/>
      <c r="DF217" s="149"/>
      <c r="DG217" s="149"/>
      <c r="DH217" s="149"/>
      <c r="DI217" s="149"/>
      <c r="DJ217" s="149"/>
      <c r="DK217" s="149"/>
      <c r="DL217" s="149"/>
    </row>
    <row r="218" spans="108:116" ht="18" customHeight="1" x14ac:dyDescent="0.25">
      <c r="DD218" s="149"/>
      <c r="DE218" s="149"/>
      <c r="DF218" s="149"/>
      <c r="DG218" s="149"/>
      <c r="DH218" s="149"/>
      <c r="DI218" s="149"/>
      <c r="DJ218" s="149"/>
      <c r="DK218" s="149"/>
      <c r="DL218" s="149"/>
    </row>
    <row r="219" spans="108:116" ht="18" customHeight="1" x14ac:dyDescent="0.25">
      <c r="DD219" s="149"/>
      <c r="DE219" s="149"/>
      <c r="DF219" s="149"/>
      <c r="DG219" s="149"/>
      <c r="DH219" s="149"/>
      <c r="DI219" s="149"/>
      <c r="DJ219" s="149"/>
      <c r="DK219" s="149"/>
      <c r="DL219" s="149"/>
    </row>
    <row r="220" spans="108:116" ht="18" customHeight="1" x14ac:dyDescent="0.25">
      <c r="DD220" s="149"/>
      <c r="DE220" s="149"/>
      <c r="DF220" s="149"/>
      <c r="DG220" s="149"/>
      <c r="DH220" s="149"/>
      <c r="DI220" s="149"/>
      <c r="DJ220" s="149"/>
      <c r="DK220" s="149"/>
      <c r="DL220" s="149"/>
    </row>
    <row r="221" spans="108:116" ht="18" customHeight="1" x14ac:dyDescent="0.25">
      <c r="DD221" s="149"/>
      <c r="DE221" s="149"/>
      <c r="DF221" s="149"/>
      <c r="DG221" s="149"/>
      <c r="DH221" s="149"/>
      <c r="DI221" s="149"/>
      <c r="DJ221" s="149"/>
      <c r="DK221" s="149"/>
      <c r="DL221" s="149"/>
    </row>
    <row r="222" spans="108:116" ht="18" customHeight="1" x14ac:dyDescent="0.25">
      <c r="DD222" s="149"/>
      <c r="DE222" s="149"/>
      <c r="DF222" s="149"/>
      <c r="DG222" s="149"/>
      <c r="DH222" s="149"/>
      <c r="DI222" s="149"/>
      <c r="DJ222" s="149"/>
      <c r="DK222" s="149"/>
      <c r="DL222" s="149"/>
    </row>
    <row r="223" spans="108:116" ht="18" customHeight="1" x14ac:dyDescent="0.25">
      <c r="DD223" s="149"/>
      <c r="DE223" s="149"/>
      <c r="DF223" s="149"/>
      <c r="DG223" s="149"/>
      <c r="DH223" s="149"/>
      <c r="DI223" s="149"/>
      <c r="DJ223" s="149"/>
      <c r="DK223" s="149"/>
      <c r="DL223" s="149"/>
    </row>
    <row r="224" spans="108:116" ht="18" customHeight="1" x14ac:dyDescent="0.25">
      <c r="DD224" s="149"/>
      <c r="DE224" s="149"/>
      <c r="DF224" s="149"/>
      <c r="DG224" s="149"/>
      <c r="DH224" s="149"/>
      <c r="DI224" s="149"/>
      <c r="DJ224" s="149"/>
      <c r="DK224" s="149"/>
      <c r="DL224" s="149"/>
    </row>
    <row r="225" spans="108:116" ht="18" customHeight="1" x14ac:dyDescent="0.25">
      <c r="DD225" s="149"/>
      <c r="DE225" s="149"/>
      <c r="DF225" s="149"/>
      <c r="DG225" s="149"/>
      <c r="DH225" s="149"/>
      <c r="DI225" s="149"/>
      <c r="DJ225" s="149"/>
      <c r="DK225" s="149"/>
      <c r="DL225" s="149"/>
    </row>
    <row r="226" spans="108:116" ht="18" customHeight="1" x14ac:dyDescent="0.25">
      <c r="DD226" s="149"/>
      <c r="DE226" s="149"/>
      <c r="DF226" s="149"/>
      <c r="DG226" s="149"/>
      <c r="DH226" s="149"/>
      <c r="DI226" s="149"/>
      <c r="DJ226" s="149"/>
      <c r="DK226" s="149"/>
      <c r="DL226" s="149"/>
    </row>
    <row r="227" spans="108:116" ht="18" customHeight="1" x14ac:dyDescent="0.25">
      <c r="DD227" s="149"/>
      <c r="DE227" s="149"/>
      <c r="DF227" s="149"/>
      <c r="DG227" s="149"/>
      <c r="DH227" s="149"/>
      <c r="DI227" s="149"/>
      <c r="DJ227" s="149"/>
      <c r="DK227" s="149"/>
      <c r="DL227" s="149"/>
    </row>
    <row r="228" spans="108:116" ht="18" customHeight="1" x14ac:dyDescent="0.25">
      <c r="DD228" s="149"/>
      <c r="DE228" s="149"/>
      <c r="DF228" s="149"/>
      <c r="DG228" s="149"/>
      <c r="DH228" s="149"/>
      <c r="DI228" s="149"/>
      <c r="DJ228" s="149"/>
      <c r="DK228" s="149"/>
      <c r="DL228" s="149"/>
    </row>
    <row r="229" spans="108:116" ht="18" customHeight="1" x14ac:dyDescent="0.25">
      <c r="DD229" s="149"/>
      <c r="DE229" s="149"/>
      <c r="DF229" s="149"/>
      <c r="DG229" s="149"/>
      <c r="DH229" s="149"/>
      <c r="DI229" s="149"/>
      <c r="DJ229" s="149"/>
      <c r="DK229" s="149"/>
      <c r="DL229" s="149"/>
    </row>
    <row r="230" spans="108:116" ht="18" customHeight="1" x14ac:dyDescent="0.25">
      <c r="DD230" s="149"/>
      <c r="DE230" s="149"/>
      <c r="DF230" s="149"/>
      <c r="DG230" s="149"/>
      <c r="DH230" s="149"/>
      <c r="DI230" s="149"/>
      <c r="DJ230" s="149"/>
      <c r="DK230" s="149"/>
      <c r="DL230" s="149"/>
    </row>
    <row r="231" spans="108:116" ht="18" customHeight="1" x14ac:dyDescent="0.25">
      <c r="DD231" s="149"/>
      <c r="DE231" s="149"/>
      <c r="DF231" s="149"/>
      <c r="DG231" s="149"/>
      <c r="DH231" s="149"/>
      <c r="DI231" s="149"/>
      <c r="DJ231" s="149"/>
      <c r="DK231" s="149"/>
      <c r="DL231" s="149"/>
    </row>
    <row r="232" spans="108:116" ht="18" customHeight="1" x14ac:dyDescent="0.25">
      <c r="DD232" s="149"/>
      <c r="DE232" s="149"/>
      <c r="DF232" s="149"/>
      <c r="DG232" s="149"/>
      <c r="DH232" s="149"/>
      <c r="DI232" s="149"/>
      <c r="DJ232" s="149"/>
      <c r="DK232" s="149"/>
      <c r="DL232" s="149"/>
    </row>
    <row r="233" spans="108:116" ht="18" customHeight="1" x14ac:dyDescent="0.25">
      <c r="DD233" s="149"/>
      <c r="DE233" s="149"/>
      <c r="DF233" s="149"/>
      <c r="DG233" s="149"/>
      <c r="DH233" s="149"/>
      <c r="DI233" s="149"/>
      <c r="DJ233" s="149"/>
      <c r="DK233" s="149"/>
      <c r="DL233" s="149"/>
    </row>
    <row r="234" spans="108:116" ht="18" customHeight="1" x14ac:dyDescent="0.25">
      <c r="DD234" s="149"/>
      <c r="DE234" s="149"/>
      <c r="DF234" s="149"/>
      <c r="DG234" s="149"/>
      <c r="DH234" s="149"/>
      <c r="DI234" s="149"/>
      <c r="DJ234" s="149"/>
      <c r="DK234" s="149"/>
      <c r="DL234" s="149"/>
    </row>
    <row r="235" spans="108:116" ht="18" customHeight="1" x14ac:dyDescent="0.25">
      <c r="DD235" s="149"/>
      <c r="DE235" s="149"/>
      <c r="DF235" s="149"/>
      <c r="DG235" s="149"/>
      <c r="DH235" s="149"/>
      <c r="DI235" s="149"/>
      <c r="DJ235" s="149"/>
      <c r="DK235" s="149"/>
      <c r="DL235" s="149"/>
    </row>
    <row r="236" spans="108:116" ht="18" customHeight="1" x14ac:dyDescent="0.25">
      <c r="DD236" s="149"/>
      <c r="DE236" s="149"/>
      <c r="DF236" s="149"/>
      <c r="DG236" s="149"/>
      <c r="DH236" s="149"/>
      <c r="DI236" s="149"/>
      <c r="DJ236" s="149"/>
      <c r="DK236" s="149"/>
      <c r="DL236" s="149"/>
    </row>
    <row r="237" spans="108:116" ht="18" customHeight="1" x14ac:dyDescent="0.25">
      <c r="DD237" s="149"/>
      <c r="DE237" s="149"/>
      <c r="DF237" s="149"/>
      <c r="DG237" s="149"/>
      <c r="DH237" s="149"/>
      <c r="DI237" s="149"/>
      <c r="DJ237" s="149"/>
      <c r="DK237" s="149"/>
      <c r="DL237" s="149"/>
    </row>
    <row r="238" spans="108:116" ht="18" customHeight="1" x14ac:dyDescent="0.25">
      <c r="DD238" s="149"/>
      <c r="DE238" s="149"/>
      <c r="DF238" s="149"/>
      <c r="DG238" s="149"/>
      <c r="DH238" s="149"/>
      <c r="DI238" s="149"/>
      <c r="DJ238" s="149"/>
      <c r="DK238" s="149"/>
      <c r="DL238" s="149"/>
    </row>
    <row r="239" spans="108:116" ht="18" customHeight="1" x14ac:dyDescent="0.25">
      <c r="DD239" s="149"/>
      <c r="DE239" s="149"/>
      <c r="DF239" s="149"/>
      <c r="DG239" s="149"/>
      <c r="DH239" s="149"/>
      <c r="DI239" s="149"/>
      <c r="DJ239" s="149"/>
      <c r="DK239" s="149"/>
      <c r="DL239" s="149"/>
    </row>
    <row r="240" spans="108:116" ht="18" customHeight="1" x14ac:dyDescent="0.25">
      <c r="DD240" s="149"/>
      <c r="DE240" s="149"/>
      <c r="DF240" s="149"/>
      <c r="DG240" s="149"/>
      <c r="DH240" s="149"/>
      <c r="DI240" s="149"/>
      <c r="DJ240" s="149"/>
      <c r="DK240" s="149"/>
      <c r="DL240" s="149"/>
    </row>
    <row r="241" spans="108:116" ht="18" customHeight="1" x14ac:dyDescent="0.25">
      <c r="DD241" s="149"/>
      <c r="DE241" s="149"/>
      <c r="DF241" s="149"/>
      <c r="DG241" s="149"/>
      <c r="DH241" s="149"/>
      <c r="DI241" s="149"/>
      <c r="DJ241" s="149"/>
      <c r="DK241" s="149"/>
      <c r="DL241" s="149"/>
    </row>
    <row r="242" spans="108:116" ht="18" customHeight="1" x14ac:dyDescent="0.25">
      <c r="DD242" s="149"/>
      <c r="DE242" s="149"/>
      <c r="DF242" s="149"/>
      <c r="DG242" s="149"/>
      <c r="DH242" s="149"/>
      <c r="DI242" s="149"/>
      <c r="DJ242" s="149"/>
      <c r="DK242" s="149"/>
      <c r="DL242" s="149"/>
    </row>
    <row r="243" spans="108:116" ht="18" customHeight="1" x14ac:dyDescent="0.25">
      <c r="DD243" s="149"/>
      <c r="DE243" s="149"/>
      <c r="DF243" s="149"/>
      <c r="DG243" s="149"/>
      <c r="DH243" s="149"/>
      <c r="DI243" s="149"/>
      <c r="DJ243" s="149"/>
      <c r="DK243" s="149"/>
      <c r="DL243" s="149"/>
    </row>
    <row r="244" spans="108:116" ht="18" customHeight="1" x14ac:dyDescent="0.25">
      <c r="DD244" s="149"/>
      <c r="DE244" s="149"/>
      <c r="DF244" s="149"/>
      <c r="DG244" s="149"/>
      <c r="DH244" s="149"/>
      <c r="DI244" s="149"/>
      <c r="DJ244" s="149"/>
      <c r="DK244" s="149"/>
      <c r="DL244" s="149"/>
    </row>
    <row r="245" spans="108:116" ht="18" customHeight="1" x14ac:dyDescent="0.25">
      <c r="DD245" s="149"/>
      <c r="DE245" s="149"/>
      <c r="DF245" s="149"/>
      <c r="DG245" s="149"/>
      <c r="DH245" s="149"/>
      <c r="DI245" s="149"/>
      <c r="DJ245" s="149"/>
      <c r="DK245" s="149"/>
      <c r="DL245" s="149"/>
    </row>
    <row r="246" spans="108:116" ht="18" customHeight="1" x14ac:dyDescent="0.25">
      <c r="DD246" s="149"/>
      <c r="DE246" s="149"/>
      <c r="DF246" s="149"/>
      <c r="DG246" s="149"/>
      <c r="DH246" s="149"/>
      <c r="DI246" s="149"/>
      <c r="DJ246" s="149"/>
      <c r="DK246" s="149"/>
      <c r="DL246" s="149"/>
    </row>
    <row r="247" spans="108:116" ht="18" customHeight="1" x14ac:dyDescent="0.25">
      <c r="DD247" s="149"/>
      <c r="DE247" s="149"/>
      <c r="DF247" s="149"/>
      <c r="DG247" s="149"/>
      <c r="DH247" s="149"/>
      <c r="DI247" s="149"/>
      <c r="DJ247" s="149"/>
      <c r="DK247" s="149"/>
      <c r="DL247" s="149"/>
    </row>
    <row r="248" spans="108:116" ht="18" customHeight="1" x14ac:dyDescent="0.25">
      <c r="DD248" s="149"/>
      <c r="DE248" s="149"/>
      <c r="DF248" s="149"/>
      <c r="DG248" s="149"/>
      <c r="DH248" s="149"/>
      <c r="DI248" s="149"/>
      <c r="DJ248" s="149"/>
      <c r="DK248" s="149"/>
      <c r="DL248" s="149"/>
    </row>
    <row r="249" spans="108:116" ht="18" customHeight="1" x14ac:dyDescent="0.25">
      <c r="DD249" s="149"/>
      <c r="DE249" s="149"/>
      <c r="DF249" s="149"/>
      <c r="DG249" s="149"/>
      <c r="DH249" s="149"/>
      <c r="DI249" s="149"/>
      <c r="DJ249" s="149"/>
      <c r="DK249" s="149"/>
      <c r="DL249" s="149"/>
    </row>
    <row r="250" spans="108:116" ht="18" customHeight="1" x14ac:dyDescent="0.25">
      <c r="DD250" s="149"/>
      <c r="DE250" s="149"/>
      <c r="DF250" s="149"/>
      <c r="DG250" s="149"/>
      <c r="DH250" s="149"/>
      <c r="DI250" s="149"/>
      <c r="DJ250" s="149"/>
      <c r="DK250" s="149"/>
      <c r="DL250" s="149"/>
    </row>
    <row r="251" spans="108:116" ht="18" customHeight="1" x14ac:dyDescent="0.25">
      <c r="DD251" s="149"/>
      <c r="DE251" s="149"/>
      <c r="DF251" s="149"/>
      <c r="DG251" s="149"/>
      <c r="DH251" s="149"/>
      <c r="DI251" s="149"/>
      <c r="DJ251" s="149"/>
      <c r="DK251" s="149"/>
      <c r="DL251" s="149"/>
    </row>
    <row r="252" spans="108:116" ht="18" customHeight="1" x14ac:dyDescent="0.25">
      <c r="DD252" s="149"/>
      <c r="DE252" s="149"/>
      <c r="DF252" s="149"/>
      <c r="DG252" s="149"/>
      <c r="DH252" s="149"/>
      <c r="DI252" s="149"/>
      <c r="DJ252" s="149"/>
      <c r="DK252" s="149"/>
      <c r="DL252" s="149"/>
    </row>
    <row r="253" spans="108:116" ht="18" customHeight="1" x14ac:dyDescent="0.25">
      <c r="DD253" s="149"/>
      <c r="DE253" s="149"/>
      <c r="DF253" s="149"/>
      <c r="DG253" s="149"/>
      <c r="DH253" s="149"/>
      <c r="DI253" s="149"/>
      <c r="DJ253" s="149"/>
      <c r="DK253" s="149"/>
      <c r="DL253" s="149"/>
    </row>
    <row r="254" spans="108:116" ht="18" customHeight="1" x14ac:dyDescent="0.25">
      <c r="DD254" s="149"/>
      <c r="DE254" s="149"/>
      <c r="DF254" s="149"/>
      <c r="DG254" s="149"/>
      <c r="DH254" s="149"/>
      <c r="DI254" s="149"/>
      <c r="DJ254" s="149"/>
      <c r="DK254" s="149"/>
      <c r="DL254" s="149"/>
    </row>
    <row r="255" spans="108:116" ht="18" customHeight="1" x14ac:dyDescent="0.25">
      <c r="DD255" s="149"/>
      <c r="DE255" s="149"/>
      <c r="DF255" s="149"/>
      <c r="DG255" s="149"/>
      <c r="DH255" s="149"/>
      <c r="DI255" s="149"/>
      <c r="DJ255" s="149"/>
      <c r="DK255" s="149"/>
      <c r="DL255" s="149"/>
    </row>
    <row r="256" spans="108:116" ht="18" customHeight="1" x14ac:dyDescent="0.25">
      <c r="DD256" s="149"/>
      <c r="DE256" s="149"/>
      <c r="DF256" s="149"/>
      <c r="DG256" s="149"/>
      <c r="DH256" s="149"/>
      <c r="DI256" s="149"/>
      <c r="DJ256" s="149"/>
      <c r="DK256" s="149"/>
      <c r="DL256" s="149"/>
    </row>
    <row r="257" spans="108:116" ht="18" customHeight="1" x14ac:dyDescent="0.25">
      <c r="DD257" s="149"/>
      <c r="DE257" s="149"/>
      <c r="DF257" s="149"/>
      <c r="DG257" s="149"/>
      <c r="DH257" s="149"/>
      <c r="DI257" s="149"/>
      <c r="DJ257" s="149"/>
      <c r="DK257" s="149"/>
      <c r="DL257" s="149"/>
    </row>
    <row r="258" spans="108:116" ht="18" customHeight="1" x14ac:dyDescent="0.25">
      <c r="DD258" s="149"/>
      <c r="DE258" s="149"/>
      <c r="DF258" s="149"/>
      <c r="DG258" s="149"/>
      <c r="DH258" s="149"/>
      <c r="DI258" s="149"/>
      <c r="DJ258" s="149"/>
      <c r="DK258" s="149"/>
      <c r="DL258" s="149"/>
    </row>
    <row r="259" spans="108:116" ht="18" customHeight="1" x14ac:dyDescent="0.25">
      <c r="DD259" s="149"/>
      <c r="DE259" s="149"/>
      <c r="DF259" s="149"/>
      <c r="DG259" s="149"/>
      <c r="DH259" s="149"/>
      <c r="DI259" s="149"/>
      <c r="DJ259" s="149"/>
      <c r="DK259" s="149"/>
      <c r="DL259" s="149"/>
    </row>
    <row r="260" spans="108:116" ht="18" customHeight="1" x14ac:dyDescent="0.25">
      <c r="DD260" s="149"/>
      <c r="DE260" s="149"/>
      <c r="DF260" s="149"/>
      <c r="DG260" s="149"/>
      <c r="DH260" s="149"/>
      <c r="DI260" s="149"/>
      <c r="DJ260" s="149"/>
      <c r="DK260" s="149"/>
      <c r="DL260" s="149"/>
    </row>
    <row r="261" spans="108:116" ht="18" customHeight="1" x14ac:dyDescent="0.25">
      <c r="DD261" s="149"/>
      <c r="DE261" s="149"/>
      <c r="DF261" s="149"/>
      <c r="DG261" s="149"/>
      <c r="DH261" s="149"/>
      <c r="DI261" s="149"/>
      <c r="DJ261" s="149"/>
      <c r="DK261" s="149"/>
      <c r="DL261" s="149"/>
    </row>
    <row r="262" spans="108:116" ht="18" customHeight="1" x14ac:dyDescent="0.25">
      <c r="DD262" s="149"/>
      <c r="DE262" s="149"/>
      <c r="DF262" s="149"/>
      <c r="DG262" s="149"/>
      <c r="DH262" s="149"/>
      <c r="DI262" s="149"/>
      <c r="DJ262" s="149"/>
      <c r="DK262" s="149"/>
      <c r="DL262" s="149"/>
    </row>
    <row r="263" spans="108:116" ht="18" customHeight="1" x14ac:dyDescent="0.25">
      <c r="DD263" s="149"/>
      <c r="DE263" s="149"/>
      <c r="DF263" s="149"/>
      <c r="DG263" s="149"/>
      <c r="DH263" s="149"/>
      <c r="DI263" s="149"/>
      <c r="DJ263" s="149"/>
      <c r="DK263" s="149"/>
      <c r="DL263" s="149"/>
    </row>
    <row r="264" spans="108:116" ht="18" customHeight="1" x14ac:dyDescent="0.25">
      <c r="DD264" s="149"/>
      <c r="DE264" s="149"/>
      <c r="DF264" s="149"/>
      <c r="DG264" s="149"/>
      <c r="DH264" s="149"/>
      <c r="DI264" s="149"/>
      <c r="DJ264" s="149"/>
      <c r="DK264" s="149"/>
      <c r="DL264" s="149"/>
    </row>
    <row r="265" spans="108:116" ht="18" customHeight="1" x14ac:dyDescent="0.25">
      <c r="DD265" s="149"/>
      <c r="DE265" s="149"/>
      <c r="DF265" s="149"/>
      <c r="DG265" s="149"/>
      <c r="DH265" s="149"/>
      <c r="DI265" s="149"/>
      <c r="DJ265" s="149"/>
      <c r="DK265" s="149"/>
      <c r="DL265" s="149"/>
    </row>
    <row r="266" spans="108:116" ht="18" customHeight="1" x14ac:dyDescent="0.25">
      <c r="DD266" s="149"/>
      <c r="DE266" s="149"/>
      <c r="DF266" s="149"/>
      <c r="DG266" s="149"/>
      <c r="DH266" s="149"/>
      <c r="DI266" s="149"/>
      <c r="DJ266" s="149"/>
      <c r="DK266" s="149"/>
      <c r="DL266" s="149"/>
    </row>
    <row r="267" spans="108:116" ht="18" customHeight="1" x14ac:dyDescent="0.25">
      <c r="DD267" s="149"/>
      <c r="DE267" s="149"/>
      <c r="DF267" s="149"/>
      <c r="DG267" s="149"/>
      <c r="DH267" s="149"/>
      <c r="DI267" s="149"/>
      <c r="DJ267" s="149"/>
      <c r="DK267" s="149"/>
      <c r="DL267" s="149"/>
    </row>
    <row r="268" spans="108:116" ht="18" customHeight="1" x14ac:dyDescent="0.25">
      <c r="DD268" s="149"/>
      <c r="DE268" s="149"/>
      <c r="DF268" s="149"/>
      <c r="DG268" s="149"/>
      <c r="DH268" s="149"/>
      <c r="DI268" s="149"/>
      <c r="DJ268" s="149"/>
      <c r="DK268" s="149"/>
      <c r="DL268" s="149"/>
    </row>
    <row r="269" spans="108:116" ht="18" customHeight="1" x14ac:dyDescent="0.25">
      <c r="DD269" s="149"/>
      <c r="DE269" s="149"/>
      <c r="DF269" s="149"/>
      <c r="DG269" s="149"/>
      <c r="DH269" s="149"/>
      <c r="DI269" s="149"/>
      <c r="DJ269" s="149"/>
      <c r="DK269" s="149"/>
      <c r="DL269" s="149"/>
    </row>
    <row r="270" spans="108:116" ht="18" customHeight="1" x14ac:dyDescent="0.25">
      <c r="DD270" s="149"/>
      <c r="DE270" s="149"/>
      <c r="DF270" s="149"/>
      <c r="DG270" s="149"/>
      <c r="DH270" s="149"/>
      <c r="DI270" s="149"/>
      <c r="DJ270" s="149"/>
      <c r="DK270" s="149"/>
      <c r="DL270" s="149"/>
    </row>
    <row r="271" spans="108:116" ht="18" customHeight="1" x14ac:dyDescent="0.25">
      <c r="DD271" s="149"/>
      <c r="DE271" s="149"/>
      <c r="DF271" s="149"/>
      <c r="DG271" s="149"/>
      <c r="DH271" s="149"/>
      <c r="DI271" s="149"/>
      <c r="DJ271" s="149"/>
      <c r="DK271" s="149"/>
      <c r="DL271" s="149"/>
    </row>
    <row r="272" spans="108:116" ht="18" customHeight="1" x14ac:dyDescent="0.25">
      <c r="DD272" s="149"/>
      <c r="DE272" s="149"/>
      <c r="DF272" s="149"/>
      <c r="DG272" s="149"/>
      <c r="DH272" s="149"/>
      <c r="DI272" s="149"/>
      <c r="DJ272" s="149"/>
      <c r="DK272" s="149"/>
      <c r="DL272" s="149"/>
    </row>
    <row r="273" spans="108:116" ht="18" customHeight="1" x14ac:dyDescent="0.25">
      <c r="DD273" s="149"/>
      <c r="DE273" s="149"/>
      <c r="DF273" s="149"/>
      <c r="DG273" s="149"/>
      <c r="DH273" s="149"/>
      <c r="DI273" s="149"/>
      <c r="DJ273" s="149"/>
      <c r="DK273" s="149"/>
      <c r="DL273" s="149"/>
    </row>
    <row r="274" spans="108:116" ht="18" customHeight="1" x14ac:dyDescent="0.25">
      <c r="DD274" s="149"/>
      <c r="DE274" s="149"/>
      <c r="DF274" s="149"/>
      <c r="DG274" s="149"/>
      <c r="DH274" s="149"/>
      <c r="DI274" s="149"/>
      <c r="DJ274" s="149"/>
      <c r="DK274" s="149"/>
      <c r="DL274" s="149"/>
    </row>
    <row r="275" spans="108:116" ht="18" customHeight="1" x14ac:dyDescent="0.25">
      <c r="DD275" s="149"/>
      <c r="DE275" s="149"/>
      <c r="DF275" s="149"/>
      <c r="DG275" s="149"/>
      <c r="DH275" s="149"/>
      <c r="DI275" s="149"/>
      <c r="DJ275" s="149"/>
      <c r="DK275" s="149"/>
      <c r="DL275" s="149"/>
    </row>
    <row r="276" spans="108:116" ht="18" customHeight="1" x14ac:dyDescent="0.25">
      <c r="DD276" s="149"/>
      <c r="DE276" s="149"/>
      <c r="DF276" s="149"/>
      <c r="DG276" s="149"/>
      <c r="DH276" s="149"/>
      <c r="DI276" s="149"/>
      <c r="DJ276" s="149"/>
      <c r="DK276" s="149"/>
      <c r="DL276" s="149"/>
    </row>
    <row r="277" spans="108:116" ht="18" customHeight="1" x14ac:dyDescent="0.25">
      <c r="DD277" s="149"/>
      <c r="DE277" s="149"/>
      <c r="DF277" s="149"/>
      <c r="DG277" s="149"/>
      <c r="DH277" s="149"/>
      <c r="DI277" s="149"/>
      <c r="DJ277" s="149"/>
      <c r="DK277" s="149"/>
      <c r="DL277" s="149"/>
    </row>
    <row r="278" spans="108:116" ht="18" customHeight="1" x14ac:dyDescent="0.25">
      <c r="DD278" s="149"/>
      <c r="DE278" s="149"/>
      <c r="DF278" s="149"/>
      <c r="DG278" s="149"/>
      <c r="DH278" s="149"/>
      <c r="DI278" s="149"/>
      <c r="DJ278" s="149"/>
      <c r="DK278" s="149"/>
      <c r="DL278" s="149"/>
    </row>
    <row r="279" spans="108:116" ht="18" customHeight="1" x14ac:dyDescent="0.25">
      <c r="DD279" s="149"/>
      <c r="DE279" s="149"/>
      <c r="DF279" s="149"/>
      <c r="DG279" s="149"/>
      <c r="DH279" s="149"/>
      <c r="DI279" s="149"/>
      <c r="DJ279" s="149"/>
      <c r="DK279" s="149"/>
      <c r="DL279" s="149"/>
    </row>
    <row r="280" spans="108:116" ht="18" customHeight="1" x14ac:dyDescent="0.25">
      <c r="DD280" s="149"/>
      <c r="DE280" s="149"/>
      <c r="DF280" s="149"/>
      <c r="DG280" s="149"/>
      <c r="DH280" s="149"/>
      <c r="DI280" s="149"/>
      <c r="DJ280" s="149"/>
      <c r="DK280" s="149"/>
      <c r="DL280" s="149"/>
    </row>
    <row r="281" spans="108:116" ht="18" customHeight="1" x14ac:dyDescent="0.25">
      <c r="DD281" s="149"/>
      <c r="DE281" s="149"/>
      <c r="DF281" s="149"/>
      <c r="DG281" s="149"/>
      <c r="DH281" s="149"/>
      <c r="DI281" s="149"/>
      <c r="DJ281" s="149"/>
      <c r="DK281" s="149"/>
      <c r="DL281" s="149"/>
    </row>
    <row r="282" spans="108:116" ht="18" customHeight="1" x14ac:dyDescent="0.25">
      <c r="DD282" s="149"/>
      <c r="DE282" s="149"/>
      <c r="DF282" s="149"/>
      <c r="DG282" s="149"/>
      <c r="DH282" s="149"/>
      <c r="DI282" s="149"/>
      <c r="DJ282" s="149"/>
      <c r="DK282" s="149"/>
      <c r="DL282" s="149"/>
    </row>
    <row r="283" spans="108:116" ht="18" customHeight="1" x14ac:dyDescent="0.25">
      <c r="DD283" s="149"/>
      <c r="DE283" s="149"/>
      <c r="DF283" s="149"/>
      <c r="DG283" s="149"/>
      <c r="DH283" s="149"/>
      <c r="DI283" s="149"/>
      <c r="DJ283" s="149"/>
      <c r="DK283" s="149"/>
      <c r="DL283" s="149"/>
    </row>
    <row r="284" spans="108:116" ht="18" customHeight="1" x14ac:dyDescent="0.25">
      <c r="DD284" s="149"/>
      <c r="DE284" s="149"/>
      <c r="DF284" s="149"/>
      <c r="DG284" s="149"/>
      <c r="DH284" s="149"/>
      <c r="DI284" s="149"/>
      <c r="DJ284" s="149"/>
      <c r="DK284" s="149"/>
      <c r="DL284" s="149"/>
    </row>
    <row r="285" spans="108:116" ht="18" customHeight="1" x14ac:dyDescent="0.25">
      <c r="DD285" s="149"/>
      <c r="DE285" s="149"/>
      <c r="DF285" s="149"/>
      <c r="DG285" s="149"/>
      <c r="DH285" s="149"/>
      <c r="DI285" s="149"/>
      <c r="DJ285" s="149"/>
      <c r="DK285" s="149"/>
      <c r="DL285" s="149"/>
    </row>
    <row r="286" spans="108:116" ht="18" customHeight="1" x14ac:dyDescent="0.25">
      <c r="DD286" s="149"/>
      <c r="DE286" s="149"/>
      <c r="DF286" s="149"/>
      <c r="DG286" s="149"/>
      <c r="DH286" s="149"/>
      <c r="DI286" s="149"/>
      <c r="DJ286" s="149"/>
      <c r="DK286" s="149"/>
      <c r="DL286" s="149"/>
    </row>
    <row r="287" spans="108:116" ht="18" customHeight="1" x14ac:dyDescent="0.25">
      <c r="DD287" s="149"/>
      <c r="DE287" s="149"/>
      <c r="DF287" s="149"/>
      <c r="DG287" s="149"/>
      <c r="DH287" s="149"/>
      <c r="DI287" s="149"/>
      <c r="DJ287" s="149"/>
      <c r="DK287" s="149"/>
      <c r="DL287" s="149"/>
    </row>
    <row r="288" spans="108:116" ht="18" customHeight="1" x14ac:dyDescent="0.25">
      <c r="DD288" s="149"/>
      <c r="DE288" s="149"/>
      <c r="DF288" s="149"/>
      <c r="DG288" s="149"/>
      <c r="DH288" s="149"/>
      <c r="DI288" s="149"/>
      <c r="DJ288" s="149"/>
      <c r="DK288" s="149"/>
      <c r="DL288" s="149"/>
    </row>
    <row r="289" spans="108:116" ht="18" customHeight="1" x14ac:dyDescent="0.25">
      <c r="DD289" s="149"/>
      <c r="DE289" s="149"/>
      <c r="DF289" s="149"/>
      <c r="DG289" s="149"/>
      <c r="DH289" s="149"/>
      <c r="DI289" s="149"/>
      <c r="DJ289" s="149"/>
      <c r="DK289" s="149"/>
      <c r="DL289" s="149"/>
    </row>
    <row r="290" spans="108:116" ht="18" customHeight="1" x14ac:dyDescent="0.25">
      <c r="DD290" s="149"/>
      <c r="DE290" s="149"/>
      <c r="DF290" s="149"/>
      <c r="DG290" s="149"/>
      <c r="DH290" s="149"/>
      <c r="DI290" s="149"/>
      <c r="DJ290" s="149"/>
      <c r="DK290" s="149"/>
      <c r="DL290" s="149"/>
    </row>
    <row r="291" spans="108:116" ht="18" customHeight="1" x14ac:dyDescent="0.25">
      <c r="DD291" s="149"/>
      <c r="DE291" s="149"/>
      <c r="DF291" s="149"/>
      <c r="DG291" s="149"/>
      <c r="DH291" s="149"/>
      <c r="DI291" s="149"/>
      <c r="DJ291" s="149"/>
      <c r="DK291" s="149"/>
      <c r="DL291" s="149"/>
    </row>
    <row r="292" spans="108:116" ht="18" customHeight="1" x14ac:dyDescent="0.25">
      <c r="DD292" s="149"/>
      <c r="DE292" s="149"/>
      <c r="DF292" s="149"/>
      <c r="DG292" s="149"/>
      <c r="DH292" s="149"/>
      <c r="DI292" s="149"/>
      <c r="DJ292" s="149"/>
      <c r="DK292" s="149"/>
      <c r="DL292" s="149"/>
    </row>
    <row r="293" spans="108:116" ht="18" customHeight="1" x14ac:dyDescent="0.25">
      <c r="DD293" s="149"/>
      <c r="DE293" s="149"/>
      <c r="DF293" s="149"/>
      <c r="DG293" s="149"/>
      <c r="DH293" s="149"/>
      <c r="DI293" s="149"/>
      <c r="DJ293" s="149"/>
      <c r="DK293" s="149"/>
      <c r="DL293" s="149"/>
    </row>
    <row r="294" spans="108:116" ht="18" customHeight="1" x14ac:dyDescent="0.25">
      <c r="DD294" s="149"/>
      <c r="DE294" s="149"/>
      <c r="DF294" s="149"/>
      <c r="DG294" s="149"/>
      <c r="DH294" s="149"/>
      <c r="DI294" s="149"/>
      <c r="DJ294" s="149"/>
      <c r="DK294" s="149"/>
      <c r="DL294" s="149"/>
    </row>
    <row r="295" spans="108:116" ht="18" customHeight="1" x14ac:dyDescent="0.25">
      <c r="DD295" s="149"/>
      <c r="DE295" s="149"/>
      <c r="DF295" s="149"/>
      <c r="DG295" s="149"/>
      <c r="DH295" s="149"/>
      <c r="DI295" s="149"/>
      <c r="DJ295" s="149"/>
      <c r="DK295" s="149"/>
      <c r="DL295" s="149"/>
    </row>
    <row r="296" spans="108:116" ht="18" customHeight="1" x14ac:dyDescent="0.25">
      <c r="DD296" s="149"/>
      <c r="DE296" s="149"/>
      <c r="DF296" s="149"/>
      <c r="DG296" s="149"/>
      <c r="DH296" s="149"/>
      <c r="DI296" s="149"/>
      <c r="DJ296" s="149"/>
      <c r="DK296" s="149"/>
      <c r="DL296" s="149"/>
    </row>
    <row r="297" spans="108:116" ht="18" customHeight="1" x14ac:dyDescent="0.25">
      <c r="DD297" s="149"/>
      <c r="DE297" s="149"/>
      <c r="DF297" s="149"/>
      <c r="DG297" s="149"/>
      <c r="DH297" s="149"/>
      <c r="DI297" s="149"/>
      <c r="DJ297" s="149"/>
      <c r="DK297" s="149"/>
      <c r="DL297" s="149"/>
    </row>
    <row r="298" spans="108:116" ht="18" customHeight="1" x14ac:dyDescent="0.25">
      <c r="DD298" s="149"/>
      <c r="DE298" s="149"/>
      <c r="DF298" s="149"/>
      <c r="DG298" s="149"/>
      <c r="DH298" s="149"/>
      <c r="DI298" s="149"/>
      <c r="DJ298" s="149"/>
      <c r="DK298" s="149"/>
      <c r="DL298" s="149"/>
    </row>
    <row r="299" spans="108:116" ht="18" customHeight="1" x14ac:dyDescent="0.25">
      <c r="DD299" s="149"/>
      <c r="DE299" s="149"/>
      <c r="DF299" s="149"/>
      <c r="DG299" s="149"/>
      <c r="DH299" s="149"/>
      <c r="DI299" s="149"/>
      <c r="DJ299" s="149"/>
      <c r="DK299" s="149"/>
      <c r="DL299" s="149"/>
    </row>
    <row r="300" spans="108:116" ht="18" customHeight="1" x14ac:dyDescent="0.25">
      <c r="DD300" s="149"/>
      <c r="DE300" s="149"/>
      <c r="DF300" s="149"/>
      <c r="DG300" s="149"/>
      <c r="DH300" s="149"/>
      <c r="DI300" s="149"/>
      <c r="DJ300" s="149"/>
      <c r="DK300" s="149"/>
      <c r="DL300" s="149"/>
    </row>
    <row r="301" spans="108:116" ht="18" customHeight="1" x14ac:dyDescent="0.25">
      <c r="DD301" s="149"/>
      <c r="DE301" s="149"/>
      <c r="DF301" s="149"/>
      <c r="DG301" s="149"/>
      <c r="DH301" s="149"/>
      <c r="DI301" s="149"/>
      <c r="DJ301" s="149"/>
      <c r="DK301" s="149"/>
      <c r="DL301" s="149"/>
    </row>
    <row r="302" spans="108:116" ht="18" customHeight="1" x14ac:dyDescent="0.25">
      <c r="DD302" s="149"/>
      <c r="DE302" s="149"/>
      <c r="DF302" s="149"/>
      <c r="DG302" s="149"/>
      <c r="DH302" s="149"/>
      <c r="DI302" s="149"/>
      <c r="DJ302" s="149"/>
      <c r="DK302" s="149"/>
      <c r="DL302" s="149"/>
    </row>
    <row r="303" spans="108:116" ht="18" customHeight="1" x14ac:dyDescent="0.25">
      <c r="DD303" s="149"/>
      <c r="DE303" s="149"/>
      <c r="DF303" s="149"/>
      <c r="DG303" s="149"/>
      <c r="DH303" s="149"/>
      <c r="DI303" s="149"/>
      <c r="DJ303" s="149"/>
      <c r="DK303" s="149"/>
      <c r="DL303" s="149"/>
    </row>
    <row r="304" spans="108:116" ht="18" customHeight="1" x14ac:dyDescent="0.25">
      <c r="DD304" s="149"/>
      <c r="DE304" s="149"/>
      <c r="DF304" s="149"/>
      <c r="DG304" s="149"/>
      <c r="DH304" s="149"/>
      <c r="DI304" s="149"/>
      <c r="DJ304" s="149"/>
      <c r="DK304" s="149"/>
      <c r="DL304" s="149"/>
    </row>
    <row r="305" spans="108:116" ht="18" customHeight="1" x14ac:dyDescent="0.25">
      <c r="DD305" s="149"/>
      <c r="DE305" s="149"/>
      <c r="DF305" s="149"/>
      <c r="DG305" s="149"/>
      <c r="DH305" s="149"/>
      <c r="DI305" s="149"/>
      <c r="DJ305" s="149"/>
      <c r="DK305" s="149"/>
      <c r="DL305" s="149"/>
    </row>
    <row r="306" spans="108:116" ht="18" customHeight="1" x14ac:dyDescent="0.25">
      <c r="DD306" s="149"/>
      <c r="DE306" s="149"/>
      <c r="DF306" s="149"/>
      <c r="DG306" s="149"/>
      <c r="DH306" s="149"/>
      <c r="DI306" s="149"/>
      <c r="DJ306" s="149"/>
      <c r="DK306" s="149"/>
      <c r="DL306" s="149"/>
    </row>
    <row r="307" spans="108:116" ht="18" customHeight="1" x14ac:dyDescent="0.25">
      <c r="DD307" s="149"/>
      <c r="DE307" s="149"/>
      <c r="DF307" s="149"/>
      <c r="DG307" s="149"/>
      <c r="DH307" s="149"/>
      <c r="DI307" s="149"/>
      <c r="DJ307" s="149"/>
      <c r="DK307" s="149"/>
      <c r="DL307" s="149"/>
    </row>
    <row r="308" spans="108:116" ht="18" customHeight="1" x14ac:dyDescent="0.25">
      <c r="DD308" s="149"/>
      <c r="DE308" s="149"/>
      <c r="DF308" s="149"/>
      <c r="DG308" s="149"/>
      <c r="DH308" s="149"/>
      <c r="DI308" s="149"/>
      <c r="DJ308" s="149"/>
      <c r="DK308" s="149"/>
      <c r="DL308" s="149"/>
    </row>
    <row r="309" spans="108:116" ht="18" customHeight="1" x14ac:dyDescent="0.25">
      <c r="DD309" s="149"/>
      <c r="DE309" s="149"/>
      <c r="DF309" s="149"/>
      <c r="DG309" s="149"/>
      <c r="DH309" s="149"/>
      <c r="DI309" s="149"/>
      <c r="DJ309" s="149"/>
      <c r="DK309" s="149"/>
      <c r="DL309" s="149"/>
    </row>
    <row r="310" spans="108:116" ht="18" customHeight="1" x14ac:dyDescent="0.25">
      <c r="DD310" s="149"/>
      <c r="DE310" s="149"/>
      <c r="DF310" s="149"/>
      <c r="DG310" s="149"/>
      <c r="DH310" s="149"/>
      <c r="DI310" s="149"/>
      <c r="DJ310" s="149"/>
      <c r="DK310" s="149"/>
      <c r="DL310" s="149"/>
    </row>
    <row r="311" spans="108:116" ht="18" customHeight="1" x14ac:dyDescent="0.25">
      <c r="DD311" s="149"/>
      <c r="DE311" s="149"/>
      <c r="DF311" s="149"/>
      <c r="DG311" s="149"/>
      <c r="DH311" s="149"/>
      <c r="DI311" s="149"/>
      <c r="DJ311" s="149"/>
      <c r="DK311" s="149"/>
      <c r="DL311" s="149"/>
    </row>
    <row r="312" spans="108:116" ht="18" customHeight="1" x14ac:dyDescent="0.25">
      <c r="DD312" s="149"/>
      <c r="DE312" s="149"/>
      <c r="DF312" s="149"/>
      <c r="DG312" s="149"/>
      <c r="DH312" s="149"/>
      <c r="DI312" s="149"/>
      <c r="DJ312" s="149"/>
      <c r="DK312" s="149"/>
      <c r="DL312" s="149"/>
    </row>
    <row r="313" spans="108:116" ht="18" customHeight="1" x14ac:dyDescent="0.25">
      <c r="DD313" s="149"/>
      <c r="DE313" s="149"/>
      <c r="DF313" s="149"/>
      <c r="DG313" s="149"/>
      <c r="DH313" s="149"/>
      <c r="DI313" s="149"/>
      <c r="DJ313" s="149"/>
      <c r="DK313" s="149"/>
      <c r="DL313" s="149"/>
    </row>
    <row r="314" spans="108:116" ht="18" customHeight="1" x14ac:dyDescent="0.25">
      <c r="DD314" s="149"/>
      <c r="DE314" s="149"/>
      <c r="DF314" s="149"/>
      <c r="DG314" s="149"/>
      <c r="DH314" s="149"/>
      <c r="DI314" s="149"/>
      <c r="DJ314" s="149"/>
      <c r="DK314" s="149"/>
      <c r="DL314" s="149"/>
    </row>
    <row r="315" spans="108:116" ht="18" customHeight="1" x14ac:dyDescent="0.25">
      <c r="DD315" s="149"/>
      <c r="DE315" s="149"/>
      <c r="DF315" s="149"/>
      <c r="DG315" s="149"/>
      <c r="DH315" s="149"/>
      <c r="DI315" s="149"/>
      <c r="DJ315" s="149"/>
      <c r="DK315" s="149"/>
      <c r="DL315" s="149"/>
    </row>
    <row r="316" spans="108:116" ht="18" customHeight="1" x14ac:dyDescent="0.25">
      <c r="DD316" s="149"/>
      <c r="DE316" s="149"/>
      <c r="DF316" s="149"/>
      <c r="DG316" s="149"/>
      <c r="DH316" s="149"/>
      <c r="DI316" s="149"/>
      <c r="DJ316" s="149"/>
      <c r="DK316" s="149"/>
      <c r="DL316" s="149"/>
    </row>
  </sheetData>
  <protectedRanges>
    <protectedRange sqref="DD18:DL42 EC18:EK42" name="Bereich1"/>
    <protectedRange sqref="EW12:EX12 EM12:EN12 FA12:FC12 EQ12:ES12" name="Bereich1_1"/>
    <protectedRange sqref="F112:G133 F81:G83" name="Eingaben2"/>
    <protectedRange sqref="H81:J83" name="Eingaben2_2"/>
    <protectedRange sqref="H112:J133" name="Eingaben2_4"/>
  </protectedRanges>
  <dataConsolidate/>
  <phoneticPr fontId="10" type="noConversion"/>
  <conditionalFormatting sqref="E2010">
    <cfRule type="expression" dxfId="45" priority="13">
      <formula>E2009&lt;&gt;_xludf.INDIRECT("B" &amp; _xludf.ROW() + 200)</formula>
    </cfRule>
  </conditionalFormatting>
  <conditionalFormatting sqref="L137 O114:O137 K138:O161 E135:J220 AY49:BD136 CS108:CX195 EM87:ES174">
    <cfRule type="expression" dxfId="44" priority="15">
      <formula>#REF!&lt;&gt;_xludf.INDIRECT(_xludf.ADDRESS(_xludf.ROW()-200,_xludf.COLUMN()))</formula>
    </cfRule>
  </conditionalFormatting>
  <conditionalFormatting sqref="K176">
    <cfRule type="expression" dxfId="43" priority="17">
      <formula>#REF!&lt;&gt;_xludf.INDIRECT(_xludf.ADDRESS(_xludf.ROW()-200,_xludf.COLUMN()))</formula>
    </cfRule>
  </conditionalFormatting>
  <conditionalFormatting sqref="G222">
    <cfRule type="expression" dxfId="42" priority="20">
      <formula>#REF!&lt;&gt;_xludf.INDIRECT(_xludf.ADDRESS(_xludf.ROW()-200,_xludf.COLUMN()))</formula>
    </cfRule>
  </conditionalFormatting>
  <conditionalFormatting sqref="E221:E225 K162:K166">
    <cfRule type="expression" dxfId="41" priority="38">
      <formula>#REF!&lt;&gt;_xludf.INDIRECT(_xludf.ADDRESS(_xludf.ROW()-200,_xludf.COLUMN()))</formula>
    </cfRule>
  </conditionalFormatting>
  <conditionalFormatting sqref="BG131:BG136 BI114:BI136">
    <cfRule type="expression" dxfId="40" priority="3">
      <formula>#REF!&lt;&gt;_xludf.INDIRECT(_xludf.ADDRESS(_xludf.ROW()-200,_xludf.COLUMN()))</formula>
    </cfRule>
  </conditionalFormatting>
  <conditionalFormatting sqref="DA133:DA136 DC114:DC136">
    <cfRule type="expression" dxfId="39" priority="2">
      <formula>#REF!&lt;&gt;_xludf.INDIRECT(_xludf.ADDRESS(_xludf.ROW()-200,_xludf.COLUMN()))</formula>
    </cfRule>
  </conditionalFormatting>
  <conditionalFormatting sqref="ET134:EU137">
    <cfRule type="expression" dxfId="38" priority="1">
      <formula>#REF!&lt;&gt;_xludf.INDIRECT(_xludf.ADDRESS(_xludf.ROW()-200,_xludf.COLUMN()))</formula>
    </cfRule>
  </conditionalFormatting>
  <conditionalFormatting sqref="O167:O181">
    <cfRule type="expression" dxfId="37" priority="44">
      <formula>O22&lt;&gt;_xludf.INDIRECT(_xludf.ADDRESS(_xludf.ROW()-200,_xludf.COLUMN()))</formula>
    </cfRule>
  </conditionalFormatting>
  <conditionalFormatting sqref="N184 O182:O184">
    <cfRule type="expression" dxfId="36" priority="95">
      <formula>#REF!&lt;&gt;_xludf.INDIRECT(_xludf.ADDRESS(_xludf.ROW()-200,_xludf.COLUMN()))</formula>
    </cfRule>
  </conditionalFormatting>
  <conditionalFormatting sqref="N167:N183">
    <cfRule type="expression" dxfId="35" priority="140">
      <formula>N117&lt;&gt;_xludf.INDIRECT(_xludf.ADDRESS(_xludf.ROW()-200,_xludf.COLUMN()))</formula>
    </cfRule>
  </conditionalFormatting>
  <conditionalFormatting sqref="K177:K184 K167:K175 L167:M184">
    <cfRule type="expression" dxfId="34" priority="141">
      <formula>K116&lt;&gt;_xludf.INDIRECT(_xludf.ADDRESS(_xludf.ROW()-200,_xludf.COLUMN()))</formula>
    </cfRule>
  </conditionalFormatting>
  <conditionalFormatting sqref="J236">
    <cfRule type="expression" dxfId="33" priority="144">
      <formula>K125&lt;&gt;_xludf.INDIRECT(_xludf.ADDRESS(_xludf.ROW()-200,_xludf.COLUMN()))</formula>
    </cfRule>
  </conditionalFormatting>
  <conditionalFormatting sqref="L162:O166">
    <cfRule type="expression" dxfId="32" priority="145">
      <formula>K111&lt;&gt;_xludf.INDIRECT(_xludf.ADDRESS(_xludf.ROW()-200,_xludf.COLUMN()))</formula>
    </cfRule>
  </conditionalFormatting>
  <conditionalFormatting sqref="H222">
    <cfRule type="expression" dxfId="31" priority="146">
      <formula>F112&lt;&gt;_xludf.INDIRECT(_xludf.ADDRESS(_xludf.ROW()-200,_xludf.COLUMN()))</formula>
    </cfRule>
  </conditionalFormatting>
  <conditionalFormatting sqref="J226:J235 E226:I243 J237:J243">
    <cfRule type="expression" dxfId="30" priority="147">
      <formula>E116&lt;&gt;_xludf.INDIRECT(_xludf.ADDRESS(_xludf.ROW()-200,_xludf.COLUMN()))</formula>
    </cfRule>
  </conditionalFormatting>
  <conditionalFormatting sqref="F222:F225 G223:H225 F221:J221 I222:J225">
    <cfRule type="expression" dxfId="29" priority="150">
      <formula>E111&lt;&gt;_xludf.INDIRECT(_xludf.ADDRESS(_xludf.ROW()-200,_xludf.COLUMN()))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0</xdr:col>
                    <xdr:colOff>85725</xdr:colOff>
                    <xdr:row>0</xdr:row>
                    <xdr:rowOff>95250</xdr:rowOff>
                  </from>
                  <to>
                    <xdr:col>3</xdr:col>
                    <xdr:colOff>1466850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5</xdr:col>
                    <xdr:colOff>28575</xdr:colOff>
                    <xdr:row>6</xdr:row>
                    <xdr:rowOff>38100</xdr:rowOff>
                  </from>
                  <to>
                    <xdr:col>7</xdr:col>
                    <xdr:colOff>1647825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4</xdr:col>
                    <xdr:colOff>47625</xdr:colOff>
                    <xdr:row>4</xdr:row>
                    <xdr:rowOff>19050</xdr:rowOff>
                  </from>
                  <to>
                    <xdr:col>4</xdr:col>
                    <xdr:colOff>3333750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7</xdr:col>
                    <xdr:colOff>28575</xdr:colOff>
                    <xdr:row>19</xdr:row>
                    <xdr:rowOff>228600</xdr:rowOff>
                  </from>
                  <to>
                    <xdr:col>8</xdr:col>
                    <xdr:colOff>1447800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38100</xdr:colOff>
                    <xdr:row>19</xdr:row>
                    <xdr:rowOff>219075</xdr:rowOff>
                  </from>
                  <to>
                    <xdr:col>10</xdr:col>
                    <xdr:colOff>1457325</xdr:colOff>
                    <xdr:row>22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0</xdr:col>
                    <xdr:colOff>57150</xdr:colOff>
                    <xdr:row>17</xdr:row>
                    <xdr:rowOff>28575</xdr:rowOff>
                  </from>
                  <to>
                    <xdr:col>1</xdr:col>
                    <xdr:colOff>1628775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0" name="Button 22">
              <controlPr defaultSize="0" print="0" autoFill="0" autoPict="0" macro="[0]!load_TP_DB">
                <anchor moveWithCells="1" sizeWithCells="1">
                  <from>
                    <xdr:col>51</xdr:col>
                    <xdr:colOff>28575</xdr:colOff>
                    <xdr:row>5</xdr:row>
                    <xdr:rowOff>28575</xdr:rowOff>
                  </from>
                  <to>
                    <xdr:col>51</xdr:col>
                    <xdr:colOff>800100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1" name="Button 23">
              <controlPr defaultSize="0" print="0" autoFill="0" autoPict="0" macro="[0]!save_TP_Data">
                <anchor moveWithCells="1" sizeWithCells="1">
                  <from>
                    <xdr:col>62</xdr:col>
                    <xdr:colOff>790575</xdr:colOff>
                    <xdr:row>10</xdr:row>
                    <xdr:rowOff>28575</xdr:rowOff>
                  </from>
                  <to>
                    <xdr:col>63</xdr:col>
                    <xdr:colOff>666750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2" name="Button 24">
              <controlPr defaultSize="0" print="0" autoFill="0" autoPict="0" macro="[0]!delete_TP_Data">
                <anchor moveWithCells="1" sizeWithCells="1">
                  <from>
                    <xdr:col>60</xdr:col>
                    <xdr:colOff>276225</xdr:colOff>
                    <xdr:row>10</xdr:row>
                    <xdr:rowOff>47625</xdr:rowOff>
                  </from>
                  <to>
                    <xdr:col>62</xdr:col>
                    <xdr:colOff>762000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3" name="Button 27">
              <controlPr defaultSize="0" print="0" autoFill="0" autoPict="0" macro="[0]!load_TOWER_DB">
                <anchor moveWithCells="1" sizeWithCells="1">
                  <from>
                    <xdr:col>96</xdr:col>
                    <xdr:colOff>38100</xdr:colOff>
                    <xdr:row>5</xdr:row>
                    <xdr:rowOff>38100</xdr:rowOff>
                  </from>
                  <to>
                    <xdr:col>96</xdr:col>
                    <xdr:colOff>790575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4" name="Button 28">
              <controlPr defaultSize="0" print="0" autoFill="0" autoPict="0" macro="[0]!save_TOWER_Data">
                <anchor moveWithCells="1" sizeWithCells="1">
                  <from>
                    <xdr:col>108</xdr:col>
                    <xdr:colOff>866775</xdr:colOff>
                    <xdr:row>10</xdr:row>
                    <xdr:rowOff>19050</xdr:rowOff>
                  </from>
                  <to>
                    <xdr:col>109</xdr:col>
                    <xdr:colOff>2171700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5" name="Button 29">
              <controlPr defaultSize="0" print="0" autoFill="0" autoPict="0" macro="[0]!delete_TOWER_Data">
                <anchor moveWithCells="1" sizeWithCells="1">
                  <from>
                    <xdr:col>106</xdr:col>
                    <xdr:colOff>333375</xdr:colOff>
                    <xdr:row>9</xdr:row>
                    <xdr:rowOff>171450</xdr:rowOff>
                  </from>
                  <to>
                    <xdr:col>108</xdr:col>
                    <xdr:colOff>809625</xdr:colOff>
                    <xdr:row>14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6" name="Button 31">
              <controlPr defaultSize="0" print="0" autoFill="0" autoPict="0" macro="[0]!reload_MP_DB">
                <anchor moveWithCells="1" sizeWithCells="1">
                  <from>
                    <xdr:col>4</xdr:col>
                    <xdr:colOff>28575</xdr:colOff>
                    <xdr:row>6</xdr:row>
                    <xdr:rowOff>9525</xdr:rowOff>
                  </from>
                  <to>
                    <xdr:col>4</xdr:col>
                    <xdr:colOff>3324225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7" name="Button 32">
              <controlPr defaultSize="0" print="0" autoFill="0" autoPict="0" macro="[0]!reload_TP_DB">
                <anchor moveWithCells="1" sizeWithCells="1">
                  <from>
                    <xdr:col>51</xdr:col>
                    <xdr:colOff>838200</xdr:colOff>
                    <xdr:row>5</xdr:row>
                    <xdr:rowOff>19050</xdr:rowOff>
                  </from>
                  <to>
                    <xdr:col>52</xdr:col>
                    <xdr:colOff>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18" name="Button 33">
              <controlPr defaultSize="0" print="0" autoFill="0" autoPict="0" macro="[0]!reload_TOWER_DB">
                <anchor moveWithCells="1" sizeWithCells="1">
                  <from>
                    <xdr:col>96</xdr:col>
                    <xdr:colOff>819150</xdr:colOff>
                    <xdr:row>5</xdr:row>
                    <xdr:rowOff>19050</xdr:rowOff>
                  </from>
                  <to>
                    <xdr:col>97</xdr:col>
                    <xdr:colOff>9525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19" name="Import_MP_use_TP">
              <controlPr defaultSize="0" autoFill="0" autoLine="0" autoPict="0">
                <anchor moveWithCells="1">
                  <from>
                    <xdr:col>0</xdr:col>
                    <xdr:colOff>1609725</xdr:colOff>
                    <xdr:row>19</xdr:row>
                    <xdr:rowOff>95250</xdr:rowOff>
                  </from>
                  <to>
                    <xdr:col>1</xdr:col>
                    <xdr:colOff>800100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0" name="Import_MP_use_MP">
              <controlPr defaultSize="0" autoFill="0" autoLine="0" autoPict="0">
                <anchor moveWithCells="1">
                  <from>
                    <xdr:col>0</xdr:col>
                    <xdr:colOff>95250</xdr:colOff>
                    <xdr:row>19</xdr:row>
                    <xdr:rowOff>114300</xdr:rowOff>
                  </from>
                  <to>
                    <xdr:col>0</xdr:col>
                    <xdr:colOff>1000125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1" name="Button 36">
              <controlPr defaultSize="0" print="0" autoFill="0" autoPict="0" macro="[0]!move_structure_MP">
                <anchor moveWithCells="1" sizeWithCells="1">
                  <from>
                    <xdr:col>4</xdr:col>
                    <xdr:colOff>28575</xdr:colOff>
                    <xdr:row>21</xdr:row>
                    <xdr:rowOff>19050</xdr:rowOff>
                  </from>
                  <to>
                    <xdr:col>4</xdr:col>
                    <xdr:colOff>3314700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2" name="Button 38">
              <controlPr defaultSize="0" print="0" autoFill="0" autoPict="0" macro="[0]!move_structure_TP">
                <anchor moveWithCells="1" sizeWithCells="1">
                  <from>
                    <xdr:col>56</xdr:col>
                    <xdr:colOff>0</xdr:colOff>
                    <xdr:row>7</xdr:row>
                    <xdr:rowOff>9525</xdr:rowOff>
                  </from>
                  <to>
                    <xdr:col>56</xdr:col>
                    <xdr:colOff>1514475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3" name="Button 40">
              <controlPr defaultSize="0" print="0" autoFill="0" autoPict="0" macro="[0]!load_RNA_DB">
                <anchor moveWithCells="1" sizeWithCells="1">
                  <from>
                    <xdr:col>142</xdr:col>
                    <xdr:colOff>38100</xdr:colOff>
                    <xdr:row>5</xdr:row>
                    <xdr:rowOff>38100</xdr:rowOff>
                  </from>
                  <to>
                    <xdr:col>142</xdr:col>
                    <xdr:colOff>790575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4" name="Button 41">
              <controlPr defaultSize="0" print="0" autoFill="0" autoPict="0" macro="[0]!save_RNA_Data">
                <anchor moveWithCells="1" sizeWithCells="1">
                  <from>
                    <xdr:col>146</xdr:col>
                    <xdr:colOff>857250</xdr:colOff>
                    <xdr:row>6</xdr:row>
                    <xdr:rowOff>28575</xdr:rowOff>
                  </from>
                  <to>
                    <xdr:col>148</xdr:col>
                    <xdr:colOff>1590675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5" name="Button 43">
              <controlPr defaultSize="0" print="0" autoFill="0" autoPict="0" macro="[0]!reload_RNA_DB">
                <anchor moveWithCells="1" sizeWithCells="1">
                  <from>
                    <xdr:col>142</xdr:col>
                    <xdr:colOff>819150</xdr:colOff>
                    <xdr:row>5</xdr:row>
                    <xdr:rowOff>19050</xdr:rowOff>
                  </from>
                  <to>
                    <xdr:col>143</xdr:col>
                    <xdr:colOff>9525</xdr:colOff>
                    <xdr:row>5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6" name="Button 44">
              <controlPr defaultSize="0" print="0" autoFill="0" autoPict="0" macro="[0]!import_Masses_from_GConverter">
                <anchor moveWithCells="1" sizeWithCells="1">
                  <from>
                    <xdr:col>2</xdr:col>
                    <xdr:colOff>47625</xdr:colOff>
                    <xdr:row>17</xdr:row>
                    <xdr:rowOff>28575</xdr:rowOff>
                  </from>
                  <to>
                    <xdr:col>3</xdr:col>
                    <xdr:colOff>1495425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27" name="Button 48">
              <controlPr defaultSize="0" print="0" autoFill="0" autoPict="0" macro="[0]!show_MP_section">
                <anchor moveWithCells="1" sizeWithCells="1">
                  <from>
                    <xdr:col>0</xdr:col>
                    <xdr:colOff>123825</xdr:colOff>
                    <xdr:row>2</xdr:row>
                    <xdr:rowOff>104775</xdr:rowOff>
                  </from>
                  <to>
                    <xdr:col>1</xdr:col>
                    <xdr:colOff>1628775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28" name="Button 49">
              <controlPr defaultSize="0" print="0" autoFill="0" autoPict="0" macro="[0]!show_TP_section">
                <anchor moveWithCells="1" sizeWithCells="1">
                  <from>
                    <xdr:col>0</xdr:col>
                    <xdr:colOff>114300</xdr:colOff>
                    <xdr:row>5</xdr:row>
                    <xdr:rowOff>19050</xdr:rowOff>
                  </from>
                  <to>
                    <xdr:col>1</xdr:col>
                    <xdr:colOff>1609725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29" name="Button 50">
              <controlPr defaultSize="0" print="0" autoFill="0" autoPict="0" macro="[0]!show_TOWER_section">
                <anchor moveWithCells="1" sizeWithCells="1">
                  <from>
                    <xdr:col>0</xdr:col>
                    <xdr:colOff>123825</xdr:colOff>
                    <xdr:row>7</xdr:row>
                    <xdr:rowOff>219075</xdr:rowOff>
                  </from>
                  <to>
                    <xdr:col>1</xdr:col>
                    <xdr:colOff>1609725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0" name="Import_GeomConv_useMP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104775</xdr:rowOff>
                  </from>
                  <to>
                    <xdr:col>2</xdr:col>
                    <xdr:colOff>914400</xdr:colOff>
                    <xdr:row>21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1" name="Import_GeomConv_useTP">
              <controlPr defaultSize="0" autoFill="0" autoLine="0" autoPict="0">
                <anchor moveWithCells="1">
                  <from>
                    <xdr:col>2</xdr:col>
                    <xdr:colOff>1114425</xdr:colOff>
                    <xdr:row>19</xdr:row>
                    <xdr:rowOff>85725</xdr:rowOff>
                  </from>
                  <to>
                    <xdr:col>3</xdr:col>
                    <xdr:colOff>533400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32" name="Import_GeomConv_useTOWER">
              <controlPr defaultSize="0" autoFill="0" autoLine="0" autoPict="0">
                <anchor moveWithCells="1">
                  <from>
                    <xdr:col>3</xdr:col>
                    <xdr:colOff>676275</xdr:colOff>
                    <xdr:row>19</xdr:row>
                    <xdr:rowOff>76200</xdr:rowOff>
                  </from>
                  <to>
                    <xdr:col>3</xdr:col>
                    <xdr:colOff>1504950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33" name="Button 51">
              <controlPr defaultSize="0" print="0" autoFill="0" autoPict="0" macro="[0]!show_RNA_section">
                <anchor moveWithCells="1" sizeWithCells="1">
                  <from>
                    <xdr:col>0</xdr:col>
                    <xdr:colOff>133350</xdr:colOff>
                    <xdr:row>10</xdr:row>
                    <xdr:rowOff>180975</xdr:rowOff>
                  </from>
                  <to>
                    <xdr:col>1</xdr:col>
                    <xdr:colOff>1609725</xdr:colOff>
                    <xdr:row>13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34" name="Dropdown_TP_Structures">
              <controlPr defaultSize="0" autoLine="0" autoPict="0" macro="[0]!load_TP_Data">
                <anchor moveWithCells="1">
                  <from>
                    <xdr:col>51</xdr:col>
                    <xdr:colOff>76200</xdr:colOff>
                    <xdr:row>7</xdr:row>
                    <xdr:rowOff>19050</xdr:rowOff>
                  </from>
                  <to>
                    <xdr:col>164</xdr:col>
                    <xdr:colOff>1438275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35" name="Dropdown_RNA_Structures">
              <controlPr defaultSize="0" autoLine="0" autoPict="0">
                <anchor moveWithCells="1">
                  <from>
                    <xdr:col>142</xdr:col>
                    <xdr:colOff>47625</xdr:colOff>
                    <xdr:row>7</xdr:row>
                    <xdr:rowOff>19050</xdr:rowOff>
                  </from>
                  <to>
                    <xdr:col>164</xdr:col>
                    <xdr:colOff>1485900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36" name="Dropdown_TOWER_Structures">
              <controlPr defaultSize="0" autoLine="0" autoPict="0" macro="[0]!load_TOWER_Data">
                <anchor moveWithCells="1">
                  <from>
                    <xdr:col>96</xdr:col>
                    <xdr:colOff>19050</xdr:colOff>
                    <xdr:row>7</xdr:row>
                    <xdr:rowOff>19050</xdr:rowOff>
                  </from>
                  <to>
                    <xdr:col>164</xdr:col>
                    <xdr:colOff>1485900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37" name="Button 61">
              <controlPr defaultSize="0" print="0" autoFill="0" autoPict="0" macro="[0]!plot_MP">
                <anchor moveWithCells="1" sizeWithCells="1">
                  <from>
                    <xdr:col>11</xdr:col>
                    <xdr:colOff>152400</xdr:colOff>
                    <xdr:row>1</xdr:row>
                    <xdr:rowOff>9525</xdr:rowOff>
                  </from>
                  <to>
                    <xdr:col>11</xdr:col>
                    <xdr:colOff>1371600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6"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BA454"/>
  <sheetViews>
    <sheetView zoomScale="55" zoomScaleNormal="55" workbookViewId="0">
      <selection activeCell="M28" sqref="M28"/>
    </sheetView>
  </sheetViews>
  <sheetFormatPr baseColWidth="10" defaultColWidth="14.42578125" defaultRowHeight="15" x14ac:dyDescent="0.25"/>
  <cols>
    <col min="1" max="1" width="14.42578125" style="51"/>
    <col min="2" max="2" width="16.7109375" style="51" customWidth="1"/>
    <col min="3" max="6" width="14.42578125" style="51"/>
    <col min="7" max="7" width="19.7109375" style="51" customWidth="1"/>
    <col min="8" max="9" width="14.42578125" style="51"/>
    <col min="10" max="10" width="14.42578125" style="51" customWidth="1"/>
    <col min="11" max="13" width="14.42578125" style="51"/>
    <col min="14" max="14" width="22.140625" style="51" customWidth="1"/>
    <col min="15" max="15" width="10.28515625" style="55" customWidth="1"/>
    <col min="16" max="16" width="23.85546875" style="55" customWidth="1"/>
    <col min="17" max="17" width="12.7109375" style="55" customWidth="1"/>
    <col min="18" max="18" width="58.7109375" style="55" customWidth="1"/>
    <col min="19" max="19" width="15.28515625" style="55" customWidth="1"/>
    <col min="20" max="20" width="23" style="55" customWidth="1"/>
    <col min="21" max="21" width="21.85546875" style="55" customWidth="1"/>
    <col min="22" max="22" width="27.42578125" style="55" customWidth="1"/>
    <col min="23" max="23" width="28.140625" style="55" customWidth="1"/>
    <col min="24" max="24" width="26.85546875" style="55" customWidth="1"/>
    <col min="25" max="25" width="15.28515625" style="55" customWidth="1"/>
    <col min="26" max="26" width="13" style="51" customWidth="1"/>
    <col min="27" max="27" width="14.42578125" style="51" customWidth="1"/>
    <col min="28" max="28" width="19.28515625" style="51" customWidth="1"/>
    <col min="29" max="29" width="14.42578125" style="51"/>
    <col min="30" max="30" width="17.7109375" style="51" customWidth="1"/>
    <col min="31" max="33" width="14.42578125" style="51"/>
    <col min="34" max="34" width="19" customWidth="1"/>
    <col min="35" max="35" width="18.42578125" customWidth="1"/>
    <col min="37" max="37" width="22.7109375" customWidth="1"/>
    <col min="39" max="39" width="20.42578125" customWidth="1"/>
    <col min="43" max="44" width="14.42578125" style="51"/>
    <col min="45" max="45" width="20.42578125" style="51" customWidth="1"/>
    <col min="46" max="46" width="26.7109375" style="51" customWidth="1"/>
    <col min="47" max="47" width="17.42578125" style="51" customWidth="1"/>
    <col min="48" max="16384" width="14.42578125" style="51"/>
  </cols>
  <sheetData>
    <row r="2" spans="2:53" ht="15" customHeight="1" x14ac:dyDescent="0.25">
      <c r="B2" s="51" t="s">
        <v>27</v>
      </c>
      <c r="C2" s="51" t="s">
        <v>108</v>
      </c>
      <c r="D2" s="55" t="s">
        <v>109</v>
      </c>
      <c r="E2" s="55"/>
      <c r="F2" s="55"/>
      <c r="G2" s="55"/>
      <c r="H2" s="55"/>
      <c r="I2" s="55" t="s">
        <v>130</v>
      </c>
      <c r="J2" s="51" t="s">
        <v>108</v>
      </c>
      <c r="K2" s="51" t="s">
        <v>109</v>
      </c>
      <c r="M2" s="55"/>
      <c r="N2" s="55"/>
    </row>
    <row r="3" spans="2:53" x14ac:dyDescent="0.25">
      <c r="B3" s="68" t="s">
        <v>123</v>
      </c>
      <c r="C3" s="70"/>
      <c r="D3" s="73" t="s">
        <v>78</v>
      </c>
      <c r="E3" s="55"/>
      <c r="I3" t="s">
        <v>72</v>
      </c>
      <c r="J3" s="64">
        <f>SUMIF(WHOLE_STRUCTURE[Affiliation], "TOWER", J14:J2252)</f>
        <v>0</v>
      </c>
      <c r="K3" s="51" t="s">
        <v>6</v>
      </c>
      <c r="M3" s="55"/>
      <c r="N3" s="55"/>
    </row>
    <row r="4" spans="2:53" ht="15" customHeight="1" x14ac:dyDescent="0.25">
      <c r="B4" s="68" t="s">
        <v>122</v>
      </c>
      <c r="C4" s="70" t="s">
        <v>49</v>
      </c>
      <c r="D4" s="73" t="s">
        <v>78</v>
      </c>
      <c r="I4" t="s">
        <v>86</v>
      </c>
      <c r="J4" s="64">
        <f>SUMIF(WHOLE_STRUCTURE[Affiliation], "TP", J14:J2252)</f>
        <v>0</v>
      </c>
      <c r="K4" s="51" t="s">
        <v>6</v>
      </c>
      <c r="L4" s="55"/>
      <c r="M4" s="55"/>
      <c r="N4" s="55"/>
    </row>
    <row r="5" spans="2:53" ht="15" customHeight="1" x14ac:dyDescent="0.25">
      <c r="B5" s="69" t="s">
        <v>208</v>
      </c>
      <c r="C5" s="71"/>
      <c r="D5" s="72" t="s">
        <v>124</v>
      </c>
      <c r="I5" t="s">
        <v>69</v>
      </c>
      <c r="J5" s="64">
        <f>SUMIF(WHOLE_STRUCTURE[Affiliation], "MP", J14:J2252)</f>
        <v>0</v>
      </c>
      <c r="K5" s="51" t="s">
        <v>6</v>
      </c>
      <c r="M5" s="55"/>
      <c r="N5" s="55"/>
    </row>
    <row r="6" spans="2:53" x14ac:dyDescent="0.25">
      <c r="B6" s="68" t="s">
        <v>125</v>
      </c>
      <c r="C6" s="70">
        <v>-43.5</v>
      </c>
      <c r="D6" s="73" t="s">
        <v>124</v>
      </c>
      <c r="I6" t="s">
        <v>118</v>
      </c>
      <c r="J6" s="64" cm="1">
        <f t="array" ref="J6">RNA[Power '[MW']]</f>
        <v>0</v>
      </c>
      <c r="K6" s="51" t="s">
        <v>6</v>
      </c>
      <c r="M6" s="55"/>
      <c r="N6" s="55"/>
      <c r="AI6" s="74"/>
      <c r="AJ6" s="74"/>
    </row>
    <row r="7" spans="2:53" ht="15" customHeight="1" x14ac:dyDescent="0.25">
      <c r="I7" t="s">
        <v>121</v>
      </c>
      <c r="J7" s="64">
        <f>SUM(Q14:Q1048576)</f>
        <v>0</v>
      </c>
      <c r="K7" s="51" t="s">
        <v>6</v>
      </c>
      <c r="M7" s="55"/>
      <c r="N7" s="55"/>
      <c r="AT7" s="51" t="s">
        <v>241</v>
      </c>
    </row>
    <row r="8" spans="2:53" ht="15" customHeight="1" x14ac:dyDescent="0.25">
      <c r="B8" s="81" t="s">
        <v>199</v>
      </c>
      <c r="C8" s="70">
        <f xml:space="preserve"> INDEX(WHOLE_STRUCTURE[Top '[m']], 1) + INDEX(RNA[Vertical Offset TT to HH '[m']],1)</f>
        <v>0</v>
      </c>
      <c r="D8" s="73" t="s">
        <v>124</v>
      </c>
      <c r="I8" t="s">
        <v>129</v>
      </c>
      <c r="J8" s="64">
        <f>SUM(J3:J7)</f>
        <v>0</v>
      </c>
      <c r="K8" s="51" t="s">
        <v>6</v>
      </c>
      <c r="M8" s="55"/>
      <c r="N8" s="55"/>
    </row>
    <row r="9" spans="2:53" ht="15" customHeight="1" x14ac:dyDescent="0.25">
      <c r="I9"/>
      <c r="J9" s="64"/>
      <c r="M9" s="55"/>
      <c r="N9" s="55"/>
    </row>
    <row r="10" spans="2:53" ht="15" customHeight="1" x14ac:dyDescent="0.25">
      <c r="B10"/>
      <c r="C10"/>
      <c r="D10"/>
      <c r="E10"/>
      <c r="F10"/>
      <c r="G10"/>
      <c r="H10"/>
      <c r="L10"/>
      <c r="M10"/>
      <c r="N10"/>
      <c r="O10"/>
      <c r="P10"/>
      <c r="Q10"/>
    </row>
    <row r="11" spans="2:53" ht="31.9" customHeight="1" x14ac:dyDescent="0.5">
      <c r="B11" s="63" t="s">
        <v>100</v>
      </c>
      <c r="O11" s="63" t="s">
        <v>101</v>
      </c>
      <c r="AA11" s="63" t="s">
        <v>103</v>
      </c>
      <c r="AH11" s="63" t="s">
        <v>118</v>
      </c>
      <c r="AR11" s="63" t="s">
        <v>20</v>
      </c>
      <c r="AX11" s="63" t="s">
        <v>102</v>
      </c>
    </row>
    <row r="14" spans="2:53" x14ac:dyDescent="0.25">
      <c r="B14" s="51" t="s">
        <v>1</v>
      </c>
      <c r="C14" s="51" t="s">
        <v>88</v>
      </c>
      <c r="D14" s="51" t="s">
        <v>85</v>
      </c>
      <c r="E14" s="51" t="s">
        <v>98</v>
      </c>
      <c r="F14" s="51" t="s">
        <v>97</v>
      </c>
      <c r="G14" s="51" t="s">
        <v>79</v>
      </c>
      <c r="H14" s="51" t="s">
        <v>80</v>
      </c>
      <c r="I14" s="51" t="s">
        <v>81</v>
      </c>
      <c r="J14" s="51" t="s">
        <v>87</v>
      </c>
      <c r="K14" s="51" t="s">
        <v>9</v>
      </c>
      <c r="L14" s="51" t="s">
        <v>10</v>
      </c>
      <c r="M14" s="51" t="s">
        <v>12</v>
      </c>
      <c r="O14" s="55" t="s">
        <v>88</v>
      </c>
      <c r="P14" s="83" t="s">
        <v>257</v>
      </c>
      <c r="Q14" t="s">
        <v>98</v>
      </c>
      <c r="R14" t="s">
        <v>97</v>
      </c>
      <c r="S14" s="51" t="s">
        <v>90</v>
      </c>
      <c r="T14" s="51" t="s">
        <v>231</v>
      </c>
      <c r="U14" s="51" t="s">
        <v>232</v>
      </c>
      <c r="V14" s="51" t="s">
        <v>233</v>
      </c>
      <c r="W14" s="51" t="s">
        <v>235</v>
      </c>
      <c r="X14" s="51" t="s">
        <v>234</v>
      </c>
      <c r="AA14" s="61" t="s">
        <v>88</v>
      </c>
      <c r="AB14" s="57" t="s">
        <v>99</v>
      </c>
      <c r="AC14" s="57" t="s">
        <v>120</v>
      </c>
      <c r="AD14" s="62" t="s">
        <v>19</v>
      </c>
      <c r="AH14" t="s">
        <v>74</v>
      </c>
      <c r="AI14" t="s">
        <v>131</v>
      </c>
      <c r="AJ14" t="s">
        <v>132</v>
      </c>
      <c r="AK14" t="s">
        <v>210</v>
      </c>
      <c r="AL14" t="s">
        <v>219</v>
      </c>
      <c r="AM14" t="s">
        <v>220</v>
      </c>
      <c r="AN14" t="s">
        <v>229</v>
      </c>
      <c r="AO14" t="s">
        <v>228</v>
      </c>
      <c r="AP14" s="78" t="s">
        <v>19</v>
      </c>
      <c r="AR14" s="51" t="s">
        <v>97</v>
      </c>
      <c r="AS14" s="51" t="s">
        <v>98</v>
      </c>
      <c r="AT14" s="51" t="s">
        <v>104</v>
      </c>
      <c r="AU14" s="51" t="s">
        <v>240</v>
      </c>
      <c r="AV14" s="51" t="s">
        <v>239</v>
      </c>
      <c r="AX14" s="51" t="s">
        <v>97</v>
      </c>
      <c r="AY14" s="51" t="s">
        <v>98</v>
      </c>
      <c r="AZ14" s="51" t="s">
        <v>17</v>
      </c>
      <c r="BA14" s="51" t="s">
        <v>18</v>
      </c>
    </row>
    <row r="15" spans="2:53" x14ac:dyDescent="0.25">
      <c r="J15" s="54" t="str">
        <f t="shared" ref="J15:J41" si="0">IF(7850/1000*(1/3)*PI()*ABS(E15-F15)*((G15/2)^2+(G15/2)*(H15/2)+(H15/2)^2-(G15/2-I15/1000)^2-(G15/2-I15/1000)*(H15/2-I15/1000)-(H15/2-I15/1000)^2)=0,"",7850/1000*(1/3)*PI()*ABS(E15-F15)*((G15/2)^2+(G15/2)*(H15/2)+(H15/2)^2-(G15/2-I15/1000)^2-(G15/2-I15/1000)*(H15/2-I15/1000)-(H15/2-I15/1000)^2))</f>
        <v/>
      </c>
      <c r="K15" s="53">
        <f>IFERROR(WHOLE_STRUCTURE[[#This Row],[Bottom '[m']]]-WHOLE_STRUCTURE[[#This Row],[D, top '[m']]], "")</f>
        <v>0</v>
      </c>
      <c r="L15" s="54" t="str">
        <f>IFERROR(-(WHOLE_STRUCTURE[[#This Row],[D, bottom '[m']]]-WHOLE_STRUCTURE[[#This Row],[D, top '[m']]])/(WHOLE_STRUCTURE[[#This Row],[Bottom '[m']]]-WHOLE_STRUCTURE[[#This Row],[Top '[m']]]),"")</f>
        <v/>
      </c>
      <c r="M15" s="52" t="str">
        <f>IFERROR((WHOLE_STRUCTURE[[#This Row],[D, bottom '[m']]]+WHOLE_STRUCTURE[[#This Row],[D, top '[m']]])/(2*WHOLE_STRUCTURE[[#This Row],[t '[mm']]]/1000),"")</f>
        <v/>
      </c>
      <c r="S15" s="51"/>
      <c r="T15" s="51"/>
      <c r="U15" s="51"/>
      <c r="V15" s="51"/>
      <c r="W15" s="51"/>
      <c r="X15" s="51"/>
      <c r="AB15" s="64"/>
      <c r="AC15" s="64"/>
      <c r="AH15" s="58"/>
      <c r="AI15" s="58"/>
      <c r="AJ15" s="58"/>
      <c r="AK15" s="60"/>
      <c r="AL15" s="60"/>
      <c r="AM15" s="60"/>
      <c r="AN15" s="60"/>
      <c r="AO15" s="60"/>
      <c r="AP15" s="60"/>
      <c r="AR15" s="51">
        <v>139</v>
      </c>
      <c r="AS15" s="51">
        <v>4.5999999999999996</v>
      </c>
      <c r="AT15" s="51">
        <v>0</v>
      </c>
      <c r="AU15" s="51">
        <v>1325</v>
      </c>
      <c r="AV15" s="51">
        <v>0.5</v>
      </c>
      <c r="AX15" s="51">
        <v>20</v>
      </c>
      <c r="AY15" s="51">
        <v>6.5</v>
      </c>
      <c r="AZ15" s="51">
        <v>0.9</v>
      </c>
      <c r="BA15" s="51">
        <v>2</v>
      </c>
    </row>
    <row r="16" spans="2:53" x14ac:dyDescent="0.25">
      <c r="J16" s="54" t="str">
        <f t="shared" si="0"/>
        <v/>
      </c>
      <c r="K16" s="53">
        <f>IFERROR(WHOLE_STRUCTURE[[#This Row],[Bottom '[m']]]-WHOLE_STRUCTURE[[#This Row],[D, top '[m']]], "")</f>
        <v>0</v>
      </c>
      <c r="L16" s="54" t="str">
        <f>IFERROR(-(WHOLE_STRUCTURE[[#This Row],[D, bottom '[m']]]-WHOLE_STRUCTURE[[#This Row],[D, top '[m']]])/(WHOLE_STRUCTURE[[#This Row],[Bottom '[m']]]-WHOLE_STRUCTURE[[#This Row],[Top '[m']]]),"")</f>
        <v/>
      </c>
      <c r="M16" s="52" t="str">
        <f>IFERROR((WHOLE_STRUCTURE[[#This Row],[D, bottom '[m']]]+WHOLE_STRUCTURE[[#This Row],[D, top '[m']]])/(2*WHOLE_STRUCTURE[[#This Row],[t '[mm']]]/1000),"")</f>
        <v/>
      </c>
      <c r="S16" s="51"/>
      <c r="T16" s="51"/>
      <c r="U16" s="51"/>
      <c r="V16" s="51"/>
      <c r="W16" s="51"/>
      <c r="X16" s="51"/>
      <c r="AR16" s="51">
        <f>IF(ISBLANK(AS16),"",AS15)</f>
        <v>4.5999999999999996</v>
      </c>
      <c r="AS16" s="51">
        <v>-9.6</v>
      </c>
      <c r="AT16" s="51">
        <v>250</v>
      </c>
      <c r="AU16" s="51">
        <v>1325</v>
      </c>
      <c r="AV16" s="51">
        <v>0.5</v>
      </c>
      <c r="AX16" s="51">
        <f>IF(ISBLANK(AY16),"",AY15)</f>
        <v>6.5</v>
      </c>
      <c r="AY16" s="51">
        <v>-22</v>
      </c>
      <c r="AZ16" s="51">
        <v>0.9</v>
      </c>
      <c r="BA16" s="51">
        <v>2</v>
      </c>
    </row>
    <row r="17" spans="10:50" x14ac:dyDescent="0.25">
      <c r="J17" s="54" t="str">
        <f t="shared" si="0"/>
        <v/>
      </c>
      <c r="K17" s="53">
        <f>IFERROR(WHOLE_STRUCTURE[[#This Row],[Bottom '[m']]]-WHOLE_STRUCTURE[[#This Row],[D, top '[m']]], "")</f>
        <v>0</v>
      </c>
      <c r="L17" s="54" t="str">
        <f>IFERROR(-(WHOLE_STRUCTURE[[#This Row],[D, bottom '[m']]]-WHOLE_STRUCTURE[[#This Row],[D, top '[m']]])/(WHOLE_STRUCTURE[[#This Row],[Bottom '[m']]]-WHOLE_STRUCTURE[[#This Row],[Top '[m']]]),"")</f>
        <v/>
      </c>
      <c r="M17" s="52" t="str">
        <f>IFERROR((WHOLE_STRUCTURE[[#This Row],[D, bottom '[m']]]+WHOLE_STRUCTURE[[#This Row],[D, top '[m']]])/(2*WHOLE_STRUCTURE[[#This Row],[t '[mm']]]/1000),"")</f>
        <v/>
      </c>
      <c r="S17" s="51"/>
      <c r="T17" s="51"/>
      <c r="U17" s="51"/>
      <c r="V17" s="51"/>
      <c r="W17" s="51"/>
      <c r="X17" s="51"/>
      <c r="AR17" s="51">
        <f t="shared" ref="AR17" si="1">IF(ISBLANK(AS17),"",AS16)</f>
        <v>-9.6</v>
      </c>
      <c r="AS17" s="51">
        <v>-22</v>
      </c>
      <c r="AT17" s="51">
        <v>100</v>
      </c>
      <c r="AU17" s="51">
        <v>1325</v>
      </c>
      <c r="AV17" s="51">
        <v>0.5</v>
      </c>
      <c r="AX17" s="51" t="str">
        <f t="shared" ref="AX17" si="2">IF(ISBLANK(AY17),"",AY16)</f>
        <v/>
      </c>
    </row>
    <row r="18" spans="10:50" x14ac:dyDescent="0.25">
      <c r="J18" s="54" t="str">
        <f t="shared" si="0"/>
        <v/>
      </c>
      <c r="K18" s="53">
        <f>IFERROR(WHOLE_STRUCTURE[[#This Row],[Bottom '[m']]]-WHOLE_STRUCTURE[[#This Row],[D, top '[m']]], "")</f>
        <v>0</v>
      </c>
      <c r="L18" s="54" t="str">
        <f>IFERROR(-(WHOLE_STRUCTURE[[#This Row],[D, bottom '[m']]]-WHOLE_STRUCTURE[[#This Row],[D, top '[m']]])/(WHOLE_STRUCTURE[[#This Row],[Bottom '[m']]]-WHOLE_STRUCTURE[[#This Row],[Top '[m']]]),"")</f>
        <v/>
      </c>
      <c r="M18" s="52" t="str">
        <f>IFERROR((WHOLE_STRUCTURE[[#This Row],[D, bottom '[m']]]+WHOLE_STRUCTURE[[#This Row],[D, top '[m']]])/(2*WHOLE_STRUCTURE[[#This Row],[t '[mm']]]/1000),"")</f>
        <v/>
      </c>
      <c r="S18" s="51"/>
      <c r="T18" s="51"/>
      <c r="U18" s="51"/>
      <c r="V18" s="51"/>
      <c r="W18" s="51"/>
      <c r="X18" s="51"/>
      <c r="AA18" s="56" t="s">
        <v>88</v>
      </c>
      <c r="AB18" s="57" t="s">
        <v>98</v>
      </c>
      <c r="AC18" s="57" t="s">
        <v>97</v>
      </c>
      <c r="AD18" s="57" t="s">
        <v>79</v>
      </c>
      <c r="AE18" s="57" t="s">
        <v>80</v>
      </c>
      <c r="AF18" s="57" t="s">
        <v>81</v>
      </c>
    </row>
    <row r="19" spans="10:50" x14ac:dyDescent="0.25">
      <c r="J19" s="54" t="str">
        <f t="shared" si="0"/>
        <v/>
      </c>
      <c r="K19" s="53">
        <f>IFERROR(WHOLE_STRUCTURE[[#This Row],[Bottom '[m']]]-WHOLE_STRUCTURE[[#This Row],[D, top '[m']]], "")</f>
        <v>0</v>
      </c>
      <c r="L19" s="54" t="str">
        <f>IFERROR(-(WHOLE_STRUCTURE[[#This Row],[D, bottom '[m']]]-WHOLE_STRUCTURE[[#This Row],[D, top '[m']]])/(WHOLE_STRUCTURE[[#This Row],[Bottom '[m']]]-WHOLE_STRUCTURE[[#This Row],[Top '[m']]]),"")</f>
        <v/>
      </c>
      <c r="M19" s="52" t="str">
        <f>IFERROR((WHOLE_STRUCTURE[[#This Row],[D, bottom '[m']]]+WHOLE_STRUCTURE[[#This Row],[D, top '[m']]])/(2*WHOLE_STRUCTURE[[#This Row],[t '[mm']]]/1000),"")</f>
        <v/>
      </c>
      <c r="S19" s="51"/>
      <c r="T19" s="51"/>
      <c r="U19" s="51"/>
      <c r="V19" s="51"/>
      <c r="W19" s="51"/>
      <c r="X19" s="51"/>
      <c r="AA19" s="58"/>
      <c r="AB19" s="58"/>
      <c r="AC19" s="58"/>
      <c r="AD19" s="58"/>
      <c r="AE19" s="59"/>
      <c r="AF19" s="60"/>
    </row>
    <row r="20" spans="10:50" x14ac:dyDescent="0.25">
      <c r="J20" s="54" t="str">
        <f t="shared" si="0"/>
        <v/>
      </c>
      <c r="K20" s="53">
        <f>IFERROR(WHOLE_STRUCTURE[[#This Row],[Bottom '[m']]]-WHOLE_STRUCTURE[[#This Row],[D, top '[m']]], "")</f>
        <v>0</v>
      </c>
      <c r="L20" s="54" t="str">
        <f>IFERROR(-(WHOLE_STRUCTURE[[#This Row],[D, bottom '[m']]]-WHOLE_STRUCTURE[[#This Row],[D, top '[m']]])/(WHOLE_STRUCTURE[[#This Row],[Bottom '[m']]]-WHOLE_STRUCTURE[[#This Row],[Top '[m']]]),"")</f>
        <v/>
      </c>
      <c r="M20" s="52" t="str">
        <f>IFERROR((WHOLE_STRUCTURE[[#This Row],[D, bottom '[m']]]+WHOLE_STRUCTURE[[#This Row],[D, top '[m']]])/(2*WHOLE_STRUCTURE[[#This Row],[t '[mm']]]/1000),"")</f>
        <v/>
      </c>
      <c r="S20" s="51"/>
      <c r="T20" s="51"/>
      <c r="U20" s="51"/>
      <c r="V20" s="51"/>
      <c r="W20" s="51"/>
      <c r="X20" s="51"/>
      <c r="AA20" s="58"/>
      <c r="AB20" s="58"/>
      <c r="AC20" s="58"/>
      <c r="AD20" s="58"/>
      <c r="AE20" s="59"/>
      <c r="AF20" s="58"/>
    </row>
    <row r="21" spans="10:50" x14ac:dyDescent="0.25">
      <c r="J21" s="54" t="str">
        <f t="shared" si="0"/>
        <v/>
      </c>
      <c r="K21" s="53">
        <f>IFERROR(WHOLE_STRUCTURE[[#This Row],[Bottom '[m']]]-WHOLE_STRUCTURE[[#This Row],[D, top '[m']]], "")</f>
        <v>0</v>
      </c>
      <c r="L21" s="54" t="str">
        <f>IFERROR(-(WHOLE_STRUCTURE[[#This Row],[D, bottom '[m']]]-WHOLE_STRUCTURE[[#This Row],[D, top '[m']]])/(WHOLE_STRUCTURE[[#This Row],[Bottom '[m']]]-WHOLE_STRUCTURE[[#This Row],[Top '[m']]]),"")</f>
        <v/>
      </c>
      <c r="M21" s="52" t="str">
        <f>IFERROR((WHOLE_STRUCTURE[[#This Row],[D, bottom '[m']]]+WHOLE_STRUCTURE[[#This Row],[D, top '[m']]])/(2*WHOLE_STRUCTURE[[#This Row],[t '[mm']]]/1000),"")</f>
        <v/>
      </c>
      <c r="S21" s="51"/>
      <c r="T21" s="51"/>
      <c r="U21" s="51"/>
      <c r="V21" s="51"/>
      <c r="W21" s="51"/>
      <c r="X21" s="51"/>
    </row>
    <row r="22" spans="10:50" x14ac:dyDescent="0.25">
      <c r="J22" s="54" t="str">
        <f t="shared" si="0"/>
        <v/>
      </c>
      <c r="K22" s="53">
        <f>IFERROR(WHOLE_STRUCTURE[[#This Row],[Bottom '[m']]]-WHOLE_STRUCTURE[[#This Row],[D, top '[m']]], "")</f>
        <v>0</v>
      </c>
      <c r="L22" s="54" t="str">
        <f>IFERROR(-(WHOLE_STRUCTURE[[#This Row],[D, bottom '[m']]]-WHOLE_STRUCTURE[[#This Row],[D, top '[m']]])/(WHOLE_STRUCTURE[[#This Row],[Bottom '[m']]]-WHOLE_STRUCTURE[[#This Row],[Top '[m']]]),"")</f>
        <v/>
      </c>
      <c r="M22" s="52" t="str">
        <f>IFERROR((WHOLE_STRUCTURE[[#This Row],[D, bottom '[m']]]+WHOLE_STRUCTURE[[#This Row],[D, top '[m']]])/(2*WHOLE_STRUCTURE[[#This Row],[t '[mm']]]/1000),"")</f>
        <v/>
      </c>
      <c r="S22" s="51"/>
      <c r="T22" s="51"/>
      <c r="U22" s="51"/>
      <c r="V22" s="51"/>
      <c r="W22" s="51"/>
      <c r="X22" s="51"/>
    </row>
    <row r="23" spans="10:50" x14ac:dyDescent="0.25">
      <c r="J23" s="54" t="str">
        <f t="shared" si="0"/>
        <v/>
      </c>
      <c r="K23" s="53">
        <f>IFERROR(WHOLE_STRUCTURE[[#This Row],[Bottom '[m']]]-WHOLE_STRUCTURE[[#This Row],[D, top '[m']]], "")</f>
        <v>0</v>
      </c>
      <c r="L23" s="54" t="str">
        <f>IFERROR(-(WHOLE_STRUCTURE[[#This Row],[D, bottom '[m']]]-WHOLE_STRUCTURE[[#This Row],[D, top '[m']]])/(WHOLE_STRUCTURE[[#This Row],[Bottom '[m']]]-WHOLE_STRUCTURE[[#This Row],[Top '[m']]]),"")</f>
        <v/>
      </c>
      <c r="M23" s="52" t="str">
        <f>IFERROR((WHOLE_STRUCTURE[[#This Row],[D, bottom '[m']]]+WHOLE_STRUCTURE[[#This Row],[D, top '[m']]])/(2*WHOLE_STRUCTURE[[#This Row],[t '[mm']]]/1000),"")</f>
        <v/>
      </c>
      <c r="S23" s="51"/>
      <c r="T23" s="51"/>
      <c r="U23" s="51"/>
      <c r="V23" s="51"/>
      <c r="W23" s="51"/>
      <c r="X23" s="51"/>
    </row>
    <row r="24" spans="10:50" x14ac:dyDescent="0.25">
      <c r="J24" s="54" t="str">
        <f t="shared" si="0"/>
        <v/>
      </c>
      <c r="K24" s="53">
        <f>IFERROR(WHOLE_STRUCTURE[[#This Row],[Bottom '[m']]]-WHOLE_STRUCTURE[[#This Row],[D, top '[m']]], "")</f>
        <v>0</v>
      </c>
      <c r="L24" s="54" t="str">
        <f>IFERROR(-(WHOLE_STRUCTURE[[#This Row],[D, bottom '[m']]]-WHOLE_STRUCTURE[[#This Row],[D, top '[m']]])/(WHOLE_STRUCTURE[[#This Row],[Bottom '[m']]]-WHOLE_STRUCTURE[[#This Row],[Top '[m']]]),"")</f>
        <v/>
      </c>
      <c r="M24" s="52" t="str">
        <f>IFERROR((WHOLE_STRUCTURE[[#This Row],[D, bottom '[m']]]+WHOLE_STRUCTURE[[#This Row],[D, top '[m']]])/(2*WHOLE_STRUCTURE[[#This Row],[t '[mm']]]/1000),"")</f>
        <v/>
      </c>
      <c r="S24" s="51"/>
      <c r="T24" s="51"/>
      <c r="U24" s="51"/>
      <c r="V24" s="51"/>
      <c r="W24" s="51"/>
      <c r="X24" s="51"/>
    </row>
    <row r="25" spans="10:50" x14ac:dyDescent="0.25">
      <c r="J25" s="54" t="str">
        <f t="shared" si="0"/>
        <v/>
      </c>
      <c r="K25" s="53">
        <f>IFERROR(WHOLE_STRUCTURE[[#This Row],[Bottom '[m']]]-WHOLE_STRUCTURE[[#This Row],[D, top '[m']]], "")</f>
        <v>0</v>
      </c>
      <c r="L25" s="54" t="str">
        <f>IFERROR(-(WHOLE_STRUCTURE[[#This Row],[D, bottom '[m']]]-WHOLE_STRUCTURE[[#This Row],[D, top '[m']]])/(WHOLE_STRUCTURE[[#This Row],[Bottom '[m']]]-WHOLE_STRUCTURE[[#This Row],[Top '[m']]]),"")</f>
        <v/>
      </c>
      <c r="M25" s="52" t="str">
        <f>IFERROR((WHOLE_STRUCTURE[[#This Row],[D, bottom '[m']]]+WHOLE_STRUCTURE[[#This Row],[D, top '[m']]])/(2*WHOLE_STRUCTURE[[#This Row],[t '[mm']]]/1000),"")</f>
        <v/>
      </c>
      <c r="S25" s="51"/>
      <c r="T25" s="51"/>
      <c r="U25" s="51"/>
      <c r="V25" s="51"/>
      <c r="W25" s="51"/>
      <c r="X25" s="51"/>
    </row>
    <row r="26" spans="10:50" x14ac:dyDescent="0.25">
      <c r="J26" s="54" t="str">
        <f t="shared" si="0"/>
        <v/>
      </c>
      <c r="K26" s="53">
        <f>IFERROR(WHOLE_STRUCTURE[[#This Row],[Bottom '[m']]]-WHOLE_STRUCTURE[[#This Row],[D, top '[m']]], "")</f>
        <v>0</v>
      </c>
      <c r="L26" s="54" t="str">
        <f>IFERROR(-(WHOLE_STRUCTURE[[#This Row],[D, bottom '[m']]]-WHOLE_STRUCTURE[[#This Row],[D, top '[m']]])/(WHOLE_STRUCTURE[[#This Row],[Bottom '[m']]]-WHOLE_STRUCTURE[[#This Row],[Top '[m']]]),"")</f>
        <v/>
      </c>
      <c r="M26" s="52" t="str">
        <f>IFERROR((WHOLE_STRUCTURE[[#This Row],[D, bottom '[m']]]+WHOLE_STRUCTURE[[#This Row],[D, top '[m']]])/(2*WHOLE_STRUCTURE[[#This Row],[t '[mm']]]/1000),"")</f>
        <v/>
      </c>
      <c r="S26" s="51"/>
      <c r="T26" s="51"/>
      <c r="U26" s="51"/>
      <c r="V26" s="51"/>
      <c r="W26" s="51"/>
      <c r="X26" s="51"/>
    </row>
    <row r="27" spans="10:50" x14ac:dyDescent="0.25">
      <c r="J27" s="54" t="str">
        <f t="shared" si="0"/>
        <v/>
      </c>
      <c r="K27" s="53">
        <f>IFERROR(WHOLE_STRUCTURE[[#This Row],[Bottom '[m']]]-WHOLE_STRUCTURE[[#This Row],[D, top '[m']]], "")</f>
        <v>0</v>
      </c>
      <c r="L27" s="54" t="str">
        <f>IFERROR(-(WHOLE_STRUCTURE[[#This Row],[D, bottom '[m']]]-WHOLE_STRUCTURE[[#This Row],[D, top '[m']]])/(WHOLE_STRUCTURE[[#This Row],[Bottom '[m']]]-WHOLE_STRUCTURE[[#This Row],[Top '[m']]]),"")</f>
        <v/>
      </c>
      <c r="M27" s="52" t="str">
        <f>IFERROR((WHOLE_STRUCTURE[[#This Row],[D, bottom '[m']]]+WHOLE_STRUCTURE[[#This Row],[D, top '[m']]])/(2*WHOLE_STRUCTURE[[#This Row],[t '[mm']]]/1000),"")</f>
        <v/>
      </c>
      <c r="S27" s="51"/>
      <c r="T27" s="51"/>
      <c r="U27" s="51"/>
      <c r="V27" s="51"/>
      <c r="W27" s="51"/>
      <c r="X27" s="51"/>
    </row>
    <row r="28" spans="10:50" x14ac:dyDescent="0.25">
      <c r="J28" s="54" t="str">
        <f t="shared" si="0"/>
        <v/>
      </c>
      <c r="K28" s="53">
        <f>IFERROR(WHOLE_STRUCTURE[[#This Row],[Bottom '[m']]]-WHOLE_STRUCTURE[[#This Row],[D, top '[m']]], "")</f>
        <v>0</v>
      </c>
      <c r="L28" s="54" t="str">
        <f>IFERROR(-(WHOLE_STRUCTURE[[#This Row],[D, bottom '[m']]]-WHOLE_STRUCTURE[[#This Row],[D, top '[m']]])/(WHOLE_STRUCTURE[[#This Row],[Bottom '[m']]]-WHOLE_STRUCTURE[[#This Row],[Top '[m']]]),"")</f>
        <v/>
      </c>
      <c r="M28" s="52" t="str">
        <f>IFERROR((WHOLE_STRUCTURE[[#This Row],[D, bottom '[m']]]+WHOLE_STRUCTURE[[#This Row],[D, top '[m']]])/(2*WHOLE_STRUCTURE[[#This Row],[t '[mm']]]/1000),"")</f>
        <v/>
      </c>
      <c r="S28" s="51"/>
      <c r="T28" s="51"/>
      <c r="U28" s="51"/>
      <c r="V28" s="51"/>
      <c r="W28" s="51"/>
      <c r="X28" s="51"/>
    </row>
    <row r="29" spans="10:50" x14ac:dyDescent="0.25">
      <c r="J29" s="54" t="str">
        <f t="shared" si="0"/>
        <v/>
      </c>
      <c r="K29" s="53">
        <f>IFERROR(WHOLE_STRUCTURE[[#This Row],[Bottom '[m']]]-WHOLE_STRUCTURE[[#This Row],[D, top '[m']]], "")</f>
        <v>0</v>
      </c>
      <c r="L29" s="54" t="str">
        <f>IFERROR(-(WHOLE_STRUCTURE[[#This Row],[D, bottom '[m']]]-WHOLE_STRUCTURE[[#This Row],[D, top '[m']]])/(WHOLE_STRUCTURE[[#This Row],[Bottom '[m']]]-WHOLE_STRUCTURE[[#This Row],[Top '[m']]]),"")</f>
        <v/>
      </c>
      <c r="M29" s="52" t="str">
        <f>IFERROR((WHOLE_STRUCTURE[[#This Row],[D, bottom '[m']]]+WHOLE_STRUCTURE[[#This Row],[D, top '[m']]])/(2*WHOLE_STRUCTURE[[#This Row],[t '[mm']]]/1000),"")</f>
        <v/>
      </c>
      <c r="S29" s="51"/>
      <c r="T29" s="51"/>
      <c r="U29" s="51"/>
      <c r="V29" s="51"/>
      <c r="W29" s="51"/>
      <c r="X29" s="51"/>
    </row>
    <row r="30" spans="10:50" x14ac:dyDescent="0.25">
      <c r="J30" s="54" t="str">
        <f t="shared" si="0"/>
        <v/>
      </c>
      <c r="K30" s="53">
        <f>IFERROR(WHOLE_STRUCTURE[[#This Row],[Bottom '[m']]]-WHOLE_STRUCTURE[[#This Row],[D, top '[m']]], "")</f>
        <v>0</v>
      </c>
      <c r="L30" s="54" t="str">
        <f>IFERROR(-(WHOLE_STRUCTURE[[#This Row],[D, bottom '[m']]]-WHOLE_STRUCTURE[[#This Row],[D, top '[m']]])/(WHOLE_STRUCTURE[[#This Row],[Bottom '[m']]]-WHOLE_STRUCTURE[[#This Row],[Top '[m']]]),"")</f>
        <v/>
      </c>
      <c r="M30" s="52" t="str">
        <f>IFERROR((WHOLE_STRUCTURE[[#This Row],[D, bottom '[m']]]+WHOLE_STRUCTURE[[#This Row],[D, top '[m']]])/(2*WHOLE_STRUCTURE[[#This Row],[t '[mm']]]/1000),"")</f>
        <v/>
      </c>
      <c r="S30" s="51"/>
      <c r="T30" s="51"/>
      <c r="U30" s="51"/>
      <c r="V30" s="51"/>
      <c r="W30" s="51"/>
      <c r="X30" s="51"/>
    </row>
    <row r="31" spans="10:50" x14ac:dyDescent="0.25">
      <c r="J31" s="54" t="str">
        <f t="shared" si="0"/>
        <v/>
      </c>
      <c r="K31" s="53">
        <f>IFERROR(WHOLE_STRUCTURE[[#This Row],[Bottom '[m']]]-WHOLE_STRUCTURE[[#This Row],[D, top '[m']]], "")</f>
        <v>0</v>
      </c>
      <c r="L31" s="54" t="str">
        <f>IFERROR(-(WHOLE_STRUCTURE[[#This Row],[D, bottom '[m']]]-WHOLE_STRUCTURE[[#This Row],[D, top '[m']]])/(WHOLE_STRUCTURE[[#This Row],[Bottom '[m']]]-WHOLE_STRUCTURE[[#This Row],[Top '[m']]]),"")</f>
        <v/>
      </c>
      <c r="M31" s="52" t="str">
        <f>IFERROR((WHOLE_STRUCTURE[[#This Row],[D, bottom '[m']]]+WHOLE_STRUCTURE[[#This Row],[D, top '[m']]])/(2*WHOLE_STRUCTURE[[#This Row],[t '[mm']]]/1000),"")</f>
        <v/>
      </c>
      <c r="S31" s="51"/>
      <c r="T31" s="51"/>
      <c r="U31" s="51"/>
      <c r="V31" s="51"/>
      <c r="W31" s="51"/>
      <c r="X31" s="51"/>
    </row>
    <row r="32" spans="10:50" x14ac:dyDescent="0.25">
      <c r="J32" s="54" t="str">
        <f t="shared" si="0"/>
        <v/>
      </c>
      <c r="K32" s="53">
        <f>IFERROR(WHOLE_STRUCTURE[[#This Row],[Bottom '[m']]]-WHOLE_STRUCTURE[[#This Row],[D, top '[m']]], "")</f>
        <v>0</v>
      </c>
      <c r="L32" s="54" t="str">
        <f>IFERROR(-(WHOLE_STRUCTURE[[#This Row],[D, bottom '[m']]]-WHOLE_STRUCTURE[[#This Row],[D, top '[m']]])/(WHOLE_STRUCTURE[[#This Row],[Bottom '[m']]]-WHOLE_STRUCTURE[[#This Row],[Top '[m']]]),"")</f>
        <v/>
      </c>
      <c r="M32" s="52" t="str">
        <f>IFERROR((WHOLE_STRUCTURE[[#This Row],[D, bottom '[m']]]+WHOLE_STRUCTURE[[#This Row],[D, top '[m']]])/(2*WHOLE_STRUCTURE[[#This Row],[t '[mm']]]/1000),"")</f>
        <v/>
      </c>
      <c r="S32" s="51"/>
      <c r="T32" s="51"/>
      <c r="U32" s="51"/>
      <c r="V32" s="51"/>
      <c r="W32" s="51"/>
      <c r="X32" s="51"/>
    </row>
    <row r="33" spans="10:24" x14ac:dyDescent="0.25">
      <c r="J33" s="54" t="str">
        <f t="shared" si="0"/>
        <v/>
      </c>
      <c r="K33" s="53">
        <f>IFERROR(WHOLE_STRUCTURE[[#This Row],[Bottom '[m']]]-WHOLE_STRUCTURE[[#This Row],[D, top '[m']]], "")</f>
        <v>0</v>
      </c>
      <c r="L33" s="54" t="str">
        <f>IFERROR(-(WHOLE_STRUCTURE[[#This Row],[D, bottom '[m']]]-WHOLE_STRUCTURE[[#This Row],[D, top '[m']]])/(WHOLE_STRUCTURE[[#This Row],[Bottom '[m']]]-WHOLE_STRUCTURE[[#This Row],[Top '[m']]]),"")</f>
        <v/>
      </c>
      <c r="M33" s="52" t="str">
        <f>IFERROR((WHOLE_STRUCTURE[[#This Row],[D, bottom '[m']]]+WHOLE_STRUCTURE[[#This Row],[D, top '[m']]])/(2*WHOLE_STRUCTURE[[#This Row],[t '[mm']]]/1000),"")</f>
        <v/>
      </c>
      <c r="S33" s="51"/>
      <c r="T33" s="51"/>
      <c r="U33" s="51"/>
      <c r="V33" s="51"/>
      <c r="W33" s="51"/>
      <c r="X33" s="51"/>
    </row>
    <row r="34" spans="10:24" x14ac:dyDescent="0.25">
      <c r="J34" s="54" t="str">
        <f t="shared" si="0"/>
        <v/>
      </c>
      <c r="K34" s="53">
        <f>IFERROR(WHOLE_STRUCTURE[[#This Row],[Bottom '[m']]]-WHOLE_STRUCTURE[[#This Row],[D, top '[m']]], "")</f>
        <v>0</v>
      </c>
      <c r="L34" s="54" t="str">
        <f>IFERROR(-(WHOLE_STRUCTURE[[#This Row],[D, bottom '[m']]]-WHOLE_STRUCTURE[[#This Row],[D, top '[m']]])/(WHOLE_STRUCTURE[[#This Row],[Bottom '[m']]]-WHOLE_STRUCTURE[[#This Row],[Top '[m']]]),"")</f>
        <v/>
      </c>
      <c r="M34" s="52" t="str">
        <f>IFERROR((WHOLE_STRUCTURE[[#This Row],[D, bottom '[m']]]+WHOLE_STRUCTURE[[#This Row],[D, top '[m']]])/(2*WHOLE_STRUCTURE[[#This Row],[t '[mm']]]/1000),"")</f>
        <v/>
      </c>
      <c r="S34" s="51"/>
      <c r="T34" s="51"/>
      <c r="U34" s="51"/>
      <c r="V34" s="51"/>
      <c r="W34" s="51"/>
      <c r="X34" s="51"/>
    </row>
    <row r="35" spans="10:24" x14ac:dyDescent="0.25">
      <c r="J35" s="54" t="str">
        <f t="shared" si="0"/>
        <v/>
      </c>
      <c r="K35" s="53">
        <f>IFERROR(WHOLE_STRUCTURE[[#This Row],[Bottom '[m']]]-WHOLE_STRUCTURE[[#This Row],[D, top '[m']]], "")</f>
        <v>0</v>
      </c>
      <c r="L35" s="54" t="str">
        <f>IFERROR(-(WHOLE_STRUCTURE[[#This Row],[D, bottom '[m']]]-WHOLE_STRUCTURE[[#This Row],[D, top '[m']]])/(WHOLE_STRUCTURE[[#This Row],[Bottom '[m']]]-WHOLE_STRUCTURE[[#This Row],[Top '[m']]]),"")</f>
        <v/>
      </c>
      <c r="M35" s="52" t="str">
        <f>IFERROR((WHOLE_STRUCTURE[[#This Row],[D, bottom '[m']]]+WHOLE_STRUCTURE[[#This Row],[D, top '[m']]])/(2*WHOLE_STRUCTURE[[#This Row],[t '[mm']]]/1000),"")</f>
        <v/>
      </c>
      <c r="S35" s="51"/>
      <c r="T35" s="51"/>
      <c r="U35" s="51"/>
      <c r="V35" s="51"/>
      <c r="W35" s="51"/>
      <c r="X35" s="51"/>
    </row>
    <row r="36" spans="10:24" x14ac:dyDescent="0.25">
      <c r="J36" s="54" t="str">
        <f t="shared" si="0"/>
        <v/>
      </c>
      <c r="K36" s="53">
        <f>IFERROR(WHOLE_STRUCTURE[[#This Row],[Bottom '[m']]]-WHOLE_STRUCTURE[[#This Row],[D, top '[m']]], "")</f>
        <v>0</v>
      </c>
      <c r="L36" s="54" t="str">
        <f>IFERROR(-(WHOLE_STRUCTURE[[#This Row],[D, bottom '[m']]]-WHOLE_STRUCTURE[[#This Row],[D, top '[m']]])/(WHOLE_STRUCTURE[[#This Row],[Bottom '[m']]]-WHOLE_STRUCTURE[[#This Row],[Top '[m']]]),"")</f>
        <v/>
      </c>
      <c r="M36" s="52" t="str">
        <f>IFERROR((WHOLE_STRUCTURE[[#This Row],[D, bottom '[m']]]+WHOLE_STRUCTURE[[#This Row],[D, top '[m']]])/(2*WHOLE_STRUCTURE[[#This Row],[t '[mm']]]/1000),"")</f>
        <v/>
      </c>
      <c r="S36" s="51"/>
      <c r="T36" s="51"/>
      <c r="U36" s="51"/>
      <c r="V36" s="51"/>
      <c r="W36" s="51"/>
      <c r="X36" s="51"/>
    </row>
    <row r="37" spans="10:24" x14ac:dyDescent="0.25">
      <c r="J37" s="54" t="str">
        <f t="shared" si="0"/>
        <v/>
      </c>
      <c r="K37" s="53">
        <f>IFERROR(WHOLE_STRUCTURE[[#This Row],[Bottom '[m']]]-WHOLE_STRUCTURE[[#This Row],[D, top '[m']]], "")</f>
        <v>0</v>
      </c>
      <c r="L37" s="54" t="str">
        <f>IFERROR(-(WHOLE_STRUCTURE[[#This Row],[D, bottom '[m']]]-WHOLE_STRUCTURE[[#This Row],[D, top '[m']]])/(WHOLE_STRUCTURE[[#This Row],[Bottom '[m']]]-WHOLE_STRUCTURE[[#This Row],[Top '[m']]]),"")</f>
        <v/>
      </c>
      <c r="M37" s="52" t="str">
        <f>IFERROR((WHOLE_STRUCTURE[[#This Row],[D, bottom '[m']]]+WHOLE_STRUCTURE[[#This Row],[D, top '[m']]])/(2*WHOLE_STRUCTURE[[#This Row],[t '[mm']]]/1000),"")</f>
        <v/>
      </c>
      <c r="S37" s="51"/>
      <c r="T37" s="51"/>
      <c r="U37" s="51"/>
      <c r="V37" s="51"/>
      <c r="W37" s="51"/>
      <c r="X37" s="51"/>
    </row>
    <row r="38" spans="10:24" x14ac:dyDescent="0.25">
      <c r="J38" s="54" t="str">
        <f t="shared" si="0"/>
        <v/>
      </c>
      <c r="K38" s="53">
        <f>IFERROR(WHOLE_STRUCTURE[[#This Row],[Bottom '[m']]]-WHOLE_STRUCTURE[[#This Row],[D, top '[m']]], "")</f>
        <v>0</v>
      </c>
      <c r="L38" s="54" t="str">
        <f>IFERROR(-(WHOLE_STRUCTURE[[#This Row],[D, bottom '[m']]]-WHOLE_STRUCTURE[[#This Row],[D, top '[m']]])/(WHOLE_STRUCTURE[[#This Row],[Bottom '[m']]]-WHOLE_STRUCTURE[[#This Row],[Top '[m']]]),"")</f>
        <v/>
      </c>
      <c r="M38" s="52" t="str">
        <f>IFERROR((WHOLE_STRUCTURE[[#This Row],[D, bottom '[m']]]+WHOLE_STRUCTURE[[#This Row],[D, top '[m']]])/(2*WHOLE_STRUCTURE[[#This Row],[t '[mm']]]/1000),"")</f>
        <v/>
      </c>
      <c r="S38" s="51"/>
      <c r="T38" s="51"/>
      <c r="U38" s="51"/>
      <c r="V38" s="51"/>
      <c r="W38" s="51"/>
      <c r="X38" s="51"/>
    </row>
    <row r="39" spans="10:24" x14ac:dyDescent="0.25">
      <c r="J39" s="54" t="str">
        <f t="shared" si="0"/>
        <v/>
      </c>
      <c r="K39" s="53">
        <f>IFERROR(WHOLE_STRUCTURE[[#This Row],[Bottom '[m']]]-WHOLE_STRUCTURE[[#This Row],[D, top '[m']]], "")</f>
        <v>0</v>
      </c>
      <c r="L39" s="54" t="str">
        <f>IFERROR(-(WHOLE_STRUCTURE[[#This Row],[D, bottom '[m']]]-WHOLE_STRUCTURE[[#This Row],[D, top '[m']]])/(WHOLE_STRUCTURE[[#This Row],[Bottom '[m']]]-WHOLE_STRUCTURE[[#This Row],[Top '[m']]]),"")</f>
        <v/>
      </c>
      <c r="M39" s="52" t="str">
        <f>IFERROR((WHOLE_STRUCTURE[[#This Row],[D, bottom '[m']]]+WHOLE_STRUCTURE[[#This Row],[D, top '[m']]])/(2*WHOLE_STRUCTURE[[#This Row],[t '[mm']]]/1000),"")</f>
        <v/>
      </c>
      <c r="S39" s="51"/>
      <c r="T39" s="51"/>
      <c r="U39" s="51"/>
      <c r="V39" s="51"/>
      <c r="W39" s="51"/>
      <c r="X39" s="51"/>
    </row>
    <row r="40" spans="10:24" x14ac:dyDescent="0.25">
      <c r="J40" s="54" t="str">
        <f t="shared" si="0"/>
        <v/>
      </c>
      <c r="K40" s="53">
        <f>IFERROR(WHOLE_STRUCTURE[[#This Row],[Bottom '[m']]]-WHOLE_STRUCTURE[[#This Row],[D, top '[m']]], "")</f>
        <v>0</v>
      </c>
      <c r="L40" s="54" t="str">
        <f>IFERROR(-(WHOLE_STRUCTURE[[#This Row],[D, bottom '[m']]]-WHOLE_STRUCTURE[[#This Row],[D, top '[m']]])/(WHOLE_STRUCTURE[[#This Row],[Bottom '[m']]]-WHOLE_STRUCTURE[[#This Row],[Top '[m']]]),"")</f>
        <v/>
      </c>
      <c r="M40" s="52" t="str">
        <f>IFERROR((WHOLE_STRUCTURE[[#This Row],[D, bottom '[m']]]+WHOLE_STRUCTURE[[#This Row],[D, top '[m']]])/(2*WHOLE_STRUCTURE[[#This Row],[t '[mm']]]/1000),"")</f>
        <v/>
      </c>
      <c r="S40" s="51"/>
      <c r="T40" s="51"/>
      <c r="U40" s="51"/>
      <c r="V40" s="51"/>
      <c r="W40" s="51"/>
      <c r="X40" s="51"/>
    </row>
    <row r="41" spans="10:24" x14ac:dyDescent="0.25">
      <c r="J41" s="54" t="str">
        <f t="shared" si="0"/>
        <v/>
      </c>
      <c r="K41" s="53">
        <f>IFERROR(WHOLE_STRUCTURE[[#This Row],[Bottom '[m']]]-WHOLE_STRUCTURE[[#This Row],[D, top '[m']]], "")</f>
        <v>0</v>
      </c>
      <c r="L41" s="54" t="str">
        <f>IFERROR(-(WHOLE_STRUCTURE[[#This Row],[D, bottom '[m']]]-WHOLE_STRUCTURE[[#This Row],[D, top '[m']]])/(WHOLE_STRUCTURE[[#This Row],[Bottom '[m']]]-WHOLE_STRUCTURE[[#This Row],[Top '[m']]]),"")</f>
        <v/>
      </c>
      <c r="M41" s="52" t="str">
        <f>IFERROR((WHOLE_STRUCTURE[[#This Row],[D, bottom '[m']]]+WHOLE_STRUCTURE[[#This Row],[D, top '[m']]])/(2*WHOLE_STRUCTURE[[#This Row],[t '[mm']]]/1000),"")</f>
        <v/>
      </c>
      <c r="S41" s="51"/>
      <c r="T41" s="51"/>
      <c r="U41" s="51"/>
      <c r="V41" s="51"/>
      <c r="W41" s="51"/>
      <c r="X41" s="51"/>
    </row>
    <row r="42" spans="10:24" x14ac:dyDescent="0.25">
      <c r="J42" s="54" t="str">
        <f t="shared" ref="J42:J68" si="3">IF(7850/1000*(1/3)*PI()*ABS(E42-F42)*((G42/2)^2+(G42/2)*(H42/2)+(H42/2)^2-(G42/2-I42/1000)^2-(G42/2-I42/1000)*(H42/2-I42/1000)-(H42/2-I42/1000)^2)=0,"",7850/1000*(1/3)*PI()*ABS(E42-F42)*((G42/2)^2+(G42/2)*(H42/2)+(H42/2)^2-(G42/2-I42/1000)^2-(G42/2-I42/1000)*(H42/2-I42/1000)-(H42/2-I42/1000)^2))</f>
        <v/>
      </c>
      <c r="K42" s="53">
        <f>IFERROR(WHOLE_STRUCTURE[[#This Row],[Bottom '[m']]]-WHOLE_STRUCTURE[[#This Row],[D, top '[m']]], "")</f>
        <v>0</v>
      </c>
      <c r="L42" s="54" t="str">
        <f>IFERROR(-(WHOLE_STRUCTURE[[#This Row],[D, bottom '[m']]]-WHOLE_STRUCTURE[[#This Row],[D, top '[m']]])/(WHOLE_STRUCTURE[[#This Row],[Bottom '[m']]]-WHOLE_STRUCTURE[[#This Row],[Top '[m']]]),"")</f>
        <v/>
      </c>
      <c r="M42" s="52" t="str">
        <f>IFERROR((WHOLE_STRUCTURE[[#This Row],[D, bottom '[m']]]+WHOLE_STRUCTURE[[#This Row],[D, top '[m']]])/(2*WHOLE_STRUCTURE[[#This Row],[t '[mm']]]/1000),"")</f>
        <v/>
      </c>
      <c r="S42" s="51"/>
      <c r="T42" s="51"/>
      <c r="U42" s="51"/>
      <c r="V42" s="51"/>
      <c r="W42" s="51"/>
      <c r="X42" s="51"/>
    </row>
    <row r="43" spans="10:24" x14ac:dyDescent="0.25">
      <c r="J43" s="54" t="str">
        <f t="shared" si="3"/>
        <v/>
      </c>
      <c r="K43" s="53">
        <f>IFERROR(WHOLE_STRUCTURE[[#This Row],[Bottom '[m']]]-WHOLE_STRUCTURE[[#This Row],[D, top '[m']]], "")</f>
        <v>0</v>
      </c>
      <c r="L43" s="54" t="str">
        <f>IFERROR(-(WHOLE_STRUCTURE[[#This Row],[D, bottom '[m']]]-WHOLE_STRUCTURE[[#This Row],[D, top '[m']]])/(WHOLE_STRUCTURE[[#This Row],[Bottom '[m']]]-WHOLE_STRUCTURE[[#This Row],[Top '[m']]]),"")</f>
        <v/>
      </c>
      <c r="M43" s="52" t="str">
        <f>IFERROR((WHOLE_STRUCTURE[[#This Row],[D, bottom '[m']]]+WHOLE_STRUCTURE[[#This Row],[D, top '[m']]])/(2*WHOLE_STRUCTURE[[#This Row],[t '[mm']]]/1000),"")</f>
        <v/>
      </c>
      <c r="S43" s="51"/>
      <c r="T43" s="51"/>
      <c r="U43" s="51"/>
      <c r="V43" s="51"/>
      <c r="W43" s="51"/>
      <c r="X43" s="51"/>
    </row>
    <row r="44" spans="10:24" x14ac:dyDescent="0.25">
      <c r="J44" s="54" t="str">
        <f t="shared" si="3"/>
        <v/>
      </c>
      <c r="K44" s="53">
        <f>IFERROR(WHOLE_STRUCTURE[[#This Row],[Bottom '[m']]]-WHOLE_STRUCTURE[[#This Row],[D, top '[m']]], "")</f>
        <v>0</v>
      </c>
      <c r="L44" s="54" t="str">
        <f>IFERROR(-(WHOLE_STRUCTURE[[#This Row],[D, bottom '[m']]]-WHOLE_STRUCTURE[[#This Row],[D, top '[m']]])/(WHOLE_STRUCTURE[[#This Row],[Bottom '[m']]]-WHOLE_STRUCTURE[[#This Row],[Top '[m']]]),"")</f>
        <v/>
      </c>
      <c r="M44" s="52" t="str">
        <f>IFERROR((WHOLE_STRUCTURE[[#This Row],[D, bottom '[m']]]+WHOLE_STRUCTURE[[#This Row],[D, top '[m']]])/(2*WHOLE_STRUCTURE[[#This Row],[t '[mm']]]/1000),"")</f>
        <v/>
      </c>
      <c r="S44" s="51"/>
      <c r="T44" s="51"/>
      <c r="U44" s="51"/>
      <c r="V44" s="51"/>
      <c r="W44" s="51"/>
      <c r="X44" s="51"/>
    </row>
    <row r="45" spans="10:24" x14ac:dyDescent="0.25">
      <c r="J45" s="54" t="str">
        <f t="shared" si="3"/>
        <v/>
      </c>
      <c r="K45" s="53">
        <f>IFERROR(WHOLE_STRUCTURE[[#This Row],[Bottom '[m']]]-WHOLE_STRUCTURE[[#This Row],[D, top '[m']]], "")</f>
        <v>0</v>
      </c>
      <c r="L45" s="54" t="str">
        <f>IFERROR(-(WHOLE_STRUCTURE[[#This Row],[D, bottom '[m']]]-WHOLE_STRUCTURE[[#This Row],[D, top '[m']]])/(WHOLE_STRUCTURE[[#This Row],[Bottom '[m']]]-WHOLE_STRUCTURE[[#This Row],[Top '[m']]]),"")</f>
        <v/>
      </c>
      <c r="M45" s="52" t="str">
        <f>IFERROR((WHOLE_STRUCTURE[[#This Row],[D, bottom '[m']]]+WHOLE_STRUCTURE[[#This Row],[D, top '[m']]])/(2*WHOLE_STRUCTURE[[#This Row],[t '[mm']]]/1000),"")</f>
        <v/>
      </c>
      <c r="S45" s="51"/>
      <c r="T45" s="51"/>
      <c r="U45" s="51"/>
      <c r="V45" s="51"/>
      <c r="W45" s="51"/>
      <c r="X45" s="51"/>
    </row>
    <row r="46" spans="10:24" x14ac:dyDescent="0.25">
      <c r="J46" s="54" t="str">
        <f t="shared" si="3"/>
        <v/>
      </c>
      <c r="K46" s="53">
        <f>IFERROR(WHOLE_STRUCTURE[[#This Row],[Bottom '[m']]]-WHOLE_STRUCTURE[[#This Row],[D, top '[m']]], "")</f>
        <v>0</v>
      </c>
      <c r="L46" s="54" t="str">
        <f>IFERROR(-(WHOLE_STRUCTURE[[#This Row],[D, bottom '[m']]]-WHOLE_STRUCTURE[[#This Row],[D, top '[m']]])/(WHOLE_STRUCTURE[[#This Row],[Bottom '[m']]]-WHOLE_STRUCTURE[[#This Row],[Top '[m']]]),"")</f>
        <v/>
      </c>
      <c r="M46" s="52" t="str">
        <f>IFERROR((WHOLE_STRUCTURE[[#This Row],[D, bottom '[m']]]+WHOLE_STRUCTURE[[#This Row],[D, top '[m']]])/(2*WHOLE_STRUCTURE[[#This Row],[t '[mm']]]/1000),"")</f>
        <v/>
      </c>
      <c r="S46" s="51"/>
      <c r="T46" s="51"/>
      <c r="U46" s="51"/>
      <c r="V46" s="51"/>
      <c r="W46" s="51"/>
      <c r="X46" s="51"/>
    </row>
    <row r="47" spans="10:24" x14ac:dyDescent="0.25">
      <c r="J47" s="54" t="str">
        <f t="shared" si="3"/>
        <v/>
      </c>
      <c r="K47" s="53">
        <f>IFERROR(WHOLE_STRUCTURE[[#This Row],[Bottom '[m']]]-WHOLE_STRUCTURE[[#This Row],[D, top '[m']]], "")</f>
        <v>0</v>
      </c>
      <c r="L47" s="54" t="str">
        <f>IFERROR(-(WHOLE_STRUCTURE[[#This Row],[D, bottom '[m']]]-WHOLE_STRUCTURE[[#This Row],[D, top '[m']]])/(WHOLE_STRUCTURE[[#This Row],[Bottom '[m']]]-WHOLE_STRUCTURE[[#This Row],[Top '[m']]]),"")</f>
        <v/>
      </c>
      <c r="M47" s="52" t="str">
        <f>IFERROR((WHOLE_STRUCTURE[[#This Row],[D, bottom '[m']]]+WHOLE_STRUCTURE[[#This Row],[D, top '[m']]])/(2*WHOLE_STRUCTURE[[#This Row],[t '[mm']]]/1000),"")</f>
        <v/>
      </c>
      <c r="S47" s="51"/>
      <c r="T47" s="51"/>
      <c r="U47" s="51"/>
      <c r="V47" s="51"/>
      <c r="W47" s="51"/>
      <c r="X47" s="51"/>
    </row>
    <row r="48" spans="10:24" x14ac:dyDescent="0.25">
      <c r="J48" s="54" t="str">
        <f t="shared" si="3"/>
        <v/>
      </c>
      <c r="K48" s="53">
        <f>IFERROR(WHOLE_STRUCTURE[[#This Row],[Bottom '[m']]]-WHOLE_STRUCTURE[[#This Row],[D, top '[m']]], "")</f>
        <v>0</v>
      </c>
      <c r="L48" s="54" t="str">
        <f>IFERROR(-(WHOLE_STRUCTURE[[#This Row],[D, bottom '[m']]]-WHOLE_STRUCTURE[[#This Row],[D, top '[m']]])/(WHOLE_STRUCTURE[[#This Row],[Bottom '[m']]]-WHOLE_STRUCTURE[[#This Row],[Top '[m']]]),"")</f>
        <v/>
      </c>
      <c r="M48" s="52" t="str">
        <f>IFERROR((WHOLE_STRUCTURE[[#This Row],[D, bottom '[m']]]+WHOLE_STRUCTURE[[#This Row],[D, top '[m']]])/(2*WHOLE_STRUCTURE[[#This Row],[t '[mm']]]/1000),"")</f>
        <v/>
      </c>
      <c r="S48" s="51"/>
      <c r="T48" s="51"/>
      <c r="U48" s="51"/>
      <c r="V48" s="51"/>
      <c r="W48" s="51"/>
      <c r="X48" s="51"/>
    </row>
    <row r="49" spans="10:24" x14ac:dyDescent="0.25">
      <c r="J49" s="54" t="str">
        <f t="shared" si="3"/>
        <v/>
      </c>
      <c r="K49" s="53">
        <f>IFERROR(WHOLE_STRUCTURE[[#This Row],[Bottom '[m']]]-WHOLE_STRUCTURE[[#This Row],[D, top '[m']]], "")</f>
        <v>0</v>
      </c>
      <c r="L49" s="54" t="str">
        <f>IFERROR(-(WHOLE_STRUCTURE[[#This Row],[D, bottom '[m']]]-WHOLE_STRUCTURE[[#This Row],[D, top '[m']]])/(WHOLE_STRUCTURE[[#This Row],[Bottom '[m']]]-WHOLE_STRUCTURE[[#This Row],[Top '[m']]]),"")</f>
        <v/>
      </c>
      <c r="M49" s="52" t="str">
        <f>IFERROR((WHOLE_STRUCTURE[[#This Row],[D, bottom '[m']]]+WHOLE_STRUCTURE[[#This Row],[D, top '[m']]])/(2*WHOLE_STRUCTURE[[#This Row],[t '[mm']]]/1000),"")</f>
        <v/>
      </c>
      <c r="S49" s="51"/>
      <c r="T49" s="51"/>
      <c r="U49" s="51"/>
      <c r="V49" s="51"/>
      <c r="W49" s="51"/>
      <c r="X49" s="51"/>
    </row>
    <row r="50" spans="10:24" x14ac:dyDescent="0.25">
      <c r="J50" s="54" t="str">
        <f t="shared" si="3"/>
        <v/>
      </c>
      <c r="K50" s="53">
        <f>IFERROR(WHOLE_STRUCTURE[[#This Row],[Bottom '[m']]]-WHOLE_STRUCTURE[[#This Row],[D, top '[m']]], "")</f>
        <v>0</v>
      </c>
      <c r="L50" s="54" t="str">
        <f>IFERROR(-(WHOLE_STRUCTURE[[#This Row],[D, bottom '[m']]]-WHOLE_STRUCTURE[[#This Row],[D, top '[m']]])/(WHOLE_STRUCTURE[[#This Row],[Bottom '[m']]]-WHOLE_STRUCTURE[[#This Row],[Top '[m']]]),"")</f>
        <v/>
      </c>
      <c r="M50" s="52" t="str">
        <f>IFERROR((WHOLE_STRUCTURE[[#This Row],[D, bottom '[m']]]+WHOLE_STRUCTURE[[#This Row],[D, top '[m']]])/(2*WHOLE_STRUCTURE[[#This Row],[t '[mm']]]/1000),"")</f>
        <v/>
      </c>
      <c r="S50" s="51"/>
      <c r="T50" s="51"/>
      <c r="U50" s="51"/>
      <c r="V50" s="51"/>
      <c r="W50" s="51"/>
      <c r="X50" s="51"/>
    </row>
    <row r="51" spans="10:24" x14ac:dyDescent="0.25">
      <c r="J51" s="54" t="str">
        <f t="shared" si="3"/>
        <v/>
      </c>
      <c r="K51" s="53">
        <f>IFERROR(WHOLE_STRUCTURE[[#This Row],[Bottom '[m']]]-WHOLE_STRUCTURE[[#This Row],[D, top '[m']]], "")</f>
        <v>0</v>
      </c>
      <c r="L51" s="54" t="str">
        <f>IFERROR(-(WHOLE_STRUCTURE[[#This Row],[D, bottom '[m']]]-WHOLE_STRUCTURE[[#This Row],[D, top '[m']]])/(WHOLE_STRUCTURE[[#This Row],[Bottom '[m']]]-WHOLE_STRUCTURE[[#This Row],[Top '[m']]]),"")</f>
        <v/>
      </c>
      <c r="M51" s="52" t="str">
        <f>IFERROR((WHOLE_STRUCTURE[[#This Row],[D, bottom '[m']]]+WHOLE_STRUCTURE[[#This Row],[D, top '[m']]])/(2*WHOLE_STRUCTURE[[#This Row],[t '[mm']]]/1000),"")</f>
        <v/>
      </c>
      <c r="S51" s="51"/>
      <c r="T51" s="51"/>
      <c r="U51" s="51"/>
      <c r="V51" s="51"/>
      <c r="W51" s="51"/>
      <c r="X51" s="51"/>
    </row>
    <row r="52" spans="10:24" x14ac:dyDescent="0.25">
      <c r="J52" s="54" t="str">
        <f t="shared" si="3"/>
        <v/>
      </c>
      <c r="K52" s="53">
        <f>IFERROR(WHOLE_STRUCTURE[[#This Row],[Bottom '[m']]]-WHOLE_STRUCTURE[[#This Row],[D, top '[m']]], "")</f>
        <v>0</v>
      </c>
      <c r="L52" s="54" t="str">
        <f>IFERROR(-(WHOLE_STRUCTURE[[#This Row],[D, bottom '[m']]]-WHOLE_STRUCTURE[[#This Row],[D, top '[m']]])/(WHOLE_STRUCTURE[[#This Row],[Bottom '[m']]]-WHOLE_STRUCTURE[[#This Row],[Top '[m']]]),"")</f>
        <v/>
      </c>
      <c r="M52" s="52" t="str">
        <f>IFERROR((WHOLE_STRUCTURE[[#This Row],[D, bottom '[m']]]+WHOLE_STRUCTURE[[#This Row],[D, top '[m']]])/(2*WHOLE_STRUCTURE[[#This Row],[t '[mm']]]/1000),"")</f>
        <v/>
      </c>
      <c r="S52" s="51"/>
      <c r="T52" s="51"/>
      <c r="U52" s="51"/>
      <c r="V52" s="51"/>
      <c r="W52" s="51"/>
      <c r="X52" s="51"/>
    </row>
    <row r="53" spans="10:24" x14ac:dyDescent="0.25">
      <c r="J53" s="54" t="str">
        <f t="shared" si="3"/>
        <v/>
      </c>
      <c r="K53" s="53">
        <f>IFERROR(WHOLE_STRUCTURE[[#This Row],[Bottom '[m']]]-WHOLE_STRUCTURE[[#This Row],[D, top '[m']]], "")</f>
        <v>0</v>
      </c>
      <c r="L53" s="54" t="str">
        <f>IFERROR(-(WHOLE_STRUCTURE[[#This Row],[D, bottom '[m']]]-WHOLE_STRUCTURE[[#This Row],[D, top '[m']]])/(WHOLE_STRUCTURE[[#This Row],[Bottom '[m']]]-WHOLE_STRUCTURE[[#This Row],[Top '[m']]]),"")</f>
        <v/>
      </c>
      <c r="M53" s="52" t="str">
        <f>IFERROR((WHOLE_STRUCTURE[[#This Row],[D, bottom '[m']]]+WHOLE_STRUCTURE[[#This Row],[D, top '[m']]])/(2*WHOLE_STRUCTURE[[#This Row],[t '[mm']]]/1000),"")</f>
        <v/>
      </c>
      <c r="S53" s="51"/>
      <c r="T53" s="51"/>
      <c r="U53" s="51"/>
      <c r="V53" s="51"/>
      <c r="W53" s="51"/>
      <c r="X53" s="51"/>
    </row>
    <row r="54" spans="10:24" x14ac:dyDescent="0.25">
      <c r="J54" s="54" t="str">
        <f t="shared" si="3"/>
        <v/>
      </c>
      <c r="K54" s="53">
        <f>IFERROR(WHOLE_STRUCTURE[[#This Row],[Bottom '[m']]]-WHOLE_STRUCTURE[[#This Row],[D, top '[m']]], "")</f>
        <v>0</v>
      </c>
      <c r="L54" s="54" t="str">
        <f>IFERROR(-(WHOLE_STRUCTURE[[#This Row],[D, bottom '[m']]]-WHOLE_STRUCTURE[[#This Row],[D, top '[m']]])/(WHOLE_STRUCTURE[[#This Row],[Bottom '[m']]]-WHOLE_STRUCTURE[[#This Row],[Top '[m']]]),"")</f>
        <v/>
      </c>
      <c r="M54" s="52" t="str">
        <f>IFERROR((WHOLE_STRUCTURE[[#This Row],[D, bottom '[m']]]+WHOLE_STRUCTURE[[#This Row],[D, top '[m']]])/(2*WHOLE_STRUCTURE[[#This Row],[t '[mm']]]/1000),"")</f>
        <v/>
      </c>
      <c r="S54" s="51"/>
      <c r="T54" s="51"/>
      <c r="U54" s="51"/>
      <c r="V54" s="51"/>
      <c r="W54" s="51"/>
      <c r="X54" s="51"/>
    </row>
    <row r="55" spans="10:24" x14ac:dyDescent="0.25">
      <c r="J55" s="54" t="str">
        <f t="shared" si="3"/>
        <v/>
      </c>
      <c r="K55" s="53">
        <f>IFERROR(WHOLE_STRUCTURE[[#This Row],[Bottom '[m']]]-WHOLE_STRUCTURE[[#This Row],[D, top '[m']]], "")</f>
        <v>0</v>
      </c>
      <c r="L55" s="54" t="str">
        <f>IFERROR(-(WHOLE_STRUCTURE[[#This Row],[D, bottom '[m']]]-WHOLE_STRUCTURE[[#This Row],[D, top '[m']]])/(WHOLE_STRUCTURE[[#This Row],[Bottom '[m']]]-WHOLE_STRUCTURE[[#This Row],[Top '[m']]]),"")</f>
        <v/>
      </c>
      <c r="M55" s="52" t="str">
        <f>IFERROR((WHOLE_STRUCTURE[[#This Row],[D, bottom '[m']]]+WHOLE_STRUCTURE[[#This Row],[D, top '[m']]])/(2*WHOLE_STRUCTURE[[#This Row],[t '[mm']]]/1000),"")</f>
        <v/>
      </c>
      <c r="S55" s="51"/>
      <c r="T55" s="51"/>
      <c r="U55" s="51"/>
      <c r="V55" s="51"/>
      <c r="W55" s="51"/>
      <c r="X55" s="51"/>
    </row>
    <row r="56" spans="10:24" x14ac:dyDescent="0.25">
      <c r="J56" s="54" t="str">
        <f t="shared" si="3"/>
        <v/>
      </c>
      <c r="K56" s="53">
        <f>IFERROR(WHOLE_STRUCTURE[[#This Row],[Bottom '[m']]]-WHOLE_STRUCTURE[[#This Row],[D, top '[m']]], "")</f>
        <v>0</v>
      </c>
      <c r="L56" s="54" t="str">
        <f>IFERROR(-(WHOLE_STRUCTURE[[#This Row],[D, bottom '[m']]]-WHOLE_STRUCTURE[[#This Row],[D, top '[m']]])/(WHOLE_STRUCTURE[[#This Row],[Bottom '[m']]]-WHOLE_STRUCTURE[[#This Row],[Top '[m']]]),"")</f>
        <v/>
      </c>
      <c r="M56" s="52" t="str">
        <f>IFERROR((WHOLE_STRUCTURE[[#This Row],[D, bottom '[m']]]+WHOLE_STRUCTURE[[#This Row],[D, top '[m']]])/(2*WHOLE_STRUCTURE[[#This Row],[t '[mm']]]/1000),"")</f>
        <v/>
      </c>
      <c r="S56" s="51"/>
      <c r="T56" s="51"/>
      <c r="U56" s="51"/>
      <c r="V56" s="51"/>
      <c r="W56" s="51"/>
      <c r="X56" s="51"/>
    </row>
    <row r="57" spans="10:24" x14ac:dyDescent="0.25">
      <c r="J57" s="54" t="str">
        <f t="shared" si="3"/>
        <v/>
      </c>
      <c r="K57" s="53">
        <f>IFERROR(WHOLE_STRUCTURE[[#This Row],[Bottom '[m']]]-WHOLE_STRUCTURE[[#This Row],[D, top '[m']]], "")</f>
        <v>0</v>
      </c>
      <c r="L57" s="54" t="str">
        <f>IFERROR(-(WHOLE_STRUCTURE[[#This Row],[D, bottom '[m']]]-WHOLE_STRUCTURE[[#This Row],[D, top '[m']]])/(WHOLE_STRUCTURE[[#This Row],[Bottom '[m']]]-WHOLE_STRUCTURE[[#This Row],[Top '[m']]]),"")</f>
        <v/>
      </c>
      <c r="M57" s="52" t="str">
        <f>IFERROR((WHOLE_STRUCTURE[[#This Row],[D, bottom '[m']]]+WHOLE_STRUCTURE[[#This Row],[D, top '[m']]])/(2*WHOLE_STRUCTURE[[#This Row],[t '[mm']]]/1000),"")</f>
        <v/>
      </c>
      <c r="S57" s="51"/>
      <c r="T57" s="51"/>
      <c r="U57" s="51"/>
      <c r="V57" s="51"/>
      <c r="W57" s="51"/>
      <c r="X57" s="51"/>
    </row>
    <row r="58" spans="10:24" x14ac:dyDescent="0.25">
      <c r="J58" s="54" t="str">
        <f t="shared" si="3"/>
        <v/>
      </c>
      <c r="K58" s="53">
        <f>IFERROR(WHOLE_STRUCTURE[[#This Row],[Bottom '[m']]]-WHOLE_STRUCTURE[[#This Row],[D, top '[m']]], "")</f>
        <v>0</v>
      </c>
      <c r="L58" s="54" t="str">
        <f>IFERROR(-(WHOLE_STRUCTURE[[#This Row],[D, bottom '[m']]]-WHOLE_STRUCTURE[[#This Row],[D, top '[m']]])/(WHOLE_STRUCTURE[[#This Row],[Bottom '[m']]]-WHOLE_STRUCTURE[[#This Row],[Top '[m']]]),"")</f>
        <v/>
      </c>
      <c r="M58" s="52" t="str">
        <f>IFERROR((WHOLE_STRUCTURE[[#This Row],[D, bottom '[m']]]+WHOLE_STRUCTURE[[#This Row],[D, top '[m']]])/(2*WHOLE_STRUCTURE[[#This Row],[t '[mm']]]/1000),"")</f>
        <v/>
      </c>
      <c r="S58" s="51"/>
      <c r="T58" s="51"/>
      <c r="U58" s="51"/>
      <c r="V58" s="51"/>
      <c r="W58" s="51"/>
      <c r="X58" s="51"/>
    </row>
    <row r="59" spans="10:24" x14ac:dyDescent="0.25">
      <c r="J59" s="54" t="str">
        <f t="shared" si="3"/>
        <v/>
      </c>
      <c r="K59" s="53">
        <f>IFERROR(WHOLE_STRUCTURE[[#This Row],[Bottom '[m']]]-WHOLE_STRUCTURE[[#This Row],[D, top '[m']]], "")</f>
        <v>0</v>
      </c>
      <c r="L59" s="54" t="str">
        <f>IFERROR(-(WHOLE_STRUCTURE[[#This Row],[D, bottom '[m']]]-WHOLE_STRUCTURE[[#This Row],[D, top '[m']]])/(WHOLE_STRUCTURE[[#This Row],[Bottom '[m']]]-WHOLE_STRUCTURE[[#This Row],[Top '[m']]]),"")</f>
        <v/>
      </c>
      <c r="M59" s="52" t="str">
        <f>IFERROR((WHOLE_STRUCTURE[[#This Row],[D, bottom '[m']]]+WHOLE_STRUCTURE[[#This Row],[D, top '[m']]])/(2*WHOLE_STRUCTURE[[#This Row],[t '[mm']]]/1000),"")</f>
        <v/>
      </c>
      <c r="S59" s="51"/>
      <c r="T59" s="51"/>
      <c r="U59" s="51"/>
      <c r="V59" s="51"/>
      <c r="W59" s="51"/>
      <c r="X59" s="51"/>
    </row>
    <row r="60" spans="10:24" x14ac:dyDescent="0.25">
      <c r="J60" s="54" t="str">
        <f t="shared" si="3"/>
        <v/>
      </c>
      <c r="K60" s="53">
        <f>IFERROR(WHOLE_STRUCTURE[[#This Row],[Bottom '[m']]]-WHOLE_STRUCTURE[[#This Row],[D, top '[m']]], "")</f>
        <v>0</v>
      </c>
      <c r="L60" s="54" t="str">
        <f>IFERROR(-(WHOLE_STRUCTURE[[#This Row],[D, bottom '[m']]]-WHOLE_STRUCTURE[[#This Row],[D, top '[m']]])/(WHOLE_STRUCTURE[[#This Row],[Bottom '[m']]]-WHOLE_STRUCTURE[[#This Row],[Top '[m']]]),"")</f>
        <v/>
      </c>
      <c r="M60" s="52" t="str">
        <f>IFERROR((WHOLE_STRUCTURE[[#This Row],[D, bottom '[m']]]+WHOLE_STRUCTURE[[#This Row],[D, top '[m']]])/(2*WHOLE_STRUCTURE[[#This Row],[t '[mm']]]/1000),"")</f>
        <v/>
      </c>
      <c r="S60" s="51"/>
      <c r="T60" s="51"/>
      <c r="U60" s="51"/>
      <c r="V60" s="51"/>
      <c r="W60" s="51"/>
      <c r="X60" s="51"/>
    </row>
    <row r="61" spans="10:24" x14ac:dyDescent="0.25">
      <c r="J61" s="54" t="str">
        <f t="shared" si="3"/>
        <v/>
      </c>
      <c r="K61" s="53">
        <f>IFERROR(WHOLE_STRUCTURE[[#This Row],[Bottom '[m']]]-WHOLE_STRUCTURE[[#This Row],[D, top '[m']]], "")</f>
        <v>0</v>
      </c>
      <c r="L61" s="54" t="str">
        <f>IFERROR(-(WHOLE_STRUCTURE[[#This Row],[D, bottom '[m']]]-WHOLE_STRUCTURE[[#This Row],[D, top '[m']]])/(WHOLE_STRUCTURE[[#This Row],[Bottom '[m']]]-WHOLE_STRUCTURE[[#This Row],[Top '[m']]]),"")</f>
        <v/>
      </c>
      <c r="M61" s="52" t="str">
        <f>IFERROR((WHOLE_STRUCTURE[[#This Row],[D, bottom '[m']]]+WHOLE_STRUCTURE[[#This Row],[D, top '[m']]])/(2*WHOLE_STRUCTURE[[#This Row],[t '[mm']]]/1000),"")</f>
        <v/>
      </c>
      <c r="S61" s="51"/>
      <c r="T61" s="51"/>
      <c r="U61" s="51"/>
      <c r="V61" s="51"/>
      <c r="W61" s="51"/>
      <c r="X61" s="51"/>
    </row>
    <row r="62" spans="10:24" x14ac:dyDescent="0.25">
      <c r="J62" s="54" t="str">
        <f t="shared" si="3"/>
        <v/>
      </c>
      <c r="K62" s="53">
        <f>IFERROR(WHOLE_STRUCTURE[[#This Row],[Bottom '[m']]]-WHOLE_STRUCTURE[[#This Row],[D, top '[m']]], "")</f>
        <v>0</v>
      </c>
      <c r="L62" s="54" t="str">
        <f>IFERROR(-(WHOLE_STRUCTURE[[#This Row],[D, bottom '[m']]]-WHOLE_STRUCTURE[[#This Row],[D, top '[m']]])/(WHOLE_STRUCTURE[[#This Row],[Bottom '[m']]]-WHOLE_STRUCTURE[[#This Row],[Top '[m']]]),"")</f>
        <v/>
      </c>
      <c r="M62" s="52" t="str">
        <f>IFERROR((WHOLE_STRUCTURE[[#This Row],[D, bottom '[m']]]+WHOLE_STRUCTURE[[#This Row],[D, top '[m']]])/(2*WHOLE_STRUCTURE[[#This Row],[t '[mm']]]/1000),"")</f>
        <v/>
      </c>
      <c r="S62" s="51"/>
      <c r="T62" s="51"/>
      <c r="U62" s="51"/>
      <c r="V62" s="51"/>
      <c r="W62" s="51"/>
      <c r="X62" s="51"/>
    </row>
    <row r="63" spans="10:24" x14ac:dyDescent="0.25">
      <c r="J63" s="54" t="str">
        <f t="shared" si="3"/>
        <v/>
      </c>
      <c r="K63" s="53">
        <f>IFERROR(WHOLE_STRUCTURE[[#This Row],[Bottom '[m']]]-WHOLE_STRUCTURE[[#This Row],[D, top '[m']]], "")</f>
        <v>0</v>
      </c>
      <c r="L63" s="54" t="str">
        <f>IFERROR(-(WHOLE_STRUCTURE[[#This Row],[D, bottom '[m']]]-WHOLE_STRUCTURE[[#This Row],[D, top '[m']]])/(WHOLE_STRUCTURE[[#This Row],[Bottom '[m']]]-WHOLE_STRUCTURE[[#This Row],[Top '[m']]]),"")</f>
        <v/>
      </c>
      <c r="M63" s="52" t="str">
        <f>IFERROR((WHOLE_STRUCTURE[[#This Row],[D, bottom '[m']]]+WHOLE_STRUCTURE[[#This Row],[D, top '[m']]])/(2*WHOLE_STRUCTURE[[#This Row],[t '[mm']]]/1000),"")</f>
        <v/>
      </c>
      <c r="S63" s="51"/>
      <c r="T63" s="51"/>
      <c r="U63" s="51"/>
      <c r="V63" s="51"/>
      <c r="W63" s="51"/>
      <c r="X63" s="51"/>
    </row>
    <row r="64" spans="10:24" x14ac:dyDescent="0.25">
      <c r="J64" s="54" t="str">
        <f t="shared" si="3"/>
        <v/>
      </c>
      <c r="K64" s="53">
        <f>IFERROR(WHOLE_STRUCTURE[[#This Row],[Bottom '[m']]]-WHOLE_STRUCTURE[[#This Row],[D, top '[m']]], "")</f>
        <v>0</v>
      </c>
      <c r="L64" s="54" t="str">
        <f>IFERROR(-(WHOLE_STRUCTURE[[#This Row],[D, bottom '[m']]]-WHOLE_STRUCTURE[[#This Row],[D, top '[m']]])/(WHOLE_STRUCTURE[[#This Row],[Bottom '[m']]]-WHOLE_STRUCTURE[[#This Row],[Top '[m']]]),"")</f>
        <v/>
      </c>
      <c r="M64" s="52" t="str">
        <f>IFERROR((WHOLE_STRUCTURE[[#This Row],[D, bottom '[m']]]+WHOLE_STRUCTURE[[#This Row],[D, top '[m']]])/(2*WHOLE_STRUCTURE[[#This Row],[t '[mm']]]/1000),"")</f>
        <v/>
      </c>
      <c r="S64" s="51"/>
      <c r="T64" s="51"/>
      <c r="U64" s="51"/>
      <c r="V64" s="51"/>
      <c r="W64" s="51"/>
      <c r="X64" s="51"/>
    </row>
    <row r="65" spans="10:24" x14ac:dyDescent="0.25">
      <c r="J65" s="54" t="str">
        <f t="shared" si="3"/>
        <v/>
      </c>
      <c r="K65" s="54">
        <f>IFERROR(WHOLE_STRUCTURE[[#This Row],[Bottom '[m']]]-WHOLE_STRUCTURE[[#This Row],[D, top '[m']]], "")</f>
        <v>0</v>
      </c>
      <c r="L65" s="54" t="str">
        <f>IFERROR(-(WHOLE_STRUCTURE[[#This Row],[D, bottom '[m']]]-WHOLE_STRUCTURE[[#This Row],[D, top '[m']]])/(WHOLE_STRUCTURE[[#This Row],[Bottom '[m']]]-WHOLE_STRUCTURE[[#This Row],[Top '[m']]]),"")</f>
        <v/>
      </c>
      <c r="M65" s="54" t="str">
        <f>IFERROR((WHOLE_STRUCTURE[[#This Row],[D, bottom '[m']]]+WHOLE_STRUCTURE[[#This Row],[D, top '[m']]])/(2*WHOLE_STRUCTURE[[#This Row],[t '[mm']]]/1000),"")</f>
        <v/>
      </c>
      <c r="S65" s="51"/>
      <c r="T65" s="51"/>
      <c r="U65" s="51"/>
      <c r="V65" s="51"/>
      <c r="W65" s="51"/>
      <c r="X65" s="51"/>
    </row>
    <row r="66" spans="10:24" x14ac:dyDescent="0.25">
      <c r="J66" s="54" t="str">
        <f t="shared" si="3"/>
        <v/>
      </c>
      <c r="K66" s="54">
        <f>IFERROR(WHOLE_STRUCTURE[[#This Row],[Bottom '[m']]]-WHOLE_STRUCTURE[[#This Row],[D, top '[m']]], "")</f>
        <v>0</v>
      </c>
      <c r="L66" s="54" t="str">
        <f>IFERROR(-(WHOLE_STRUCTURE[[#This Row],[D, bottom '[m']]]-WHOLE_STRUCTURE[[#This Row],[D, top '[m']]])/(WHOLE_STRUCTURE[[#This Row],[Bottom '[m']]]-WHOLE_STRUCTURE[[#This Row],[Top '[m']]]),"")</f>
        <v/>
      </c>
      <c r="M66" s="54" t="str">
        <f>IFERROR((WHOLE_STRUCTURE[[#This Row],[D, bottom '[m']]]+WHOLE_STRUCTURE[[#This Row],[D, top '[m']]])/(2*WHOLE_STRUCTURE[[#This Row],[t '[mm']]]/1000),"")</f>
        <v/>
      </c>
      <c r="S66" s="51"/>
      <c r="T66" s="51"/>
      <c r="U66" s="51"/>
      <c r="V66" s="51"/>
      <c r="W66" s="51"/>
      <c r="X66" s="51"/>
    </row>
    <row r="67" spans="10:24" x14ac:dyDescent="0.25">
      <c r="J67" s="54" t="str">
        <f t="shared" si="3"/>
        <v/>
      </c>
      <c r="K67" s="54">
        <f>IFERROR(WHOLE_STRUCTURE[[#This Row],[Bottom '[m']]]-WHOLE_STRUCTURE[[#This Row],[D, top '[m']]], "")</f>
        <v>0</v>
      </c>
      <c r="L67" s="54" t="str">
        <f>IFERROR(-(WHOLE_STRUCTURE[[#This Row],[D, bottom '[m']]]-WHOLE_STRUCTURE[[#This Row],[D, top '[m']]])/(WHOLE_STRUCTURE[[#This Row],[Bottom '[m']]]-WHOLE_STRUCTURE[[#This Row],[Top '[m']]]),"")</f>
        <v/>
      </c>
      <c r="M67" s="54" t="str">
        <f>IFERROR((WHOLE_STRUCTURE[[#This Row],[D, bottom '[m']]]+WHOLE_STRUCTURE[[#This Row],[D, top '[m']]])/(2*WHOLE_STRUCTURE[[#This Row],[t '[mm']]]/1000),"")</f>
        <v/>
      </c>
      <c r="S67" s="51"/>
      <c r="T67" s="51"/>
      <c r="U67" s="51"/>
      <c r="V67" s="51"/>
      <c r="W67" s="51"/>
      <c r="X67" s="51"/>
    </row>
    <row r="68" spans="10:24" x14ac:dyDescent="0.25">
      <c r="J68" s="54" t="str">
        <f t="shared" si="3"/>
        <v/>
      </c>
      <c r="K68" s="54">
        <f>IFERROR(WHOLE_STRUCTURE[[#This Row],[Bottom '[m']]]-WHOLE_STRUCTURE[[#This Row],[D, top '[m']]], "")</f>
        <v>0</v>
      </c>
      <c r="L68" s="54" t="str">
        <f>IFERROR(-(WHOLE_STRUCTURE[[#This Row],[D, bottom '[m']]]-WHOLE_STRUCTURE[[#This Row],[D, top '[m']]])/(WHOLE_STRUCTURE[[#This Row],[Bottom '[m']]]-WHOLE_STRUCTURE[[#This Row],[Top '[m']]]),"")</f>
        <v/>
      </c>
      <c r="M68" s="54" t="str">
        <f>IFERROR((WHOLE_STRUCTURE[[#This Row],[D, bottom '[m']]]+WHOLE_STRUCTURE[[#This Row],[D, top '[m']]])/(2*WHOLE_STRUCTURE[[#This Row],[t '[mm']]]/1000),"")</f>
        <v/>
      </c>
      <c r="S68" s="51"/>
      <c r="T68" s="51"/>
      <c r="U68" s="51"/>
      <c r="V68" s="51"/>
      <c r="W68" s="51"/>
      <c r="X68" s="51"/>
    </row>
    <row r="69" spans="10:24" x14ac:dyDescent="0.25">
      <c r="J69" s="54" t="str">
        <f t="shared" ref="J69:J131" si="4">IF(7850/1000*(1/3)*PI()*ABS(E69-F69)*((G69/2)^2+(G69/2)*(H69/2)+(H69/2)^2-(G69/2-I69/1000)^2-(G69/2-I69/1000)*(H69/2-I69/1000)-(H69/2-I69/1000)^2)=0,"",7850/1000*(1/3)*PI()*ABS(E69-F69)*((G69/2)^2+(G69/2)*(H69/2)+(H69/2)^2-(G69/2-I69/1000)^2-(G69/2-I69/1000)*(H69/2-I69/1000)-(H69/2-I69/1000)^2))</f>
        <v/>
      </c>
      <c r="K69" s="54">
        <f>IFERROR(WHOLE_STRUCTURE[[#This Row],[Bottom '[m']]]-WHOLE_STRUCTURE[[#This Row],[D, top '[m']]], "")</f>
        <v>0</v>
      </c>
      <c r="L69" s="54" t="str">
        <f>IFERROR(-(WHOLE_STRUCTURE[[#This Row],[D, bottom '[m']]]-WHOLE_STRUCTURE[[#This Row],[D, top '[m']]])/(WHOLE_STRUCTURE[[#This Row],[Bottom '[m']]]-WHOLE_STRUCTURE[[#This Row],[Top '[m']]]),"")</f>
        <v/>
      </c>
      <c r="M69" s="54" t="str">
        <f>IFERROR((WHOLE_STRUCTURE[[#This Row],[D, bottom '[m']]]+WHOLE_STRUCTURE[[#This Row],[D, top '[m']]])/(2*WHOLE_STRUCTURE[[#This Row],[t '[mm']]]/1000),"")</f>
        <v/>
      </c>
      <c r="S69" s="51"/>
      <c r="T69" s="51"/>
      <c r="U69" s="51"/>
      <c r="V69" s="51"/>
      <c r="W69" s="51"/>
      <c r="X69" s="51"/>
    </row>
    <row r="70" spans="10:24" x14ac:dyDescent="0.25">
      <c r="J70" s="54" t="str">
        <f t="shared" si="4"/>
        <v/>
      </c>
      <c r="K70" s="54">
        <f>IFERROR(WHOLE_STRUCTURE[[#This Row],[Bottom '[m']]]-WHOLE_STRUCTURE[[#This Row],[D, top '[m']]], "")</f>
        <v>0</v>
      </c>
      <c r="L70" s="54" t="str">
        <f>IFERROR(-(WHOLE_STRUCTURE[[#This Row],[D, bottom '[m']]]-WHOLE_STRUCTURE[[#This Row],[D, top '[m']]])/(WHOLE_STRUCTURE[[#This Row],[Bottom '[m']]]-WHOLE_STRUCTURE[[#This Row],[Top '[m']]]),"")</f>
        <v/>
      </c>
      <c r="M70" s="54" t="str">
        <f>IFERROR((WHOLE_STRUCTURE[[#This Row],[D, bottom '[m']]]+WHOLE_STRUCTURE[[#This Row],[D, top '[m']]])/(2*WHOLE_STRUCTURE[[#This Row],[t '[mm']]]/1000),"")</f>
        <v/>
      </c>
      <c r="S70" s="51"/>
      <c r="T70" s="51"/>
      <c r="U70" s="51"/>
      <c r="V70" s="51"/>
      <c r="W70" s="51"/>
      <c r="X70" s="51"/>
    </row>
    <row r="71" spans="10:24" x14ac:dyDescent="0.25">
      <c r="J71" s="54" t="str">
        <f t="shared" si="4"/>
        <v/>
      </c>
      <c r="K71" s="54">
        <f>IFERROR(WHOLE_STRUCTURE[[#This Row],[Bottom '[m']]]-WHOLE_STRUCTURE[[#This Row],[D, top '[m']]], "")</f>
        <v>0</v>
      </c>
      <c r="L71" s="54" t="str">
        <f>IFERROR(-(WHOLE_STRUCTURE[[#This Row],[D, bottom '[m']]]-WHOLE_STRUCTURE[[#This Row],[D, top '[m']]])/(WHOLE_STRUCTURE[[#This Row],[Bottom '[m']]]-WHOLE_STRUCTURE[[#This Row],[Top '[m']]]),"")</f>
        <v/>
      </c>
      <c r="M71" s="54" t="str">
        <f>IFERROR((WHOLE_STRUCTURE[[#This Row],[D, bottom '[m']]]+WHOLE_STRUCTURE[[#This Row],[D, top '[m']]])/(2*WHOLE_STRUCTURE[[#This Row],[t '[mm']]]/1000),"")</f>
        <v/>
      </c>
      <c r="S71" s="51"/>
      <c r="T71" s="51"/>
      <c r="U71" s="51"/>
      <c r="V71" s="51"/>
      <c r="W71" s="51"/>
      <c r="X71" s="51"/>
    </row>
    <row r="72" spans="10:24" x14ac:dyDescent="0.25">
      <c r="J72" s="54" t="str">
        <f t="shared" si="4"/>
        <v/>
      </c>
      <c r="K72" s="54">
        <f>IFERROR(WHOLE_STRUCTURE[[#This Row],[Bottom '[m']]]-WHOLE_STRUCTURE[[#This Row],[D, top '[m']]], "")</f>
        <v>0</v>
      </c>
      <c r="L72" s="54" t="str">
        <f>IFERROR(-(WHOLE_STRUCTURE[[#This Row],[D, bottom '[m']]]-WHOLE_STRUCTURE[[#This Row],[D, top '[m']]])/(WHOLE_STRUCTURE[[#This Row],[Bottom '[m']]]-WHOLE_STRUCTURE[[#This Row],[Top '[m']]]),"")</f>
        <v/>
      </c>
      <c r="M72" s="54" t="str">
        <f>IFERROR((WHOLE_STRUCTURE[[#This Row],[D, bottom '[m']]]+WHOLE_STRUCTURE[[#This Row],[D, top '[m']]])/(2*WHOLE_STRUCTURE[[#This Row],[t '[mm']]]/1000),"")</f>
        <v/>
      </c>
      <c r="S72" s="51"/>
      <c r="T72" s="51"/>
      <c r="U72" s="51"/>
      <c r="V72" s="51"/>
      <c r="W72" s="51"/>
      <c r="X72" s="51"/>
    </row>
    <row r="73" spans="10:24" x14ac:dyDescent="0.25">
      <c r="J73" s="54" t="str">
        <f t="shared" si="4"/>
        <v/>
      </c>
      <c r="K73" s="54">
        <f>IFERROR(WHOLE_STRUCTURE[[#This Row],[Bottom '[m']]]-WHOLE_STRUCTURE[[#This Row],[D, top '[m']]], "")</f>
        <v>0</v>
      </c>
      <c r="L73" s="54" t="str">
        <f>IFERROR(-(WHOLE_STRUCTURE[[#This Row],[D, bottom '[m']]]-WHOLE_STRUCTURE[[#This Row],[D, top '[m']]])/(WHOLE_STRUCTURE[[#This Row],[Bottom '[m']]]-WHOLE_STRUCTURE[[#This Row],[Top '[m']]]),"")</f>
        <v/>
      </c>
      <c r="M73" s="54" t="str">
        <f>IFERROR((WHOLE_STRUCTURE[[#This Row],[D, bottom '[m']]]+WHOLE_STRUCTURE[[#This Row],[D, top '[m']]])/(2*WHOLE_STRUCTURE[[#This Row],[t '[mm']]]/1000),"")</f>
        <v/>
      </c>
      <c r="S73" s="51"/>
      <c r="T73" s="51"/>
      <c r="U73" s="51"/>
      <c r="V73" s="51"/>
      <c r="W73" s="51"/>
      <c r="X73" s="51"/>
    </row>
    <row r="74" spans="10:24" x14ac:dyDescent="0.25">
      <c r="J74" s="54" t="str">
        <f t="shared" si="4"/>
        <v/>
      </c>
      <c r="K74" s="54">
        <f>IFERROR(WHOLE_STRUCTURE[[#This Row],[Bottom '[m']]]-WHOLE_STRUCTURE[[#This Row],[D, top '[m']]], "")</f>
        <v>0</v>
      </c>
      <c r="L74" s="54" t="str">
        <f>IFERROR(-(WHOLE_STRUCTURE[[#This Row],[D, bottom '[m']]]-WHOLE_STRUCTURE[[#This Row],[D, top '[m']]])/(WHOLE_STRUCTURE[[#This Row],[Bottom '[m']]]-WHOLE_STRUCTURE[[#This Row],[Top '[m']]]),"")</f>
        <v/>
      </c>
      <c r="M74" s="54" t="str">
        <f>IFERROR((WHOLE_STRUCTURE[[#This Row],[D, bottom '[m']]]+WHOLE_STRUCTURE[[#This Row],[D, top '[m']]])/(2*WHOLE_STRUCTURE[[#This Row],[t '[mm']]]/1000),"")</f>
        <v/>
      </c>
      <c r="S74" s="51"/>
      <c r="T74" s="51"/>
      <c r="U74" s="51"/>
      <c r="V74" s="51"/>
      <c r="W74" s="51"/>
      <c r="X74" s="51"/>
    </row>
    <row r="75" spans="10:24" x14ac:dyDescent="0.25">
      <c r="J75" s="54" t="str">
        <f t="shared" si="4"/>
        <v/>
      </c>
      <c r="K75" s="54">
        <f>IFERROR(WHOLE_STRUCTURE[[#This Row],[Bottom '[m']]]-WHOLE_STRUCTURE[[#This Row],[D, top '[m']]], "")</f>
        <v>0</v>
      </c>
      <c r="L75" s="54" t="str">
        <f>IFERROR(-(WHOLE_STRUCTURE[[#This Row],[D, bottom '[m']]]-WHOLE_STRUCTURE[[#This Row],[D, top '[m']]])/(WHOLE_STRUCTURE[[#This Row],[Bottom '[m']]]-WHOLE_STRUCTURE[[#This Row],[Top '[m']]]),"")</f>
        <v/>
      </c>
      <c r="M75" s="54" t="str">
        <f>IFERROR((WHOLE_STRUCTURE[[#This Row],[D, bottom '[m']]]+WHOLE_STRUCTURE[[#This Row],[D, top '[m']]])/(2*WHOLE_STRUCTURE[[#This Row],[t '[mm']]]/1000),"")</f>
        <v/>
      </c>
      <c r="S75" s="51"/>
      <c r="T75" s="51"/>
      <c r="U75" s="51"/>
      <c r="V75" s="51"/>
      <c r="W75" s="51"/>
      <c r="X75" s="51"/>
    </row>
    <row r="76" spans="10:24" x14ac:dyDescent="0.25">
      <c r="J76" s="54" t="str">
        <f t="shared" si="4"/>
        <v/>
      </c>
      <c r="K76" s="54">
        <f>IFERROR(WHOLE_STRUCTURE[[#This Row],[Bottom '[m']]]-WHOLE_STRUCTURE[[#This Row],[D, top '[m']]], "")</f>
        <v>0</v>
      </c>
      <c r="L76" s="54" t="str">
        <f>IFERROR(-(WHOLE_STRUCTURE[[#This Row],[D, bottom '[m']]]-WHOLE_STRUCTURE[[#This Row],[D, top '[m']]])/(WHOLE_STRUCTURE[[#This Row],[Bottom '[m']]]-WHOLE_STRUCTURE[[#This Row],[Top '[m']]]),"")</f>
        <v/>
      </c>
      <c r="M76" s="54" t="str">
        <f>IFERROR((WHOLE_STRUCTURE[[#This Row],[D, bottom '[m']]]+WHOLE_STRUCTURE[[#This Row],[D, top '[m']]])/(2*WHOLE_STRUCTURE[[#This Row],[t '[mm']]]/1000),"")</f>
        <v/>
      </c>
      <c r="S76" s="51"/>
      <c r="T76" s="51"/>
      <c r="U76" s="51"/>
      <c r="V76" s="51"/>
      <c r="W76" s="51"/>
      <c r="X76" s="51"/>
    </row>
    <row r="77" spans="10:24" x14ac:dyDescent="0.25">
      <c r="J77" s="54" t="str">
        <f t="shared" si="4"/>
        <v/>
      </c>
      <c r="K77" s="54">
        <f>IFERROR(WHOLE_STRUCTURE[[#This Row],[Bottom '[m']]]-WHOLE_STRUCTURE[[#This Row],[D, top '[m']]], "")</f>
        <v>0</v>
      </c>
      <c r="L77" s="54" t="str">
        <f>IFERROR(-(WHOLE_STRUCTURE[[#This Row],[D, bottom '[m']]]-WHOLE_STRUCTURE[[#This Row],[D, top '[m']]])/(WHOLE_STRUCTURE[[#This Row],[Bottom '[m']]]-WHOLE_STRUCTURE[[#This Row],[Top '[m']]]),"")</f>
        <v/>
      </c>
      <c r="M77" s="54" t="str">
        <f>IFERROR((WHOLE_STRUCTURE[[#This Row],[D, bottom '[m']]]+WHOLE_STRUCTURE[[#This Row],[D, top '[m']]])/(2*WHOLE_STRUCTURE[[#This Row],[t '[mm']]]/1000),"")</f>
        <v/>
      </c>
      <c r="S77" s="51"/>
      <c r="T77" s="51"/>
      <c r="U77" s="51"/>
      <c r="V77" s="51"/>
      <c r="W77" s="51"/>
      <c r="X77" s="51"/>
    </row>
    <row r="78" spans="10:24" x14ac:dyDescent="0.25">
      <c r="J78" s="54" t="str">
        <f t="shared" si="4"/>
        <v/>
      </c>
      <c r="K78" s="54">
        <f>IFERROR(WHOLE_STRUCTURE[[#This Row],[Bottom '[m']]]-WHOLE_STRUCTURE[[#This Row],[D, top '[m']]], "")</f>
        <v>0</v>
      </c>
      <c r="L78" s="54" t="str">
        <f>IFERROR(-(WHOLE_STRUCTURE[[#This Row],[D, bottom '[m']]]-WHOLE_STRUCTURE[[#This Row],[D, top '[m']]])/(WHOLE_STRUCTURE[[#This Row],[Bottom '[m']]]-WHOLE_STRUCTURE[[#This Row],[Top '[m']]]),"")</f>
        <v/>
      </c>
      <c r="M78" s="54" t="str">
        <f>IFERROR((WHOLE_STRUCTURE[[#This Row],[D, bottom '[m']]]+WHOLE_STRUCTURE[[#This Row],[D, top '[m']]])/(2*WHOLE_STRUCTURE[[#This Row],[t '[mm']]]/1000),"")</f>
        <v/>
      </c>
      <c r="S78" s="51"/>
      <c r="T78" s="51"/>
      <c r="U78" s="51"/>
      <c r="V78" s="51"/>
      <c r="W78" s="51"/>
      <c r="X78" s="51"/>
    </row>
    <row r="79" spans="10:24" x14ac:dyDescent="0.25">
      <c r="J79" s="54" t="str">
        <f t="shared" si="4"/>
        <v/>
      </c>
      <c r="K79" s="54">
        <f>IFERROR(WHOLE_STRUCTURE[[#This Row],[Bottom '[m']]]-WHOLE_STRUCTURE[[#This Row],[D, top '[m']]], "")</f>
        <v>0</v>
      </c>
      <c r="L79" s="54" t="str">
        <f>IFERROR(-(WHOLE_STRUCTURE[[#This Row],[D, bottom '[m']]]-WHOLE_STRUCTURE[[#This Row],[D, top '[m']]])/(WHOLE_STRUCTURE[[#This Row],[Bottom '[m']]]-WHOLE_STRUCTURE[[#This Row],[Top '[m']]]),"")</f>
        <v/>
      </c>
      <c r="M79" s="54" t="str">
        <f>IFERROR((WHOLE_STRUCTURE[[#This Row],[D, bottom '[m']]]+WHOLE_STRUCTURE[[#This Row],[D, top '[m']]])/(2*WHOLE_STRUCTURE[[#This Row],[t '[mm']]]/1000),"")</f>
        <v/>
      </c>
      <c r="S79" s="51"/>
      <c r="T79" s="51"/>
      <c r="U79" s="51"/>
      <c r="V79" s="51"/>
      <c r="W79" s="51"/>
      <c r="X79" s="51"/>
    </row>
    <row r="80" spans="10:24" x14ac:dyDescent="0.25">
      <c r="J80" s="54" t="str">
        <f t="shared" si="4"/>
        <v/>
      </c>
      <c r="K80" s="54">
        <f>IFERROR(WHOLE_STRUCTURE[[#This Row],[Bottom '[m']]]-WHOLE_STRUCTURE[[#This Row],[D, top '[m']]], "")</f>
        <v>0</v>
      </c>
      <c r="L80" s="54" t="str">
        <f>IFERROR(-(WHOLE_STRUCTURE[[#This Row],[D, bottom '[m']]]-WHOLE_STRUCTURE[[#This Row],[D, top '[m']]])/(WHOLE_STRUCTURE[[#This Row],[Bottom '[m']]]-WHOLE_STRUCTURE[[#This Row],[Top '[m']]]),"")</f>
        <v/>
      </c>
      <c r="M80" s="54" t="str">
        <f>IFERROR((WHOLE_STRUCTURE[[#This Row],[D, bottom '[m']]]+WHOLE_STRUCTURE[[#This Row],[D, top '[m']]])/(2*WHOLE_STRUCTURE[[#This Row],[t '[mm']]]/1000),"")</f>
        <v/>
      </c>
      <c r="S80" s="51"/>
      <c r="T80" s="51"/>
      <c r="U80" s="51"/>
      <c r="V80" s="51"/>
      <c r="W80" s="51"/>
      <c r="X80" s="51"/>
    </row>
    <row r="81" spans="10:24" x14ac:dyDescent="0.25">
      <c r="J81" s="54" t="str">
        <f t="shared" si="4"/>
        <v/>
      </c>
      <c r="K81" s="54">
        <f>IFERROR(WHOLE_STRUCTURE[[#This Row],[Bottom '[m']]]-WHOLE_STRUCTURE[[#This Row],[D, top '[m']]], "")</f>
        <v>0</v>
      </c>
      <c r="L81" s="54" t="str">
        <f>IFERROR(-(WHOLE_STRUCTURE[[#This Row],[D, bottom '[m']]]-WHOLE_STRUCTURE[[#This Row],[D, top '[m']]])/(WHOLE_STRUCTURE[[#This Row],[Bottom '[m']]]-WHOLE_STRUCTURE[[#This Row],[Top '[m']]]),"")</f>
        <v/>
      </c>
      <c r="M81" s="54" t="str">
        <f>IFERROR((WHOLE_STRUCTURE[[#This Row],[D, bottom '[m']]]+WHOLE_STRUCTURE[[#This Row],[D, top '[m']]])/(2*WHOLE_STRUCTURE[[#This Row],[t '[mm']]]/1000),"")</f>
        <v/>
      </c>
      <c r="S81" s="51"/>
      <c r="T81" s="51"/>
      <c r="U81" s="51"/>
      <c r="V81" s="51"/>
      <c r="W81" s="51"/>
      <c r="X81" s="51"/>
    </row>
    <row r="82" spans="10:24" x14ac:dyDescent="0.25">
      <c r="J82" s="54" t="str">
        <f t="shared" si="4"/>
        <v/>
      </c>
      <c r="K82" s="54">
        <f>IFERROR(WHOLE_STRUCTURE[[#This Row],[Bottom '[m']]]-WHOLE_STRUCTURE[[#This Row],[D, top '[m']]], "")</f>
        <v>0</v>
      </c>
      <c r="L82" s="54" t="str">
        <f>IFERROR(-(WHOLE_STRUCTURE[[#This Row],[D, bottom '[m']]]-WHOLE_STRUCTURE[[#This Row],[D, top '[m']]])/(WHOLE_STRUCTURE[[#This Row],[Bottom '[m']]]-WHOLE_STRUCTURE[[#This Row],[Top '[m']]]),"")</f>
        <v/>
      </c>
      <c r="M82" s="54" t="str">
        <f>IFERROR((WHOLE_STRUCTURE[[#This Row],[D, bottom '[m']]]+WHOLE_STRUCTURE[[#This Row],[D, top '[m']]])/(2*WHOLE_STRUCTURE[[#This Row],[t '[mm']]]/1000),"")</f>
        <v/>
      </c>
      <c r="S82" s="51"/>
      <c r="T82" s="51"/>
      <c r="U82" s="51"/>
      <c r="V82" s="51"/>
      <c r="W82" s="51"/>
      <c r="X82" s="51"/>
    </row>
    <row r="83" spans="10:24" x14ac:dyDescent="0.25">
      <c r="J83" s="54" t="str">
        <f t="shared" si="4"/>
        <v/>
      </c>
      <c r="K83" s="54">
        <f>IFERROR(WHOLE_STRUCTURE[[#This Row],[Bottom '[m']]]-WHOLE_STRUCTURE[[#This Row],[D, top '[m']]], "")</f>
        <v>0</v>
      </c>
      <c r="L83" s="54" t="str">
        <f>IFERROR(-(WHOLE_STRUCTURE[[#This Row],[D, bottom '[m']]]-WHOLE_STRUCTURE[[#This Row],[D, top '[m']]])/(WHOLE_STRUCTURE[[#This Row],[Bottom '[m']]]-WHOLE_STRUCTURE[[#This Row],[Top '[m']]]),"")</f>
        <v/>
      </c>
      <c r="M83" s="54" t="str">
        <f>IFERROR((WHOLE_STRUCTURE[[#This Row],[D, bottom '[m']]]+WHOLE_STRUCTURE[[#This Row],[D, top '[m']]])/(2*WHOLE_STRUCTURE[[#This Row],[t '[mm']]]/1000),"")</f>
        <v/>
      </c>
      <c r="S83" s="51"/>
      <c r="T83" s="51"/>
      <c r="U83" s="51"/>
      <c r="V83" s="51"/>
      <c r="W83" s="51"/>
      <c r="X83" s="51"/>
    </row>
    <row r="84" spans="10:24" x14ac:dyDescent="0.25">
      <c r="J84" s="54" t="str">
        <f t="shared" si="4"/>
        <v/>
      </c>
      <c r="K84" s="54">
        <f>IFERROR(WHOLE_STRUCTURE[[#This Row],[Bottom '[m']]]-WHOLE_STRUCTURE[[#This Row],[D, top '[m']]], "")</f>
        <v>0</v>
      </c>
      <c r="L84" s="54" t="str">
        <f>IFERROR(-(WHOLE_STRUCTURE[[#This Row],[D, bottom '[m']]]-WHOLE_STRUCTURE[[#This Row],[D, top '[m']]])/(WHOLE_STRUCTURE[[#This Row],[Bottom '[m']]]-WHOLE_STRUCTURE[[#This Row],[Top '[m']]]),"")</f>
        <v/>
      </c>
      <c r="M84" s="54" t="str">
        <f>IFERROR((WHOLE_STRUCTURE[[#This Row],[D, bottom '[m']]]+WHOLE_STRUCTURE[[#This Row],[D, top '[m']]])/(2*WHOLE_STRUCTURE[[#This Row],[t '[mm']]]/1000),"")</f>
        <v/>
      </c>
      <c r="S84" s="51"/>
      <c r="T84" s="51"/>
      <c r="U84" s="51"/>
      <c r="V84" s="51"/>
      <c r="W84" s="51"/>
      <c r="X84" s="51"/>
    </row>
    <row r="85" spans="10:24" x14ac:dyDescent="0.25">
      <c r="J85" s="54" t="str">
        <f t="shared" si="4"/>
        <v/>
      </c>
      <c r="K85" s="54">
        <f>IFERROR(WHOLE_STRUCTURE[[#This Row],[Bottom '[m']]]-WHOLE_STRUCTURE[[#This Row],[D, top '[m']]], "")</f>
        <v>0</v>
      </c>
      <c r="L85" s="54" t="str">
        <f>IFERROR(-(WHOLE_STRUCTURE[[#This Row],[D, bottom '[m']]]-WHOLE_STRUCTURE[[#This Row],[D, top '[m']]])/(WHOLE_STRUCTURE[[#This Row],[Bottom '[m']]]-WHOLE_STRUCTURE[[#This Row],[Top '[m']]]),"")</f>
        <v/>
      </c>
      <c r="M85" s="54" t="str">
        <f>IFERROR((WHOLE_STRUCTURE[[#This Row],[D, bottom '[m']]]+WHOLE_STRUCTURE[[#This Row],[D, top '[m']]])/(2*WHOLE_STRUCTURE[[#This Row],[t '[mm']]]/1000),"")</f>
        <v/>
      </c>
      <c r="S85" s="51"/>
      <c r="T85" s="51"/>
      <c r="U85" s="51"/>
      <c r="V85" s="51"/>
      <c r="W85" s="51"/>
      <c r="X85" s="51"/>
    </row>
    <row r="86" spans="10:24" x14ac:dyDescent="0.25">
      <c r="J86" s="54" t="str">
        <f t="shared" si="4"/>
        <v/>
      </c>
      <c r="K86" s="54">
        <f>IFERROR(WHOLE_STRUCTURE[[#This Row],[Bottom '[m']]]-WHOLE_STRUCTURE[[#This Row],[D, top '[m']]], "")</f>
        <v>0</v>
      </c>
      <c r="L86" s="54" t="str">
        <f>IFERROR(-(WHOLE_STRUCTURE[[#This Row],[D, bottom '[m']]]-WHOLE_STRUCTURE[[#This Row],[D, top '[m']]])/(WHOLE_STRUCTURE[[#This Row],[Bottom '[m']]]-WHOLE_STRUCTURE[[#This Row],[Top '[m']]]),"")</f>
        <v/>
      </c>
      <c r="M86" s="54" t="str">
        <f>IFERROR((WHOLE_STRUCTURE[[#This Row],[D, bottom '[m']]]+WHOLE_STRUCTURE[[#This Row],[D, top '[m']]])/(2*WHOLE_STRUCTURE[[#This Row],[t '[mm']]]/1000),"")</f>
        <v/>
      </c>
      <c r="S86" s="51"/>
      <c r="T86" s="51"/>
      <c r="U86" s="51"/>
      <c r="V86" s="51"/>
      <c r="W86" s="51"/>
      <c r="X86" s="51"/>
    </row>
    <row r="87" spans="10:24" x14ac:dyDescent="0.25">
      <c r="J87" s="54" t="str">
        <f t="shared" si="4"/>
        <v/>
      </c>
      <c r="K87" s="54">
        <f>IFERROR(WHOLE_STRUCTURE[[#This Row],[Bottom '[m']]]-WHOLE_STRUCTURE[[#This Row],[D, top '[m']]], "")</f>
        <v>0</v>
      </c>
      <c r="L87" s="54" t="str">
        <f>IFERROR(-(WHOLE_STRUCTURE[[#This Row],[D, bottom '[m']]]-WHOLE_STRUCTURE[[#This Row],[D, top '[m']]])/(WHOLE_STRUCTURE[[#This Row],[Bottom '[m']]]-WHOLE_STRUCTURE[[#This Row],[Top '[m']]]),"")</f>
        <v/>
      </c>
      <c r="M87" s="54" t="str">
        <f>IFERROR((WHOLE_STRUCTURE[[#This Row],[D, bottom '[m']]]+WHOLE_STRUCTURE[[#This Row],[D, top '[m']]])/(2*WHOLE_STRUCTURE[[#This Row],[t '[mm']]]/1000),"")</f>
        <v/>
      </c>
      <c r="S87" s="51"/>
      <c r="T87" s="51"/>
      <c r="U87" s="51"/>
      <c r="V87" s="51"/>
      <c r="W87" s="51"/>
      <c r="X87" s="51"/>
    </row>
    <row r="88" spans="10:24" x14ac:dyDescent="0.25">
      <c r="J88" s="54" t="str">
        <f t="shared" si="4"/>
        <v/>
      </c>
      <c r="K88" s="54">
        <f>IFERROR(WHOLE_STRUCTURE[[#This Row],[Bottom '[m']]]-WHOLE_STRUCTURE[[#This Row],[D, top '[m']]], "")</f>
        <v>0</v>
      </c>
      <c r="L88" s="54" t="str">
        <f>IFERROR(-(WHOLE_STRUCTURE[[#This Row],[D, bottom '[m']]]-WHOLE_STRUCTURE[[#This Row],[D, top '[m']]])/(WHOLE_STRUCTURE[[#This Row],[Bottom '[m']]]-WHOLE_STRUCTURE[[#This Row],[Top '[m']]]),"")</f>
        <v/>
      </c>
      <c r="M88" s="54" t="str">
        <f>IFERROR((WHOLE_STRUCTURE[[#This Row],[D, bottom '[m']]]+WHOLE_STRUCTURE[[#This Row],[D, top '[m']]])/(2*WHOLE_STRUCTURE[[#This Row],[t '[mm']]]/1000),"")</f>
        <v/>
      </c>
      <c r="S88" s="51"/>
      <c r="T88" s="51"/>
      <c r="U88" s="51"/>
      <c r="V88" s="51"/>
      <c r="W88" s="51"/>
      <c r="X88" s="51"/>
    </row>
    <row r="89" spans="10:24" x14ac:dyDescent="0.25">
      <c r="J89" s="54" t="str">
        <f t="shared" si="4"/>
        <v/>
      </c>
      <c r="K89" s="54">
        <f>IFERROR(WHOLE_STRUCTURE[[#This Row],[Bottom '[m']]]-WHOLE_STRUCTURE[[#This Row],[D, top '[m']]], "")</f>
        <v>0</v>
      </c>
      <c r="L89" s="54" t="str">
        <f>IFERROR(-(WHOLE_STRUCTURE[[#This Row],[D, bottom '[m']]]-WHOLE_STRUCTURE[[#This Row],[D, top '[m']]])/(WHOLE_STRUCTURE[[#This Row],[Bottom '[m']]]-WHOLE_STRUCTURE[[#This Row],[Top '[m']]]),"")</f>
        <v/>
      </c>
      <c r="M89" s="54" t="str">
        <f>IFERROR((WHOLE_STRUCTURE[[#This Row],[D, bottom '[m']]]+WHOLE_STRUCTURE[[#This Row],[D, top '[m']]])/(2*WHOLE_STRUCTURE[[#This Row],[t '[mm']]]/1000),"")</f>
        <v/>
      </c>
    </row>
    <row r="90" spans="10:24" x14ac:dyDescent="0.25">
      <c r="J90" s="54" t="str">
        <f t="shared" si="4"/>
        <v/>
      </c>
      <c r="K90" s="54">
        <f>IFERROR(WHOLE_STRUCTURE[[#This Row],[Bottom '[m']]]-WHOLE_STRUCTURE[[#This Row],[D, top '[m']]], "")</f>
        <v>0</v>
      </c>
      <c r="L90" s="54" t="str">
        <f>IFERROR(-(WHOLE_STRUCTURE[[#This Row],[D, bottom '[m']]]-WHOLE_STRUCTURE[[#This Row],[D, top '[m']]])/(WHOLE_STRUCTURE[[#This Row],[Bottom '[m']]]-WHOLE_STRUCTURE[[#This Row],[Top '[m']]]),"")</f>
        <v/>
      </c>
      <c r="M90" s="54" t="str">
        <f>IFERROR((WHOLE_STRUCTURE[[#This Row],[D, bottom '[m']]]+WHOLE_STRUCTURE[[#This Row],[D, top '[m']]])/(2*WHOLE_STRUCTURE[[#This Row],[t '[mm']]]/1000),"")</f>
        <v/>
      </c>
    </row>
    <row r="91" spans="10:24" x14ac:dyDescent="0.25">
      <c r="J91" s="54" t="str">
        <f t="shared" si="4"/>
        <v/>
      </c>
      <c r="K91" s="54">
        <f>IFERROR(WHOLE_STRUCTURE[[#This Row],[Bottom '[m']]]-WHOLE_STRUCTURE[[#This Row],[D, top '[m']]], "")</f>
        <v>0</v>
      </c>
      <c r="L91" s="54" t="str">
        <f>IFERROR(-(WHOLE_STRUCTURE[[#This Row],[D, bottom '[m']]]-WHOLE_STRUCTURE[[#This Row],[D, top '[m']]])/(WHOLE_STRUCTURE[[#This Row],[Bottom '[m']]]-WHOLE_STRUCTURE[[#This Row],[Top '[m']]]),"")</f>
        <v/>
      </c>
      <c r="M91" s="54" t="str">
        <f>IFERROR((WHOLE_STRUCTURE[[#This Row],[D, bottom '[m']]]+WHOLE_STRUCTURE[[#This Row],[D, top '[m']]])/(2*WHOLE_STRUCTURE[[#This Row],[t '[mm']]]/1000),"")</f>
        <v/>
      </c>
    </row>
    <row r="92" spans="10:24" x14ac:dyDescent="0.25">
      <c r="J92" s="54" t="str">
        <f t="shared" si="4"/>
        <v/>
      </c>
      <c r="K92" s="54">
        <f>IFERROR(WHOLE_STRUCTURE[[#This Row],[Bottom '[m']]]-WHOLE_STRUCTURE[[#This Row],[D, top '[m']]], "")</f>
        <v>0</v>
      </c>
      <c r="L92" s="54" t="str">
        <f>IFERROR(-(WHOLE_STRUCTURE[[#This Row],[D, bottom '[m']]]-WHOLE_STRUCTURE[[#This Row],[D, top '[m']]])/(WHOLE_STRUCTURE[[#This Row],[Bottom '[m']]]-WHOLE_STRUCTURE[[#This Row],[Top '[m']]]),"")</f>
        <v/>
      </c>
      <c r="M92" s="54" t="str">
        <f>IFERROR((WHOLE_STRUCTURE[[#This Row],[D, bottom '[m']]]+WHOLE_STRUCTURE[[#This Row],[D, top '[m']]])/(2*WHOLE_STRUCTURE[[#This Row],[t '[mm']]]/1000),"")</f>
        <v/>
      </c>
    </row>
    <row r="93" spans="10:24" x14ac:dyDescent="0.25">
      <c r="J93" s="54" t="str">
        <f t="shared" si="4"/>
        <v/>
      </c>
      <c r="K93" s="54">
        <f>IFERROR(WHOLE_STRUCTURE[[#This Row],[Bottom '[m']]]-WHOLE_STRUCTURE[[#This Row],[D, top '[m']]], "")</f>
        <v>0</v>
      </c>
      <c r="L93" s="54" t="str">
        <f>IFERROR(-(WHOLE_STRUCTURE[[#This Row],[D, bottom '[m']]]-WHOLE_STRUCTURE[[#This Row],[D, top '[m']]])/(WHOLE_STRUCTURE[[#This Row],[Bottom '[m']]]-WHOLE_STRUCTURE[[#This Row],[Top '[m']]]),"")</f>
        <v/>
      </c>
      <c r="M93" s="54" t="str">
        <f>IFERROR((WHOLE_STRUCTURE[[#This Row],[D, bottom '[m']]]+WHOLE_STRUCTURE[[#This Row],[D, top '[m']]])/(2*WHOLE_STRUCTURE[[#This Row],[t '[mm']]]/1000),"")</f>
        <v/>
      </c>
    </row>
    <row r="94" spans="10:24" x14ac:dyDescent="0.25">
      <c r="J94" s="54" t="str">
        <f t="shared" si="4"/>
        <v/>
      </c>
      <c r="K94" s="54">
        <f>IFERROR(WHOLE_STRUCTURE[[#This Row],[Bottom '[m']]]-WHOLE_STRUCTURE[[#This Row],[D, top '[m']]], "")</f>
        <v>0</v>
      </c>
      <c r="L94" s="54" t="str">
        <f>IFERROR(-(WHOLE_STRUCTURE[[#This Row],[D, bottom '[m']]]-WHOLE_STRUCTURE[[#This Row],[D, top '[m']]])/(WHOLE_STRUCTURE[[#This Row],[Bottom '[m']]]-WHOLE_STRUCTURE[[#This Row],[Top '[m']]]),"")</f>
        <v/>
      </c>
      <c r="M94" s="54" t="str">
        <f>IFERROR((WHOLE_STRUCTURE[[#This Row],[D, bottom '[m']]]+WHOLE_STRUCTURE[[#This Row],[D, top '[m']]])/(2*WHOLE_STRUCTURE[[#This Row],[t '[mm']]]/1000),"")</f>
        <v/>
      </c>
    </row>
    <row r="95" spans="10:24" x14ac:dyDescent="0.25">
      <c r="J95" s="54" t="str">
        <f t="shared" si="4"/>
        <v/>
      </c>
      <c r="K95" s="54">
        <f>IFERROR(WHOLE_STRUCTURE[[#This Row],[Bottom '[m']]]-WHOLE_STRUCTURE[[#This Row],[D, top '[m']]], "")</f>
        <v>0</v>
      </c>
      <c r="L95" s="54" t="str">
        <f>IFERROR(-(WHOLE_STRUCTURE[[#This Row],[D, bottom '[m']]]-WHOLE_STRUCTURE[[#This Row],[D, top '[m']]])/(WHOLE_STRUCTURE[[#This Row],[Bottom '[m']]]-WHOLE_STRUCTURE[[#This Row],[Top '[m']]]),"")</f>
        <v/>
      </c>
      <c r="M95" s="54" t="str">
        <f>IFERROR((WHOLE_STRUCTURE[[#This Row],[D, bottom '[m']]]+WHOLE_STRUCTURE[[#This Row],[D, top '[m']]])/(2*WHOLE_STRUCTURE[[#This Row],[t '[mm']]]/1000),"")</f>
        <v/>
      </c>
    </row>
    <row r="96" spans="10:24" x14ac:dyDescent="0.25">
      <c r="J96" s="54" t="str">
        <f t="shared" si="4"/>
        <v/>
      </c>
      <c r="K96" s="54">
        <f>IFERROR(WHOLE_STRUCTURE[[#This Row],[Bottom '[m']]]-WHOLE_STRUCTURE[[#This Row],[D, top '[m']]], "")</f>
        <v>0</v>
      </c>
      <c r="L96" s="54" t="str">
        <f>IFERROR(-(WHOLE_STRUCTURE[[#This Row],[D, bottom '[m']]]-WHOLE_STRUCTURE[[#This Row],[D, top '[m']]])/(WHOLE_STRUCTURE[[#This Row],[Bottom '[m']]]-WHOLE_STRUCTURE[[#This Row],[Top '[m']]]),"")</f>
        <v/>
      </c>
      <c r="M96" s="54" t="str">
        <f>IFERROR((WHOLE_STRUCTURE[[#This Row],[D, bottom '[m']]]+WHOLE_STRUCTURE[[#This Row],[D, top '[m']]])/(2*WHOLE_STRUCTURE[[#This Row],[t '[mm']]]/1000),"")</f>
        <v/>
      </c>
    </row>
    <row r="97" spans="10:13" x14ac:dyDescent="0.25">
      <c r="J97" s="54" t="str">
        <f t="shared" si="4"/>
        <v/>
      </c>
      <c r="K97" s="54">
        <f>IFERROR(WHOLE_STRUCTURE[[#This Row],[Bottom '[m']]]-WHOLE_STRUCTURE[[#This Row],[D, top '[m']]], "")</f>
        <v>0</v>
      </c>
      <c r="L97" s="54" t="str">
        <f>IFERROR(-(WHOLE_STRUCTURE[[#This Row],[D, bottom '[m']]]-WHOLE_STRUCTURE[[#This Row],[D, top '[m']]])/(WHOLE_STRUCTURE[[#This Row],[Bottom '[m']]]-WHOLE_STRUCTURE[[#This Row],[Top '[m']]]),"")</f>
        <v/>
      </c>
      <c r="M97" s="54" t="str">
        <f>IFERROR((WHOLE_STRUCTURE[[#This Row],[D, bottom '[m']]]+WHOLE_STRUCTURE[[#This Row],[D, top '[m']]])/(2*WHOLE_STRUCTURE[[#This Row],[t '[mm']]]/1000),"")</f>
        <v/>
      </c>
    </row>
    <row r="98" spans="10:13" x14ac:dyDescent="0.25">
      <c r="J98" s="54" t="str">
        <f t="shared" si="4"/>
        <v/>
      </c>
      <c r="K98" s="54">
        <f>IFERROR(WHOLE_STRUCTURE[[#This Row],[Bottom '[m']]]-WHOLE_STRUCTURE[[#This Row],[D, top '[m']]], "")</f>
        <v>0</v>
      </c>
      <c r="L98" s="54" t="str">
        <f>IFERROR(-(WHOLE_STRUCTURE[[#This Row],[D, bottom '[m']]]-WHOLE_STRUCTURE[[#This Row],[D, top '[m']]])/(WHOLE_STRUCTURE[[#This Row],[Bottom '[m']]]-WHOLE_STRUCTURE[[#This Row],[Top '[m']]]),"")</f>
        <v/>
      </c>
      <c r="M98" s="54" t="str">
        <f>IFERROR((WHOLE_STRUCTURE[[#This Row],[D, bottom '[m']]]+WHOLE_STRUCTURE[[#This Row],[D, top '[m']]])/(2*WHOLE_STRUCTURE[[#This Row],[t '[mm']]]/1000),"")</f>
        <v/>
      </c>
    </row>
    <row r="99" spans="10:13" x14ac:dyDescent="0.25">
      <c r="J99" s="54" t="str">
        <f t="shared" si="4"/>
        <v/>
      </c>
      <c r="K99" s="54">
        <f>IFERROR(WHOLE_STRUCTURE[[#This Row],[Bottom '[m']]]-WHOLE_STRUCTURE[[#This Row],[D, top '[m']]], "")</f>
        <v>0</v>
      </c>
      <c r="L99" s="54" t="str">
        <f>IFERROR(-(WHOLE_STRUCTURE[[#This Row],[D, bottom '[m']]]-WHOLE_STRUCTURE[[#This Row],[D, top '[m']]])/(WHOLE_STRUCTURE[[#This Row],[Bottom '[m']]]-WHOLE_STRUCTURE[[#This Row],[Top '[m']]]),"")</f>
        <v/>
      </c>
      <c r="M99" s="54" t="str">
        <f>IFERROR((WHOLE_STRUCTURE[[#This Row],[D, bottom '[m']]]+WHOLE_STRUCTURE[[#This Row],[D, top '[m']]])/(2*WHOLE_STRUCTURE[[#This Row],[t '[mm']]]/1000),"")</f>
        <v/>
      </c>
    </row>
    <row r="100" spans="10:13" x14ac:dyDescent="0.25">
      <c r="J100" s="54" t="str">
        <f t="shared" si="4"/>
        <v/>
      </c>
      <c r="K100" s="54">
        <f>IFERROR(WHOLE_STRUCTURE[[#This Row],[Bottom '[m']]]-WHOLE_STRUCTURE[[#This Row],[D, top '[m']]], "")</f>
        <v>0</v>
      </c>
      <c r="L100" s="54" t="str">
        <f>IFERROR(-(WHOLE_STRUCTURE[[#This Row],[D, bottom '[m']]]-WHOLE_STRUCTURE[[#This Row],[D, top '[m']]])/(WHOLE_STRUCTURE[[#This Row],[Bottom '[m']]]-WHOLE_STRUCTURE[[#This Row],[Top '[m']]]),"")</f>
        <v/>
      </c>
      <c r="M100" s="54" t="str">
        <f>IFERROR((WHOLE_STRUCTURE[[#This Row],[D, bottom '[m']]]+WHOLE_STRUCTURE[[#This Row],[D, top '[m']]])/(2*WHOLE_STRUCTURE[[#This Row],[t '[mm']]]/1000),"")</f>
        <v/>
      </c>
    </row>
    <row r="101" spans="10:13" x14ac:dyDescent="0.25">
      <c r="J101" s="54" t="str">
        <f t="shared" si="4"/>
        <v/>
      </c>
      <c r="K101" s="54">
        <f>IFERROR(WHOLE_STRUCTURE[[#This Row],[Bottom '[m']]]-WHOLE_STRUCTURE[[#This Row],[D, top '[m']]], "")</f>
        <v>0</v>
      </c>
      <c r="L101" s="54" t="str">
        <f>IFERROR(-(WHOLE_STRUCTURE[[#This Row],[D, bottom '[m']]]-WHOLE_STRUCTURE[[#This Row],[D, top '[m']]])/(WHOLE_STRUCTURE[[#This Row],[Bottom '[m']]]-WHOLE_STRUCTURE[[#This Row],[Top '[m']]]),"")</f>
        <v/>
      </c>
      <c r="M101" s="54" t="str">
        <f>IFERROR((WHOLE_STRUCTURE[[#This Row],[D, bottom '[m']]]+WHOLE_STRUCTURE[[#This Row],[D, top '[m']]])/(2*WHOLE_STRUCTURE[[#This Row],[t '[mm']]]/1000),"")</f>
        <v/>
      </c>
    </row>
    <row r="102" spans="10:13" x14ac:dyDescent="0.25">
      <c r="J102" s="54" t="str">
        <f t="shared" si="4"/>
        <v/>
      </c>
      <c r="K102" s="54">
        <f>IFERROR(WHOLE_STRUCTURE[[#This Row],[Bottom '[m']]]-WHOLE_STRUCTURE[[#This Row],[D, top '[m']]], "")</f>
        <v>0</v>
      </c>
      <c r="L102" s="54" t="str">
        <f>IFERROR(-(WHOLE_STRUCTURE[[#This Row],[D, bottom '[m']]]-WHOLE_STRUCTURE[[#This Row],[D, top '[m']]])/(WHOLE_STRUCTURE[[#This Row],[Bottom '[m']]]-WHOLE_STRUCTURE[[#This Row],[Top '[m']]]),"")</f>
        <v/>
      </c>
      <c r="M102" s="54" t="str">
        <f>IFERROR((WHOLE_STRUCTURE[[#This Row],[D, bottom '[m']]]+WHOLE_STRUCTURE[[#This Row],[D, top '[m']]])/(2*WHOLE_STRUCTURE[[#This Row],[t '[mm']]]/1000),"")</f>
        <v/>
      </c>
    </row>
    <row r="103" spans="10:13" x14ac:dyDescent="0.25">
      <c r="J103" s="54" t="str">
        <f t="shared" si="4"/>
        <v/>
      </c>
      <c r="K103" s="54">
        <f>IFERROR(WHOLE_STRUCTURE[[#This Row],[Bottom '[m']]]-WHOLE_STRUCTURE[[#This Row],[D, top '[m']]], "")</f>
        <v>0</v>
      </c>
      <c r="L103" s="54" t="str">
        <f>IFERROR(-(WHOLE_STRUCTURE[[#This Row],[D, bottom '[m']]]-WHOLE_STRUCTURE[[#This Row],[D, top '[m']]])/(WHOLE_STRUCTURE[[#This Row],[Bottom '[m']]]-WHOLE_STRUCTURE[[#This Row],[Top '[m']]]),"")</f>
        <v/>
      </c>
      <c r="M103" s="54" t="str">
        <f>IFERROR((WHOLE_STRUCTURE[[#This Row],[D, bottom '[m']]]+WHOLE_STRUCTURE[[#This Row],[D, top '[m']]])/(2*WHOLE_STRUCTURE[[#This Row],[t '[mm']]]/1000),"")</f>
        <v/>
      </c>
    </row>
    <row r="104" spans="10:13" x14ac:dyDescent="0.25">
      <c r="J104" s="54" t="str">
        <f t="shared" si="4"/>
        <v/>
      </c>
      <c r="K104" s="54">
        <f>IFERROR(WHOLE_STRUCTURE[[#This Row],[Bottom '[m']]]-WHOLE_STRUCTURE[[#This Row],[D, top '[m']]], "")</f>
        <v>0</v>
      </c>
      <c r="L104" s="54" t="str">
        <f>IFERROR(-(WHOLE_STRUCTURE[[#This Row],[D, bottom '[m']]]-WHOLE_STRUCTURE[[#This Row],[D, top '[m']]])/(WHOLE_STRUCTURE[[#This Row],[Bottom '[m']]]-WHOLE_STRUCTURE[[#This Row],[Top '[m']]]),"")</f>
        <v/>
      </c>
      <c r="M104" s="54" t="str">
        <f>IFERROR((WHOLE_STRUCTURE[[#This Row],[D, bottom '[m']]]+WHOLE_STRUCTURE[[#This Row],[D, top '[m']]])/(2*WHOLE_STRUCTURE[[#This Row],[t '[mm']]]/1000),"")</f>
        <v/>
      </c>
    </row>
    <row r="105" spans="10:13" x14ac:dyDescent="0.25">
      <c r="J105" s="54" t="str">
        <f t="shared" si="4"/>
        <v/>
      </c>
      <c r="K105" s="54">
        <f>IFERROR(WHOLE_STRUCTURE[[#This Row],[Bottom '[m']]]-WHOLE_STRUCTURE[[#This Row],[D, top '[m']]], "")</f>
        <v>0</v>
      </c>
      <c r="L105" s="54" t="str">
        <f>IFERROR(-(WHOLE_STRUCTURE[[#This Row],[D, bottom '[m']]]-WHOLE_STRUCTURE[[#This Row],[D, top '[m']]])/(WHOLE_STRUCTURE[[#This Row],[Bottom '[m']]]-WHOLE_STRUCTURE[[#This Row],[Top '[m']]]),"")</f>
        <v/>
      </c>
      <c r="M105" s="54" t="str">
        <f>IFERROR((WHOLE_STRUCTURE[[#This Row],[D, bottom '[m']]]+WHOLE_STRUCTURE[[#This Row],[D, top '[m']]])/(2*WHOLE_STRUCTURE[[#This Row],[t '[mm']]]/1000),"")</f>
        <v/>
      </c>
    </row>
    <row r="106" spans="10:13" x14ac:dyDescent="0.25">
      <c r="J106" s="54" t="str">
        <f t="shared" si="4"/>
        <v/>
      </c>
      <c r="K106" s="54">
        <f>IFERROR(WHOLE_STRUCTURE[[#This Row],[Bottom '[m']]]-WHOLE_STRUCTURE[[#This Row],[D, top '[m']]], "")</f>
        <v>0</v>
      </c>
      <c r="L106" s="54" t="str">
        <f>IFERROR(-(WHOLE_STRUCTURE[[#This Row],[D, bottom '[m']]]-WHOLE_STRUCTURE[[#This Row],[D, top '[m']]])/(WHOLE_STRUCTURE[[#This Row],[Bottom '[m']]]-WHOLE_STRUCTURE[[#This Row],[Top '[m']]]),"")</f>
        <v/>
      </c>
      <c r="M106" s="54" t="str">
        <f>IFERROR((WHOLE_STRUCTURE[[#This Row],[D, bottom '[m']]]+WHOLE_STRUCTURE[[#This Row],[D, top '[m']]])/(2*WHOLE_STRUCTURE[[#This Row],[t '[mm']]]/1000),"")</f>
        <v/>
      </c>
    </row>
    <row r="107" spans="10:13" x14ac:dyDescent="0.25">
      <c r="J107" s="54" t="str">
        <f t="shared" si="4"/>
        <v/>
      </c>
      <c r="K107" s="54">
        <f>IFERROR(WHOLE_STRUCTURE[[#This Row],[Bottom '[m']]]-WHOLE_STRUCTURE[[#This Row],[D, top '[m']]], "")</f>
        <v>0</v>
      </c>
      <c r="L107" s="54" t="str">
        <f>IFERROR(-(WHOLE_STRUCTURE[[#This Row],[D, bottom '[m']]]-WHOLE_STRUCTURE[[#This Row],[D, top '[m']]])/(WHOLE_STRUCTURE[[#This Row],[Bottom '[m']]]-WHOLE_STRUCTURE[[#This Row],[Top '[m']]]),"")</f>
        <v/>
      </c>
      <c r="M107" s="54" t="str">
        <f>IFERROR((WHOLE_STRUCTURE[[#This Row],[D, bottom '[m']]]+WHOLE_STRUCTURE[[#This Row],[D, top '[m']]])/(2*WHOLE_STRUCTURE[[#This Row],[t '[mm']]]/1000),"")</f>
        <v/>
      </c>
    </row>
    <row r="108" spans="10:13" x14ac:dyDescent="0.25">
      <c r="J108" s="54" t="str">
        <f t="shared" si="4"/>
        <v/>
      </c>
      <c r="K108" s="54">
        <f>IFERROR(WHOLE_STRUCTURE[[#This Row],[Bottom '[m']]]-WHOLE_STRUCTURE[[#This Row],[D, top '[m']]], "")</f>
        <v>0</v>
      </c>
      <c r="L108" s="54" t="str">
        <f>IFERROR(-(WHOLE_STRUCTURE[[#This Row],[D, bottom '[m']]]-WHOLE_STRUCTURE[[#This Row],[D, top '[m']]])/(WHOLE_STRUCTURE[[#This Row],[Bottom '[m']]]-WHOLE_STRUCTURE[[#This Row],[Top '[m']]]),"")</f>
        <v/>
      </c>
      <c r="M108" s="54" t="str">
        <f>IFERROR((WHOLE_STRUCTURE[[#This Row],[D, bottom '[m']]]+WHOLE_STRUCTURE[[#This Row],[D, top '[m']]])/(2*WHOLE_STRUCTURE[[#This Row],[t '[mm']]]/1000),"")</f>
        <v/>
      </c>
    </row>
    <row r="109" spans="10:13" x14ac:dyDescent="0.25">
      <c r="J109" s="54" t="str">
        <f t="shared" si="4"/>
        <v/>
      </c>
      <c r="K109" s="54">
        <f>IFERROR(WHOLE_STRUCTURE[[#This Row],[Bottom '[m']]]-WHOLE_STRUCTURE[[#This Row],[D, top '[m']]], "")</f>
        <v>0</v>
      </c>
      <c r="L109" s="54" t="str">
        <f>IFERROR(-(WHOLE_STRUCTURE[[#This Row],[D, bottom '[m']]]-WHOLE_STRUCTURE[[#This Row],[D, top '[m']]])/(WHOLE_STRUCTURE[[#This Row],[Bottom '[m']]]-WHOLE_STRUCTURE[[#This Row],[Top '[m']]]),"")</f>
        <v/>
      </c>
      <c r="M109" s="54" t="str">
        <f>IFERROR((WHOLE_STRUCTURE[[#This Row],[D, bottom '[m']]]+WHOLE_STRUCTURE[[#This Row],[D, top '[m']]])/(2*WHOLE_STRUCTURE[[#This Row],[t '[mm']]]/1000),"")</f>
        <v/>
      </c>
    </row>
    <row r="110" spans="10:13" x14ac:dyDescent="0.25">
      <c r="J110" s="54" t="str">
        <f t="shared" si="4"/>
        <v/>
      </c>
      <c r="K110" s="54">
        <f>IFERROR(WHOLE_STRUCTURE[[#This Row],[Bottom '[m']]]-WHOLE_STRUCTURE[[#This Row],[D, top '[m']]], "")</f>
        <v>0</v>
      </c>
      <c r="L110" s="54" t="str">
        <f>IFERROR(-(WHOLE_STRUCTURE[[#This Row],[D, bottom '[m']]]-WHOLE_STRUCTURE[[#This Row],[D, top '[m']]])/(WHOLE_STRUCTURE[[#This Row],[Bottom '[m']]]-WHOLE_STRUCTURE[[#This Row],[Top '[m']]]),"")</f>
        <v/>
      </c>
      <c r="M110" s="54" t="str">
        <f>IFERROR((WHOLE_STRUCTURE[[#This Row],[D, bottom '[m']]]+WHOLE_STRUCTURE[[#This Row],[D, top '[m']]])/(2*WHOLE_STRUCTURE[[#This Row],[t '[mm']]]/1000),"")</f>
        <v/>
      </c>
    </row>
    <row r="111" spans="10:13" x14ac:dyDescent="0.25">
      <c r="J111" s="54" t="str">
        <f t="shared" si="4"/>
        <v/>
      </c>
      <c r="K111" s="54">
        <f>IFERROR(WHOLE_STRUCTURE[[#This Row],[Bottom '[m']]]-WHOLE_STRUCTURE[[#This Row],[D, top '[m']]], "")</f>
        <v>0</v>
      </c>
      <c r="L111" s="54" t="str">
        <f>IFERROR(-(WHOLE_STRUCTURE[[#This Row],[D, bottom '[m']]]-WHOLE_STRUCTURE[[#This Row],[D, top '[m']]])/(WHOLE_STRUCTURE[[#This Row],[Bottom '[m']]]-WHOLE_STRUCTURE[[#This Row],[Top '[m']]]),"")</f>
        <v/>
      </c>
      <c r="M111" s="54" t="str">
        <f>IFERROR((WHOLE_STRUCTURE[[#This Row],[D, bottom '[m']]]+WHOLE_STRUCTURE[[#This Row],[D, top '[m']]])/(2*WHOLE_STRUCTURE[[#This Row],[t '[mm']]]/1000),"")</f>
        <v/>
      </c>
    </row>
    <row r="112" spans="10:13" x14ac:dyDescent="0.25">
      <c r="J112" s="54" t="str">
        <f t="shared" si="4"/>
        <v/>
      </c>
      <c r="K112" s="54">
        <f>IFERROR(WHOLE_STRUCTURE[[#This Row],[Bottom '[m']]]-WHOLE_STRUCTURE[[#This Row],[D, top '[m']]], "")</f>
        <v>0</v>
      </c>
      <c r="L112" s="54" t="str">
        <f>IFERROR(-(WHOLE_STRUCTURE[[#This Row],[D, bottom '[m']]]-WHOLE_STRUCTURE[[#This Row],[D, top '[m']]])/(WHOLE_STRUCTURE[[#This Row],[Bottom '[m']]]-WHOLE_STRUCTURE[[#This Row],[Top '[m']]]),"")</f>
        <v/>
      </c>
      <c r="M112" s="54" t="str">
        <f>IFERROR((WHOLE_STRUCTURE[[#This Row],[D, bottom '[m']]]+WHOLE_STRUCTURE[[#This Row],[D, top '[m']]])/(2*WHOLE_STRUCTURE[[#This Row],[t '[mm']]]/1000),"")</f>
        <v/>
      </c>
    </row>
    <row r="113" spans="10:13" x14ac:dyDescent="0.25">
      <c r="J113" s="54" t="str">
        <f t="shared" si="4"/>
        <v/>
      </c>
      <c r="K113" s="54">
        <f>IFERROR(WHOLE_STRUCTURE[[#This Row],[Bottom '[m']]]-WHOLE_STRUCTURE[[#This Row],[D, top '[m']]], "")</f>
        <v>0</v>
      </c>
      <c r="L113" s="54" t="str">
        <f>IFERROR(-(WHOLE_STRUCTURE[[#This Row],[D, bottom '[m']]]-WHOLE_STRUCTURE[[#This Row],[D, top '[m']]])/(WHOLE_STRUCTURE[[#This Row],[Bottom '[m']]]-WHOLE_STRUCTURE[[#This Row],[Top '[m']]]),"")</f>
        <v/>
      </c>
      <c r="M113" s="54" t="str">
        <f>IFERROR((WHOLE_STRUCTURE[[#This Row],[D, bottom '[m']]]+WHOLE_STRUCTURE[[#This Row],[D, top '[m']]])/(2*WHOLE_STRUCTURE[[#This Row],[t '[mm']]]/1000),"")</f>
        <v/>
      </c>
    </row>
    <row r="114" spans="10:13" x14ac:dyDescent="0.25">
      <c r="J114" s="54" t="str">
        <f t="shared" si="4"/>
        <v/>
      </c>
      <c r="K114" s="54">
        <f>IFERROR(WHOLE_STRUCTURE[[#This Row],[Bottom '[m']]]-WHOLE_STRUCTURE[[#This Row],[D, top '[m']]], "")</f>
        <v>0</v>
      </c>
      <c r="L114" s="54" t="str">
        <f>IFERROR(-(WHOLE_STRUCTURE[[#This Row],[D, bottom '[m']]]-WHOLE_STRUCTURE[[#This Row],[D, top '[m']]])/(WHOLE_STRUCTURE[[#This Row],[Bottom '[m']]]-WHOLE_STRUCTURE[[#This Row],[Top '[m']]]),"")</f>
        <v/>
      </c>
      <c r="M114" s="54" t="str">
        <f>IFERROR((WHOLE_STRUCTURE[[#This Row],[D, bottom '[m']]]+WHOLE_STRUCTURE[[#This Row],[D, top '[m']]])/(2*WHOLE_STRUCTURE[[#This Row],[t '[mm']]]/1000),"")</f>
        <v/>
      </c>
    </row>
    <row r="115" spans="10:13" x14ac:dyDescent="0.25">
      <c r="J115" s="54" t="str">
        <f t="shared" si="4"/>
        <v/>
      </c>
      <c r="K115" s="54">
        <f>IFERROR(WHOLE_STRUCTURE[[#This Row],[Bottom '[m']]]-WHOLE_STRUCTURE[[#This Row],[D, top '[m']]], "")</f>
        <v>0</v>
      </c>
      <c r="L115" s="54" t="str">
        <f>IFERROR(-(WHOLE_STRUCTURE[[#This Row],[D, bottom '[m']]]-WHOLE_STRUCTURE[[#This Row],[D, top '[m']]])/(WHOLE_STRUCTURE[[#This Row],[Bottom '[m']]]-WHOLE_STRUCTURE[[#This Row],[Top '[m']]]),"")</f>
        <v/>
      </c>
      <c r="M115" s="54" t="str">
        <f>IFERROR((WHOLE_STRUCTURE[[#This Row],[D, bottom '[m']]]+WHOLE_STRUCTURE[[#This Row],[D, top '[m']]])/(2*WHOLE_STRUCTURE[[#This Row],[t '[mm']]]/1000),"")</f>
        <v/>
      </c>
    </row>
    <row r="116" spans="10:13" x14ac:dyDescent="0.25">
      <c r="J116" s="54" t="str">
        <f t="shared" si="4"/>
        <v/>
      </c>
      <c r="K116" s="54">
        <f>IFERROR(WHOLE_STRUCTURE[[#This Row],[Bottom '[m']]]-WHOLE_STRUCTURE[[#This Row],[D, top '[m']]], "")</f>
        <v>0</v>
      </c>
      <c r="L116" s="54" t="str">
        <f>IFERROR(-(WHOLE_STRUCTURE[[#This Row],[D, bottom '[m']]]-WHOLE_STRUCTURE[[#This Row],[D, top '[m']]])/(WHOLE_STRUCTURE[[#This Row],[Bottom '[m']]]-WHOLE_STRUCTURE[[#This Row],[Top '[m']]]),"")</f>
        <v/>
      </c>
      <c r="M116" s="54" t="str">
        <f>IFERROR((WHOLE_STRUCTURE[[#This Row],[D, bottom '[m']]]+WHOLE_STRUCTURE[[#This Row],[D, top '[m']]])/(2*WHOLE_STRUCTURE[[#This Row],[t '[mm']]]/1000),"")</f>
        <v/>
      </c>
    </row>
    <row r="117" spans="10:13" x14ac:dyDescent="0.25">
      <c r="J117" s="54" t="str">
        <f t="shared" si="4"/>
        <v/>
      </c>
      <c r="K117" s="54">
        <f>IFERROR(WHOLE_STRUCTURE[[#This Row],[Bottom '[m']]]-WHOLE_STRUCTURE[[#This Row],[D, top '[m']]], "")</f>
        <v>0</v>
      </c>
      <c r="L117" s="54" t="str">
        <f>IFERROR(-(WHOLE_STRUCTURE[[#This Row],[D, bottom '[m']]]-WHOLE_STRUCTURE[[#This Row],[D, top '[m']]])/(WHOLE_STRUCTURE[[#This Row],[Bottom '[m']]]-WHOLE_STRUCTURE[[#This Row],[Top '[m']]]),"")</f>
        <v/>
      </c>
      <c r="M117" s="54" t="str">
        <f>IFERROR((WHOLE_STRUCTURE[[#This Row],[D, bottom '[m']]]+WHOLE_STRUCTURE[[#This Row],[D, top '[m']]])/(2*WHOLE_STRUCTURE[[#This Row],[t '[mm']]]/1000),"")</f>
        <v/>
      </c>
    </row>
    <row r="118" spans="10:13" x14ac:dyDescent="0.25">
      <c r="J118" s="54" t="str">
        <f t="shared" si="4"/>
        <v/>
      </c>
      <c r="K118" s="54">
        <f>IFERROR(WHOLE_STRUCTURE[[#This Row],[Bottom '[m']]]-WHOLE_STRUCTURE[[#This Row],[D, top '[m']]], "")</f>
        <v>0</v>
      </c>
      <c r="L118" s="54" t="str">
        <f>IFERROR(-(WHOLE_STRUCTURE[[#This Row],[D, bottom '[m']]]-WHOLE_STRUCTURE[[#This Row],[D, top '[m']]])/(WHOLE_STRUCTURE[[#This Row],[Bottom '[m']]]-WHOLE_STRUCTURE[[#This Row],[Top '[m']]]),"")</f>
        <v/>
      </c>
      <c r="M118" s="54" t="str">
        <f>IFERROR((WHOLE_STRUCTURE[[#This Row],[D, bottom '[m']]]+WHOLE_STRUCTURE[[#This Row],[D, top '[m']]])/(2*WHOLE_STRUCTURE[[#This Row],[t '[mm']]]/1000),"")</f>
        <v/>
      </c>
    </row>
    <row r="119" spans="10:13" x14ac:dyDescent="0.25">
      <c r="J119" s="54" t="str">
        <f t="shared" si="4"/>
        <v/>
      </c>
      <c r="K119" s="54">
        <f>IFERROR(WHOLE_STRUCTURE[[#This Row],[Bottom '[m']]]-WHOLE_STRUCTURE[[#This Row],[D, top '[m']]], "")</f>
        <v>0</v>
      </c>
      <c r="L119" s="54" t="str">
        <f>IFERROR(-(WHOLE_STRUCTURE[[#This Row],[D, bottom '[m']]]-WHOLE_STRUCTURE[[#This Row],[D, top '[m']]])/(WHOLE_STRUCTURE[[#This Row],[Bottom '[m']]]-WHOLE_STRUCTURE[[#This Row],[Top '[m']]]),"")</f>
        <v/>
      </c>
      <c r="M119" s="54" t="str">
        <f>IFERROR((WHOLE_STRUCTURE[[#This Row],[D, bottom '[m']]]+WHOLE_STRUCTURE[[#This Row],[D, top '[m']]])/(2*WHOLE_STRUCTURE[[#This Row],[t '[mm']]]/1000),"")</f>
        <v/>
      </c>
    </row>
    <row r="120" spans="10:13" x14ac:dyDescent="0.25">
      <c r="J120" s="54" t="str">
        <f t="shared" si="4"/>
        <v/>
      </c>
      <c r="K120" s="54">
        <f>IFERROR(WHOLE_STRUCTURE[[#This Row],[Bottom '[m']]]-WHOLE_STRUCTURE[[#This Row],[D, top '[m']]], "")</f>
        <v>0</v>
      </c>
      <c r="L120" s="54" t="str">
        <f>IFERROR(-(WHOLE_STRUCTURE[[#This Row],[D, bottom '[m']]]-WHOLE_STRUCTURE[[#This Row],[D, top '[m']]])/(WHOLE_STRUCTURE[[#This Row],[Bottom '[m']]]-WHOLE_STRUCTURE[[#This Row],[Top '[m']]]),"")</f>
        <v/>
      </c>
      <c r="M120" s="54" t="str">
        <f>IFERROR((WHOLE_STRUCTURE[[#This Row],[D, bottom '[m']]]+WHOLE_STRUCTURE[[#This Row],[D, top '[m']]])/(2*WHOLE_STRUCTURE[[#This Row],[t '[mm']]]/1000),"")</f>
        <v/>
      </c>
    </row>
    <row r="121" spans="10:13" x14ac:dyDescent="0.25">
      <c r="J121" s="54" t="str">
        <f t="shared" si="4"/>
        <v/>
      </c>
      <c r="K121" s="54">
        <f>IFERROR(WHOLE_STRUCTURE[[#This Row],[Bottom '[m']]]-WHOLE_STRUCTURE[[#This Row],[D, top '[m']]], "")</f>
        <v>0</v>
      </c>
      <c r="L121" s="54" t="str">
        <f>IFERROR(-(WHOLE_STRUCTURE[[#This Row],[D, bottom '[m']]]-WHOLE_STRUCTURE[[#This Row],[D, top '[m']]])/(WHOLE_STRUCTURE[[#This Row],[Bottom '[m']]]-WHOLE_STRUCTURE[[#This Row],[Top '[m']]]),"")</f>
        <v/>
      </c>
      <c r="M121" s="54" t="str">
        <f>IFERROR((WHOLE_STRUCTURE[[#This Row],[D, bottom '[m']]]+WHOLE_STRUCTURE[[#This Row],[D, top '[m']]])/(2*WHOLE_STRUCTURE[[#This Row],[t '[mm']]]/1000),"")</f>
        <v/>
      </c>
    </row>
    <row r="122" spans="10:13" x14ac:dyDescent="0.25">
      <c r="J122" s="54" t="str">
        <f t="shared" si="4"/>
        <v/>
      </c>
      <c r="K122" s="54">
        <f>IFERROR(WHOLE_STRUCTURE[[#This Row],[Bottom '[m']]]-WHOLE_STRUCTURE[[#This Row],[D, top '[m']]], "")</f>
        <v>0</v>
      </c>
      <c r="L122" s="54" t="str">
        <f>IFERROR(-(WHOLE_STRUCTURE[[#This Row],[D, bottom '[m']]]-WHOLE_STRUCTURE[[#This Row],[D, top '[m']]])/(WHOLE_STRUCTURE[[#This Row],[Bottom '[m']]]-WHOLE_STRUCTURE[[#This Row],[Top '[m']]]),"")</f>
        <v/>
      </c>
      <c r="M122" s="54" t="str">
        <f>IFERROR((WHOLE_STRUCTURE[[#This Row],[D, bottom '[m']]]+WHOLE_STRUCTURE[[#This Row],[D, top '[m']]])/(2*WHOLE_STRUCTURE[[#This Row],[t '[mm']]]/1000),"")</f>
        <v/>
      </c>
    </row>
    <row r="123" spans="10:13" x14ac:dyDescent="0.25">
      <c r="J123" s="54" t="str">
        <f t="shared" si="4"/>
        <v/>
      </c>
      <c r="K123" s="54">
        <f>IFERROR(WHOLE_STRUCTURE[[#This Row],[Bottom '[m']]]-WHOLE_STRUCTURE[[#This Row],[D, top '[m']]], "")</f>
        <v>0</v>
      </c>
      <c r="L123" s="54" t="str">
        <f>IFERROR(-(WHOLE_STRUCTURE[[#This Row],[D, bottom '[m']]]-WHOLE_STRUCTURE[[#This Row],[D, top '[m']]])/(WHOLE_STRUCTURE[[#This Row],[Bottom '[m']]]-WHOLE_STRUCTURE[[#This Row],[Top '[m']]]),"")</f>
        <v/>
      </c>
      <c r="M123" s="54" t="str">
        <f>IFERROR((WHOLE_STRUCTURE[[#This Row],[D, bottom '[m']]]+WHOLE_STRUCTURE[[#This Row],[D, top '[m']]])/(2*WHOLE_STRUCTURE[[#This Row],[t '[mm']]]/1000),"")</f>
        <v/>
      </c>
    </row>
    <row r="124" spans="10:13" x14ac:dyDescent="0.25">
      <c r="J124" s="54" t="str">
        <f t="shared" si="4"/>
        <v/>
      </c>
      <c r="K124" s="54">
        <f>IFERROR(WHOLE_STRUCTURE[[#This Row],[Bottom '[m']]]-WHOLE_STRUCTURE[[#This Row],[D, top '[m']]], "")</f>
        <v>0</v>
      </c>
      <c r="L124" s="54" t="str">
        <f>IFERROR(-(WHOLE_STRUCTURE[[#This Row],[D, bottom '[m']]]-WHOLE_STRUCTURE[[#This Row],[D, top '[m']]])/(WHOLE_STRUCTURE[[#This Row],[Bottom '[m']]]-WHOLE_STRUCTURE[[#This Row],[Top '[m']]]),"")</f>
        <v/>
      </c>
      <c r="M124" s="54" t="str">
        <f>IFERROR((WHOLE_STRUCTURE[[#This Row],[D, bottom '[m']]]+WHOLE_STRUCTURE[[#This Row],[D, top '[m']]])/(2*WHOLE_STRUCTURE[[#This Row],[t '[mm']]]/1000),"")</f>
        <v/>
      </c>
    </row>
    <row r="125" spans="10:13" x14ac:dyDescent="0.25">
      <c r="J125" s="54" t="str">
        <f t="shared" si="4"/>
        <v/>
      </c>
      <c r="K125" s="54">
        <f>IFERROR(WHOLE_STRUCTURE[[#This Row],[Bottom '[m']]]-WHOLE_STRUCTURE[[#This Row],[D, top '[m']]], "")</f>
        <v>0</v>
      </c>
      <c r="L125" s="54" t="str">
        <f>IFERROR(-(WHOLE_STRUCTURE[[#This Row],[D, bottom '[m']]]-WHOLE_STRUCTURE[[#This Row],[D, top '[m']]])/(WHOLE_STRUCTURE[[#This Row],[Bottom '[m']]]-WHOLE_STRUCTURE[[#This Row],[Top '[m']]]),"")</f>
        <v/>
      </c>
      <c r="M125" s="54" t="str">
        <f>IFERROR((WHOLE_STRUCTURE[[#This Row],[D, bottom '[m']]]+WHOLE_STRUCTURE[[#This Row],[D, top '[m']]])/(2*WHOLE_STRUCTURE[[#This Row],[t '[mm']]]/1000),"")</f>
        <v/>
      </c>
    </row>
    <row r="126" spans="10:13" x14ac:dyDescent="0.25">
      <c r="J126" s="54" t="str">
        <f t="shared" si="4"/>
        <v/>
      </c>
      <c r="K126" s="54">
        <f>IFERROR(WHOLE_STRUCTURE[[#This Row],[Bottom '[m']]]-WHOLE_STRUCTURE[[#This Row],[D, top '[m']]], "")</f>
        <v>0</v>
      </c>
      <c r="L126" s="54" t="str">
        <f>IFERROR(-(WHOLE_STRUCTURE[[#This Row],[D, bottom '[m']]]-WHOLE_STRUCTURE[[#This Row],[D, top '[m']]])/(WHOLE_STRUCTURE[[#This Row],[Bottom '[m']]]-WHOLE_STRUCTURE[[#This Row],[Top '[m']]]),"")</f>
        <v/>
      </c>
      <c r="M126" s="54" t="str">
        <f>IFERROR((WHOLE_STRUCTURE[[#This Row],[D, bottom '[m']]]+WHOLE_STRUCTURE[[#This Row],[D, top '[m']]])/(2*WHOLE_STRUCTURE[[#This Row],[t '[mm']]]/1000),"")</f>
        <v/>
      </c>
    </row>
    <row r="127" spans="10:13" x14ac:dyDescent="0.25">
      <c r="J127" s="54" t="str">
        <f t="shared" si="4"/>
        <v/>
      </c>
      <c r="K127" s="54">
        <f>IFERROR(WHOLE_STRUCTURE[[#This Row],[Bottom '[m']]]-WHOLE_STRUCTURE[[#This Row],[D, top '[m']]], "")</f>
        <v>0</v>
      </c>
      <c r="L127" s="54" t="str">
        <f>IFERROR(-(WHOLE_STRUCTURE[[#This Row],[D, bottom '[m']]]-WHOLE_STRUCTURE[[#This Row],[D, top '[m']]])/(WHOLE_STRUCTURE[[#This Row],[Bottom '[m']]]-WHOLE_STRUCTURE[[#This Row],[Top '[m']]]),"")</f>
        <v/>
      </c>
      <c r="M127" s="54" t="str">
        <f>IFERROR((WHOLE_STRUCTURE[[#This Row],[D, bottom '[m']]]+WHOLE_STRUCTURE[[#This Row],[D, top '[m']]])/(2*WHOLE_STRUCTURE[[#This Row],[t '[mm']]]/1000),"")</f>
        <v/>
      </c>
    </row>
    <row r="128" spans="10:13" x14ac:dyDescent="0.25">
      <c r="J128" s="54" t="str">
        <f t="shared" si="4"/>
        <v/>
      </c>
      <c r="K128" s="54">
        <f>IFERROR(WHOLE_STRUCTURE[[#This Row],[Bottom '[m']]]-WHOLE_STRUCTURE[[#This Row],[D, top '[m']]], "")</f>
        <v>0</v>
      </c>
      <c r="L128" s="54" t="str">
        <f>IFERROR(-(WHOLE_STRUCTURE[[#This Row],[D, bottom '[m']]]-WHOLE_STRUCTURE[[#This Row],[D, top '[m']]])/(WHOLE_STRUCTURE[[#This Row],[Bottom '[m']]]-WHOLE_STRUCTURE[[#This Row],[Top '[m']]]),"")</f>
        <v/>
      </c>
      <c r="M128" s="54" t="str">
        <f>IFERROR((WHOLE_STRUCTURE[[#This Row],[D, bottom '[m']]]+WHOLE_STRUCTURE[[#This Row],[D, top '[m']]])/(2*WHOLE_STRUCTURE[[#This Row],[t '[mm']]]/1000),"")</f>
        <v/>
      </c>
    </row>
    <row r="129" spans="10:13" x14ac:dyDescent="0.25">
      <c r="J129" s="54" t="str">
        <f t="shared" si="4"/>
        <v/>
      </c>
      <c r="K129" s="54">
        <f>IFERROR(WHOLE_STRUCTURE[[#This Row],[Bottom '[m']]]-WHOLE_STRUCTURE[[#This Row],[D, top '[m']]], "")</f>
        <v>0</v>
      </c>
      <c r="L129" s="54" t="str">
        <f>IFERROR(-(WHOLE_STRUCTURE[[#This Row],[D, bottom '[m']]]-WHOLE_STRUCTURE[[#This Row],[D, top '[m']]])/(WHOLE_STRUCTURE[[#This Row],[Bottom '[m']]]-WHOLE_STRUCTURE[[#This Row],[Top '[m']]]),"")</f>
        <v/>
      </c>
      <c r="M129" s="54" t="str">
        <f>IFERROR((WHOLE_STRUCTURE[[#This Row],[D, bottom '[m']]]+WHOLE_STRUCTURE[[#This Row],[D, top '[m']]])/(2*WHOLE_STRUCTURE[[#This Row],[t '[mm']]]/1000),"")</f>
        <v/>
      </c>
    </row>
    <row r="130" spans="10:13" x14ac:dyDescent="0.25">
      <c r="J130" s="54" t="str">
        <f t="shared" si="4"/>
        <v/>
      </c>
      <c r="K130" s="54">
        <f>IFERROR(WHOLE_STRUCTURE[[#This Row],[Bottom '[m']]]-WHOLE_STRUCTURE[[#This Row],[D, top '[m']]], "")</f>
        <v>0</v>
      </c>
      <c r="L130" s="54" t="str">
        <f>IFERROR(-(WHOLE_STRUCTURE[[#This Row],[D, bottom '[m']]]-WHOLE_STRUCTURE[[#This Row],[D, top '[m']]])/(WHOLE_STRUCTURE[[#This Row],[Bottom '[m']]]-WHOLE_STRUCTURE[[#This Row],[Top '[m']]]),"")</f>
        <v/>
      </c>
      <c r="M130" s="54" t="str">
        <f>IFERROR((WHOLE_STRUCTURE[[#This Row],[D, bottom '[m']]]+WHOLE_STRUCTURE[[#This Row],[D, top '[m']]])/(2*WHOLE_STRUCTURE[[#This Row],[t '[mm']]]/1000),"")</f>
        <v/>
      </c>
    </row>
    <row r="131" spans="10:13" x14ac:dyDescent="0.25">
      <c r="J131" s="54" t="str">
        <f t="shared" si="4"/>
        <v/>
      </c>
      <c r="K131" s="54">
        <f>IFERROR(WHOLE_STRUCTURE[[#This Row],[Bottom '[m']]]-WHOLE_STRUCTURE[[#This Row],[D, top '[m']]], "")</f>
        <v>0</v>
      </c>
      <c r="L131" s="54" t="str">
        <f>IFERROR(-(WHOLE_STRUCTURE[[#This Row],[D, bottom '[m']]]-WHOLE_STRUCTURE[[#This Row],[D, top '[m']]])/(WHOLE_STRUCTURE[[#This Row],[Bottom '[m']]]-WHOLE_STRUCTURE[[#This Row],[Top '[m']]]),"")</f>
        <v/>
      </c>
      <c r="M131" s="54" t="str">
        <f>IFERROR((WHOLE_STRUCTURE[[#This Row],[D, bottom '[m']]]+WHOLE_STRUCTURE[[#This Row],[D, top '[m']]])/(2*WHOLE_STRUCTURE[[#This Row],[t '[mm']]]/1000),"")</f>
        <v/>
      </c>
    </row>
    <row r="132" spans="10:13" x14ac:dyDescent="0.25">
      <c r="J132" s="54" t="str">
        <f>IF(7850/1000*(1/3)*PI()*ABS(E132-F132)*((G132/2)^2+(G132/2)*(H132/2)+(H132/2)^2-(G132/2-I132/1000)^2-(G132/2-I132/1000)*(H132/2-I132/1000)-(H132/2-I132/1000)^2)=0,"",7850/1000*(1/3)*PI()*ABS(E132-F132)*((G132/2)^2+(G132/2)*(H132/2)+(H132/2)^2-(G132/2-I132/1000)^2-(G132/2-I132/1000)*(H132/2-I132/1000)-(H132/2-I132/1000)^2))</f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10:13" x14ac:dyDescent="0.25">
      <c r="J133" s="54" t="str">
        <f t="shared" ref="J133:J196" si="5">IF(7850/1000*(1/3)*PI()*ABS(E133-F133)*((G133/2)^2+(G133/2)*(H133/2)+(H133/2)^2-(G133/2-I133/1000)^2-(G133/2-I133/1000)*(H133/2-I133/1000)-(H133/2-I133/1000)^2)=0,"",7850/1000*(1/3)*PI()*ABS(E133-F133)*((G133/2)^2+(G133/2)*(H133/2)+(H133/2)^2-(G133/2-I133/1000)^2-(G133/2-I133/1000)*(H133/2-I133/1000)-(H133/2-I133/1000)^2))</f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10:13" x14ac:dyDescent="0.25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10:13" x14ac:dyDescent="0.25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10:13" x14ac:dyDescent="0.25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10:13" x14ac:dyDescent="0.25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10:13" x14ac:dyDescent="0.25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10:13" x14ac:dyDescent="0.25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10:13" x14ac:dyDescent="0.25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10:13" x14ac:dyDescent="0.25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10:13" x14ac:dyDescent="0.25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10:13" x14ac:dyDescent="0.25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10:13" x14ac:dyDescent="0.25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25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25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25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25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25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25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25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25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25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25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25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25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25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25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25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25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25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25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25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25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25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25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25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25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25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25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25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25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25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25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25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25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25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25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25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25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25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25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25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25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25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25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25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25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25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25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25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25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25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25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25">
      <c r="J195" s="54" t="str">
        <f t="shared" si="5"/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25">
      <c r="J196" s="54" t="str">
        <f t="shared" si="5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25">
      <c r="J197" s="54" t="str">
        <f t="shared" ref="J197:J260" si="6">IF(7850/1000*(1/3)*PI()*ABS(E197-F197)*((G197/2)^2+(G197/2)*(H197/2)+(H197/2)^2-(G197/2-I197/1000)^2-(G197/2-I197/1000)*(H197/2-I197/1000)-(H197/2-I197/1000)^2)=0,"",7850/1000*(1/3)*PI()*ABS(E197-F197)*((G197/2)^2+(G197/2)*(H197/2)+(H197/2)^2-(G197/2-I197/1000)^2-(G197/2-I197/1000)*(H197/2-I197/1000)-(H197/2-I197/1000)^2))</f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25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25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25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25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25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25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25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25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25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25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25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25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25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25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25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25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25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25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25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25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25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25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25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25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25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25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25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25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25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25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25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25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25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25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25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25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25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25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25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25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25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25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25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25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25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25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25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25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25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25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25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25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25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25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25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25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25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25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25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25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25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25">
      <c r="J259" s="54" t="str">
        <f t="shared" si="6"/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25">
      <c r="J260" s="54" t="str">
        <f t="shared" si="6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25">
      <c r="J261" s="54" t="str">
        <f t="shared" ref="J261:J324" si="7">IF(7850/1000*(1/3)*PI()*ABS(E261-F261)*((G261/2)^2+(G261/2)*(H261/2)+(H261/2)^2-(G261/2-I261/1000)^2-(G261/2-I261/1000)*(H261/2-I261/1000)-(H261/2-I261/1000)^2)=0,"",7850/1000*(1/3)*PI()*ABS(E261-F261)*((G261/2)^2+(G261/2)*(H261/2)+(H261/2)^2-(G261/2-I261/1000)^2-(G261/2-I261/1000)*(H261/2-I261/1000)-(H261/2-I261/1000)^2))</f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25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25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25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25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25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25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25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25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25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25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25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25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25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25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25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25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25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25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25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25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25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25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25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25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25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25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25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25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25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25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25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25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25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25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25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25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25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25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25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25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25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25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25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25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25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25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25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25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25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25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25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25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25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25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25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25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25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25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25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25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25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25">
      <c r="J323" s="54" t="str">
        <f t="shared" si="7"/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25">
      <c r="J324" s="54" t="str">
        <f t="shared" si="7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25">
      <c r="J325" s="54" t="str">
        <f t="shared" ref="J325:J388" si="8">IF(7850/1000*(1/3)*PI()*ABS(E325-F325)*((G325/2)^2+(G325/2)*(H325/2)+(H325/2)^2-(G325/2-I325/1000)^2-(G325/2-I325/1000)*(H325/2-I325/1000)-(H325/2-I325/1000)^2)=0,"",7850/1000*(1/3)*PI()*ABS(E325-F325)*((G325/2)^2+(G325/2)*(H325/2)+(H325/2)^2-(G325/2-I325/1000)^2-(G325/2-I325/1000)*(H325/2-I325/1000)-(H325/2-I325/1000)^2))</f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25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25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25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25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25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25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25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25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25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25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25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25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25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25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25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25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25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25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25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25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25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25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25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25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25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25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25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25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25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25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25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25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25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25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25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25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25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25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25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25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25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25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25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25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25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25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25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25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25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25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25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25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25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25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25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25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25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25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25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25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25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25">
      <c r="J387" s="54" t="str">
        <f t="shared" si="8"/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25">
      <c r="J388" s="54" t="str">
        <f t="shared" si="8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25">
      <c r="J389" s="54" t="str">
        <f t="shared" ref="J389:J452" si="9">IF(7850/1000*(1/3)*PI()*ABS(E389-F389)*((G389/2)^2+(G389/2)*(H389/2)+(H389/2)^2-(G389/2-I389/1000)^2-(G389/2-I389/1000)*(H389/2-I389/1000)-(H389/2-I389/1000)^2)=0,"",7850/1000*(1/3)*PI()*ABS(E389-F389)*((G389/2)^2+(G389/2)*(H389/2)+(H389/2)^2-(G389/2-I389/1000)^2-(G389/2-I389/1000)*(H389/2-I389/1000)-(H389/2-I389/1000)^2))</f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25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25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25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25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25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25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25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25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25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25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25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25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25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25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25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25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25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25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25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25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25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25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25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25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25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25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25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25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25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25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25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25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25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25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25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25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25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25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25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25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25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25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25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25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25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25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25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25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25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25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25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25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25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25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25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25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25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25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25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25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25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25">
      <c r="J451" s="54" t="str">
        <f t="shared" si="9"/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25">
      <c r="J452" s="54" t="str">
        <f t="shared" si="9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  <row r="453" spans="10:13" x14ac:dyDescent="0.25">
      <c r="J453" s="54" t="str">
        <f t="shared" ref="J453:J454" si="10">IF(7850/1000*(1/3)*PI()*ABS(E453-F453)*((G453/2)^2+(G453/2)*(H453/2)+(H453/2)^2-(G453/2-I453/1000)^2-(G453/2-I453/1000)*(H453/2-I453/1000)-(H453/2-I453/1000)^2)=0,"",7850/1000*(1/3)*PI()*ABS(E453-F453)*((G453/2)^2+(G453/2)*(H453/2)+(H453/2)^2-(G453/2-I453/1000)^2-(G453/2-I453/1000)*(H453/2-I453/1000)-(H453/2-I453/1000)^2))</f>
        <v/>
      </c>
      <c r="K453" s="54" t="str">
        <f>IFERROR(WHOLE_STRUCTURE[[#This Row],[Bottom '[m']]]-WHOLE_STRUCTURE[[#This Row],[D, top '[m']]], "")</f>
        <v/>
      </c>
      <c r="L453" s="54" t="str">
        <f>IFERROR(-(WHOLE_STRUCTURE[[#This Row],[D, bottom '[m']]]-WHOLE_STRUCTURE[[#This Row],[D, top '[m']]])/(WHOLE_STRUCTURE[[#This Row],[Bottom '[m']]]-WHOLE_STRUCTURE[[#This Row],[Top '[m']]]),"")</f>
        <v/>
      </c>
      <c r="M453" s="54" t="str">
        <f>IFERROR((WHOLE_STRUCTURE[[#This Row],[D, bottom '[m']]]+WHOLE_STRUCTURE[[#This Row],[D, top '[m']]])/(2*WHOLE_STRUCTURE[[#This Row],[t '[mm']]]/1000),"")</f>
        <v/>
      </c>
    </row>
    <row r="454" spans="10:13" x14ac:dyDescent="0.25">
      <c r="J454" s="54" t="str">
        <f t="shared" si="10"/>
        <v/>
      </c>
      <c r="K454" s="54" t="str">
        <f>IFERROR(WHOLE_STRUCTURE[[#This Row],[Bottom '[m']]]-WHOLE_STRUCTURE[[#This Row],[D, top '[m']]], "")</f>
        <v/>
      </c>
      <c r="L454" s="54" t="str">
        <f>IFERROR(-(WHOLE_STRUCTURE[[#This Row],[D, bottom '[m']]]-WHOLE_STRUCTURE[[#This Row],[D, top '[m']]])/(WHOLE_STRUCTURE[[#This Row],[Bottom '[m']]]-WHOLE_STRUCTURE[[#This Row],[Top '[m']]]),"")</f>
        <v/>
      </c>
      <c r="M454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phoneticPr fontId="10" type="noConversion"/>
  <dataValidations disablePrompts="1" count="1">
    <dataValidation type="list" allowBlank="1" showInputMessage="1" showErrorMessage="1" sqref="L4" xr:uid="{E92DA31F-A847-4B55-AB93-5ACCFB45CDD5}">
      <formula1>$Q$22:$Q$35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F59"/>
  <sheetViews>
    <sheetView zoomScale="85" zoomScaleNormal="85" workbookViewId="0">
      <selection activeCell="C32" sqref="C32"/>
    </sheetView>
  </sheetViews>
  <sheetFormatPr baseColWidth="10" defaultRowHeight="15" x14ac:dyDescent="0.25"/>
  <cols>
    <col min="2" max="2" width="41.7109375" customWidth="1"/>
    <col min="3" max="3" width="39.85546875" customWidth="1"/>
    <col min="5" max="5" width="22.5703125" customWidth="1"/>
    <col min="6" max="6" width="19.5703125" customWidth="1"/>
  </cols>
  <sheetData>
    <row r="2" spans="2:5" ht="31.5" x14ac:dyDescent="0.5">
      <c r="B2" s="63" t="s">
        <v>56</v>
      </c>
      <c r="C2" s="63"/>
    </row>
    <row r="5" spans="2:5" ht="18" customHeight="1" x14ac:dyDescent="0.25"/>
    <row r="6" spans="2:5" x14ac:dyDescent="0.25">
      <c r="B6" t="s">
        <v>256</v>
      </c>
    </row>
    <row r="8" spans="2:5" x14ac:dyDescent="0.25">
      <c r="B8" s="67" t="s">
        <v>149</v>
      </c>
      <c r="C8" s="67"/>
    </row>
    <row r="9" spans="2:5" x14ac:dyDescent="0.25">
      <c r="B9" t="s">
        <v>27</v>
      </c>
      <c r="C9" t="s">
        <v>19</v>
      </c>
      <c r="D9" t="s">
        <v>109</v>
      </c>
      <c r="E9" s="76" t="s">
        <v>108</v>
      </c>
    </row>
    <row r="10" spans="2:5" x14ac:dyDescent="0.25">
      <c r="B10" t="s">
        <v>105</v>
      </c>
      <c r="C10" t="s">
        <v>117</v>
      </c>
      <c r="D10" t="s">
        <v>78</v>
      </c>
      <c r="E10" s="70" t="s">
        <v>106</v>
      </c>
    </row>
    <row r="11" spans="2:5" x14ac:dyDescent="0.25">
      <c r="B11" t="s">
        <v>107</v>
      </c>
      <c r="D11" t="s">
        <v>110</v>
      </c>
      <c r="E11" s="77">
        <v>210000000000</v>
      </c>
    </row>
    <row r="12" spans="2:5" x14ac:dyDescent="0.25">
      <c r="B12" t="s">
        <v>213</v>
      </c>
      <c r="D12" t="s">
        <v>111</v>
      </c>
      <c r="E12" s="70">
        <v>7850</v>
      </c>
    </row>
    <row r="13" spans="2:5" x14ac:dyDescent="0.25">
      <c r="B13" t="s">
        <v>112</v>
      </c>
      <c r="C13" t="s">
        <v>135</v>
      </c>
      <c r="D13" t="s">
        <v>113</v>
      </c>
      <c r="E13" s="71">
        <v>0.1</v>
      </c>
    </row>
    <row r="14" spans="2:5" x14ac:dyDescent="0.25">
      <c r="B14" t="s">
        <v>114</v>
      </c>
      <c r="C14" t="s">
        <v>134</v>
      </c>
      <c r="D14" t="s">
        <v>115</v>
      </c>
      <c r="E14" s="70">
        <v>5</v>
      </c>
    </row>
    <row r="15" spans="2:5" x14ac:dyDescent="0.25">
      <c r="B15" t="s">
        <v>116</v>
      </c>
      <c r="C15" t="s">
        <v>135</v>
      </c>
      <c r="D15" t="s">
        <v>113</v>
      </c>
      <c r="E15" s="71">
        <v>0.5</v>
      </c>
    </row>
    <row r="16" spans="2:5" x14ac:dyDescent="0.25">
      <c r="B16" t="s">
        <v>128</v>
      </c>
      <c r="D16" s="55" t="s">
        <v>124</v>
      </c>
      <c r="E16" s="70">
        <v>0.1</v>
      </c>
    </row>
    <row r="18" spans="2:6" x14ac:dyDescent="0.25">
      <c r="B18" t="s">
        <v>186</v>
      </c>
      <c r="F18" t="s">
        <v>187</v>
      </c>
    </row>
    <row r="20" spans="2:6" x14ac:dyDescent="0.25">
      <c r="B20" s="67" t="s">
        <v>150</v>
      </c>
      <c r="C20" s="67" t="s">
        <v>19</v>
      </c>
      <c r="D20" s="67" t="s">
        <v>217</v>
      </c>
      <c r="E20" s="67" t="s">
        <v>185</v>
      </c>
      <c r="F20" s="67" t="s">
        <v>216</v>
      </c>
    </row>
    <row r="21" spans="2:6" x14ac:dyDescent="0.25">
      <c r="B21" t="s">
        <v>188</v>
      </c>
      <c r="C21" t="s">
        <v>204</v>
      </c>
      <c r="D21" s="75" t="s">
        <v>78</v>
      </c>
      <c r="E21" s="75" t="s">
        <v>190</v>
      </c>
      <c r="F21" s="75"/>
    </row>
    <row r="22" spans="2:6" x14ac:dyDescent="0.25">
      <c r="B22" t="s">
        <v>189</v>
      </c>
      <c r="C22" t="s">
        <v>203</v>
      </c>
      <c r="D22" s="75" t="s">
        <v>78</v>
      </c>
      <c r="E22" s="75" t="s">
        <v>191</v>
      </c>
      <c r="F22" s="75"/>
    </row>
    <row r="23" spans="2:6" x14ac:dyDescent="0.25">
      <c r="B23" t="s">
        <v>151</v>
      </c>
      <c r="D23" s="75" t="s">
        <v>78</v>
      </c>
      <c r="E23" s="75" t="s">
        <v>192</v>
      </c>
      <c r="F23" s="75"/>
    </row>
    <row r="24" spans="2:6" x14ac:dyDescent="0.25">
      <c r="B24" t="s">
        <v>152</v>
      </c>
      <c r="D24" s="75" t="s">
        <v>78</v>
      </c>
      <c r="E24" s="75" t="s">
        <v>193</v>
      </c>
      <c r="F24" s="75"/>
    </row>
    <row r="25" spans="2:6" x14ac:dyDescent="0.25">
      <c r="B25" t="s">
        <v>153</v>
      </c>
      <c r="D25" s="75" t="s">
        <v>78</v>
      </c>
      <c r="E25" s="75" t="s">
        <v>194</v>
      </c>
      <c r="F25" s="75"/>
    </row>
    <row r="26" spans="2:6" x14ac:dyDescent="0.25">
      <c r="B26" t="s">
        <v>154</v>
      </c>
      <c r="D26" s="75" t="s">
        <v>78</v>
      </c>
      <c r="E26" s="75" t="s">
        <v>195</v>
      </c>
      <c r="F26" s="75"/>
    </row>
    <row r="27" spans="2:6" x14ac:dyDescent="0.25">
      <c r="B27" t="s">
        <v>155</v>
      </c>
      <c r="D27" s="75" t="s">
        <v>78</v>
      </c>
      <c r="E27" s="75" t="s">
        <v>196</v>
      </c>
      <c r="F27" s="75"/>
    </row>
    <row r="28" spans="2:6" x14ac:dyDescent="0.25">
      <c r="B28" t="s">
        <v>156</v>
      </c>
      <c r="D28" s="75" t="s">
        <v>78</v>
      </c>
      <c r="E28" s="75" t="s">
        <v>197</v>
      </c>
      <c r="F28" s="75"/>
    </row>
    <row r="29" spans="2:6" x14ac:dyDescent="0.25">
      <c r="B29" t="s">
        <v>157</v>
      </c>
      <c r="D29" s="75" t="s">
        <v>78</v>
      </c>
      <c r="E29" s="75">
        <v>501</v>
      </c>
      <c r="F29" s="75"/>
    </row>
    <row r="30" spans="2:6" x14ac:dyDescent="0.25">
      <c r="B30" t="s">
        <v>158</v>
      </c>
      <c r="D30" t="s">
        <v>221</v>
      </c>
      <c r="E30" s="75">
        <v>4630000000</v>
      </c>
      <c r="F30" s="75"/>
    </row>
    <row r="31" spans="2:6" x14ac:dyDescent="0.25">
      <c r="B31" t="s">
        <v>159</v>
      </c>
      <c r="D31" t="s">
        <v>221</v>
      </c>
      <c r="E31" s="75">
        <v>900000000000</v>
      </c>
      <c r="F31" s="75"/>
    </row>
    <row r="32" spans="2:6" x14ac:dyDescent="0.25">
      <c r="B32" t="s">
        <v>160</v>
      </c>
      <c r="D32" t="s">
        <v>221</v>
      </c>
      <c r="E32" s="75">
        <v>-46200000000</v>
      </c>
      <c r="F32" s="75"/>
    </row>
    <row r="33" spans="2:6" x14ac:dyDescent="0.25">
      <c r="B33" t="s">
        <v>161</v>
      </c>
      <c r="D33" t="s">
        <v>222</v>
      </c>
      <c r="E33" s="75">
        <v>170000</v>
      </c>
      <c r="F33" s="75"/>
    </row>
    <row r="34" spans="2:6" x14ac:dyDescent="0.25">
      <c r="B34" t="s">
        <v>162</v>
      </c>
      <c r="D34" t="s">
        <v>222</v>
      </c>
      <c r="E34" s="75">
        <v>360000000</v>
      </c>
      <c r="F34" s="75"/>
    </row>
    <row r="35" spans="2:6" x14ac:dyDescent="0.25">
      <c r="B35" t="s">
        <v>163</v>
      </c>
      <c r="D35" t="s">
        <v>222</v>
      </c>
      <c r="E35" s="75">
        <v>0</v>
      </c>
      <c r="F35" s="75"/>
    </row>
    <row r="36" spans="2:6" x14ac:dyDescent="0.25">
      <c r="B36" t="s">
        <v>164</v>
      </c>
      <c r="D36" s="75"/>
      <c r="E36" s="75">
        <v>2</v>
      </c>
      <c r="F36" s="75"/>
    </row>
    <row r="37" spans="2:6" x14ac:dyDescent="0.25">
      <c r="B37" t="s">
        <v>226</v>
      </c>
      <c r="D37" s="75"/>
      <c r="E37" s="75">
        <v>10</v>
      </c>
      <c r="F37" s="75"/>
    </row>
    <row r="38" spans="2:6" x14ac:dyDescent="0.25">
      <c r="B38" t="s">
        <v>165</v>
      </c>
      <c r="D38" s="75" t="s">
        <v>222</v>
      </c>
      <c r="E38" s="75">
        <v>1</v>
      </c>
      <c r="F38" s="75"/>
    </row>
    <row r="39" spans="2:6" x14ac:dyDescent="0.25">
      <c r="B39" t="s">
        <v>166</v>
      </c>
      <c r="D39" s="75" t="s">
        <v>223</v>
      </c>
      <c r="E39" s="75">
        <v>1027</v>
      </c>
      <c r="F39" s="75"/>
    </row>
    <row r="40" spans="2:6" x14ac:dyDescent="0.25">
      <c r="B40" t="s">
        <v>206</v>
      </c>
      <c r="C40" t="s">
        <v>202</v>
      </c>
      <c r="D40" s="75" t="s">
        <v>124</v>
      </c>
      <c r="E40" s="75" t="s">
        <v>198</v>
      </c>
      <c r="F40" s="75" t="s">
        <v>214</v>
      </c>
    </row>
    <row r="41" spans="2:6" x14ac:dyDescent="0.25">
      <c r="B41" t="s">
        <v>207</v>
      </c>
      <c r="C41" t="s">
        <v>202</v>
      </c>
      <c r="D41" s="75" t="s">
        <v>124</v>
      </c>
      <c r="E41" s="75" t="s">
        <v>198</v>
      </c>
      <c r="F41" s="75"/>
    </row>
    <row r="42" spans="2:6" x14ac:dyDescent="0.25">
      <c r="B42" t="s">
        <v>167</v>
      </c>
      <c r="D42" s="75" t="s">
        <v>223</v>
      </c>
      <c r="E42" s="75">
        <v>1325</v>
      </c>
      <c r="F42" s="75"/>
    </row>
    <row r="43" spans="2:6" x14ac:dyDescent="0.25">
      <c r="B43" t="s">
        <v>168</v>
      </c>
      <c r="D43" s="75"/>
      <c r="E43" s="75">
        <v>2</v>
      </c>
      <c r="F43" s="75"/>
    </row>
    <row r="44" spans="2:6" x14ac:dyDescent="0.25">
      <c r="B44" t="s">
        <v>169</v>
      </c>
      <c r="D44" s="75"/>
      <c r="E44" s="75">
        <v>300</v>
      </c>
      <c r="F44" s="75"/>
    </row>
    <row r="45" spans="2:6" x14ac:dyDescent="0.25">
      <c r="B45" t="s">
        <v>170</v>
      </c>
      <c r="D45" s="75"/>
      <c r="E45" s="75">
        <v>10</v>
      </c>
      <c r="F45" s="75"/>
    </row>
    <row r="46" spans="2:6" x14ac:dyDescent="0.25">
      <c r="B46" t="s">
        <v>171</v>
      </c>
      <c r="D46" s="75" t="s">
        <v>214</v>
      </c>
      <c r="E46" s="75">
        <v>7.4999999999999997E-3</v>
      </c>
      <c r="F46" s="75"/>
    </row>
    <row r="47" spans="2:6" x14ac:dyDescent="0.25">
      <c r="B47" t="s">
        <v>172</v>
      </c>
      <c r="D47" s="75" t="s">
        <v>214</v>
      </c>
      <c r="E47" s="75">
        <v>6.4000000000000003E-3</v>
      </c>
      <c r="F47" s="75"/>
    </row>
    <row r="48" spans="2:6" x14ac:dyDescent="0.25">
      <c r="B48" t="s">
        <v>173</v>
      </c>
      <c r="D48" s="75" t="s">
        <v>224</v>
      </c>
      <c r="E48" s="75">
        <v>36</v>
      </c>
      <c r="F48" s="75"/>
    </row>
    <row r="49" spans="2:6" x14ac:dyDescent="0.25">
      <c r="B49" t="s">
        <v>176</v>
      </c>
      <c r="D49" s="75" t="s">
        <v>214</v>
      </c>
      <c r="E49" s="75">
        <v>5</v>
      </c>
      <c r="F49" s="75" t="s">
        <v>215</v>
      </c>
    </row>
    <row r="50" spans="2:6" x14ac:dyDescent="0.25">
      <c r="B50" t="s">
        <v>174</v>
      </c>
      <c r="D50" s="75" t="s">
        <v>214</v>
      </c>
      <c r="E50" s="75">
        <v>10000000</v>
      </c>
      <c r="F50" s="75"/>
    </row>
    <row r="51" spans="2:6" x14ac:dyDescent="0.25">
      <c r="B51" t="s">
        <v>175</v>
      </c>
      <c r="D51" s="75" t="s">
        <v>214</v>
      </c>
      <c r="E51" s="75">
        <v>0.89500000000000002</v>
      </c>
      <c r="F51" s="75"/>
    </row>
    <row r="52" spans="2:6" x14ac:dyDescent="0.25">
      <c r="B52" t="s">
        <v>177</v>
      </c>
      <c r="C52" t="s">
        <v>205</v>
      </c>
      <c r="D52" s="75" t="s">
        <v>124</v>
      </c>
      <c r="E52" s="75" t="s">
        <v>198</v>
      </c>
      <c r="F52" s="75"/>
    </row>
    <row r="53" spans="2:6" x14ac:dyDescent="0.25">
      <c r="B53" t="s">
        <v>178</v>
      </c>
      <c r="C53" t="s">
        <v>202</v>
      </c>
      <c r="D53" s="75" t="s">
        <v>124</v>
      </c>
      <c r="E53" s="75" t="s">
        <v>200</v>
      </c>
      <c r="F53" s="75">
        <v>140</v>
      </c>
    </row>
    <row r="54" spans="2:6" x14ac:dyDescent="0.25">
      <c r="B54" t="s">
        <v>179</v>
      </c>
      <c r="D54" s="75" t="s">
        <v>214</v>
      </c>
      <c r="E54" s="75">
        <v>0.11</v>
      </c>
      <c r="F54" s="75"/>
    </row>
    <row r="55" spans="2:6" x14ac:dyDescent="0.25">
      <c r="B55" t="s">
        <v>180</v>
      </c>
      <c r="D55" s="75" t="s">
        <v>225</v>
      </c>
      <c r="E55" s="75">
        <v>0</v>
      </c>
      <c r="F55" s="75"/>
    </row>
    <row r="56" spans="2:6" x14ac:dyDescent="0.25">
      <c r="B56" t="s">
        <v>181</v>
      </c>
      <c r="D56" s="75" t="s">
        <v>78</v>
      </c>
      <c r="E56" s="75">
        <v>0</v>
      </c>
      <c r="F56" s="75"/>
    </row>
    <row r="57" spans="2:6" x14ac:dyDescent="0.25">
      <c r="B57" t="s">
        <v>182</v>
      </c>
      <c r="D57" s="75" t="s">
        <v>78</v>
      </c>
      <c r="E57" s="75">
        <v>1</v>
      </c>
      <c r="F57" s="75"/>
    </row>
    <row r="58" spans="2:6" x14ac:dyDescent="0.25">
      <c r="B58" t="s">
        <v>183</v>
      </c>
      <c r="D58" s="75" t="s">
        <v>78</v>
      </c>
      <c r="E58" s="75" t="s">
        <v>201</v>
      </c>
      <c r="F58" s="75"/>
    </row>
    <row r="59" spans="2:6" x14ac:dyDescent="0.25">
      <c r="B59" t="s">
        <v>184</v>
      </c>
      <c r="C59" t="s">
        <v>218</v>
      </c>
      <c r="D59" s="75"/>
      <c r="E59" s="75" t="s">
        <v>209</v>
      </c>
      <c r="F59" s="75"/>
    </row>
  </sheetData>
  <protectedRanges>
    <protectedRange sqref="E16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142875</xdr:rowOff>
                  </from>
                  <to>
                    <xdr:col>1</xdr:col>
                    <xdr:colOff>1038225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1085850</xdr:colOff>
                    <xdr:row>3</xdr:row>
                    <xdr:rowOff>142875</xdr:rowOff>
                  </from>
                  <to>
                    <xdr:col>1</xdr:col>
                    <xdr:colOff>2114550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DC024-A638-4354-88D7-EB2750888AC6}">
  <sheetPr codeName="Tabelle6"/>
  <dimension ref="B2:N59"/>
  <sheetViews>
    <sheetView zoomScale="85" zoomScaleNormal="85" workbookViewId="0">
      <selection activeCell="J29" sqref="J29"/>
    </sheetView>
  </sheetViews>
  <sheetFormatPr baseColWidth="10" defaultRowHeight="15" x14ac:dyDescent="0.25"/>
  <cols>
    <col min="2" max="2" width="53.7109375" customWidth="1"/>
    <col min="3" max="3" width="25.42578125" customWidth="1"/>
    <col min="4" max="5" width="16.140625" customWidth="1"/>
    <col min="6" max="6" width="12.28515625" customWidth="1"/>
    <col min="7" max="7" width="16" customWidth="1"/>
    <col min="8" max="8" width="17.42578125" customWidth="1"/>
    <col min="9" max="9" width="16.5703125" customWidth="1"/>
    <col min="10" max="10" width="26.140625" customWidth="1"/>
    <col min="11" max="11" width="25.7109375" customWidth="1"/>
    <col min="12" max="12" width="21.42578125" customWidth="1"/>
    <col min="13" max="13" width="61.5703125" customWidth="1"/>
  </cols>
  <sheetData>
    <row r="2" spans="2:14" ht="31.5" x14ac:dyDescent="0.5">
      <c r="B2" s="63" t="s">
        <v>230</v>
      </c>
      <c r="C2" s="63"/>
    </row>
    <row r="5" spans="2:14" ht="18" customHeight="1" x14ac:dyDescent="0.25"/>
    <row r="6" spans="2:14" x14ac:dyDescent="0.25">
      <c r="B6" t="s">
        <v>253</v>
      </c>
    </row>
    <row r="8" spans="2:14" x14ac:dyDescent="0.25">
      <c r="B8" s="76" t="s">
        <v>237</v>
      </c>
      <c r="C8" s="82" t="s">
        <v>88</v>
      </c>
      <c r="D8" s="84" t="s">
        <v>257</v>
      </c>
      <c r="E8" t="s">
        <v>98</v>
      </c>
      <c r="F8" t="s">
        <v>97</v>
      </c>
      <c r="G8" t="s">
        <v>90</v>
      </c>
      <c r="H8" t="s">
        <v>231</v>
      </c>
      <c r="I8" t="s">
        <v>232</v>
      </c>
      <c r="J8" t="s">
        <v>233</v>
      </c>
      <c r="K8" t="s">
        <v>235</v>
      </c>
      <c r="L8" t="s">
        <v>234</v>
      </c>
    </row>
    <row r="9" spans="2:14" x14ac:dyDescent="0.25">
      <c r="B9" s="72" t="s">
        <v>238</v>
      </c>
      <c r="C9" s="55" t="s">
        <v>86</v>
      </c>
      <c r="D9" s="55" t="s">
        <v>94</v>
      </c>
      <c r="E9" s="55">
        <v>20.100000000000001</v>
      </c>
      <c r="F9" s="55">
        <v>20.100000000000001</v>
      </c>
      <c r="G9" s="55">
        <v>20000</v>
      </c>
      <c r="H9" s="55"/>
      <c r="I9" s="55"/>
      <c r="J9" s="55"/>
      <c r="K9" s="55"/>
      <c r="L9" s="55"/>
    </row>
    <row r="10" spans="2:14" x14ac:dyDescent="0.25">
      <c r="B10" s="72" t="s">
        <v>238</v>
      </c>
      <c r="C10" s="55" t="s">
        <v>86</v>
      </c>
      <c r="D10" s="55" t="s">
        <v>95</v>
      </c>
      <c r="E10" s="55">
        <v>14</v>
      </c>
      <c r="F10" s="55">
        <v>14</v>
      </c>
      <c r="G10" s="55">
        <v>5000</v>
      </c>
      <c r="H10" s="55"/>
      <c r="I10" s="55"/>
      <c r="J10" s="55"/>
      <c r="K10" s="55"/>
      <c r="L10" s="55"/>
    </row>
    <row r="11" spans="2:14" x14ac:dyDescent="0.25">
      <c r="B11" s="72" t="s">
        <v>238</v>
      </c>
      <c r="C11" s="55" t="s">
        <v>86</v>
      </c>
      <c r="D11" s="55" t="s">
        <v>248</v>
      </c>
      <c r="E11" s="55">
        <v>11</v>
      </c>
      <c r="F11" s="55">
        <v>11</v>
      </c>
      <c r="G11" s="55">
        <v>1</v>
      </c>
      <c r="H11" s="55"/>
      <c r="I11" s="55"/>
      <c r="J11" s="55"/>
      <c r="K11" s="55"/>
      <c r="L11" s="55"/>
    </row>
    <row r="12" spans="2:14" x14ac:dyDescent="0.25">
      <c r="B12" s="72" t="s">
        <v>238</v>
      </c>
      <c r="C12" s="55" t="s">
        <v>86</v>
      </c>
      <c r="D12" s="55" t="s">
        <v>96</v>
      </c>
      <c r="E12" s="55">
        <v>6.1</v>
      </c>
      <c r="F12" s="55">
        <v>6.1</v>
      </c>
      <c r="G12" s="55">
        <v>200</v>
      </c>
      <c r="H12" s="55"/>
      <c r="I12" s="55"/>
      <c r="J12" s="55"/>
      <c r="K12" s="55"/>
      <c r="L12" s="55"/>
    </row>
    <row r="13" spans="2:14" x14ac:dyDescent="0.25">
      <c r="B13" s="72" t="s">
        <v>238</v>
      </c>
      <c r="C13" s="55" t="s">
        <v>86</v>
      </c>
      <c r="D13" s="55" t="s">
        <v>91</v>
      </c>
      <c r="E13" s="55">
        <v>5.6</v>
      </c>
      <c r="F13" s="55">
        <v>5.6</v>
      </c>
      <c r="G13" s="55">
        <v>60000</v>
      </c>
      <c r="H13" s="55"/>
      <c r="I13" s="55"/>
      <c r="J13" s="55"/>
      <c r="K13" s="55"/>
      <c r="L13" s="55"/>
    </row>
    <row r="14" spans="2:14" x14ac:dyDescent="0.25">
      <c r="B14" s="72" t="s">
        <v>238</v>
      </c>
      <c r="C14" s="55" t="s">
        <v>69</v>
      </c>
      <c r="D14" s="55" t="s">
        <v>91</v>
      </c>
      <c r="E14" s="55">
        <v>5.6</v>
      </c>
      <c r="F14" s="55">
        <v>5.6</v>
      </c>
      <c r="G14" s="55">
        <v>60000</v>
      </c>
      <c r="H14" s="55"/>
      <c r="I14" s="55"/>
      <c r="J14" s="55"/>
      <c r="K14" s="55"/>
      <c r="L14" s="55"/>
    </row>
    <row r="15" spans="2:14" x14ac:dyDescent="0.25">
      <c r="B15" s="72" t="s">
        <v>238</v>
      </c>
      <c r="C15" s="55" t="s">
        <v>69</v>
      </c>
      <c r="D15" s="55" t="s">
        <v>92</v>
      </c>
      <c r="E15" s="55">
        <v>4.2</v>
      </c>
      <c r="F15" s="55">
        <v>4.2</v>
      </c>
      <c r="G15" s="55">
        <v>9000</v>
      </c>
      <c r="H15" s="55"/>
      <c r="I15" s="55"/>
      <c r="J15" s="55"/>
      <c r="K15" s="55"/>
      <c r="L15" s="55"/>
      <c r="M15" s="75"/>
      <c r="N15" s="75"/>
    </row>
    <row r="16" spans="2:14" x14ac:dyDescent="0.25">
      <c r="B16" s="72" t="s">
        <v>238</v>
      </c>
      <c r="C16" s="55" t="s">
        <v>69</v>
      </c>
      <c r="D16" s="55" t="s">
        <v>93</v>
      </c>
      <c r="E16" s="79">
        <v>2</v>
      </c>
      <c r="F16" s="79">
        <v>2</v>
      </c>
      <c r="G16" s="79">
        <v>80000</v>
      </c>
      <c r="H16" s="55"/>
      <c r="I16" s="55"/>
      <c r="J16" s="55"/>
      <c r="K16" s="55"/>
      <c r="L16" s="55"/>
      <c r="M16" s="75"/>
    </row>
    <row r="17" spans="2:13" x14ac:dyDescent="0.25">
      <c r="B17" s="72" t="s">
        <v>258</v>
      </c>
      <c r="C17" s="55" t="s">
        <v>86</v>
      </c>
      <c r="D17" s="55" t="s">
        <v>89</v>
      </c>
      <c r="E17" s="80"/>
      <c r="F17" s="80">
        <v>19.5</v>
      </c>
      <c r="G17" s="80">
        <v>5000</v>
      </c>
      <c r="H17" s="55">
        <v>1</v>
      </c>
      <c r="I17" s="55">
        <v>2</v>
      </c>
      <c r="J17" s="55">
        <v>3</v>
      </c>
      <c r="K17" s="55">
        <v>5</v>
      </c>
      <c r="L17" s="55">
        <v>5</v>
      </c>
      <c r="M17" s="75"/>
    </row>
    <row r="18" spans="2:13" x14ac:dyDescent="0.25"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</row>
    <row r="19" spans="2:13" x14ac:dyDescent="0.25"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</row>
    <row r="20" spans="2:13" x14ac:dyDescent="0.25">
      <c r="B20" s="67"/>
      <c r="C20" s="67"/>
      <c r="D20" s="67"/>
      <c r="F20" s="75"/>
      <c r="G20" s="75"/>
      <c r="H20" s="75"/>
      <c r="I20" s="75"/>
      <c r="J20" s="75"/>
      <c r="K20" s="75"/>
      <c r="L20" s="75"/>
      <c r="M20" s="75"/>
    </row>
    <row r="21" spans="2:13" x14ac:dyDescent="0.25">
      <c r="D21" s="75"/>
      <c r="E21" s="75"/>
      <c r="F21" s="75"/>
      <c r="G21" s="75"/>
      <c r="H21" s="75"/>
      <c r="I21" s="75"/>
      <c r="J21" s="75"/>
      <c r="K21" s="75"/>
      <c r="L21" s="75"/>
      <c r="M21" s="75"/>
    </row>
    <row r="22" spans="2:13" x14ac:dyDescent="0.25">
      <c r="D22" s="75"/>
      <c r="E22" s="75"/>
      <c r="F22" s="75"/>
      <c r="G22" s="75"/>
      <c r="H22" s="75"/>
      <c r="I22" s="75"/>
      <c r="J22" s="75"/>
      <c r="K22" s="75"/>
      <c r="L22" s="75"/>
      <c r="M22" s="75"/>
    </row>
    <row r="23" spans="2:13" x14ac:dyDescent="0.25">
      <c r="D23" s="75"/>
      <c r="E23" s="75"/>
      <c r="F23" s="75"/>
      <c r="G23" s="75"/>
      <c r="H23" s="75"/>
      <c r="I23" s="75"/>
      <c r="J23" s="75"/>
      <c r="K23" s="75"/>
      <c r="L23" s="75"/>
      <c r="M23" s="75"/>
    </row>
    <row r="24" spans="2:13" x14ac:dyDescent="0.25">
      <c r="D24" s="75"/>
      <c r="E24" s="75"/>
      <c r="F24" s="75"/>
      <c r="G24" s="75"/>
      <c r="H24" s="75"/>
      <c r="I24" s="75"/>
      <c r="J24" s="75"/>
      <c r="K24" s="75"/>
      <c r="L24" s="75"/>
      <c r="M24" s="75"/>
    </row>
    <row r="25" spans="2:13" x14ac:dyDescent="0.25">
      <c r="D25" s="75"/>
      <c r="E25" s="75"/>
      <c r="F25" s="75"/>
      <c r="G25" s="75"/>
      <c r="H25" s="75"/>
      <c r="I25" s="75"/>
      <c r="J25" s="75"/>
      <c r="K25" s="75" t="s">
        <v>236</v>
      </c>
      <c r="L25" s="75"/>
      <c r="M25" s="75"/>
    </row>
    <row r="26" spans="2:13" x14ac:dyDescent="0.25">
      <c r="D26" s="75"/>
      <c r="E26" s="75"/>
      <c r="F26" s="75"/>
      <c r="G26" s="75"/>
      <c r="H26" s="75"/>
      <c r="I26" s="75"/>
      <c r="J26" s="75"/>
      <c r="K26" s="75"/>
      <c r="L26" s="75"/>
      <c r="M26" s="75"/>
    </row>
    <row r="27" spans="2:13" x14ac:dyDescent="0.25">
      <c r="G27" s="75"/>
      <c r="H27" s="75"/>
      <c r="I27" s="75"/>
      <c r="J27" s="75"/>
      <c r="K27" s="75"/>
      <c r="L27" s="75"/>
      <c r="M27" s="75"/>
    </row>
    <row r="28" spans="2:13" x14ac:dyDescent="0.25">
      <c r="D28" s="75"/>
      <c r="E28" s="75"/>
      <c r="F28" s="75"/>
      <c r="G28" s="75"/>
      <c r="H28" s="75"/>
      <c r="I28" s="75"/>
      <c r="J28" s="75"/>
      <c r="K28" s="75"/>
      <c r="L28" s="75"/>
      <c r="M28" s="75"/>
    </row>
    <row r="29" spans="2:13" x14ac:dyDescent="0.25">
      <c r="C29" s="75"/>
      <c r="E29" s="75"/>
      <c r="G29" s="75"/>
      <c r="H29" s="75"/>
      <c r="I29" s="75"/>
      <c r="J29" s="75"/>
      <c r="K29" s="75"/>
      <c r="L29" s="75"/>
      <c r="M29" s="75"/>
    </row>
    <row r="30" spans="2:13" x14ac:dyDescent="0.25">
      <c r="C30" s="75"/>
      <c r="E30" s="75"/>
      <c r="G30" s="75"/>
      <c r="H30" s="75"/>
      <c r="I30" s="75"/>
      <c r="J30" s="75"/>
      <c r="K30" s="75"/>
      <c r="L30" s="75"/>
      <c r="M30" s="75"/>
    </row>
    <row r="31" spans="2:13" x14ac:dyDescent="0.25">
      <c r="C31" s="75"/>
      <c r="E31" s="75"/>
      <c r="G31" s="75"/>
      <c r="H31" s="75"/>
      <c r="I31" s="75"/>
      <c r="J31" s="75"/>
      <c r="K31" s="75"/>
      <c r="L31" s="75"/>
      <c r="M31" s="75"/>
    </row>
    <row r="32" spans="2:13" x14ac:dyDescent="0.25">
      <c r="C32" s="75"/>
      <c r="E32" s="75"/>
      <c r="G32" s="75"/>
      <c r="H32" s="75"/>
      <c r="I32" s="75"/>
      <c r="J32" s="75"/>
      <c r="K32" s="75"/>
      <c r="L32" s="75"/>
      <c r="M32" s="75"/>
    </row>
    <row r="33" spans="3:13" x14ac:dyDescent="0.25">
      <c r="C33" s="75"/>
      <c r="E33" s="75"/>
      <c r="G33" s="75"/>
      <c r="H33" s="75"/>
      <c r="I33" s="75"/>
      <c r="J33" s="75"/>
      <c r="K33" s="75"/>
      <c r="L33" s="75"/>
      <c r="M33" s="75"/>
    </row>
    <row r="34" spans="3:13" x14ac:dyDescent="0.25">
      <c r="C34" s="75"/>
      <c r="E34" s="75"/>
      <c r="G34" s="75"/>
      <c r="H34" s="75"/>
      <c r="I34" s="75"/>
      <c r="J34" s="75"/>
      <c r="K34" s="75"/>
      <c r="L34" s="75"/>
      <c r="M34" s="75"/>
    </row>
    <row r="35" spans="3:13" x14ac:dyDescent="0.25">
      <c r="C35" s="75"/>
      <c r="E35" s="75"/>
      <c r="G35" s="75"/>
      <c r="H35" s="75"/>
      <c r="I35" s="75"/>
      <c r="J35" s="75"/>
      <c r="K35" s="75"/>
      <c r="L35" s="75"/>
      <c r="M35" s="75"/>
    </row>
    <row r="36" spans="3:13" x14ac:dyDescent="0.25">
      <c r="C36" s="75"/>
      <c r="E36" s="75"/>
      <c r="G36" s="75"/>
      <c r="H36" s="75"/>
      <c r="I36" s="75"/>
      <c r="J36" s="75"/>
      <c r="K36" s="75"/>
      <c r="L36" s="75"/>
      <c r="M36" s="75"/>
    </row>
    <row r="37" spans="3:13" x14ac:dyDescent="0.25">
      <c r="C37" s="75"/>
      <c r="E37" s="75"/>
      <c r="G37" s="75"/>
      <c r="H37" s="75"/>
      <c r="I37" s="75"/>
      <c r="J37" s="75"/>
      <c r="K37" s="75"/>
      <c r="L37" s="75"/>
      <c r="M37" s="75"/>
    </row>
    <row r="38" spans="3:13" x14ac:dyDescent="0.25">
      <c r="C38" s="75"/>
      <c r="E38" s="75"/>
      <c r="G38" s="75"/>
      <c r="H38" s="75"/>
      <c r="I38" s="75"/>
      <c r="J38" s="75"/>
      <c r="K38" s="75"/>
      <c r="L38" s="75"/>
      <c r="M38" s="75"/>
    </row>
    <row r="39" spans="3:13" x14ac:dyDescent="0.25">
      <c r="C39" s="75"/>
      <c r="E39" s="75"/>
      <c r="G39" s="75"/>
      <c r="H39" s="75"/>
      <c r="I39" s="75"/>
      <c r="J39" s="75"/>
      <c r="K39" s="75"/>
      <c r="L39" s="75"/>
      <c r="M39" s="75"/>
    </row>
    <row r="40" spans="3:13" x14ac:dyDescent="0.25">
      <c r="C40" s="75"/>
      <c r="E40" s="75"/>
      <c r="G40" s="75"/>
      <c r="H40" s="75"/>
      <c r="I40" s="75"/>
      <c r="J40" s="75"/>
      <c r="K40" s="75"/>
      <c r="L40" s="75"/>
      <c r="M40" s="75"/>
    </row>
    <row r="41" spans="3:13" x14ac:dyDescent="0.25">
      <c r="C41" s="75"/>
      <c r="E41" s="75"/>
      <c r="G41" s="75"/>
      <c r="H41" s="75"/>
      <c r="I41" s="75"/>
      <c r="J41" s="75"/>
      <c r="K41" s="75"/>
      <c r="L41" s="75"/>
      <c r="M41" s="75"/>
    </row>
    <row r="42" spans="3:13" x14ac:dyDescent="0.25">
      <c r="D42" s="75"/>
      <c r="E42" s="75"/>
      <c r="F42" s="75"/>
      <c r="G42" s="75"/>
      <c r="H42" s="75"/>
      <c r="I42" s="75"/>
      <c r="J42" s="75"/>
      <c r="K42" s="75"/>
      <c r="L42" s="75"/>
      <c r="M42" s="75"/>
    </row>
    <row r="43" spans="3:13" x14ac:dyDescent="0.25">
      <c r="D43" s="75"/>
      <c r="E43" s="75"/>
      <c r="F43" s="75"/>
      <c r="G43" s="75"/>
      <c r="H43" s="75"/>
      <c r="I43" s="75"/>
      <c r="J43" s="75"/>
      <c r="K43" s="75"/>
      <c r="L43" s="75"/>
      <c r="M43" s="75"/>
    </row>
    <row r="44" spans="3:13" x14ac:dyDescent="0.25">
      <c r="D44" s="75"/>
      <c r="E44" s="75"/>
      <c r="F44" s="75"/>
      <c r="G44" s="75"/>
      <c r="H44" s="75"/>
      <c r="I44" s="75"/>
      <c r="J44" s="75"/>
      <c r="K44" s="75"/>
      <c r="L44" s="75"/>
      <c r="M44" s="75"/>
    </row>
    <row r="45" spans="3:13" x14ac:dyDescent="0.25">
      <c r="D45" s="75"/>
      <c r="E45" s="75"/>
      <c r="F45" s="75"/>
      <c r="G45" s="75"/>
      <c r="H45" s="75"/>
      <c r="I45" s="75"/>
      <c r="J45" s="75"/>
      <c r="K45" s="75"/>
      <c r="L45" s="75"/>
      <c r="M45" s="75"/>
    </row>
    <row r="46" spans="3:13" x14ac:dyDescent="0.25">
      <c r="D46" s="75"/>
      <c r="E46" s="75"/>
      <c r="F46" s="75"/>
      <c r="G46" s="75"/>
      <c r="H46" s="75"/>
      <c r="I46" s="75"/>
      <c r="J46" s="75"/>
      <c r="K46" s="75"/>
      <c r="L46" s="75"/>
      <c r="M46" s="75"/>
    </row>
    <row r="47" spans="3:13" x14ac:dyDescent="0.25">
      <c r="D47" s="75"/>
      <c r="E47" s="75"/>
      <c r="F47" s="75"/>
      <c r="G47" s="75"/>
      <c r="H47" s="75"/>
      <c r="I47" s="75"/>
      <c r="J47" s="75"/>
      <c r="K47" s="75"/>
      <c r="L47" s="75"/>
      <c r="M47" s="75"/>
    </row>
    <row r="48" spans="3:13" x14ac:dyDescent="0.25">
      <c r="D48" s="75"/>
      <c r="E48" s="75"/>
      <c r="F48" s="75"/>
      <c r="G48" s="75"/>
      <c r="H48" s="75"/>
      <c r="I48" s="75"/>
      <c r="J48" s="75"/>
      <c r="K48" s="75"/>
      <c r="L48" s="75"/>
      <c r="M48" s="75"/>
    </row>
    <row r="49" spans="4:13" x14ac:dyDescent="0.25">
      <c r="D49" s="75"/>
      <c r="E49" s="75"/>
      <c r="F49" s="75"/>
      <c r="G49" s="75"/>
      <c r="H49" s="75"/>
      <c r="I49" s="75"/>
      <c r="J49" s="75"/>
      <c r="K49" s="75"/>
      <c r="L49" s="75"/>
      <c r="M49" s="75"/>
    </row>
    <row r="50" spans="4:13" x14ac:dyDescent="0.25">
      <c r="D50" s="75"/>
      <c r="E50" s="75"/>
      <c r="F50" s="75"/>
      <c r="G50" s="75"/>
      <c r="H50" s="75"/>
      <c r="I50" s="75"/>
      <c r="J50" s="75"/>
      <c r="K50" s="75"/>
      <c r="L50" s="75"/>
      <c r="M50" s="75"/>
    </row>
    <row r="51" spans="4:13" x14ac:dyDescent="0.25">
      <c r="D51" s="75"/>
      <c r="E51" s="75"/>
      <c r="F51" s="75"/>
      <c r="G51" s="75"/>
      <c r="H51" s="75"/>
      <c r="I51" s="75"/>
      <c r="J51" s="75"/>
      <c r="K51" s="75"/>
      <c r="L51" s="75"/>
      <c r="M51" s="75"/>
    </row>
    <row r="52" spans="4:13" x14ac:dyDescent="0.25">
      <c r="D52" s="75"/>
      <c r="E52" s="75"/>
    </row>
    <row r="53" spans="4:13" x14ac:dyDescent="0.25">
      <c r="D53" s="75"/>
      <c r="E53" s="75"/>
    </row>
    <row r="54" spans="4:13" x14ac:dyDescent="0.25">
      <c r="D54" s="75"/>
      <c r="E54" s="75"/>
    </row>
    <row r="55" spans="4:13" x14ac:dyDescent="0.25">
      <c r="D55" s="75"/>
      <c r="E55" s="75"/>
    </row>
    <row r="56" spans="4:13" x14ac:dyDescent="0.25">
      <c r="D56" s="75"/>
      <c r="E56" s="75"/>
    </row>
    <row r="57" spans="4:13" x14ac:dyDescent="0.25">
      <c r="D57" s="75"/>
      <c r="E57" s="75"/>
    </row>
    <row r="58" spans="4:13" x14ac:dyDescent="0.25">
      <c r="D58" s="75"/>
      <c r="E58" s="75"/>
    </row>
    <row r="59" spans="4:13" x14ac:dyDescent="0.25">
      <c r="D59" s="75"/>
      <c r="E59" s="75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lect_WLGen_out">
                <anchor moveWithCells="1" sizeWithCells="1">
                  <from>
                    <xdr:col>1</xdr:col>
                    <xdr:colOff>0</xdr:colOff>
                    <xdr:row>3</xdr:row>
                    <xdr:rowOff>142875</xdr:rowOff>
                  </from>
                  <to>
                    <xdr:col>1</xdr:col>
                    <xdr:colOff>1038225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WLGen">
                <anchor moveWithCells="1" sizeWithCells="1">
                  <from>
                    <xdr:col>1</xdr:col>
                    <xdr:colOff>1085850</xdr:colOff>
                    <xdr:row>3</xdr:row>
                    <xdr:rowOff>142875</xdr:rowOff>
                  </from>
                  <to>
                    <xdr:col>1</xdr:col>
                    <xdr:colOff>2114550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fill_WLGenMasses">
                <anchor moveWithCells="1" sizeWithCells="1">
                  <from>
                    <xdr:col>1</xdr:col>
                    <xdr:colOff>2152650</xdr:colOff>
                    <xdr:row>3</xdr:row>
                    <xdr:rowOff>171450</xdr:rowOff>
                  </from>
                  <to>
                    <xdr:col>2</xdr:col>
                    <xdr:colOff>1171575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34" sqref="B34"/>
    </sheetView>
  </sheetViews>
  <sheetFormatPr baseColWidth="10" defaultRowHeight="15" x14ac:dyDescent="0.25"/>
  <cols>
    <col min="2" max="2" width="130.7109375" customWidth="1"/>
  </cols>
  <sheetData>
    <row r="2" spans="2:4" x14ac:dyDescent="0.25">
      <c r="C2" t="s">
        <v>68</v>
      </c>
    </row>
    <row r="3" spans="2:4" ht="17.25" customHeight="1" x14ac:dyDescent="0.25">
      <c r="B3" s="49" t="s">
        <v>50</v>
      </c>
    </row>
    <row r="4" spans="2:4" ht="17.25" customHeight="1" x14ac:dyDescent="0.25">
      <c r="B4" s="49" t="s">
        <v>51</v>
      </c>
      <c r="D4" s="49"/>
    </row>
    <row r="5" spans="2:4" ht="17.25" customHeight="1" x14ac:dyDescent="0.25">
      <c r="B5" s="49" t="s">
        <v>52</v>
      </c>
    </row>
    <row r="6" spans="2:4" ht="17.25" customHeight="1" x14ac:dyDescent="0.25">
      <c r="B6" s="49" t="s">
        <v>53</v>
      </c>
    </row>
    <row r="7" spans="2:4" ht="17.25" customHeight="1" x14ac:dyDescent="0.25">
      <c r="B7" s="50" t="s">
        <v>54</v>
      </c>
    </row>
    <row r="8" spans="2:4" ht="17.25" customHeight="1" x14ac:dyDescent="0.25">
      <c r="B8" s="50" t="s">
        <v>55</v>
      </c>
    </row>
    <row r="9" spans="2:4" ht="17.25" customHeight="1" x14ac:dyDescent="0.25">
      <c r="B9" s="50" t="s">
        <v>56</v>
      </c>
    </row>
    <row r="10" spans="2:4" ht="17.25" customHeight="1" x14ac:dyDescent="0.25">
      <c r="B10" s="50" t="s">
        <v>57</v>
      </c>
    </row>
    <row r="11" spans="2:4" ht="17.25" customHeight="1" x14ac:dyDescent="0.25">
      <c r="B11" s="50" t="s">
        <v>58</v>
      </c>
    </row>
    <row r="12" spans="2:4" ht="17.25" customHeight="1" x14ac:dyDescent="0.25">
      <c r="B12" s="49" t="s">
        <v>252</v>
      </c>
    </row>
    <row r="13" spans="2:4" ht="17.25" customHeight="1" x14ac:dyDescent="0.25">
      <c r="B13" s="49" t="s">
        <v>59</v>
      </c>
    </row>
    <row r="14" spans="2:4" ht="17.25" customHeight="1" x14ac:dyDescent="0.25">
      <c r="B14" s="49" t="s">
        <v>60</v>
      </c>
    </row>
    <row r="15" spans="2:4" ht="17.25" customHeight="1" x14ac:dyDescent="0.25">
      <c r="B15" s="49" t="s">
        <v>61</v>
      </c>
    </row>
    <row r="16" spans="2:4" ht="17.25" customHeight="1" x14ac:dyDescent="0.25">
      <c r="B16" s="49" t="s">
        <v>62</v>
      </c>
    </row>
    <row r="17" spans="2:2" ht="17.25" customHeight="1" x14ac:dyDescent="0.25">
      <c r="B17" s="49" t="s">
        <v>63</v>
      </c>
    </row>
    <row r="18" spans="2:2" ht="17.25" customHeight="1" x14ac:dyDescent="0.25">
      <c r="B18" s="49" t="s">
        <v>64</v>
      </c>
    </row>
    <row r="19" spans="2:2" ht="17.25" customHeight="1" x14ac:dyDescent="0.25">
      <c r="B19" s="49" t="s">
        <v>65</v>
      </c>
    </row>
    <row r="20" spans="2:2" ht="17.25" customHeight="1" x14ac:dyDescent="0.25">
      <c r="B20" s="49" t="s">
        <v>66</v>
      </c>
    </row>
    <row r="21" spans="2:2" ht="17.25" customHeight="1" x14ac:dyDescent="0.25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26</vt:i4>
      </vt:variant>
    </vt:vector>
  </HeadingPairs>
  <TitlesOfParts>
    <vt:vector size="33" baseType="lpstr">
      <vt:lpstr>GlobalConfig</vt:lpstr>
      <vt:lpstr>CreateStucture</vt:lpstr>
      <vt:lpstr>BuildYourStructure</vt:lpstr>
      <vt:lpstr>StructureOverview</vt:lpstr>
      <vt:lpstr>ExportStructure</vt:lpstr>
      <vt:lpstr>WLGen</vt:lpstr>
      <vt:lpstr>Loop</vt:lpstr>
      <vt:lpstr>DISPL_MP</vt:lpstr>
      <vt:lpstr>DISPL_TP</vt:lpstr>
      <vt:lpstr>Import_GeomConv_path</vt:lpstr>
      <vt:lpstr>Import_MP_path</vt:lpstr>
      <vt:lpstr>JBOOST_Path</vt:lpstr>
      <vt:lpstr>MP_plot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2025-07-02T15:39:44Z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