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44BC52DE-1356-49F7-AB88-6853C2C663B4}" xr6:coauthVersionLast="47" xr6:coauthVersionMax="47" xr10:uidLastSave="{00000000-0000-0000-0000-000000000000}"/>
  <bookViews>
    <workbookView xWindow="-108" yWindow="-108" windowWidth="23256" windowHeight="13896" activeTab="2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ExportStructure" sheetId="7" r:id="rId4"/>
    <sheet name="Loop" sheetId="3" r:id="rId5"/>
  </sheets>
  <functionGroups builtInGroupCount="19"/>
  <externalReferences>
    <externalReference r:id="rId6"/>
  </externalReferences>
  <definedNames>
    <definedName name="_xleta.N" hidden="1" xlm="1">#NAME?</definedName>
    <definedName name="_xleta.T" hidden="1" xlm="1">#NAME?</definedName>
    <definedName name="DISPL_MP">BuildYourStructure!$F$15</definedName>
    <definedName name="DISPL_TP">BuildYourStructure!$AP$15</definedName>
    <definedName name="Import_MP_path">BuildYourStructure!$B$9</definedName>
    <definedName name="MOVE_STRUCT">BuildYourStructure!$E$15</definedName>
    <definedName name="SKIRT_MASS">StructureOverview!$U$6</definedName>
    <definedName name="Table_MP_DATA">BuildYourStructure!$Q$24</definedName>
    <definedName name="Table_MP_META">BuildYourStructure!$B$18</definedName>
    <definedName name="Table_TP_DATA">BuildYourStructure!$AV$24</definedName>
    <definedName name="Table_TP_META">BuildYourStructure!$AJ$18</definedName>
    <definedName name="Text">BuildYourStructure!$BS$13</definedName>
    <definedName name="TextBox_Import_MP_path">BuildYourStructure!$B$9</definedName>
    <definedName name="TextBox_MP_db_path">BuildYourStructure!$C$13</definedName>
    <definedName name="TextBox_TOWER_db_path">BuildYourStructure!$BS$13</definedName>
    <definedName name="TextBox_TP_db_path">BuildYourStructure!$AK$13</definedName>
    <definedName name="TextBox_TWR_db_path">#REF!</definedName>
    <definedName name="Use_MP">BuildYourStructure!$E$6</definedName>
    <definedName name="USE_TP">BuildYourStructure!$E$8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8" i="6" l="1"/>
  <c r="AE7" i="6"/>
  <c r="AA8" i="6"/>
  <c r="AA7" i="6"/>
  <c r="J6" i="6" l="1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BZ56" i="5"/>
  <c r="BZ57" i="5"/>
  <c r="BZ58" i="5"/>
  <c r="BZ59" i="5"/>
  <c r="BZ60" i="5"/>
  <c r="BZ61" i="5"/>
  <c r="BZ62" i="5"/>
  <c r="BZ63" i="5"/>
  <c r="BZ64" i="5"/>
  <c r="BZ65" i="5"/>
  <c r="BZ66" i="5"/>
  <c r="BZ67" i="5"/>
  <c r="BZ68" i="5"/>
  <c r="BZ69" i="5"/>
  <c r="BZ70" i="5"/>
  <c r="BZ71" i="5"/>
  <c r="BZ72" i="5"/>
  <c r="BZ73" i="5"/>
  <c r="BZ74" i="5"/>
  <c r="BZ75" i="5"/>
  <c r="BZ76" i="5"/>
  <c r="BZ77" i="5"/>
  <c r="BZ78" i="5"/>
  <c r="BZ79" i="5"/>
  <c r="BZ80" i="5"/>
  <c r="BZ81" i="5"/>
  <c r="BZ82" i="5"/>
  <c r="BZ83" i="5"/>
  <c r="BZ84" i="5"/>
  <c r="BZ85" i="5"/>
  <c r="BZ86" i="5"/>
  <c r="BZ87" i="5"/>
  <c r="BZ88" i="5"/>
  <c r="BZ89" i="5"/>
  <c r="BZ90" i="5"/>
  <c r="BZ91" i="5"/>
  <c r="BZ92" i="5"/>
  <c r="BZ93" i="5"/>
  <c r="BZ94" i="5"/>
  <c r="BZ95" i="5"/>
  <c r="BZ96" i="5"/>
  <c r="BZ97" i="5"/>
  <c r="BZ98" i="5"/>
  <c r="BZ99" i="5"/>
  <c r="BZ100" i="5"/>
  <c r="BZ101" i="5"/>
  <c r="BZ102" i="5"/>
  <c r="BZ103" i="5"/>
  <c r="BZ104" i="5"/>
  <c r="BZ105" i="5"/>
  <c r="BZ106" i="5"/>
  <c r="BZ107" i="5"/>
  <c r="BZ108" i="5"/>
  <c r="BZ109" i="5"/>
  <c r="BZ110" i="5"/>
  <c r="BZ111" i="5"/>
  <c r="BZ112" i="5"/>
  <c r="BZ113" i="5"/>
  <c r="BZ114" i="5"/>
  <c r="BZ115" i="5"/>
  <c r="BZ116" i="5"/>
  <c r="BZ117" i="5"/>
  <c r="BZ118" i="5"/>
  <c r="BZ119" i="5"/>
  <c r="BZ120" i="5"/>
  <c r="BZ121" i="5"/>
  <c r="BZ122" i="5"/>
  <c r="BZ123" i="5"/>
  <c r="BZ124" i="5"/>
  <c r="BZ125" i="5"/>
  <c r="BZ126" i="5"/>
  <c r="BZ127" i="5"/>
  <c r="BZ128" i="5"/>
  <c r="BZ129" i="5"/>
  <c r="BZ130" i="5"/>
  <c r="BZ131" i="5"/>
  <c r="BZ132" i="5"/>
  <c r="BZ133" i="5"/>
  <c r="BZ134" i="5"/>
  <c r="BZ135" i="5"/>
  <c r="BZ136" i="5"/>
  <c r="BZ137" i="5"/>
  <c r="BZ138" i="5"/>
  <c r="BZ139" i="5"/>
  <c r="BZ140" i="5"/>
  <c r="BZ141" i="5"/>
  <c r="BZ142" i="5"/>
  <c r="BZ143" i="5"/>
  <c r="BZ144" i="5"/>
  <c r="BZ145" i="5"/>
  <c r="BZ146" i="5"/>
  <c r="BZ147" i="5"/>
  <c r="BZ148" i="5"/>
  <c r="BZ149" i="5"/>
  <c r="BZ150" i="5"/>
  <c r="BZ151" i="5"/>
  <c r="BZ152" i="5"/>
  <c r="BZ153" i="5"/>
  <c r="BZ154" i="5"/>
  <c r="BZ155" i="5"/>
  <c r="BZ156" i="5"/>
  <c r="BZ157" i="5"/>
  <c r="BZ158" i="5"/>
  <c r="BZ159" i="5"/>
  <c r="BZ160" i="5"/>
  <c r="BZ161" i="5"/>
  <c r="BZ162" i="5"/>
  <c r="H25" i="5" l="1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60" i="6"/>
  <c r="L60" i="6"/>
  <c r="J60" i="6"/>
  <c r="M60" i="6"/>
  <c r="K61" i="6"/>
  <c r="L61" i="6"/>
  <c r="J61" i="6"/>
  <c r="M61" i="6"/>
  <c r="K62" i="6"/>
  <c r="L62" i="6"/>
  <c r="J62" i="6"/>
  <c r="M62" i="6"/>
  <c r="K63" i="6"/>
  <c r="L63" i="6"/>
  <c r="J63" i="6"/>
  <c r="M63" i="6"/>
  <c r="K64" i="6"/>
  <c r="L64" i="6"/>
  <c r="J64" i="6"/>
  <c r="M64" i="6"/>
  <c r="K65" i="6"/>
  <c r="L65" i="6"/>
  <c r="J65" i="6"/>
  <c r="M65" i="6"/>
  <c r="K66" i="6"/>
  <c r="L66" i="6"/>
  <c r="J66" i="6"/>
  <c r="M66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L7" i="6"/>
  <c r="M7" i="6"/>
  <c r="L8" i="6"/>
  <c r="M8" i="6"/>
  <c r="L9" i="6"/>
  <c r="M9" i="6"/>
  <c r="L10" i="6"/>
  <c r="M10" i="6"/>
  <c r="L11" i="6"/>
  <c r="M11" i="6"/>
  <c r="L12" i="6"/>
  <c r="M12" i="6"/>
  <c r="L13" i="6"/>
  <c r="M13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K56" i="6"/>
  <c r="L56" i="6"/>
  <c r="M56" i="6"/>
  <c r="K57" i="6"/>
  <c r="L57" i="6"/>
  <c r="M57" i="6"/>
  <c r="K58" i="6"/>
  <c r="L58" i="6"/>
  <c r="M58" i="6"/>
  <c r="K59" i="6"/>
  <c r="L59" i="6"/>
  <c r="M59" i="6"/>
  <c r="M6" i="6"/>
  <c r="L6" i="6"/>
  <c r="CA166" i="5" l="1"/>
  <c r="BY166" i="5"/>
  <c r="BX166" i="5"/>
  <c r="CA165" i="5"/>
  <c r="BY165" i="5"/>
  <c r="BX165" i="5"/>
  <c r="CA164" i="5"/>
  <c r="BY164" i="5"/>
  <c r="BX164" i="5"/>
  <c r="CA163" i="5"/>
  <c r="BY163" i="5"/>
  <c r="BX163" i="5"/>
  <c r="CA162" i="5"/>
  <c r="BY162" i="5"/>
  <c r="BX162" i="5"/>
  <c r="CA161" i="5"/>
  <c r="BY161" i="5"/>
  <c r="BX161" i="5"/>
  <c r="CA160" i="5"/>
  <c r="BY160" i="5"/>
  <c r="BX160" i="5"/>
  <c r="CA159" i="5"/>
  <c r="BY159" i="5"/>
  <c r="BX159" i="5"/>
  <c r="CA158" i="5"/>
  <c r="BY158" i="5"/>
  <c r="BX158" i="5"/>
  <c r="CA157" i="5"/>
  <c r="BY157" i="5"/>
  <c r="BX157" i="5"/>
  <c r="CA156" i="5"/>
  <c r="BY156" i="5"/>
  <c r="BX156" i="5"/>
  <c r="CA155" i="5"/>
  <c r="BY155" i="5"/>
  <c r="BX155" i="5"/>
  <c r="CA154" i="5"/>
  <c r="BY154" i="5"/>
  <c r="BX154" i="5"/>
  <c r="CA153" i="5"/>
  <c r="BY153" i="5"/>
  <c r="BX153" i="5"/>
  <c r="CA152" i="5"/>
  <c r="BY152" i="5"/>
  <c r="BX152" i="5"/>
  <c r="CA151" i="5"/>
  <c r="BY151" i="5"/>
  <c r="BX151" i="5"/>
  <c r="CA150" i="5"/>
  <c r="BY150" i="5"/>
  <c r="BX150" i="5"/>
  <c r="CA149" i="5"/>
  <c r="BY149" i="5"/>
  <c r="BX149" i="5"/>
  <c r="CA148" i="5"/>
  <c r="BY148" i="5"/>
  <c r="BX148" i="5"/>
  <c r="CA147" i="5"/>
  <c r="BY147" i="5"/>
  <c r="BX147" i="5"/>
  <c r="CA146" i="5"/>
  <c r="BY146" i="5"/>
  <c r="BX146" i="5"/>
  <c r="CA145" i="5"/>
  <c r="BY145" i="5"/>
  <c r="BX145" i="5"/>
  <c r="CA144" i="5"/>
  <c r="BY144" i="5"/>
  <c r="BX144" i="5"/>
  <c r="CA143" i="5"/>
  <c r="BY143" i="5"/>
  <c r="BX143" i="5"/>
  <c r="CA142" i="5"/>
  <c r="BY142" i="5"/>
  <c r="BX142" i="5"/>
  <c r="CB141" i="5"/>
  <c r="CA141" i="5"/>
  <c r="BY141" i="5"/>
  <c r="BX141" i="5"/>
  <c r="CB140" i="5"/>
  <c r="CA140" i="5"/>
  <c r="BY140" i="5"/>
  <c r="BX140" i="5"/>
  <c r="CB139" i="5"/>
  <c r="CA139" i="5"/>
  <c r="BY139" i="5"/>
  <c r="BX139" i="5"/>
  <c r="CB138" i="5"/>
  <c r="CA138" i="5"/>
  <c r="BY138" i="5"/>
  <c r="BX138" i="5"/>
  <c r="CB137" i="5"/>
  <c r="CA137" i="5"/>
  <c r="BY137" i="5"/>
  <c r="BX137" i="5"/>
  <c r="CB136" i="5"/>
  <c r="CA136" i="5"/>
  <c r="BY136" i="5"/>
  <c r="BX136" i="5"/>
  <c r="CB135" i="5"/>
  <c r="CA135" i="5"/>
  <c r="BY135" i="5"/>
  <c r="BX135" i="5"/>
  <c r="CB134" i="5"/>
  <c r="CA134" i="5"/>
  <c r="BY134" i="5"/>
  <c r="BX134" i="5"/>
  <c r="CB133" i="5"/>
  <c r="CA133" i="5"/>
  <c r="BY133" i="5"/>
  <c r="BX133" i="5"/>
  <c r="CB132" i="5"/>
  <c r="CA132" i="5"/>
  <c r="BY132" i="5"/>
  <c r="BX132" i="5"/>
  <c r="CB131" i="5"/>
  <c r="CA131" i="5"/>
  <c r="BY131" i="5"/>
  <c r="BX131" i="5"/>
  <c r="CB130" i="5"/>
  <c r="CA130" i="5"/>
  <c r="BY130" i="5"/>
  <c r="BX130" i="5"/>
  <c r="CB129" i="5"/>
  <c r="CA129" i="5"/>
  <c r="BY129" i="5"/>
  <c r="BX129" i="5"/>
  <c r="CB128" i="5"/>
  <c r="CA128" i="5"/>
  <c r="BY128" i="5"/>
  <c r="BX128" i="5"/>
  <c r="CB127" i="5"/>
  <c r="CA127" i="5"/>
  <c r="BY127" i="5"/>
  <c r="BX127" i="5"/>
  <c r="CB126" i="5"/>
  <c r="CA126" i="5"/>
  <c r="BY126" i="5"/>
  <c r="BX126" i="5"/>
  <c r="CB125" i="5"/>
  <c r="CA125" i="5"/>
  <c r="BY125" i="5"/>
  <c r="BX125" i="5"/>
  <c r="CB124" i="5"/>
  <c r="CA124" i="5"/>
  <c r="BY124" i="5"/>
  <c r="BX124" i="5"/>
  <c r="CB123" i="5"/>
  <c r="CA123" i="5"/>
  <c r="BY123" i="5"/>
  <c r="BX123" i="5"/>
  <c r="CB122" i="5"/>
  <c r="CA122" i="5"/>
  <c r="BY122" i="5"/>
  <c r="BX122" i="5"/>
  <c r="CB121" i="5"/>
  <c r="CA121" i="5"/>
  <c r="BY121" i="5"/>
  <c r="BX121" i="5"/>
  <c r="CB120" i="5"/>
  <c r="CA120" i="5"/>
  <c r="BY120" i="5"/>
  <c r="BX120" i="5"/>
  <c r="CB119" i="5"/>
  <c r="CA119" i="5"/>
  <c r="BY119" i="5"/>
  <c r="BX119" i="5"/>
  <c r="CB118" i="5"/>
  <c r="CA118" i="5"/>
  <c r="BY118" i="5"/>
  <c r="BX118" i="5"/>
  <c r="CB117" i="5"/>
  <c r="CA117" i="5"/>
  <c r="BY117" i="5"/>
  <c r="BX117" i="5"/>
  <c r="CB116" i="5"/>
  <c r="CA116" i="5"/>
  <c r="BY116" i="5"/>
  <c r="BX116" i="5"/>
  <c r="CB115" i="5"/>
  <c r="CA115" i="5"/>
  <c r="BY115" i="5"/>
  <c r="BX115" i="5"/>
  <c r="CB114" i="5"/>
  <c r="CA114" i="5"/>
  <c r="BY114" i="5"/>
  <c r="BX114" i="5"/>
  <c r="CB113" i="5"/>
  <c r="CA113" i="5"/>
  <c r="BY113" i="5"/>
  <c r="BX113" i="5"/>
  <c r="CB112" i="5"/>
  <c r="CA112" i="5"/>
  <c r="BY112" i="5"/>
  <c r="BX112" i="5"/>
  <c r="CB111" i="5"/>
  <c r="CA111" i="5"/>
  <c r="BY111" i="5"/>
  <c r="BX111" i="5"/>
  <c r="CB110" i="5"/>
  <c r="CA110" i="5"/>
  <c r="BY110" i="5"/>
  <c r="BX110" i="5"/>
  <c r="CB109" i="5"/>
  <c r="CA109" i="5"/>
  <c r="BY109" i="5"/>
  <c r="BX109" i="5"/>
  <c r="CB108" i="5"/>
  <c r="CA108" i="5"/>
  <c r="BY108" i="5"/>
  <c r="BX108" i="5"/>
  <c r="CB107" i="5"/>
  <c r="CA107" i="5"/>
  <c r="BY107" i="5"/>
  <c r="BX107" i="5"/>
  <c r="CB106" i="5"/>
  <c r="CA106" i="5"/>
  <c r="BY106" i="5"/>
  <c r="BX106" i="5"/>
  <c r="CB105" i="5"/>
  <c r="CA105" i="5"/>
  <c r="BY105" i="5"/>
  <c r="BX105" i="5"/>
  <c r="CB104" i="5"/>
  <c r="CA104" i="5"/>
  <c r="BY104" i="5"/>
  <c r="BX104" i="5"/>
  <c r="CB103" i="5"/>
  <c r="CA103" i="5"/>
  <c r="BY103" i="5"/>
  <c r="BX103" i="5"/>
  <c r="CB102" i="5"/>
  <c r="CA102" i="5"/>
  <c r="BY102" i="5"/>
  <c r="BX102" i="5"/>
  <c r="CB101" i="5"/>
  <c r="CA101" i="5"/>
  <c r="BY101" i="5"/>
  <c r="BX101" i="5"/>
  <c r="CB100" i="5"/>
  <c r="CA100" i="5"/>
  <c r="BY100" i="5"/>
  <c r="BX100" i="5"/>
  <c r="CB99" i="5"/>
  <c r="CA99" i="5"/>
  <c r="BY99" i="5"/>
  <c r="BX99" i="5"/>
  <c r="CB98" i="5"/>
  <c r="CA98" i="5"/>
  <c r="BY98" i="5"/>
  <c r="BX98" i="5"/>
  <c r="CB97" i="5"/>
  <c r="CA97" i="5"/>
  <c r="BY97" i="5"/>
  <c r="BX97" i="5"/>
  <c r="CB96" i="5"/>
  <c r="CA96" i="5"/>
  <c r="BY96" i="5"/>
  <c r="BX96" i="5"/>
  <c r="CB95" i="5"/>
  <c r="CA95" i="5"/>
  <c r="BY95" i="5"/>
  <c r="BX95" i="5"/>
  <c r="CB94" i="5"/>
  <c r="CA94" i="5"/>
  <c r="BY94" i="5"/>
  <c r="BX94" i="5"/>
  <c r="CB93" i="5"/>
  <c r="CA93" i="5"/>
  <c r="BY93" i="5"/>
  <c r="BX93" i="5"/>
  <c r="CB92" i="5"/>
  <c r="CA92" i="5"/>
  <c r="BY92" i="5"/>
  <c r="BX92" i="5"/>
  <c r="CB91" i="5"/>
  <c r="CA91" i="5"/>
  <c r="BY91" i="5"/>
  <c r="BX91" i="5"/>
  <c r="CB90" i="5"/>
  <c r="CA90" i="5"/>
  <c r="BY90" i="5"/>
  <c r="BX90" i="5"/>
  <c r="CB89" i="5"/>
  <c r="CA89" i="5"/>
  <c r="BY89" i="5"/>
  <c r="BX89" i="5"/>
  <c r="CB88" i="5"/>
  <c r="CA88" i="5"/>
  <c r="BY88" i="5"/>
  <c r="BX88" i="5"/>
  <c r="CB87" i="5"/>
  <c r="CA87" i="5"/>
  <c r="BY87" i="5"/>
  <c r="BX87" i="5"/>
  <c r="CB86" i="5"/>
  <c r="CA86" i="5"/>
  <c r="BY86" i="5"/>
  <c r="BX86" i="5"/>
  <c r="CB85" i="5"/>
  <c r="CA85" i="5"/>
  <c r="BY85" i="5"/>
  <c r="BX85" i="5"/>
  <c r="CB84" i="5"/>
  <c r="CA84" i="5"/>
  <c r="BY84" i="5"/>
  <c r="BX84" i="5"/>
  <c r="CB83" i="5"/>
  <c r="CA83" i="5"/>
  <c r="BY83" i="5"/>
  <c r="BX83" i="5"/>
  <c r="CB82" i="5"/>
  <c r="CA82" i="5"/>
  <c r="BY82" i="5"/>
  <c r="BX82" i="5"/>
  <c r="CB81" i="5"/>
  <c r="CA81" i="5"/>
  <c r="BY81" i="5"/>
  <c r="BX81" i="5"/>
  <c r="CB80" i="5"/>
  <c r="CA80" i="5"/>
  <c r="BY80" i="5"/>
  <c r="BX80" i="5"/>
  <c r="CB79" i="5"/>
  <c r="CA79" i="5"/>
  <c r="BY79" i="5"/>
  <c r="BX79" i="5"/>
  <c r="CB78" i="5"/>
  <c r="CA78" i="5"/>
  <c r="BY78" i="5"/>
  <c r="BX78" i="5"/>
  <c r="CB77" i="5"/>
  <c r="CA77" i="5"/>
  <c r="BY77" i="5"/>
  <c r="BX77" i="5"/>
  <c r="CB76" i="5"/>
  <c r="CA76" i="5"/>
  <c r="BY76" i="5"/>
  <c r="BX76" i="5"/>
  <c r="CB75" i="5"/>
  <c r="CA75" i="5"/>
  <c r="BY75" i="5"/>
  <c r="BX75" i="5"/>
  <c r="CB74" i="5"/>
  <c r="CA74" i="5"/>
  <c r="BY74" i="5"/>
  <c r="BX74" i="5"/>
  <c r="CB73" i="5"/>
  <c r="CA73" i="5"/>
  <c r="BY73" i="5"/>
  <c r="BX73" i="5"/>
  <c r="CB72" i="5"/>
  <c r="CA72" i="5"/>
  <c r="BY72" i="5"/>
  <c r="BX72" i="5"/>
  <c r="CB71" i="5"/>
  <c r="CA71" i="5"/>
  <c r="BY71" i="5"/>
  <c r="BX71" i="5"/>
  <c r="CB70" i="5"/>
  <c r="CA70" i="5"/>
  <c r="BY70" i="5"/>
  <c r="BX70" i="5"/>
  <c r="CB69" i="5"/>
  <c r="CA69" i="5"/>
  <c r="BY69" i="5"/>
  <c r="BX69" i="5"/>
  <c r="CB68" i="5"/>
  <c r="CA68" i="5"/>
  <c r="BY68" i="5"/>
  <c r="BX68" i="5"/>
  <c r="CB67" i="5"/>
  <c r="CA67" i="5"/>
  <c r="BY67" i="5"/>
  <c r="BX67" i="5"/>
  <c r="CB66" i="5"/>
  <c r="CA66" i="5"/>
  <c r="BY66" i="5"/>
  <c r="BX66" i="5"/>
  <c r="CA65" i="5"/>
  <c r="BY65" i="5"/>
  <c r="BX65" i="5"/>
  <c r="CA64" i="5"/>
  <c r="BY64" i="5"/>
  <c r="BX64" i="5"/>
  <c r="CA63" i="5"/>
  <c r="BY63" i="5"/>
  <c r="BX63" i="5"/>
  <c r="CA62" i="5"/>
  <c r="BY62" i="5"/>
  <c r="BX62" i="5"/>
  <c r="CA61" i="5"/>
  <c r="BY61" i="5"/>
  <c r="BX61" i="5"/>
  <c r="CA60" i="5"/>
  <c r="BY60" i="5"/>
  <c r="BX60" i="5"/>
  <c r="CA59" i="5"/>
  <c r="BY59" i="5"/>
  <c r="BX59" i="5"/>
  <c r="CA58" i="5"/>
  <c r="BY58" i="5"/>
  <c r="BX58" i="5"/>
  <c r="CA57" i="5"/>
  <c r="BY57" i="5"/>
  <c r="BX57" i="5"/>
  <c r="CA56" i="5"/>
  <c r="BY56" i="5"/>
  <c r="BX56" i="5"/>
  <c r="CA55" i="5"/>
  <c r="BZ55" i="5"/>
  <c r="BY55" i="5"/>
  <c r="BX55" i="5"/>
  <c r="CA54" i="5"/>
  <c r="BZ54" i="5"/>
  <c r="BY54" i="5"/>
  <c r="BX54" i="5"/>
  <c r="CB53" i="5"/>
  <c r="CA53" i="5"/>
  <c r="BZ53" i="5"/>
  <c r="BY53" i="5"/>
  <c r="BX53" i="5"/>
  <c r="CB52" i="5"/>
  <c r="CA52" i="5"/>
  <c r="BZ52" i="5"/>
  <c r="BY52" i="5"/>
  <c r="BX52" i="5"/>
  <c r="CB51" i="5"/>
  <c r="CA51" i="5"/>
  <c r="BZ51" i="5"/>
  <c r="BY51" i="5"/>
  <c r="BX51" i="5"/>
  <c r="CB50" i="5"/>
  <c r="CA50" i="5"/>
  <c r="BZ50" i="5"/>
  <c r="BY50" i="5"/>
  <c r="BX50" i="5"/>
  <c r="CB49" i="5"/>
  <c r="CA49" i="5"/>
  <c r="BZ49" i="5"/>
  <c r="BY49" i="5"/>
  <c r="BX49" i="5"/>
  <c r="CB48" i="5"/>
  <c r="CA48" i="5"/>
  <c r="BZ48" i="5"/>
  <c r="BY48" i="5"/>
  <c r="BX48" i="5"/>
  <c r="CB47" i="5"/>
  <c r="CA47" i="5"/>
  <c r="BZ47" i="5"/>
  <c r="BY47" i="5"/>
  <c r="BX47" i="5"/>
  <c r="CB46" i="5"/>
  <c r="CA46" i="5"/>
  <c r="BZ46" i="5"/>
  <c r="BY46" i="5"/>
  <c r="BX46" i="5"/>
  <c r="CB45" i="5"/>
  <c r="CA45" i="5"/>
  <c r="BZ45" i="5"/>
  <c r="BY45" i="5"/>
  <c r="BX45" i="5"/>
  <c r="CB44" i="5"/>
  <c r="CA44" i="5"/>
  <c r="BZ44" i="5"/>
  <c r="BY44" i="5"/>
  <c r="BX44" i="5"/>
  <c r="CB43" i="5"/>
  <c r="CA43" i="5"/>
  <c r="BZ43" i="5"/>
  <c r="BY43" i="5"/>
  <c r="BX43" i="5"/>
  <c r="CB42" i="5"/>
  <c r="CA42" i="5"/>
  <c r="BZ42" i="5"/>
  <c r="BY42" i="5"/>
  <c r="BX42" i="5"/>
  <c r="CB41" i="5"/>
  <c r="CA41" i="5"/>
  <c r="BZ41" i="5"/>
  <c r="BY41" i="5"/>
  <c r="BX41" i="5"/>
  <c r="CB40" i="5"/>
  <c r="CA40" i="5"/>
  <c r="BZ40" i="5"/>
  <c r="BY40" i="5"/>
  <c r="BX40" i="5"/>
  <c r="CB39" i="5"/>
  <c r="CA39" i="5"/>
  <c r="BZ39" i="5"/>
  <c r="BY39" i="5"/>
  <c r="BX39" i="5"/>
  <c r="CB38" i="5"/>
  <c r="CA38" i="5"/>
  <c r="BZ38" i="5"/>
  <c r="BY38" i="5"/>
  <c r="BX38" i="5"/>
  <c r="CB37" i="5"/>
  <c r="CA37" i="5"/>
  <c r="BZ37" i="5"/>
  <c r="BY37" i="5"/>
  <c r="BX37" i="5"/>
  <c r="CB36" i="5"/>
  <c r="CA36" i="5"/>
  <c r="BZ36" i="5"/>
  <c r="BY36" i="5"/>
  <c r="BX36" i="5"/>
  <c r="CB35" i="5"/>
  <c r="CA35" i="5"/>
  <c r="BZ35" i="5"/>
  <c r="BY35" i="5"/>
  <c r="BX35" i="5"/>
  <c r="CB34" i="5"/>
  <c r="CA34" i="5"/>
  <c r="BZ34" i="5"/>
  <c r="BY34" i="5"/>
  <c r="BX34" i="5"/>
  <c r="CB33" i="5"/>
  <c r="CA33" i="5"/>
  <c r="BZ33" i="5"/>
  <c r="BY33" i="5"/>
  <c r="BX33" i="5"/>
  <c r="CB32" i="5"/>
  <c r="CA32" i="5"/>
  <c r="BZ32" i="5"/>
  <c r="BY32" i="5"/>
  <c r="BX32" i="5"/>
  <c r="CB31" i="5"/>
  <c r="CA31" i="5"/>
  <c r="BZ31" i="5"/>
  <c r="BY31" i="5"/>
  <c r="BX31" i="5"/>
  <c r="CB30" i="5"/>
  <c r="CA30" i="5"/>
  <c r="BZ30" i="5"/>
  <c r="BY30" i="5"/>
  <c r="BX30" i="5"/>
  <c r="CB29" i="5"/>
  <c r="CA29" i="5"/>
  <c r="BZ29" i="5"/>
  <c r="BY29" i="5"/>
  <c r="BX29" i="5"/>
  <c r="CA28" i="5"/>
  <c r="BZ28" i="5"/>
  <c r="BY28" i="5"/>
  <c r="BX28" i="5"/>
  <c r="CA27" i="5"/>
  <c r="BZ27" i="5"/>
  <c r="BY27" i="5"/>
  <c r="BX27" i="5"/>
  <c r="CA26" i="5"/>
  <c r="BZ26" i="5"/>
  <c r="BY26" i="5"/>
  <c r="BX26" i="5"/>
  <c r="CA25" i="5"/>
  <c r="BZ25" i="5"/>
  <c r="BY25" i="5"/>
  <c r="BX25" i="5"/>
  <c r="AS166" i="5"/>
  <c r="AQ166" i="5"/>
  <c r="AP166" i="5"/>
  <c r="AS165" i="5"/>
  <c r="AQ165" i="5"/>
  <c r="AP165" i="5"/>
  <c r="AS164" i="5"/>
  <c r="AQ164" i="5"/>
  <c r="AP164" i="5"/>
  <c r="AS163" i="5"/>
  <c r="AQ163" i="5"/>
  <c r="AP163" i="5"/>
  <c r="AS162" i="5"/>
  <c r="AQ162" i="5"/>
  <c r="AP162" i="5"/>
  <c r="AS161" i="5"/>
  <c r="AQ161" i="5"/>
  <c r="AP161" i="5"/>
  <c r="AS160" i="5"/>
  <c r="AR160" i="5"/>
  <c r="AQ160" i="5"/>
  <c r="AP160" i="5"/>
  <c r="AS159" i="5"/>
  <c r="AR159" i="5"/>
  <c r="AQ159" i="5"/>
  <c r="AP159" i="5"/>
  <c r="AS158" i="5"/>
  <c r="AR158" i="5"/>
  <c r="AQ158" i="5"/>
  <c r="AP158" i="5"/>
  <c r="AS157" i="5"/>
  <c r="AR157" i="5"/>
  <c r="AQ157" i="5"/>
  <c r="AP157" i="5"/>
  <c r="AS156" i="5"/>
  <c r="AR156" i="5"/>
  <c r="AQ156" i="5"/>
  <c r="AP156" i="5"/>
  <c r="AS155" i="5"/>
  <c r="AR155" i="5"/>
  <c r="AQ155" i="5"/>
  <c r="AP155" i="5"/>
  <c r="AS154" i="5"/>
  <c r="AR154" i="5"/>
  <c r="AQ154" i="5"/>
  <c r="AP154" i="5"/>
  <c r="AS153" i="5"/>
  <c r="AR153" i="5"/>
  <c r="AQ153" i="5"/>
  <c r="AP153" i="5"/>
  <c r="AS152" i="5"/>
  <c r="AR152" i="5"/>
  <c r="AQ152" i="5"/>
  <c r="AP152" i="5"/>
  <c r="AS151" i="5"/>
  <c r="AR151" i="5"/>
  <c r="AQ151" i="5"/>
  <c r="AP151" i="5"/>
  <c r="AS150" i="5"/>
  <c r="AR150" i="5"/>
  <c r="AQ150" i="5"/>
  <c r="AP150" i="5"/>
  <c r="AS149" i="5"/>
  <c r="AR149" i="5"/>
  <c r="AQ149" i="5"/>
  <c r="AP149" i="5"/>
  <c r="AS148" i="5"/>
  <c r="AR148" i="5"/>
  <c r="AQ148" i="5"/>
  <c r="AP148" i="5"/>
  <c r="AS147" i="5"/>
  <c r="AR147" i="5"/>
  <c r="AQ147" i="5"/>
  <c r="AP147" i="5"/>
  <c r="AS146" i="5"/>
  <c r="AR146" i="5"/>
  <c r="AQ146" i="5"/>
  <c r="AP146" i="5"/>
  <c r="AS145" i="5"/>
  <c r="AR145" i="5"/>
  <c r="AQ145" i="5"/>
  <c r="AP145" i="5"/>
  <c r="AS144" i="5"/>
  <c r="AR144" i="5"/>
  <c r="AQ144" i="5"/>
  <c r="AP144" i="5"/>
  <c r="AS143" i="5"/>
  <c r="AR143" i="5"/>
  <c r="AQ143" i="5"/>
  <c r="AP143" i="5"/>
  <c r="AS142" i="5"/>
  <c r="AR142" i="5"/>
  <c r="AQ142" i="5"/>
  <c r="AP142" i="5"/>
  <c r="AT141" i="5"/>
  <c r="AS141" i="5"/>
  <c r="AR141" i="5"/>
  <c r="AQ141" i="5"/>
  <c r="AP141" i="5"/>
  <c r="AT140" i="5"/>
  <c r="AS140" i="5"/>
  <c r="AR140" i="5"/>
  <c r="AQ140" i="5"/>
  <c r="AP140" i="5"/>
  <c r="AT139" i="5"/>
  <c r="AS139" i="5"/>
  <c r="AR139" i="5"/>
  <c r="AQ139" i="5"/>
  <c r="AP139" i="5"/>
  <c r="AT138" i="5"/>
  <c r="AS138" i="5"/>
  <c r="AR138" i="5"/>
  <c r="AQ138" i="5"/>
  <c r="AP138" i="5"/>
  <c r="AT137" i="5"/>
  <c r="AS137" i="5"/>
  <c r="AR137" i="5"/>
  <c r="AQ137" i="5"/>
  <c r="AP137" i="5"/>
  <c r="AT136" i="5"/>
  <c r="AS136" i="5"/>
  <c r="AR136" i="5"/>
  <c r="AQ136" i="5"/>
  <c r="AP136" i="5"/>
  <c r="AT135" i="5"/>
  <c r="AS135" i="5"/>
  <c r="AR135" i="5"/>
  <c r="AQ135" i="5"/>
  <c r="AP135" i="5"/>
  <c r="AT134" i="5"/>
  <c r="AS134" i="5"/>
  <c r="AR134" i="5"/>
  <c r="AQ134" i="5"/>
  <c r="AP134" i="5"/>
  <c r="AT133" i="5"/>
  <c r="AS133" i="5"/>
  <c r="AR133" i="5"/>
  <c r="AQ133" i="5"/>
  <c r="AP133" i="5"/>
  <c r="AT132" i="5"/>
  <c r="AS132" i="5"/>
  <c r="AR132" i="5"/>
  <c r="AQ132" i="5"/>
  <c r="AP132" i="5"/>
  <c r="AT131" i="5"/>
  <c r="AS131" i="5"/>
  <c r="AR131" i="5"/>
  <c r="AQ131" i="5"/>
  <c r="AP131" i="5"/>
  <c r="AT130" i="5"/>
  <c r="AS130" i="5"/>
  <c r="AR130" i="5"/>
  <c r="AQ130" i="5"/>
  <c r="AP130" i="5"/>
  <c r="AT129" i="5"/>
  <c r="AS129" i="5"/>
  <c r="AR129" i="5"/>
  <c r="AQ129" i="5"/>
  <c r="AP129" i="5"/>
  <c r="AT128" i="5"/>
  <c r="AS128" i="5"/>
  <c r="AR128" i="5"/>
  <c r="AQ128" i="5"/>
  <c r="AP128" i="5"/>
  <c r="AT127" i="5"/>
  <c r="AS127" i="5"/>
  <c r="AR127" i="5"/>
  <c r="AQ127" i="5"/>
  <c r="AP127" i="5"/>
  <c r="AT126" i="5"/>
  <c r="AS126" i="5"/>
  <c r="AR126" i="5"/>
  <c r="AQ126" i="5"/>
  <c r="AP126" i="5"/>
  <c r="AT125" i="5"/>
  <c r="AS125" i="5"/>
  <c r="AR125" i="5"/>
  <c r="AQ125" i="5"/>
  <c r="AP125" i="5"/>
  <c r="AT124" i="5"/>
  <c r="AS124" i="5"/>
  <c r="AR124" i="5"/>
  <c r="AQ124" i="5"/>
  <c r="AP124" i="5"/>
  <c r="AT123" i="5"/>
  <c r="AS123" i="5"/>
  <c r="AR123" i="5"/>
  <c r="AQ123" i="5"/>
  <c r="AP123" i="5"/>
  <c r="AT122" i="5"/>
  <c r="AS122" i="5"/>
  <c r="AR122" i="5"/>
  <c r="AQ122" i="5"/>
  <c r="AP122" i="5"/>
  <c r="AT121" i="5"/>
  <c r="AS121" i="5"/>
  <c r="AR121" i="5"/>
  <c r="AQ121" i="5"/>
  <c r="AP121" i="5"/>
  <c r="AT120" i="5"/>
  <c r="AS120" i="5"/>
  <c r="AR120" i="5"/>
  <c r="AQ120" i="5"/>
  <c r="AP120" i="5"/>
  <c r="AT119" i="5"/>
  <c r="AS119" i="5"/>
  <c r="AR119" i="5"/>
  <c r="AQ119" i="5"/>
  <c r="AP119" i="5"/>
  <c r="AT118" i="5"/>
  <c r="AS118" i="5"/>
  <c r="AR118" i="5"/>
  <c r="AQ118" i="5"/>
  <c r="AP118" i="5"/>
  <c r="AT117" i="5"/>
  <c r="AS117" i="5"/>
  <c r="AR117" i="5"/>
  <c r="AQ117" i="5"/>
  <c r="AP117" i="5"/>
  <c r="AT116" i="5"/>
  <c r="AS116" i="5"/>
  <c r="AR116" i="5"/>
  <c r="AQ116" i="5"/>
  <c r="AP116" i="5"/>
  <c r="AT115" i="5"/>
  <c r="AS115" i="5"/>
  <c r="AR115" i="5"/>
  <c r="AQ115" i="5"/>
  <c r="AP115" i="5"/>
  <c r="AT114" i="5"/>
  <c r="AS114" i="5"/>
  <c r="AR114" i="5"/>
  <c r="AQ114" i="5"/>
  <c r="AP114" i="5"/>
  <c r="AT113" i="5"/>
  <c r="AS113" i="5"/>
  <c r="AR113" i="5"/>
  <c r="AQ113" i="5"/>
  <c r="AP113" i="5"/>
  <c r="AT112" i="5"/>
  <c r="AS112" i="5"/>
  <c r="AR112" i="5"/>
  <c r="AQ112" i="5"/>
  <c r="AP112" i="5"/>
  <c r="AT111" i="5"/>
  <c r="AS111" i="5"/>
  <c r="AR111" i="5"/>
  <c r="AQ111" i="5"/>
  <c r="AP111" i="5"/>
  <c r="AT110" i="5"/>
  <c r="AS110" i="5"/>
  <c r="AR110" i="5"/>
  <c r="AQ110" i="5"/>
  <c r="AP110" i="5"/>
  <c r="AT109" i="5"/>
  <c r="AS109" i="5"/>
  <c r="AR109" i="5"/>
  <c r="AQ109" i="5"/>
  <c r="AP109" i="5"/>
  <c r="AT108" i="5"/>
  <c r="AS108" i="5"/>
  <c r="AR108" i="5"/>
  <c r="AQ108" i="5"/>
  <c r="AP108" i="5"/>
  <c r="AT107" i="5"/>
  <c r="AS107" i="5"/>
  <c r="AR107" i="5"/>
  <c r="AQ107" i="5"/>
  <c r="AP107" i="5"/>
  <c r="AT106" i="5"/>
  <c r="AS106" i="5"/>
  <c r="AR106" i="5"/>
  <c r="AQ106" i="5"/>
  <c r="AP106" i="5"/>
  <c r="AT105" i="5"/>
  <c r="AS105" i="5"/>
  <c r="AR105" i="5"/>
  <c r="AQ105" i="5"/>
  <c r="AP105" i="5"/>
  <c r="AT104" i="5"/>
  <c r="AS104" i="5"/>
  <c r="AR104" i="5"/>
  <c r="AQ104" i="5"/>
  <c r="AP104" i="5"/>
  <c r="AT103" i="5"/>
  <c r="AS103" i="5"/>
  <c r="AR103" i="5"/>
  <c r="AQ103" i="5"/>
  <c r="AP103" i="5"/>
  <c r="AT102" i="5"/>
  <c r="AS102" i="5"/>
  <c r="AR102" i="5"/>
  <c r="AQ102" i="5"/>
  <c r="AP102" i="5"/>
  <c r="AT101" i="5"/>
  <c r="AS101" i="5"/>
  <c r="AR101" i="5"/>
  <c r="AQ101" i="5"/>
  <c r="AP101" i="5"/>
  <c r="AT100" i="5"/>
  <c r="AS100" i="5"/>
  <c r="AR100" i="5"/>
  <c r="AQ100" i="5"/>
  <c r="AP100" i="5"/>
  <c r="AT99" i="5"/>
  <c r="AS99" i="5"/>
  <c r="AR99" i="5"/>
  <c r="AQ99" i="5"/>
  <c r="AP99" i="5"/>
  <c r="AT98" i="5"/>
  <c r="AS98" i="5"/>
  <c r="AR98" i="5"/>
  <c r="AQ98" i="5"/>
  <c r="AP98" i="5"/>
  <c r="AT97" i="5"/>
  <c r="AS97" i="5"/>
  <c r="AR97" i="5"/>
  <c r="AQ97" i="5"/>
  <c r="AP97" i="5"/>
  <c r="AT96" i="5"/>
  <c r="AS96" i="5"/>
  <c r="AR96" i="5"/>
  <c r="AQ96" i="5"/>
  <c r="AP96" i="5"/>
  <c r="AT95" i="5"/>
  <c r="AS95" i="5"/>
  <c r="AR95" i="5"/>
  <c r="AQ95" i="5"/>
  <c r="AP95" i="5"/>
  <c r="AT94" i="5"/>
  <c r="AS94" i="5"/>
  <c r="AR94" i="5"/>
  <c r="AQ94" i="5"/>
  <c r="AP94" i="5"/>
  <c r="AT93" i="5"/>
  <c r="AS93" i="5"/>
  <c r="AR93" i="5"/>
  <c r="AQ93" i="5"/>
  <c r="AP93" i="5"/>
  <c r="AT92" i="5"/>
  <c r="AS92" i="5"/>
  <c r="AR92" i="5"/>
  <c r="AQ92" i="5"/>
  <c r="AP92" i="5"/>
  <c r="AT91" i="5"/>
  <c r="AS91" i="5"/>
  <c r="AR91" i="5"/>
  <c r="AQ91" i="5"/>
  <c r="AP91" i="5"/>
  <c r="AT90" i="5"/>
  <c r="AS90" i="5"/>
  <c r="AR90" i="5"/>
  <c r="AQ90" i="5"/>
  <c r="AP90" i="5"/>
  <c r="AT89" i="5"/>
  <c r="AS89" i="5"/>
  <c r="AR89" i="5"/>
  <c r="AQ89" i="5"/>
  <c r="AP89" i="5"/>
  <c r="AT88" i="5"/>
  <c r="AS88" i="5"/>
  <c r="AR88" i="5"/>
  <c r="AQ88" i="5"/>
  <c r="AP88" i="5"/>
  <c r="AT87" i="5"/>
  <c r="AS87" i="5"/>
  <c r="AR87" i="5"/>
  <c r="AQ87" i="5"/>
  <c r="AP87" i="5"/>
  <c r="AT86" i="5"/>
  <c r="AS86" i="5"/>
  <c r="AR86" i="5"/>
  <c r="AQ86" i="5"/>
  <c r="AP86" i="5"/>
  <c r="AT85" i="5"/>
  <c r="AS85" i="5"/>
  <c r="AR85" i="5"/>
  <c r="AQ85" i="5"/>
  <c r="AP85" i="5"/>
  <c r="AT84" i="5"/>
  <c r="AS84" i="5"/>
  <c r="AR84" i="5"/>
  <c r="AQ84" i="5"/>
  <c r="AP84" i="5"/>
  <c r="AT83" i="5"/>
  <c r="AS83" i="5"/>
  <c r="AR83" i="5"/>
  <c r="AQ83" i="5"/>
  <c r="AP83" i="5"/>
  <c r="AT82" i="5"/>
  <c r="AS82" i="5"/>
  <c r="AR82" i="5"/>
  <c r="AQ82" i="5"/>
  <c r="AP82" i="5"/>
  <c r="AT81" i="5"/>
  <c r="AS81" i="5"/>
  <c r="AR81" i="5"/>
  <c r="AQ81" i="5"/>
  <c r="AP81" i="5"/>
  <c r="AT80" i="5"/>
  <c r="AS80" i="5"/>
  <c r="AR80" i="5"/>
  <c r="AQ80" i="5"/>
  <c r="AP80" i="5"/>
  <c r="AT79" i="5"/>
  <c r="AS79" i="5"/>
  <c r="AR79" i="5"/>
  <c r="AQ79" i="5"/>
  <c r="AP79" i="5"/>
  <c r="AT78" i="5"/>
  <c r="AS78" i="5"/>
  <c r="AR78" i="5"/>
  <c r="AQ78" i="5"/>
  <c r="AP78" i="5"/>
  <c r="AT77" i="5"/>
  <c r="AS77" i="5"/>
  <c r="AR77" i="5"/>
  <c r="AQ77" i="5"/>
  <c r="AP77" i="5"/>
  <c r="AT76" i="5"/>
  <c r="AS76" i="5"/>
  <c r="AR76" i="5"/>
  <c r="AQ76" i="5"/>
  <c r="AP76" i="5"/>
  <c r="AT75" i="5"/>
  <c r="AS75" i="5"/>
  <c r="AR75" i="5"/>
  <c r="AQ75" i="5"/>
  <c r="AP75" i="5"/>
  <c r="AT74" i="5"/>
  <c r="AS74" i="5"/>
  <c r="AR74" i="5"/>
  <c r="AQ74" i="5"/>
  <c r="AP74" i="5"/>
  <c r="AT73" i="5"/>
  <c r="AS73" i="5"/>
  <c r="AR73" i="5"/>
  <c r="AQ73" i="5"/>
  <c r="AP73" i="5"/>
  <c r="AT72" i="5"/>
  <c r="AS72" i="5"/>
  <c r="AR72" i="5"/>
  <c r="AQ72" i="5"/>
  <c r="AP72" i="5"/>
  <c r="AT71" i="5"/>
  <c r="AS71" i="5"/>
  <c r="AR71" i="5"/>
  <c r="AQ71" i="5"/>
  <c r="AP71" i="5"/>
  <c r="AT70" i="5"/>
  <c r="AS70" i="5"/>
  <c r="AR70" i="5"/>
  <c r="AQ70" i="5"/>
  <c r="AP70" i="5"/>
  <c r="AT69" i="5"/>
  <c r="AS69" i="5"/>
  <c r="AR69" i="5"/>
  <c r="AQ69" i="5"/>
  <c r="AP69" i="5"/>
  <c r="AT68" i="5"/>
  <c r="AS68" i="5"/>
  <c r="AR68" i="5"/>
  <c r="AQ68" i="5"/>
  <c r="AP68" i="5"/>
  <c r="AT67" i="5"/>
  <c r="AS67" i="5"/>
  <c r="AR67" i="5"/>
  <c r="AQ67" i="5"/>
  <c r="AP67" i="5"/>
  <c r="AT66" i="5"/>
  <c r="AS66" i="5"/>
  <c r="AR66" i="5"/>
  <c r="AQ66" i="5"/>
  <c r="AP66" i="5"/>
  <c r="AS65" i="5"/>
  <c r="AR65" i="5"/>
  <c r="AQ65" i="5"/>
  <c r="AP65" i="5"/>
  <c r="AS64" i="5"/>
  <c r="AR64" i="5"/>
  <c r="AQ64" i="5"/>
  <c r="AP64" i="5"/>
  <c r="AS63" i="5"/>
  <c r="AR63" i="5"/>
  <c r="AQ63" i="5"/>
  <c r="AP63" i="5"/>
  <c r="AS62" i="5"/>
  <c r="AR62" i="5"/>
  <c r="AQ62" i="5"/>
  <c r="AP62" i="5"/>
  <c r="AS61" i="5"/>
  <c r="AR61" i="5"/>
  <c r="AQ61" i="5"/>
  <c r="AP61" i="5"/>
  <c r="AS60" i="5"/>
  <c r="AR60" i="5"/>
  <c r="AQ60" i="5"/>
  <c r="AP60" i="5"/>
  <c r="AS59" i="5"/>
  <c r="AR59" i="5"/>
  <c r="AQ59" i="5"/>
  <c r="AP59" i="5"/>
  <c r="AS58" i="5"/>
  <c r="AR58" i="5"/>
  <c r="AQ58" i="5"/>
  <c r="AP58" i="5"/>
  <c r="AS57" i="5"/>
  <c r="AR57" i="5"/>
  <c r="AQ57" i="5"/>
  <c r="AP57" i="5"/>
  <c r="AS56" i="5"/>
  <c r="AR56" i="5"/>
  <c r="AQ56" i="5"/>
  <c r="AP56" i="5"/>
  <c r="AS55" i="5"/>
  <c r="AR55" i="5"/>
  <c r="AQ55" i="5"/>
  <c r="AP55" i="5"/>
  <c r="AS54" i="5"/>
  <c r="AR54" i="5"/>
  <c r="AQ54" i="5"/>
  <c r="AP54" i="5"/>
  <c r="AT53" i="5"/>
  <c r="AS53" i="5"/>
  <c r="AR53" i="5"/>
  <c r="AQ53" i="5"/>
  <c r="AP53" i="5"/>
  <c r="AT52" i="5"/>
  <c r="AS52" i="5"/>
  <c r="AR52" i="5"/>
  <c r="AQ52" i="5"/>
  <c r="AP52" i="5"/>
  <c r="AT51" i="5"/>
  <c r="AS51" i="5"/>
  <c r="AR51" i="5"/>
  <c r="AQ51" i="5"/>
  <c r="AP51" i="5"/>
  <c r="AT50" i="5"/>
  <c r="AS50" i="5"/>
  <c r="AR50" i="5"/>
  <c r="AQ50" i="5"/>
  <c r="AP50" i="5"/>
  <c r="AT49" i="5"/>
  <c r="AS49" i="5"/>
  <c r="AR49" i="5"/>
  <c r="AQ49" i="5"/>
  <c r="AP49" i="5"/>
  <c r="AT48" i="5"/>
  <c r="AS48" i="5"/>
  <c r="AR48" i="5"/>
  <c r="AQ48" i="5"/>
  <c r="AP48" i="5"/>
  <c r="AT47" i="5"/>
  <c r="AS47" i="5"/>
  <c r="AR47" i="5"/>
  <c r="AQ47" i="5"/>
  <c r="AP47" i="5"/>
  <c r="AT46" i="5"/>
  <c r="AS46" i="5"/>
  <c r="AR46" i="5"/>
  <c r="AQ46" i="5"/>
  <c r="AP46" i="5"/>
  <c r="AT45" i="5"/>
  <c r="AS45" i="5"/>
  <c r="AR45" i="5"/>
  <c r="AQ45" i="5"/>
  <c r="AP45" i="5"/>
  <c r="AT44" i="5"/>
  <c r="AS44" i="5"/>
  <c r="AR44" i="5"/>
  <c r="AQ44" i="5"/>
  <c r="AP44" i="5"/>
  <c r="AT43" i="5"/>
  <c r="AS43" i="5"/>
  <c r="AR43" i="5"/>
  <c r="AQ43" i="5"/>
  <c r="AP43" i="5"/>
  <c r="AT42" i="5"/>
  <c r="AS42" i="5"/>
  <c r="AR42" i="5"/>
  <c r="AQ42" i="5"/>
  <c r="AP42" i="5"/>
  <c r="AT41" i="5"/>
  <c r="AS41" i="5"/>
  <c r="AR41" i="5"/>
  <c r="AQ41" i="5"/>
  <c r="AP41" i="5"/>
  <c r="AT40" i="5"/>
  <c r="AS40" i="5"/>
  <c r="AR40" i="5"/>
  <c r="AQ40" i="5"/>
  <c r="AP40" i="5"/>
  <c r="AT39" i="5"/>
  <c r="AS39" i="5"/>
  <c r="AR39" i="5"/>
  <c r="AQ39" i="5"/>
  <c r="AP39" i="5"/>
  <c r="AT38" i="5"/>
  <c r="AS38" i="5"/>
  <c r="AR38" i="5"/>
  <c r="AQ38" i="5"/>
  <c r="AP38" i="5"/>
  <c r="AT37" i="5"/>
  <c r="AS37" i="5"/>
  <c r="AR37" i="5"/>
  <c r="AQ37" i="5"/>
  <c r="AP37" i="5"/>
  <c r="AT36" i="5"/>
  <c r="AS36" i="5"/>
  <c r="AR36" i="5"/>
  <c r="AQ36" i="5"/>
  <c r="AP36" i="5"/>
  <c r="AT35" i="5"/>
  <c r="AS35" i="5"/>
  <c r="AR35" i="5"/>
  <c r="AQ35" i="5"/>
  <c r="AP35" i="5"/>
  <c r="AT34" i="5"/>
  <c r="AS34" i="5"/>
  <c r="AR34" i="5"/>
  <c r="AQ34" i="5"/>
  <c r="AP34" i="5"/>
  <c r="AT33" i="5"/>
  <c r="AS33" i="5"/>
  <c r="AR33" i="5"/>
  <c r="AQ33" i="5"/>
  <c r="AP33" i="5"/>
  <c r="AT32" i="5"/>
  <c r="AS32" i="5"/>
  <c r="AR32" i="5"/>
  <c r="AQ32" i="5"/>
  <c r="AP32" i="5"/>
  <c r="AT31" i="5"/>
  <c r="AS31" i="5"/>
  <c r="AR31" i="5"/>
  <c r="AQ31" i="5"/>
  <c r="AP31" i="5"/>
  <c r="AT30" i="5"/>
  <c r="AS30" i="5"/>
  <c r="AR30" i="5"/>
  <c r="AQ30" i="5"/>
  <c r="AP30" i="5"/>
  <c r="AT29" i="5"/>
  <c r="AS29" i="5"/>
  <c r="AR29" i="5"/>
  <c r="AQ29" i="5"/>
  <c r="AP29" i="5"/>
  <c r="AS28" i="5"/>
  <c r="AR28" i="5"/>
  <c r="AQ28" i="5"/>
  <c r="AP28" i="5"/>
  <c r="AS27" i="5"/>
  <c r="AR27" i="5"/>
  <c r="AQ27" i="5"/>
  <c r="AP27" i="5"/>
  <c r="AS26" i="5"/>
  <c r="AR26" i="5"/>
  <c r="AQ26" i="5"/>
  <c r="AP26" i="5"/>
  <c r="AS25" i="5"/>
  <c r="AR25" i="5"/>
  <c r="AQ25" i="5"/>
  <c r="AP25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25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25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26" i="5"/>
  <c r="H27" i="5"/>
  <c r="H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K47" i="1" l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sharedStrings.xml><?xml version="1.0" encoding="utf-8"?>
<sst xmlns="http://schemas.openxmlformats.org/spreadsheetml/2006/main" count="540" uniqueCount="131">
  <si>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</si>
  <si>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</si>
  <si>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</si>
  <si>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</si>
  <si>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</si>
  <si>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</si>
  <si>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</si>
  <si>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</si>
  <si>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</si>
  <si>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</si>
  <si>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</si>
  <si>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</si>
  <si>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</si>
  <si>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</si>
  <si>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</si>
  <si>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</si>
  <si>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</si>
  <si>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</si>
  <si>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</si>
  <si>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</si>
  <si>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</si>
  <si>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</si>
  <si>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</si>
  <si>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</si>
  <si>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</si>
  <si>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</si>
  <si>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</si>
  <si>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</si>
  <si>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</si>
  <si>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</si>
  <si>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</si>
  <si>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</si>
  <si>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</si>
  <si>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</si>
  <si>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</si>
  <si>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</si>
  <si>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</si>
  <si>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</si>
  <si>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</si>
  <si>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</si>
  <si>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</si>
  <si>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</si>
  <si>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</si>
  <si>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</si>
  <si>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</si>
  <si>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</si>
  <si>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</si>
  <si>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</si>
  <si>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</si>
  <si>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</si>
  <si>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</si>
  <si>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</si>
  <si>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</si>
  <si>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</si>
  <si>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</si>
  <si>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</si>
  <si>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</si>
  <si>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</si>
  <si>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</si>
  <si>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</si>
  <si>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</si>
  <si>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</si>
  <si>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</si>
  <si>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</si>
  <si>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</si>
  <si>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</si>
  <si>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</si>
  <si>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</si>
  <si>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</si>
  <si>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</si>
  <si>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</si>
  <si>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</si>
  <si>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</si>
  <si>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</si>
  <si>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</si>
  <si>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</si>
  <si>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</si>
  <si>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</si>
  <si>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</si>
  <si>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</si>
  <si>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</si>
  <si>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waterdepth</t>
  </si>
  <si>
    <t>Identifier</t>
  </si>
  <si>
    <t>Project ID</t>
  </si>
  <si>
    <t>Structure ID</t>
  </si>
  <si>
    <t>comments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</si>
  <si>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</si>
  <si>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</si>
  <si>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</si>
  <si>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</si>
  <si>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</si>
  <si>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</si>
  <si>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</si>
  <si>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</si>
  <si>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</si>
  <si>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</si>
  <si>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</si>
  <si>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</si>
  <si>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</si>
  <si>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</si>
  <si>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</si>
  <si>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</si>
  <si>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</si>
  <si>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</si>
  <si>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</si>
  <si>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</si>
  <si>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</si>
  <si>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</si>
  <si>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</si>
  <si>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</si>
  <si>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</si>
  <si>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</si>
  <si>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TP-sided flange to tower</t>
  </si>
  <si>
    <t>Service Platform</t>
  </si>
  <si>
    <t>Junction Box Platform</t>
  </si>
  <si>
    <t>Internal Access System</t>
  </si>
  <si>
    <t>None</t>
  </si>
  <si>
    <t>Vestas mass</t>
  </si>
  <si>
    <t>C:\Users\aaron.lange\Desktop\Projekte\Geometrie_Converter\GeometrieConverter\databases\raw\MPTP_DP-B2_L0_G3_S2.xlsm</t>
  </si>
  <si>
    <t>MSL</t>
  </si>
  <si>
    <t>SKIRT</t>
  </si>
  <si>
    <t>height reference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</si>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</sst>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90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9" fillId="0" borderId="0" xfId="0" applyFont="1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13" borderId="0" xfId="0" applyFill="1"/>
    <xf numFmtId="168" fontId="0" fillId="0" borderId="0" xfId="0" applyNumberFormat="1"/>
    <xf numFmtId="2" fontId="12" fillId="0" borderId="0" xfId="0" applyNumberFormat="1" applyFont="1" applyAlignment="1" applyProtection="1">
      <alignment horizontal="center" vertical="center"/>
      <protection locked="0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2" fontId="0" fillId="13" borderId="0" xfId="0" applyNumberFormat="1" applyFill="1"/>
    <xf numFmtId="0" fontId="5" fillId="0" borderId="6" xfId="0" applyFont="1" applyBorder="1"/>
    <xf numFmtId="0" fontId="0" fillId="0" borderId="6" xfId="0" applyBorder="1"/>
    <xf numFmtId="2" fontId="0" fillId="0" borderId="0" xfId="0" applyNumberFormat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</cellXfs>
  <cellStyles count="2">
    <cellStyle name="Standard" xfId="0" builtinId="0"/>
    <cellStyle name="Standard 4" xfId="1" xr:uid="{7C2E7282-4006-4D40-8AAC-8E6944058B8E}"/>
  </cellStyles>
  <dxfs count="2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Style="combo" dx="26" noThreeD="1" sel="1" val="0">
  <itemLst>
    <item val="24A535_FEED_DP-A1_L0_G1_S1"/>
  </itemLst>
</formControlPr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CheckBox" checked="Checked" fmlaLink="USE_TP" lockText="1" noThreeD="1"/>
</file>

<file path=xl/ctrlProps/ctrlProp25.xml><?xml version="1.0" encoding="utf-8"?>
<formControlPr xmlns="http://schemas.microsoft.com/office/spreadsheetml/2009/9/main" objectType="CheckBox" checked="Checked" fmlaLink="Use_MP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160020</xdr:rowOff>
        </xdr:from>
        <xdr:to>
          <xdr:col>2</xdr:col>
          <xdr:colOff>190500</xdr:colOff>
          <xdr:row>14</xdr:row>
          <xdr:rowOff>152400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12</xdr:row>
          <xdr:rowOff>30480</xdr:rowOff>
        </xdr:from>
        <xdr:to>
          <xdr:col>1</xdr:col>
          <xdr:colOff>1074420</xdr:colOff>
          <xdr:row>12</xdr:row>
          <xdr:rowOff>274320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22860</xdr:rowOff>
        </xdr:from>
        <xdr:to>
          <xdr:col>14</xdr:col>
          <xdr:colOff>1341120</xdr:colOff>
          <xdr:row>21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10</xdr:row>
          <xdr:rowOff>190500</xdr:rowOff>
        </xdr:from>
        <xdr:to>
          <xdr:col>12</xdr:col>
          <xdr:colOff>579120</xdr:colOff>
          <xdr:row>14</xdr:row>
          <xdr:rowOff>76200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99060</xdr:rowOff>
        </xdr:from>
        <xdr:to>
          <xdr:col>2</xdr:col>
          <xdr:colOff>289560</xdr:colOff>
          <xdr:row>7</xdr:row>
          <xdr:rowOff>175260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13</xdr:row>
          <xdr:rowOff>160020</xdr:rowOff>
        </xdr:from>
        <xdr:to>
          <xdr:col>37</xdr:col>
          <xdr:colOff>373380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30480</xdr:colOff>
          <xdr:row>12</xdr:row>
          <xdr:rowOff>30480</xdr:rowOff>
        </xdr:from>
        <xdr:to>
          <xdr:col>35</xdr:col>
          <xdr:colOff>800100</xdr:colOff>
          <xdr:row>12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38100</xdr:colOff>
          <xdr:row>17</xdr:row>
          <xdr:rowOff>22860</xdr:rowOff>
        </xdr:from>
        <xdr:to>
          <xdr:col>48</xdr:col>
          <xdr:colOff>1341120</xdr:colOff>
          <xdr:row>21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38100</xdr:colOff>
          <xdr:row>11</xdr:row>
          <xdr:rowOff>83820</xdr:rowOff>
        </xdr:from>
        <xdr:to>
          <xdr:col>48</xdr:col>
          <xdr:colOff>1318260</xdr:colOff>
          <xdr:row>15</xdr:row>
          <xdr:rowOff>175260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45720</xdr:colOff>
          <xdr:row>17</xdr:row>
          <xdr:rowOff>22860</xdr:rowOff>
        </xdr:from>
        <xdr:to>
          <xdr:col>46</xdr:col>
          <xdr:colOff>731520</xdr:colOff>
          <xdr:row>21</xdr:row>
          <xdr:rowOff>160020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38100</xdr:colOff>
          <xdr:row>13</xdr:row>
          <xdr:rowOff>160020</xdr:rowOff>
        </xdr:from>
        <xdr:to>
          <xdr:col>71</xdr:col>
          <xdr:colOff>381000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38100</xdr:colOff>
          <xdr:row>12</xdr:row>
          <xdr:rowOff>38100</xdr:rowOff>
        </xdr:from>
        <xdr:to>
          <xdr:col>69</xdr:col>
          <xdr:colOff>792480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868680</xdr:colOff>
          <xdr:row>17</xdr:row>
          <xdr:rowOff>22860</xdr:rowOff>
        </xdr:from>
        <xdr:to>
          <xdr:col>82</xdr:col>
          <xdr:colOff>2171700</xdr:colOff>
          <xdr:row>21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251460</xdr:colOff>
          <xdr:row>17</xdr:row>
          <xdr:rowOff>22860</xdr:rowOff>
        </xdr:from>
        <xdr:to>
          <xdr:col>78</xdr:col>
          <xdr:colOff>716280</xdr:colOff>
          <xdr:row>21</xdr:row>
          <xdr:rowOff>152400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60960</xdr:colOff>
          <xdr:row>16</xdr:row>
          <xdr:rowOff>182880</xdr:rowOff>
        </xdr:from>
        <xdr:to>
          <xdr:col>81</xdr:col>
          <xdr:colOff>746760</xdr:colOff>
          <xdr:row>21</xdr:row>
          <xdr:rowOff>137160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12</xdr:row>
          <xdr:rowOff>38100</xdr:rowOff>
        </xdr:from>
        <xdr:to>
          <xdr:col>2</xdr:col>
          <xdr:colOff>22860</xdr:colOff>
          <xdr:row>12</xdr:row>
          <xdr:rowOff>274320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838200</xdr:colOff>
          <xdr:row>12</xdr:row>
          <xdr:rowOff>22860</xdr:rowOff>
        </xdr:from>
        <xdr:to>
          <xdr:col>36</xdr:col>
          <xdr:colOff>0</xdr:colOff>
          <xdr:row>12</xdr:row>
          <xdr:rowOff>251460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822960</xdr:colOff>
          <xdr:row>12</xdr:row>
          <xdr:rowOff>22860</xdr:rowOff>
        </xdr:from>
        <xdr:to>
          <xdr:col>70</xdr:col>
          <xdr:colOff>7620</xdr:colOff>
          <xdr:row>12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6</xdr:row>
          <xdr:rowOff>22860</xdr:rowOff>
        </xdr:from>
        <xdr:to>
          <xdr:col>3</xdr:col>
          <xdr:colOff>868680</xdr:colOff>
          <xdr:row>8</xdr:row>
          <xdr:rowOff>137160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38100</xdr:rowOff>
        </xdr:from>
        <xdr:to>
          <xdr:col>3</xdr:col>
          <xdr:colOff>944880</xdr:colOff>
          <xdr:row>6</xdr:row>
          <xdr:rowOff>137160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14</xdr:row>
          <xdr:rowOff>0</xdr:rowOff>
        </xdr:from>
        <xdr:to>
          <xdr:col>7</xdr:col>
          <xdr:colOff>708660</xdr:colOff>
          <xdr:row>14</xdr:row>
          <xdr:rowOff>251460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60960</xdr:colOff>
          <xdr:row>14</xdr:row>
          <xdr:rowOff>0</xdr:rowOff>
        </xdr:from>
        <xdr:to>
          <xdr:col>43</xdr:col>
          <xdr:colOff>731520</xdr:colOff>
          <xdr:row>14</xdr:row>
          <xdr:rowOff>251460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8:H19" totalsRowShown="0" headerRowDxfId="229" dataDxfId="228">
  <autoFilter ref="B18:H19" xr:uid="{51AF5F9E-A6E5-4BA1-83BE-2546351DAE06}"/>
  <tableColumns count="7">
    <tableColumn id="1" xr3:uid="{8004DE55-01A0-4AB5-A007-D379F8ED184F}" name="Identifier" dataDxfId="227"/>
    <tableColumn id="2" xr3:uid="{73AEE22B-B9CF-4401-B31E-64902257C6A9}" name="Project ID" dataDxfId="226"/>
    <tableColumn id="3" xr3:uid="{6CD7BEF9-707B-4F7D-A334-46DB51B6F454}" name="Phase" dataDxfId="225"/>
    <tableColumn id="4" xr3:uid="{5572AB9F-884A-4001-85E7-5E708A2DFC71}" name="Structure ID" dataDxfId="224"/>
    <tableColumn id="5" xr3:uid="{AFCB5F1D-C5C1-4D21-A7C0-310C0D52F9E4}" name="waterdepth" dataDxfId="223"/>
    <tableColumn id="6" xr3:uid="{149EEBB8-62A5-42C4-97FD-484848DB0825}" name="height reference" dataDxfId="222"/>
    <tableColumn id="7" xr3:uid="{82ECC3EB-0382-490B-8CE7-963B13E4D1A1}" name="comments" dataDxfId="2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1:H23" totalsRowShown="0" headerRowDxfId="220" dataDxfId="219">
  <autoFilter ref="B21:H23" xr:uid="{58117B73-5FCA-4002-A528-31B3F83BDE75}"/>
  <tableColumns count="7">
    <tableColumn id="1" xr3:uid="{5C484AAB-AA0F-4FBD-9543-28D80EB7F84D}" name="Identifier" dataDxfId="218"/>
    <tableColumn id="2" xr3:uid="{87603448-795E-499B-8754-D6455D5FF52F}" name="Project ID" dataDxfId="217"/>
    <tableColumn id="3" xr3:uid="{51EA6487-4EF3-43A9-B440-34893EEEEAB2}" name="Phase" dataDxfId="216"/>
    <tableColumn id="4" xr3:uid="{4AC48BB5-6D2E-492F-89B1-5662010991A8}" name="Structure ID" dataDxfId="215"/>
    <tableColumn id="5" xr3:uid="{2AE3ED2D-7CAB-45B8-AA43-6197A5DBB9C2}" name="waterdepth" dataDxfId="214"/>
    <tableColumn id="6" xr3:uid="{BC0E3E2E-DE67-4FD9-94E9-5C112B52D3FD}" name="height reference" dataDxfId="213"/>
    <tableColumn id="7" xr3:uid="{16928D7F-3DB7-43BD-BCF5-5C279A3E16F5}" name="comments" dataDxfId="2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4:G49" totalsRowShown="0" headerRowDxfId="211" dataDxfId="210">
  <autoFilter ref="B24:G49" xr:uid="{C9C31EE9-6B44-4D67-9597-BD108F88B355}"/>
  <sortState xmlns:xlrd2="http://schemas.microsoft.com/office/spreadsheetml/2017/richdata2" ref="B25:L49">
    <sortCondition ref="B24:B49"/>
  </sortState>
  <tableColumns count="6">
    <tableColumn id="1" xr3:uid="{15F53C56-04A7-4EA4-A64D-A2A5A78E2AA2}" name="Section" dataDxfId="209"/>
    <tableColumn id="2" xr3:uid="{01B5124C-F6E1-40D2-9236-F2D6BE941DD3}" name="Top [m]" dataDxfId="208"/>
    <tableColumn id="3" xr3:uid="{0537C90E-D320-4AC4-8392-2A7C45CE31A1}" name="Bottom [m]" dataDxfId="207"/>
    <tableColumn id="4" xr3:uid="{3F0DC3DB-26F8-4D70-A358-70EF5E1596F5}" name="D, top [m]" dataDxfId="206"/>
    <tableColumn id="5" xr3:uid="{25F6B1D8-AC49-468F-BDCD-72AC07BB3CD0}" name="D, bottom [m]" dataDxfId="205"/>
    <tableColumn id="6" xr3:uid="{3ED99EE5-BCA8-4244-A3E5-81C6F22A9AB2}" name="t [mm]" dataDxfId="20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Q18:W19" totalsRowShown="0" headerRowDxfId="203" dataDxfId="202">
  <autoFilter ref="Q18:W19" xr:uid="{F46B677D-4D25-4464-BE0D-6A1E644518C5}"/>
  <tableColumns count="7">
    <tableColumn id="1" xr3:uid="{ECD0389F-015D-412B-9FF1-D5BEAAD27FC1}" name="Identifier" dataDxfId="201"/>
    <tableColumn id="2" xr3:uid="{90794316-AE1E-4D40-A728-B5B995A9CF65}" name="Project ID" dataDxfId="200"/>
    <tableColumn id="3" xr3:uid="{B8C9242D-AC32-4E57-A861-DB7E615D6A1C}" name="Phase" dataDxfId="199"/>
    <tableColumn id="4" xr3:uid="{1EEB510B-3010-431D-B8C6-870D9180A629}" name="Structure ID" dataDxfId="198"/>
    <tableColumn id="5" xr3:uid="{B6F5C20C-83C1-4B16-B4D3-933D066BB6A0}" name="waterdepth" dataDxfId="197"/>
    <tableColumn id="6" xr3:uid="{26EA3A2D-14E0-4809-9795-74592B4984AD}" name="height reference" dataDxfId="196"/>
    <tableColumn id="7" xr3:uid="{9AC62F3C-D12C-40A1-8AF4-F7C9B043F1FB}" name="comments" dataDxfId="19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B18:AH20" totalsRowShown="0" headerRowDxfId="194" dataDxfId="193">
  <autoFilter ref="AB18:AH20" xr:uid="{46FD7C67-BF9C-41F4-B134-682EDE7A007C}"/>
  <sortState xmlns:xlrd2="http://schemas.microsoft.com/office/spreadsheetml/2017/richdata2" ref="AB19:AF20">
    <sortCondition descending="1" ref="AD18:AD20"/>
  </sortState>
  <tableColumns count="7">
    <tableColumn id="1" xr3:uid="{43AB1C43-FBC5-42AE-8DFA-4651B77C56A0}" name="Identifier" dataDxfId="192"/>
    <tableColumn id="2" xr3:uid="{75FB6F15-9784-4F9D-9947-41C8E7DD1CC9}" name="Project ID" dataDxfId="191"/>
    <tableColumn id="3" xr3:uid="{DF3379D9-9371-4EDE-B715-A6A40C072275}" name="Phase" dataDxfId="190"/>
    <tableColumn id="4" xr3:uid="{B2F66CA1-64D8-49D4-A1DA-28FD14EC75C2}" name="Structure ID" dataDxfId="189"/>
    <tableColumn id="5" xr3:uid="{E0EC4989-22E7-49A3-8DAC-034A87568E19}" name="waterdepth" dataDxfId="188"/>
    <tableColumn id="6" xr3:uid="{9873A46F-D488-4AA7-BC64-C1E65C65D808}" name="height reference" dataDxfId="187"/>
    <tableColumn id="7" xr3:uid="{CD60E691-17C5-40B2-9E26-571B6CB0C11D}" name="comments" dataDxfId="18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Q24:V49" totalsRowShown="0" headerRowDxfId="185" dataDxfId="184">
  <autoFilter ref="Q24:V49" xr:uid="{186CFF05-2CD9-405C-829A-5AD7B62A8ACE}"/>
  <sortState xmlns:xlrd2="http://schemas.microsoft.com/office/spreadsheetml/2017/richdata2" ref="Q25:AA49">
    <sortCondition ref="Q24:Q49"/>
  </sortState>
  <tableColumns count="6">
    <tableColumn id="1" xr3:uid="{66D6C4E1-74CA-4A30-A085-277EA5E62B3C}" name="Section" dataDxfId="183"/>
    <tableColumn id="2" xr3:uid="{D0F6ECD2-6414-48B2-9B47-1C3B8BAC860B}" name="Top [m]" dataDxfId="182"/>
    <tableColumn id="3" xr3:uid="{575FC20A-0259-4081-83F8-71040557AEA8}" name="Bottom [m]" dataDxfId="181"/>
    <tableColumn id="4" xr3:uid="{529E5CD0-69F2-4E59-86A7-A3E6F1B39E96}" name="D, top [m]" dataDxfId="180"/>
    <tableColumn id="5" xr3:uid="{7F90AAFA-52D7-47DB-A99D-3E3E0AEE6541}" name="D, bottom [m]" dataDxfId="179"/>
    <tableColumn id="6" xr3:uid="{1B01547B-4485-4B79-8DB3-FCEA1C806B60}" name="t [mm]" dataDxfId="17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4:O29" totalsRowShown="0" headerRowDxfId="177" dataDxfId="176">
  <autoFilter ref="M24:O29" xr:uid="{C2F2D263-B298-4967-B7BA-2043D2636A28}"/>
  <tableColumns count="3">
    <tableColumn id="2" xr3:uid="{365B74CD-D14D-4F75-ABA6-B5CBD126E6F2}" name="Elevation [m]" dataDxfId="175"/>
    <tableColumn id="12" xr3:uid="{3CC0B321-8A95-4AEE-8DFB-77DAE8FAB528}" name="Mass [kg]" dataDxfId="174"/>
    <tableColumn id="3" xr3:uid="{29EF80FE-079C-4A10-9ADB-03D595E35311}" name="commment" dataDxfId="17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X24:Z29" totalsRowShown="0" headerRowDxfId="172" dataDxfId="171">
  <autoFilter ref="X24:Z29" xr:uid="{4D5B4094-2520-4C0E-83CB-05269AAFC062}"/>
  <tableColumns count="3">
    <tableColumn id="1" xr3:uid="{C2D9CE8B-C220-46E5-BFE0-3791AC870182}" name="Elevation [m]" dataDxfId="170"/>
    <tableColumn id="2" xr3:uid="{1DE92BEA-EA77-4A06-9EE3-C4BCA53FA4BA}" name="Mass [kg]" dataDxfId="169"/>
    <tableColumn id="3" xr3:uid="{6F0C1064-8277-4D7C-890E-7B7872EA90CF}" name="commment" dataDxfId="16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J18:AP19" totalsRowShown="0" headerRowDxfId="167" dataDxfId="166">
  <autoFilter ref="AJ18:AP19" xr:uid="{0B04AF76-1113-4DD9-A88C-A478EB316C6E}"/>
  <tableColumns count="7">
    <tableColumn id="1" xr3:uid="{58455F34-16BF-4A81-8A57-F2B2E3E28892}" name="Identifier" dataDxfId="165"/>
    <tableColumn id="2" xr3:uid="{BDC511B7-0336-49CC-A0D7-40D96154D38D}" name="Project ID" dataDxfId="164"/>
    <tableColumn id="3" xr3:uid="{2D75BE55-2BF9-456C-AE5A-2A1218318BAA}" name="Phase" dataDxfId="163"/>
    <tableColumn id="4" xr3:uid="{2B0B47A1-6AA2-4D55-8DF5-A88A949DEAB3}" name="Structure ID" dataDxfId="162"/>
    <tableColumn id="5" xr3:uid="{24994B91-D518-4335-8AFB-5B728F5B9A9A}" name="waterdepth" dataDxfId="161"/>
    <tableColumn id="6" xr3:uid="{BC674145-8AD9-4667-B204-310C7780D8BD}" name="height reference" dataDxfId="160"/>
    <tableColumn id="7" xr3:uid="{8574AD8B-5882-49EF-B1C0-6AEBD6820423}" name="comments" dataDxfId="15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J21:AP22" insertRow="1" totalsRowShown="0" headerRowDxfId="158" dataDxfId="157">
  <autoFilter ref="AJ21:AP22" xr:uid="{05DB58A4-E4A6-44E9-9800-F1D5AD7D9AA7}"/>
  <tableColumns count="7">
    <tableColumn id="1" xr3:uid="{2E834674-089F-43C8-8D07-2A374229A7BC}" name="Identifier" dataDxfId="156"/>
    <tableColumn id="2" xr3:uid="{6BEA972F-3506-4C48-AEB4-7F07A56A7185}" name="Project ID" dataDxfId="155"/>
    <tableColumn id="3" xr3:uid="{4E216AD3-8A97-4909-B2FD-78BAAFF0AD26}" name="Phase" dataDxfId="154"/>
    <tableColumn id="4" xr3:uid="{787011D0-F0FA-4EDD-881B-22121DF4902E}" name="Structure ID" dataDxfId="153"/>
    <tableColumn id="5" xr3:uid="{2067DA19-30E8-4DC2-9605-F5989A843C96}" name="waterdepth" dataDxfId="152"/>
    <tableColumn id="6" xr3:uid="{E1008977-49E5-479B-9DB3-40A483860F73}" name="height reference" dataDxfId="151"/>
    <tableColumn id="7" xr3:uid="{F3EB13E3-9193-4095-B8C2-92AB811162B8}" name="comments" dataDxfId="15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J24:AO28" totalsRowShown="0" headerRowDxfId="149" dataDxfId="148">
  <autoFilter ref="AJ24:AO28" xr:uid="{463505FA-4645-4E01-B220-9A826ACB16FB}"/>
  <sortState xmlns:xlrd2="http://schemas.microsoft.com/office/spreadsheetml/2017/richdata2" ref="AJ25:AT49">
    <sortCondition ref="AJ24:AJ49"/>
  </sortState>
  <tableColumns count="6">
    <tableColumn id="1" xr3:uid="{B63189BD-DBD1-4507-A787-F69DD84B759C}" name="Section" dataDxfId="147"/>
    <tableColumn id="2" xr3:uid="{20DD1485-D982-4D84-8836-A1F004AD90A8}" name="Top [m]" dataDxfId="146"/>
    <tableColumn id="3" xr3:uid="{A05F4E1F-5C83-413A-B9BE-2BBE3AB13A3B}" name="Bottom [m]" dataDxfId="145"/>
    <tableColumn id="4" xr3:uid="{EBAC8D31-17F8-4535-9E03-9B656FFD2B81}" name="D, top [m]" dataDxfId="144"/>
    <tableColumn id="5" xr3:uid="{A4A3D92C-C993-453F-AF5C-E4B75CB27682}" name="D, bottom [m]" dataDxfId="143"/>
    <tableColumn id="6" xr3:uid="{32AD350F-83E6-4938-BC67-33A5C8B767FF}" name="t [mm]" dataDxfId="14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Y18:BE19" totalsRowShown="0" headerRowDxfId="141" dataDxfId="140">
  <autoFilter ref="AY18:BE19" xr:uid="{6ED14D31-21E8-495C-899A-C1BE36AC7D57}"/>
  <tableColumns count="7">
    <tableColumn id="1" xr3:uid="{DA9D700C-EEF5-42F6-A311-BAEEF88B1BB7}" name="Identifier" dataDxfId="139"/>
    <tableColumn id="2" xr3:uid="{F3154507-C41A-47B8-8944-C5C95FFA02DB}" name="Project ID" dataDxfId="138"/>
    <tableColumn id="3" xr3:uid="{80771C1F-325D-4BE1-93EC-AEBADAEF8C45}" name="Phase" dataDxfId="137"/>
    <tableColumn id="4" xr3:uid="{58EF9147-D484-4AD2-85BC-FC61A3DF1B06}" name="Structure ID" dataDxfId="136"/>
    <tableColumn id="5" xr3:uid="{08D6C2E1-6DB9-491C-8175-4D57250F03F8}" name="waterdepth" dataDxfId="135"/>
    <tableColumn id="6" xr3:uid="{6D129076-7D09-47E2-9F0F-2301ACE416A2}" name="height reference" dataDxfId="134"/>
    <tableColumn id="7" xr3:uid="{F96CE66F-661C-4D0F-869C-6075FFBE1D63}" name="comments" dataDxfId="1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J18:BP20" totalsRowShown="0" headerRowDxfId="132" dataDxfId="131">
  <autoFilter ref="BJ18:BP20" xr:uid="{C3895FE4-33B0-49A8-99F6-25EAD4C42C05}"/>
  <sortState xmlns:xlrd2="http://schemas.microsoft.com/office/spreadsheetml/2017/richdata2" ref="BJ19:BN20">
    <sortCondition descending="1" ref="BL18:BL20"/>
  </sortState>
  <tableColumns count="7">
    <tableColumn id="1" xr3:uid="{39574F94-1416-4BF2-B8F9-333B3F24B77C}" name="Identifier" dataDxfId="130"/>
    <tableColumn id="2" xr3:uid="{10221FF0-6669-415E-A4C9-1A925A636E0E}" name="Project ID" dataDxfId="129"/>
    <tableColumn id="3" xr3:uid="{51ED7DEE-637C-4EB3-BD51-712CBF1C3A3F}" name="Phase" dataDxfId="128"/>
    <tableColumn id="4" xr3:uid="{1FA8653A-38E1-49B7-812A-65D83A87164E}" name="Structure ID" dataDxfId="127"/>
    <tableColumn id="5" xr3:uid="{6C9EA130-8028-4AEB-8FB2-AF4D80F48270}" name="waterdepth" dataDxfId="126"/>
    <tableColumn id="6" xr3:uid="{83CD3E29-C555-4D73-9F88-767BB7CFEAA2}" name="height reference" dataDxfId="125"/>
    <tableColumn id="7" xr3:uid="{E5776344-EC8E-455B-8C7D-2D48B57F6EF9}" name="comments" dataDxfId="12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Y24:BD28" totalsRowShown="0" headerRowDxfId="123" dataDxfId="122">
  <autoFilter ref="AY24:BD28" xr:uid="{62A1D9C7-47A9-4F63-8343-1C661E8816F7}"/>
  <sortState xmlns:xlrd2="http://schemas.microsoft.com/office/spreadsheetml/2017/richdata2" ref="AY25:BI49">
    <sortCondition ref="AY24:AY49"/>
  </sortState>
  <tableColumns count="6">
    <tableColumn id="1" xr3:uid="{E243C011-FF5E-4AF1-A1B3-9F3C7CF7C9AA}" name="Section" dataDxfId="121"/>
    <tableColumn id="2" xr3:uid="{00F60C63-2770-42C2-B48C-5D66D3C52BC7}" name="Top [m]" dataDxfId="120"/>
    <tableColumn id="3" xr3:uid="{B0C70BDD-2B8F-4EF1-9287-C431F103B9ED}" name="Bottom [m]" dataDxfId="119"/>
    <tableColumn id="4" xr3:uid="{5762D413-3034-4D8C-93B6-FD4630B02B90}" name="D, top [m]" dataDxfId="118"/>
    <tableColumn id="5" xr3:uid="{14D973BE-EA8A-4E59-909A-5E1466E24A50}" name="D, bottom [m]" dataDxfId="117"/>
    <tableColumn id="6" xr3:uid="{7BFD2029-1F5C-43ED-A6F8-296E86962F79}" name="t [mm]" dataDxfId="1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U24:AW29" totalsRowShown="0" headerRowDxfId="115" dataDxfId="114">
  <autoFilter ref="AU24:AW29" xr:uid="{EF6AB3BF-A5B9-4898-A2AA-B1E2D904FCE0}"/>
  <tableColumns count="3">
    <tableColumn id="1" xr3:uid="{1A53106D-E4B7-4076-A33D-6CE63AD9AC29}" name="Elevation [m]" dataDxfId="113"/>
    <tableColumn id="2" xr3:uid="{9D7DAE9F-A86B-4D74-801F-55226E9F4D94}" name="Mass [kg]" dataDxfId="112"/>
    <tableColumn id="3" xr3:uid="{3FD5DC94-754D-4B55-A30B-0CF2D12CDE7F}" name="commment" dataDxfId="11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F24:BH29" totalsRowShown="0" headerRowDxfId="110" dataDxfId="109">
  <autoFilter ref="BF24:BH29" xr:uid="{6190E545-CB48-44A3-A5CA-9A97C610D06A}"/>
  <tableColumns count="3">
    <tableColumn id="1" xr3:uid="{1CD0DD89-8DB0-4FF9-B740-5D74EB586B63}" name="Elevation [m]" dataDxfId="108"/>
    <tableColumn id="2" xr3:uid="{229F8007-E6CC-45A8-B672-6374F80B1923}" name="Mass [kg]" dataDxfId="107"/>
    <tableColumn id="3" xr3:uid="{23823EA6-A689-44B2-958B-8A7D00EFF106}" name="commment" dataDxfId="10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R18:BX19" totalsRowShown="0" headerRowDxfId="105" dataDxfId="104">
  <autoFilter ref="BR18:BX19" xr:uid="{570D3808-2D33-45AA-AE67-BB82CAED07EC}"/>
  <tableColumns count="7">
    <tableColumn id="1" xr3:uid="{CCDDEDAF-7D35-44BE-9711-5BB94A7933B5}" name="Identifier" dataDxfId="103"/>
    <tableColumn id="2" xr3:uid="{A6622A20-5B2E-4695-A263-CDE9418E44CF}" name="Project ID" dataDxfId="102"/>
    <tableColumn id="3" xr3:uid="{352D7C0A-3620-4627-BAFA-7328A9D0D37D}" name="Phase" dataDxfId="101"/>
    <tableColumn id="4" xr3:uid="{B321ED1F-34C0-412F-A702-8500F62ECCC6}" name="Structure ID" dataDxfId="100"/>
    <tableColumn id="5" xr3:uid="{80D47030-3591-4982-92EF-BACC66E1FE86}" name="waterdepth" dataDxfId="99"/>
    <tableColumn id="6" xr3:uid="{EF78C918-5D9E-4AE9-872B-673153622FEA}" name="height reference" dataDxfId="98"/>
    <tableColumn id="7" xr3:uid="{170AACDE-B844-4EEC-A0B3-69E2508B4EDA}" name="comments" dataDxfId="9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R21:BX22" insertRow="1" totalsRowShown="0" headerRowDxfId="96" dataDxfId="95">
  <autoFilter ref="BR21:BX22" xr:uid="{35A6DD8B-1B03-4405-8692-950A70C42223}"/>
  <tableColumns count="7">
    <tableColumn id="1" xr3:uid="{1E986C31-3F41-4D2E-A5B3-1F241849BF8F}" name="Identifier" dataDxfId="94"/>
    <tableColumn id="2" xr3:uid="{BFA6A302-1312-44A9-9D24-00404B96F93D}" name="Project ID" dataDxfId="93"/>
    <tableColumn id="3" xr3:uid="{6FC4FB3D-D4AD-4191-B505-D0037CFE0AE6}" name="Phase" dataDxfId="92"/>
    <tableColumn id="4" xr3:uid="{869514EC-8FC7-48A8-9C17-94321EE95FF7}" name="Structure ID" dataDxfId="91"/>
    <tableColumn id="5" xr3:uid="{863DC3E8-E570-4145-B742-09AB28340D03}" name="waterdepth" dataDxfId="90"/>
    <tableColumn id="6" xr3:uid="{9DF4DE17-029C-4704-967A-33C81C46070E}" name="height reference" dataDxfId="89"/>
    <tableColumn id="7" xr3:uid="{769D8177-1D18-4F53-87D2-AB6EDE9D675F}" name="comments" dataDxfId="8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R24:BW92" totalsRowShown="0" headerRowDxfId="87" dataDxfId="86">
  <autoFilter ref="BR24:BW92" xr:uid="{6CCFBE8E-EBFA-4AA0-A18D-3AB7BDB6B464}"/>
  <sortState xmlns:xlrd2="http://schemas.microsoft.com/office/spreadsheetml/2017/richdata2" ref="BR25:CB49">
    <sortCondition ref="BR24:BR49"/>
  </sortState>
  <tableColumns count="6">
    <tableColumn id="1" xr3:uid="{85C28FF3-9287-4D46-8CEF-6A66D92B23F6}" name="Section" dataDxfId="85"/>
    <tableColumn id="2" xr3:uid="{BC63B096-D7B8-47B5-B5E9-FC896BC9868B}" name="Top [m]" dataDxfId="84"/>
    <tableColumn id="3" xr3:uid="{B9C7376D-FAD6-493B-8287-40DCA419DD50}" name="Bottom [m]" dataDxfId="83"/>
    <tableColumn id="4" xr3:uid="{6DC756E0-08B6-443E-9B2C-8D790BB94B8D}" name="D, top [m]" dataDxfId="82"/>
    <tableColumn id="5" xr3:uid="{BBD13E2B-0AEF-41AA-A565-50855C7E6296}" name="D, bottom [m]" dataDxfId="81"/>
    <tableColumn id="6" xr3:uid="{123F9676-EB92-4044-A35A-E032C3EBF8E7}" name="t [mm]" dataDxfId="8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G18:CM19" totalsRowShown="0" headerRowDxfId="79" dataDxfId="78">
  <autoFilter ref="CG18:CM19" xr:uid="{BC714A6A-8D53-444B-883B-7E7991C4738D}"/>
  <tableColumns count="7">
    <tableColumn id="1" xr3:uid="{2851D88E-C4FF-4F89-9EC3-EAFBEA54B71F}" name="Identifier" dataDxfId="77"/>
    <tableColumn id="2" xr3:uid="{02792EA3-7910-49BB-A8F1-6C715F3370FC}" name="Project ID" dataDxfId="76"/>
    <tableColumn id="3" xr3:uid="{E61B3620-9AD6-47D6-B636-C8C2AD063634}" name="Phase" dataDxfId="75"/>
    <tableColumn id="4" xr3:uid="{605E5017-0F2F-4443-A933-4E5CD08A4C23}" name="Structure ID" dataDxfId="74"/>
    <tableColumn id="5" xr3:uid="{BDF5F12B-CA8B-48E8-87A7-7D0364DE2FB2}" name="waterdepth" dataDxfId="73"/>
    <tableColumn id="6" xr3:uid="{EE01736A-C2DC-472E-BB17-6D42BEB50FD3}" name="height reference" dataDxfId="72"/>
    <tableColumn id="7" xr3:uid="{89F52D24-3700-4E96-A3EE-54C0BD6E6850}" name="comments" dataDxfId="7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R18:CX19" totalsRowShown="0" headerRowDxfId="70" dataDxfId="69">
  <autoFilter ref="CR18:CX19" xr:uid="{B4707D43-E248-4B9D-AB58-3D0829DFBB4F}"/>
  <sortState xmlns:xlrd2="http://schemas.microsoft.com/office/spreadsheetml/2017/richdata2" ref="CR19:CV20">
    <sortCondition descending="1" ref="CT18:CT20"/>
  </sortState>
  <tableColumns count="7">
    <tableColumn id="1" xr3:uid="{7672BA03-0DF7-4E41-B249-02049D4F4A5C}" name="Identifier" dataDxfId="68"/>
    <tableColumn id="2" xr3:uid="{BCD09FD8-ED15-428C-A59B-CFD0BF079641}" name="Project ID" dataDxfId="67"/>
    <tableColumn id="3" xr3:uid="{76AFB3BE-3FC3-4189-A098-6A9EA54A5EC9}" name="Phase" dataDxfId="66"/>
    <tableColumn id="4" xr3:uid="{33378BDF-E99D-44A7-8811-811CD7F1395F}" name="Structure ID" dataDxfId="65"/>
    <tableColumn id="5" xr3:uid="{DE6D6C26-BA61-4AFF-8E06-02AD273B29E8}" name="waterdepth" dataDxfId="64"/>
    <tableColumn id="6" xr3:uid="{B865CAD0-836B-45FC-8185-9945C6562913}" name="height reference" dataDxfId="63"/>
    <tableColumn id="7" xr3:uid="{1F656F81-71F7-4B46-A4A6-8B1FC6147EC5}" name="comments" dataDxfId="6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G24:CL92" totalsRowShown="0" headerRowDxfId="61" dataDxfId="60">
  <autoFilter ref="CG24:CL92" xr:uid="{DE222362-04CC-46F7-A72F-CA8E23DD0237}"/>
  <sortState xmlns:xlrd2="http://schemas.microsoft.com/office/spreadsheetml/2017/richdata2" ref="CG25:CQ49">
    <sortCondition ref="CG24:CG49"/>
  </sortState>
  <tableColumns count="6">
    <tableColumn id="1" xr3:uid="{A9C701CB-47B4-48F4-AFAB-2A8641408C96}" name="Section" dataDxfId="59"/>
    <tableColumn id="2" xr3:uid="{B6685CB3-8DE6-43F6-B6B6-9EE349AFDB7E}" name="Top [m]" dataDxfId="58"/>
    <tableColumn id="3" xr3:uid="{DF0BDC05-BDC5-4912-B19E-FE92634C630E}" name="Bottom [m]" dataDxfId="57"/>
    <tableColumn id="4" xr3:uid="{FE62A509-C225-4EE7-9E1A-92FB7B34D915}" name="D, top [m]" dataDxfId="56"/>
    <tableColumn id="5" xr3:uid="{40198B9A-CE5F-48D3-B6CF-9F426B6E0187}" name="D, bottom [m]" dataDxfId="55"/>
    <tableColumn id="6" xr3:uid="{9098A7F1-A089-4645-9946-FA698633501A}" name="t [mm]" dataDxfId="54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C24:CE38" totalsRowShown="0" headerRowDxfId="53" dataDxfId="52">
  <autoFilter ref="CC24:CE38" xr:uid="{E785A247-6678-47FD-8A48-16CD1A0703D0}"/>
  <tableColumns count="3">
    <tableColumn id="1" xr3:uid="{D015FF14-679F-4C4B-AD11-FD169A799F7D}" name="Elevation [m]" dataDxfId="51"/>
    <tableColumn id="2" xr3:uid="{F6B0D10D-7C44-41C3-9301-C37A6304C787}" name="Mass [kg]" dataDxfId="50"/>
    <tableColumn id="3" xr3:uid="{F049C52E-CCD6-4E67-9C8C-52FA82F691D9}" name="commment" dataDxfId="4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N24:CP38" totalsRowShown="0" headerRowDxfId="48" dataDxfId="47">
  <autoFilter ref="CN24:CP38" xr:uid="{3F664A08-9F40-4B2F-8151-7F221D68F245}"/>
  <tableColumns count="3">
    <tableColumn id="1" xr3:uid="{D4114F81-D70E-4B19-A7AB-C51B4DC07220}" name="Elevation [m]" dataDxfId="46"/>
    <tableColumn id="2" xr3:uid="{55470CA8-68EE-4770-B151-4A1CCF576822}" name="Mass [kg]" dataDxfId="45"/>
    <tableColumn id="3" xr3:uid="{78453B6F-A529-4D07-BA22-75B01F2D871E}" name="commment" dataDxfId="4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5:I101" totalsRowShown="0" headerRowDxfId="43" dataDxfId="42">
  <autoFilter ref="B5:I101" xr:uid="{6964430C-2D65-45C4-817F-08653037EDFC}"/>
  <tableColumns count="8">
    <tableColumn id="1" xr3:uid="{1C924510-54DB-4186-8521-598E5FD7BF93}" name="Section" dataDxfId="41"/>
    <tableColumn id="2" xr3:uid="{29F8F207-72DF-4027-A39E-C3D956F79382}" name="Affiliation" dataDxfId="40"/>
    <tableColumn id="3" xr3:uid="{F1A86E12-282B-4FE8-A989-9056549BE251}" name="local Section" dataDxfId="39"/>
    <tableColumn id="4" xr3:uid="{1F0B5480-90D3-4DBF-AAEC-010EB8A46507}" name="Top [m]" dataDxfId="38"/>
    <tableColumn id="5" xr3:uid="{2F9EEEB1-AE18-4058-A215-9A6EAD23E6F0}" name="Bottom [m]" dataDxfId="37"/>
    <tableColumn id="6" xr3:uid="{CAF3E9FD-22BF-4C53-97D3-15DEA70C9DE2}" name="D, top [m]" dataDxfId="36"/>
    <tableColumn id="7" xr3:uid="{EE4449DD-273C-4967-8180-25E33E65F937}" name="D, bottom [m]" dataDxfId="35"/>
    <tableColumn id="8" xr3:uid="{0EE8182A-58FD-432D-A87C-9A474A081C7F}" name="t [mm]" dataDxfId="34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5:R29" totalsRowShown="0" headerRowDxfId="33" dataDxfId="32">
  <autoFilter ref="O5:R29" xr:uid="{99775F4D-8879-4247-BCBB-9E55004F5FE5}"/>
  <tableColumns count="4">
    <tableColumn id="8" xr3:uid="{4222E379-EA2F-436F-A27E-F66347A2B7A2}" name="Affiliation" dataDxfId="31"/>
    <tableColumn id="1" xr3:uid="{00244646-90F3-4DDD-AB6B-0373781AFF60}" name="Elevation [m]" dataDxfId="30"/>
    <tableColumn id="2" xr3:uid="{6305BA78-EC7F-4D5E-A143-DF4E3CB9A56C}" name="Mass [kg]" dataDxfId="29"/>
    <tableColumn id="3" xr3:uid="{156C5A02-52CD-48BE-87D5-E9BF8F935E99}" name="comment" dataDxfId="28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9:Y11" totalsRowShown="0" headerRowDxfId="27" dataDxfId="25" headerRowBorderDxfId="26" tableBorderDxfId="24" totalsRowBorderDxfId="23">
  <autoFilter ref="T9:Y11" xr:uid="{A1E86920-59C8-4A34-A4FA-D52D35DC047E}"/>
  <tableColumns count="6">
    <tableColumn id="1" xr3:uid="{D7BA5792-F27A-42AB-84A6-1A5C5073E624}" name="Affiliation" dataDxfId="22"/>
    <tableColumn id="3" xr3:uid="{F299E913-54CD-48A0-BB41-0880A93754FE}" name="Top [m]" dataDxfId="21"/>
    <tableColumn id="4" xr3:uid="{3FE7280C-AE16-43A5-98C5-AC81567063F8}" name="Bottom [m]" dataDxfId="20"/>
    <tableColumn id="5" xr3:uid="{494E1F17-E9F7-4B30-BF2F-0D837AD6C9EB}" name="D, top [m]" dataDxfId="19"/>
    <tableColumn id="6" xr3:uid="{9D18588B-23C1-495C-A81D-3BA5AF2F1DDD}" name="D, bottom [m]" dataDxfId="18"/>
    <tableColumn id="7" xr3:uid="{C3BA2567-9ACF-4834-A3FA-9599A0D98796}" name="t [mm]" dataDxfId="17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5:W6" totalsRowShown="0" dataDxfId="15" headerRowBorderDxfId="16" tableBorderDxfId="14">
  <autoFilter ref="T5:W6" xr:uid="{CD52EECF-AB78-4C57-8765-66AA1058C0CF}"/>
  <tableColumns count="4">
    <tableColumn id="1" xr3:uid="{035BC3C9-B7CD-47B5-94D2-F8D64A04FD6C}" name="Affiliation" dataDxfId="13"/>
    <tableColumn id="2" xr3:uid="{9093341A-644E-4005-A4B0-0B05612EE421}" name="Elevation [m]" dataDxfId="12"/>
    <tableColumn id="3" xr3:uid="{71FE16E7-7251-4F14-B28B-4C6055F6AED1}" name="Mass [kg]" dataDxfId="11"/>
    <tableColumn id="4" xr3:uid="{87F4221A-61DF-4C79-A116-8098A7C6FAAE}" name="comment" dataDxfId="1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A5:AC8" totalsRowShown="0" headerRowDxfId="9" dataDxfId="8">
  <autoFilter ref="AA5:AC8" xr:uid="{8D334D84-754D-4685-9A4A-6A66B2E4FFB9}"/>
  <tableColumns count="3">
    <tableColumn id="1" xr3:uid="{DB673771-BB6D-4B68-81A2-B0DFC2758DC6}" name="Bottom [m]" dataDxfId="7">
      <calculatedColumnFormula>IF(ISBLANK(AB6),"",AB5)</calculatedColumnFormula>
    </tableColumn>
    <tableColumn id="2" xr3:uid="{88DBAEFE-0CE9-43B7-BBD5-30E29A54DD0E}" name="Top [m]" dataDxfId="6"/>
    <tableColumn id="3" xr3:uid="{88F4E89D-F5DC-463C-AE91-5C5F8B82A591}" name="Marine Growth [mm]" dataDxfId="5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E5:AH7" totalsRowShown="0" headerRowDxfId="4">
  <autoFilter ref="AE5:AH7" xr:uid="{87B4A03F-1005-4720-8887-A14737394284}"/>
  <tableColumns count="4">
    <tableColumn id="1" xr3:uid="{79B3039B-DCB3-4DB5-9657-9170C1A7D7A1}" name="Bottom [m]" dataDxfId="3"/>
    <tableColumn id="2" xr3:uid="{798BD679-C372-4555-9ABA-DF12AF1BEB7B}" name="Top [m]" dataDxfId="2"/>
    <tableColumn id="3" xr3:uid="{C28B4B73-F57A-4DF1-B531-CD436CEA398C}" name="cd" dataDxfId="1"/>
    <tableColumn id="4" xr3:uid="{B75141CC-AB54-4904-90B7-845CA3D69A1B}" name="c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3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8.xml"/><Relationship Id="rId42" Type="http://schemas.openxmlformats.org/officeDocument/2006/relationships/table" Target="../tables/table16.xml"/><Relationship Id="rId47" Type="http://schemas.openxmlformats.org/officeDocument/2006/relationships/table" Target="../tables/table21.xml"/><Relationship Id="rId50" Type="http://schemas.openxmlformats.org/officeDocument/2006/relationships/table" Target="../tables/table24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table" Target="../tables/table3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6.xml"/><Relationship Id="rId37" Type="http://schemas.openxmlformats.org/officeDocument/2006/relationships/table" Target="../tables/table11.xml"/><Relationship Id="rId40" Type="http://schemas.openxmlformats.org/officeDocument/2006/relationships/table" Target="../tables/table14.xml"/><Relationship Id="rId45" Type="http://schemas.openxmlformats.org/officeDocument/2006/relationships/table" Target="../tables/table19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table" Target="../tables/table2.xml"/><Relationship Id="rId36" Type="http://schemas.openxmlformats.org/officeDocument/2006/relationships/table" Target="../tables/table10.xml"/><Relationship Id="rId49" Type="http://schemas.openxmlformats.org/officeDocument/2006/relationships/table" Target="../tables/table23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table" Target="../tables/table5.xml"/><Relationship Id="rId44" Type="http://schemas.openxmlformats.org/officeDocument/2006/relationships/table" Target="../tables/table18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table" Target="../tables/table1.xml"/><Relationship Id="rId30" Type="http://schemas.openxmlformats.org/officeDocument/2006/relationships/table" Target="../tables/table4.xml"/><Relationship Id="rId35" Type="http://schemas.openxmlformats.org/officeDocument/2006/relationships/table" Target="../tables/table9.xml"/><Relationship Id="rId43" Type="http://schemas.openxmlformats.org/officeDocument/2006/relationships/table" Target="../tables/table17.xml"/><Relationship Id="rId48" Type="http://schemas.openxmlformats.org/officeDocument/2006/relationships/table" Target="../tables/table22.xml"/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7.xml"/><Relationship Id="rId38" Type="http://schemas.openxmlformats.org/officeDocument/2006/relationships/table" Target="../tables/table12.xml"/><Relationship Id="rId46" Type="http://schemas.openxmlformats.org/officeDocument/2006/relationships/table" Target="../tables/table20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E72" sqref="E72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81" t="s">
        <v>42</v>
      </c>
      <c r="C4" s="82"/>
      <c r="D4" s="83"/>
      <c r="E4" s="40"/>
      <c r="F4" s="84" t="s">
        <v>26</v>
      </c>
      <c r="G4" s="85"/>
      <c r="H4" s="85"/>
      <c r="I4" s="86"/>
      <c r="J4" s="40"/>
      <c r="K4" s="87" t="s">
        <v>43</v>
      </c>
      <c r="L4" s="88"/>
      <c r="M4" s="89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5:CX168"/>
  <sheetViews>
    <sheetView topLeftCell="BO16" zoomScale="85" zoomScaleNormal="85" workbookViewId="0">
      <selection activeCell="CA15" sqref="CA15"/>
    </sheetView>
  </sheetViews>
  <sheetFormatPr baseColWidth="10" defaultColWidth="11.33203125" defaultRowHeight="14.4" outlineLevelCol="1" x14ac:dyDescent="0.3"/>
  <cols>
    <col min="1" max="1" width="43.33203125" customWidth="1"/>
    <col min="2" max="2" width="37.44140625" customWidth="1"/>
    <col min="3" max="4" width="17.33203125" customWidth="1"/>
    <col min="5" max="5" width="14.5546875" customWidth="1"/>
    <col min="6" max="6" width="19.33203125" customWidth="1"/>
    <col min="7" max="10" width="11.33203125" customWidth="1"/>
    <col min="11" max="11" width="11.88671875" customWidth="1"/>
    <col min="12" max="12" width="12.33203125" customWidth="1"/>
    <col min="13" max="13" width="21.6640625" customWidth="1"/>
    <col min="14" max="14" width="16.33203125" customWidth="1"/>
    <col min="15" max="15" width="47.5546875" customWidth="1"/>
    <col min="17" max="17" width="11.33203125" hidden="1" customWidth="1" outlineLevel="1"/>
    <col min="18" max="18" width="12.6640625" hidden="1" customWidth="1" outlineLevel="1"/>
    <col min="19" max="19" width="11.33203125" hidden="1" customWidth="1" outlineLevel="1"/>
    <col min="20" max="20" width="14.5546875" hidden="1" customWidth="1" outlineLevel="1"/>
    <col min="21" max="26" width="11.33203125" hidden="1" customWidth="1" outlineLevel="1"/>
    <col min="27" max="27" width="11.33203125" collapsed="1"/>
    <col min="28" max="28" width="28.33203125" customWidth="1"/>
    <col min="31" max="31" width="22" customWidth="1"/>
    <col min="33" max="35" width="15.44140625" customWidth="1"/>
    <col min="36" max="36" width="23.109375" customWidth="1"/>
    <col min="37" max="37" width="11.33203125" customWidth="1"/>
    <col min="49" max="49" width="25" customWidth="1"/>
    <col min="51" max="60" width="11.33203125" hidden="1" customWidth="1" outlineLevel="1"/>
    <col min="61" max="61" width="11.33203125" collapsed="1"/>
    <col min="65" max="66" width="11.33203125" customWidth="1"/>
    <col min="68" max="68" width="11.33203125" customWidth="1"/>
    <col min="70" max="70" width="23.109375" customWidth="1"/>
    <col min="82" max="82" width="17.33203125" customWidth="1"/>
    <col min="83" max="83" width="39.5546875" customWidth="1"/>
    <col min="85" max="94" width="11.33203125" hidden="1" customWidth="1" outlineLevel="1"/>
    <col min="95" max="95" width="11.33203125" collapsed="1"/>
  </cols>
  <sheetData>
    <row r="5" spans="2:84" x14ac:dyDescent="0.3">
      <c r="E5" s="53"/>
    </row>
    <row r="6" spans="2:84" x14ac:dyDescent="0.3">
      <c r="E6" s="53" t="b">
        <v>1</v>
      </c>
    </row>
    <row r="7" spans="2:84" x14ac:dyDescent="0.3">
      <c r="E7" s="53"/>
    </row>
    <row r="8" spans="2:84" x14ac:dyDescent="0.3">
      <c r="E8" s="53" t="b">
        <v>1</v>
      </c>
    </row>
    <row r="9" spans="2:84" ht="24" customHeight="1" x14ac:dyDescent="0.3">
      <c r="B9" t="s">
        <v>118</v>
      </c>
    </row>
    <row r="11" spans="2:84" ht="18" x14ac:dyDescent="0.35">
      <c r="B11" s="51" t="s">
        <v>70</v>
      </c>
      <c r="P11" t="s">
        <v>76</v>
      </c>
      <c r="AJ11" s="51" t="s">
        <v>97</v>
      </c>
      <c r="AX11" t="s">
        <v>76</v>
      </c>
      <c r="BR11" s="51" t="s">
        <v>79</v>
      </c>
      <c r="CF11" t="s">
        <v>76</v>
      </c>
    </row>
    <row r="13" spans="2:84" ht="23.4" customHeight="1" x14ac:dyDescent="0.3">
      <c r="C13" s="65" t="s">
        <v>99</v>
      </c>
      <c r="AK13" s="65" t="s">
        <v>71</v>
      </c>
      <c r="BS13" s="65" t="s">
        <v>98</v>
      </c>
    </row>
    <row r="14" spans="2:84" ht="21.6" customHeight="1" thickBot="1" x14ac:dyDescent="0.35"/>
    <row r="15" spans="2:84" ht="21.6" customHeight="1" thickBot="1" x14ac:dyDescent="0.35">
      <c r="D15" s="70" t="s">
        <v>124</v>
      </c>
      <c r="E15" s="71"/>
      <c r="F15" s="74"/>
      <c r="G15" s="71"/>
      <c r="H15" s="72"/>
      <c r="AN15" s="70" t="s">
        <v>124</v>
      </c>
      <c r="AO15" s="71"/>
      <c r="AP15" s="75"/>
      <c r="AQ15" s="71"/>
      <c r="AR15" s="72"/>
    </row>
    <row r="18" spans="1:102" x14ac:dyDescent="0.3">
      <c r="A18" s="52" t="s">
        <v>72</v>
      </c>
      <c r="B18" t="s">
        <v>82</v>
      </c>
      <c r="C18" t="s">
        <v>83</v>
      </c>
      <c r="D18" t="s">
        <v>80</v>
      </c>
      <c r="E18" t="s">
        <v>84</v>
      </c>
      <c r="F18" t="s">
        <v>81</v>
      </c>
      <c r="G18" t="s">
        <v>121</v>
      </c>
      <c r="H18" t="s">
        <v>85</v>
      </c>
      <c r="Q18" t="s">
        <v>82</v>
      </c>
      <c r="R18" t="s">
        <v>83</v>
      </c>
      <c r="S18" t="s">
        <v>80</v>
      </c>
      <c r="T18" t="s">
        <v>84</v>
      </c>
      <c r="U18" t="s">
        <v>81</v>
      </c>
      <c r="V18" t="s">
        <v>121</v>
      </c>
      <c r="W18" t="s">
        <v>85</v>
      </c>
      <c r="AB18" t="s">
        <v>82</v>
      </c>
      <c r="AC18" t="s">
        <v>83</v>
      </c>
      <c r="AD18" t="s">
        <v>80</v>
      </c>
      <c r="AE18" t="s">
        <v>84</v>
      </c>
      <c r="AF18" t="s">
        <v>81</v>
      </c>
      <c r="AG18" t="s">
        <v>121</v>
      </c>
      <c r="AH18" t="s">
        <v>85</v>
      </c>
      <c r="AJ18" t="s">
        <v>82</v>
      </c>
      <c r="AK18" t="s">
        <v>83</v>
      </c>
      <c r="AL18" t="s">
        <v>80</v>
      </c>
      <c r="AM18" t="s">
        <v>84</v>
      </c>
      <c r="AN18" t="s">
        <v>81</v>
      </c>
      <c r="AO18" t="s">
        <v>121</v>
      </c>
      <c r="AP18" t="s">
        <v>85</v>
      </c>
      <c r="AY18" t="s">
        <v>82</v>
      </c>
      <c r="AZ18" t="s">
        <v>83</v>
      </c>
      <c r="BA18" t="s">
        <v>80</v>
      </c>
      <c r="BB18" t="s">
        <v>84</v>
      </c>
      <c r="BC18" t="s">
        <v>81</v>
      </c>
      <c r="BD18" t="s">
        <v>121</v>
      </c>
      <c r="BE18" t="s">
        <v>85</v>
      </c>
      <c r="BJ18" t="s">
        <v>82</v>
      </c>
      <c r="BK18" t="s">
        <v>83</v>
      </c>
      <c r="BL18" t="s">
        <v>80</v>
      </c>
      <c r="BM18" t="s">
        <v>84</v>
      </c>
      <c r="BN18" t="s">
        <v>81</v>
      </c>
      <c r="BO18" t="s">
        <v>121</v>
      </c>
      <c r="BP18" t="s">
        <v>85</v>
      </c>
      <c r="BR18" t="s">
        <v>82</v>
      </c>
      <c r="BS18" t="s">
        <v>83</v>
      </c>
      <c r="BT18" t="s">
        <v>80</v>
      </c>
      <c r="BU18" t="s">
        <v>84</v>
      </c>
      <c r="BV18" t="s">
        <v>81</v>
      </c>
      <c r="BW18" t="s">
        <v>121</v>
      </c>
      <c r="BX18" t="s">
        <v>85</v>
      </c>
      <c r="CG18" t="s">
        <v>82</v>
      </c>
      <c r="CH18" t="s">
        <v>83</v>
      </c>
      <c r="CI18" t="s">
        <v>80</v>
      </c>
      <c r="CJ18" t="s">
        <v>84</v>
      </c>
      <c r="CK18" t="s">
        <v>81</v>
      </c>
      <c r="CL18" t="s">
        <v>121</v>
      </c>
      <c r="CM18" t="s">
        <v>85</v>
      </c>
      <c r="CR18" t="s">
        <v>82</v>
      </c>
      <c r="CS18" t="s">
        <v>83</v>
      </c>
      <c r="CT18" t="s">
        <v>80</v>
      </c>
      <c r="CU18" t="s">
        <v>84</v>
      </c>
      <c r="CV18" t="s">
        <v>81</v>
      </c>
      <c r="CW18" t="s">
        <v>121</v>
      </c>
      <c r="CX18" t="s">
        <v>85</v>
      </c>
    </row>
    <row r="19" spans="1:102" x14ac:dyDescent="0.3">
      <c r="A19" s="66" t="s">
        <v>78</v>
      </c>
      <c r="B19" t="s">
        <v>91</v>
      </c>
      <c r="C19" t="s">
        <v>92</v>
      </c>
      <c r="D19" t="s">
        <v>88</v>
      </c>
      <c r="E19" t="s">
        <v>93</v>
      </c>
      <c r="F19">
        <v>39.799999999999997</v>
      </c>
      <c r="G19" t="s">
        <v>49</v>
      </c>
      <c r="H19" t="s">
        <v>90</v>
      </c>
      <c r="Q19" t="s">
        <v>91</v>
      </c>
      <c r="R19" t="s">
        <v>92</v>
      </c>
      <c r="S19" t="s">
        <v>88</v>
      </c>
      <c r="T19" t="s">
        <v>93</v>
      </c>
      <c r="U19">
        <v>39.799999999999997</v>
      </c>
      <c r="V19" t="s">
        <v>49</v>
      </c>
      <c r="W19" t="s">
        <v>90</v>
      </c>
      <c r="AB19" t="s">
        <v>86</v>
      </c>
      <c r="AC19" t="s">
        <v>87</v>
      </c>
      <c r="AD19" t="s">
        <v>88</v>
      </c>
      <c r="AE19" t="s">
        <v>89</v>
      </c>
      <c r="AF19">
        <v>39.799999999999997</v>
      </c>
      <c r="AG19" t="s">
        <v>119</v>
      </c>
      <c r="AH19" t="s">
        <v>90</v>
      </c>
      <c r="AJ19" t="s">
        <v>91</v>
      </c>
      <c r="AK19" t="s">
        <v>92</v>
      </c>
      <c r="AL19" t="s">
        <v>88</v>
      </c>
      <c r="AM19" t="s">
        <v>93</v>
      </c>
      <c r="AN19">
        <v>39.799999999999997</v>
      </c>
      <c r="AO19" t="s">
        <v>119</v>
      </c>
      <c r="AP19" t="s">
        <v>90</v>
      </c>
      <c r="AY19" t="s">
        <v>91</v>
      </c>
      <c r="AZ19" t="s">
        <v>92</v>
      </c>
      <c r="BA19" t="s">
        <v>88</v>
      </c>
      <c r="BB19" t="s">
        <v>93</v>
      </c>
      <c r="BC19">
        <v>39.799999999999997</v>
      </c>
      <c r="BD19" t="s">
        <v>119</v>
      </c>
      <c r="BE19" t="s">
        <v>90</v>
      </c>
      <c r="BJ19" t="s">
        <v>86</v>
      </c>
      <c r="BK19" t="s">
        <v>87</v>
      </c>
      <c r="BL19" t="s">
        <v>88</v>
      </c>
      <c r="BM19" t="s">
        <v>89</v>
      </c>
      <c r="BN19">
        <v>39.799999999999997</v>
      </c>
      <c r="BO19" t="s">
        <v>49</v>
      </c>
      <c r="BP19" t="s">
        <v>90</v>
      </c>
      <c r="BR19" t="s">
        <v>91</v>
      </c>
      <c r="BS19" t="s">
        <v>92</v>
      </c>
      <c r="BT19" t="s">
        <v>88</v>
      </c>
      <c r="BU19" t="s">
        <v>93</v>
      </c>
      <c r="BV19">
        <v>39.799999999999997</v>
      </c>
      <c r="BW19" t="s">
        <v>116</v>
      </c>
      <c r="BX19" t="s">
        <v>90</v>
      </c>
      <c r="CG19" t="s">
        <v>91</v>
      </c>
      <c r="CH19" t="s">
        <v>92</v>
      </c>
      <c r="CI19" t="s">
        <v>88</v>
      </c>
      <c r="CJ19" t="s">
        <v>93</v>
      </c>
      <c r="CK19">
        <v>39.799999999999997</v>
      </c>
      <c r="CL19" t="s">
        <v>116</v>
      </c>
      <c r="CR19" t="s">
        <v>91</v>
      </c>
      <c r="CS19" t="s">
        <v>92</v>
      </c>
      <c r="CT19" t="s">
        <v>88</v>
      </c>
      <c r="CU19" t="s">
        <v>93</v>
      </c>
      <c r="CV19">
        <v>39.799999999999997</v>
      </c>
      <c r="CW19" t="s">
        <v>116</v>
      </c>
    </row>
    <row r="20" spans="1:102" x14ac:dyDescent="0.3">
      <c r="A20" s="66"/>
      <c r="Q20" s="67"/>
      <c r="R20" s="67"/>
      <c r="S20" s="67"/>
      <c r="T20" s="67"/>
      <c r="U20" s="67"/>
      <c r="V20" s="67"/>
      <c r="AB20" t="s">
        <v>91</v>
      </c>
      <c r="AC20" t="s">
        <v>92</v>
      </c>
      <c r="AD20" t="s">
        <v>88</v>
      </c>
      <c r="AE20" t="s">
        <v>93</v>
      </c>
      <c r="AF20">
        <v>39.799999999999997</v>
      </c>
      <c r="AG20" t="s">
        <v>49</v>
      </c>
      <c r="AH20" t="s">
        <v>90</v>
      </c>
      <c r="AY20" s="67"/>
      <c r="AZ20" s="67"/>
      <c r="BA20" s="67"/>
      <c r="BB20" s="67"/>
      <c r="BC20" s="67"/>
      <c r="BJ20" t="s">
        <v>91</v>
      </c>
      <c r="BK20" t="s">
        <v>92</v>
      </c>
      <c r="BL20" t="s">
        <v>88</v>
      </c>
      <c r="BM20" t="s">
        <v>93</v>
      </c>
      <c r="BN20">
        <v>39.799999999999997</v>
      </c>
      <c r="BO20" t="s">
        <v>119</v>
      </c>
      <c r="BP20" t="s">
        <v>90</v>
      </c>
      <c r="CG20" s="67"/>
      <c r="CH20" s="67"/>
      <c r="CI20" s="67"/>
      <c r="CJ20" s="67"/>
      <c r="CK20" s="67"/>
    </row>
    <row r="21" spans="1:102" x14ac:dyDescent="0.3">
      <c r="A21" s="52" t="s">
        <v>73</v>
      </c>
      <c r="B21" t="s">
        <v>82</v>
      </c>
      <c r="C21" t="s">
        <v>83</v>
      </c>
      <c r="D21" t="s">
        <v>80</v>
      </c>
      <c r="E21" t="s">
        <v>84</v>
      </c>
      <c r="F21" t="s">
        <v>81</v>
      </c>
      <c r="G21" t="s">
        <v>121</v>
      </c>
      <c r="H21" t="s">
        <v>85</v>
      </c>
      <c r="AJ21" t="s">
        <v>82</v>
      </c>
      <c r="AK21" t="s">
        <v>83</v>
      </c>
      <c r="AL21" t="s">
        <v>80</v>
      </c>
      <c r="AM21" t="s">
        <v>84</v>
      </c>
      <c r="AN21" t="s">
        <v>81</v>
      </c>
      <c r="AO21" t="s">
        <v>121</v>
      </c>
      <c r="AP21" t="s">
        <v>85</v>
      </c>
      <c r="BR21" t="s">
        <v>82</v>
      </c>
      <c r="BS21" t="s">
        <v>83</v>
      </c>
      <c r="BT21" t="s">
        <v>80</v>
      </c>
      <c r="BU21" t="s">
        <v>84</v>
      </c>
      <c r="BV21" t="s">
        <v>81</v>
      </c>
      <c r="BW21" t="s">
        <v>121</v>
      </c>
      <c r="BX21" t="s">
        <v>85</v>
      </c>
    </row>
    <row r="22" spans="1:102" x14ac:dyDescent="0.3">
      <c r="A22" s="66" t="s">
        <v>74</v>
      </c>
      <c r="Q22" s="54" t="s">
        <v>77</v>
      </c>
      <c r="AY22" s="54" t="s">
        <v>77</v>
      </c>
      <c r="CG22" s="54" t="s">
        <v>77</v>
      </c>
    </row>
    <row r="23" spans="1:102" x14ac:dyDescent="0.3">
      <c r="A23" s="66"/>
    </row>
    <row r="24" spans="1:102" x14ac:dyDescent="0.3">
      <c r="A24" s="66" t="s">
        <v>75</v>
      </c>
      <c r="B24" t="s">
        <v>1</v>
      </c>
      <c r="C24" t="s">
        <v>123</v>
      </c>
      <c r="D24" t="s">
        <v>122</v>
      </c>
      <c r="E24" t="s">
        <v>94</v>
      </c>
      <c r="F24" t="s">
        <v>95</v>
      </c>
      <c r="G24" t="s">
        <v>96</v>
      </c>
      <c r="H24" t="s">
        <v>9</v>
      </c>
      <c r="I24" t="s">
        <v>10</v>
      </c>
      <c r="J24" t="s">
        <v>11</v>
      </c>
      <c r="K24" t="s">
        <v>12</v>
      </c>
      <c r="M24" t="s">
        <v>125</v>
      </c>
      <c r="N24" t="s">
        <v>106</v>
      </c>
      <c r="O24" t="s">
        <v>105</v>
      </c>
      <c r="Q24" t="s">
        <v>1</v>
      </c>
      <c r="R24" t="s">
        <v>123</v>
      </c>
      <c r="S24" t="s">
        <v>122</v>
      </c>
      <c r="T24" t="s">
        <v>94</v>
      </c>
      <c r="U24" t="s">
        <v>95</v>
      </c>
      <c r="V24" t="s">
        <v>96</v>
      </c>
      <c r="X24" t="s">
        <v>125</v>
      </c>
      <c r="Y24" t="s">
        <v>106</v>
      </c>
      <c r="Z24" t="s">
        <v>105</v>
      </c>
      <c r="AJ24" t="s">
        <v>1</v>
      </c>
      <c r="AK24" t="s">
        <v>123</v>
      </c>
      <c r="AL24" t="s">
        <v>122</v>
      </c>
      <c r="AM24" t="s">
        <v>94</v>
      </c>
      <c r="AN24" t="s">
        <v>95</v>
      </c>
      <c r="AO24" t="s">
        <v>96</v>
      </c>
      <c r="AP24" t="s">
        <v>9</v>
      </c>
      <c r="AQ24" t="s">
        <v>10</v>
      </c>
      <c r="AR24" t="s">
        <v>11</v>
      </c>
      <c r="AS24" t="s">
        <v>12</v>
      </c>
      <c r="AU24" t="s">
        <v>125</v>
      </c>
      <c r="AV24" t="s">
        <v>106</v>
      </c>
      <c r="AW24" t="s">
        <v>105</v>
      </c>
      <c r="AY24" t="s">
        <v>1</v>
      </c>
      <c r="AZ24" t="s">
        <v>123</v>
      </c>
      <c r="BA24" t="s">
        <v>122</v>
      </c>
      <c r="BB24" t="s">
        <v>94</v>
      </c>
      <c r="BC24" t="s">
        <v>95</v>
      </c>
      <c r="BD24" t="s">
        <v>96</v>
      </c>
      <c r="BF24" t="s">
        <v>125</v>
      </c>
      <c r="BG24" t="s">
        <v>106</v>
      </c>
      <c r="BH24" t="s">
        <v>105</v>
      </c>
      <c r="BR24" t="s">
        <v>1</v>
      </c>
      <c r="BS24" t="s">
        <v>123</v>
      </c>
      <c r="BT24" t="s">
        <v>122</v>
      </c>
      <c r="BU24" t="s">
        <v>94</v>
      </c>
      <c r="BV24" t="s">
        <v>95</v>
      </c>
      <c r="BW24" t="s">
        <v>96</v>
      </c>
      <c r="BX24" t="s">
        <v>9</v>
      </c>
      <c r="BY24" t="s">
        <v>10</v>
      </c>
      <c r="BZ24" t="s">
        <v>11</v>
      </c>
      <c r="CA24" t="s">
        <v>12</v>
      </c>
      <c r="CC24" t="s">
        <v>125</v>
      </c>
      <c r="CD24" t="s">
        <v>106</v>
      </c>
      <c r="CE24" t="s">
        <v>105</v>
      </c>
      <c r="CG24" t="s">
        <v>1</v>
      </c>
      <c r="CH24" t="s">
        <v>123</v>
      </c>
      <c r="CI24" t="s">
        <v>122</v>
      </c>
      <c r="CJ24" t="s">
        <v>94</v>
      </c>
      <c r="CK24" t="s">
        <v>95</v>
      </c>
      <c r="CL24" t="s">
        <v>96</v>
      </c>
      <c r="CN24" t="s">
        <v>125</v>
      </c>
      <c r="CO24" t="s">
        <v>106</v>
      </c>
      <c r="CP24" t="s">
        <v>105</v>
      </c>
    </row>
    <row r="25" spans="1:102" x14ac:dyDescent="0.3">
      <c r="B25">
        <v>1</v>
      </c>
      <c r="C25" s="76">
        <v>5.8</v>
      </c>
      <c r="D25" s="76">
        <v>2.6</v>
      </c>
      <c r="E25">
        <v>8</v>
      </c>
      <c r="F25">
        <v>8</v>
      </c>
      <c r="G25">
        <v>125</v>
      </c>
      <c r="H25" s="68">
        <f>IFERROR(MP_DATA[[#This Row],[Bottom '[m']]]-MP_DATA[[#This Row],[D, top '[m']]], "")</f>
        <v>-5.4</v>
      </c>
      <c r="I25" s="68">
        <f>IFERROR(-(MP_DATA[[#This Row],[D, bottom '[m']]]-MP_DATA[[#This Row],[D, top '[m']]])/(MP_DATA[[#This Row],[Bottom '[m']]]-MP_DATA[[#This Row],[Top '[m']]]),"")</f>
        <v>0</v>
      </c>
      <c r="J25" s="68">
        <f t="shared" ref="J25:J56" si="0"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77.683732341641587</v>
      </c>
      <c r="K25" s="68">
        <f>IFERROR((MP_DATA[[#This Row],[D, bottom '[m']]]+MP_DATA[[#This Row],[D, top '[m']]])/(2*MP_DATA[[#This Row],[t '[mm']]]/1000),"")</f>
        <v>64</v>
      </c>
      <c r="M25">
        <v>5.6</v>
      </c>
      <c r="N25">
        <v>70000</v>
      </c>
      <c r="O25" t="s">
        <v>107</v>
      </c>
      <c r="Q25" s="67">
        <v>1</v>
      </c>
      <c r="R25" s="73">
        <v>5.8</v>
      </c>
      <c r="S25" s="73">
        <v>2.6</v>
      </c>
      <c r="T25">
        <v>8</v>
      </c>
      <c r="U25" s="67">
        <v>8</v>
      </c>
      <c r="V25">
        <v>125</v>
      </c>
      <c r="X25">
        <v>5.6</v>
      </c>
      <c r="Y25">
        <v>70000</v>
      </c>
      <c r="Z25" t="s">
        <v>107</v>
      </c>
      <c r="AJ25">
        <v>1</v>
      </c>
      <c r="AK25">
        <v>21.47</v>
      </c>
      <c r="AL25">
        <v>17.5</v>
      </c>
      <c r="AM25">
        <v>8</v>
      </c>
      <c r="AN25">
        <v>8</v>
      </c>
      <c r="AO25">
        <v>117</v>
      </c>
      <c r="AP25" s="68">
        <f>IFERROR(TP_DATA[[#This Row],[Bottom '[m']]]-TP_DATA[[#This Row],[D, top '[m']]], "")</f>
        <v>9.5</v>
      </c>
      <c r="AQ25" s="68">
        <f>IFERROR(-(TP_DATA[[#This Row],[D, bottom '[m']]]-TP_DATA[[#This Row],[D, top '[m']]])/(TP_DATA[[#This Row],[Bottom '[m']]]-TP_DATA[[#This Row],[Top '[m']]]),"")</f>
        <v>0</v>
      </c>
      <c r="AR25" s="68">
        <f t="shared" ref="AR25:AR88" si="1">IF(7850/1000*(1/3)*PI()*ABS(AK25-AL25)*((AM25/2)^2+(AM25/2)*(AN25/2)+(AN25/2)^2-(AM25/2-AO25/1000)^2-(AM25/2-AO25/1000)*(AN25/2-AO25/1000)-(AN25/2-AO25/1000)^2)=0,"",7850/1000*(1/3)*PI()*ABS(AK25-AL25)*((AM25/2)^2+(AM25/2)*(AN25/2)+(AN25/2)^2-(AM25/2-AO25/1000)^2-(AM25/2-AO25/1000)*(AN25/2-AO25/1000)-(AN25/2-AO25/1000)^2))</f>
        <v>90.299932258163409</v>
      </c>
      <c r="AS25" s="68">
        <f>IFERROR((TP_DATA[[#This Row],[D, bottom '[m']]]+TP_DATA[[#This Row],[D, top '[m']]])/(2*TP_DATA[[#This Row],[t '[mm']]]/1000),"")</f>
        <v>68.376068376068375</v>
      </c>
      <c r="AU25">
        <v>21.47</v>
      </c>
      <c r="AV25">
        <v>30000</v>
      </c>
      <c r="AW25" t="s">
        <v>112</v>
      </c>
      <c r="AY25" s="67">
        <v>1</v>
      </c>
      <c r="AZ25" s="67">
        <v>21.47</v>
      </c>
      <c r="BA25" s="67">
        <v>17.5</v>
      </c>
      <c r="BB25">
        <v>8</v>
      </c>
      <c r="BC25" s="67">
        <v>8</v>
      </c>
      <c r="BD25">
        <v>117</v>
      </c>
      <c r="BF25">
        <v>21.47</v>
      </c>
      <c r="BG25">
        <v>30000</v>
      </c>
      <c r="BH25" t="s">
        <v>112</v>
      </c>
      <c r="BR25">
        <v>1</v>
      </c>
      <c r="BS25">
        <v>139.70000000000002</v>
      </c>
      <c r="BT25">
        <v>139.62</v>
      </c>
      <c r="BU25">
        <v>5.7039999999999997</v>
      </c>
      <c r="BV25">
        <v>5.7039999999999997</v>
      </c>
      <c r="BW25">
        <v>30</v>
      </c>
      <c r="BX25" s="68">
        <f>IFERROR(TOWER_DATA[[#This Row],[Bottom '[m']]]-TOWER_DATA[[#This Row],[D, top '[m']]], "")</f>
        <v>133.916</v>
      </c>
      <c r="BY25" s="68">
        <f>IFERROR(-(TOWER_DATA[[#This Row],[D, bottom '[m']]]-TOWER_DATA[[#This Row],[D, top '[m']]])/(TOWER_DATA[[#This Row],[Bottom '[m']]]-TOWER_DATA[[#This Row],[Top '[m']]]),"")</f>
        <v>0</v>
      </c>
      <c r="BZ25" s="68">
        <f t="shared" ref="BZ25:BZ88" si="2">IF(7850/1000*(1/3)*PI()*ABS(BS25-BT25)*((BU25/2)^2+(BU25/2)*(BV25/2)+(BV25/2)^2-(BU25/2-BW25/1000)^2-(BU25/2-BW25/1000)*(BV25/2-BW25/1000)-(BV25/2-BW25/1000)^2)=0,"",7850/1000*(1/3)*PI()*ABS(BS25-BT25)*((BU25/2)^2+(BU25/2)*(BV25/2)+(BV25/2)^2-(BU25/2-BW25/1000)^2-(BU25/2-BW25/1000)*(BV25/2-BW25/1000)-(BV25/2-BW25/1000)^2))</f>
        <v>0.33583047413831496</v>
      </c>
      <c r="CA25" s="68">
        <f>IFERROR((TOWER_DATA[[#This Row],[D, bottom '[m']]]+TOWER_DATA[[#This Row],[D, top '[m']]])/(2*TOWER_DATA[[#This Row],[t '[mm']]]/1000),"")</f>
        <v>190.13333333333333</v>
      </c>
      <c r="CC25" s="69">
        <v>139.20000000000002</v>
      </c>
      <c r="CD25" s="69">
        <v>2543</v>
      </c>
      <c r="CE25" s="69" t="s">
        <v>117</v>
      </c>
      <c r="CG25" s="67">
        <v>1</v>
      </c>
      <c r="CH25" s="67">
        <v>139.70000000000002</v>
      </c>
      <c r="CI25" s="67">
        <v>139.62</v>
      </c>
      <c r="CJ25">
        <v>5.7039999999999997</v>
      </c>
      <c r="CK25" s="67">
        <v>5.7039999999999997</v>
      </c>
      <c r="CL25">
        <v>30</v>
      </c>
      <c r="CN25">
        <v>139.20000000000002</v>
      </c>
      <c r="CO25">
        <v>2543</v>
      </c>
      <c r="CP25" t="s">
        <v>117</v>
      </c>
    </row>
    <row r="26" spans="1:102" x14ac:dyDescent="0.3">
      <c r="B26">
        <v>2</v>
      </c>
      <c r="C26" s="76">
        <v>2.6</v>
      </c>
      <c r="D26" s="76">
        <v>-0.6</v>
      </c>
      <c r="E26">
        <v>8</v>
      </c>
      <c r="F26">
        <v>8</v>
      </c>
      <c r="G26">
        <v>116</v>
      </c>
      <c r="H26" s="68">
        <f>IFERROR(MP_DATA[[#This Row],[Bottom '[m']]]-MP_DATA[[#This Row],[D, top '[m']]], "")</f>
        <v>-8.6</v>
      </c>
      <c r="I26" s="68">
        <f>IFERROR(-(MP_DATA[[#This Row],[D, bottom '[m']]]-MP_DATA[[#This Row],[D, top '[m']]])/(MP_DATA[[#This Row],[Bottom '[m']]]-MP_DATA[[#This Row],[Top '[m']]]),"")</f>
        <v>0</v>
      </c>
      <c r="J26" s="68">
        <f t="shared" si="0"/>
        <v>72.17289276002974</v>
      </c>
      <c r="K26" s="68">
        <f>IFERROR((MP_DATA[[#This Row],[D, bottom '[m']]]+MP_DATA[[#This Row],[D, top '[m']]])/(2*MP_DATA[[#This Row],[t '[mm']]]/1000),"")</f>
        <v>68.965517241379303</v>
      </c>
      <c r="M26">
        <v>4.2</v>
      </c>
      <c r="N26">
        <v>9000</v>
      </c>
      <c r="O26" t="s">
        <v>108</v>
      </c>
      <c r="Q26" s="67">
        <v>2</v>
      </c>
      <c r="R26" s="73">
        <v>2.6</v>
      </c>
      <c r="S26" s="73">
        <v>-0.6</v>
      </c>
      <c r="T26">
        <v>8</v>
      </c>
      <c r="U26" s="67">
        <v>8</v>
      </c>
      <c r="V26">
        <v>116</v>
      </c>
      <c r="X26">
        <v>4.2</v>
      </c>
      <c r="Y26">
        <v>9000</v>
      </c>
      <c r="Z26" t="s">
        <v>108</v>
      </c>
      <c r="AJ26">
        <v>2</v>
      </c>
      <c r="AK26">
        <v>17.5</v>
      </c>
      <c r="AL26">
        <v>13.5</v>
      </c>
      <c r="AM26">
        <v>8</v>
      </c>
      <c r="AN26">
        <v>8</v>
      </c>
      <c r="AO26">
        <v>117</v>
      </c>
      <c r="AP26" s="68">
        <f>IFERROR(TP_DATA[[#This Row],[Bottom '[m']]]-TP_DATA[[#This Row],[D, top '[m']]], "")</f>
        <v>5.5</v>
      </c>
      <c r="AQ26" s="68">
        <f>IFERROR(-(TP_DATA[[#This Row],[D, bottom '[m']]]-TP_DATA[[#This Row],[D, top '[m']]])/(TP_DATA[[#This Row],[Bottom '[m']]]-TP_DATA[[#This Row],[Top '[m']]]),"")</f>
        <v>0</v>
      </c>
      <c r="AR26" s="68">
        <f t="shared" si="1"/>
        <v>90.982299504446786</v>
      </c>
      <c r="AS26" s="68">
        <f>IFERROR((TP_DATA[[#This Row],[D, bottom '[m']]]+TP_DATA[[#This Row],[D, top '[m']]])/(2*TP_DATA[[#This Row],[t '[mm']]]/1000),"")</f>
        <v>68.376068376068375</v>
      </c>
      <c r="AU26">
        <v>20.7</v>
      </c>
      <c r="AV26">
        <v>20000</v>
      </c>
      <c r="AW26" t="s">
        <v>113</v>
      </c>
      <c r="AY26" s="67">
        <v>2</v>
      </c>
      <c r="AZ26" s="67">
        <v>17.5</v>
      </c>
      <c r="BA26" s="67">
        <v>13.5</v>
      </c>
      <c r="BB26">
        <v>8</v>
      </c>
      <c r="BC26" s="67">
        <v>8</v>
      </c>
      <c r="BD26">
        <v>117</v>
      </c>
      <c r="BF26">
        <v>20.7</v>
      </c>
      <c r="BG26">
        <v>20000</v>
      </c>
      <c r="BH26" t="s">
        <v>113</v>
      </c>
      <c r="BR26">
        <v>2</v>
      </c>
      <c r="BS26">
        <v>139.62</v>
      </c>
      <c r="BT26">
        <v>139.57</v>
      </c>
      <c r="BU26">
        <v>5.7039999999999997</v>
      </c>
      <c r="BV26">
        <v>5.7</v>
      </c>
      <c r="BW26">
        <v>26</v>
      </c>
      <c r="BX26" s="68">
        <f>IFERROR(TOWER_DATA[[#This Row],[Bottom '[m']]]-TOWER_DATA[[#This Row],[D, top '[m']]], "")</f>
        <v>133.86599999999999</v>
      </c>
      <c r="BY26" s="68">
        <f>IFERROR(-(TOWER_DATA[[#This Row],[D, bottom '[m']]]-TOWER_DATA[[#This Row],[D, top '[m']]])/(TOWER_DATA[[#This Row],[Bottom '[m']]]-TOWER_DATA[[#This Row],[Top '[m']]]),"")</f>
        <v>-7.9999999999972995E-2</v>
      </c>
      <c r="BZ26" s="68">
        <f t="shared" si="2"/>
        <v>0.1819722933976623</v>
      </c>
      <c r="CA26" s="68">
        <f>IFERROR((TOWER_DATA[[#This Row],[D, bottom '[m']]]+TOWER_DATA[[#This Row],[D, top '[m']]])/(2*TOWER_DATA[[#This Row],[t '[mm']]]/1000),"")</f>
        <v>219.30769230769232</v>
      </c>
      <c r="CC26" s="69">
        <v>138.102</v>
      </c>
      <c r="CD26" s="69">
        <v>1500</v>
      </c>
      <c r="CE26" s="69" t="s">
        <v>117</v>
      </c>
      <c r="CG26" s="67">
        <v>2</v>
      </c>
      <c r="CH26" s="67">
        <v>139.62</v>
      </c>
      <c r="CI26" s="67">
        <v>139.57</v>
      </c>
      <c r="CJ26">
        <v>5.7039999999999997</v>
      </c>
      <c r="CK26" s="67">
        <v>5.7</v>
      </c>
      <c r="CL26">
        <v>26</v>
      </c>
      <c r="CN26">
        <v>138.102</v>
      </c>
      <c r="CO26">
        <v>1500</v>
      </c>
      <c r="CP26" t="s">
        <v>117</v>
      </c>
    </row>
    <row r="27" spans="1:102" x14ac:dyDescent="0.3">
      <c r="B27">
        <v>3</v>
      </c>
      <c r="C27" s="76">
        <v>-0.6</v>
      </c>
      <c r="D27" s="76">
        <v>-3.8</v>
      </c>
      <c r="E27">
        <v>8</v>
      </c>
      <c r="F27">
        <v>8</v>
      </c>
      <c r="G27">
        <v>125</v>
      </c>
      <c r="H27" s="68">
        <f>IFERROR(MP_DATA[[#This Row],[Bottom '[m']]]-MP_DATA[[#This Row],[D, top '[m']]], "")</f>
        <v>-11.8</v>
      </c>
      <c r="I27" s="68">
        <f>IFERROR(-(MP_DATA[[#This Row],[D, bottom '[m']]]-MP_DATA[[#This Row],[D, top '[m']]])/(MP_DATA[[#This Row],[Bottom '[m']]]-MP_DATA[[#This Row],[Top '[m']]]),"")</f>
        <v>0</v>
      </c>
      <c r="J27" s="68">
        <f t="shared" si="0"/>
        <v>77.683732341641587</v>
      </c>
      <c r="K27" s="68">
        <f>IFERROR((MP_DATA[[#This Row],[D, bottom '[m']]]+MP_DATA[[#This Row],[D, top '[m']]])/(2*MP_DATA[[#This Row],[t '[mm']]]/1000),"")</f>
        <v>64</v>
      </c>
      <c r="M27">
        <v>0.3</v>
      </c>
      <c r="N27">
        <v>100000</v>
      </c>
      <c r="O27" t="s">
        <v>109</v>
      </c>
      <c r="Q27" s="67">
        <v>3</v>
      </c>
      <c r="R27" s="73">
        <v>-0.6</v>
      </c>
      <c r="S27" s="73">
        <v>-3.8</v>
      </c>
      <c r="T27">
        <v>8</v>
      </c>
      <c r="U27" s="67">
        <v>8</v>
      </c>
      <c r="V27">
        <v>125</v>
      </c>
      <c r="X27">
        <v>0.3</v>
      </c>
      <c r="Y27">
        <v>100000</v>
      </c>
      <c r="Z27" t="s">
        <v>109</v>
      </c>
      <c r="AJ27">
        <v>3</v>
      </c>
      <c r="AK27">
        <v>13.5</v>
      </c>
      <c r="AL27">
        <v>9.5</v>
      </c>
      <c r="AM27">
        <v>8</v>
      </c>
      <c r="AN27">
        <v>8</v>
      </c>
      <c r="AO27">
        <v>124</v>
      </c>
      <c r="AP27" s="68">
        <f>IFERROR(TP_DATA[[#This Row],[Bottom '[m']]]-TP_DATA[[#This Row],[D, top '[m']]], "")</f>
        <v>1.5</v>
      </c>
      <c r="AQ27" s="68">
        <f>IFERROR(-(TP_DATA[[#This Row],[D, bottom '[m']]]-TP_DATA[[#This Row],[D, top '[m']]])/(TP_DATA[[#This Row],[Bottom '[m']]]-TP_DATA[[#This Row],[Top '[m']]]),"")</f>
        <v>0</v>
      </c>
      <c r="AR27" s="68">
        <f t="shared" si="1"/>
        <v>96.340060208791698</v>
      </c>
      <c r="AS27" s="68">
        <f>IFERROR((TP_DATA[[#This Row],[D, bottom '[m']]]+TP_DATA[[#This Row],[D, top '[m']]])/(2*TP_DATA[[#This Row],[t '[mm']]]/1000),"")</f>
        <v>64.516129032258064</v>
      </c>
      <c r="AU27">
        <v>20.100000000000001</v>
      </c>
      <c r="AV27">
        <v>5000</v>
      </c>
      <c r="AW27" t="s">
        <v>104</v>
      </c>
      <c r="AY27" s="67">
        <v>3</v>
      </c>
      <c r="AZ27" s="67">
        <v>13.5</v>
      </c>
      <c r="BA27" s="67">
        <v>9.5</v>
      </c>
      <c r="BB27">
        <v>8</v>
      </c>
      <c r="BC27" s="67">
        <v>8</v>
      </c>
      <c r="BD27">
        <v>124</v>
      </c>
      <c r="BF27">
        <v>20.100000000000001</v>
      </c>
      <c r="BG27">
        <v>5000</v>
      </c>
      <c r="BH27" t="s">
        <v>104</v>
      </c>
      <c r="BR27">
        <v>3</v>
      </c>
      <c r="BS27">
        <v>139.57</v>
      </c>
      <c r="BT27">
        <v>138.72</v>
      </c>
      <c r="BU27">
        <v>5.7</v>
      </c>
      <c r="BV27">
        <v>5.7023000000000001</v>
      </c>
      <c r="BW27">
        <v>22.3</v>
      </c>
      <c r="BX27" s="68">
        <f>IFERROR(TOWER_DATA[[#This Row],[Bottom '[m']]]-TOWER_DATA[[#This Row],[D, top '[m']]], "")</f>
        <v>133.02000000000001</v>
      </c>
      <c r="BY27" s="68">
        <f>IFERROR(-(TOWER_DATA[[#This Row],[D, bottom '[m']]]-TOWER_DATA[[#This Row],[D, top '[m']]])/(TOWER_DATA[[#This Row],[Bottom '[m']]]-TOWER_DATA[[#This Row],[Top '[m']]]),"")</f>
        <v>2.7058823529411578E-3</v>
      </c>
      <c r="BZ27" s="68">
        <f t="shared" si="2"/>
        <v>2.6546282739380436</v>
      </c>
      <c r="CA27" s="68">
        <f>IFERROR((TOWER_DATA[[#This Row],[D, bottom '[m']]]+TOWER_DATA[[#This Row],[D, top '[m']]])/(2*TOWER_DATA[[#This Row],[t '[mm']]]/1000),"")</f>
        <v>255.65695067264573</v>
      </c>
      <c r="CC27" s="69">
        <v>135.208</v>
      </c>
      <c r="CD27" s="69">
        <v>25000</v>
      </c>
      <c r="CE27" s="69" t="s">
        <v>117</v>
      </c>
      <c r="CG27" s="67">
        <v>3</v>
      </c>
      <c r="CH27" s="67">
        <v>139.57</v>
      </c>
      <c r="CI27" s="67">
        <v>138.72</v>
      </c>
      <c r="CJ27">
        <v>5.7</v>
      </c>
      <c r="CK27" s="67">
        <v>5.7023000000000001</v>
      </c>
      <c r="CL27">
        <v>22.3</v>
      </c>
      <c r="CN27">
        <v>135.208</v>
      </c>
      <c r="CO27">
        <v>25000</v>
      </c>
      <c r="CP27" t="s">
        <v>117</v>
      </c>
    </row>
    <row r="28" spans="1:102" x14ac:dyDescent="0.3">
      <c r="B28">
        <v>4</v>
      </c>
      <c r="C28" s="76">
        <v>-3.8</v>
      </c>
      <c r="D28" s="76">
        <v>-7.3</v>
      </c>
      <c r="E28">
        <v>8</v>
      </c>
      <c r="F28">
        <v>8.44</v>
      </c>
      <c r="G28">
        <v>125</v>
      </c>
      <c r="H28" s="68">
        <f>IFERROR(MP_DATA[[#This Row],[Bottom '[m']]]-MP_DATA[[#This Row],[D, top '[m']]], "")</f>
        <v>-15.3</v>
      </c>
      <c r="I28" s="68">
        <f>IFERROR(-(MP_DATA[[#This Row],[D, bottom '[m']]]-MP_DATA[[#This Row],[D, top '[m']]])/(MP_DATA[[#This Row],[Bottom '[m']]]-MP_DATA[[#This Row],[Top '[m']]]),"")</f>
        <v>0.12571428571428558</v>
      </c>
      <c r="J28" s="68">
        <f t="shared" si="0"/>
        <v>87.340251847998317</v>
      </c>
      <c r="K28" s="68">
        <f>IFERROR((MP_DATA[[#This Row],[D, bottom '[m']]]+MP_DATA[[#This Row],[D, top '[m']]])/(2*MP_DATA[[#This Row],[t '[mm']]]/1000),"")</f>
        <v>65.759999999999991</v>
      </c>
      <c r="M28">
        <v>-5</v>
      </c>
      <c r="N28">
        <v>1</v>
      </c>
      <c r="O28" t="s">
        <v>110</v>
      </c>
      <c r="Q28" s="67">
        <v>4</v>
      </c>
      <c r="R28" s="73">
        <v>-3.8</v>
      </c>
      <c r="S28" s="73">
        <v>-7.3</v>
      </c>
      <c r="T28">
        <v>8</v>
      </c>
      <c r="U28" s="67">
        <v>8.44</v>
      </c>
      <c r="V28">
        <v>125</v>
      </c>
      <c r="X28">
        <v>-5</v>
      </c>
      <c r="Y28">
        <v>1</v>
      </c>
      <c r="Z28" t="s">
        <v>110</v>
      </c>
      <c r="AJ28">
        <v>4</v>
      </c>
      <c r="AK28">
        <v>9.5</v>
      </c>
      <c r="AL28">
        <v>5.8</v>
      </c>
      <c r="AM28">
        <v>8</v>
      </c>
      <c r="AN28">
        <v>8</v>
      </c>
      <c r="AO28">
        <v>120</v>
      </c>
      <c r="AP28" s="68">
        <f>IFERROR(TP_DATA[[#This Row],[Bottom '[m']]]-TP_DATA[[#This Row],[D, top '[m']]], "")</f>
        <v>-2.2000000000000002</v>
      </c>
      <c r="AQ28" s="68">
        <f>IFERROR(-(TP_DATA[[#This Row],[D, bottom '[m']]]-TP_DATA[[#This Row],[D, top '[m']]])/(TP_DATA[[#This Row],[Bottom '[m']]]-TP_DATA[[#This Row],[Top '[m']]]),"")</f>
        <v>0</v>
      </c>
      <c r="AR28" s="68">
        <f t="shared" si="1"/>
        <v>86.283691434396232</v>
      </c>
      <c r="AS28" s="68">
        <f>IFERROR((TP_DATA[[#This Row],[D, bottom '[m']]]+TP_DATA[[#This Row],[D, top '[m']]])/(2*TP_DATA[[#This Row],[t '[mm']]]/1000),"")</f>
        <v>66.666666666666671</v>
      </c>
      <c r="AU28">
        <v>14</v>
      </c>
      <c r="AV28">
        <v>5000</v>
      </c>
      <c r="AW28" t="s">
        <v>114</v>
      </c>
      <c r="AY28" s="67">
        <v>4</v>
      </c>
      <c r="AZ28" s="67">
        <v>9.5</v>
      </c>
      <c r="BA28" s="67">
        <v>5.8</v>
      </c>
      <c r="BB28">
        <v>8</v>
      </c>
      <c r="BC28" s="67">
        <v>8</v>
      </c>
      <c r="BD28">
        <v>120</v>
      </c>
      <c r="BF28">
        <v>14</v>
      </c>
      <c r="BG28">
        <v>5000</v>
      </c>
      <c r="BH28" t="s">
        <v>114</v>
      </c>
      <c r="BR28">
        <v>4</v>
      </c>
      <c r="BS28">
        <v>138.72</v>
      </c>
      <c r="BT28">
        <v>138.602</v>
      </c>
      <c r="BU28">
        <v>5.7023000000000001</v>
      </c>
      <c r="BV28">
        <v>5.7051999999999996</v>
      </c>
      <c r="BW28">
        <v>22.3</v>
      </c>
      <c r="BX28" s="68">
        <f>IFERROR(TOWER_DATA[[#This Row],[Bottom '[m']]]-TOWER_DATA[[#This Row],[D, top '[m']]], "")</f>
        <v>132.8997</v>
      </c>
      <c r="BY28" s="68">
        <f>IFERROR(-(TOWER_DATA[[#This Row],[D, bottom '[m']]]-TOWER_DATA[[#This Row],[D, top '[m']]])/(TOWER_DATA[[#This Row],[Bottom '[m']]]-TOWER_DATA[[#This Row],[Top '[m']]]),"")</f>
        <v>2.457627118643713E-2</v>
      </c>
      <c r="BZ28" s="68">
        <f t="shared" si="2"/>
        <v>0.36869359138513769</v>
      </c>
      <c r="CA28" s="68">
        <f>IFERROR((TOWER_DATA[[#This Row],[D, bottom '[m']]]+TOWER_DATA[[#This Row],[D, top '[m']]])/(2*TOWER_DATA[[#This Row],[t '[mm']]]/1000),"")</f>
        <v>255.77354260089683</v>
      </c>
      <c r="CC28" s="69">
        <v>133.21100000000001</v>
      </c>
      <c r="CD28" s="69">
        <v>1000</v>
      </c>
      <c r="CE28" s="69" t="s">
        <v>117</v>
      </c>
      <c r="CG28" s="67">
        <v>4</v>
      </c>
      <c r="CH28" s="67">
        <v>138.72</v>
      </c>
      <c r="CI28" s="67">
        <v>138.602</v>
      </c>
      <c r="CJ28">
        <v>5.7023000000000001</v>
      </c>
      <c r="CK28" s="67">
        <v>5.7051999999999996</v>
      </c>
      <c r="CL28">
        <v>22.3</v>
      </c>
      <c r="CN28">
        <v>133.21100000000001</v>
      </c>
      <c r="CO28">
        <v>1000</v>
      </c>
      <c r="CP28" t="s">
        <v>117</v>
      </c>
    </row>
    <row r="29" spans="1:102" x14ac:dyDescent="0.3">
      <c r="B29">
        <v>5</v>
      </c>
      <c r="C29" s="76">
        <v>-7.3</v>
      </c>
      <c r="D29" s="76">
        <v>-10.8</v>
      </c>
      <c r="E29">
        <v>8.44</v>
      </c>
      <c r="F29">
        <v>8.8800000000000008</v>
      </c>
      <c r="G29">
        <v>106</v>
      </c>
      <c r="H29" s="68">
        <f>IFERROR(MP_DATA[[#This Row],[Bottom '[m']]]-MP_DATA[[#This Row],[D, top '[m']]], "")</f>
        <v>-19.240000000000002</v>
      </c>
      <c r="I29" s="68">
        <f>IFERROR(-(MP_DATA[[#This Row],[D, bottom '[m']]]-MP_DATA[[#This Row],[D, top '[m']]])/(MP_DATA[[#This Row],[Bottom '[m']]]-MP_DATA[[#This Row],[Top '[m']]]),"")</f>
        <v>0.12571428571428606</v>
      </c>
      <c r="J29" s="68">
        <f t="shared" si="0"/>
        <v>78.26411613749147</v>
      </c>
      <c r="K29" s="68">
        <f>IFERROR((MP_DATA[[#This Row],[D, bottom '[m']]]+MP_DATA[[#This Row],[D, top '[m']]])/(2*MP_DATA[[#This Row],[t '[mm']]]/1000),"")</f>
        <v>81.698113207547181</v>
      </c>
      <c r="L29" s="68" t="str">
        <f>IFERROR((MP_DATA[[#This Row],[D, bottom '[m']]]+#REF!)/(2*#REF!/1000),"")</f>
        <v/>
      </c>
      <c r="M29">
        <v>-43.3</v>
      </c>
      <c r="N29">
        <v>1</v>
      </c>
      <c r="O29" t="s">
        <v>111</v>
      </c>
      <c r="Q29" s="67">
        <v>5</v>
      </c>
      <c r="R29" s="73">
        <v>-7.3</v>
      </c>
      <c r="S29" s="73">
        <v>-10.8</v>
      </c>
      <c r="T29" s="67">
        <v>8.44</v>
      </c>
      <c r="U29" s="67">
        <v>8.8800000000000008</v>
      </c>
      <c r="V29" s="67">
        <v>106</v>
      </c>
      <c r="X29">
        <v>-43.3</v>
      </c>
      <c r="Y29">
        <v>1</v>
      </c>
      <c r="Z29" t="s">
        <v>111</v>
      </c>
      <c r="AP29" s="68" t="str">
        <f>IFERROR(TP_DATA[[#This Row],[Bottom '[m']]]-TP_DATA[[#This Row],[D, top '[m']]], "")</f>
        <v/>
      </c>
      <c r="AQ29" s="68" t="str">
        <f>IFERROR(-(TP_DATA[[#This Row],[D, bottom '[m']]]-TP_DATA[[#This Row],[D, top '[m']]])/(TP_DATA[[#This Row],[Bottom '[m']]]-TP_DATA[[#This Row],[Top '[m']]]),"")</f>
        <v/>
      </c>
      <c r="AR29" s="68" t="str">
        <f t="shared" si="1"/>
        <v/>
      </c>
      <c r="AS29" s="68" t="str">
        <f>IFERROR((TP_DATA[[#This Row],[D, bottom '[m']]]+TP_DATA[[#This Row],[D, top '[m']]])/(2*TP_DATA[[#This Row],[t '[mm']]]/1000),"")</f>
        <v/>
      </c>
      <c r="AT29" s="68" t="str">
        <f>IFERROR((TP_DATA[[#This Row],[D, bottom '[m']]]+#REF!)/(2*#REF!/1000),"")</f>
        <v/>
      </c>
      <c r="AU29">
        <v>6.1</v>
      </c>
      <c r="AV29">
        <v>200</v>
      </c>
      <c r="AW29" t="s">
        <v>115</v>
      </c>
      <c r="AY29" s="67"/>
      <c r="AZ29" s="67"/>
      <c r="BA29" s="67"/>
      <c r="BB29" s="67"/>
      <c r="BC29" s="67"/>
      <c r="BD29" s="67"/>
      <c r="BF29">
        <v>6.1</v>
      </c>
      <c r="BG29">
        <v>200</v>
      </c>
      <c r="BH29" t="s">
        <v>115</v>
      </c>
      <c r="BR29">
        <v>5</v>
      </c>
      <c r="BS29">
        <v>138.602</v>
      </c>
      <c r="BT29">
        <v>136.524</v>
      </c>
      <c r="BU29">
        <v>5.7051999999999996</v>
      </c>
      <c r="BV29">
        <v>5.7557999999999998</v>
      </c>
      <c r="BW29">
        <v>21.8</v>
      </c>
      <c r="BX29" s="68">
        <f>IFERROR(TOWER_DATA[[#This Row],[Bottom '[m']]]-TOWER_DATA[[#This Row],[D, top '[m']]], "")</f>
        <v>130.81880000000001</v>
      </c>
      <c r="BY29" s="68">
        <f>IFERROR(-(TOWER_DATA[[#This Row],[D, bottom '[m']]]-TOWER_DATA[[#This Row],[D, top '[m']]])/(TOWER_DATA[[#This Row],[Bottom '[m']]]-TOWER_DATA[[#This Row],[Top '[m']]]),"")</f>
        <v>2.4350336862367723E-2</v>
      </c>
      <c r="BZ29" s="68">
        <f t="shared" si="2"/>
        <v>6.3776221755356737</v>
      </c>
      <c r="CA29" s="68">
        <f>IFERROR((TOWER_DATA[[#This Row],[D, bottom '[m']]]+TOWER_DATA[[#This Row],[D, top '[m']]])/(2*TOWER_DATA[[#This Row],[t '[mm']]]/1000),"")</f>
        <v>262.86697247706417</v>
      </c>
      <c r="CB29" s="68" t="str">
        <f>IFERROR((TOWER_DATA[[#This Row],[D, bottom '[m']]]+#REF!)/(2*#REF!/1000),"")</f>
        <v/>
      </c>
      <c r="CC29" s="69">
        <v>113.741</v>
      </c>
      <c r="CD29" s="69">
        <v>4156</v>
      </c>
      <c r="CE29" s="69" t="s">
        <v>117</v>
      </c>
      <c r="CG29" s="67">
        <v>5</v>
      </c>
      <c r="CH29" s="67">
        <v>138.602</v>
      </c>
      <c r="CI29" s="67">
        <v>136.524</v>
      </c>
      <c r="CJ29" s="67">
        <v>5.7051999999999996</v>
      </c>
      <c r="CK29" s="67">
        <v>5.7557999999999998</v>
      </c>
      <c r="CL29" s="67">
        <v>21.8</v>
      </c>
      <c r="CN29">
        <v>113.741</v>
      </c>
      <c r="CO29">
        <v>4156</v>
      </c>
      <c r="CP29" t="s">
        <v>117</v>
      </c>
    </row>
    <row r="30" spans="1:102" x14ac:dyDescent="0.3">
      <c r="B30">
        <v>6</v>
      </c>
      <c r="C30" s="76">
        <v>-10.8</v>
      </c>
      <c r="D30" s="76">
        <v>-14.3</v>
      </c>
      <c r="E30">
        <v>8.8800000000000008</v>
      </c>
      <c r="F30">
        <v>9.31</v>
      </c>
      <c r="G30">
        <v>116</v>
      </c>
      <c r="H30" s="68">
        <f>IFERROR(MP_DATA[[#This Row],[Bottom '[m']]]-MP_DATA[[#This Row],[D, top '[m']]], "")</f>
        <v>-23.18</v>
      </c>
      <c r="I30" s="68">
        <f>IFERROR(-(MP_DATA[[#This Row],[D, bottom '[m']]]-MP_DATA[[#This Row],[D, top '[m']]])/(MP_DATA[[#This Row],[Bottom '[m']]]-MP_DATA[[#This Row],[Top '[m']]]),"")</f>
        <v>0.12285714285714278</v>
      </c>
      <c r="J30" s="68">
        <f t="shared" si="0"/>
        <v>89.902865547432455</v>
      </c>
      <c r="K30" s="68">
        <f>IFERROR((MP_DATA[[#This Row],[D, bottom '[m']]]+MP_DATA[[#This Row],[D, top '[m']]])/(2*MP_DATA[[#This Row],[t '[mm']]]/1000),"")</f>
        <v>78.40517241379311</v>
      </c>
      <c r="L30" s="68" t="str">
        <f>IFERROR((MP_DATA[[#This Row],[D, bottom '[m']]]+#REF!)/(2*#REF!/1000),"")</f>
        <v/>
      </c>
      <c r="Q30" s="67">
        <v>6</v>
      </c>
      <c r="R30" s="73">
        <v>-10.8</v>
      </c>
      <c r="S30" s="73">
        <v>-14.3</v>
      </c>
      <c r="T30" s="67">
        <v>8.8800000000000008</v>
      </c>
      <c r="U30" s="67">
        <v>9.31</v>
      </c>
      <c r="V30" s="67">
        <v>116</v>
      </c>
      <c r="AP30" s="68" t="str">
        <f>IFERROR(TP_DATA[[#This Row],[Bottom '[m']]]-TP_DATA[[#This Row],[D, top '[m']]], "")</f>
        <v/>
      </c>
      <c r="AQ30" s="68" t="str">
        <f>IFERROR(-(TP_DATA[[#This Row],[D, bottom '[m']]]-TP_DATA[[#This Row],[D, top '[m']]])/(TP_DATA[[#This Row],[Bottom '[m']]]-TP_DATA[[#This Row],[Top '[m']]]),"")</f>
        <v/>
      </c>
      <c r="AR30" s="68" t="str">
        <f t="shared" si="1"/>
        <v/>
      </c>
      <c r="AS30" s="68" t="str">
        <f>IFERROR((TP_DATA[[#This Row],[D, bottom '[m']]]+TP_DATA[[#This Row],[D, top '[m']]])/(2*TP_DATA[[#This Row],[t '[mm']]]/1000),"")</f>
        <v/>
      </c>
      <c r="AT30" s="68" t="str">
        <f>IFERROR((TP_DATA[[#This Row],[D, bottom '[m']]]+#REF!)/(2*#REF!/1000),"")</f>
        <v/>
      </c>
      <c r="AY30" s="67"/>
      <c r="AZ30" s="67"/>
      <c r="BA30" s="67"/>
      <c r="BB30" s="67"/>
      <c r="BC30" s="67"/>
      <c r="BD30" s="67"/>
      <c r="BR30">
        <v>6</v>
      </c>
      <c r="BS30">
        <v>136.524</v>
      </c>
      <c r="BT30">
        <v>135.708</v>
      </c>
      <c r="BU30">
        <v>5.7557999999999998</v>
      </c>
      <c r="BV30">
        <v>5.7717999999999998</v>
      </c>
      <c r="BW30">
        <v>21.8</v>
      </c>
      <c r="BX30" s="68">
        <f>IFERROR(TOWER_DATA[[#This Row],[Bottom '[m']]]-TOWER_DATA[[#This Row],[D, top '[m']]], "")</f>
        <v>129.9522</v>
      </c>
      <c r="BY30" s="68">
        <f>IFERROR(-(TOWER_DATA[[#This Row],[D, bottom '[m']]]-TOWER_DATA[[#This Row],[D, top '[m']]])/(TOWER_DATA[[#This Row],[Bottom '[m']]]-TOWER_DATA[[#This Row],[Top '[m']]]),"")</f>
        <v>1.960784313725486E-2</v>
      </c>
      <c r="BZ30" s="68">
        <f t="shared" si="2"/>
        <v>2.5190069745336889</v>
      </c>
      <c r="CA30" s="68">
        <f>IFERROR((TOWER_DATA[[#This Row],[D, bottom '[m']]]+TOWER_DATA[[#This Row],[D, top '[m']]])/(2*TOWER_DATA[[#This Row],[t '[mm']]]/1000),"")</f>
        <v>264.39449541284404</v>
      </c>
      <c r="CB30" s="68" t="str">
        <f>IFERROR((TOWER_DATA[[#This Row],[D, bottom '[m']]]+#REF!)/(2*#REF!/1000),"")</f>
        <v/>
      </c>
      <c r="CC30" s="69">
        <v>113.621</v>
      </c>
      <c r="CD30" s="69">
        <v>4156</v>
      </c>
      <c r="CE30" s="69" t="s">
        <v>117</v>
      </c>
      <c r="CG30" s="67">
        <v>6</v>
      </c>
      <c r="CH30" s="67">
        <v>136.524</v>
      </c>
      <c r="CI30" s="67">
        <v>135.708</v>
      </c>
      <c r="CJ30" s="67">
        <v>5.7557999999999998</v>
      </c>
      <c r="CK30" s="67">
        <v>5.7717999999999998</v>
      </c>
      <c r="CL30" s="67">
        <v>21.8</v>
      </c>
      <c r="CN30">
        <v>113.621</v>
      </c>
      <c r="CO30">
        <v>4156</v>
      </c>
      <c r="CP30" t="s">
        <v>117</v>
      </c>
    </row>
    <row r="31" spans="1:102" x14ac:dyDescent="0.3">
      <c r="B31">
        <v>7</v>
      </c>
      <c r="C31" s="76">
        <v>-14.3</v>
      </c>
      <c r="D31" s="76">
        <v>-17.8</v>
      </c>
      <c r="E31">
        <v>9.31</v>
      </c>
      <c r="F31">
        <v>9.75</v>
      </c>
      <c r="G31">
        <v>103</v>
      </c>
      <c r="H31" s="68">
        <f>IFERROR(MP_DATA[[#This Row],[Bottom '[m']]]-MP_DATA[[#This Row],[D, top '[m']]], "")</f>
        <v>-27.11</v>
      </c>
      <c r="I31" s="68">
        <f>IFERROR(-(MP_DATA[[#This Row],[D, bottom '[m']]]-MP_DATA[[#This Row],[D, top '[m']]])/(MP_DATA[[#This Row],[Bottom '[m']]]-MP_DATA[[#This Row],[Top '[m']]]),"")</f>
        <v>0.12571428571428558</v>
      </c>
      <c r="J31" s="68">
        <f t="shared" si="0"/>
        <v>83.810475680910201</v>
      </c>
      <c r="K31" s="68">
        <f>IFERROR((MP_DATA[[#This Row],[D, bottom '[m']]]+MP_DATA[[#This Row],[D, top '[m']]])/(2*MP_DATA[[#This Row],[t '[mm']]]/1000),"")</f>
        <v>92.524271844660205</v>
      </c>
      <c r="L31" s="68" t="str">
        <f>IFERROR((MP_DATA[[#This Row],[D, bottom '[m']]]+#REF!)/(2*#REF!/1000),"")</f>
        <v/>
      </c>
      <c r="Q31" s="67">
        <v>7</v>
      </c>
      <c r="R31" s="73">
        <v>-14.3</v>
      </c>
      <c r="S31" s="73">
        <v>-17.8</v>
      </c>
      <c r="T31" s="67">
        <v>9.31</v>
      </c>
      <c r="U31" s="67">
        <v>9.75</v>
      </c>
      <c r="V31" s="67">
        <v>103</v>
      </c>
      <c r="AP31" s="68" t="str">
        <f>IFERROR(TP_DATA[[#This Row],[Bottom '[m']]]-TP_DATA[[#This Row],[D, top '[m']]], "")</f>
        <v/>
      </c>
      <c r="AQ31" s="68" t="str">
        <f>IFERROR(-(TP_DATA[[#This Row],[D, bottom '[m']]]-TP_DATA[[#This Row],[D, top '[m']]])/(TP_DATA[[#This Row],[Bottom '[m']]]-TP_DATA[[#This Row],[Top '[m']]]),"")</f>
        <v/>
      </c>
      <c r="AR31" s="68" t="str">
        <f t="shared" si="1"/>
        <v/>
      </c>
      <c r="AS31" s="68" t="str">
        <f>IFERROR((TP_DATA[[#This Row],[D, bottom '[m']]]+TP_DATA[[#This Row],[D, top '[m']]])/(2*TP_DATA[[#This Row],[t '[mm']]]/1000),"")</f>
        <v/>
      </c>
      <c r="AT31" s="68" t="str">
        <f>IFERROR((TP_DATA[[#This Row],[D, bottom '[m']]]+#REF!)/(2*#REF!/1000),"")</f>
        <v/>
      </c>
      <c r="AY31" s="67"/>
      <c r="AZ31" s="67"/>
      <c r="BA31" s="67"/>
      <c r="BB31" s="67"/>
      <c r="BC31" s="67"/>
      <c r="BD31" s="67"/>
      <c r="BR31">
        <v>7</v>
      </c>
      <c r="BS31">
        <v>135.708</v>
      </c>
      <c r="BT31">
        <v>133.73699999999999</v>
      </c>
      <c r="BU31">
        <v>5.7717999999999998</v>
      </c>
      <c r="BV31">
        <v>5.8105000000000002</v>
      </c>
      <c r="BW31">
        <v>21.5</v>
      </c>
      <c r="BX31" s="68">
        <f>IFERROR(TOWER_DATA[[#This Row],[Bottom '[m']]]-TOWER_DATA[[#This Row],[D, top '[m']]], "")</f>
        <v>127.9652</v>
      </c>
      <c r="BY31" s="68">
        <f>IFERROR(-(TOWER_DATA[[#This Row],[D, bottom '[m']]]-TOWER_DATA[[#This Row],[D, top '[m']]])/(TOWER_DATA[[#This Row],[Bottom '[m']]]-TOWER_DATA[[#This Row],[Top '[m']]]),"")</f>
        <v>1.9634703196347199E-2</v>
      </c>
      <c r="BZ31" s="68">
        <f t="shared" si="2"/>
        <v>6.0296774719339465</v>
      </c>
      <c r="CA31" s="68">
        <f>IFERROR((TOWER_DATA[[#This Row],[D, bottom '[m']]]+TOWER_DATA[[#This Row],[D, top '[m']]])/(2*TOWER_DATA[[#This Row],[t '[mm']]]/1000),"")</f>
        <v>269.35581395348839</v>
      </c>
      <c r="CB31" s="68" t="str">
        <f>IFERROR((TOWER_DATA[[#This Row],[D, bottom '[m']]]+#REF!)/(2*#REF!/1000),"")</f>
        <v/>
      </c>
      <c r="CC31" s="69">
        <v>112.32299999999999</v>
      </c>
      <c r="CD31" s="69">
        <v>1500</v>
      </c>
      <c r="CE31" s="69" t="s">
        <v>117</v>
      </c>
      <c r="CG31" s="67">
        <v>7</v>
      </c>
      <c r="CH31" s="67">
        <v>135.708</v>
      </c>
      <c r="CI31" s="67">
        <v>133.73699999999999</v>
      </c>
      <c r="CJ31" s="67">
        <v>5.7717999999999998</v>
      </c>
      <c r="CK31" s="67">
        <v>5.8105000000000002</v>
      </c>
      <c r="CL31" s="67">
        <v>21.5</v>
      </c>
      <c r="CN31">
        <v>112.32299999999999</v>
      </c>
      <c r="CO31">
        <v>1500</v>
      </c>
      <c r="CP31" t="s">
        <v>117</v>
      </c>
    </row>
    <row r="32" spans="1:102" x14ac:dyDescent="0.3">
      <c r="B32">
        <v>8</v>
      </c>
      <c r="C32" s="76">
        <v>-17.8</v>
      </c>
      <c r="D32" s="76">
        <v>-21.3</v>
      </c>
      <c r="E32">
        <v>9.75</v>
      </c>
      <c r="F32">
        <v>10.19</v>
      </c>
      <c r="G32">
        <v>98</v>
      </c>
      <c r="H32" s="68">
        <f>IFERROR(MP_DATA[[#This Row],[Bottom '[m']]]-MP_DATA[[#This Row],[D, top '[m']]], "")</f>
        <v>-31.05</v>
      </c>
      <c r="I32" s="68">
        <f>IFERROR(-(MP_DATA[[#This Row],[D, bottom '[m']]]-MP_DATA[[#This Row],[D, top '[m']]])/(MP_DATA[[#This Row],[Bottom '[m']]]-MP_DATA[[#This Row],[Top '[m']]]),"")</f>
        <v>0.12571428571428558</v>
      </c>
      <c r="J32" s="68">
        <f t="shared" si="0"/>
        <v>83.506214395905459</v>
      </c>
      <c r="K32" s="68">
        <f>IFERROR((MP_DATA[[#This Row],[D, bottom '[m']]]+MP_DATA[[#This Row],[D, top '[m']]])/(2*MP_DATA[[#This Row],[t '[mm']]]/1000),"")</f>
        <v>101.73469387755101</v>
      </c>
      <c r="L32" s="68" t="str">
        <f>IFERROR((MP_DATA[[#This Row],[D, bottom '[m']]]+#REF!)/(2*#REF!/1000),"")</f>
        <v/>
      </c>
      <c r="Q32" s="67">
        <v>8</v>
      </c>
      <c r="R32" s="73">
        <v>-17.8</v>
      </c>
      <c r="S32" s="73">
        <v>-21.3</v>
      </c>
      <c r="T32" s="67">
        <v>9.75</v>
      </c>
      <c r="U32" s="67">
        <v>10.19</v>
      </c>
      <c r="V32" s="67">
        <v>98</v>
      </c>
      <c r="X32" s="67"/>
      <c r="Y32" s="67"/>
      <c r="Z32" s="67"/>
      <c r="AP32" s="68" t="str">
        <f>IFERROR(TP_DATA[[#This Row],[Bottom '[m']]]-TP_DATA[[#This Row],[D, top '[m']]], "")</f>
        <v/>
      </c>
      <c r="AQ32" s="68" t="str">
        <f>IFERROR(-(TP_DATA[[#This Row],[D, bottom '[m']]]-TP_DATA[[#This Row],[D, top '[m']]])/(TP_DATA[[#This Row],[Bottom '[m']]]-TP_DATA[[#This Row],[Top '[m']]]),"")</f>
        <v/>
      </c>
      <c r="AR32" s="68" t="str">
        <f t="shared" si="1"/>
        <v/>
      </c>
      <c r="AS32" s="68" t="str">
        <f>IFERROR((TP_DATA[[#This Row],[D, bottom '[m']]]+TP_DATA[[#This Row],[D, top '[m']]])/(2*TP_DATA[[#This Row],[t '[mm']]]/1000),"")</f>
        <v/>
      </c>
      <c r="AT32" s="68" t="str">
        <f>IFERROR((TP_DATA[[#This Row],[D, bottom '[m']]]+#REF!)/(2*#REF!/1000),"")</f>
        <v/>
      </c>
      <c r="AY32" s="67"/>
      <c r="AZ32" s="67"/>
      <c r="BA32" s="67"/>
      <c r="BB32" s="67"/>
      <c r="BC32" s="67"/>
      <c r="BD32" s="67"/>
      <c r="BF32" s="67"/>
      <c r="BG32" s="67"/>
      <c r="BH32" s="67"/>
      <c r="BR32">
        <v>8</v>
      </c>
      <c r="BS32">
        <v>133.73699999999999</v>
      </c>
      <c r="BT32">
        <v>133.71100000000001</v>
      </c>
      <c r="BU32">
        <v>5.8105000000000002</v>
      </c>
      <c r="BV32">
        <v>5.8109999999999999</v>
      </c>
      <c r="BW32">
        <v>21.5</v>
      </c>
      <c r="BX32" s="68">
        <f>IFERROR(TOWER_DATA[[#This Row],[Bottom '[m']]]-TOWER_DATA[[#This Row],[D, top '[m']]], "")</f>
        <v>127.90050000000001</v>
      </c>
      <c r="BY32" s="68">
        <f>IFERROR(-(TOWER_DATA[[#This Row],[D, bottom '[m']]]-TOWER_DATA[[#This Row],[D, top '[m']]])/(TOWER_DATA[[#This Row],[Bottom '[m']]]-TOWER_DATA[[#This Row],[Top '[m']]]),"")</f>
        <v>1.9230769230771858E-2</v>
      </c>
      <c r="BZ32" s="68">
        <f t="shared" si="2"/>
        <v>7.9809325723593616E-2</v>
      </c>
      <c r="CA32" s="68">
        <f>IFERROR((TOWER_DATA[[#This Row],[D, bottom '[m']]]+TOWER_DATA[[#This Row],[D, top '[m']]])/(2*TOWER_DATA[[#This Row],[t '[mm']]]/1000),"")</f>
        <v>270.26744186046517</v>
      </c>
      <c r="CB32" s="68" t="str">
        <f>IFERROR((TOWER_DATA[[#This Row],[D, bottom '[m']]]+#REF!)/(2*#REF!/1000),"")</f>
        <v/>
      </c>
      <c r="CC32" s="69">
        <v>77.42</v>
      </c>
      <c r="CD32" s="69">
        <v>5785</v>
      </c>
      <c r="CE32" s="69" t="s">
        <v>117</v>
      </c>
      <c r="CG32" s="67">
        <v>8</v>
      </c>
      <c r="CH32" s="67">
        <v>133.73699999999999</v>
      </c>
      <c r="CI32" s="67">
        <v>133.71100000000001</v>
      </c>
      <c r="CJ32" s="67">
        <v>5.8105000000000002</v>
      </c>
      <c r="CK32" s="67">
        <v>5.8109999999999999</v>
      </c>
      <c r="CL32" s="67">
        <v>21.5</v>
      </c>
      <c r="CN32" s="67">
        <v>77.42</v>
      </c>
      <c r="CO32" s="67">
        <v>5785</v>
      </c>
      <c r="CP32" s="67" t="s">
        <v>117</v>
      </c>
    </row>
    <row r="33" spans="2:94" x14ac:dyDescent="0.3">
      <c r="B33">
        <v>9</v>
      </c>
      <c r="C33" s="76">
        <v>-21.3</v>
      </c>
      <c r="D33" s="76">
        <v>-24.8</v>
      </c>
      <c r="E33">
        <v>10.19</v>
      </c>
      <c r="F33">
        <v>10.63</v>
      </c>
      <c r="G33">
        <v>98</v>
      </c>
      <c r="H33" s="68">
        <f>IFERROR(MP_DATA[[#This Row],[Bottom '[m']]]-MP_DATA[[#This Row],[D, top '[m']]], "")</f>
        <v>-34.99</v>
      </c>
      <c r="I33" s="68">
        <f>IFERROR(-(MP_DATA[[#This Row],[D, bottom '[m']]]-MP_DATA[[#This Row],[D, top '[m']]])/(MP_DATA[[#This Row],[Bottom '[m']]]-MP_DATA[[#This Row],[Top '[m']]]),"")</f>
        <v>0.12571428571428608</v>
      </c>
      <c r="J33" s="68">
        <f t="shared" si="0"/>
        <v>87.228128327651717</v>
      </c>
      <c r="K33" s="68">
        <f>IFERROR((MP_DATA[[#This Row],[D, bottom '[m']]]+MP_DATA[[#This Row],[D, top '[m']]])/(2*MP_DATA[[#This Row],[t '[mm']]]/1000),"")</f>
        <v>106.22448979591836</v>
      </c>
      <c r="L33" s="68" t="str">
        <f>IFERROR((MP_DATA[[#This Row],[D, bottom '[m']]]+#REF!)/(2*#REF!/1000),"")</f>
        <v/>
      </c>
      <c r="Q33" s="67">
        <v>9</v>
      </c>
      <c r="R33" s="73">
        <v>-21.3</v>
      </c>
      <c r="S33" s="73">
        <v>-24.8</v>
      </c>
      <c r="T33" s="67">
        <v>10.19</v>
      </c>
      <c r="U33" s="67">
        <v>10.63</v>
      </c>
      <c r="V33" s="67">
        <v>98</v>
      </c>
      <c r="X33" s="67"/>
      <c r="Y33" s="67"/>
      <c r="Z33" s="67"/>
      <c r="AP33" s="68" t="str">
        <f>IFERROR(TP_DATA[[#This Row],[Bottom '[m']]]-TP_DATA[[#This Row],[D, top '[m']]], "")</f>
        <v/>
      </c>
      <c r="AQ33" s="68" t="str">
        <f>IFERROR(-(TP_DATA[[#This Row],[D, bottom '[m']]]-TP_DATA[[#This Row],[D, top '[m']]])/(TP_DATA[[#This Row],[Bottom '[m']]]-TP_DATA[[#This Row],[Top '[m']]]),"")</f>
        <v/>
      </c>
      <c r="AR33" s="68" t="str">
        <f t="shared" si="1"/>
        <v/>
      </c>
      <c r="AS33" s="68" t="str">
        <f>IFERROR((TP_DATA[[#This Row],[D, bottom '[m']]]+TP_DATA[[#This Row],[D, top '[m']]])/(2*TP_DATA[[#This Row],[t '[mm']]]/1000),"")</f>
        <v/>
      </c>
      <c r="AT33" s="68" t="str">
        <f>IFERROR((TP_DATA[[#This Row],[D, bottom '[m']]]+#REF!)/(2*#REF!/1000),"")</f>
        <v/>
      </c>
      <c r="AY33" s="67"/>
      <c r="AZ33" s="67"/>
      <c r="BA33" s="67"/>
      <c r="BB33" s="67"/>
      <c r="BC33" s="67"/>
      <c r="BD33" s="67"/>
      <c r="BF33" s="67"/>
      <c r="BG33" s="67"/>
      <c r="BH33" s="67"/>
      <c r="BR33">
        <v>9</v>
      </c>
      <c r="BS33">
        <v>133.71100000000001</v>
      </c>
      <c r="BT33">
        <v>130.953</v>
      </c>
      <c r="BU33">
        <v>5.8109999999999999</v>
      </c>
      <c r="BV33">
        <v>5.8646000000000003</v>
      </c>
      <c r="BW33">
        <v>21.6</v>
      </c>
      <c r="BX33" s="68">
        <f>IFERROR(TOWER_DATA[[#This Row],[Bottom '[m']]]-TOWER_DATA[[#This Row],[D, top '[m']]], "")</f>
        <v>125.142</v>
      </c>
      <c r="BY33" s="68">
        <f>IFERROR(-(TOWER_DATA[[#This Row],[D, bottom '[m']]]-TOWER_DATA[[#This Row],[D, top '[m']]])/(TOWER_DATA[[#This Row],[Bottom '[m']]]-TOWER_DATA[[#This Row],[Top '[m']]]),"")</f>
        <v>1.9434372733865165E-2</v>
      </c>
      <c r="BZ33" s="68">
        <f t="shared" si="2"/>
        <v>8.5448978339475516</v>
      </c>
      <c r="CA33" s="68">
        <f>IFERROR((TOWER_DATA[[#This Row],[D, bottom '[m']]]+TOWER_DATA[[#This Row],[D, top '[m']]])/(2*TOWER_DATA[[#This Row],[t '[mm']]]/1000),"")</f>
        <v>270.26851851851848</v>
      </c>
      <c r="CB33" s="68" t="str">
        <f>IFERROR((TOWER_DATA[[#This Row],[D, bottom '[m']]]+#REF!)/(2*#REF!/1000),"")</f>
        <v/>
      </c>
      <c r="CC33" s="69">
        <v>77.289999999999992</v>
      </c>
      <c r="CD33" s="69">
        <v>5785</v>
      </c>
      <c r="CE33" s="69" t="s">
        <v>117</v>
      </c>
      <c r="CG33" s="67">
        <v>9</v>
      </c>
      <c r="CH33" s="67">
        <v>133.71100000000001</v>
      </c>
      <c r="CI33" s="67">
        <v>130.953</v>
      </c>
      <c r="CJ33" s="67">
        <v>5.8109999999999999</v>
      </c>
      <c r="CK33" s="67">
        <v>5.8646000000000003</v>
      </c>
      <c r="CL33" s="67">
        <v>21.6</v>
      </c>
      <c r="CN33" s="67">
        <v>77.289999999999992</v>
      </c>
      <c r="CO33" s="67">
        <v>5785</v>
      </c>
      <c r="CP33" s="67" t="s">
        <v>117</v>
      </c>
    </row>
    <row r="34" spans="2:94" x14ac:dyDescent="0.3">
      <c r="B34">
        <v>10</v>
      </c>
      <c r="C34" s="76">
        <v>-24.8</v>
      </c>
      <c r="D34" s="76">
        <v>-28.3</v>
      </c>
      <c r="E34">
        <v>10.63</v>
      </c>
      <c r="F34">
        <v>11.06</v>
      </c>
      <c r="G34">
        <v>98</v>
      </c>
      <c r="H34" s="68">
        <f>IFERROR(MP_DATA[[#This Row],[Bottom '[m']]]-MP_DATA[[#This Row],[D, top '[m']]], "")</f>
        <v>-38.93</v>
      </c>
      <c r="I34" s="68">
        <f>IFERROR(-(MP_DATA[[#This Row],[D, bottom '[m']]]-MP_DATA[[#This Row],[D, top '[m']]])/(MP_DATA[[#This Row],[Bottom '[m']]]-MP_DATA[[#This Row],[Top '[m']]]),"")</f>
        <v>0.12285714285714278</v>
      </c>
      <c r="J34" s="68">
        <f t="shared" si="0"/>
        <v>90.907747782900842</v>
      </c>
      <c r="K34" s="68">
        <f>IFERROR((MP_DATA[[#This Row],[D, bottom '[m']]]+MP_DATA[[#This Row],[D, top '[m']]])/(2*MP_DATA[[#This Row],[t '[mm']]]/1000),"")</f>
        <v>110.66326530612245</v>
      </c>
      <c r="L34" s="68" t="str">
        <f>IFERROR((MP_DATA[[#This Row],[D, bottom '[m']]]+#REF!)/(2*#REF!/1000),"")</f>
        <v/>
      </c>
      <c r="Q34" s="67">
        <v>10</v>
      </c>
      <c r="R34" s="73">
        <v>-24.8</v>
      </c>
      <c r="S34" s="73">
        <v>-28.3</v>
      </c>
      <c r="T34" s="67">
        <v>10.63</v>
      </c>
      <c r="U34" s="67">
        <v>11.06</v>
      </c>
      <c r="V34" s="67">
        <v>98</v>
      </c>
      <c r="X34" s="67"/>
      <c r="Y34" s="67"/>
      <c r="Z34" s="67"/>
      <c r="AP34" s="68" t="str">
        <f>IFERROR(TP_DATA[[#This Row],[Bottom '[m']]]-TP_DATA[[#This Row],[D, top '[m']]], "")</f>
        <v/>
      </c>
      <c r="AQ34" s="68" t="str">
        <f>IFERROR(-(TP_DATA[[#This Row],[D, bottom '[m']]]-TP_DATA[[#This Row],[D, top '[m']]])/(TP_DATA[[#This Row],[Bottom '[m']]]-TP_DATA[[#This Row],[Top '[m']]]),"")</f>
        <v/>
      </c>
      <c r="AR34" s="68" t="str">
        <f t="shared" si="1"/>
        <v/>
      </c>
      <c r="AS34" s="68" t="str">
        <f>IFERROR((TP_DATA[[#This Row],[D, bottom '[m']]]+TP_DATA[[#This Row],[D, top '[m']]])/(2*TP_DATA[[#This Row],[t '[mm']]]/1000),"")</f>
        <v/>
      </c>
      <c r="AT34" s="68" t="str">
        <f>IFERROR((TP_DATA[[#This Row],[D, bottom '[m']]]+#REF!)/(2*#REF!/1000),"")</f>
        <v/>
      </c>
      <c r="AY34" s="67"/>
      <c r="AZ34" s="67"/>
      <c r="BA34" s="67"/>
      <c r="BB34" s="67"/>
      <c r="BC34" s="67"/>
      <c r="BD34" s="67"/>
      <c r="BF34" s="67"/>
      <c r="BG34" s="67"/>
      <c r="BH34" s="67"/>
      <c r="BR34">
        <v>10</v>
      </c>
      <c r="BS34">
        <v>130.953</v>
      </c>
      <c r="BT34">
        <v>128.16899999999998</v>
      </c>
      <c r="BU34">
        <v>5.8646000000000003</v>
      </c>
      <c r="BV34">
        <v>5.9176000000000002</v>
      </c>
      <c r="BW34">
        <v>19.599999999999998</v>
      </c>
      <c r="BX34" s="68">
        <f>IFERROR(TOWER_DATA[[#This Row],[Bottom '[m']]]-TOWER_DATA[[#This Row],[D, top '[m']]], "")</f>
        <v>122.30439999999999</v>
      </c>
      <c r="BY34" s="68">
        <f>IFERROR(-(TOWER_DATA[[#This Row],[D, bottom '[m']]]-TOWER_DATA[[#This Row],[D, top '[m']]])/(TOWER_DATA[[#This Row],[Bottom '[m']]]-TOWER_DATA[[#This Row],[Top '[m']]]),"")</f>
        <v>1.9037356321838918E-2</v>
      </c>
      <c r="BZ34" s="68">
        <f t="shared" si="2"/>
        <v>7.9012153166611743</v>
      </c>
      <c r="CA34" s="68">
        <f>IFERROR((TOWER_DATA[[#This Row],[D, bottom '[m']]]+TOWER_DATA[[#This Row],[D, top '[m']]])/(2*TOWER_DATA[[#This Row],[t '[mm']]]/1000),"")</f>
        <v>300.56632653061223</v>
      </c>
      <c r="CB34" s="68" t="str">
        <f>IFERROR((TOWER_DATA[[#This Row],[D, bottom '[m']]]+#REF!)/(2*#REF!/1000),"")</f>
        <v/>
      </c>
      <c r="CC34" s="69">
        <v>75.992999999999995</v>
      </c>
      <c r="CD34" s="69">
        <v>1500</v>
      </c>
      <c r="CE34" s="69" t="s">
        <v>117</v>
      </c>
      <c r="CG34" s="67">
        <v>10</v>
      </c>
      <c r="CH34" s="67">
        <v>130.953</v>
      </c>
      <c r="CI34" s="67">
        <v>128.16899999999998</v>
      </c>
      <c r="CJ34" s="67">
        <v>5.8646000000000003</v>
      </c>
      <c r="CK34" s="67">
        <v>5.9176000000000002</v>
      </c>
      <c r="CL34" s="67">
        <v>19.599999999999998</v>
      </c>
      <c r="CN34" s="67">
        <v>75.992999999999995</v>
      </c>
      <c r="CO34" s="67">
        <v>1500</v>
      </c>
      <c r="CP34" s="67" t="s">
        <v>117</v>
      </c>
    </row>
    <row r="35" spans="2:94" x14ac:dyDescent="0.3">
      <c r="B35">
        <v>11</v>
      </c>
      <c r="C35" s="76">
        <v>-28.3</v>
      </c>
      <c r="D35" s="76">
        <v>-31.8</v>
      </c>
      <c r="E35">
        <v>11.06</v>
      </c>
      <c r="F35">
        <v>11.5</v>
      </c>
      <c r="G35">
        <v>98</v>
      </c>
      <c r="H35" s="68">
        <f>IFERROR(MP_DATA[[#This Row],[Bottom '[m']]]-MP_DATA[[#This Row],[D, top '[m']]], "")</f>
        <v>-42.86</v>
      </c>
      <c r="I35" s="68">
        <f>IFERROR(-(MP_DATA[[#This Row],[D, bottom '[m']]]-MP_DATA[[#This Row],[D, top '[m']]])/(MP_DATA[[#This Row],[Bottom '[m']]]-MP_DATA[[#This Row],[Top '[m']]]),"")</f>
        <v>0.12571428571428558</v>
      </c>
      <c r="J35" s="68">
        <f t="shared" si="0"/>
        <v>94.587367238149838</v>
      </c>
      <c r="K35" s="68">
        <f>IFERROR((MP_DATA[[#This Row],[D, bottom '[m']]]+MP_DATA[[#This Row],[D, top '[m']]])/(2*MP_DATA[[#This Row],[t '[mm']]]/1000),"")</f>
        <v>115.10204081632654</v>
      </c>
      <c r="L35" s="68" t="str">
        <f>IFERROR((MP_DATA[[#This Row],[D, bottom '[m']]]+#REF!)/(2*#REF!/1000),"")</f>
        <v/>
      </c>
      <c r="Q35" s="67">
        <v>11</v>
      </c>
      <c r="R35" s="73">
        <v>-28.3</v>
      </c>
      <c r="S35" s="73">
        <v>-31.8</v>
      </c>
      <c r="T35" s="67">
        <v>11.06</v>
      </c>
      <c r="U35" s="67">
        <v>11.5</v>
      </c>
      <c r="V35" s="67">
        <v>98</v>
      </c>
      <c r="AP35" s="68" t="str">
        <f>IFERROR(TP_DATA[[#This Row],[Bottom '[m']]]-TP_DATA[[#This Row],[D, top '[m']]], "")</f>
        <v/>
      </c>
      <c r="AQ35" s="68" t="str">
        <f>IFERROR(-(TP_DATA[[#This Row],[D, bottom '[m']]]-TP_DATA[[#This Row],[D, top '[m']]])/(TP_DATA[[#This Row],[Bottom '[m']]]-TP_DATA[[#This Row],[Top '[m']]]),"")</f>
        <v/>
      </c>
      <c r="AR35" s="68" t="str">
        <f t="shared" si="1"/>
        <v/>
      </c>
      <c r="AS35" s="68" t="str">
        <f>IFERROR((TP_DATA[[#This Row],[D, bottom '[m']]]+TP_DATA[[#This Row],[D, top '[m']]])/(2*TP_DATA[[#This Row],[t '[mm']]]/1000),"")</f>
        <v/>
      </c>
      <c r="AT35" s="68" t="str">
        <f>IFERROR((TP_DATA[[#This Row],[D, bottom '[m']]]+#REF!)/(2*#REF!/1000),"")</f>
        <v/>
      </c>
      <c r="AY35" s="67"/>
      <c r="AZ35" s="67"/>
      <c r="BA35" s="67"/>
      <c r="BB35" s="67"/>
      <c r="BC35" s="67"/>
      <c r="BD35" s="67"/>
      <c r="BR35">
        <v>11</v>
      </c>
      <c r="BS35">
        <v>128.16899999999998</v>
      </c>
      <c r="BT35">
        <v>125.386</v>
      </c>
      <c r="BU35">
        <v>5.9176000000000002</v>
      </c>
      <c r="BV35">
        <v>5.9721000000000002</v>
      </c>
      <c r="BW35">
        <v>20.100000000000001</v>
      </c>
      <c r="BX35" s="68">
        <f>IFERROR(TOWER_DATA[[#This Row],[Bottom '[m']]]-TOWER_DATA[[#This Row],[D, top '[m']]], "")</f>
        <v>119.4684</v>
      </c>
      <c r="BY35" s="68">
        <f>IFERROR(-(TOWER_DATA[[#This Row],[D, bottom '[m']]]-TOWER_DATA[[#This Row],[D, top '[m']]])/(TOWER_DATA[[#This Row],[Bottom '[m']]]-TOWER_DATA[[#This Row],[Top '[m']]]),"")</f>
        <v>1.9583183614804257E-2</v>
      </c>
      <c r="BZ35" s="68">
        <f t="shared" si="2"/>
        <v>8.1733260256296827</v>
      </c>
      <c r="CA35" s="68">
        <f>IFERROR((TOWER_DATA[[#This Row],[D, bottom '[m']]]+TOWER_DATA[[#This Row],[D, top '[m']]])/(2*TOWER_DATA[[#This Row],[t '[mm']]]/1000),"")</f>
        <v>295.76368159203986</v>
      </c>
      <c r="CB35" s="68" t="str">
        <f>IFERROR((TOWER_DATA[[#This Row],[D, bottom '[m']]]+#REF!)/(2*#REF!/1000),"")</f>
        <v/>
      </c>
      <c r="CC35" s="69">
        <v>44.452999999999996</v>
      </c>
      <c r="CD35" s="69">
        <v>7233</v>
      </c>
      <c r="CE35" s="69" t="s">
        <v>117</v>
      </c>
      <c r="CG35" s="67">
        <v>11</v>
      </c>
      <c r="CH35" s="67">
        <v>128.16899999999998</v>
      </c>
      <c r="CI35" s="67">
        <v>125.386</v>
      </c>
      <c r="CJ35" s="67">
        <v>5.9176000000000002</v>
      </c>
      <c r="CK35" s="67">
        <v>5.9721000000000002</v>
      </c>
      <c r="CL35" s="67">
        <v>20.100000000000001</v>
      </c>
      <c r="CN35">
        <v>44.452999999999996</v>
      </c>
      <c r="CO35">
        <v>7233</v>
      </c>
      <c r="CP35" t="s">
        <v>117</v>
      </c>
    </row>
    <row r="36" spans="2:94" x14ac:dyDescent="0.3">
      <c r="B36">
        <v>12</v>
      </c>
      <c r="C36" s="76">
        <v>-31.8</v>
      </c>
      <c r="D36" s="76">
        <v>-35.299999999999997</v>
      </c>
      <c r="E36">
        <v>11.5</v>
      </c>
      <c r="F36">
        <v>11.5</v>
      </c>
      <c r="G36">
        <v>98</v>
      </c>
      <c r="H36" s="68">
        <f>IFERROR(MP_DATA[[#This Row],[Bottom '[m']]]-MP_DATA[[#This Row],[D, top '[m']]], "")</f>
        <v>-46.8</v>
      </c>
      <c r="I36" s="68">
        <f>IFERROR(-(MP_DATA[[#This Row],[D, bottom '[m']]]-MP_DATA[[#This Row],[D, top '[m']]])/(MP_DATA[[#This Row],[Bottom '[m']]]-MP_DATA[[#This Row],[Top '[m']]]),"")</f>
        <v>0</v>
      </c>
      <c r="J36" s="68">
        <f t="shared" si="0"/>
        <v>96.448324204023137</v>
      </c>
      <c r="K36" s="68">
        <f>IFERROR((MP_DATA[[#This Row],[D, bottom '[m']]]+MP_DATA[[#This Row],[D, top '[m']]])/(2*MP_DATA[[#This Row],[t '[mm']]]/1000),"")</f>
        <v>117.3469387755102</v>
      </c>
      <c r="L36" s="68" t="str">
        <f>IFERROR((MP_DATA[[#This Row],[D, bottom '[m']]]+#REF!)/(2*#REF!/1000),"")</f>
        <v/>
      </c>
      <c r="Q36" s="67">
        <v>12</v>
      </c>
      <c r="R36" s="73">
        <v>-31.8</v>
      </c>
      <c r="S36" s="73">
        <v>-35.299999999999997</v>
      </c>
      <c r="T36" s="67">
        <v>11.5</v>
      </c>
      <c r="U36" s="67">
        <v>11.5</v>
      </c>
      <c r="V36" s="67">
        <v>98</v>
      </c>
      <c r="AP36" s="68" t="str">
        <f>IFERROR(TP_DATA[[#This Row],[Bottom '[m']]]-TP_DATA[[#This Row],[D, top '[m']]], "")</f>
        <v/>
      </c>
      <c r="AQ36" s="68" t="str">
        <f>IFERROR(-(TP_DATA[[#This Row],[D, bottom '[m']]]-TP_DATA[[#This Row],[D, top '[m']]])/(TP_DATA[[#This Row],[Bottom '[m']]]-TP_DATA[[#This Row],[Top '[m']]]),"")</f>
        <v/>
      </c>
      <c r="AR36" s="68" t="str">
        <f t="shared" si="1"/>
        <v/>
      </c>
      <c r="AS36" s="68" t="str">
        <f>IFERROR((TP_DATA[[#This Row],[D, bottom '[m']]]+TP_DATA[[#This Row],[D, top '[m']]])/(2*TP_DATA[[#This Row],[t '[mm']]]/1000),"")</f>
        <v/>
      </c>
      <c r="AT36" s="68" t="str">
        <f>IFERROR((TP_DATA[[#This Row],[D, bottom '[m']]]+#REF!)/(2*#REF!/1000),"")</f>
        <v/>
      </c>
      <c r="AY36" s="67"/>
      <c r="AZ36" s="67"/>
      <c r="BA36" s="67"/>
      <c r="BB36" s="67"/>
      <c r="BC36" s="67"/>
      <c r="BD36" s="67"/>
      <c r="BR36">
        <v>12</v>
      </c>
      <c r="BS36">
        <v>125.386</v>
      </c>
      <c r="BT36">
        <v>122.60599999999999</v>
      </c>
      <c r="BU36">
        <v>5.9721000000000002</v>
      </c>
      <c r="BV36">
        <v>6.0275999999999996</v>
      </c>
      <c r="BW36">
        <v>20.6</v>
      </c>
      <c r="BX36" s="68">
        <f>IFERROR(TOWER_DATA[[#This Row],[Bottom '[m']]]-TOWER_DATA[[#This Row],[D, top '[m']]], "")</f>
        <v>116.6339</v>
      </c>
      <c r="BY36" s="68">
        <f>IFERROR(-(TOWER_DATA[[#This Row],[D, bottom '[m']]]-TOWER_DATA[[#This Row],[D, top '[m']]])/(TOWER_DATA[[#This Row],[Bottom '[m']]]-TOWER_DATA[[#This Row],[Top '[m']]]),"")</f>
        <v>1.9964028776978206E-2</v>
      </c>
      <c r="BZ36" s="68">
        <f t="shared" si="2"/>
        <v>8.4445839583441931</v>
      </c>
      <c r="CA36" s="68">
        <f>IFERROR((TOWER_DATA[[#This Row],[D, bottom '[m']]]+TOWER_DATA[[#This Row],[D, top '[m']]])/(2*TOWER_DATA[[#This Row],[t '[mm']]]/1000),"")</f>
        <v>291.25485436893206</v>
      </c>
      <c r="CB36" s="68" t="str">
        <f>IFERROR((TOWER_DATA[[#This Row],[D, bottom '[m']]]+#REF!)/(2*#REF!/1000),"")</f>
        <v/>
      </c>
      <c r="CC36" s="69">
        <v>44.312999999999995</v>
      </c>
      <c r="CD36" s="69">
        <v>7233</v>
      </c>
      <c r="CE36" s="69" t="s">
        <v>117</v>
      </c>
      <c r="CG36" s="67">
        <v>12</v>
      </c>
      <c r="CH36" s="67">
        <v>125.386</v>
      </c>
      <c r="CI36" s="67">
        <v>122.60599999999999</v>
      </c>
      <c r="CJ36" s="67">
        <v>5.9721000000000002</v>
      </c>
      <c r="CK36" s="67">
        <v>6.0275999999999996</v>
      </c>
      <c r="CL36" s="67">
        <v>20.6</v>
      </c>
      <c r="CN36">
        <v>44.312999999999995</v>
      </c>
      <c r="CO36">
        <v>7233</v>
      </c>
      <c r="CP36" t="s">
        <v>117</v>
      </c>
    </row>
    <row r="37" spans="2:94" x14ac:dyDescent="0.3">
      <c r="B37">
        <v>13</v>
      </c>
      <c r="C37" s="76">
        <v>-35.299999999999997</v>
      </c>
      <c r="D37" s="76">
        <v>-38.6</v>
      </c>
      <c r="E37">
        <v>11.5</v>
      </c>
      <c r="F37">
        <v>11.5</v>
      </c>
      <c r="G37">
        <v>100</v>
      </c>
      <c r="H37" s="68">
        <f>IFERROR(MP_DATA[[#This Row],[Bottom '[m']]]-MP_DATA[[#This Row],[D, top '[m']]], "")</f>
        <v>-50.1</v>
      </c>
      <c r="I37" s="68">
        <f>IFERROR(-(MP_DATA[[#This Row],[D, bottom '[m']]]-MP_DATA[[#This Row],[D, top '[m']]])/(MP_DATA[[#This Row],[Bottom '[m']]]-MP_DATA[[#This Row],[Top '[m']]]),"")</f>
        <v>0</v>
      </c>
      <c r="J37" s="68">
        <f t="shared" si="0"/>
        <v>92.776571768017746</v>
      </c>
      <c r="K37" s="68">
        <f>IFERROR((MP_DATA[[#This Row],[D, bottom '[m']]]+MP_DATA[[#This Row],[D, top '[m']]])/(2*MP_DATA[[#This Row],[t '[mm']]]/1000),"")</f>
        <v>115</v>
      </c>
      <c r="L37" s="68" t="str">
        <f>IFERROR((MP_DATA[[#This Row],[D, bottom '[m']]]+#REF!)/(2*#REF!/1000),"")</f>
        <v/>
      </c>
      <c r="Q37" s="67">
        <v>13</v>
      </c>
      <c r="R37" s="73">
        <v>-35.299999999999997</v>
      </c>
      <c r="S37" s="73">
        <v>-38.6</v>
      </c>
      <c r="T37" s="67">
        <v>11.5</v>
      </c>
      <c r="U37" s="67">
        <v>11.5</v>
      </c>
      <c r="V37" s="67">
        <v>100</v>
      </c>
      <c r="AP37" s="68" t="str">
        <f>IFERROR(TP_DATA[[#This Row],[Bottom '[m']]]-TP_DATA[[#This Row],[D, top '[m']]], "")</f>
        <v/>
      </c>
      <c r="AQ37" s="68" t="str">
        <f>IFERROR(-(TP_DATA[[#This Row],[D, bottom '[m']]]-TP_DATA[[#This Row],[D, top '[m']]])/(TP_DATA[[#This Row],[Bottom '[m']]]-TP_DATA[[#This Row],[Top '[m']]]),"")</f>
        <v/>
      </c>
      <c r="AR37" s="68" t="str">
        <f t="shared" si="1"/>
        <v/>
      </c>
      <c r="AS37" s="68" t="str">
        <f>IFERROR((TP_DATA[[#This Row],[D, bottom '[m']]]+TP_DATA[[#This Row],[D, top '[m']]])/(2*TP_DATA[[#This Row],[t '[mm']]]/1000),"")</f>
        <v/>
      </c>
      <c r="AT37" s="68" t="str">
        <f>IFERROR((TP_DATA[[#This Row],[D, bottom '[m']]]+#REF!)/(2*#REF!/1000),"")</f>
        <v/>
      </c>
      <c r="AY37" s="67"/>
      <c r="AZ37" s="67"/>
      <c r="BA37" s="67"/>
      <c r="BB37" s="67"/>
      <c r="BC37" s="67"/>
      <c r="BD37" s="67"/>
      <c r="BR37">
        <v>13</v>
      </c>
      <c r="BS37">
        <v>122.60599999999999</v>
      </c>
      <c r="BT37">
        <v>119.82599999999999</v>
      </c>
      <c r="BU37">
        <v>6.0275999999999996</v>
      </c>
      <c r="BV37">
        <v>6.0824999999999996</v>
      </c>
      <c r="BW37">
        <v>21.5</v>
      </c>
      <c r="BX37" s="68">
        <f>IFERROR(TOWER_DATA[[#This Row],[Bottom '[m']]]-TOWER_DATA[[#This Row],[D, top '[m']]], "")</f>
        <v>113.79839999999999</v>
      </c>
      <c r="BY37" s="68">
        <f>IFERROR(-(TOWER_DATA[[#This Row],[D, bottom '[m']]]-TOWER_DATA[[#This Row],[D, top '[m']]])/(TOWER_DATA[[#This Row],[Bottom '[m']]]-TOWER_DATA[[#This Row],[Top '[m']]]),"")</f>
        <v>1.9748201438848895E-2</v>
      </c>
      <c r="BZ37" s="68">
        <f t="shared" si="2"/>
        <v>8.8935612695373987</v>
      </c>
      <c r="CA37" s="68">
        <f>IFERROR((TOWER_DATA[[#This Row],[D, bottom '[m']]]+TOWER_DATA[[#This Row],[D, top '[m']]])/(2*TOWER_DATA[[#This Row],[t '[mm']]]/1000),"")</f>
        <v>281.63023255813954</v>
      </c>
      <c r="CB37" s="68" t="str">
        <f>IFERROR((TOWER_DATA[[#This Row],[D, bottom '[m']]]+#REF!)/(2*#REF!/1000),"")</f>
        <v/>
      </c>
      <c r="CC37" s="69">
        <v>43.015999999999991</v>
      </c>
      <c r="CD37" s="69">
        <v>1500</v>
      </c>
      <c r="CE37" s="69" t="s">
        <v>117</v>
      </c>
      <c r="CG37" s="67">
        <v>13</v>
      </c>
      <c r="CH37" s="67">
        <v>122.60599999999999</v>
      </c>
      <c r="CI37" s="67">
        <v>119.82599999999999</v>
      </c>
      <c r="CJ37" s="67">
        <v>6.0275999999999996</v>
      </c>
      <c r="CK37" s="67">
        <v>6.0824999999999996</v>
      </c>
      <c r="CL37" s="67">
        <v>21.5</v>
      </c>
      <c r="CN37">
        <v>43.015999999999991</v>
      </c>
      <c r="CO37">
        <v>1500</v>
      </c>
      <c r="CP37" t="s">
        <v>117</v>
      </c>
    </row>
    <row r="38" spans="2:94" x14ac:dyDescent="0.3">
      <c r="B38">
        <v>14</v>
      </c>
      <c r="C38" s="76">
        <v>-38.6</v>
      </c>
      <c r="D38" s="76">
        <v>-41.9</v>
      </c>
      <c r="E38">
        <v>11.5</v>
      </c>
      <c r="F38">
        <v>11.5</v>
      </c>
      <c r="G38">
        <v>98</v>
      </c>
      <c r="H38" s="68">
        <f>IFERROR(MP_DATA[[#This Row],[Bottom '[m']]]-MP_DATA[[#This Row],[D, top '[m']]], "")</f>
        <v>-53.4</v>
      </c>
      <c r="I38" s="68">
        <f>IFERROR(-(MP_DATA[[#This Row],[D, bottom '[m']]]-MP_DATA[[#This Row],[D, top '[m']]])/(MP_DATA[[#This Row],[Bottom '[m']]]-MP_DATA[[#This Row],[Top '[m']]]),"")</f>
        <v>0</v>
      </c>
      <c r="J38" s="68">
        <f t="shared" si="0"/>
        <v>90.936991392364675</v>
      </c>
      <c r="K38" s="68">
        <f>IFERROR((MP_DATA[[#This Row],[D, bottom '[m']]]+MP_DATA[[#This Row],[D, top '[m']]])/(2*MP_DATA[[#This Row],[t '[mm']]]/1000),"")</f>
        <v>117.3469387755102</v>
      </c>
      <c r="L38" s="68" t="str">
        <f>IFERROR((MP_DATA[[#This Row],[D, bottom '[m']]]+#REF!)/(2*#REF!/1000),"")</f>
        <v/>
      </c>
      <c r="Q38" s="67">
        <v>14</v>
      </c>
      <c r="R38" s="73">
        <v>-38.6</v>
      </c>
      <c r="S38" s="73">
        <v>-41.9</v>
      </c>
      <c r="T38" s="67">
        <v>11.5</v>
      </c>
      <c r="U38" s="67">
        <v>11.5</v>
      </c>
      <c r="V38" s="67">
        <v>98</v>
      </c>
      <c r="AP38" s="68" t="str">
        <f>IFERROR(TP_DATA[[#This Row],[Bottom '[m']]]-TP_DATA[[#This Row],[D, top '[m']]], "")</f>
        <v/>
      </c>
      <c r="AQ38" s="68" t="str">
        <f>IFERROR(-(TP_DATA[[#This Row],[D, bottom '[m']]]-TP_DATA[[#This Row],[D, top '[m']]])/(TP_DATA[[#This Row],[Bottom '[m']]]-TP_DATA[[#This Row],[Top '[m']]]),"")</f>
        <v/>
      </c>
      <c r="AR38" s="68" t="str">
        <f t="shared" si="1"/>
        <v/>
      </c>
      <c r="AS38" s="68" t="str">
        <f>IFERROR((TP_DATA[[#This Row],[D, bottom '[m']]]+TP_DATA[[#This Row],[D, top '[m']]])/(2*TP_DATA[[#This Row],[t '[mm']]]/1000),"")</f>
        <v/>
      </c>
      <c r="AT38" s="68" t="str">
        <f>IFERROR((TP_DATA[[#This Row],[D, bottom '[m']]]+#REF!)/(2*#REF!/1000),"")</f>
        <v/>
      </c>
      <c r="AY38" s="67"/>
      <c r="AZ38" s="67"/>
      <c r="BA38" s="67"/>
      <c r="BB38" s="67"/>
      <c r="BC38" s="67"/>
      <c r="BD38" s="67"/>
      <c r="BR38">
        <v>14</v>
      </c>
      <c r="BS38">
        <v>119.82599999999999</v>
      </c>
      <c r="BT38">
        <v>117.047</v>
      </c>
      <c r="BU38">
        <v>6.0824999999999996</v>
      </c>
      <c r="BV38">
        <v>6.1383999999999999</v>
      </c>
      <c r="BW38">
        <v>22.4</v>
      </c>
      <c r="BX38" s="68">
        <f>IFERROR(TOWER_DATA[[#This Row],[Bottom '[m']]]-TOWER_DATA[[#This Row],[D, top '[m']]], "")</f>
        <v>110.9645</v>
      </c>
      <c r="BY38" s="68">
        <f>IFERROR(-(TOWER_DATA[[#This Row],[D, bottom '[m']]]-TOWER_DATA[[#This Row],[D, top '[m']]])/(TOWER_DATA[[#This Row],[Bottom '[m']]]-TOWER_DATA[[#This Row],[Top '[m']]]),"")</f>
        <v>2.011514933429304E-2</v>
      </c>
      <c r="BZ38" s="68">
        <f t="shared" si="2"/>
        <v>9.3461835330187331</v>
      </c>
      <c r="CA38" s="68">
        <f>IFERROR((TOWER_DATA[[#This Row],[D, bottom '[m']]]+TOWER_DATA[[#This Row],[D, top '[m']]])/(2*TOWER_DATA[[#This Row],[t '[mm']]]/1000),"")</f>
        <v>272.78794642857144</v>
      </c>
      <c r="CB38" s="68" t="str">
        <f>IFERROR((TOWER_DATA[[#This Row],[D, bottom '[m']]]+#REF!)/(2*#REF!/1000),"")</f>
        <v/>
      </c>
      <c r="CC38" s="69">
        <v>21.995999999999999</v>
      </c>
      <c r="CD38" s="69">
        <v>10500</v>
      </c>
      <c r="CE38" s="69" t="s">
        <v>117</v>
      </c>
      <c r="CG38" s="67">
        <v>14</v>
      </c>
      <c r="CH38" s="67">
        <v>119.82599999999999</v>
      </c>
      <c r="CI38" s="67">
        <v>117.047</v>
      </c>
      <c r="CJ38" s="67">
        <v>6.0824999999999996</v>
      </c>
      <c r="CK38" s="67">
        <v>6.1383999999999999</v>
      </c>
      <c r="CL38" s="67">
        <v>22.4</v>
      </c>
      <c r="CN38">
        <v>21.995999999999999</v>
      </c>
      <c r="CO38">
        <v>10500</v>
      </c>
      <c r="CP38" t="s">
        <v>117</v>
      </c>
    </row>
    <row r="39" spans="2:94" x14ac:dyDescent="0.3">
      <c r="B39">
        <v>15</v>
      </c>
      <c r="C39" s="76">
        <v>-41.9</v>
      </c>
      <c r="D39" s="76">
        <v>-45.2</v>
      </c>
      <c r="E39">
        <v>11.5</v>
      </c>
      <c r="F39">
        <v>11.5</v>
      </c>
      <c r="G39">
        <v>95</v>
      </c>
      <c r="H39" s="68">
        <f>IFERROR(MP_DATA[[#This Row],[Bottom '[m']]]-MP_DATA[[#This Row],[D, top '[m']]], "")</f>
        <v>-56.7</v>
      </c>
      <c r="I39" s="68">
        <f>IFERROR(-(MP_DATA[[#This Row],[D, bottom '[m']]]-MP_DATA[[#This Row],[D, top '[m']]])/(MP_DATA[[#This Row],[Bottom '[m']]]-MP_DATA[[#This Row],[Top '[m']]]),"")</f>
        <v>0</v>
      </c>
      <c r="J39" s="68">
        <f t="shared" si="0"/>
        <v>88.17640008451977</v>
      </c>
      <c r="K39" s="68">
        <f>IFERROR((MP_DATA[[#This Row],[D, bottom '[m']]]+MP_DATA[[#This Row],[D, top '[m']]])/(2*MP_DATA[[#This Row],[t '[mm']]]/1000),"")</f>
        <v>121.05263157894737</v>
      </c>
      <c r="L39" s="68" t="str">
        <f>IFERROR((MP_DATA[[#This Row],[D, bottom '[m']]]+#REF!)/(2*#REF!/1000),"")</f>
        <v/>
      </c>
      <c r="Q39" s="67">
        <v>15</v>
      </c>
      <c r="R39" s="73">
        <v>-41.9</v>
      </c>
      <c r="S39" s="73">
        <v>-45.2</v>
      </c>
      <c r="T39" s="67">
        <v>11.5</v>
      </c>
      <c r="U39" s="67">
        <v>11.5</v>
      </c>
      <c r="V39" s="67">
        <v>95</v>
      </c>
      <c r="AP39" s="68" t="str">
        <f>IFERROR(TP_DATA[[#This Row],[Bottom '[m']]]-TP_DATA[[#This Row],[D, top '[m']]], "")</f>
        <v/>
      </c>
      <c r="AQ39" s="68" t="str">
        <f>IFERROR(-(TP_DATA[[#This Row],[D, bottom '[m']]]-TP_DATA[[#This Row],[D, top '[m']]])/(TP_DATA[[#This Row],[Bottom '[m']]]-TP_DATA[[#This Row],[Top '[m']]]),"")</f>
        <v/>
      </c>
      <c r="AR39" s="68" t="str">
        <f t="shared" si="1"/>
        <v/>
      </c>
      <c r="AS39" s="68" t="str">
        <f>IFERROR((TP_DATA[[#This Row],[D, bottom '[m']]]+TP_DATA[[#This Row],[D, top '[m']]])/(2*TP_DATA[[#This Row],[t '[mm']]]/1000),"")</f>
        <v/>
      </c>
      <c r="AT39" s="68" t="str">
        <f>IFERROR((TP_DATA[[#This Row],[D, bottom '[m']]]+#REF!)/(2*#REF!/1000),"")</f>
        <v/>
      </c>
      <c r="AY39" s="67"/>
      <c r="AZ39" s="67"/>
      <c r="BA39" s="67"/>
      <c r="BB39" s="67"/>
      <c r="BC39" s="67"/>
      <c r="BD39" s="67"/>
      <c r="BR39">
        <v>15</v>
      </c>
      <c r="BS39">
        <v>117.047</v>
      </c>
      <c r="BT39">
        <v>114.271</v>
      </c>
      <c r="BU39">
        <v>6.1383999999999999</v>
      </c>
      <c r="BV39">
        <v>6.1931000000000003</v>
      </c>
      <c r="BW39">
        <v>23.099999999999998</v>
      </c>
      <c r="BX39" s="68">
        <f>IFERROR(TOWER_DATA[[#This Row],[Bottom '[m']]]-TOWER_DATA[[#This Row],[D, top '[m']]], "")</f>
        <v>108.1326</v>
      </c>
      <c r="BY39" s="68">
        <f>IFERROR(-(TOWER_DATA[[#This Row],[D, bottom '[m']]]-TOWER_DATA[[#This Row],[D, top '[m']]])/(TOWER_DATA[[#This Row],[Bottom '[m']]]-TOWER_DATA[[#This Row],[Top '[m']]]),"")</f>
        <v>1.9704610951008821E-2</v>
      </c>
      <c r="BZ39" s="68">
        <f t="shared" si="2"/>
        <v>9.7141933110070458</v>
      </c>
      <c r="CA39" s="68">
        <f>IFERROR((TOWER_DATA[[#This Row],[D, bottom '[m']]]+TOWER_DATA[[#This Row],[D, top '[m']]])/(2*TOWER_DATA[[#This Row],[t '[mm']]]/1000),"")</f>
        <v>266.91558441558442</v>
      </c>
      <c r="CB39" s="68" t="str">
        <f>IFERROR((TOWER_DATA[[#This Row],[D, bottom '[m']]]+#REF!)/(2*#REF!/1000),"")</f>
        <v/>
      </c>
      <c r="CC39" s="69"/>
      <c r="CD39" s="69"/>
      <c r="CE39" s="69"/>
      <c r="CG39" s="67">
        <v>15</v>
      </c>
      <c r="CH39" s="67">
        <v>117.047</v>
      </c>
      <c r="CI39" s="67">
        <v>114.271</v>
      </c>
      <c r="CJ39" s="67">
        <v>6.1383999999999999</v>
      </c>
      <c r="CK39" s="67">
        <v>6.1931000000000003</v>
      </c>
      <c r="CL39" s="67">
        <v>23.099999999999998</v>
      </c>
    </row>
    <row r="40" spans="2:94" x14ac:dyDescent="0.3">
      <c r="B40">
        <v>16</v>
      </c>
      <c r="C40" s="76">
        <v>-45.2</v>
      </c>
      <c r="D40" s="76">
        <v>-48.5</v>
      </c>
      <c r="E40">
        <v>11.5</v>
      </c>
      <c r="F40">
        <v>11.5</v>
      </c>
      <c r="G40">
        <v>95</v>
      </c>
      <c r="H40" s="68">
        <f>IFERROR(MP_DATA[[#This Row],[Bottom '[m']]]-MP_DATA[[#This Row],[D, top '[m']]], "")</f>
        <v>-60</v>
      </c>
      <c r="I40" s="68">
        <f>IFERROR(-(MP_DATA[[#This Row],[D, bottom '[m']]]-MP_DATA[[#This Row],[D, top '[m']]])/(MP_DATA[[#This Row],[Bottom '[m']]]-MP_DATA[[#This Row],[Top '[m']]]),"")</f>
        <v>0</v>
      </c>
      <c r="J40" s="68">
        <f t="shared" si="0"/>
        <v>88.176400084519571</v>
      </c>
      <c r="K40" s="68">
        <f>IFERROR((MP_DATA[[#This Row],[D, bottom '[m']]]+MP_DATA[[#This Row],[D, top '[m']]])/(2*MP_DATA[[#This Row],[t '[mm']]]/1000),"")</f>
        <v>121.05263157894737</v>
      </c>
      <c r="L40" s="68" t="str">
        <f>IFERROR((MP_DATA[[#This Row],[D, bottom '[m']]]+#REF!)/(2*#REF!/1000),"")</f>
        <v/>
      </c>
      <c r="Q40" s="67">
        <v>16</v>
      </c>
      <c r="R40" s="73">
        <v>-45.2</v>
      </c>
      <c r="S40" s="73">
        <v>-48.5</v>
      </c>
      <c r="T40" s="67">
        <v>11.5</v>
      </c>
      <c r="U40" s="67">
        <v>11.5</v>
      </c>
      <c r="V40" s="67">
        <v>95</v>
      </c>
      <c r="AP40" s="68" t="str">
        <f>IFERROR(TP_DATA[[#This Row],[Bottom '[m']]]-TP_DATA[[#This Row],[D, top '[m']]], "")</f>
        <v/>
      </c>
      <c r="AQ40" s="68" t="str">
        <f>IFERROR(-(TP_DATA[[#This Row],[D, bottom '[m']]]-TP_DATA[[#This Row],[D, top '[m']]])/(TP_DATA[[#This Row],[Bottom '[m']]]-TP_DATA[[#This Row],[Top '[m']]]),"")</f>
        <v/>
      </c>
      <c r="AR40" s="68" t="str">
        <f t="shared" si="1"/>
        <v/>
      </c>
      <c r="AS40" s="68" t="str">
        <f>IFERROR((TP_DATA[[#This Row],[D, bottom '[m']]]+TP_DATA[[#This Row],[D, top '[m']]])/(2*TP_DATA[[#This Row],[t '[mm']]]/1000),"")</f>
        <v/>
      </c>
      <c r="AT40" s="68" t="str">
        <f>IFERROR((TP_DATA[[#This Row],[D, bottom '[m']]]+#REF!)/(2*#REF!/1000),"")</f>
        <v/>
      </c>
      <c r="AY40" s="67"/>
      <c r="AZ40" s="67"/>
      <c r="BA40" s="67"/>
      <c r="BB40" s="67"/>
      <c r="BC40" s="67"/>
      <c r="BD40" s="67"/>
      <c r="BR40">
        <v>16</v>
      </c>
      <c r="BS40">
        <v>114.271</v>
      </c>
      <c r="BT40">
        <v>114.241</v>
      </c>
      <c r="BU40">
        <v>6.1931000000000003</v>
      </c>
      <c r="BV40">
        <v>6.1931000000000003</v>
      </c>
      <c r="BW40">
        <v>23.099999999999998</v>
      </c>
      <c r="BX40" s="68">
        <f>IFERROR(TOWER_DATA[[#This Row],[Bottom '[m']]]-TOWER_DATA[[#This Row],[D, top '[m']]], "")</f>
        <v>108.0479</v>
      </c>
      <c r="BY40" s="68">
        <f>IFERROR(-(TOWER_DATA[[#This Row],[D, bottom '[m']]]-TOWER_DATA[[#This Row],[D, top '[m']]])/(TOWER_DATA[[#This Row],[Bottom '[m']]]-TOWER_DATA[[#This Row],[Top '[m']]]),"")</f>
        <v>0</v>
      </c>
      <c r="BZ40" s="68">
        <f t="shared" si="2"/>
        <v>0.10544789828054829</v>
      </c>
      <c r="CA40" s="68">
        <f>IFERROR((TOWER_DATA[[#This Row],[D, bottom '[m']]]+TOWER_DATA[[#This Row],[D, top '[m']]])/(2*TOWER_DATA[[#This Row],[t '[mm']]]/1000),"")</f>
        <v>268.09956709956714</v>
      </c>
      <c r="CB40" s="68" t="str">
        <f>IFERROR((TOWER_DATA[[#This Row],[D, bottom '[m']]]+#REF!)/(2*#REF!/1000),"")</f>
        <v/>
      </c>
      <c r="CC40" s="69"/>
      <c r="CD40" s="69"/>
      <c r="CE40" s="69"/>
      <c r="CG40" s="67">
        <v>16</v>
      </c>
      <c r="CH40" s="67">
        <v>114.271</v>
      </c>
      <c r="CI40" s="67">
        <v>114.241</v>
      </c>
      <c r="CJ40" s="67">
        <v>6.1931000000000003</v>
      </c>
      <c r="CK40" s="67">
        <v>6.1931000000000003</v>
      </c>
      <c r="CL40" s="67">
        <v>23.099999999999998</v>
      </c>
    </row>
    <row r="41" spans="2:94" x14ac:dyDescent="0.3">
      <c r="B41">
        <v>17</v>
      </c>
      <c r="C41" s="76">
        <v>-48.5</v>
      </c>
      <c r="D41" s="76">
        <v>-51.7</v>
      </c>
      <c r="E41">
        <v>11.5</v>
      </c>
      <c r="F41">
        <v>11.5</v>
      </c>
      <c r="G41">
        <v>95</v>
      </c>
      <c r="H41" s="68">
        <f>IFERROR(MP_DATA[[#This Row],[Bottom '[m']]]-MP_DATA[[#This Row],[D, top '[m']]], "")</f>
        <v>-63.2</v>
      </c>
      <c r="I41" s="68">
        <f>IFERROR(-(MP_DATA[[#This Row],[D, bottom '[m']]]-MP_DATA[[#This Row],[D, top '[m']]])/(MP_DATA[[#This Row],[Bottom '[m']]]-MP_DATA[[#This Row],[Top '[m']]]),"")</f>
        <v>0</v>
      </c>
      <c r="J41" s="68">
        <f t="shared" si="0"/>
        <v>85.504387960746399</v>
      </c>
      <c r="K41" s="68">
        <f>IFERROR((MP_DATA[[#This Row],[D, bottom '[m']]]+MP_DATA[[#This Row],[D, top '[m']]])/(2*MP_DATA[[#This Row],[t '[mm']]]/1000),"")</f>
        <v>121.05263157894737</v>
      </c>
      <c r="L41" s="68" t="str">
        <f>IFERROR((MP_DATA[[#This Row],[D, bottom '[m']]]+#REF!)/(2*#REF!/1000),"")</f>
        <v/>
      </c>
      <c r="Q41" s="67">
        <v>17</v>
      </c>
      <c r="R41" s="73">
        <v>-48.5</v>
      </c>
      <c r="S41" s="73">
        <v>-51.7</v>
      </c>
      <c r="T41" s="67">
        <v>11.5</v>
      </c>
      <c r="U41" s="67">
        <v>11.5</v>
      </c>
      <c r="V41" s="67">
        <v>95</v>
      </c>
      <c r="AP41" s="68" t="str">
        <f>IFERROR(TP_DATA[[#This Row],[Bottom '[m']]]-TP_DATA[[#This Row],[D, top '[m']]], "")</f>
        <v/>
      </c>
      <c r="AQ41" s="68" t="str">
        <f>IFERROR(-(TP_DATA[[#This Row],[D, bottom '[m']]]-TP_DATA[[#This Row],[D, top '[m']]])/(TP_DATA[[#This Row],[Bottom '[m']]]-TP_DATA[[#This Row],[Top '[m']]]),"")</f>
        <v/>
      </c>
      <c r="AR41" s="68" t="str">
        <f t="shared" si="1"/>
        <v/>
      </c>
      <c r="AS41" s="68" t="str">
        <f>IFERROR((TP_DATA[[#This Row],[D, bottom '[m']]]+TP_DATA[[#This Row],[D, top '[m']]])/(2*TP_DATA[[#This Row],[t '[mm']]]/1000),"")</f>
        <v/>
      </c>
      <c r="AT41" s="68" t="str">
        <f>IFERROR((TP_DATA[[#This Row],[D, bottom '[m']]]+#REF!)/(2*#REF!/1000),"")</f>
        <v/>
      </c>
      <c r="AY41" s="67"/>
      <c r="AZ41" s="67"/>
      <c r="BA41" s="67"/>
      <c r="BB41" s="67"/>
      <c r="BC41" s="67"/>
      <c r="BD41" s="67"/>
      <c r="BR41">
        <v>17</v>
      </c>
      <c r="BS41">
        <v>114.241</v>
      </c>
      <c r="BT41">
        <v>114.121</v>
      </c>
      <c r="BU41">
        <v>6.1931000000000003</v>
      </c>
      <c r="BV41">
        <v>6.1931000000000003</v>
      </c>
      <c r="BW41">
        <v>23.099999999999998</v>
      </c>
      <c r="BX41" s="68">
        <f>IFERROR(TOWER_DATA[[#This Row],[Bottom '[m']]]-TOWER_DATA[[#This Row],[D, top '[m']]], "")</f>
        <v>107.92789999999999</v>
      </c>
      <c r="BY41" s="68">
        <f>IFERROR(-(TOWER_DATA[[#This Row],[D, bottom '[m']]]-TOWER_DATA[[#This Row],[D, top '[m']]])/(TOWER_DATA[[#This Row],[Bottom '[m']]]-TOWER_DATA[[#This Row],[Top '[m']]]),"")</f>
        <v>0</v>
      </c>
      <c r="BZ41" s="68">
        <f t="shared" si="2"/>
        <v>0.42179159312219316</v>
      </c>
      <c r="CA41" s="68">
        <f>IFERROR((TOWER_DATA[[#This Row],[D, bottom '[m']]]+TOWER_DATA[[#This Row],[D, top '[m']]])/(2*TOWER_DATA[[#This Row],[t '[mm']]]/1000),"")</f>
        <v>268.09956709956714</v>
      </c>
      <c r="CB41" s="68" t="str">
        <f>IFERROR((TOWER_DATA[[#This Row],[D, bottom '[m']]]+#REF!)/(2*#REF!/1000),"")</f>
        <v/>
      </c>
      <c r="CC41" s="69"/>
      <c r="CD41" s="69"/>
      <c r="CE41" s="69"/>
      <c r="CG41" s="67">
        <v>17</v>
      </c>
      <c r="CH41" s="67">
        <v>114.241</v>
      </c>
      <c r="CI41" s="67">
        <v>114.121</v>
      </c>
      <c r="CJ41" s="67">
        <v>6.1931000000000003</v>
      </c>
      <c r="CK41" s="67">
        <v>6.1931000000000003</v>
      </c>
      <c r="CL41" s="67">
        <v>23.099999999999998</v>
      </c>
    </row>
    <row r="42" spans="2:94" x14ac:dyDescent="0.3">
      <c r="B42">
        <v>18</v>
      </c>
      <c r="C42" s="76">
        <v>-51.7</v>
      </c>
      <c r="D42" s="76">
        <v>-55.3</v>
      </c>
      <c r="E42">
        <v>11.5</v>
      </c>
      <c r="F42">
        <v>11.5</v>
      </c>
      <c r="G42">
        <v>93</v>
      </c>
      <c r="H42" s="68">
        <f>IFERROR(MP_DATA[[#This Row],[Bottom '[m']]]-MP_DATA[[#This Row],[D, top '[m']]], "")</f>
        <v>-66.8</v>
      </c>
      <c r="I42" s="68">
        <f>IFERROR(-(MP_DATA[[#This Row],[D, bottom '[m']]]-MP_DATA[[#This Row],[D, top '[m']]])/(MP_DATA[[#This Row],[Bottom '[m']]]-MP_DATA[[#This Row],[Top '[m']]]),"")</f>
        <v>0</v>
      </c>
      <c r="J42" s="68">
        <f t="shared" si="0"/>
        <v>94.183845872414466</v>
      </c>
      <c r="K42" s="68">
        <f>IFERROR((MP_DATA[[#This Row],[D, bottom '[m']]]+MP_DATA[[#This Row],[D, top '[m']]])/(2*MP_DATA[[#This Row],[t '[mm']]]/1000),"")</f>
        <v>123.65591397849462</v>
      </c>
      <c r="L42" s="68" t="str">
        <f>IFERROR((MP_DATA[[#This Row],[D, bottom '[m']]]+#REF!)/(2*#REF!/1000),"")</f>
        <v/>
      </c>
      <c r="Q42" s="67">
        <v>18</v>
      </c>
      <c r="R42" s="73">
        <v>-51.7</v>
      </c>
      <c r="S42" s="73">
        <v>-55.3</v>
      </c>
      <c r="T42" s="67">
        <v>11.5</v>
      </c>
      <c r="U42" s="67">
        <v>11.5</v>
      </c>
      <c r="V42" s="67">
        <v>93</v>
      </c>
      <c r="AP42" s="68" t="str">
        <f>IFERROR(TP_DATA[[#This Row],[Bottom '[m']]]-TP_DATA[[#This Row],[D, top '[m']]], "")</f>
        <v/>
      </c>
      <c r="AQ42" s="68" t="str">
        <f>IFERROR(-(TP_DATA[[#This Row],[D, bottom '[m']]]-TP_DATA[[#This Row],[D, top '[m']]])/(TP_DATA[[#This Row],[Bottom '[m']]]-TP_DATA[[#This Row],[Top '[m']]]),"")</f>
        <v/>
      </c>
      <c r="AR42" s="68" t="str">
        <f t="shared" si="1"/>
        <v/>
      </c>
      <c r="AS42" s="68" t="str">
        <f>IFERROR((TP_DATA[[#This Row],[D, bottom '[m']]]+TP_DATA[[#This Row],[D, top '[m']]])/(2*TP_DATA[[#This Row],[t '[mm']]]/1000),"")</f>
        <v/>
      </c>
      <c r="AT42" s="68" t="str">
        <f>IFERROR((TP_DATA[[#This Row],[D, bottom '[m']]]+#REF!)/(2*#REF!/1000),"")</f>
        <v/>
      </c>
      <c r="AY42" s="67"/>
      <c r="AZ42" s="67"/>
      <c r="BA42" s="67"/>
      <c r="BB42" s="67"/>
      <c r="BC42" s="67"/>
      <c r="BD42" s="67"/>
      <c r="BR42">
        <v>18</v>
      </c>
      <c r="BS42">
        <v>114.121</v>
      </c>
      <c r="BT42">
        <v>114.001</v>
      </c>
      <c r="BU42">
        <v>6.1931000000000003</v>
      </c>
      <c r="BV42">
        <v>6.1931000000000003</v>
      </c>
      <c r="BW42">
        <v>23.099999999999998</v>
      </c>
      <c r="BX42" s="68">
        <f>IFERROR(TOWER_DATA[[#This Row],[Bottom '[m']]]-TOWER_DATA[[#This Row],[D, top '[m']]], "")</f>
        <v>107.8079</v>
      </c>
      <c r="BY42" s="68">
        <f>IFERROR(-(TOWER_DATA[[#This Row],[D, bottom '[m']]]-TOWER_DATA[[#This Row],[D, top '[m']]])/(TOWER_DATA[[#This Row],[Bottom '[m']]]-TOWER_DATA[[#This Row],[Top '[m']]]),"")</f>
        <v>0</v>
      </c>
      <c r="BZ42" s="68">
        <f t="shared" si="2"/>
        <v>0.42179159312214326</v>
      </c>
      <c r="CA42" s="68">
        <f>IFERROR((TOWER_DATA[[#This Row],[D, bottom '[m']]]+TOWER_DATA[[#This Row],[D, top '[m']]])/(2*TOWER_DATA[[#This Row],[t '[mm']]]/1000),"")</f>
        <v>268.09956709956714</v>
      </c>
      <c r="CB42" s="68" t="str">
        <f>IFERROR((TOWER_DATA[[#This Row],[D, bottom '[m']]]+#REF!)/(2*#REF!/1000),"")</f>
        <v/>
      </c>
      <c r="CC42" s="69"/>
      <c r="CD42" s="69"/>
      <c r="CE42" s="69"/>
      <c r="CG42" s="67">
        <v>18</v>
      </c>
      <c r="CH42" s="67">
        <v>114.121</v>
      </c>
      <c r="CI42" s="67">
        <v>114.001</v>
      </c>
      <c r="CJ42" s="67">
        <v>6.1931000000000003</v>
      </c>
      <c r="CK42" s="67">
        <v>6.1931000000000003</v>
      </c>
      <c r="CL42" s="67">
        <v>23.099999999999998</v>
      </c>
    </row>
    <row r="43" spans="2:94" x14ac:dyDescent="0.3">
      <c r="B43">
        <v>19</v>
      </c>
      <c r="C43" s="76">
        <v>-55.3</v>
      </c>
      <c r="D43" s="76">
        <v>-59.3</v>
      </c>
      <c r="E43">
        <v>11.5</v>
      </c>
      <c r="F43">
        <v>11.5</v>
      </c>
      <c r="G43">
        <v>93</v>
      </c>
      <c r="H43" s="68">
        <f>IFERROR(MP_DATA[[#This Row],[Bottom '[m']]]-MP_DATA[[#This Row],[D, top '[m']]], "")</f>
        <v>-70.8</v>
      </c>
      <c r="I43" s="68">
        <f>IFERROR(-(MP_DATA[[#This Row],[D, bottom '[m']]]-MP_DATA[[#This Row],[D, top '[m']]])/(MP_DATA[[#This Row],[Bottom '[m']]]-MP_DATA[[#This Row],[Top '[m']]]),"")</f>
        <v>0</v>
      </c>
      <c r="J43" s="68">
        <f t="shared" si="0"/>
        <v>104.64871763601624</v>
      </c>
      <c r="K43" s="68">
        <f>IFERROR((MP_DATA[[#This Row],[D, bottom '[m']]]+MP_DATA[[#This Row],[D, top '[m']]])/(2*MP_DATA[[#This Row],[t '[mm']]]/1000),"")</f>
        <v>123.65591397849462</v>
      </c>
      <c r="L43" s="68" t="str">
        <f>IFERROR((MP_DATA[[#This Row],[D, bottom '[m']]]+#REF!)/(2*#REF!/1000),"")</f>
        <v/>
      </c>
      <c r="Q43" s="67">
        <v>19</v>
      </c>
      <c r="R43" s="73">
        <v>-55.3</v>
      </c>
      <c r="S43" s="73">
        <v>-59.3</v>
      </c>
      <c r="T43" s="67">
        <v>11.5</v>
      </c>
      <c r="U43" s="67">
        <v>11.5</v>
      </c>
      <c r="V43" s="67">
        <v>93</v>
      </c>
      <c r="AP43" s="68" t="str">
        <f>IFERROR(TP_DATA[[#This Row],[Bottom '[m']]]-TP_DATA[[#This Row],[D, top '[m']]], "")</f>
        <v/>
      </c>
      <c r="AQ43" s="68" t="str">
        <f>IFERROR(-(TP_DATA[[#This Row],[D, bottom '[m']]]-TP_DATA[[#This Row],[D, top '[m']]])/(TP_DATA[[#This Row],[Bottom '[m']]]-TP_DATA[[#This Row],[Top '[m']]]),"")</f>
        <v/>
      </c>
      <c r="AR43" s="68" t="str">
        <f t="shared" si="1"/>
        <v/>
      </c>
      <c r="AS43" s="68" t="str">
        <f>IFERROR((TP_DATA[[#This Row],[D, bottom '[m']]]+TP_DATA[[#This Row],[D, top '[m']]])/(2*TP_DATA[[#This Row],[t '[mm']]]/1000),"")</f>
        <v/>
      </c>
      <c r="AT43" s="68" t="str">
        <f>IFERROR((TP_DATA[[#This Row],[D, bottom '[m']]]+#REF!)/(2*#REF!/1000),"")</f>
        <v/>
      </c>
      <c r="AY43" s="67"/>
      <c r="AZ43" s="67"/>
      <c r="BA43" s="67"/>
      <c r="BB43" s="67"/>
      <c r="BC43" s="67"/>
      <c r="BD43" s="67"/>
      <c r="BR43">
        <v>19</v>
      </c>
      <c r="BS43">
        <v>114.001</v>
      </c>
      <c r="BT43">
        <v>113.971</v>
      </c>
      <c r="BU43">
        <v>6.1931000000000003</v>
      </c>
      <c r="BV43">
        <v>6.1931000000000003</v>
      </c>
      <c r="BW43">
        <v>23.099999999999998</v>
      </c>
      <c r="BX43" s="68">
        <f>IFERROR(TOWER_DATA[[#This Row],[Bottom '[m']]]-TOWER_DATA[[#This Row],[D, top '[m']]], "")</f>
        <v>107.7779</v>
      </c>
      <c r="BY43" s="68">
        <f>IFERROR(-(TOWER_DATA[[#This Row],[D, bottom '[m']]]-TOWER_DATA[[#This Row],[D, top '[m']]])/(TOWER_DATA[[#This Row],[Bottom '[m']]]-TOWER_DATA[[#This Row],[Top '[m']]]),"")</f>
        <v>0</v>
      </c>
      <c r="BZ43" s="68">
        <f t="shared" si="2"/>
        <v>0.10544789828054829</v>
      </c>
      <c r="CA43" s="68">
        <f>IFERROR((TOWER_DATA[[#This Row],[D, bottom '[m']]]+TOWER_DATA[[#This Row],[D, top '[m']]])/(2*TOWER_DATA[[#This Row],[t '[mm']]]/1000),"")</f>
        <v>268.09956709956714</v>
      </c>
      <c r="CB43" s="68" t="str">
        <f>IFERROR((TOWER_DATA[[#This Row],[D, bottom '[m']]]+#REF!)/(2*#REF!/1000),"")</f>
        <v/>
      </c>
      <c r="CC43" s="69"/>
      <c r="CD43" s="69"/>
      <c r="CE43" s="69"/>
      <c r="CG43" s="67">
        <v>19</v>
      </c>
      <c r="CH43" s="67">
        <v>114.001</v>
      </c>
      <c r="CI43" s="67">
        <v>113.971</v>
      </c>
      <c r="CJ43" s="67">
        <v>6.1931000000000003</v>
      </c>
      <c r="CK43" s="67">
        <v>6.1931000000000003</v>
      </c>
      <c r="CL43" s="67">
        <v>23.099999999999998</v>
      </c>
    </row>
    <row r="44" spans="2:94" x14ac:dyDescent="0.3">
      <c r="B44">
        <v>20</v>
      </c>
      <c r="C44" s="76">
        <v>-59.3</v>
      </c>
      <c r="D44" s="76">
        <v>-63.3</v>
      </c>
      <c r="E44">
        <v>11.5</v>
      </c>
      <c r="F44">
        <v>11.5</v>
      </c>
      <c r="G44">
        <v>93</v>
      </c>
      <c r="H44" s="68">
        <f>IFERROR(MP_DATA[[#This Row],[Bottom '[m']]]-MP_DATA[[#This Row],[D, top '[m']]], "")</f>
        <v>-74.8</v>
      </c>
      <c r="I44" s="68">
        <f>IFERROR(-(MP_DATA[[#This Row],[D, bottom '[m']]]-MP_DATA[[#This Row],[D, top '[m']]])/(MP_DATA[[#This Row],[Bottom '[m']]]-MP_DATA[[#This Row],[Top '[m']]]),"")</f>
        <v>0</v>
      </c>
      <c r="J44" s="68">
        <f t="shared" si="0"/>
        <v>104.64871763601624</v>
      </c>
      <c r="K44" s="68">
        <f>IFERROR((MP_DATA[[#This Row],[D, bottom '[m']]]+MP_DATA[[#This Row],[D, top '[m']]])/(2*MP_DATA[[#This Row],[t '[mm']]]/1000),"")</f>
        <v>123.65591397849462</v>
      </c>
      <c r="L44" s="68" t="str">
        <f>IFERROR((MP_DATA[[#This Row],[D, bottom '[m']]]+#REF!)/(2*#REF!/1000),"")</f>
        <v/>
      </c>
      <c r="Q44" s="67">
        <v>20</v>
      </c>
      <c r="R44" s="73">
        <v>-59.3</v>
      </c>
      <c r="S44" s="73">
        <v>-63.3</v>
      </c>
      <c r="T44" s="67">
        <v>11.5</v>
      </c>
      <c r="U44" s="67">
        <v>11.5</v>
      </c>
      <c r="V44" s="67">
        <v>93</v>
      </c>
      <c r="AP44" s="68" t="str">
        <f>IFERROR(TP_DATA[[#This Row],[Bottom '[m']]]-TP_DATA[[#This Row],[D, top '[m']]], "")</f>
        <v/>
      </c>
      <c r="AQ44" s="68" t="str">
        <f>IFERROR(-(TP_DATA[[#This Row],[D, bottom '[m']]]-TP_DATA[[#This Row],[D, top '[m']]])/(TP_DATA[[#This Row],[Bottom '[m']]]-TP_DATA[[#This Row],[Top '[m']]]),"")</f>
        <v/>
      </c>
      <c r="AR44" s="68" t="str">
        <f t="shared" si="1"/>
        <v/>
      </c>
      <c r="AS44" s="68" t="str">
        <f>IFERROR((TP_DATA[[#This Row],[D, bottom '[m']]]+TP_DATA[[#This Row],[D, top '[m']]])/(2*TP_DATA[[#This Row],[t '[mm']]]/1000),"")</f>
        <v/>
      </c>
      <c r="AT44" s="68" t="str">
        <f>IFERROR((TP_DATA[[#This Row],[D, bottom '[m']]]+#REF!)/(2*#REF!/1000),"")</f>
        <v/>
      </c>
      <c r="AY44" s="67"/>
      <c r="AZ44" s="67"/>
      <c r="BA44" s="67"/>
      <c r="BB44" s="67"/>
      <c r="BC44" s="67"/>
      <c r="BD44" s="67"/>
      <c r="BR44">
        <v>20</v>
      </c>
      <c r="BS44">
        <v>113.971</v>
      </c>
      <c r="BT44">
        <v>112.82299999999999</v>
      </c>
      <c r="BU44">
        <v>6.1931000000000003</v>
      </c>
      <c r="BV44">
        <v>6.2171000000000003</v>
      </c>
      <c r="BW44">
        <v>23.099999999999998</v>
      </c>
      <c r="BX44" s="68">
        <f>IFERROR(TOWER_DATA[[#This Row],[Bottom '[m']]]-TOWER_DATA[[#This Row],[D, top '[m']]], "")</f>
        <v>106.62989999999999</v>
      </c>
      <c r="BY44" s="68">
        <f>IFERROR(-(TOWER_DATA[[#This Row],[D, bottom '[m']]]-TOWER_DATA[[#This Row],[D, top '[m']]])/(TOWER_DATA[[#This Row],[Bottom '[m']]]-TOWER_DATA[[#This Row],[Top '[m']]]),"")</f>
        <v>2.0905923344947567E-2</v>
      </c>
      <c r="BZ44" s="68">
        <f t="shared" si="2"/>
        <v>4.042987495578295</v>
      </c>
      <c r="CA44" s="68">
        <f>IFERROR((TOWER_DATA[[#This Row],[D, bottom '[m']]]+TOWER_DATA[[#This Row],[D, top '[m']]])/(2*TOWER_DATA[[#This Row],[t '[mm']]]/1000),"")</f>
        <v>268.61904761904765</v>
      </c>
      <c r="CB44" s="68" t="str">
        <f>IFERROR((TOWER_DATA[[#This Row],[D, bottom '[m']]]+#REF!)/(2*#REF!/1000),"")</f>
        <v/>
      </c>
      <c r="CC44" s="69"/>
      <c r="CD44" s="69"/>
      <c r="CE44" s="69"/>
      <c r="CG44" s="67">
        <v>20</v>
      </c>
      <c r="CH44" s="67">
        <v>113.971</v>
      </c>
      <c r="CI44" s="67">
        <v>112.82299999999999</v>
      </c>
      <c r="CJ44" s="67">
        <v>6.1931000000000003</v>
      </c>
      <c r="CK44" s="67">
        <v>6.2171000000000003</v>
      </c>
      <c r="CL44" s="67">
        <v>23.099999999999998</v>
      </c>
    </row>
    <row r="45" spans="2:94" x14ac:dyDescent="0.3">
      <c r="B45">
        <v>21</v>
      </c>
      <c r="C45" s="76">
        <v>-63.3</v>
      </c>
      <c r="D45" s="76">
        <v>-67.3</v>
      </c>
      <c r="E45">
        <v>11.5</v>
      </c>
      <c r="F45">
        <v>11.5</v>
      </c>
      <c r="G45">
        <v>93</v>
      </c>
      <c r="H45" s="68">
        <f>IFERROR(MP_DATA[[#This Row],[Bottom '[m']]]-MP_DATA[[#This Row],[D, top '[m']]], "")</f>
        <v>-78.8</v>
      </c>
      <c r="I45" s="68">
        <f>IFERROR(-(MP_DATA[[#This Row],[D, bottom '[m']]]-MP_DATA[[#This Row],[D, top '[m']]])/(MP_DATA[[#This Row],[Bottom '[m']]]-MP_DATA[[#This Row],[Top '[m']]]),"")</f>
        <v>0</v>
      </c>
      <c r="J45" s="68">
        <f t="shared" si="0"/>
        <v>104.64871763601624</v>
      </c>
      <c r="K45" s="68">
        <f>IFERROR((MP_DATA[[#This Row],[D, bottom '[m']]]+MP_DATA[[#This Row],[D, top '[m']]])/(2*MP_DATA[[#This Row],[t '[mm']]]/1000),"")</f>
        <v>123.65591397849462</v>
      </c>
      <c r="L45" s="68" t="str">
        <f>IFERROR((MP_DATA[[#This Row],[D, bottom '[m']]]+#REF!)/(2*#REF!/1000),"")</f>
        <v/>
      </c>
      <c r="Q45" s="67">
        <v>21</v>
      </c>
      <c r="R45" s="73">
        <v>-63.3</v>
      </c>
      <c r="S45" s="73">
        <v>-67.3</v>
      </c>
      <c r="T45" s="67">
        <v>11.5</v>
      </c>
      <c r="U45" s="67">
        <v>11.5</v>
      </c>
      <c r="V45" s="67">
        <v>93</v>
      </c>
      <c r="AP45" s="68" t="str">
        <f>IFERROR(TP_DATA[[#This Row],[Bottom '[m']]]-TP_DATA[[#This Row],[D, top '[m']]], "")</f>
        <v/>
      </c>
      <c r="AQ45" s="68" t="str">
        <f>IFERROR(-(TP_DATA[[#This Row],[D, bottom '[m']]]-TP_DATA[[#This Row],[D, top '[m']]])/(TP_DATA[[#This Row],[Bottom '[m']]]-TP_DATA[[#This Row],[Top '[m']]]),"")</f>
        <v/>
      </c>
      <c r="AR45" s="68" t="str">
        <f t="shared" si="1"/>
        <v/>
      </c>
      <c r="AS45" s="68" t="str">
        <f>IFERROR((TP_DATA[[#This Row],[D, bottom '[m']]]+TP_DATA[[#This Row],[D, top '[m']]])/(2*TP_DATA[[#This Row],[t '[mm']]]/1000),"")</f>
        <v/>
      </c>
      <c r="AT45" s="68" t="str">
        <f>IFERROR((TP_DATA[[#This Row],[D, bottom '[m']]]+#REF!)/(2*#REF!/1000),"")</f>
        <v/>
      </c>
      <c r="AY45" s="67"/>
      <c r="AZ45" s="67"/>
      <c r="BA45" s="67"/>
      <c r="BB45" s="67"/>
      <c r="BC45" s="67"/>
      <c r="BD45" s="67"/>
      <c r="BR45">
        <v>21</v>
      </c>
      <c r="BS45">
        <v>112.82299999999999</v>
      </c>
      <c r="BT45">
        <v>112.614</v>
      </c>
      <c r="BU45">
        <v>6.2171000000000003</v>
      </c>
      <c r="BV45">
        <v>6.2214999999999998</v>
      </c>
      <c r="BW45">
        <v>23.5</v>
      </c>
      <c r="BX45" s="68">
        <f>IFERROR(TOWER_DATA[[#This Row],[Bottom '[m']]]-TOWER_DATA[[#This Row],[D, top '[m']]], "")</f>
        <v>106.3969</v>
      </c>
      <c r="BY45" s="68">
        <f>IFERROR(-(TOWER_DATA[[#This Row],[D, bottom '[m']]]-TOWER_DATA[[#This Row],[D, top '[m']]])/(TOWER_DATA[[#This Row],[Bottom '[m']]]-TOWER_DATA[[#This Row],[Top '[m']]]),"")</f>
        <v>2.1052631578946161E-2</v>
      </c>
      <c r="BZ45" s="68">
        <f t="shared" si="2"/>
        <v>0.75046608105365997</v>
      </c>
      <c r="CA45" s="68">
        <f>IFERROR((TOWER_DATA[[#This Row],[D, bottom '[m']]]+TOWER_DATA[[#This Row],[D, top '[m']]])/(2*TOWER_DATA[[#This Row],[t '[mm']]]/1000),"")</f>
        <v>264.65106382978723</v>
      </c>
      <c r="CB45" s="68" t="str">
        <f>IFERROR((TOWER_DATA[[#This Row],[D, bottom '[m']]]+#REF!)/(2*#REF!/1000),"")</f>
        <v/>
      </c>
      <c r="CC45" s="69"/>
      <c r="CD45" s="69"/>
      <c r="CE45" s="69"/>
      <c r="CG45" s="67">
        <v>21</v>
      </c>
      <c r="CH45" s="67">
        <v>112.82299999999999</v>
      </c>
      <c r="CI45" s="67">
        <v>112.614</v>
      </c>
      <c r="CJ45" s="67">
        <v>6.2171000000000003</v>
      </c>
      <c r="CK45" s="67">
        <v>6.2214999999999998</v>
      </c>
      <c r="CL45" s="67">
        <v>23.5</v>
      </c>
    </row>
    <row r="46" spans="2:94" x14ac:dyDescent="0.3">
      <c r="B46">
        <v>22</v>
      </c>
      <c r="C46" s="76">
        <v>-67.3</v>
      </c>
      <c r="D46" s="76">
        <v>-71</v>
      </c>
      <c r="E46">
        <v>11.5</v>
      </c>
      <c r="F46">
        <v>11.5</v>
      </c>
      <c r="G46">
        <v>96</v>
      </c>
      <c r="H46" s="68">
        <f>IFERROR(MP_DATA[[#This Row],[Bottom '[m']]]-MP_DATA[[#This Row],[D, top '[m']]], "")</f>
        <v>-82.5</v>
      </c>
      <c r="I46" s="68">
        <f>IFERROR(-(MP_DATA[[#This Row],[D, bottom '[m']]]-MP_DATA[[#This Row],[D, top '[m']]])/(MP_DATA[[#This Row],[Bottom '[m']]]-MP_DATA[[#This Row],[Top '[m']]]),"")</f>
        <v>0</v>
      </c>
      <c r="J46" s="68">
        <f t="shared" si="0"/>
        <v>99.896367220087171</v>
      </c>
      <c r="K46" s="68">
        <f>IFERROR((MP_DATA[[#This Row],[D, bottom '[m']]]+MP_DATA[[#This Row],[D, top '[m']]])/(2*MP_DATA[[#This Row],[t '[mm']]]/1000),"")</f>
        <v>119.79166666666666</v>
      </c>
      <c r="L46" s="68" t="str">
        <f>IFERROR((MP_DATA[[#This Row],[D, bottom '[m']]]+#REF!)/(2*#REF!/1000),"")</f>
        <v/>
      </c>
      <c r="Q46" s="67">
        <v>22</v>
      </c>
      <c r="R46" s="73">
        <v>-67.3</v>
      </c>
      <c r="S46" s="73">
        <v>-71</v>
      </c>
      <c r="T46" s="67">
        <v>11.5</v>
      </c>
      <c r="U46" s="67">
        <v>11.5</v>
      </c>
      <c r="V46" s="67">
        <v>96</v>
      </c>
      <c r="AP46" s="68" t="str">
        <f>IFERROR(TP_DATA[[#This Row],[Bottom '[m']]]-TP_DATA[[#This Row],[D, top '[m']]], "")</f>
        <v/>
      </c>
      <c r="AQ46" s="68" t="str">
        <f>IFERROR(-(TP_DATA[[#This Row],[D, bottom '[m']]]-TP_DATA[[#This Row],[D, top '[m']]])/(TP_DATA[[#This Row],[Bottom '[m']]]-TP_DATA[[#This Row],[Top '[m']]]),"")</f>
        <v/>
      </c>
      <c r="AR46" s="68" t="str">
        <f t="shared" si="1"/>
        <v/>
      </c>
      <c r="AS46" s="68" t="str">
        <f>IFERROR((TP_DATA[[#This Row],[D, bottom '[m']]]+TP_DATA[[#This Row],[D, top '[m']]])/(2*TP_DATA[[#This Row],[t '[mm']]]/1000),"")</f>
        <v/>
      </c>
      <c r="AT46" s="68" t="str">
        <f>IFERROR((TP_DATA[[#This Row],[D, bottom '[m']]]+#REF!)/(2*#REF!/1000),"")</f>
        <v/>
      </c>
      <c r="AY46" s="67"/>
      <c r="AZ46" s="67"/>
      <c r="BA46" s="67"/>
      <c r="BB46" s="67"/>
      <c r="BC46" s="67"/>
      <c r="BD46" s="67"/>
      <c r="BR46">
        <v>22</v>
      </c>
      <c r="BS46">
        <v>112.614</v>
      </c>
      <c r="BT46">
        <v>111.191</v>
      </c>
      <c r="BU46">
        <v>6.2214999999999998</v>
      </c>
      <c r="BV46">
        <v>6.2492999999999999</v>
      </c>
      <c r="BW46">
        <v>24.299999999999997</v>
      </c>
      <c r="BX46" s="68">
        <f>IFERROR(TOWER_DATA[[#This Row],[Bottom '[m']]]-TOWER_DATA[[#This Row],[D, top '[m']]], "")</f>
        <v>104.9695</v>
      </c>
      <c r="BY46" s="68">
        <f>IFERROR(-(TOWER_DATA[[#This Row],[D, bottom '[m']]]-TOWER_DATA[[#This Row],[D, top '[m']]])/(TOWER_DATA[[#This Row],[Bottom '[m']]]-TOWER_DATA[[#This Row],[Top '[m']]]),"")</f>
        <v>1.9536191145467331E-2</v>
      </c>
      <c r="BZ46" s="68">
        <f t="shared" si="2"/>
        <v>5.2966249828572636</v>
      </c>
      <c r="CA46" s="68">
        <f>IFERROR((TOWER_DATA[[#This Row],[D, bottom '[m']]]+TOWER_DATA[[#This Row],[D, top '[m']]])/(2*TOWER_DATA[[#This Row],[t '[mm']]]/1000),"")</f>
        <v>256.60082304526753</v>
      </c>
      <c r="CB46" s="68" t="str">
        <f>IFERROR((TOWER_DATA[[#This Row],[D, bottom '[m']]]+#REF!)/(2*#REF!/1000),"")</f>
        <v/>
      </c>
      <c r="CC46" s="69"/>
      <c r="CD46" s="69"/>
      <c r="CE46" s="69"/>
      <c r="CG46" s="67">
        <v>22</v>
      </c>
      <c r="CH46" s="67">
        <v>112.614</v>
      </c>
      <c r="CI46" s="67">
        <v>111.191</v>
      </c>
      <c r="CJ46" s="67">
        <v>6.2214999999999998</v>
      </c>
      <c r="CK46" s="67">
        <v>6.2492999999999999</v>
      </c>
      <c r="CL46" s="67">
        <v>24.299999999999997</v>
      </c>
    </row>
    <row r="47" spans="2:94" x14ac:dyDescent="0.3">
      <c r="B47">
        <v>23</v>
      </c>
      <c r="C47" s="76">
        <v>-71</v>
      </c>
      <c r="D47" s="76">
        <v>-74.3</v>
      </c>
      <c r="E47">
        <v>11.5</v>
      </c>
      <c r="F47">
        <v>11.5</v>
      </c>
      <c r="G47">
        <v>100</v>
      </c>
      <c r="H47" s="68">
        <f>IFERROR(MP_DATA[[#This Row],[Bottom '[m']]]-MP_DATA[[#This Row],[D, top '[m']]], "")</f>
        <v>-85.8</v>
      </c>
      <c r="I47" s="68">
        <f>IFERROR(-(MP_DATA[[#This Row],[D, bottom '[m']]]-MP_DATA[[#This Row],[D, top '[m']]])/(MP_DATA[[#This Row],[Bottom '[m']]]-MP_DATA[[#This Row],[Top '[m']]]),"")</f>
        <v>0</v>
      </c>
      <c r="J47" s="68">
        <f t="shared" si="0"/>
        <v>92.776571768017547</v>
      </c>
      <c r="K47" s="68">
        <f>IFERROR((MP_DATA[[#This Row],[D, bottom '[m']]]+MP_DATA[[#This Row],[D, top '[m']]])/(2*MP_DATA[[#This Row],[t '[mm']]]/1000),"")</f>
        <v>115</v>
      </c>
      <c r="L47" s="68" t="str">
        <f>IFERROR((MP_DATA[[#This Row],[D, bottom '[m']]]+#REF!)/(2*#REF!/1000),"")</f>
        <v/>
      </c>
      <c r="Q47" s="67">
        <v>23</v>
      </c>
      <c r="R47" s="73">
        <v>-71</v>
      </c>
      <c r="S47" s="73">
        <v>-74.3</v>
      </c>
      <c r="T47" s="67">
        <v>11.5</v>
      </c>
      <c r="U47" s="67">
        <v>11.5</v>
      </c>
      <c r="V47" s="67">
        <v>100</v>
      </c>
      <c r="AP47" s="68" t="str">
        <f>IFERROR(TP_DATA[[#This Row],[Bottom '[m']]]-TP_DATA[[#This Row],[D, top '[m']]], "")</f>
        <v/>
      </c>
      <c r="AQ47" s="68" t="str">
        <f>IFERROR(-(TP_DATA[[#This Row],[D, bottom '[m']]]-TP_DATA[[#This Row],[D, top '[m']]])/(TP_DATA[[#This Row],[Bottom '[m']]]-TP_DATA[[#This Row],[Top '[m']]]),"")</f>
        <v/>
      </c>
      <c r="AR47" s="68" t="str">
        <f t="shared" si="1"/>
        <v/>
      </c>
      <c r="AS47" s="68" t="str">
        <f>IFERROR((TP_DATA[[#This Row],[D, bottom '[m']]]+TP_DATA[[#This Row],[D, top '[m']]])/(2*TP_DATA[[#This Row],[t '[mm']]]/1000),"")</f>
        <v/>
      </c>
      <c r="AT47" s="68" t="str">
        <f>IFERROR((TP_DATA[[#This Row],[D, bottom '[m']]]+#REF!)/(2*#REF!/1000),"")</f>
        <v/>
      </c>
      <c r="AY47" s="67"/>
      <c r="AZ47" s="67"/>
      <c r="BA47" s="67"/>
      <c r="BB47" s="67"/>
      <c r="BC47" s="67"/>
      <c r="BD47" s="67"/>
      <c r="BR47">
        <v>23</v>
      </c>
      <c r="BS47">
        <v>111.191</v>
      </c>
      <c r="BT47">
        <v>108.41500000000001</v>
      </c>
      <c r="BU47">
        <v>6.2492999999999999</v>
      </c>
      <c r="BV47">
        <v>6.3041999999999998</v>
      </c>
      <c r="BW47">
        <v>25.2</v>
      </c>
      <c r="BX47" s="68">
        <f>IFERROR(TOWER_DATA[[#This Row],[Bottom '[m']]]-TOWER_DATA[[#This Row],[D, top '[m']]], "")</f>
        <v>102.1657</v>
      </c>
      <c r="BY47" s="68">
        <f>IFERROR(-(TOWER_DATA[[#This Row],[D, bottom '[m']]]-TOWER_DATA[[#This Row],[D, top '[m']]])/(TOWER_DATA[[#This Row],[Bottom '[m']]]-TOWER_DATA[[#This Row],[Top '[m']]]),"")</f>
        <v>1.9776657060518739E-2</v>
      </c>
      <c r="BZ47" s="68">
        <f t="shared" si="2"/>
        <v>10.785176109527962</v>
      </c>
      <c r="CA47" s="68">
        <f>IFERROR((TOWER_DATA[[#This Row],[D, bottom '[m']]]+TOWER_DATA[[#This Row],[D, top '[m']]])/(2*TOWER_DATA[[#This Row],[t '[mm']]]/1000),"")</f>
        <v>249.07738095238093</v>
      </c>
      <c r="CB47" s="68" t="str">
        <f>IFERROR((TOWER_DATA[[#This Row],[D, bottom '[m']]]+#REF!)/(2*#REF!/1000),"")</f>
        <v/>
      </c>
      <c r="CC47" s="69"/>
      <c r="CD47" s="69"/>
      <c r="CE47" s="69"/>
      <c r="CG47" s="67">
        <v>23</v>
      </c>
      <c r="CH47" s="67">
        <v>111.191</v>
      </c>
      <c r="CI47" s="67">
        <v>108.41500000000001</v>
      </c>
      <c r="CJ47" s="67">
        <v>6.2492999999999999</v>
      </c>
      <c r="CK47" s="67">
        <v>6.3041999999999998</v>
      </c>
      <c r="CL47" s="67">
        <v>25.2</v>
      </c>
    </row>
    <row r="48" spans="2:94" x14ac:dyDescent="0.3">
      <c r="B48">
        <v>24</v>
      </c>
      <c r="C48" s="76">
        <v>-74.3</v>
      </c>
      <c r="D48" s="76">
        <v>-77.430000000000007</v>
      </c>
      <c r="E48">
        <v>11.5</v>
      </c>
      <c r="F48">
        <v>11.5</v>
      </c>
      <c r="G48">
        <v>110</v>
      </c>
      <c r="H48" s="68">
        <f>IFERROR(MP_DATA[[#This Row],[Bottom '[m']]]-MP_DATA[[#This Row],[D, top '[m']]], "")</f>
        <v>-88.93</v>
      </c>
      <c r="I48" s="68">
        <f>IFERROR(-(MP_DATA[[#This Row],[D, bottom '[m']]]-MP_DATA[[#This Row],[D, top '[m']]])/(MP_DATA[[#This Row],[Bottom '[m']]]-MP_DATA[[#This Row],[Top '[m']]]),"")</f>
        <v>0</v>
      </c>
      <c r="J48" s="68">
        <f t="shared" si="0"/>
        <v>96.71198032544136</v>
      </c>
      <c r="K48" s="68">
        <f>IFERROR((MP_DATA[[#This Row],[D, bottom '[m']]]+MP_DATA[[#This Row],[D, top '[m']]])/(2*MP_DATA[[#This Row],[t '[mm']]]/1000),"")</f>
        <v>104.54545454545455</v>
      </c>
      <c r="L48" s="68" t="str">
        <f>IFERROR((MP_DATA[[#This Row],[D, bottom '[m']]]+#REF!)/(2*#REF!/1000),"")</f>
        <v/>
      </c>
      <c r="Q48" s="67">
        <v>24</v>
      </c>
      <c r="R48" s="73">
        <v>-74.3</v>
      </c>
      <c r="S48" s="73">
        <v>-77.430000000000007</v>
      </c>
      <c r="T48" s="67">
        <v>11.5</v>
      </c>
      <c r="U48" s="67">
        <v>11.5</v>
      </c>
      <c r="V48" s="67">
        <v>110</v>
      </c>
      <c r="AP48" s="68" t="str">
        <f>IFERROR(TP_DATA[[#This Row],[Bottom '[m']]]-TP_DATA[[#This Row],[D, top '[m']]], "")</f>
        <v/>
      </c>
      <c r="AQ48" s="68" t="str">
        <f>IFERROR(-(TP_DATA[[#This Row],[D, bottom '[m']]]-TP_DATA[[#This Row],[D, top '[m']]])/(TP_DATA[[#This Row],[Bottom '[m']]]-TP_DATA[[#This Row],[Top '[m']]]),"")</f>
        <v/>
      </c>
      <c r="AR48" s="68" t="str">
        <f t="shared" si="1"/>
        <v/>
      </c>
      <c r="AS48" s="68" t="str">
        <f>IFERROR((TP_DATA[[#This Row],[D, bottom '[m']]]+TP_DATA[[#This Row],[D, top '[m']]])/(2*TP_DATA[[#This Row],[t '[mm']]]/1000),"")</f>
        <v/>
      </c>
      <c r="AT48" s="68" t="str">
        <f>IFERROR((TP_DATA[[#This Row],[D, bottom '[m']]]+#REF!)/(2*#REF!/1000),"")</f>
        <v/>
      </c>
      <c r="AY48" s="67"/>
      <c r="AZ48" s="67"/>
      <c r="BA48" s="67"/>
      <c r="BB48" s="67"/>
      <c r="BC48" s="67"/>
      <c r="BD48" s="67"/>
      <c r="BR48">
        <v>24</v>
      </c>
      <c r="BS48">
        <v>108.41500000000001</v>
      </c>
      <c r="BT48">
        <v>105.64</v>
      </c>
      <c r="BU48">
        <v>6.3041999999999998</v>
      </c>
      <c r="BV48">
        <v>6.3586</v>
      </c>
      <c r="BW48">
        <v>25.6</v>
      </c>
      <c r="BX48" s="68">
        <f>IFERROR(TOWER_DATA[[#This Row],[Bottom '[m']]]-TOWER_DATA[[#This Row],[D, top '[m']]], "")</f>
        <v>99.335800000000006</v>
      </c>
      <c r="BY48" s="68">
        <f>IFERROR(-(TOWER_DATA[[#This Row],[D, bottom '[m']]]-TOWER_DATA[[#This Row],[D, top '[m']]])/(TOWER_DATA[[#This Row],[Bottom '[m']]]-TOWER_DATA[[#This Row],[Top '[m']]]),"")</f>
        <v>1.9603603603603643E-2</v>
      </c>
      <c r="BZ48" s="68">
        <f t="shared" si="2"/>
        <v>11.047466019228711</v>
      </c>
      <c r="CA48" s="68">
        <f>IFERROR((TOWER_DATA[[#This Row],[D, bottom '[m']]]+TOWER_DATA[[#This Row],[D, top '[m']]])/(2*TOWER_DATA[[#This Row],[t '[mm']]]/1000),"")</f>
        <v>247.3203125</v>
      </c>
      <c r="CB48" s="68" t="str">
        <f>IFERROR((TOWER_DATA[[#This Row],[D, bottom '[m']]]+#REF!)/(2*#REF!/1000),"")</f>
        <v/>
      </c>
      <c r="CC48" s="69"/>
      <c r="CD48" s="69"/>
      <c r="CE48" s="69"/>
      <c r="CG48" s="67">
        <v>24</v>
      </c>
      <c r="CH48" s="67">
        <v>108.41500000000001</v>
      </c>
      <c r="CI48" s="67">
        <v>105.64</v>
      </c>
      <c r="CJ48" s="67">
        <v>6.3041999999999998</v>
      </c>
      <c r="CK48" s="67">
        <v>6.3586</v>
      </c>
      <c r="CL48" s="67">
        <v>25.6</v>
      </c>
    </row>
    <row r="49" spans="2:90" x14ac:dyDescent="0.3">
      <c r="B49">
        <v>25</v>
      </c>
      <c r="C49" s="76">
        <v>-77.430000000000007</v>
      </c>
      <c r="D49" s="76">
        <v>-80.430000000000007</v>
      </c>
      <c r="E49">
        <v>11.5</v>
      </c>
      <c r="F49">
        <v>11.5</v>
      </c>
      <c r="G49">
        <v>122</v>
      </c>
      <c r="H49" s="68">
        <f>IFERROR(MP_DATA[[#This Row],[Bottom '[m']]]-MP_DATA[[#This Row],[D, top '[m']]], "")</f>
        <v>-91.93</v>
      </c>
      <c r="I49" s="68">
        <f>IFERROR(-(MP_DATA[[#This Row],[D, bottom '[m']]]-MP_DATA[[#This Row],[D, top '[m']]])/(MP_DATA[[#This Row],[Bottom '[m']]]-MP_DATA[[#This Row],[Top '[m']]]),"")</f>
        <v>0</v>
      </c>
      <c r="J49" s="68">
        <f t="shared" si="0"/>
        <v>102.6990779077619</v>
      </c>
      <c r="K49" s="68">
        <f>IFERROR((MP_DATA[[#This Row],[D, bottom '[m']]]+MP_DATA[[#This Row],[D, top '[m']]])/(2*MP_DATA[[#This Row],[t '[mm']]]/1000),"")</f>
        <v>94.26229508196721</v>
      </c>
      <c r="L49" s="68" t="str">
        <f>IFERROR((MP_DATA[[#This Row],[D, bottom '[m']]]+#REF!)/(2*#REF!/1000),"")</f>
        <v/>
      </c>
      <c r="Q49" s="67">
        <v>25</v>
      </c>
      <c r="R49" s="73">
        <v>-77.430000000000007</v>
      </c>
      <c r="S49" s="73">
        <v>-80.430000000000007</v>
      </c>
      <c r="T49" s="67">
        <v>11.5</v>
      </c>
      <c r="U49" s="67">
        <v>11.5</v>
      </c>
      <c r="V49" s="67">
        <v>122</v>
      </c>
      <c r="AP49" s="68" t="str">
        <f>IFERROR(TP_DATA[[#This Row],[Bottom '[m']]]-TP_DATA[[#This Row],[D, top '[m']]], "")</f>
        <v/>
      </c>
      <c r="AQ49" s="68" t="str">
        <f>IFERROR(-(TP_DATA[[#This Row],[D, bottom '[m']]]-TP_DATA[[#This Row],[D, top '[m']]])/(TP_DATA[[#This Row],[Bottom '[m']]]-TP_DATA[[#This Row],[Top '[m']]]),"")</f>
        <v/>
      </c>
      <c r="AR49" s="68" t="str">
        <f t="shared" si="1"/>
        <v/>
      </c>
      <c r="AS49" s="68" t="str">
        <f>IFERROR((TP_DATA[[#This Row],[D, bottom '[m']]]+TP_DATA[[#This Row],[D, top '[m']]])/(2*TP_DATA[[#This Row],[t '[mm']]]/1000),"")</f>
        <v/>
      </c>
      <c r="AT49" s="68" t="str">
        <f>IFERROR((TP_DATA[[#This Row],[D, bottom '[m']]]+#REF!)/(2*#REF!/1000),"")</f>
        <v/>
      </c>
      <c r="AY49" s="67"/>
      <c r="AZ49" s="67"/>
      <c r="BA49" s="67"/>
      <c r="BB49" s="67"/>
      <c r="BC49" s="67"/>
      <c r="BD49" s="67"/>
      <c r="BR49">
        <v>25</v>
      </c>
      <c r="BS49">
        <v>105.64</v>
      </c>
      <c r="BT49">
        <v>102.866</v>
      </c>
      <c r="BU49">
        <v>6.3586</v>
      </c>
      <c r="BV49">
        <v>6.4127999999999998</v>
      </c>
      <c r="BW49">
        <v>25.8</v>
      </c>
      <c r="BX49" s="68">
        <f>IFERROR(TOWER_DATA[[#This Row],[Bottom '[m']]]-TOWER_DATA[[#This Row],[D, top '[m']]], "")</f>
        <v>96.507400000000004</v>
      </c>
      <c r="BY49" s="68">
        <f>IFERROR(-(TOWER_DATA[[#This Row],[D, bottom '[m']]]-TOWER_DATA[[#This Row],[D, top '[m']]])/(TOWER_DATA[[#This Row],[Bottom '[m']]]-TOWER_DATA[[#This Row],[Top '[m']]]),"")</f>
        <v>1.9538572458543541E-2</v>
      </c>
      <c r="BZ49" s="68">
        <f t="shared" si="2"/>
        <v>11.225248892567858</v>
      </c>
      <c r="CA49" s="68">
        <f>IFERROR((TOWER_DATA[[#This Row],[D, bottom '[m']]]+TOWER_DATA[[#This Row],[D, top '[m']]])/(2*TOWER_DATA[[#This Row],[t '[mm']]]/1000),"")</f>
        <v>247.50775193798449</v>
      </c>
      <c r="CB49" s="68" t="str">
        <f>IFERROR((TOWER_DATA[[#This Row],[D, bottom '[m']]]+#REF!)/(2*#REF!/1000),"")</f>
        <v/>
      </c>
      <c r="CC49" s="69"/>
      <c r="CD49" s="69"/>
      <c r="CE49" s="69"/>
      <c r="CG49" s="67">
        <v>25</v>
      </c>
      <c r="CH49" s="67">
        <v>105.64</v>
      </c>
      <c r="CI49" s="67">
        <v>102.866</v>
      </c>
      <c r="CJ49" s="67">
        <v>6.3586</v>
      </c>
      <c r="CK49" s="67">
        <v>6.4127999999999998</v>
      </c>
      <c r="CL49" s="67">
        <v>25.8</v>
      </c>
    </row>
    <row r="50" spans="2:90" x14ac:dyDescent="0.3">
      <c r="H50" s="68" t="str">
        <f>IFERROR(MP_DATA[[#This Row],[Bottom '[m']]]-MP_DATA[[#This Row],[D, top '[m']]], "")</f>
        <v/>
      </c>
      <c r="I50" s="68" t="str">
        <f>IFERROR(-(MP_DATA[[#This Row],[D, bottom '[m']]]-MP_DATA[[#This Row],[D, top '[m']]])/(MP_DATA[[#This Row],[Bottom '[m']]]-MP_DATA[[#This Row],[Top '[m']]]),"")</f>
        <v/>
      </c>
      <c r="J50" s="68" t="str">
        <f t="shared" si="0"/>
        <v/>
      </c>
      <c r="K50" s="68" t="str">
        <f>IFERROR((MP_DATA[[#This Row],[D, bottom '[m']]]+MP_DATA[[#This Row],[D, top '[m']]])/(2*MP_DATA[[#This Row],[t '[mm']]]/1000),"")</f>
        <v/>
      </c>
      <c r="L50" s="68" t="str">
        <f>IFERROR((MP_DATA[[#This Row],[D, bottom '[m']]]+#REF!)/(2*#REF!/1000),"")</f>
        <v/>
      </c>
      <c r="AP50" s="68" t="str">
        <f>IFERROR(TP_DATA[[#This Row],[Bottom '[m']]]-TP_DATA[[#This Row],[D, top '[m']]], "")</f>
        <v/>
      </c>
      <c r="AQ50" s="68" t="str">
        <f>IFERROR(-(TP_DATA[[#This Row],[D, bottom '[m']]]-TP_DATA[[#This Row],[D, top '[m']]])/(TP_DATA[[#This Row],[Bottom '[m']]]-TP_DATA[[#This Row],[Top '[m']]]),"")</f>
        <v/>
      </c>
      <c r="AR50" s="68" t="str">
        <f t="shared" si="1"/>
        <v/>
      </c>
      <c r="AS50" s="68" t="str">
        <f>IFERROR((TP_DATA[[#This Row],[D, bottom '[m']]]+TP_DATA[[#This Row],[D, top '[m']]])/(2*TP_DATA[[#This Row],[t '[mm']]]/1000),"")</f>
        <v/>
      </c>
      <c r="AT50" s="68" t="str">
        <f>IFERROR((TP_DATA[[#This Row],[D, bottom '[m']]]+#REF!)/(2*#REF!/1000),"")</f>
        <v/>
      </c>
      <c r="BR50">
        <v>26</v>
      </c>
      <c r="BS50">
        <v>102.866</v>
      </c>
      <c r="BT50">
        <v>100.095</v>
      </c>
      <c r="BU50">
        <v>6.4127999999999998</v>
      </c>
      <c r="BV50">
        <v>6.4669999999999996</v>
      </c>
      <c r="BW50">
        <v>26</v>
      </c>
      <c r="BX50" s="68">
        <f>IFERROR(TOWER_DATA[[#This Row],[Bottom '[m']]]-TOWER_DATA[[#This Row],[D, top '[m']]], "")</f>
        <v>93.682199999999995</v>
      </c>
      <c r="BY50" s="68">
        <f>IFERROR(-(TOWER_DATA[[#This Row],[D, bottom '[m']]]-TOWER_DATA[[#This Row],[D, top '[m']]])/(TOWER_DATA[[#This Row],[Bottom '[m']]]-TOWER_DATA[[#This Row],[Top '[m']]]),"")</f>
        <v>1.9559725730783035E-2</v>
      </c>
      <c r="BZ50" s="68">
        <f t="shared" si="2"/>
        <v>11.395977620360522</v>
      </c>
      <c r="CA50" s="68">
        <f>IFERROR((TOWER_DATA[[#This Row],[D, bottom '[m']]]+TOWER_DATA[[#This Row],[D, top '[m']]])/(2*TOWER_DATA[[#This Row],[t '[mm']]]/1000),"")</f>
        <v>247.68846153846155</v>
      </c>
      <c r="CB50" s="68" t="str">
        <f>IFERROR((TOWER_DATA[[#This Row],[D, bottom '[m']]]+#REF!)/(2*#REF!/1000),"")</f>
        <v/>
      </c>
      <c r="CG50" s="67">
        <v>26</v>
      </c>
      <c r="CH50" s="67">
        <v>102.866</v>
      </c>
      <c r="CI50" s="67">
        <v>100.095</v>
      </c>
      <c r="CJ50">
        <v>6.4127999999999998</v>
      </c>
      <c r="CK50" s="67">
        <v>6.4669999999999996</v>
      </c>
      <c r="CL50">
        <v>26</v>
      </c>
    </row>
    <row r="51" spans="2:90" x14ac:dyDescent="0.3">
      <c r="H51" s="68" t="str">
        <f>IFERROR(MP_DATA[[#This Row],[Bottom '[m']]]-MP_DATA[[#This Row],[D, top '[m']]], "")</f>
        <v/>
      </c>
      <c r="I51" s="68" t="str">
        <f>IFERROR(-(MP_DATA[[#This Row],[D, bottom '[m']]]-MP_DATA[[#This Row],[D, top '[m']]])/(MP_DATA[[#This Row],[Bottom '[m']]]-MP_DATA[[#This Row],[Top '[m']]]),"")</f>
        <v/>
      </c>
      <c r="J51" s="68" t="str">
        <f t="shared" si="0"/>
        <v/>
      </c>
      <c r="K51" s="68" t="str">
        <f>IFERROR((MP_DATA[[#This Row],[D, bottom '[m']]]+MP_DATA[[#This Row],[D, top '[m']]])/(2*MP_DATA[[#This Row],[t '[mm']]]/1000),"")</f>
        <v/>
      </c>
      <c r="L51" s="68" t="str">
        <f>IFERROR((MP_DATA[[#This Row],[D, bottom '[m']]]+#REF!)/(2*#REF!/1000),"")</f>
        <v/>
      </c>
      <c r="AP51" s="68" t="str">
        <f>IFERROR(TP_DATA[[#This Row],[Bottom '[m']]]-TP_DATA[[#This Row],[D, top '[m']]], "")</f>
        <v/>
      </c>
      <c r="AQ51" s="68" t="str">
        <f>IFERROR(-(TP_DATA[[#This Row],[D, bottom '[m']]]-TP_DATA[[#This Row],[D, top '[m']]])/(TP_DATA[[#This Row],[Bottom '[m']]]-TP_DATA[[#This Row],[Top '[m']]]),"")</f>
        <v/>
      </c>
      <c r="AR51" s="68" t="str">
        <f t="shared" si="1"/>
        <v/>
      </c>
      <c r="AS51" s="68" t="str">
        <f>IFERROR((TP_DATA[[#This Row],[D, bottom '[m']]]+TP_DATA[[#This Row],[D, top '[m']]])/(2*TP_DATA[[#This Row],[t '[mm']]]/1000),"")</f>
        <v/>
      </c>
      <c r="AT51" s="68" t="str">
        <f>IFERROR((TP_DATA[[#This Row],[D, bottom '[m']]]+#REF!)/(2*#REF!/1000),"")</f>
        <v/>
      </c>
      <c r="BR51">
        <v>27</v>
      </c>
      <c r="BS51">
        <v>100.095</v>
      </c>
      <c r="BT51">
        <v>97.323999999999998</v>
      </c>
      <c r="BU51">
        <v>6.4669999999999996</v>
      </c>
      <c r="BV51">
        <v>6.5206</v>
      </c>
      <c r="BW51">
        <v>26.599999999999998</v>
      </c>
      <c r="BX51" s="68">
        <f>IFERROR(TOWER_DATA[[#This Row],[Bottom '[m']]]-TOWER_DATA[[#This Row],[D, top '[m']]], "")</f>
        <v>90.856999999999999</v>
      </c>
      <c r="BY51" s="68">
        <f>IFERROR(-(TOWER_DATA[[#This Row],[D, bottom '[m']]]-TOWER_DATA[[#This Row],[D, top '[m']]])/(TOWER_DATA[[#This Row],[Bottom '[m']]]-TOWER_DATA[[#This Row],[Top '[m']]]),"")</f>
        <v>1.9343197401660159E-2</v>
      </c>
      <c r="BZ51" s="68">
        <f t="shared" si="2"/>
        <v>11.755848583701995</v>
      </c>
      <c r="CA51" s="68">
        <f>IFERROR((TOWER_DATA[[#This Row],[D, bottom '[m']]]+TOWER_DATA[[#This Row],[D, top '[m']]])/(2*TOWER_DATA[[#This Row],[t '[mm']]]/1000),"")</f>
        <v>244.1278195488722</v>
      </c>
      <c r="CB51" s="68" t="str">
        <f>IFERROR((TOWER_DATA[[#This Row],[D, bottom '[m']]]+#REF!)/(2*#REF!/1000),"")</f>
        <v/>
      </c>
      <c r="CG51" s="67">
        <v>27</v>
      </c>
      <c r="CH51" s="67">
        <v>100.095</v>
      </c>
      <c r="CI51" s="67">
        <v>97.323999999999998</v>
      </c>
      <c r="CJ51">
        <v>6.4669999999999996</v>
      </c>
      <c r="CK51" s="67">
        <v>6.5206</v>
      </c>
      <c r="CL51">
        <v>26.599999999999998</v>
      </c>
    </row>
    <row r="52" spans="2:90" x14ac:dyDescent="0.3">
      <c r="H52" s="68" t="str">
        <f>IFERROR(MP_DATA[[#This Row],[Bottom '[m']]]-MP_DATA[[#This Row],[D, top '[m']]], "")</f>
        <v/>
      </c>
      <c r="I52" s="68" t="str">
        <f>IFERROR(-(MP_DATA[[#This Row],[D, bottom '[m']]]-MP_DATA[[#This Row],[D, top '[m']]])/(MP_DATA[[#This Row],[Bottom '[m']]]-MP_DATA[[#This Row],[Top '[m']]]),"")</f>
        <v/>
      </c>
      <c r="J52" s="68" t="str">
        <f t="shared" si="0"/>
        <v/>
      </c>
      <c r="K52" s="68" t="str">
        <f>IFERROR((MP_DATA[[#This Row],[D, bottom '[m']]]+MP_DATA[[#This Row],[D, top '[m']]])/(2*MP_DATA[[#This Row],[t '[mm']]]/1000),"")</f>
        <v/>
      </c>
      <c r="L52" s="68" t="str">
        <f>IFERROR((MP_DATA[[#This Row],[D, bottom '[m']]]+#REF!)/(2*#REF!/1000),"")</f>
        <v/>
      </c>
      <c r="AP52" s="68" t="str">
        <f>IFERROR(TP_DATA[[#This Row],[Bottom '[m']]]-TP_DATA[[#This Row],[D, top '[m']]], "")</f>
        <v/>
      </c>
      <c r="AQ52" s="68" t="str">
        <f>IFERROR(-(TP_DATA[[#This Row],[D, bottom '[m']]]-TP_DATA[[#This Row],[D, top '[m']]])/(TP_DATA[[#This Row],[Bottom '[m']]]-TP_DATA[[#This Row],[Top '[m']]]),"")</f>
        <v/>
      </c>
      <c r="AR52" s="68" t="str">
        <f t="shared" si="1"/>
        <v/>
      </c>
      <c r="AS52" s="68" t="str">
        <f>IFERROR((TP_DATA[[#This Row],[D, bottom '[m']]]+TP_DATA[[#This Row],[D, top '[m']]])/(2*TP_DATA[[#This Row],[t '[mm']]]/1000),"")</f>
        <v/>
      </c>
      <c r="AT52" s="68" t="str">
        <f>IFERROR((TP_DATA[[#This Row],[D, bottom '[m']]]+#REF!)/(2*#REF!/1000),"")</f>
        <v/>
      </c>
      <c r="BR52">
        <v>28</v>
      </c>
      <c r="BS52">
        <v>97.323999999999998</v>
      </c>
      <c r="BT52">
        <v>94.554000000000002</v>
      </c>
      <c r="BU52">
        <v>6.5206</v>
      </c>
      <c r="BV52">
        <v>6.5753000000000004</v>
      </c>
      <c r="BW52">
        <v>27.3</v>
      </c>
      <c r="BX52" s="68">
        <f>IFERROR(TOWER_DATA[[#This Row],[Bottom '[m']]]-TOWER_DATA[[#This Row],[D, top '[m']]], "")</f>
        <v>88.0334</v>
      </c>
      <c r="BY52" s="68">
        <f>IFERROR(-(TOWER_DATA[[#This Row],[D, bottom '[m']]]-TOWER_DATA[[#This Row],[D, top '[m']]])/(TOWER_DATA[[#This Row],[Bottom '[m']]]-TOWER_DATA[[#This Row],[Top '[m']]]),"")</f>
        <v>1.9747292418772742E-2</v>
      </c>
      <c r="BZ52" s="68">
        <f t="shared" si="2"/>
        <v>12.160539292573176</v>
      </c>
      <c r="CA52" s="68">
        <f>IFERROR((TOWER_DATA[[#This Row],[D, bottom '[m']]]+TOWER_DATA[[#This Row],[D, top '[m']]])/(2*TOWER_DATA[[#This Row],[t '[mm']]]/1000),"")</f>
        <v>239.85164835164835</v>
      </c>
      <c r="CB52" s="68" t="str">
        <f>IFERROR((TOWER_DATA[[#This Row],[D, bottom '[m']]]+#REF!)/(2*#REF!/1000),"")</f>
        <v/>
      </c>
      <c r="CG52" s="67">
        <v>28</v>
      </c>
      <c r="CH52" s="67">
        <v>97.323999999999998</v>
      </c>
      <c r="CI52" s="67">
        <v>94.554000000000002</v>
      </c>
      <c r="CJ52">
        <v>6.5206</v>
      </c>
      <c r="CK52" s="67">
        <v>6.5753000000000004</v>
      </c>
      <c r="CL52">
        <v>27.3</v>
      </c>
    </row>
    <row r="53" spans="2:90" x14ac:dyDescent="0.3">
      <c r="H53" s="68" t="str">
        <f>IFERROR(MP_DATA[[#This Row],[Bottom '[m']]]-MP_DATA[[#This Row],[D, top '[m']]], "")</f>
        <v/>
      </c>
      <c r="I53" s="68" t="str">
        <f>IFERROR(-(MP_DATA[[#This Row],[D, bottom '[m']]]-MP_DATA[[#This Row],[D, top '[m']]])/(MP_DATA[[#This Row],[Bottom '[m']]]-MP_DATA[[#This Row],[Top '[m']]]),"")</f>
        <v/>
      </c>
      <c r="J53" s="68" t="str">
        <f t="shared" si="0"/>
        <v/>
      </c>
      <c r="K53" s="68" t="str">
        <f>IFERROR((MP_DATA[[#This Row],[D, bottom '[m']]]+MP_DATA[[#This Row],[D, top '[m']]])/(2*MP_DATA[[#This Row],[t '[mm']]]/1000),"")</f>
        <v/>
      </c>
      <c r="L53" s="68" t="str">
        <f>IFERROR((MP_DATA[[#This Row],[D, bottom '[m']]]+#REF!)/(2*#REF!/1000),"")</f>
        <v/>
      </c>
      <c r="AP53" s="68" t="str">
        <f>IFERROR(TP_DATA[[#This Row],[Bottom '[m']]]-TP_DATA[[#This Row],[D, top '[m']]], "")</f>
        <v/>
      </c>
      <c r="AQ53" s="68" t="str">
        <f>IFERROR(-(TP_DATA[[#This Row],[D, bottom '[m']]]-TP_DATA[[#This Row],[D, top '[m']]])/(TP_DATA[[#This Row],[Bottom '[m']]]-TP_DATA[[#This Row],[Top '[m']]]),"")</f>
        <v/>
      </c>
      <c r="AR53" s="68" t="str">
        <f t="shared" si="1"/>
        <v/>
      </c>
      <c r="AS53" s="68" t="str">
        <f>IFERROR((TP_DATA[[#This Row],[D, bottom '[m']]]+TP_DATA[[#This Row],[D, top '[m']]])/(2*TP_DATA[[#This Row],[t '[mm']]]/1000),"")</f>
        <v/>
      </c>
      <c r="AT53" s="68" t="str">
        <f>IFERROR((TP_DATA[[#This Row],[D, bottom '[m']]]+#REF!)/(2*#REF!/1000),"")</f>
        <v/>
      </c>
      <c r="BR53">
        <v>29</v>
      </c>
      <c r="BS53">
        <v>94.554000000000002</v>
      </c>
      <c r="BT53">
        <v>91.787000000000006</v>
      </c>
      <c r="BU53">
        <v>6.5753000000000004</v>
      </c>
      <c r="BV53">
        <v>6.6299000000000001</v>
      </c>
      <c r="BW53">
        <v>27.900000000000002</v>
      </c>
      <c r="BX53" s="68">
        <f>IFERROR(TOWER_DATA[[#This Row],[Bottom '[m']]]-TOWER_DATA[[#This Row],[D, top '[m']]], "")</f>
        <v>85.211700000000008</v>
      </c>
      <c r="BY53" s="68">
        <f>IFERROR(-(TOWER_DATA[[#This Row],[D, bottom '[m']]]-TOWER_DATA[[#This Row],[D, top '[m']]])/(TOWER_DATA[[#This Row],[Bottom '[m']]]-TOWER_DATA[[#This Row],[Top '[m']]]),"")</f>
        <v>1.9732562341886462E-2</v>
      </c>
      <c r="BZ53" s="68">
        <f t="shared" si="2"/>
        <v>12.517247308250088</v>
      </c>
      <c r="CA53" s="68">
        <f>IFERROR((TOWER_DATA[[#This Row],[D, bottom '[m']]]+TOWER_DATA[[#This Row],[D, top '[m']]])/(2*TOWER_DATA[[#This Row],[t '[mm']]]/1000),"")</f>
        <v>236.65232974910396</v>
      </c>
      <c r="CB53" s="68" t="str">
        <f>IFERROR((TOWER_DATA[[#This Row],[D, bottom '[m']]]+#REF!)/(2*#REF!/1000),"")</f>
        <v/>
      </c>
      <c r="CG53" s="67">
        <v>29</v>
      </c>
      <c r="CH53" s="67">
        <v>94.554000000000002</v>
      </c>
      <c r="CI53" s="67">
        <v>91.787000000000006</v>
      </c>
      <c r="CJ53">
        <v>6.5753000000000004</v>
      </c>
      <c r="CK53" s="67">
        <v>6.6299000000000001</v>
      </c>
      <c r="CL53">
        <v>27.900000000000002</v>
      </c>
    </row>
    <row r="54" spans="2:90" x14ac:dyDescent="0.3">
      <c r="H54" s="68" t="str">
        <f>IFERROR(MP_DATA[[#This Row],[Bottom '[m']]]-MP_DATA[[#This Row],[D, top '[m']]], "")</f>
        <v/>
      </c>
      <c r="I54" s="68" t="str">
        <f>IFERROR(-(MP_DATA[[#This Row],[D, bottom '[m']]]-MP_DATA[[#This Row],[D, top '[m']]])/(MP_DATA[[#This Row],[Bottom '[m']]]-MP_DATA[[#This Row],[Top '[m']]]),"")</f>
        <v/>
      </c>
      <c r="J54" s="68" t="str">
        <f t="shared" si="0"/>
        <v/>
      </c>
      <c r="K54" s="68" t="str">
        <f>IFERROR((MP_DATA[[#This Row],[D, bottom '[m']]]+MP_DATA[[#This Row],[D, top '[m']]])/(2*MP_DATA[[#This Row],[t '[mm']]]/1000),"")</f>
        <v/>
      </c>
      <c r="L54" s="68"/>
      <c r="AP54" s="68" t="str">
        <f>IFERROR(TP_DATA[[#This Row],[Bottom '[m']]]-TP_DATA[[#This Row],[D, top '[m']]], "")</f>
        <v/>
      </c>
      <c r="AQ54" s="68" t="str">
        <f>IFERROR(-(TP_DATA[[#This Row],[D, bottom '[m']]]-TP_DATA[[#This Row],[D, top '[m']]])/(TP_DATA[[#This Row],[Bottom '[m']]]-TP_DATA[[#This Row],[Top '[m']]]),"")</f>
        <v/>
      </c>
      <c r="AR54" s="68" t="str">
        <f t="shared" si="1"/>
        <v/>
      </c>
      <c r="AS54" s="68" t="str">
        <f>IFERROR((TP_DATA[[#This Row],[D, bottom '[m']]]+TP_DATA[[#This Row],[D, top '[m']]])/(2*TP_DATA[[#This Row],[t '[mm']]]/1000),"")</f>
        <v/>
      </c>
      <c r="AT54" s="68"/>
      <c r="BR54">
        <v>30</v>
      </c>
      <c r="BS54">
        <v>91.787000000000006</v>
      </c>
      <c r="BT54">
        <v>89.02</v>
      </c>
      <c r="BU54">
        <v>6.6299000000000001</v>
      </c>
      <c r="BV54">
        <v>6.6836000000000002</v>
      </c>
      <c r="BW54">
        <v>28.6</v>
      </c>
      <c r="BX54" s="68">
        <f>IFERROR(TOWER_DATA[[#This Row],[Bottom '[m']]]-TOWER_DATA[[#This Row],[D, top '[m']]], "")</f>
        <v>82.39009999999999</v>
      </c>
      <c r="BY54" s="68">
        <f>IFERROR(-(TOWER_DATA[[#This Row],[D, bottom '[m']]]-TOWER_DATA[[#This Row],[D, top '[m']]])/(TOWER_DATA[[#This Row],[Bottom '[m']]]-TOWER_DATA[[#This Row],[Top '[m']]]),"")</f>
        <v>1.9407300325261976E-2</v>
      </c>
      <c r="BZ54" s="68">
        <f t="shared" si="2"/>
        <v>12.935614067789432</v>
      </c>
      <c r="CA54" s="68">
        <f>IFERROR((TOWER_DATA[[#This Row],[D, bottom '[m']]]+TOWER_DATA[[#This Row],[D, top '[m']]])/(2*TOWER_DATA[[#This Row],[t '[mm']]]/1000),"")</f>
        <v>232.75349650349654</v>
      </c>
      <c r="CB54" s="68"/>
      <c r="CG54" s="67">
        <v>30</v>
      </c>
      <c r="CH54" s="67">
        <v>91.787000000000006</v>
      </c>
      <c r="CI54" s="67">
        <v>89.02</v>
      </c>
      <c r="CJ54">
        <v>6.6299000000000001</v>
      </c>
      <c r="CK54" s="67">
        <v>6.6836000000000002</v>
      </c>
      <c r="CL54">
        <v>28.6</v>
      </c>
    </row>
    <row r="55" spans="2:90" x14ac:dyDescent="0.3">
      <c r="H55" s="68" t="str">
        <f>IFERROR(MP_DATA[[#This Row],[Bottom '[m']]]-MP_DATA[[#This Row],[D, top '[m']]], "")</f>
        <v/>
      </c>
      <c r="I55" s="68" t="str">
        <f>IFERROR(-(MP_DATA[[#This Row],[D, bottom '[m']]]-MP_DATA[[#This Row],[D, top '[m']]])/(MP_DATA[[#This Row],[Bottom '[m']]]-MP_DATA[[#This Row],[Top '[m']]]),"")</f>
        <v/>
      </c>
      <c r="J55" s="68" t="str">
        <f t="shared" si="0"/>
        <v/>
      </c>
      <c r="K55" s="68" t="str">
        <f>IFERROR((MP_DATA[[#This Row],[D, bottom '[m']]]+MP_DATA[[#This Row],[D, top '[m']]])/(2*MP_DATA[[#This Row],[t '[mm']]]/1000),"")</f>
        <v/>
      </c>
      <c r="L55" s="68"/>
      <c r="AP55" s="68" t="str">
        <f>IFERROR(TP_DATA[[#This Row],[Bottom '[m']]]-TP_DATA[[#This Row],[D, top '[m']]], "")</f>
        <v/>
      </c>
      <c r="AQ55" s="68" t="str">
        <f>IFERROR(-(TP_DATA[[#This Row],[D, bottom '[m']]]-TP_DATA[[#This Row],[D, top '[m']]])/(TP_DATA[[#This Row],[Bottom '[m']]]-TP_DATA[[#This Row],[Top '[m']]]),"")</f>
        <v/>
      </c>
      <c r="AR55" s="68" t="str">
        <f t="shared" si="1"/>
        <v/>
      </c>
      <c r="AS55" s="68" t="str">
        <f>IFERROR((TP_DATA[[#This Row],[D, bottom '[m']]]+TP_DATA[[#This Row],[D, top '[m']]])/(2*TP_DATA[[#This Row],[t '[mm']]]/1000),"")</f>
        <v/>
      </c>
      <c r="AT55" s="68"/>
      <c r="BR55">
        <v>31</v>
      </c>
      <c r="BS55">
        <v>89.02</v>
      </c>
      <c r="BT55">
        <v>86.254000000000005</v>
      </c>
      <c r="BU55">
        <v>6.6836000000000002</v>
      </c>
      <c r="BV55">
        <v>6.7382</v>
      </c>
      <c r="BW55">
        <v>29.2</v>
      </c>
      <c r="BX55" s="68">
        <f>IFERROR(TOWER_DATA[[#This Row],[Bottom '[m']]]-TOWER_DATA[[#This Row],[D, top '[m']]], "")</f>
        <v>79.570400000000006</v>
      </c>
      <c r="BY55" s="68">
        <f>IFERROR(-(TOWER_DATA[[#This Row],[D, bottom '[m']]]-TOWER_DATA[[#This Row],[D, top '[m']]])/(TOWER_DATA[[#This Row],[Bottom '[m']]]-TOWER_DATA[[#This Row],[Top '[m']]]),"")</f>
        <v>1.9739696312364403E-2</v>
      </c>
      <c r="BZ55" s="68">
        <f t="shared" si="2"/>
        <v>13.308880608998512</v>
      </c>
      <c r="CA55" s="68">
        <f>IFERROR((TOWER_DATA[[#This Row],[D, bottom '[m']]]+TOWER_DATA[[#This Row],[D, top '[m']]])/(2*TOWER_DATA[[#This Row],[t '[mm']]]/1000),"")</f>
        <v>229.82534246575344</v>
      </c>
      <c r="CB55" s="68"/>
      <c r="CG55" s="67">
        <v>31</v>
      </c>
      <c r="CH55" s="67">
        <v>89.02</v>
      </c>
      <c r="CI55" s="67">
        <v>86.254000000000005</v>
      </c>
      <c r="CJ55">
        <v>6.6836000000000002</v>
      </c>
      <c r="CK55" s="67">
        <v>6.7382</v>
      </c>
      <c r="CL55">
        <v>29.2</v>
      </c>
    </row>
    <row r="56" spans="2:90" x14ac:dyDescent="0.3">
      <c r="H56" s="68" t="str">
        <f>IFERROR(MP_DATA[[#This Row],[Bottom '[m']]]-MP_DATA[[#This Row],[D, top '[m']]], "")</f>
        <v/>
      </c>
      <c r="I56" s="68" t="str">
        <f>IFERROR(-(MP_DATA[[#This Row],[D, bottom '[m']]]-MP_DATA[[#This Row],[D, top '[m']]])/(MP_DATA[[#This Row],[Bottom '[m']]]-MP_DATA[[#This Row],[Top '[m']]]),"")</f>
        <v/>
      </c>
      <c r="J56" s="68" t="str">
        <f t="shared" si="0"/>
        <v/>
      </c>
      <c r="K56" s="68" t="str">
        <f>IFERROR((MP_DATA[[#This Row],[D, bottom '[m']]]+MP_DATA[[#This Row],[D, top '[m']]])/(2*MP_DATA[[#This Row],[t '[mm']]]/1000),"")</f>
        <v/>
      </c>
      <c r="L56" s="68"/>
      <c r="AP56" s="68" t="str">
        <f>IFERROR(TP_DATA[[#This Row],[Bottom '[m']]]-TP_DATA[[#This Row],[D, top '[m']]], "")</f>
        <v/>
      </c>
      <c r="AQ56" s="68" t="str">
        <f>IFERROR(-(TP_DATA[[#This Row],[D, bottom '[m']]]-TP_DATA[[#This Row],[D, top '[m']]])/(TP_DATA[[#This Row],[Bottom '[m']]]-TP_DATA[[#This Row],[Top '[m']]]),"")</f>
        <v/>
      </c>
      <c r="AR56" s="68" t="str">
        <f t="shared" si="1"/>
        <v/>
      </c>
      <c r="AS56" s="68" t="str">
        <f>IFERROR((TP_DATA[[#This Row],[D, bottom '[m']]]+TP_DATA[[#This Row],[D, top '[m']]])/(2*TP_DATA[[#This Row],[t '[mm']]]/1000),"")</f>
        <v/>
      </c>
      <c r="AT56" s="68"/>
      <c r="BR56">
        <v>32</v>
      </c>
      <c r="BS56">
        <v>86.254000000000005</v>
      </c>
      <c r="BT56">
        <v>83.49</v>
      </c>
      <c r="BU56">
        <v>6.7382</v>
      </c>
      <c r="BV56">
        <v>6.7927999999999997</v>
      </c>
      <c r="BW56">
        <v>29.8</v>
      </c>
      <c r="BX56" s="68">
        <f>IFERROR(TOWER_DATA[[#This Row],[Bottom '[m']]]-TOWER_DATA[[#This Row],[D, top '[m']]], "")</f>
        <v>76.751799999999989</v>
      </c>
      <c r="BY56" s="68">
        <f>IFERROR(-(TOWER_DATA[[#This Row],[D, bottom '[m']]]-TOWER_DATA[[#This Row],[D, top '[m']]])/(TOWER_DATA[[#This Row],[Bottom '[m']]]-TOWER_DATA[[#This Row],[Top '[m']]]),"")</f>
        <v>1.97539797395078E-2</v>
      </c>
      <c r="BZ56" s="68">
        <f t="shared" si="2"/>
        <v>13.682219965512832</v>
      </c>
      <c r="CA56" s="68">
        <f>IFERROR((TOWER_DATA[[#This Row],[D, bottom '[m']]]+TOWER_DATA[[#This Row],[D, top '[m']]])/(2*TOWER_DATA[[#This Row],[t '[mm']]]/1000),"")</f>
        <v>227.03020134228186</v>
      </c>
      <c r="CB56" s="68"/>
      <c r="CG56" s="67">
        <v>32</v>
      </c>
      <c r="CH56" s="67">
        <v>86.254000000000005</v>
      </c>
      <c r="CI56" s="67">
        <v>83.49</v>
      </c>
      <c r="CJ56">
        <v>6.7382</v>
      </c>
      <c r="CK56" s="67">
        <v>6.7927999999999997</v>
      </c>
      <c r="CL56">
        <v>29.8</v>
      </c>
    </row>
    <row r="57" spans="2:90" x14ac:dyDescent="0.3">
      <c r="H57" s="68" t="str">
        <f>IFERROR(MP_DATA[[#This Row],[Bottom '[m']]]-MP_DATA[[#This Row],[D, top '[m']]], "")</f>
        <v/>
      </c>
      <c r="I57" s="68" t="str">
        <f>IFERROR(-(MP_DATA[[#This Row],[D, bottom '[m']]]-MP_DATA[[#This Row],[D, top '[m']]])/(MP_DATA[[#This Row],[Bottom '[m']]]-MP_DATA[[#This Row],[Top '[m']]]),"")</f>
        <v/>
      </c>
      <c r="J57" s="68" t="str">
        <f t="shared" ref="J57:J88" si="3"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68" t="str">
        <f>IFERROR((MP_DATA[[#This Row],[D, bottom '[m']]]+MP_DATA[[#This Row],[D, top '[m']]])/(2*MP_DATA[[#This Row],[t '[mm']]]/1000),"")</f>
        <v/>
      </c>
      <c r="L57" s="68"/>
      <c r="AP57" s="68" t="str">
        <f>IFERROR(TP_DATA[[#This Row],[Bottom '[m']]]-TP_DATA[[#This Row],[D, top '[m']]], "")</f>
        <v/>
      </c>
      <c r="AQ57" s="68" t="str">
        <f>IFERROR(-(TP_DATA[[#This Row],[D, bottom '[m']]]-TP_DATA[[#This Row],[D, top '[m']]])/(TP_DATA[[#This Row],[Bottom '[m']]]-TP_DATA[[#This Row],[Top '[m']]]),"")</f>
        <v/>
      </c>
      <c r="AR57" s="68" t="str">
        <f t="shared" si="1"/>
        <v/>
      </c>
      <c r="AS57" s="68" t="str">
        <f>IFERROR((TP_DATA[[#This Row],[D, bottom '[m']]]+TP_DATA[[#This Row],[D, top '[m']]])/(2*TP_DATA[[#This Row],[t '[mm']]]/1000),"")</f>
        <v/>
      </c>
      <c r="AT57" s="68"/>
      <c r="BR57">
        <v>33</v>
      </c>
      <c r="BS57">
        <v>83.49</v>
      </c>
      <c r="BT57">
        <v>80.72699999999999</v>
      </c>
      <c r="BU57">
        <v>6.7927999999999997</v>
      </c>
      <c r="BV57">
        <v>6.8464</v>
      </c>
      <c r="BW57">
        <v>30.4</v>
      </c>
      <c r="BX57" s="68">
        <f>IFERROR(TOWER_DATA[[#This Row],[Bottom '[m']]]-TOWER_DATA[[#This Row],[D, top '[m']]], "")</f>
        <v>73.93419999999999</v>
      </c>
      <c r="BY57" s="68">
        <f>IFERROR(-(TOWER_DATA[[#This Row],[D, bottom '[m']]]-TOWER_DATA[[#This Row],[D, top '[m']]])/(TOWER_DATA[[#This Row],[Bottom '[m']]]-TOWER_DATA[[#This Row],[Top '[m']]]),"")</f>
        <v>1.9399203764024688E-2</v>
      </c>
      <c r="BZ57" s="68">
        <f t="shared" si="2"/>
        <v>14.063473543386305</v>
      </c>
      <c r="CA57" s="68">
        <f>IFERROR((TOWER_DATA[[#This Row],[D, bottom '[m']]]+TOWER_DATA[[#This Row],[D, top '[m']]])/(2*TOWER_DATA[[#This Row],[t '[mm']]]/1000),"")</f>
        <v>224.32894736842104</v>
      </c>
      <c r="CB57" s="68"/>
      <c r="CG57" s="67">
        <v>33</v>
      </c>
      <c r="CH57" s="67">
        <v>83.49</v>
      </c>
      <c r="CI57" s="67">
        <v>80.72699999999999</v>
      </c>
      <c r="CJ57">
        <v>6.7927999999999997</v>
      </c>
      <c r="CK57" s="67">
        <v>6.8464</v>
      </c>
      <c r="CL57">
        <v>30.4</v>
      </c>
    </row>
    <row r="58" spans="2:90" x14ac:dyDescent="0.3">
      <c r="H58" s="68" t="str">
        <f>IFERROR(MP_DATA[[#This Row],[Bottom '[m']]]-MP_DATA[[#This Row],[D, top '[m']]], "")</f>
        <v/>
      </c>
      <c r="I58" s="68" t="str">
        <f>IFERROR(-(MP_DATA[[#This Row],[D, bottom '[m']]]-MP_DATA[[#This Row],[D, top '[m']]])/(MP_DATA[[#This Row],[Bottom '[m']]]-MP_DATA[[#This Row],[Top '[m']]]),"")</f>
        <v/>
      </c>
      <c r="J58" s="68" t="str">
        <f t="shared" si="3"/>
        <v/>
      </c>
      <c r="K58" s="68" t="str">
        <f>IFERROR((MP_DATA[[#This Row],[D, bottom '[m']]]+MP_DATA[[#This Row],[D, top '[m']]])/(2*MP_DATA[[#This Row],[t '[mm']]]/1000),"")</f>
        <v/>
      </c>
      <c r="L58" s="68"/>
      <c r="AP58" s="68" t="str">
        <f>IFERROR(TP_DATA[[#This Row],[Bottom '[m']]]-TP_DATA[[#This Row],[D, top '[m']]], "")</f>
        <v/>
      </c>
      <c r="AQ58" s="68" t="str">
        <f>IFERROR(-(TP_DATA[[#This Row],[D, bottom '[m']]]-TP_DATA[[#This Row],[D, top '[m']]])/(TP_DATA[[#This Row],[Bottom '[m']]]-TP_DATA[[#This Row],[Top '[m']]]),"")</f>
        <v/>
      </c>
      <c r="AR58" s="68" t="str">
        <f t="shared" si="1"/>
        <v/>
      </c>
      <c r="AS58" s="68" t="str">
        <f>IFERROR((TP_DATA[[#This Row],[D, bottom '[m']]]+TP_DATA[[#This Row],[D, top '[m']]])/(2*TP_DATA[[#This Row],[t '[mm']]]/1000),"")</f>
        <v/>
      </c>
      <c r="AT58" s="68"/>
      <c r="BR58">
        <v>34</v>
      </c>
      <c r="BS58">
        <v>80.72699999999999</v>
      </c>
      <c r="BT58">
        <v>77.965000000000003</v>
      </c>
      <c r="BU58">
        <v>6.8464</v>
      </c>
      <c r="BV58">
        <v>6.9020000000000001</v>
      </c>
      <c r="BW58">
        <v>32</v>
      </c>
      <c r="BX58" s="68">
        <f>IFERROR(TOWER_DATA[[#This Row],[Bottom '[m']]]-TOWER_DATA[[#This Row],[D, top '[m']]], "")</f>
        <v>71.118600000000001</v>
      </c>
      <c r="BY58" s="68">
        <f>IFERROR(-(TOWER_DATA[[#This Row],[D, bottom '[m']]]-TOWER_DATA[[#This Row],[D, top '[m']]])/(TOWER_DATA[[#This Row],[Bottom '[m']]]-TOWER_DATA[[#This Row],[Top '[m']]]),"")</f>
        <v>2.0130340333092096E-2</v>
      </c>
      <c r="BZ58" s="68">
        <f t="shared" si="2"/>
        <v>14.913821699332818</v>
      </c>
      <c r="CA58" s="68">
        <f>IFERROR((TOWER_DATA[[#This Row],[D, bottom '[m']]]+TOWER_DATA[[#This Row],[D, top '[m']]])/(2*TOWER_DATA[[#This Row],[t '[mm']]]/1000),"")</f>
        <v>214.81874999999999</v>
      </c>
      <c r="CB58" s="68"/>
      <c r="CG58" s="67">
        <v>34</v>
      </c>
      <c r="CH58" s="67">
        <v>80.72699999999999</v>
      </c>
      <c r="CI58" s="67">
        <v>77.965000000000003</v>
      </c>
      <c r="CJ58">
        <v>6.8464</v>
      </c>
      <c r="CK58" s="67">
        <v>6.9020000000000001</v>
      </c>
      <c r="CL58">
        <v>32</v>
      </c>
    </row>
    <row r="59" spans="2:90" x14ac:dyDescent="0.3">
      <c r="H59" s="68" t="str">
        <f>IFERROR(MP_DATA[[#This Row],[Bottom '[m']]]-MP_DATA[[#This Row],[D, top '[m']]], "")</f>
        <v/>
      </c>
      <c r="I59" s="68" t="str">
        <f>IFERROR(-(MP_DATA[[#This Row],[D, bottom '[m']]]-MP_DATA[[#This Row],[D, top '[m']]])/(MP_DATA[[#This Row],[Bottom '[m']]]-MP_DATA[[#This Row],[Top '[m']]]),"")</f>
        <v/>
      </c>
      <c r="J59" s="68" t="str">
        <f t="shared" si="3"/>
        <v/>
      </c>
      <c r="K59" s="68" t="str">
        <f>IFERROR((MP_DATA[[#This Row],[D, bottom '[m']]]+MP_DATA[[#This Row],[D, top '[m']]])/(2*MP_DATA[[#This Row],[t '[mm']]]/1000),"")</f>
        <v/>
      </c>
      <c r="L59" s="68"/>
      <c r="AP59" s="68" t="str">
        <f>IFERROR(TP_DATA[[#This Row],[Bottom '[m']]]-TP_DATA[[#This Row],[D, top '[m']]], "")</f>
        <v/>
      </c>
      <c r="AQ59" s="68" t="str">
        <f>IFERROR(-(TP_DATA[[#This Row],[D, bottom '[m']]]-TP_DATA[[#This Row],[D, top '[m']]])/(TP_DATA[[#This Row],[Bottom '[m']]]-TP_DATA[[#This Row],[Top '[m']]]),"")</f>
        <v/>
      </c>
      <c r="AR59" s="68" t="str">
        <f t="shared" si="1"/>
        <v/>
      </c>
      <c r="AS59" s="68" t="str">
        <f>IFERROR((TP_DATA[[#This Row],[D, bottom '[m']]]+TP_DATA[[#This Row],[D, top '[m']]])/(2*TP_DATA[[#This Row],[t '[mm']]]/1000),"")</f>
        <v/>
      </c>
      <c r="AT59" s="68"/>
      <c r="BR59">
        <v>35</v>
      </c>
      <c r="BS59">
        <v>77.965000000000003</v>
      </c>
      <c r="BT59">
        <v>77.92</v>
      </c>
      <c r="BU59">
        <v>6.9020000000000001</v>
      </c>
      <c r="BV59">
        <v>6.9020000000000001</v>
      </c>
      <c r="BW59">
        <v>32</v>
      </c>
      <c r="BX59" s="68">
        <f>IFERROR(TOWER_DATA[[#This Row],[Bottom '[m']]]-TOWER_DATA[[#This Row],[D, top '[m']]], "")</f>
        <v>71.018000000000001</v>
      </c>
      <c r="BY59" s="68">
        <f>IFERROR(-(TOWER_DATA[[#This Row],[D, bottom '[m']]]-TOWER_DATA[[#This Row],[D, top '[m']]])/(TOWER_DATA[[#This Row],[Bottom '[m']]]-TOWER_DATA[[#This Row],[Top '[m']]]),"")</f>
        <v>0</v>
      </c>
      <c r="BZ59" s="68">
        <f t="shared" si="2"/>
        <v>0.24397131025696062</v>
      </c>
      <c r="CA59" s="68">
        <f>IFERROR((TOWER_DATA[[#This Row],[D, bottom '[m']]]+TOWER_DATA[[#This Row],[D, top '[m']]])/(2*TOWER_DATA[[#This Row],[t '[mm']]]/1000),"")</f>
        <v>215.6875</v>
      </c>
      <c r="CB59" s="68"/>
      <c r="CG59" s="67">
        <v>35</v>
      </c>
      <c r="CH59" s="67">
        <v>77.965000000000003</v>
      </c>
      <c r="CI59" s="67">
        <v>77.92</v>
      </c>
      <c r="CJ59">
        <v>6.9020000000000001</v>
      </c>
      <c r="CK59" s="67">
        <v>6.9020000000000001</v>
      </c>
      <c r="CL59">
        <v>32</v>
      </c>
    </row>
    <row r="60" spans="2:90" x14ac:dyDescent="0.3">
      <c r="H60" s="68" t="str">
        <f>IFERROR(MP_DATA[[#This Row],[Bottom '[m']]]-MP_DATA[[#This Row],[D, top '[m']]], "")</f>
        <v/>
      </c>
      <c r="I60" s="68" t="str">
        <f>IFERROR(-(MP_DATA[[#This Row],[D, bottom '[m']]]-MP_DATA[[#This Row],[D, top '[m']]])/(MP_DATA[[#This Row],[Bottom '[m']]]-MP_DATA[[#This Row],[Top '[m']]]),"")</f>
        <v/>
      </c>
      <c r="J60" s="68" t="str">
        <f t="shared" si="3"/>
        <v/>
      </c>
      <c r="K60" s="68" t="str">
        <f>IFERROR((MP_DATA[[#This Row],[D, bottom '[m']]]+MP_DATA[[#This Row],[D, top '[m']]])/(2*MP_DATA[[#This Row],[t '[mm']]]/1000),"")</f>
        <v/>
      </c>
      <c r="L60" s="68"/>
      <c r="AP60" s="68" t="str">
        <f>IFERROR(TP_DATA[[#This Row],[Bottom '[m']]]-TP_DATA[[#This Row],[D, top '[m']]], "")</f>
        <v/>
      </c>
      <c r="AQ60" s="68" t="str">
        <f>IFERROR(-(TP_DATA[[#This Row],[D, bottom '[m']]]-TP_DATA[[#This Row],[D, top '[m']]])/(TP_DATA[[#This Row],[Bottom '[m']]]-TP_DATA[[#This Row],[Top '[m']]]),"")</f>
        <v/>
      </c>
      <c r="AR60" s="68" t="str">
        <f t="shared" si="1"/>
        <v/>
      </c>
      <c r="AS60" s="68" t="str">
        <f>IFERROR((TP_DATA[[#This Row],[D, bottom '[m']]]+TP_DATA[[#This Row],[D, top '[m']]])/(2*TP_DATA[[#This Row],[t '[mm']]]/1000),"")</f>
        <v/>
      </c>
      <c r="AT60" s="68"/>
      <c r="BR60">
        <v>36</v>
      </c>
      <c r="BS60">
        <v>77.92</v>
      </c>
      <c r="BT60">
        <v>77.789999999999992</v>
      </c>
      <c r="BU60">
        <v>6.9020000000000001</v>
      </c>
      <c r="BV60">
        <v>6.9020000000000001</v>
      </c>
      <c r="BW60">
        <v>32</v>
      </c>
      <c r="BX60" s="68">
        <f>IFERROR(TOWER_DATA[[#This Row],[Bottom '[m']]]-TOWER_DATA[[#This Row],[D, top '[m']]], "")</f>
        <v>70.887999999999991</v>
      </c>
      <c r="BY60" s="68">
        <f>IFERROR(-(TOWER_DATA[[#This Row],[D, bottom '[m']]]-TOWER_DATA[[#This Row],[D, top '[m']]])/(TOWER_DATA[[#This Row],[Bottom '[m']]]-TOWER_DATA[[#This Row],[Top '[m']]]),"")</f>
        <v>0</v>
      </c>
      <c r="BZ60" s="68">
        <f t="shared" si="2"/>
        <v>0.70480600740902288</v>
      </c>
      <c r="CA60" s="68">
        <f>IFERROR((TOWER_DATA[[#This Row],[D, bottom '[m']]]+TOWER_DATA[[#This Row],[D, top '[m']]])/(2*TOWER_DATA[[#This Row],[t '[mm']]]/1000),"")</f>
        <v>215.6875</v>
      </c>
      <c r="CB60" s="68"/>
      <c r="CG60" s="67">
        <v>36</v>
      </c>
      <c r="CH60" s="67">
        <v>77.92</v>
      </c>
      <c r="CI60" s="67">
        <v>77.789999999999992</v>
      </c>
      <c r="CJ60">
        <v>6.9020000000000001</v>
      </c>
      <c r="CK60" s="67">
        <v>6.9020000000000001</v>
      </c>
      <c r="CL60">
        <v>32</v>
      </c>
    </row>
    <row r="61" spans="2:90" x14ac:dyDescent="0.3">
      <c r="H61" s="68" t="str">
        <f>IFERROR(MP_DATA[[#This Row],[Bottom '[m']]]-MP_DATA[[#This Row],[D, top '[m']]], "")</f>
        <v/>
      </c>
      <c r="I61" s="68" t="str">
        <f>IFERROR(-(MP_DATA[[#This Row],[D, bottom '[m']]]-MP_DATA[[#This Row],[D, top '[m']]])/(MP_DATA[[#This Row],[Bottom '[m']]]-MP_DATA[[#This Row],[Top '[m']]]),"")</f>
        <v/>
      </c>
      <c r="J61" s="68" t="str">
        <f t="shared" si="3"/>
        <v/>
      </c>
      <c r="K61" s="68" t="str">
        <f>IFERROR((MP_DATA[[#This Row],[D, bottom '[m']]]+MP_DATA[[#This Row],[D, top '[m']]])/(2*MP_DATA[[#This Row],[t '[mm']]]/1000),"")</f>
        <v/>
      </c>
      <c r="L61" s="68"/>
      <c r="AP61" s="68" t="str">
        <f>IFERROR(TP_DATA[[#This Row],[Bottom '[m']]]-TP_DATA[[#This Row],[D, top '[m']]], "")</f>
        <v/>
      </c>
      <c r="AQ61" s="68" t="str">
        <f>IFERROR(-(TP_DATA[[#This Row],[D, bottom '[m']]]-TP_DATA[[#This Row],[D, top '[m']]])/(TP_DATA[[#This Row],[Bottom '[m']]]-TP_DATA[[#This Row],[Top '[m']]]),"")</f>
        <v/>
      </c>
      <c r="AR61" s="68" t="str">
        <f t="shared" si="1"/>
        <v/>
      </c>
      <c r="AS61" s="68" t="str">
        <f>IFERROR((TP_DATA[[#This Row],[D, bottom '[m']]]+TP_DATA[[#This Row],[D, top '[m']]])/(2*TP_DATA[[#This Row],[t '[mm']]]/1000),"")</f>
        <v/>
      </c>
      <c r="AT61" s="68"/>
      <c r="BR61">
        <v>37</v>
      </c>
      <c r="BS61">
        <v>77.789999999999992</v>
      </c>
      <c r="BT61">
        <v>77.661000000000001</v>
      </c>
      <c r="BU61">
        <v>6.9020000000000001</v>
      </c>
      <c r="BV61">
        <v>6.9020000000000001</v>
      </c>
      <c r="BW61">
        <v>32</v>
      </c>
      <c r="BX61" s="68">
        <f>IFERROR(TOWER_DATA[[#This Row],[Bottom '[m']]]-TOWER_DATA[[#This Row],[D, top '[m']]], "")</f>
        <v>70.759</v>
      </c>
      <c r="BY61" s="68">
        <f>IFERROR(-(TOWER_DATA[[#This Row],[D, bottom '[m']]]-TOWER_DATA[[#This Row],[D, top '[m']]])/(TOWER_DATA[[#This Row],[Bottom '[m']]]-TOWER_DATA[[#This Row],[Top '[m']]]),"")</f>
        <v>0</v>
      </c>
      <c r="BZ61" s="68">
        <f t="shared" si="2"/>
        <v>0.69938442273654333</v>
      </c>
      <c r="CA61" s="68">
        <f>IFERROR((TOWER_DATA[[#This Row],[D, bottom '[m']]]+TOWER_DATA[[#This Row],[D, top '[m']]])/(2*TOWER_DATA[[#This Row],[t '[mm']]]/1000),"")</f>
        <v>215.6875</v>
      </c>
      <c r="CB61" s="68"/>
      <c r="CG61" s="67">
        <v>37</v>
      </c>
      <c r="CH61" s="67">
        <v>77.789999999999992</v>
      </c>
      <c r="CI61" s="67">
        <v>77.661000000000001</v>
      </c>
      <c r="CJ61">
        <v>6.9020000000000001</v>
      </c>
      <c r="CK61" s="67">
        <v>6.9020000000000001</v>
      </c>
      <c r="CL61">
        <v>32</v>
      </c>
    </row>
    <row r="62" spans="2:90" x14ac:dyDescent="0.3">
      <c r="H62" s="68" t="str">
        <f>IFERROR(MP_DATA[[#This Row],[Bottom '[m']]]-MP_DATA[[#This Row],[D, top '[m']]], "")</f>
        <v/>
      </c>
      <c r="I62" s="68" t="str">
        <f>IFERROR(-(MP_DATA[[#This Row],[D, bottom '[m']]]-MP_DATA[[#This Row],[D, top '[m']]])/(MP_DATA[[#This Row],[Bottom '[m']]]-MP_DATA[[#This Row],[Top '[m']]]),"")</f>
        <v/>
      </c>
      <c r="J62" s="68" t="str">
        <f t="shared" si="3"/>
        <v/>
      </c>
      <c r="K62" s="68" t="str">
        <f>IFERROR((MP_DATA[[#This Row],[D, bottom '[m']]]+MP_DATA[[#This Row],[D, top '[m']]])/(2*MP_DATA[[#This Row],[t '[mm']]]/1000),"")</f>
        <v/>
      </c>
      <c r="L62" s="68"/>
      <c r="AP62" s="68" t="str">
        <f>IFERROR(TP_DATA[[#This Row],[Bottom '[m']]]-TP_DATA[[#This Row],[D, top '[m']]], "")</f>
        <v/>
      </c>
      <c r="AQ62" s="68" t="str">
        <f>IFERROR(-(TP_DATA[[#This Row],[D, bottom '[m']]]-TP_DATA[[#This Row],[D, top '[m']]])/(TP_DATA[[#This Row],[Bottom '[m']]]-TP_DATA[[#This Row],[Top '[m']]]),"")</f>
        <v/>
      </c>
      <c r="AR62" s="68" t="str">
        <f t="shared" si="1"/>
        <v/>
      </c>
      <c r="AS62" s="68" t="str">
        <f>IFERROR((TP_DATA[[#This Row],[D, bottom '[m']]]+TP_DATA[[#This Row],[D, top '[m']]])/(2*TP_DATA[[#This Row],[t '[mm']]]/1000),"")</f>
        <v/>
      </c>
      <c r="AT62" s="68"/>
      <c r="BR62">
        <v>38</v>
      </c>
      <c r="BS62">
        <v>77.661000000000001</v>
      </c>
      <c r="BT62">
        <v>77.616</v>
      </c>
      <c r="BU62">
        <v>6.9020000000000001</v>
      </c>
      <c r="BV62">
        <v>6.9020000000000001</v>
      </c>
      <c r="BW62">
        <v>32</v>
      </c>
      <c r="BX62" s="68">
        <f>IFERROR(TOWER_DATA[[#This Row],[Bottom '[m']]]-TOWER_DATA[[#This Row],[D, top '[m']]], "")</f>
        <v>70.713999999999999</v>
      </c>
      <c r="BY62" s="68">
        <f>IFERROR(-(TOWER_DATA[[#This Row],[D, bottom '[m']]]-TOWER_DATA[[#This Row],[D, top '[m']]])/(TOWER_DATA[[#This Row],[Bottom '[m']]]-TOWER_DATA[[#This Row],[Top '[m']]]),"")</f>
        <v>0</v>
      </c>
      <c r="BZ62" s="68">
        <f t="shared" si="2"/>
        <v>0.24397131025696062</v>
      </c>
      <c r="CA62" s="68">
        <f>IFERROR((TOWER_DATA[[#This Row],[D, bottom '[m']]]+TOWER_DATA[[#This Row],[D, top '[m']]])/(2*TOWER_DATA[[#This Row],[t '[mm']]]/1000),"")</f>
        <v>215.6875</v>
      </c>
      <c r="CB62" s="68"/>
      <c r="CG62" s="67">
        <v>38</v>
      </c>
      <c r="CH62" s="67">
        <v>77.661000000000001</v>
      </c>
      <c r="CI62" s="67">
        <v>77.616</v>
      </c>
      <c r="CJ62">
        <v>6.9020000000000001</v>
      </c>
      <c r="CK62" s="67">
        <v>6.9020000000000001</v>
      </c>
      <c r="CL62">
        <v>32</v>
      </c>
    </row>
    <row r="63" spans="2:90" x14ac:dyDescent="0.3">
      <c r="H63" s="68" t="str">
        <f>IFERROR(MP_DATA[[#This Row],[Bottom '[m']]]-MP_DATA[[#This Row],[D, top '[m']]], "")</f>
        <v/>
      </c>
      <c r="I63" s="68" t="str">
        <f>IFERROR(-(MP_DATA[[#This Row],[D, bottom '[m']]]-MP_DATA[[#This Row],[D, top '[m']]])/(MP_DATA[[#This Row],[Bottom '[m']]]-MP_DATA[[#This Row],[Top '[m']]]),"")</f>
        <v/>
      </c>
      <c r="J63" s="68" t="str">
        <f t="shared" si="3"/>
        <v/>
      </c>
      <c r="K63" s="68" t="str">
        <f>IFERROR((MP_DATA[[#This Row],[D, bottom '[m']]]+MP_DATA[[#This Row],[D, top '[m']]])/(2*MP_DATA[[#This Row],[t '[mm']]]/1000),"")</f>
        <v/>
      </c>
      <c r="L63" s="68"/>
      <c r="AP63" s="68" t="str">
        <f>IFERROR(TP_DATA[[#This Row],[Bottom '[m']]]-TP_DATA[[#This Row],[D, top '[m']]], "")</f>
        <v/>
      </c>
      <c r="AQ63" s="68" t="str">
        <f>IFERROR(-(TP_DATA[[#This Row],[D, bottom '[m']]]-TP_DATA[[#This Row],[D, top '[m']]])/(TP_DATA[[#This Row],[Bottom '[m']]]-TP_DATA[[#This Row],[Top '[m']]]),"")</f>
        <v/>
      </c>
      <c r="AR63" s="68" t="str">
        <f t="shared" si="1"/>
        <v/>
      </c>
      <c r="AS63" s="68" t="str">
        <f>IFERROR((TP_DATA[[#This Row],[D, bottom '[m']]]+TP_DATA[[#This Row],[D, top '[m']]])/(2*TP_DATA[[#This Row],[t '[mm']]]/1000),"")</f>
        <v/>
      </c>
      <c r="AT63" s="68"/>
      <c r="BR63">
        <v>39</v>
      </c>
      <c r="BS63">
        <v>77.616</v>
      </c>
      <c r="BT63">
        <v>76.492999999999995</v>
      </c>
      <c r="BU63">
        <v>6.9020000000000001</v>
      </c>
      <c r="BV63">
        <v>6.9241000000000001</v>
      </c>
      <c r="BW63">
        <v>32</v>
      </c>
      <c r="BX63" s="68">
        <f>IFERROR(TOWER_DATA[[#This Row],[Bottom '[m']]]-TOWER_DATA[[#This Row],[D, top '[m']]], "")</f>
        <v>69.590999999999994</v>
      </c>
      <c r="BY63" s="68">
        <f>IFERROR(-(TOWER_DATA[[#This Row],[D, bottom '[m']]]-TOWER_DATA[[#This Row],[D, top '[m']]])/(TOWER_DATA[[#This Row],[Bottom '[m']]]-TOWER_DATA[[#This Row],[Top '[m']]]),"")</f>
        <v>1.9679430097951839E-2</v>
      </c>
      <c r="BZ63" s="68">
        <f t="shared" si="2"/>
        <v>6.0982324920917463</v>
      </c>
      <c r="CA63" s="68">
        <f>IFERROR((TOWER_DATA[[#This Row],[D, bottom '[m']]]+TOWER_DATA[[#This Row],[D, top '[m']]])/(2*TOWER_DATA[[#This Row],[t '[mm']]]/1000),"")</f>
        <v>216.03281250000001</v>
      </c>
      <c r="CB63" s="68"/>
      <c r="CG63" s="67">
        <v>39</v>
      </c>
      <c r="CH63" s="67">
        <v>77.616</v>
      </c>
      <c r="CI63" s="67">
        <v>76.492999999999995</v>
      </c>
      <c r="CJ63">
        <v>6.9020000000000001</v>
      </c>
      <c r="CK63" s="67">
        <v>6.9241000000000001</v>
      </c>
      <c r="CL63">
        <v>32</v>
      </c>
    </row>
    <row r="64" spans="2:90" x14ac:dyDescent="0.3">
      <c r="H64" s="68" t="str">
        <f>IFERROR(MP_DATA[[#This Row],[Bottom '[m']]]-MP_DATA[[#This Row],[D, top '[m']]], "")</f>
        <v/>
      </c>
      <c r="I64" s="68" t="str">
        <f>IFERROR(-(MP_DATA[[#This Row],[D, bottom '[m']]]-MP_DATA[[#This Row],[D, top '[m']]])/(MP_DATA[[#This Row],[Bottom '[m']]]-MP_DATA[[#This Row],[Top '[m']]]),"")</f>
        <v/>
      </c>
      <c r="J64" s="68" t="str">
        <f t="shared" si="3"/>
        <v/>
      </c>
      <c r="K64" s="68" t="str">
        <f>IFERROR((MP_DATA[[#This Row],[D, bottom '[m']]]+MP_DATA[[#This Row],[D, top '[m']]])/(2*MP_DATA[[#This Row],[t '[mm']]]/1000),"")</f>
        <v/>
      </c>
      <c r="L64" s="68"/>
      <c r="AP64" s="68" t="str">
        <f>IFERROR(TP_DATA[[#This Row],[Bottom '[m']]]-TP_DATA[[#This Row],[D, top '[m']]], "")</f>
        <v/>
      </c>
      <c r="AQ64" s="68" t="str">
        <f>IFERROR(-(TP_DATA[[#This Row],[D, bottom '[m']]]-TP_DATA[[#This Row],[D, top '[m']]])/(TP_DATA[[#This Row],[Bottom '[m']]]-TP_DATA[[#This Row],[Top '[m']]]),"")</f>
        <v/>
      </c>
      <c r="AR64" s="68" t="str">
        <f t="shared" si="1"/>
        <v/>
      </c>
      <c r="AS64" s="68" t="str">
        <f>IFERROR((TP_DATA[[#This Row],[D, bottom '[m']]]+TP_DATA[[#This Row],[D, top '[m']]])/(2*TP_DATA[[#This Row],[t '[mm']]]/1000),"")</f>
        <v/>
      </c>
      <c r="AT64" s="68"/>
      <c r="BR64">
        <v>40</v>
      </c>
      <c r="BS64">
        <v>76.492999999999995</v>
      </c>
      <c r="BT64">
        <v>75.292999999999992</v>
      </c>
      <c r="BU64">
        <v>6.9241000000000001</v>
      </c>
      <c r="BV64">
        <v>6.9477000000000002</v>
      </c>
      <c r="BW64">
        <v>31.7</v>
      </c>
      <c r="BX64" s="68">
        <f>IFERROR(TOWER_DATA[[#This Row],[Bottom '[m']]]-TOWER_DATA[[#This Row],[D, top '[m']]], "")</f>
        <v>68.368899999999996</v>
      </c>
      <c r="BY64" s="68">
        <f>IFERROR(-(TOWER_DATA[[#This Row],[D, bottom '[m']]]-TOWER_DATA[[#This Row],[D, top '[m']]])/(TOWER_DATA[[#This Row],[Bottom '[m']]]-TOWER_DATA[[#This Row],[Top '[m']]]),"")</f>
        <v>1.9666666666666676E-2</v>
      </c>
      <c r="BZ64" s="68">
        <f t="shared" si="2"/>
        <v>6.4769926046518744</v>
      </c>
      <c r="CA64" s="68">
        <f>IFERROR((TOWER_DATA[[#This Row],[D, bottom '[m']]]+TOWER_DATA[[#This Row],[D, top '[m']]])/(2*TOWER_DATA[[#This Row],[t '[mm']]]/1000),"")</f>
        <v>218.79810725552051</v>
      </c>
      <c r="CB64" s="68"/>
      <c r="CG64" s="67">
        <v>40</v>
      </c>
      <c r="CH64" s="67">
        <v>76.492999999999995</v>
      </c>
      <c r="CI64" s="67">
        <v>75.292999999999992</v>
      </c>
      <c r="CJ64">
        <v>6.9241000000000001</v>
      </c>
      <c r="CK64" s="67">
        <v>6.9477000000000002</v>
      </c>
      <c r="CL64">
        <v>31.7</v>
      </c>
    </row>
    <row r="65" spans="8:90" x14ac:dyDescent="0.3">
      <c r="H65" s="68" t="str">
        <f>IFERROR(MP_DATA[[#This Row],[Bottom '[m']]]-MP_DATA[[#This Row],[D, top '[m']]], "")</f>
        <v/>
      </c>
      <c r="I65" s="68" t="str">
        <f>IFERROR(-(MP_DATA[[#This Row],[D, bottom '[m']]]-MP_DATA[[#This Row],[D, top '[m']]])/(MP_DATA[[#This Row],[Bottom '[m']]]-MP_DATA[[#This Row],[Top '[m']]]),"")</f>
        <v/>
      </c>
      <c r="J65" s="68" t="str">
        <f t="shared" si="3"/>
        <v/>
      </c>
      <c r="K65" s="68" t="str">
        <f>IFERROR((MP_DATA[[#This Row],[D, bottom '[m']]]+MP_DATA[[#This Row],[D, top '[m']]])/(2*MP_DATA[[#This Row],[t '[mm']]]/1000),"")</f>
        <v/>
      </c>
      <c r="L65" s="68"/>
      <c r="AP65" s="68" t="str">
        <f>IFERROR(TP_DATA[[#This Row],[Bottom '[m']]]-TP_DATA[[#This Row],[D, top '[m']]], "")</f>
        <v/>
      </c>
      <c r="AQ65" s="68" t="str">
        <f>IFERROR(-(TP_DATA[[#This Row],[D, bottom '[m']]]-TP_DATA[[#This Row],[D, top '[m']]])/(TP_DATA[[#This Row],[Bottom '[m']]]-TP_DATA[[#This Row],[Top '[m']]]),"")</f>
        <v/>
      </c>
      <c r="AR65" s="68" t="str">
        <f t="shared" si="1"/>
        <v/>
      </c>
      <c r="AS65" s="68" t="str">
        <f>IFERROR((TP_DATA[[#This Row],[D, bottom '[m']]]+TP_DATA[[#This Row],[D, top '[m']]])/(2*TP_DATA[[#This Row],[t '[mm']]]/1000),"")</f>
        <v/>
      </c>
      <c r="AT65" s="68"/>
      <c r="BR65">
        <v>41</v>
      </c>
      <c r="BS65">
        <v>75.292999999999992</v>
      </c>
      <c r="BT65">
        <v>72.531999999999996</v>
      </c>
      <c r="BU65">
        <v>6.9477000000000002</v>
      </c>
      <c r="BV65">
        <v>7.0012999999999996</v>
      </c>
      <c r="BW65">
        <v>32.300000000000004</v>
      </c>
      <c r="BX65" s="68">
        <f>IFERROR(TOWER_DATA[[#This Row],[Bottom '[m']]]-TOWER_DATA[[#This Row],[D, top '[m']]], "")</f>
        <v>65.584299999999999</v>
      </c>
      <c r="BY65" s="68">
        <f>IFERROR(-(TOWER_DATA[[#This Row],[D, bottom '[m']]]-TOWER_DATA[[#This Row],[D, top '[m']]])/(TOWER_DATA[[#This Row],[Bottom '[m']]]-TOWER_DATA[[#This Row],[Top '[m']]]),"")</f>
        <v>1.9413256066642345E-2</v>
      </c>
      <c r="BZ65" s="68">
        <f t="shared" si="2"/>
        <v>15.268120527915034</v>
      </c>
      <c r="CA65" s="68">
        <f>IFERROR((TOWER_DATA[[#This Row],[D, bottom '[m']]]+TOWER_DATA[[#This Row],[D, top '[m']]])/(2*TOWER_DATA[[#This Row],[t '[mm']]]/1000),"")</f>
        <v>215.92879256965944</v>
      </c>
      <c r="CB65" s="68"/>
      <c r="CG65" s="67">
        <v>41</v>
      </c>
      <c r="CH65" s="67">
        <v>75.292999999999992</v>
      </c>
      <c r="CI65" s="67">
        <v>72.531999999999996</v>
      </c>
      <c r="CJ65">
        <v>6.9477000000000002</v>
      </c>
      <c r="CK65" s="67">
        <v>7.0012999999999996</v>
      </c>
      <c r="CL65">
        <v>32.300000000000004</v>
      </c>
    </row>
    <row r="66" spans="8:90" x14ac:dyDescent="0.3">
      <c r="H66" s="68" t="str">
        <f>IFERROR(MP_DATA[[#This Row],[Bottom '[m']]]-MP_DATA[[#This Row],[D, top '[m']]], "")</f>
        <v/>
      </c>
      <c r="I66" s="68" t="str">
        <f>IFERROR(-(MP_DATA[[#This Row],[D, bottom '[m']]]-MP_DATA[[#This Row],[D, top '[m']]])/(MP_DATA[[#This Row],[Bottom '[m']]]-MP_DATA[[#This Row],[Top '[m']]]),"")</f>
        <v/>
      </c>
      <c r="J66" s="68" t="str">
        <f t="shared" si="3"/>
        <v/>
      </c>
      <c r="K66" s="68" t="str">
        <f>IFERROR((MP_DATA[[#This Row],[D, bottom '[m']]]+MP_DATA[[#This Row],[D, top '[m']]])/(2*MP_DATA[[#This Row],[t '[mm']]]/1000),"")</f>
        <v/>
      </c>
      <c r="L66" s="68" t="str">
        <f>IFERROR((MP_DATA[[#This Row],[D, bottom '[m']]]+#REF!)/(2*#REF!/1000),"")</f>
        <v/>
      </c>
      <c r="AP66" s="68" t="str">
        <f>IFERROR(TP_DATA[[#This Row],[Bottom '[m']]]-TP_DATA[[#This Row],[D, top '[m']]], "")</f>
        <v/>
      </c>
      <c r="AQ66" s="68" t="str">
        <f>IFERROR(-(TP_DATA[[#This Row],[D, bottom '[m']]]-TP_DATA[[#This Row],[D, top '[m']]])/(TP_DATA[[#This Row],[Bottom '[m']]]-TP_DATA[[#This Row],[Top '[m']]]),"")</f>
        <v/>
      </c>
      <c r="AR66" s="68" t="str">
        <f t="shared" si="1"/>
        <v/>
      </c>
      <c r="AS66" s="68" t="str">
        <f>IFERROR((TP_DATA[[#This Row],[D, bottom '[m']]]+TP_DATA[[#This Row],[D, top '[m']]])/(2*TP_DATA[[#This Row],[t '[mm']]]/1000),"")</f>
        <v/>
      </c>
      <c r="AT66" s="68" t="str">
        <f>IFERROR((TP_DATA[[#This Row],[D, bottom '[m']]]+#REF!)/(2*#REF!/1000),"")</f>
        <v/>
      </c>
      <c r="BR66">
        <v>42</v>
      </c>
      <c r="BS66">
        <v>72.531999999999996</v>
      </c>
      <c r="BT66">
        <v>69.774000000000001</v>
      </c>
      <c r="BU66">
        <v>7.0012999999999996</v>
      </c>
      <c r="BV66">
        <v>7.0548000000000002</v>
      </c>
      <c r="BW66">
        <v>32.800000000000004</v>
      </c>
      <c r="BX66" s="68">
        <f>IFERROR(TOWER_DATA[[#This Row],[Bottom '[m']]]-TOWER_DATA[[#This Row],[D, top '[m']]], "")</f>
        <v>62.7727</v>
      </c>
      <c r="BY66" s="68">
        <f>IFERROR(-(TOWER_DATA[[#This Row],[D, bottom '[m']]]-TOWER_DATA[[#This Row],[D, top '[m']]])/(TOWER_DATA[[#This Row],[Bottom '[m']]]-TOWER_DATA[[#This Row],[Top '[m']]]),"")</f>
        <v>1.9398114575779779E-2</v>
      </c>
      <c r="BZ66" s="68">
        <f t="shared" si="2"/>
        <v>15.60597386030209</v>
      </c>
      <c r="CA66" s="68">
        <f>IFERROR((TOWER_DATA[[#This Row],[D, bottom '[m']]]+TOWER_DATA[[#This Row],[D, top '[m']]])/(2*TOWER_DATA[[#This Row],[t '[mm']]]/1000),"")</f>
        <v>214.26981707317071</v>
      </c>
      <c r="CB66" s="68" t="str">
        <f>IFERROR((TOWER_DATA[[#This Row],[D, bottom '[m']]]+#REF!)/(2*#REF!/1000),"")</f>
        <v/>
      </c>
      <c r="CG66" s="67">
        <v>42</v>
      </c>
      <c r="CH66" s="67">
        <v>72.531999999999996</v>
      </c>
      <c r="CI66" s="67">
        <v>69.774000000000001</v>
      </c>
      <c r="CJ66">
        <v>7.0012999999999996</v>
      </c>
      <c r="CK66" s="67">
        <v>7.0548000000000002</v>
      </c>
      <c r="CL66">
        <v>32.800000000000004</v>
      </c>
    </row>
    <row r="67" spans="8:90" x14ac:dyDescent="0.3">
      <c r="H67" s="68" t="str">
        <f>IFERROR(MP_DATA[[#This Row],[Bottom '[m']]]-MP_DATA[[#This Row],[D, top '[m']]], "")</f>
        <v/>
      </c>
      <c r="I67" s="68" t="str">
        <f>IFERROR(-(MP_DATA[[#This Row],[D, bottom '[m']]]-MP_DATA[[#This Row],[D, top '[m']]])/(MP_DATA[[#This Row],[Bottom '[m']]]-MP_DATA[[#This Row],[Top '[m']]]),"")</f>
        <v/>
      </c>
      <c r="J67" s="68" t="str">
        <f t="shared" si="3"/>
        <v/>
      </c>
      <c r="K67" s="68" t="str">
        <f>IFERROR((MP_DATA[[#This Row],[D, bottom '[m']]]+MP_DATA[[#This Row],[D, top '[m']]])/(2*MP_DATA[[#This Row],[t '[mm']]]/1000),"")</f>
        <v/>
      </c>
      <c r="L67" s="68" t="str">
        <f>IFERROR((MP_DATA[[#This Row],[D, bottom '[m']]]+#REF!)/(2*#REF!/1000),"")</f>
        <v/>
      </c>
      <c r="AP67" s="68" t="str">
        <f>IFERROR(TP_DATA[[#This Row],[Bottom '[m']]]-TP_DATA[[#This Row],[D, top '[m']]], "")</f>
        <v/>
      </c>
      <c r="AQ67" s="68" t="str">
        <f>IFERROR(-(TP_DATA[[#This Row],[D, bottom '[m']]]-TP_DATA[[#This Row],[D, top '[m']]])/(TP_DATA[[#This Row],[Bottom '[m']]]-TP_DATA[[#This Row],[Top '[m']]]),"")</f>
        <v/>
      </c>
      <c r="AR67" s="68" t="str">
        <f t="shared" si="1"/>
        <v/>
      </c>
      <c r="AS67" s="68" t="str">
        <f>IFERROR((TP_DATA[[#This Row],[D, bottom '[m']]]+TP_DATA[[#This Row],[D, top '[m']]])/(2*TP_DATA[[#This Row],[t '[mm']]]/1000),"")</f>
        <v/>
      </c>
      <c r="AT67" s="68" t="str">
        <f>IFERROR((TP_DATA[[#This Row],[D, bottom '[m']]]+#REF!)/(2*#REF!/1000),"")</f>
        <v/>
      </c>
      <c r="BR67">
        <v>43</v>
      </c>
      <c r="BS67">
        <v>69.774000000000001</v>
      </c>
      <c r="BT67">
        <v>67.015999999999991</v>
      </c>
      <c r="BU67">
        <v>7.0548000000000002</v>
      </c>
      <c r="BV67">
        <v>7.1083999999999996</v>
      </c>
      <c r="BW67">
        <v>33.4</v>
      </c>
      <c r="BX67" s="68">
        <f>IFERROR(TOWER_DATA[[#This Row],[Bottom '[m']]]-TOWER_DATA[[#This Row],[D, top '[m']]], "")</f>
        <v>59.961199999999991</v>
      </c>
      <c r="BY67" s="68">
        <f>IFERROR(-(TOWER_DATA[[#This Row],[D, bottom '[m']]]-TOWER_DATA[[#This Row],[D, top '[m']]])/(TOWER_DATA[[#This Row],[Bottom '[m']]]-TOWER_DATA[[#This Row],[Top '[m']]]),"")</f>
        <v>1.9434372733864842E-2</v>
      </c>
      <c r="BZ67" s="68">
        <f t="shared" si="2"/>
        <v>16.011738077218361</v>
      </c>
      <c r="CA67" s="68">
        <f>IFERROR((TOWER_DATA[[#This Row],[D, bottom '[m']]]+TOWER_DATA[[#This Row],[D, top '[m']]])/(2*TOWER_DATA[[#This Row],[t '[mm']]]/1000),"")</f>
        <v>212.0239520958084</v>
      </c>
      <c r="CB67" s="68" t="str">
        <f>IFERROR((TOWER_DATA[[#This Row],[D, bottom '[m']]]+#REF!)/(2*#REF!/1000),"")</f>
        <v/>
      </c>
      <c r="CG67" s="67">
        <v>43</v>
      </c>
      <c r="CH67" s="67">
        <v>69.774000000000001</v>
      </c>
      <c r="CI67" s="67">
        <v>67.015999999999991</v>
      </c>
      <c r="CJ67">
        <v>7.0548000000000002</v>
      </c>
      <c r="CK67" s="67">
        <v>7.1083999999999996</v>
      </c>
      <c r="CL67">
        <v>33.4</v>
      </c>
    </row>
    <row r="68" spans="8:90" x14ac:dyDescent="0.3">
      <c r="H68" s="68" t="str">
        <f>IFERROR(MP_DATA[[#This Row],[Bottom '[m']]]-MP_DATA[[#This Row],[D, top '[m']]], "")</f>
        <v/>
      </c>
      <c r="I68" s="68" t="str">
        <f>IFERROR(-(MP_DATA[[#This Row],[D, bottom '[m']]]-MP_DATA[[#This Row],[D, top '[m']]])/(MP_DATA[[#This Row],[Bottom '[m']]]-MP_DATA[[#This Row],[Top '[m']]]),"")</f>
        <v/>
      </c>
      <c r="J68" s="68" t="str">
        <f t="shared" si="3"/>
        <v/>
      </c>
      <c r="K68" s="68" t="str">
        <f>IFERROR((MP_DATA[[#This Row],[D, bottom '[m']]]+MP_DATA[[#This Row],[D, top '[m']]])/(2*MP_DATA[[#This Row],[t '[mm']]]/1000),"")</f>
        <v/>
      </c>
      <c r="L68" s="68" t="str">
        <f>IFERROR((MP_DATA[[#This Row],[D, bottom '[m']]]+#REF!)/(2*#REF!/1000),"")</f>
        <v/>
      </c>
      <c r="AP68" s="68" t="str">
        <f>IFERROR(TP_DATA[[#This Row],[Bottom '[m']]]-TP_DATA[[#This Row],[D, top '[m']]], "")</f>
        <v/>
      </c>
      <c r="AQ68" s="68" t="str">
        <f>IFERROR(-(TP_DATA[[#This Row],[D, bottom '[m']]]-TP_DATA[[#This Row],[D, top '[m']]])/(TP_DATA[[#This Row],[Bottom '[m']]]-TP_DATA[[#This Row],[Top '[m']]]),"")</f>
        <v/>
      </c>
      <c r="AR68" s="68" t="str">
        <f t="shared" si="1"/>
        <v/>
      </c>
      <c r="AS68" s="68" t="str">
        <f>IFERROR((TP_DATA[[#This Row],[D, bottom '[m']]]+TP_DATA[[#This Row],[D, top '[m']]])/(2*TP_DATA[[#This Row],[t '[mm']]]/1000),"")</f>
        <v/>
      </c>
      <c r="AT68" s="68" t="str">
        <f>IFERROR((TP_DATA[[#This Row],[D, bottom '[m']]]+#REF!)/(2*#REF!/1000),"")</f>
        <v/>
      </c>
      <c r="BR68">
        <v>44</v>
      </c>
      <c r="BS68">
        <v>67.015999999999991</v>
      </c>
      <c r="BT68">
        <v>64.259</v>
      </c>
      <c r="BU68">
        <v>7.1083999999999996</v>
      </c>
      <c r="BV68">
        <v>7.1619000000000002</v>
      </c>
      <c r="BW68">
        <v>33.9</v>
      </c>
      <c r="BX68" s="68">
        <f>IFERROR(TOWER_DATA[[#This Row],[Bottom '[m']]]-TOWER_DATA[[#This Row],[D, top '[m']]], "")</f>
        <v>57.150599999999997</v>
      </c>
      <c r="BY68" s="68">
        <f>IFERROR(-(TOWER_DATA[[#This Row],[D, bottom '[m']]]-TOWER_DATA[[#This Row],[D, top '[m']]])/(TOWER_DATA[[#This Row],[Bottom '[m']]]-TOWER_DATA[[#This Row],[Top '[m']]]),"")</f>
        <v>1.940515052593425E-2</v>
      </c>
      <c r="BZ68" s="68">
        <f t="shared" si="2"/>
        <v>16.367818328804507</v>
      </c>
      <c r="CA68" s="68">
        <f>IFERROR((TOWER_DATA[[#This Row],[D, bottom '[m']]]+TOWER_DATA[[#This Row],[D, top '[m']]])/(2*TOWER_DATA[[#This Row],[t '[mm']]]/1000),"")</f>
        <v>210.47640117994098</v>
      </c>
      <c r="CB68" s="68" t="str">
        <f>IFERROR((TOWER_DATA[[#This Row],[D, bottom '[m']]]+#REF!)/(2*#REF!/1000),"")</f>
        <v/>
      </c>
      <c r="CG68" s="67">
        <v>44</v>
      </c>
      <c r="CH68" s="67">
        <v>67.015999999999991</v>
      </c>
      <c r="CI68" s="67">
        <v>64.259</v>
      </c>
      <c r="CJ68">
        <v>7.1083999999999996</v>
      </c>
      <c r="CK68" s="67">
        <v>7.1619000000000002</v>
      </c>
      <c r="CL68">
        <v>33.9</v>
      </c>
    </row>
    <row r="69" spans="8:90" x14ac:dyDescent="0.3">
      <c r="H69" s="68" t="str">
        <f>IFERROR(MP_DATA[[#This Row],[Bottom '[m']]]-MP_DATA[[#This Row],[D, top '[m']]], "")</f>
        <v/>
      </c>
      <c r="I69" s="68" t="str">
        <f>IFERROR(-(MP_DATA[[#This Row],[D, bottom '[m']]]-MP_DATA[[#This Row],[D, top '[m']]])/(MP_DATA[[#This Row],[Bottom '[m']]]-MP_DATA[[#This Row],[Top '[m']]]),"")</f>
        <v/>
      </c>
      <c r="J69" s="68" t="str">
        <f t="shared" si="3"/>
        <v/>
      </c>
      <c r="K69" s="68" t="str">
        <f>IFERROR((MP_DATA[[#This Row],[D, bottom '[m']]]+MP_DATA[[#This Row],[D, top '[m']]])/(2*MP_DATA[[#This Row],[t '[mm']]]/1000),"")</f>
        <v/>
      </c>
      <c r="L69" s="68" t="str">
        <f>IFERROR((MP_DATA[[#This Row],[D, bottom '[m']]]+#REF!)/(2*#REF!/1000),"")</f>
        <v/>
      </c>
      <c r="AP69" s="68" t="str">
        <f>IFERROR(TP_DATA[[#This Row],[Bottom '[m']]]-TP_DATA[[#This Row],[D, top '[m']]], "")</f>
        <v/>
      </c>
      <c r="AQ69" s="68" t="str">
        <f>IFERROR(-(TP_DATA[[#This Row],[D, bottom '[m']]]-TP_DATA[[#This Row],[D, top '[m']]])/(TP_DATA[[#This Row],[Bottom '[m']]]-TP_DATA[[#This Row],[Top '[m']]]),"")</f>
        <v/>
      </c>
      <c r="AR69" s="68" t="str">
        <f t="shared" si="1"/>
        <v/>
      </c>
      <c r="AS69" s="68" t="str">
        <f>IFERROR((TP_DATA[[#This Row],[D, bottom '[m']]]+TP_DATA[[#This Row],[D, top '[m']]])/(2*TP_DATA[[#This Row],[t '[mm']]]/1000),"")</f>
        <v/>
      </c>
      <c r="AT69" s="68" t="str">
        <f>IFERROR((TP_DATA[[#This Row],[D, bottom '[m']]]+#REF!)/(2*#REF!/1000),"")</f>
        <v/>
      </c>
      <c r="BR69">
        <v>45</v>
      </c>
      <c r="BS69">
        <v>64.259</v>
      </c>
      <c r="BT69">
        <v>61.503999999999991</v>
      </c>
      <c r="BU69">
        <v>7.1619000000000002</v>
      </c>
      <c r="BV69">
        <v>7.2164000000000001</v>
      </c>
      <c r="BW69">
        <v>34.4</v>
      </c>
      <c r="BX69" s="68">
        <f>IFERROR(TOWER_DATA[[#This Row],[Bottom '[m']]]-TOWER_DATA[[#This Row],[D, top '[m']]], "")</f>
        <v>54.342099999999988</v>
      </c>
      <c r="BY69" s="68">
        <f>IFERROR(-(TOWER_DATA[[#This Row],[D, bottom '[m']]]-TOWER_DATA[[#This Row],[D, top '[m']]])/(TOWER_DATA[[#This Row],[Bottom '[m']]]-TOWER_DATA[[#This Row],[Top '[m']]]),"")</f>
        <v>1.9782214156079784E-2</v>
      </c>
      <c r="BZ69" s="68">
        <f t="shared" si="2"/>
        <v>16.72222407153459</v>
      </c>
      <c r="CA69" s="68">
        <f>IFERROR((TOWER_DATA[[#This Row],[D, bottom '[m']]]+TOWER_DATA[[#This Row],[D, top '[m']]])/(2*TOWER_DATA[[#This Row],[t '[mm']]]/1000),"")</f>
        <v>208.98691860465115</v>
      </c>
      <c r="CB69" s="68" t="str">
        <f>IFERROR((TOWER_DATA[[#This Row],[D, bottom '[m']]]+#REF!)/(2*#REF!/1000),"")</f>
        <v/>
      </c>
      <c r="CG69" s="67">
        <v>45</v>
      </c>
      <c r="CH69" s="67">
        <v>64.259</v>
      </c>
      <c r="CI69" s="67">
        <v>61.503999999999991</v>
      </c>
      <c r="CJ69">
        <v>7.1619000000000002</v>
      </c>
      <c r="CK69" s="67">
        <v>7.2164000000000001</v>
      </c>
      <c r="CL69">
        <v>34.4</v>
      </c>
    </row>
    <row r="70" spans="8:90" x14ac:dyDescent="0.3">
      <c r="H70" s="68" t="str">
        <f>IFERROR(MP_DATA[[#This Row],[Bottom '[m']]]-MP_DATA[[#This Row],[D, top '[m']]], "")</f>
        <v/>
      </c>
      <c r="I70" s="68" t="str">
        <f>IFERROR(-(MP_DATA[[#This Row],[D, bottom '[m']]]-MP_DATA[[#This Row],[D, top '[m']]])/(MP_DATA[[#This Row],[Bottom '[m']]]-MP_DATA[[#This Row],[Top '[m']]]),"")</f>
        <v/>
      </c>
      <c r="J70" s="68" t="str">
        <f t="shared" si="3"/>
        <v/>
      </c>
      <c r="K70" s="68" t="str">
        <f>IFERROR((MP_DATA[[#This Row],[D, bottom '[m']]]+MP_DATA[[#This Row],[D, top '[m']]])/(2*MP_DATA[[#This Row],[t '[mm']]]/1000),"")</f>
        <v/>
      </c>
      <c r="L70" s="68" t="str">
        <f>IFERROR((MP_DATA[[#This Row],[D, bottom '[m']]]+#REF!)/(2*#REF!/1000),"")</f>
        <v/>
      </c>
      <c r="AP70" s="68" t="str">
        <f>IFERROR(TP_DATA[[#This Row],[Bottom '[m']]]-TP_DATA[[#This Row],[D, top '[m']]], "")</f>
        <v/>
      </c>
      <c r="AQ70" s="68" t="str">
        <f>IFERROR(-(TP_DATA[[#This Row],[D, bottom '[m']]]-TP_DATA[[#This Row],[D, top '[m']]])/(TP_DATA[[#This Row],[Bottom '[m']]]-TP_DATA[[#This Row],[Top '[m']]]),"")</f>
        <v/>
      </c>
      <c r="AR70" s="68" t="str">
        <f t="shared" si="1"/>
        <v/>
      </c>
      <c r="AS70" s="68" t="str">
        <f>IFERROR((TP_DATA[[#This Row],[D, bottom '[m']]]+TP_DATA[[#This Row],[D, top '[m']]])/(2*TP_DATA[[#This Row],[t '[mm']]]/1000),"")</f>
        <v/>
      </c>
      <c r="AT70" s="68" t="str">
        <f>IFERROR((TP_DATA[[#This Row],[D, bottom '[m']]]+#REF!)/(2*#REF!/1000),"")</f>
        <v/>
      </c>
      <c r="BR70">
        <v>46</v>
      </c>
      <c r="BS70">
        <v>61.503999999999991</v>
      </c>
      <c r="BT70">
        <v>58.75</v>
      </c>
      <c r="BU70">
        <v>7.2164000000000001</v>
      </c>
      <c r="BV70">
        <v>7.2698999999999998</v>
      </c>
      <c r="BW70">
        <v>34.9</v>
      </c>
      <c r="BX70" s="68">
        <f>IFERROR(TOWER_DATA[[#This Row],[Bottom '[m']]]-TOWER_DATA[[#This Row],[D, top '[m']]], "")</f>
        <v>51.5336</v>
      </c>
      <c r="BY70" s="68">
        <f>IFERROR(-(TOWER_DATA[[#This Row],[D, bottom '[m']]]-TOWER_DATA[[#This Row],[D, top '[m']]])/(TOWER_DATA[[#This Row],[Bottom '[m']]]-TOWER_DATA[[#This Row],[Top '[m']]]),"")</f>
        <v>1.9426289034132113E-2</v>
      </c>
      <c r="BZ70" s="68">
        <f t="shared" si="2"/>
        <v>17.085934335832185</v>
      </c>
      <c r="CA70" s="68">
        <f>IFERROR((TOWER_DATA[[#This Row],[D, bottom '[m']]]+TOWER_DATA[[#This Row],[D, top '[m']]])/(2*TOWER_DATA[[#This Row],[t '[mm']]]/1000),"")</f>
        <v>207.54011461318052</v>
      </c>
      <c r="CB70" s="68" t="str">
        <f>IFERROR((TOWER_DATA[[#This Row],[D, bottom '[m']]]+#REF!)/(2*#REF!/1000),"")</f>
        <v/>
      </c>
      <c r="CG70" s="67">
        <v>46</v>
      </c>
      <c r="CH70" s="67">
        <v>61.503999999999991</v>
      </c>
      <c r="CI70" s="67">
        <v>58.75</v>
      </c>
      <c r="CJ70">
        <v>7.2164000000000001</v>
      </c>
      <c r="CK70" s="67">
        <v>7.2698999999999998</v>
      </c>
      <c r="CL70">
        <v>34.9</v>
      </c>
    </row>
    <row r="71" spans="8:90" x14ac:dyDescent="0.3">
      <c r="H71" s="68" t="str">
        <f>IFERROR(MP_DATA[[#This Row],[Bottom '[m']]]-MP_DATA[[#This Row],[D, top '[m']]], "")</f>
        <v/>
      </c>
      <c r="I71" s="68" t="str">
        <f>IFERROR(-(MP_DATA[[#This Row],[D, bottom '[m']]]-MP_DATA[[#This Row],[D, top '[m']]])/(MP_DATA[[#This Row],[Bottom '[m']]]-MP_DATA[[#This Row],[Top '[m']]]),"")</f>
        <v/>
      </c>
      <c r="J71" s="68" t="str">
        <f t="shared" si="3"/>
        <v/>
      </c>
      <c r="K71" s="68" t="str">
        <f>IFERROR((MP_DATA[[#This Row],[D, bottom '[m']]]+MP_DATA[[#This Row],[D, top '[m']]])/(2*MP_DATA[[#This Row],[t '[mm']]]/1000),"")</f>
        <v/>
      </c>
      <c r="L71" s="68" t="str">
        <f>IFERROR((MP_DATA[[#This Row],[D, bottom '[m']]]+#REF!)/(2*#REF!/1000),"")</f>
        <v/>
      </c>
      <c r="AP71" s="68" t="str">
        <f>IFERROR(TP_DATA[[#This Row],[Bottom '[m']]]-TP_DATA[[#This Row],[D, top '[m']]], "")</f>
        <v/>
      </c>
      <c r="AQ71" s="68" t="str">
        <f>IFERROR(-(TP_DATA[[#This Row],[D, bottom '[m']]]-TP_DATA[[#This Row],[D, top '[m']]])/(TP_DATA[[#This Row],[Bottom '[m']]]-TP_DATA[[#This Row],[Top '[m']]]),"")</f>
        <v/>
      </c>
      <c r="AR71" s="68" t="str">
        <f t="shared" si="1"/>
        <v/>
      </c>
      <c r="AS71" s="68" t="str">
        <f>IFERROR((TP_DATA[[#This Row],[D, bottom '[m']]]+TP_DATA[[#This Row],[D, top '[m']]])/(2*TP_DATA[[#This Row],[t '[mm']]]/1000),"")</f>
        <v/>
      </c>
      <c r="AT71" s="68" t="str">
        <f>IFERROR((TP_DATA[[#This Row],[D, bottom '[m']]]+#REF!)/(2*#REF!/1000),"")</f>
        <v/>
      </c>
      <c r="BR71">
        <v>47</v>
      </c>
      <c r="BS71">
        <v>58.75</v>
      </c>
      <c r="BT71">
        <v>55.997</v>
      </c>
      <c r="BU71">
        <v>7.2698999999999998</v>
      </c>
      <c r="BV71">
        <v>7.3234000000000004</v>
      </c>
      <c r="BW71">
        <v>35.4</v>
      </c>
      <c r="BX71" s="68">
        <f>IFERROR(TOWER_DATA[[#This Row],[Bottom '[m']]]-TOWER_DATA[[#This Row],[D, top '[m']]], "")</f>
        <v>48.7271</v>
      </c>
      <c r="BY71" s="68">
        <f>IFERROR(-(TOWER_DATA[[#This Row],[D, bottom '[m']]]-TOWER_DATA[[#This Row],[D, top '[m']]])/(TOWER_DATA[[#This Row],[Bottom '[m']]]-TOWER_DATA[[#This Row],[Top '[m']]]),"")</f>
        <v>1.9433345441336923E-2</v>
      </c>
      <c r="BZ71" s="68">
        <f t="shared" si="2"/>
        <v>17.451806633347989</v>
      </c>
      <c r="CA71" s="68">
        <f>IFERROR((TOWER_DATA[[#This Row],[D, bottom '[m']]]+TOWER_DATA[[#This Row],[D, top '[m']]])/(2*TOWER_DATA[[#This Row],[t '[mm']]]/1000),"")</f>
        <v>206.12005649717511</v>
      </c>
      <c r="CB71" s="68" t="str">
        <f>IFERROR((TOWER_DATA[[#This Row],[D, bottom '[m']]]+#REF!)/(2*#REF!/1000),"")</f>
        <v/>
      </c>
      <c r="CG71" s="67">
        <v>47</v>
      </c>
      <c r="CH71" s="67">
        <v>58.75</v>
      </c>
      <c r="CI71" s="67">
        <v>55.997</v>
      </c>
      <c r="CJ71">
        <v>7.2698999999999998</v>
      </c>
      <c r="CK71" s="67">
        <v>7.3234000000000004</v>
      </c>
      <c r="CL71">
        <v>35.4</v>
      </c>
    </row>
    <row r="72" spans="8:90" x14ac:dyDescent="0.3">
      <c r="H72" s="68" t="str">
        <f>IFERROR(MP_DATA[[#This Row],[Bottom '[m']]]-MP_DATA[[#This Row],[D, top '[m']]], "")</f>
        <v/>
      </c>
      <c r="I72" s="68" t="str">
        <f>IFERROR(-(MP_DATA[[#This Row],[D, bottom '[m']]]-MP_DATA[[#This Row],[D, top '[m']]])/(MP_DATA[[#This Row],[Bottom '[m']]]-MP_DATA[[#This Row],[Top '[m']]]),"")</f>
        <v/>
      </c>
      <c r="J72" s="68" t="str">
        <f t="shared" si="3"/>
        <v/>
      </c>
      <c r="K72" s="68" t="str">
        <f>IFERROR((MP_DATA[[#This Row],[D, bottom '[m']]]+MP_DATA[[#This Row],[D, top '[m']]])/(2*MP_DATA[[#This Row],[t '[mm']]]/1000),"")</f>
        <v/>
      </c>
      <c r="L72" s="68" t="str">
        <f>IFERROR((MP_DATA[[#This Row],[D, bottom '[m']]]+#REF!)/(2*#REF!/1000),"")</f>
        <v/>
      </c>
      <c r="AP72" s="68" t="str">
        <f>IFERROR(TP_DATA[[#This Row],[Bottom '[m']]]-TP_DATA[[#This Row],[D, top '[m']]], "")</f>
        <v/>
      </c>
      <c r="AQ72" s="68" t="str">
        <f>IFERROR(-(TP_DATA[[#This Row],[D, bottom '[m']]]-TP_DATA[[#This Row],[D, top '[m']]])/(TP_DATA[[#This Row],[Bottom '[m']]]-TP_DATA[[#This Row],[Top '[m']]]),"")</f>
        <v/>
      </c>
      <c r="AR72" s="68" t="str">
        <f t="shared" si="1"/>
        <v/>
      </c>
      <c r="AS72" s="68" t="str">
        <f>IFERROR((TP_DATA[[#This Row],[D, bottom '[m']]]+TP_DATA[[#This Row],[D, top '[m']]])/(2*TP_DATA[[#This Row],[t '[mm']]]/1000),"")</f>
        <v/>
      </c>
      <c r="AT72" s="68" t="str">
        <f>IFERROR((TP_DATA[[#This Row],[D, bottom '[m']]]+#REF!)/(2*#REF!/1000),"")</f>
        <v/>
      </c>
      <c r="BR72">
        <v>48</v>
      </c>
      <c r="BS72">
        <v>55.997</v>
      </c>
      <c r="BT72">
        <v>53.24499999999999</v>
      </c>
      <c r="BU72">
        <v>7.3234000000000004</v>
      </c>
      <c r="BV72">
        <v>7.3768000000000002</v>
      </c>
      <c r="BW72">
        <v>35.799999999999997</v>
      </c>
      <c r="BX72" s="68">
        <f>IFERROR(TOWER_DATA[[#This Row],[Bottom '[m']]]-TOWER_DATA[[#This Row],[D, top '[m']]], "")</f>
        <v>45.921599999999991</v>
      </c>
      <c r="BY72" s="68">
        <f>IFERROR(-(TOWER_DATA[[#This Row],[D, bottom '[m']]]-TOWER_DATA[[#This Row],[D, top '[m']]])/(TOWER_DATA[[#This Row],[Bottom '[m']]]-TOWER_DATA[[#This Row],[Top '[m']]]),"")</f>
        <v>1.9404069767441755E-2</v>
      </c>
      <c r="BZ72" s="68">
        <f t="shared" si="2"/>
        <v>17.771486453115703</v>
      </c>
      <c r="CA72" s="68">
        <f>IFERROR((TOWER_DATA[[#This Row],[D, bottom '[m']]]+TOWER_DATA[[#This Row],[D, top '[m']]])/(2*TOWER_DATA[[#This Row],[t '[mm']]]/1000),"")</f>
        <v>205.31005586592181</v>
      </c>
      <c r="CB72" s="68" t="str">
        <f>IFERROR((TOWER_DATA[[#This Row],[D, bottom '[m']]]+#REF!)/(2*#REF!/1000),"")</f>
        <v/>
      </c>
      <c r="CG72" s="67">
        <v>48</v>
      </c>
      <c r="CH72" s="67">
        <v>55.997</v>
      </c>
      <c r="CI72" s="67">
        <v>53.24499999999999</v>
      </c>
      <c r="CJ72">
        <v>7.3234000000000004</v>
      </c>
      <c r="CK72" s="67">
        <v>7.3768000000000002</v>
      </c>
      <c r="CL72">
        <v>35.799999999999997</v>
      </c>
    </row>
    <row r="73" spans="8:90" x14ac:dyDescent="0.3">
      <c r="H73" s="68" t="str">
        <f>IFERROR(MP_DATA[[#This Row],[Bottom '[m']]]-MP_DATA[[#This Row],[D, top '[m']]], "")</f>
        <v/>
      </c>
      <c r="I73" s="68" t="str">
        <f>IFERROR(-(MP_DATA[[#This Row],[D, bottom '[m']]]-MP_DATA[[#This Row],[D, top '[m']]])/(MP_DATA[[#This Row],[Bottom '[m']]]-MP_DATA[[#This Row],[Top '[m']]]),"")</f>
        <v/>
      </c>
      <c r="J73" s="68" t="str">
        <f t="shared" si="3"/>
        <v/>
      </c>
      <c r="K73" s="68" t="str">
        <f>IFERROR((MP_DATA[[#This Row],[D, bottom '[m']]]+MP_DATA[[#This Row],[D, top '[m']]])/(2*MP_DATA[[#This Row],[t '[mm']]]/1000),"")</f>
        <v/>
      </c>
      <c r="L73" s="68" t="str">
        <f>IFERROR((MP_DATA[[#This Row],[D, bottom '[m']]]+#REF!)/(2*#REF!/1000),"")</f>
        <v/>
      </c>
      <c r="AP73" s="68" t="str">
        <f>IFERROR(TP_DATA[[#This Row],[Bottom '[m']]]-TP_DATA[[#This Row],[D, top '[m']]], "")</f>
        <v/>
      </c>
      <c r="AQ73" s="68" t="str">
        <f>IFERROR(-(TP_DATA[[#This Row],[D, bottom '[m']]]-TP_DATA[[#This Row],[D, top '[m']]])/(TP_DATA[[#This Row],[Bottom '[m']]]-TP_DATA[[#This Row],[Top '[m']]]),"")</f>
        <v/>
      </c>
      <c r="AR73" s="68" t="str">
        <f t="shared" si="1"/>
        <v/>
      </c>
      <c r="AS73" s="68" t="str">
        <f>IFERROR((TP_DATA[[#This Row],[D, bottom '[m']]]+TP_DATA[[#This Row],[D, top '[m']]])/(2*TP_DATA[[#This Row],[t '[mm']]]/1000),"")</f>
        <v/>
      </c>
      <c r="AT73" s="68" t="str">
        <f>IFERROR((TP_DATA[[#This Row],[D, bottom '[m']]]+#REF!)/(2*#REF!/1000),"")</f>
        <v/>
      </c>
      <c r="BR73">
        <v>49</v>
      </c>
      <c r="BS73">
        <v>53.24499999999999</v>
      </c>
      <c r="BT73">
        <v>50.494999999999997</v>
      </c>
      <c r="BU73">
        <v>7.3768000000000002</v>
      </c>
      <c r="BV73">
        <v>7.4303999999999997</v>
      </c>
      <c r="BW73">
        <v>36.4</v>
      </c>
      <c r="BX73" s="68">
        <f>IFERROR(TOWER_DATA[[#This Row],[Bottom '[m']]]-TOWER_DATA[[#This Row],[D, top '[m']]], "")</f>
        <v>43.118199999999995</v>
      </c>
      <c r="BY73" s="68">
        <f>IFERROR(-(TOWER_DATA[[#This Row],[D, bottom '[m']]]-TOWER_DATA[[#This Row],[D, top '[m']]])/(TOWER_DATA[[#This Row],[Bottom '[m']]]-TOWER_DATA[[#This Row],[Top '[m']]]),"")</f>
        <v>1.9490909090908934E-2</v>
      </c>
      <c r="BZ73" s="68">
        <f t="shared" si="2"/>
        <v>18.186790619055468</v>
      </c>
      <c r="CA73" s="68">
        <f>IFERROR((TOWER_DATA[[#This Row],[D, bottom '[m']]]+TOWER_DATA[[#This Row],[D, top '[m']]])/(2*TOWER_DATA[[#This Row],[t '[mm']]]/1000),"")</f>
        <v>203.39560439560438</v>
      </c>
      <c r="CB73" s="68" t="str">
        <f>IFERROR((TOWER_DATA[[#This Row],[D, bottom '[m']]]+#REF!)/(2*#REF!/1000),"")</f>
        <v/>
      </c>
      <c r="CG73" s="67">
        <v>49</v>
      </c>
      <c r="CH73" s="67">
        <v>53.24499999999999</v>
      </c>
      <c r="CI73" s="67">
        <v>50.494999999999997</v>
      </c>
      <c r="CJ73">
        <v>7.3768000000000002</v>
      </c>
      <c r="CK73" s="67">
        <v>7.4303999999999997</v>
      </c>
      <c r="CL73">
        <v>36.4</v>
      </c>
    </row>
    <row r="74" spans="8:90" x14ac:dyDescent="0.3">
      <c r="H74" s="68" t="str">
        <f>IFERROR(MP_DATA[[#This Row],[Bottom '[m']]]-MP_DATA[[#This Row],[D, top '[m']]], "")</f>
        <v/>
      </c>
      <c r="I74" s="68" t="str">
        <f>IFERROR(-(MP_DATA[[#This Row],[D, bottom '[m']]]-MP_DATA[[#This Row],[D, top '[m']]])/(MP_DATA[[#This Row],[Bottom '[m']]]-MP_DATA[[#This Row],[Top '[m']]]),"")</f>
        <v/>
      </c>
      <c r="J74" s="68" t="str">
        <f t="shared" si="3"/>
        <v/>
      </c>
      <c r="K74" s="68" t="str">
        <f>IFERROR((MP_DATA[[#This Row],[D, bottom '[m']]]+MP_DATA[[#This Row],[D, top '[m']]])/(2*MP_DATA[[#This Row],[t '[mm']]]/1000),"")</f>
        <v/>
      </c>
      <c r="L74" s="68" t="str">
        <f>IFERROR((MP_DATA[[#This Row],[D, bottom '[m']]]+#REF!)/(2*#REF!/1000),"")</f>
        <v/>
      </c>
      <c r="AP74" s="68" t="str">
        <f>IFERROR(TP_DATA[[#This Row],[Bottom '[m']]]-TP_DATA[[#This Row],[D, top '[m']]], "")</f>
        <v/>
      </c>
      <c r="AQ74" s="68" t="str">
        <f>IFERROR(-(TP_DATA[[#This Row],[D, bottom '[m']]]-TP_DATA[[#This Row],[D, top '[m']]])/(TP_DATA[[#This Row],[Bottom '[m']]]-TP_DATA[[#This Row],[Top '[m']]]),"")</f>
        <v/>
      </c>
      <c r="AR74" s="68" t="str">
        <f t="shared" si="1"/>
        <v/>
      </c>
      <c r="AS74" s="68" t="str">
        <f>IFERROR((TP_DATA[[#This Row],[D, bottom '[m']]]+TP_DATA[[#This Row],[D, top '[m']]])/(2*TP_DATA[[#This Row],[t '[mm']]]/1000),"")</f>
        <v/>
      </c>
      <c r="AT74" s="68" t="str">
        <f>IFERROR((TP_DATA[[#This Row],[D, bottom '[m']]]+#REF!)/(2*#REF!/1000),"")</f>
        <v/>
      </c>
      <c r="BR74">
        <v>50</v>
      </c>
      <c r="BS74">
        <v>50.494999999999997</v>
      </c>
      <c r="BT74">
        <v>47.745999999999995</v>
      </c>
      <c r="BU74">
        <v>7.4303999999999997</v>
      </c>
      <c r="BV74">
        <v>7.4749999999999996</v>
      </c>
      <c r="BW74">
        <v>39.5</v>
      </c>
      <c r="BX74" s="68">
        <f>IFERROR(TOWER_DATA[[#This Row],[Bottom '[m']]]-TOWER_DATA[[#This Row],[D, top '[m']]], "")</f>
        <v>40.315599999999996</v>
      </c>
      <c r="BY74" s="68">
        <f>IFERROR(-(TOWER_DATA[[#This Row],[D, bottom '[m']]]-TOWER_DATA[[#This Row],[D, top '[m']]])/(TOWER_DATA[[#This Row],[Bottom '[m']]]-TOWER_DATA[[#This Row],[Top '[m']]]),"")</f>
        <v>1.6224081484176041E-2</v>
      </c>
      <c r="BZ74" s="68">
        <f t="shared" si="2"/>
        <v>19.851671590436911</v>
      </c>
      <c r="CA74" s="68">
        <f>IFERROR((TOWER_DATA[[#This Row],[D, bottom '[m']]]+TOWER_DATA[[#This Row],[D, top '[m']]])/(2*TOWER_DATA[[#This Row],[t '[mm']]]/1000),"")</f>
        <v>188.67594936708861</v>
      </c>
      <c r="CB74" s="68" t="str">
        <f>IFERROR((TOWER_DATA[[#This Row],[D, bottom '[m']]]+#REF!)/(2*#REF!/1000),"")</f>
        <v/>
      </c>
      <c r="CG74" s="67">
        <v>50</v>
      </c>
      <c r="CH74" s="67">
        <v>50.494999999999997</v>
      </c>
      <c r="CI74" s="67">
        <v>47.745999999999995</v>
      </c>
      <c r="CJ74">
        <v>7.4303999999999997</v>
      </c>
      <c r="CK74" s="67">
        <v>7.4749999999999996</v>
      </c>
      <c r="CL74">
        <v>39.5</v>
      </c>
    </row>
    <row r="75" spans="8:90" x14ac:dyDescent="0.3">
      <c r="H75" s="68" t="str">
        <f>IFERROR(MP_DATA[[#This Row],[Bottom '[m']]]-MP_DATA[[#This Row],[D, top '[m']]], "")</f>
        <v/>
      </c>
      <c r="I75" s="68" t="str">
        <f>IFERROR(-(MP_DATA[[#This Row],[D, bottom '[m']]]-MP_DATA[[#This Row],[D, top '[m']]])/(MP_DATA[[#This Row],[Bottom '[m']]]-MP_DATA[[#This Row],[Top '[m']]]),"")</f>
        <v/>
      </c>
      <c r="J75" s="68" t="str">
        <f t="shared" si="3"/>
        <v/>
      </c>
      <c r="K75" s="68" t="str">
        <f>IFERROR((MP_DATA[[#This Row],[D, bottom '[m']]]+MP_DATA[[#This Row],[D, top '[m']]])/(2*MP_DATA[[#This Row],[t '[mm']]]/1000),"")</f>
        <v/>
      </c>
      <c r="L75" s="68" t="str">
        <f>IFERROR((MP_DATA[[#This Row],[D, bottom '[m']]]+#REF!)/(2*#REF!/1000),"")</f>
        <v/>
      </c>
      <c r="AP75" s="68" t="str">
        <f>IFERROR(TP_DATA[[#This Row],[Bottom '[m']]]-TP_DATA[[#This Row],[D, top '[m']]], "")</f>
        <v/>
      </c>
      <c r="AQ75" s="68" t="str">
        <f>IFERROR(-(TP_DATA[[#This Row],[D, bottom '[m']]]-TP_DATA[[#This Row],[D, top '[m']]])/(TP_DATA[[#This Row],[Bottom '[m']]]-TP_DATA[[#This Row],[Top '[m']]]),"")</f>
        <v/>
      </c>
      <c r="AR75" s="68" t="str">
        <f t="shared" si="1"/>
        <v/>
      </c>
      <c r="AS75" s="68" t="str">
        <f>IFERROR((TP_DATA[[#This Row],[D, bottom '[m']]]+TP_DATA[[#This Row],[D, top '[m']]])/(2*TP_DATA[[#This Row],[t '[mm']]]/1000),"")</f>
        <v/>
      </c>
      <c r="AT75" s="68" t="str">
        <f>IFERROR((TP_DATA[[#This Row],[D, bottom '[m']]]+#REF!)/(2*#REF!/1000),"")</f>
        <v/>
      </c>
      <c r="BR75">
        <v>51</v>
      </c>
      <c r="BS75">
        <v>47.745999999999995</v>
      </c>
      <c r="BT75">
        <v>44.997999999999998</v>
      </c>
      <c r="BU75">
        <v>7.4749999999999996</v>
      </c>
      <c r="BV75">
        <v>7.4749999999999996</v>
      </c>
      <c r="BW75">
        <v>39.5</v>
      </c>
      <c r="BX75" s="68">
        <f>IFERROR(TOWER_DATA[[#This Row],[Bottom '[m']]]-TOWER_DATA[[#This Row],[D, top '[m']]], "")</f>
        <v>37.522999999999996</v>
      </c>
      <c r="BY75" s="68">
        <f>IFERROR(-(TOWER_DATA[[#This Row],[D, bottom '[m']]]-TOWER_DATA[[#This Row],[D, top '[m']]])/(TOWER_DATA[[#This Row],[Bottom '[m']]]-TOWER_DATA[[#This Row],[Top '[m']]]),"")</f>
        <v>0</v>
      </c>
      <c r="BZ75" s="68">
        <f t="shared" si="2"/>
        <v>19.904145210531652</v>
      </c>
      <c r="CA75" s="68">
        <f>IFERROR((TOWER_DATA[[#This Row],[D, bottom '[m']]]+TOWER_DATA[[#This Row],[D, top '[m']]])/(2*TOWER_DATA[[#This Row],[t '[mm']]]/1000),"")</f>
        <v>189.24050632911391</v>
      </c>
      <c r="CB75" s="68" t="str">
        <f>IFERROR((TOWER_DATA[[#This Row],[D, bottom '[m']]]+#REF!)/(2*#REF!/1000),"")</f>
        <v/>
      </c>
      <c r="CG75" s="67">
        <v>51</v>
      </c>
      <c r="CH75" s="67">
        <v>47.745999999999995</v>
      </c>
      <c r="CI75" s="67">
        <v>44.997999999999998</v>
      </c>
      <c r="CJ75">
        <v>7.4749999999999996</v>
      </c>
      <c r="CK75" s="67">
        <v>7.4749999999999996</v>
      </c>
      <c r="CL75">
        <v>39.5</v>
      </c>
    </row>
    <row r="76" spans="8:90" x14ac:dyDescent="0.3">
      <c r="H76" s="68" t="str">
        <f>IFERROR(MP_DATA[[#This Row],[Bottom '[m']]]-MP_DATA[[#This Row],[D, top '[m']]], "")</f>
        <v/>
      </c>
      <c r="I76" s="68" t="str">
        <f>IFERROR(-(MP_DATA[[#This Row],[D, bottom '[m']]]-MP_DATA[[#This Row],[D, top '[m']]])/(MP_DATA[[#This Row],[Bottom '[m']]]-MP_DATA[[#This Row],[Top '[m']]]),"")</f>
        <v/>
      </c>
      <c r="J76" s="68" t="str">
        <f t="shared" si="3"/>
        <v/>
      </c>
      <c r="K76" s="68" t="str">
        <f>IFERROR((MP_DATA[[#This Row],[D, bottom '[m']]]+MP_DATA[[#This Row],[D, top '[m']]])/(2*MP_DATA[[#This Row],[t '[mm']]]/1000),"")</f>
        <v/>
      </c>
      <c r="L76" s="68" t="str">
        <f>IFERROR((MP_DATA[[#This Row],[D, bottom '[m']]]+#REF!)/(2*#REF!/1000),"")</f>
        <v/>
      </c>
      <c r="AP76" s="68" t="str">
        <f>IFERROR(TP_DATA[[#This Row],[Bottom '[m']]]-TP_DATA[[#This Row],[D, top '[m']]], "")</f>
        <v/>
      </c>
      <c r="AQ76" s="68" t="str">
        <f>IFERROR(-(TP_DATA[[#This Row],[D, bottom '[m']]]-TP_DATA[[#This Row],[D, top '[m']]])/(TP_DATA[[#This Row],[Bottom '[m']]]-TP_DATA[[#This Row],[Top '[m']]]),"")</f>
        <v/>
      </c>
      <c r="AR76" s="68" t="str">
        <f t="shared" si="1"/>
        <v/>
      </c>
      <c r="AS76" s="68" t="str">
        <f>IFERROR((TP_DATA[[#This Row],[D, bottom '[m']]]+TP_DATA[[#This Row],[D, top '[m']]])/(2*TP_DATA[[#This Row],[t '[mm']]]/1000),"")</f>
        <v/>
      </c>
      <c r="AT76" s="68" t="str">
        <f>IFERROR((TP_DATA[[#This Row],[D, bottom '[m']]]+#REF!)/(2*#REF!/1000),"")</f>
        <v/>
      </c>
      <c r="BR76">
        <v>52</v>
      </c>
      <c r="BS76">
        <v>44.997999999999998</v>
      </c>
      <c r="BT76">
        <v>44.952999999999996</v>
      </c>
      <c r="BU76">
        <v>7.4749999999999996</v>
      </c>
      <c r="BV76">
        <v>7.4749999999999996</v>
      </c>
      <c r="BW76">
        <v>39.5</v>
      </c>
      <c r="BX76" s="68">
        <f>IFERROR(TOWER_DATA[[#This Row],[Bottom '[m']]]-TOWER_DATA[[#This Row],[D, top '[m']]], "")</f>
        <v>37.477999999999994</v>
      </c>
      <c r="BY76" s="68">
        <f>IFERROR(-(TOWER_DATA[[#This Row],[D, bottom '[m']]]-TOWER_DATA[[#This Row],[D, top '[m']]])/(TOWER_DATA[[#This Row],[Bottom '[m']]]-TOWER_DATA[[#This Row],[Top '[m']]]),"")</f>
        <v>0</v>
      </c>
      <c r="BZ76" s="68">
        <f t="shared" si="2"/>
        <v>0.32594124253055279</v>
      </c>
      <c r="CA76" s="68">
        <f>IFERROR((TOWER_DATA[[#This Row],[D, bottom '[m']]]+TOWER_DATA[[#This Row],[D, top '[m']]])/(2*TOWER_DATA[[#This Row],[t '[mm']]]/1000),"")</f>
        <v>189.24050632911391</v>
      </c>
      <c r="CB76" s="68" t="str">
        <f>IFERROR((TOWER_DATA[[#This Row],[D, bottom '[m']]]+#REF!)/(2*#REF!/1000),"")</f>
        <v/>
      </c>
      <c r="CG76" s="67">
        <v>52</v>
      </c>
      <c r="CH76" s="67">
        <v>44.997999999999998</v>
      </c>
      <c r="CI76" s="67">
        <v>44.952999999999996</v>
      </c>
      <c r="CJ76">
        <v>7.4749999999999996</v>
      </c>
      <c r="CK76" s="67">
        <v>7.4749999999999996</v>
      </c>
      <c r="CL76">
        <v>39.5</v>
      </c>
    </row>
    <row r="77" spans="8:90" x14ac:dyDescent="0.3">
      <c r="H77" s="68" t="str">
        <f>IFERROR(MP_DATA[[#This Row],[Bottom '[m']]]-MP_DATA[[#This Row],[D, top '[m']]], "")</f>
        <v/>
      </c>
      <c r="I77" s="68" t="str">
        <f>IFERROR(-(MP_DATA[[#This Row],[D, bottom '[m']]]-MP_DATA[[#This Row],[D, top '[m']]])/(MP_DATA[[#This Row],[Bottom '[m']]]-MP_DATA[[#This Row],[Top '[m']]]),"")</f>
        <v/>
      </c>
      <c r="J77" s="68" t="str">
        <f t="shared" si="3"/>
        <v/>
      </c>
      <c r="K77" s="68" t="str">
        <f>IFERROR((MP_DATA[[#This Row],[D, bottom '[m']]]+MP_DATA[[#This Row],[D, top '[m']]])/(2*MP_DATA[[#This Row],[t '[mm']]]/1000),"")</f>
        <v/>
      </c>
      <c r="L77" s="68" t="str">
        <f>IFERROR((MP_DATA[[#This Row],[D, bottom '[m']]]+#REF!)/(2*#REF!/1000),"")</f>
        <v/>
      </c>
      <c r="AP77" s="68" t="str">
        <f>IFERROR(TP_DATA[[#This Row],[Bottom '[m']]]-TP_DATA[[#This Row],[D, top '[m']]], "")</f>
        <v/>
      </c>
      <c r="AQ77" s="68" t="str">
        <f>IFERROR(-(TP_DATA[[#This Row],[D, bottom '[m']]]-TP_DATA[[#This Row],[D, top '[m']]])/(TP_DATA[[#This Row],[Bottom '[m']]]-TP_DATA[[#This Row],[Top '[m']]]),"")</f>
        <v/>
      </c>
      <c r="AR77" s="68" t="str">
        <f t="shared" si="1"/>
        <v/>
      </c>
      <c r="AS77" s="68" t="str">
        <f>IFERROR((TP_DATA[[#This Row],[D, bottom '[m']]]+TP_DATA[[#This Row],[D, top '[m']]])/(2*TP_DATA[[#This Row],[t '[mm']]]/1000),"")</f>
        <v/>
      </c>
      <c r="AT77" s="68" t="str">
        <f>IFERROR((TP_DATA[[#This Row],[D, bottom '[m']]]+#REF!)/(2*#REF!/1000),"")</f>
        <v/>
      </c>
      <c r="BR77">
        <v>53</v>
      </c>
      <c r="BS77">
        <v>44.952999999999996</v>
      </c>
      <c r="BT77">
        <v>44.812999999999995</v>
      </c>
      <c r="BU77">
        <v>7.4749999999999996</v>
      </c>
      <c r="BV77">
        <v>7.4749999999999996</v>
      </c>
      <c r="BW77">
        <v>39.5</v>
      </c>
      <c r="BX77" s="68">
        <f>IFERROR(TOWER_DATA[[#This Row],[Bottom '[m']]]-TOWER_DATA[[#This Row],[D, top '[m']]], "")</f>
        <v>37.337999999999994</v>
      </c>
      <c r="BY77" s="68">
        <f>IFERROR(-(TOWER_DATA[[#This Row],[D, bottom '[m']]]-TOWER_DATA[[#This Row],[D, top '[m']]])/(TOWER_DATA[[#This Row],[Bottom '[m']]]-TOWER_DATA[[#This Row],[Top '[m']]]),"")</f>
        <v>0</v>
      </c>
      <c r="BZ77" s="68">
        <f t="shared" si="2"/>
        <v>1.0140394212061299</v>
      </c>
      <c r="CA77" s="68">
        <f>IFERROR((TOWER_DATA[[#This Row],[D, bottom '[m']]]+TOWER_DATA[[#This Row],[D, top '[m']]])/(2*TOWER_DATA[[#This Row],[t '[mm']]]/1000),"")</f>
        <v>189.24050632911391</v>
      </c>
      <c r="CB77" s="68" t="str">
        <f>IFERROR((TOWER_DATA[[#This Row],[D, bottom '[m']]]+#REF!)/(2*#REF!/1000),"")</f>
        <v/>
      </c>
      <c r="CG77" s="67">
        <v>53</v>
      </c>
      <c r="CH77" s="67">
        <v>44.952999999999996</v>
      </c>
      <c r="CI77" s="67">
        <v>44.812999999999995</v>
      </c>
      <c r="CJ77">
        <v>7.4749999999999996</v>
      </c>
      <c r="CK77" s="67">
        <v>7.4749999999999996</v>
      </c>
      <c r="CL77">
        <v>39.5</v>
      </c>
    </row>
    <row r="78" spans="8:90" x14ac:dyDescent="0.3">
      <c r="H78" s="68" t="str">
        <f>IFERROR(MP_DATA[[#This Row],[Bottom '[m']]]-MP_DATA[[#This Row],[D, top '[m']]], "")</f>
        <v/>
      </c>
      <c r="I78" s="68" t="str">
        <f>IFERROR(-(MP_DATA[[#This Row],[D, bottom '[m']]]-MP_DATA[[#This Row],[D, top '[m']]])/(MP_DATA[[#This Row],[Bottom '[m']]]-MP_DATA[[#This Row],[Top '[m']]]),"")</f>
        <v/>
      </c>
      <c r="J78" s="68" t="str">
        <f t="shared" si="3"/>
        <v/>
      </c>
      <c r="K78" s="68" t="str">
        <f>IFERROR((MP_DATA[[#This Row],[D, bottom '[m']]]+MP_DATA[[#This Row],[D, top '[m']]])/(2*MP_DATA[[#This Row],[t '[mm']]]/1000),"")</f>
        <v/>
      </c>
      <c r="L78" s="68" t="str">
        <f>IFERROR((MP_DATA[[#This Row],[D, bottom '[m']]]+#REF!)/(2*#REF!/1000),"")</f>
        <v/>
      </c>
      <c r="AP78" s="68" t="str">
        <f>IFERROR(TP_DATA[[#This Row],[Bottom '[m']]]-TP_DATA[[#This Row],[D, top '[m']]], "")</f>
        <v/>
      </c>
      <c r="AQ78" s="68" t="str">
        <f>IFERROR(-(TP_DATA[[#This Row],[D, bottom '[m']]]-TP_DATA[[#This Row],[D, top '[m']]])/(TP_DATA[[#This Row],[Bottom '[m']]]-TP_DATA[[#This Row],[Top '[m']]]),"")</f>
        <v/>
      </c>
      <c r="AR78" s="68" t="str">
        <f t="shared" si="1"/>
        <v/>
      </c>
      <c r="AS78" s="68" t="str">
        <f>IFERROR((TP_DATA[[#This Row],[D, bottom '[m']]]+TP_DATA[[#This Row],[D, top '[m']]])/(2*TP_DATA[[#This Row],[t '[mm']]]/1000),"")</f>
        <v/>
      </c>
      <c r="AT78" s="68" t="str">
        <f>IFERROR((TP_DATA[[#This Row],[D, bottom '[m']]]+#REF!)/(2*#REF!/1000),"")</f>
        <v/>
      </c>
      <c r="BR78">
        <v>54</v>
      </c>
      <c r="BS78">
        <v>44.812999999999995</v>
      </c>
      <c r="BT78">
        <v>44.673999999999992</v>
      </c>
      <c r="BU78">
        <v>7.4749999999999996</v>
      </c>
      <c r="BV78">
        <v>7.4749999999999996</v>
      </c>
      <c r="BW78">
        <v>39.5</v>
      </c>
      <c r="BX78" s="68">
        <f>IFERROR(TOWER_DATA[[#This Row],[Bottom '[m']]]-TOWER_DATA[[#This Row],[D, top '[m']]], "")</f>
        <v>37.198999999999991</v>
      </c>
      <c r="BY78" s="68">
        <f>IFERROR(-(TOWER_DATA[[#This Row],[D, bottom '[m']]]-TOWER_DATA[[#This Row],[D, top '[m']]])/(TOWER_DATA[[#This Row],[Bottom '[m']]]-TOWER_DATA[[#This Row],[Top '[m']]]),"")</f>
        <v>0</v>
      </c>
      <c r="BZ78" s="68">
        <f t="shared" si="2"/>
        <v>1.0067962824832459</v>
      </c>
      <c r="CA78" s="68">
        <f>IFERROR((TOWER_DATA[[#This Row],[D, bottom '[m']]]+TOWER_DATA[[#This Row],[D, top '[m']]])/(2*TOWER_DATA[[#This Row],[t '[mm']]]/1000),"")</f>
        <v>189.24050632911391</v>
      </c>
      <c r="CB78" s="68" t="str">
        <f>IFERROR((TOWER_DATA[[#This Row],[D, bottom '[m']]]+#REF!)/(2*#REF!/1000),"")</f>
        <v/>
      </c>
      <c r="CG78" s="67">
        <v>54</v>
      </c>
      <c r="CH78" s="67">
        <v>44.812999999999995</v>
      </c>
      <c r="CI78" s="67">
        <v>44.673999999999992</v>
      </c>
      <c r="CJ78">
        <v>7.4749999999999996</v>
      </c>
      <c r="CK78" s="67">
        <v>7.4749999999999996</v>
      </c>
      <c r="CL78">
        <v>39.5</v>
      </c>
    </row>
    <row r="79" spans="8:90" x14ac:dyDescent="0.3">
      <c r="H79" s="68" t="str">
        <f>IFERROR(MP_DATA[[#This Row],[Bottom '[m']]]-MP_DATA[[#This Row],[D, top '[m']]], "")</f>
        <v/>
      </c>
      <c r="I79" s="68" t="str">
        <f>IFERROR(-(MP_DATA[[#This Row],[D, bottom '[m']]]-MP_DATA[[#This Row],[D, top '[m']]])/(MP_DATA[[#This Row],[Bottom '[m']]]-MP_DATA[[#This Row],[Top '[m']]]),"")</f>
        <v/>
      </c>
      <c r="J79" s="68" t="str">
        <f t="shared" si="3"/>
        <v/>
      </c>
      <c r="K79" s="68" t="str">
        <f>IFERROR((MP_DATA[[#This Row],[D, bottom '[m']]]+MP_DATA[[#This Row],[D, top '[m']]])/(2*MP_DATA[[#This Row],[t '[mm']]]/1000),"")</f>
        <v/>
      </c>
      <c r="L79" s="68" t="str">
        <f>IFERROR((MP_DATA[[#This Row],[D, bottom '[m']]]+#REF!)/(2*#REF!/1000),"")</f>
        <v/>
      </c>
      <c r="AP79" s="68" t="str">
        <f>IFERROR(TP_DATA[[#This Row],[Bottom '[m']]]-TP_DATA[[#This Row],[D, top '[m']]], "")</f>
        <v/>
      </c>
      <c r="AQ79" s="68" t="str">
        <f>IFERROR(-(TP_DATA[[#This Row],[D, bottom '[m']]]-TP_DATA[[#This Row],[D, top '[m']]])/(TP_DATA[[#This Row],[Bottom '[m']]]-TP_DATA[[#This Row],[Top '[m']]]),"")</f>
        <v/>
      </c>
      <c r="AR79" s="68" t="str">
        <f t="shared" si="1"/>
        <v/>
      </c>
      <c r="AS79" s="68" t="str">
        <f>IFERROR((TP_DATA[[#This Row],[D, bottom '[m']]]+TP_DATA[[#This Row],[D, top '[m']]])/(2*TP_DATA[[#This Row],[t '[mm']]]/1000),"")</f>
        <v/>
      </c>
      <c r="AT79" s="68" t="str">
        <f>IFERROR((TP_DATA[[#This Row],[D, bottom '[m']]]+#REF!)/(2*#REF!/1000),"")</f>
        <v/>
      </c>
      <c r="BR79">
        <v>55</v>
      </c>
      <c r="BS79">
        <v>44.673999999999992</v>
      </c>
      <c r="BT79">
        <v>44.628999999999998</v>
      </c>
      <c r="BU79">
        <v>7.4749999999999996</v>
      </c>
      <c r="BV79">
        <v>7.4749999999999996</v>
      </c>
      <c r="BW79">
        <v>38</v>
      </c>
      <c r="BX79" s="68">
        <f>IFERROR(TOWER_DATA[[#This Row],[Bottom '[m']]]-TOWER_DATA[[#This Row],[D, top '[m']]], "")</f>
        <v>37.153999999999996</v>
      </c>
      <c r="BY79" s="68">
        <f>IFERROR(-(TOWER_DATA[[#This Row],[D, bottom '[m']]]-TOWER_DATA[[#This Row],[D, top '[m']]])/(TOWER_DATA[[#This Row],[Bottom '[m']]]-TOWER_DATA[[#This Row],[Top '[m']]]),"")</f>
        <v>0</v>
      </c>
      <c r="BZ79" s="68">
        <f t="shared" si="2"/>
        <v>0.31362698374484504</v>
      </c>
      <c r="CA79" s="68">
        <f>IFERROR((TOWER_DATA[[#This Row],[D, bottom '[m']]]+TOWER_DATA[[#This Row],[D, top '[m']]])/(2*TOWER_DATA[[#This Row],[t '[mm']]]/1000),"")</f>
        <v>196.71052631578948</v>
      </c>
      <c r="CB79" s="68" t="str">
        <f>IFERROR((TOWER_DATA[[#This Row],[D, bottom '[m']]]+#REF!)/(2*#REF!/1000),"")</f>
        <v/>
      </c>
      <c r="CG79" s="67">
        <v>55</v>
      </c>
      <c r="CH79" s="67">
        <v>44.673999999999992</v>
      </c>
      <c r="CI79" s="67">
        <v>44.628999999999998</v>
      </c>
      <c r="CJ79">
        <v>7.4749999999999996</v>
      </c>
      <c r="CK79" s="67">
        <v>7.4749999999999996</v>
      </c>
      <c r="CL79">
        <v>38</v>
      </c>
    </row>
    <row r="80" spans="8:90" x14ac:dyDescent="0.3">
      <c r="H80" s="68" t="str">
        <f>IFERROR(MP_DATA[[#This Row],[Bottom '[m']]]-MP_DATA[[#This Row],[D, top '[m']]], "")</f>
        <v/>
      </c>
      <c r="I80" s="68" t="str">
        <f>IFERROR(-(MP_DATA[[#This Row],[D, bottom '[m']]]-MP_DATA[[#This Row],[D, top '[m']]])/(MP_DATA[[#This Row],[Bottom '[m']]]-MP_DATA[[#This Row],[Top '[m']]]),"")</f>
        <v/>
      </c>
      <c r="J80" s="68" t="str">
        <f t="shared" si="3"/>
        <v/>
      </c>
      <c r="K80" s="68" t="str">
        <f>IFERROR((MP_DATA[[#This Row],[D, bottom '[m']]]+MP_DATA[[#This Row],[D, top '[m']]])/(2*MP_DATA[[#This Row],[t '[mm']]]/1000),"")</f>
        <v/>
      </c>
      <c r="L80" s="68" t="str">
        <f>IFERROR((MP_DATA[[#This Row],[D, bottom '[m']]]+#REF!)/(2*#REF!/1000),"")</f>
        <v/>
      </c>
      <c r="AP80" s="68" t="str">
        <f>IFERROR(TP_DATA[[#This Row],[Bottom '[m']]]-TP_DATA[[#This Row],[D, top '[m']]], "")</f>
        <v/>
      </c>
      <c r="AQ80" s="68" t="str">
        <f>IFERROR(-(TP_DATA[[#This Row],[D, bottom '[m']]]-TP_DATA[[#This Row],[D, top '[m']]])/(TP_DATA[[#This Row],[Bottom '[m']]]-TP_DATA[[#This Row],[Top '[m']]]),"")</f>
        <v/>
      </c>
      <c r="AR80" s="68" t="str">
        <f t="shared" si="1"/>
        <v/>
      </c>
      <c r="AS80" s="68" t="str">
        <f>IFERROR((TP_DATA[[#This Row],[D, bottom '[m']]]+TP_DATA[[#This Row],[D, top '[m']]])/(2*TP_DATA[[#This Row],[t '[mm']]]/1000),"")</f>
        <v/>
      </c>
      <c r="AT80" s="68" t="str">
        <f>IFERROR((TP_DATA[[#This Row],[D, bottom '[m']]]+#REF!)/(2*#REF!/1000),"")</f>
        <v/>
      </c>
      <c r="BR80">
        <v>56</v>
      </c>
      <c r="BS80">
        <v>44.628999999999998</v>
      </c>
      <c r="BT80">
        <v>43.515999999999991</v>
      </c>
      <c r="BU80">
        <v>7.4749999999999996</v>
      </c>
      <c r="BV80">
        <v>7.4749999999999996</v>
      </c>
      <c r="BW80">
        <v>38</v>
      </c>
      <c r="BX80" s="68">
        <f>IFERROR(TOWER_DATA[[#This Row],[Bottom '[m']]]-TOWER_DATA[[#This Row],[D, top '[m']]], "")</f>
        <v>36.04099999999999</v>
      </c>
      <c r="BY80" s="68">
        <f>IFERROR(-(TOWER_DATA[[#This Row],[D, bottom '[m']]]-TOWER_DATA[[#This Row],[D, top '[m']]])/(TOWER_DATA[[#This Row],[Bottom '[m']]]-TOWER_DATA[[#This Row],[Top '[m']]]),"")</f>
        <v>0</v>
      </c>
      <c r="BZ80" s="68">
        <f t="shared" si="2"/>
        <v>7.7570407312901448</v>
      </c>
      <c r="CA80" s="68">
        <f>IFERROR((TOWER_DATA[[#This Row],[D, bottom '[m']]]+TOWER_DATA[[#This Row],[D, top '[m']]])/(2*TOWER_DATA[[#This Row],[t '[mm']]]/1000),"")</f>
        <v>196.71052631578948</v>
      </c>
      <c r="CB80" s="68" t="str">
        <f>IFERROR((TOWER_DATA[[#This Row],[D, bottom '[m']]]+#REF!)/(2*#REF!/1000),"")</f>
        <v/>
      </c>
      <c r="CG80" s="67">
        <v>56</v>
      </c>
      <c r="CH80" s="67">
        <v>44.628999999999998</v>
      </c>
      <c r="CI80" s="67">
        <v>43.515999999999991</v>
      </c>
      <c r="CJ80">
        <v>7.4749999999999996</v>
      </c>
      <c r="CK80" s="67">
        <v>7.4749999999999996</v>
      </c>
      <c r="CL80">
        <v>38</v>
      </c>
    </row>
    <row r="81" spans="8:90" x14ac:dyDescent="0.3">
      <c r="H81" s="68" t="str">
        <f>IFERROR(MP_DATA[[#This Row],[Bottom '[m']]]-MP_DATA[[#This Row],[D, top '[m']]], "")</f>
        <v/>
      </c>
      <c r="I81" s="68" t="str">
        <f>IFERROR(-(MP_DATA[[#This Row],[D, bottom '[m']]]-MP_DATA[[#This Row],[D, top '[m']]])/(MP_DATA[[#This Row],[Bottom '[m']]]-MP_DATA[[#This Row],[Top '[m']]]),"")</f>
        <v/>
      </c>
      <c r="J81" s="68" t="str">
        <f t="shared" si="3"/>
        <v/>
      </c>
      <c r="K81" s="68" t="str">
        <f>IFERROR((MP_DATA[[#This Row],[D, bottom '[m']]]+MP_DATA[[#This Row],[D, top '[m']]])/(2*MP_DATA[[#This Row],[t '[mm']]]/1000),"")</f>
        <v/>
      </c>
      <c r="L81" s="68" t="str">
        <f>IFERROR((MP_DATA[[#This Row],[D, bottom '[m']]]+#REF!)/(2*#REF!/1000),"")</f>
        <v/>
      </c>
      <c r="AP81" s="68" t="str">
        <f>IFERROR(TP_DATA[[#This Row],[Bottom '[m']]]-TP_DATA[[#This Row],[D, top '[m']]], "")</f>
        <v/>
      </c>
      <c r="AQ81" s="68" t="str">
        <f>IFERROR(-(TP_DATA[[#This Row],[D, bottom '[m']]]-TP_DATA[[#This Row],[D, top '[m']]])/(TP_DATA[[#This Row],[Bottom '[m']]]-TP_DATA[[#This Row],[Top '[m']]]),"")</f>
        <v/>
      </c>
      <c r="AR81" s="68" t="str">
        <f t="shared" si="1"/>
        <v/>
      </c>
      <c r="AS81" s="68" t="str">
        <f>IFERROR((TP_DATA[[#This Row],[D, bottom '[m']]]+TP_DATA[[#This Row],[D, top '[m']]])/(2*TP_DATA[[#This Row],[t '[mm']]]/1000),"")</f>
        <v/>
      </c>
      <c r="AT81" s="68" t="str">
        <f>IFERROR((TP_DATA[[#This Row],[D, bottom '[m']]]+#REF!)/(2*#REF!/1000),"")</f>
        <v/>
      </c>
      <c r="BR81">
        <v>57</v>
      </c>
      <c r="BS81">
        <v>43.515999999999991</v>
      </c>
      <c r="BT81">
        <v>41.718999999999994</v>
      </c>
      <c r="BU81">
        <v>7.4749999999999996</v>
      </c>
      <c r="BV81">
        <v>7.4749999999999996</v>
      </c>
      <c r="BW81">
        <v>38.800000000000004</v>
      </c>
      <c r="BX81" s="68">
        <f>IFERROR(TOWER_DATA[[#This Row],[Bottom '[m']]]-TOWER_DATA[[#This Row],[D, top '[m']]], "")</f>
        <v>34.243999999999993</v>
      </c>
      <c r="BY81" s="68">
        <f>IFERROR(-(TOWER_DATA[[#This Row],[D, bottom '[m']]]-TOWER_DATA[[#This Row],[D, top '[m']]])/(TOWER_DATA[[#This Row],[Bottom '[m']]]-TOWER_DATA[[#This Row],[Top '[m']]]),"")</f>
        <v>0</v>
      </c>
      <c r="BZ81" s="68">
        <f t="shared" si="2"/>
        <v>12.786462048690439</v>
      </c>
      <c r="CA81" s="68">
        <f>IFERROR((TOWER_DATA[[#This Row],[D, bottom '[m']]]+TOWER_DATA[[#This Row],[D, top '[m']]])/(2*TOWER_DATA[[#This Row],[t '[mm']]]/1000),"")</f>
        <v>192.65463917525773</v>
      </c>
      <c r="CB81" s="68" t="str">
        <f>IFERROR((TOWER_DATA[[#This Row],[D, bottom '[m']]]+#REF!)/(2*#REF!/1000),"")</f>
        <v/>
      </c>
      <c r="CG81" s="67">
        <v>57</v>
      </c>
      <c r="CH81" s="67">
        <v>43.515999999999991</v>
      </c>
      <c r="CI81" s="67">
        <v>41.718999999999994</v>
      </c>
      <c r="CJ81">
        <v>7.4749999999999996</v>
      </c>
      <c r="CK81" s="67">
        <v>7.4749999999999996</v>
      </c>
      <c r="CL81">
        <v>38.800000000000004</v>
      </c>
    </row>
    <row r="82" spans="8:90" x14ac:dyDescent="0.3">
      <c r="H82" s="68" t="str">
        <f>IFERROR(MP_DATA[[#This Row],[Bottom '[m']]]-MP_DATA[[#This Row],[D, top '[m']]], "")</f>
        <v/>
      </c>
      <c r="I82" s="68" t="str">
        <f>IFERROR(-(MP_DATA[[#This Row],[D, bottom '[m']]]-MP_DATA[[#This Row],[D, top '[m']]])/(MP_DATA[[#This Row],[Bottom '[m']]]-MP_DATA[[#This Row],[Top '[m']]]),"")</f>
        <v/>
      </c>
      <c r="J82" s="68" t="str">
        <f t="shared" si="3"/>
        <v/>
      </c>
      <c r="K82" s="68" t="str">
        <f>IFERROR((MP_DATA[[#This Row],[D, bottom '[m']]]+MP_DATA[[#This Row],[D, top '[m']]])/(2*MP_DATA[[#This Row],[t '[mm']]]/1000),"")</f>
        <v/>
      </c>
      <c r="L82" s="68" t="str">
        <f>IFERROR((MP_DATA[[#This Row],[D, bottom '[m']]]+#REF!)/(2*#REF!/1000),"")</f>
        <v/>
      </c>
      <c r="AP82" s="68" t="str">
        <f>IFERROR(TP_DATA[[#This Row],[Bottom '[m']]]-TP_DATA[[#This Row],[D, top '[m']]], "")</f>
        <v/>
      </c>
      <c r="AQ82" s="68" t="str">
        <f>IFERROR(-(TP_DATA[[#This Row],[D, bottom '[m']]]-TP_DATA[[#This Row],[D, top '[m']]])/(TP_DATA[[#This Row],[Bottom '[m']]]-TP_DATA[[#This Row],[Top '[m']]]),"")</f>
        <v/>
      </c>
      <c r="AR82" s="68" t="str">
        <f t="shared" si="1"/>
        <v/>
      </c>
      <c r="AS82" s="68" t="str">
        <f>IFERROR((TP_DATA[[#This Row],[D, bottom '[m']]]+TP_DATA[[#This Row],[D, top '[m']]])/(2*TP_DATA[[#This Row],[t '[mm']]]/1000),"")</f>
        <v/>
      </c>
      <c r="AT82" s="68" t="str">
        <f>IFERROR((TP_DATA[[#This Row],[D, bottom '[m']]]+#REF!)/(2*#REF!/1000),"")</f>
        <v/>
      </c>
      <c r="BR82">
        <v>58</v>
      </c>
      <c r="BS82">
        <v>41.718999999999994</v>
      </c>
      <c r="BT82">
        <v>38.795000000000002</v>
      </c>
      <c r="BU82">
        <v>7.4749999999999996</v>
      </c>
      <c r="BV82">
        <v>7.4749999999999996</v>
      </c>
      <c r="BW82">
        <v>40.4</v>
      </c>
      <c r="BX82" s="68">
        <f>IFERROR(TOWER_DATA[[#This Row],[Bottom '[m']]]-TOWER_DATA[[#This Row],[D, top '[m']]], "")</f>
        <v>31.32</v>
      </c>
      <c r="BY82" s="68">
        <f>IFERROR(-(TOWER_DATA[[#This Row],[D, bottom '[m']]]-TOWER_DATA[[#This Row],[D, top '[m']]])/(TOWER_DATA[[#This Row],[Bottom '[m']]]-TOWER_DATA[[#This Row],[Top '[m']]]),"")</f>
        <v>0</v>
      </c>
      <c r="BZ82" s="68">
        <f t="shared" si="2"/>
        <v>21.658873770182829</v>
      </c>
      <c r="CA82" s="68">
        <f>IFERROR((TOWER_DATA[[#This Row],[D, bottom '[m']]]+TOWER_DATA[[#This Row],[D, top '[m']]])/(2*TOWER_DATA[[#This Row],[t '[mm']]]/1000),"")</f>
        <v>185.02475247524751</v>
      </c>
      <c r="CB82" s="68" t="str">
        <f>IFERROR((TOWER_DATA[[#This Row],[D, bottom '[m']]]+#REF!)/(2*#REF!/1000),"")</f>
        <v/>
      </c>
      <c r="CG82" s="67">
        <v>58</v>
      </c>
      <c r="CH82" s="67">
        <v>41.718999999999994</v>
      </c>
      <c r="CI82" s="67">
        <v>38.795000000000002</v>
      </c>
      <c r="CJ82">
        <v>7.4749999999999996</v>
      </c>
      <c r="CK82" s="67">
        <v>7.4749999999999996</v>
      </c>
      <c r="CL82">
        <v>40.4</v>
      </c>
    </row>
    <row r="83" spans="8:90" x14ac:dyDescent="0.3">
      <c r="H83" s="68" t="str">
        <f>IFERROR(MP_DATA[[#This Row],[Bottom '[m']]]-MP_DATA[[#This Row],[D, top '[m']]], "")</f>
        <v/>
      </c>
      <c r="I83" s="68" t="str">
        <f>IFERROR(-(MP_DATA[[#This Row],[D, bottom '[m']]]-MP_DATA[[#This Row],[D, top '[m']]])/(MP_DATA[[#This Row],[Bottom '[m']]]-MP_DATA[[#This Row],[Top '[m']]]),"")</f>
        <v/>
      </c>
      <c r="J83" s="68" t="str">
        <f t="shared" si="3"/>
        <v/>
      </c>
      <c r="K83" s="68" t="str">
        <f>IFERROR((MP_DATA[[#This Row],[D, bottom '[m']]]+MP_DATA[[#This Row],[D, top '[m']]])/(2*MP_DATA[[#This Row],[t '[mm']]]/1000),"")</f>
        <v/>
      </c>
      <c r="L83" s="68" t="str">
        <f>IFERROR((MP_DATA[[#This Row],[D, bottom '[m']]]+#REF!)/(2*#REF!/1000),"")</f>
        <v/>
      </c>
      <c r="AP83" s="68" t="str">
        <f>IFERROR(TP_DATA[[#This Row],[Bottom '[m']]]-TP_DATA[[#This Row],[D, top '[m']]], "")</f>
        <v/>
      </c>
      <c r="AQ83" s="68" t="str">
        <f>IFERROR(-(TP_DATA[[#This Row],[D, bottom '[m']]]-TP_DATA[[#This Row],[D, top '[m']]])/(TP_DATA[[#This Row],[Bottom '[m']]]-TP_DATA[[#This Row],[Top '[m']]]),"")</f>
        <v/>
      </c>
      <c r="AR83" s="68" t="str">
        <f t="shared" si="1"/>
        <v/>
      </c>
      <c r="AS83" s="68" t="str">
        <f>IFERROR((TP_DATA[[#This Row],[D, bottom '[m']]]+TP_DATA[[#This Row],[D, top '[m']]])/(2*TP_DATA[[#This Row],[t '[mm']]]/1000),"")</f>
        <v/>
      </c>
      <c r="AT83" s="68" t="str">
        <f>IFERROR((TP_DATA[[#This Row],[D, bottom '[m']]]+#REF!)/(2*#REF!/1000),"")</f>
        <v/>
      </c>
      <c r="BR83">
        <v>59</v>
      </c>
      <c r="BS83">
        <v>38.795000000000002</v>
      </c>
      <c r="BT83">
        <v>35.870999999999995</v>
      </c>
      <c r="BU83">
        <v>7.4749999999999996</v>
      </c>
      <c r="BV83">
        <v>7.4749999999999996</v>
      </c>
      <c r="BW83">
        <v>41.2</v>
      </c>
      <c r="BX83" s="68">
        <f>IFERROR(TOWER_DATA[[#This Row],[Bottom '[m']]]-TOWER_DATA[[#This Row],[D, top '[m']]], "")</f>
        <v>28.395999999999994</v>
      </c>
      <c r="BY83" s="68">
        <f>IFERROR(-(TOWER_DATA[[#This Row],[D, bottom '[m']]]-TOWER_DATA[[#This Row],[D, top '[m']]])/(TOWER_DATA[[#This Row],[Bottom '[m']]]-TOWER_DATA[[#This Row],[Top '[m']]]),"")</f>
        <v>0</v>
      </c>
      <c r="BZ83" s="68">
        <f t="shared" si="2"/>
        <v>22.085385606417827</v>
      </c>
      <c r="CA83" s="68">
        <f>IFERROR((TOWER_DATA[[#This Row],[D, bottom '[m']]]+TOWER_DATA[[#This Row],[D, top '[m']]])/(2*TOWER_DATA[[#This Row],[t '[mm']]]/1000),"")</f>
        <v>181.43203883495144</v>
      </c>
      <c r="CB83" s="68" t="str">
        <f>IFERROR((TOWER_DATA[[#This Row],[D, bottom '[m']]]+#REF!)/(2*#REF!/1000),"")</f>
        <v/>
      </c>
      <c r="CG83" s="67">
        <v>59</v>
      </c>
      <c r="CH83" s="67">
        <v>38.795000000000002</v>
      </c>
      <c r="CI83" s="67">
        <v>35.870999999999995</v>
      </c>
      <c r="CJ83">
        <v>7.4749999999999996</v>
      </c>
      <c r="CK83" s="67">
        <v>7.4749999999999996</v>
      </c>
      <c r="CL83">
        <v>41.2</v>
      </c>
    </row>
    <row r="84" spans="8:90" x14ac:dyDescent="0.3">
      <c r="H84" s="68" t="str">
        <f>IFERROR(MP_DATA[[#This Row],[Bottom '[m']]]-MP_DATA[[#This Row],[D, top '[m']]], "")</f>
        <v/>
      </c>
      <c r="I84" s="68" t="str">
        <f>IFERROR(-(MP_DATA[[#This Row],[D, bottom '[m']]]-MP_DATA[[#This Row],[D, top '[m']]])/(MP_DATA[[#This Row],[Bottom '[m']]]-MP_DATA[[#This Row],[Top '[m']]]),"")</f>
        <v/>
      </c>
      <c r="J84" s="68" t="str">
        <f t="shared" si="3"/>
        <v/>
      </c>
      <c r="K84" s="68" t="str">
        <f>IFERROR((MP_DATA[[#This Row],[D, bottom '[m']]]+MP_DATA[[#This Row],[D, top '[m']]])/(2*MP_DATA[[#This Row],[t '[mm']]]/1000),"")</f>
        <v/>
      </c>
      <c r="L84" s="68" t="str">
        <f>IFERROR((MP_DATA[[#This Row],[D, bottom '[m']]]+#REF!)/(2*#REF!/1000),"")</f>
        <v/>
      </c>
      <c r="AP84" s="68" t="str">
        <f>IFERROR(TP_DATA[[#This Row],[Bottom '[m']]]-TP_DATA[[#This Row],[D, top '[m']]], "")</f>
        <v/>
      </c>
      <c r="AQ84" s="68" t="str">
        <f>IFERROR(-(TP_DATA[[#This Row],[D, bottom '[m']]]-TP_DATA[[#This Row],[D, top '[m']]])/(TP_DATA[[#This Row],[Bottom '[m']]]-TP_DATA[[#This Row],[Top '[m']]]),"")</f>
        <v/>
      </c>
      <c r="AR84" s="68" t="str">
        <f t="shared" si="1"/>
        <v/>
      </c>
      <c r="AS84" s="68" t="str">
        <f>IFERROR((TP_DATA[[#This Row],[D, bottom '[m']]]+TP_DATA[[#This Row],[D, top '[m']]])/(2*TP_DATA[[#This Row],[t '[mm']]]/1000),"")</f>
        <v/>
      </c>
      <c r="AT84" s="68" t="str">
        <f>IFERROR((TP_DATA[[#This Row],[D, bottom '[m']]]+#REF!)/(2*#REF!/1000),"")</f>
        <v/>
      </c>
      <c r="BR84">
        <v>60</v>
      </c>
      <c r="BS84">
        <v>35.870999999999995</v>
      </c>
      <c r="BT84">
        <v>32.945999999999998</v>
      </c>
      <c r="BU84">
        <v>7.4767000000000001</v>
      </c>
      <c r="BV84">
        <v>7.4749999999999996</v>
      </c>
      <c r="BW84">
        <v>42.1</v>
      </c>
      <c r="BX84" s="68">
        <f>IFERROR(TOWER_DATA[[#This Row],[Bottom '[m']]]-TOWER_DATA[[#This Row],[D, top '[m']]], "")</f>
        <v>25.469299999999997</v>
      </c>
      <c r="BY84" s="68">
        <f>IFERROR(-(TOWER_DATA[[#This Row],[D, bottom '[m']]]-TOWER_DATA[[#This Row],[D, top '[m']]])/(TOWER_DATA[[#This Row],[Bottom '[m']]]-TOWER_DATA[[#This Row],[Top '[m']]]),"")</f>
        <v>-5.8119658119674554E-4</v>
      </c>
      <c r="BZ84" s="68">
        <f t="shared" si="2"/>
        <v>22.5753996435555</v>
      </c>
      <c r="CA84" s="68">
        <f>IFERROR((TOWER_DATA[[#This Row],[D, bottom '[m']]]+TOWER_DATA[[#This Row],[D, top '[m']]])/(2*TOWER_DATA[[#This Row],[t '[mm']]]/1000),"")</f>
        <v>177.57363420427552</v>
      </c>
      <c r="CB84" s="68" t="str">
        <f>IFERROR((TOWER_DATA[[#This Row],[D, bottom '[m']]]+#REF!)/(2*#REF!/1000),"")</f>
        <v/>
      </c>
      <c r="CG84" s="67">
        <v>60</v>
      </c>
      <c r="CH84" s="67">
        <v>35.870999999999995</v>
      </c>
      <c r="CI84" s="67">
        <v>32.945999999999998</v>
      </c>
      <c r="CJ84">
        <v>7.4767000000000001</v>
      </c>
      <c r="CK84" s="67">
        <v>7.4749999999999996</v>
      </c>
      <c r="CL84">
        <v>42.1</v>
      </c>
    </row>
    <row r="85" spans="8:90" x14ac:dyDescent="0.3">
      <c r="H85" s="68" t="str">
        <f>IFERROR(MP_DATA[[#This Row],[Bottom '[m']]]-MP_DATA[[#This Row],[D, top '[m']]], "")</f>
        <v/>
      </c>
      <c r="I85" s="68" t="str">
        <f>IFERROR(-(MP_DATA[[#This Row],[D, bottom '[m']]]-MP_DATA[[#This Row],[D, top '[m']]])/(MP_DATA[[#This Row],[Bottom '[m']]]-MP_DATA[[#This Row],[Top '[m']]]),"")</f>
        <v/>
      </c>
      <c r="J85" s="68" t="str">
        <f t="shared" si="3"/>
        <v/>
      </c>
      <c r="K85" s="68" t="str">
        <f>IFERROR((MP_DATA[[#This Row],[D, bottom '[m']]]+MP_DATA[[#This Row],[D, top '[m']]])/(2*MP_DATA[[#This Row],[t '[mm']]]/1000),"")</f>
        <v/>
      </c>
      <c r="L85" s="68" t="str">
        <f>IFERROR((MP_DATA[[#This Row],[D, bottom '[m']]]+#REF!)/(2*#REF!/1000),"")</f>
        <v/>
      </c>
      <c r="AP85" s="68" t="str">
        <f>IFERROR(TP_DATA[[#This Row],[Bottom '[m']]]-TP_DATA[[#This Row],[D, top '[m']]], "")</f>
        <v/>
      </c>
      <c r="AQ85" s="68" t="str">
        <f>IFERROR(-(TP_DATA[[#This Row],[D, bottom '[m']]]-TP_DATA[[#This Row],[D, top '[m']]])/(TP_DATA[[#This Row],[Bottom '[m']]]-TP_DATA[[#This Row],[Top '[m']]]),"")</f>
        <v/>
      </c>
      <c r="AR85" s="68" t="str">
        <f t="shared" si="1"/>
        <v/>
      </c>
      <c r="AS85" s="68" t="str">
        <f>IFERROR((TP_DATA[[#This Row],[D, bottom '[m']]]+TP_DATA[[#This Row],[D, top '[m']]])/(2*TP_DATA[[#This Row],[t '[mm']]]/1000),"")</f>
        <v/>
      </c>
      <c r="AT85" s="68" t="str">
        <f>IFERROR((TP_DATA[[#This Row],[D, bottom '[m']]]+#REF!)/(2*#REF!/1000),"")</f>
        <v/>
      </c>
      <c r="BR85">
        <v>61</v>
      </c>
      <c r="BS85">
        <v>32.945999999999998</v>
      </c>
      <c r="BT85">
        <v>30.022000000000002</v>
      </c>
      <c r="BU85">
        <v>7.4775999999999998</v>
      </c>
      <c r="BV85">
        <v>7.4749999999999996</v>
      </c>
      <c r="BW85">
        <v>43</v>
      </c>
      <c r="BX85" s="68">
        <f>IFERROR(TOWER_DATA[[#This Row],[Bottom '[m']]]-TOWER_DATA[[#This Row],[D, top '[m']]], "")</f>
        <v>22.544400000000003</v>
      </c>
      <c r="BY85" s="68">
        <f>IFERROR(-(TOWER_DATA[[#This Row],[D, bottom '[m']]]-TOWER_DATA[[#This Row],[D, top '[m']]])/(TOWER_DATA[[#This Row],[Bottom '[m']]]-TOWER_DATA[[#This Row],[Top '[m']]]),"")</f>
        <v>-8.8919288645696352E-4</v>
      </c>
      <c r="BZ85" s="68">
        <f t="shared" si="2"/>
        <v>23.048730724071454</v>
      </c>
      <c r="CA85" s="68">
        <f>IFERROR((TOWER_DATA[[#This Row],[D, bottom '[m']]]+TOWER_DATA[[#This Row],[D, top '[m']]])/(2*TOWER_DATA[[#This Row],[t '[mm']]]/1000),"")</f>
        <v>173.86744186046514</v>
      </c>
      <c r="CB85" s="68" t="str">
        <f>IFERROR((TOWER_DATA[[#This Row],[D, bottom '[m']]]+#REF!)/(2*#REF!/1000),"")</f>
        <v/>
      </c>
      <c r="CG85" s="67">
        <v>61</v>
      </c>
      <c r="CH85" s="67">
        <v>32.945999999999998</v>
      </c>
      <c r="CI85" s="67">
        <v>30.022000000000002</v>
      </c>
      <c r="CJ85">
        <v>7.4775999999999998</v>
      </c>
      <c r="CK85" s="67">
        <v>7.4749999999999996</v>
      </c>
      <c r="CL85">
        <v>43</v>
      </c>
    </row>
    <row r="86" spans="8:90" x14ac:dyDescent="0.3">
      <c r="H86" s="68" t="str">
        <f>IFERROR(MP_DATA[[#This Row],[Bottom '[m']]]-MP_DATA[[#This Row],[D, top '[m']]], "")</f>
        <v/>
      </c>
      <c r="I86" s="68" t="str">
        <f>IFERROR(-(MP_DATA[[#This Row],[D, bottom '[m']]]-MP_DATA[[#This Row],[D, top '[m']]])/(MP_DATA[[#This Row],[Bottom '[m']]]-MP_DATA[[#This Row],[Top '[m']]]),"")</f>
        <v/>
      </c>
      <c r="J86" s="68" t="str">
        <f t="shared" si="3"/>
        <v/>
      </c>
      <c r="K86" s="68" t="str">
        <f>IFERROR((MP_DATA[[#This Row],[D, bottom '[m']]]+MP_DATA[[#This Row],[D, top '[m']]])/(2*MP_DATA[[#This Row],[t '[mm']]]/1000),"")</f>
        <v/>
      </c>
      <c r="L86" s="68" t="str">
        <f>IFERROR((MP_DATA[[#This Row],[D, bottom '[m']]]+#REF!)/(2*#REF!/1000),"")</f>
        <v/>
      </c>
      <c r="AP86" s="68" t="str">
        <f>IFERROR(TP_DATA[[#This Row],[Bottom '[m']]]-TP_DATA[[#This Row],[D, top '[m']]], "")</f>
        <v/>
      </c>
      <c r="AQ86" s="68" t="str">
        <f>IFERROR(-(TP_DATA[[#This Row],[D, bottom '[m']]]-TP_DATA[[#This Row],[D, top '[m']]])/(TP_DATA[[#This Row],[Bottom '[m']]]-TP_DATA[[#This Row],[Top '[m']]]),"")</f>
        <v/>
      </c>
      <c r="AR86" s="68" t="str">
        <f t="shared" si="1"/>
        <v/>
      </c>
      <c r="AS86" s="68" t="str">
        <f>IFERROR((TP_DATA[[#This Row],[D, bottom '[m']]]+TP_DATA[[#This Row],[D, top '[m']]])/(2*TP_DATA[[#This Row],[t '[mm']]]/1000),"")</f>
        <v/>
      </c>
      <c r="AT86" s="68" t="str">
        <f>IFERROR((TP_DATA[[#This Row],[D, bottom '[m']]]+#REF!)/(2*#REF!/1000),"")</f>
        <v/>
      </c>
      <c r="BR86">
        <v>62</v>
      </c>
      <c r="BS86">
        <v>30.022000000000002</v>
      </c>
      <c r="BT86">
        <v>27.097000000000001</v>
      </c>
      <c r="BU86">
        <v>7.4785000000000004</v>
      </c>
      <c r="BV86">
        <v>7.5</v>
      </c>
      <c r="BW86">
        <v>64.5</v>
      </c>
      <c r="BX86" s="68">
        <f>IFERROR(TOWER_DATA[[#This Row],[Bottom '[m']]]-TOWER_DATA[[#This Row],[D, top '[m']]], "")</f>
        <v>19.618500000000001</v>
      </c>
      <c r="BY86" s="68">
        <f>IFERROR(-(TOWER_DATA[[#This Row],[D, bottom '[m']]]-TOWER_DATA[[#This Row],[D, top '[m']]])/(TOWER_DATA[[#This Row],[Bottom '[m']]]-TOWER_DATA[[#This Row],[Top '[m']]]),"")</f>
        <v>7.3504273504272225E-3</v>
      </c>
      <c r="BZ86" s="68">
        <f t="shared" si="2"/>
        <v>34.545139399533667</v>
      </c>
      <c r="CA86" s="68">
        <f>IFERROR((TOWER_DATA[[#This Row],[D, bottom '[m']]]+TOWER_DATA[[#This Row],[D, top '[m']]])/(2*TOWER_DATA[[#This Row],[t '[mm']]]/1000),"")</f>
        <v>116.1124031007752</v>
      </c>
      <c r="CB86" s="68" t="str">
        <f>IFERROR((TOWER_DATA[[#This Row],[D, bottom '[m']]]+#REF!)/(2*#REF!/1000),"")</f>
        <v/>
      </c>
      <c r="CG86" s="67">
        <v>62</v>
      </c>
      <c r="CH86" s="67">
        <v>30.022000000000002</v>
      </c>
      <c r="CI86" s="67">
        <v>27.097000000000001</v>
      </c>
      <c r="CJ86">
        <v>7.4785000000000004</v>
      </c>
      <c r="CK86" s="67">
        <v>7.5</v>
      </c>
      <c r="CL86">
        <v>64.5</v>
      </c>
    </row>
    <row r="87" spans="8:90" x14ac:dyDescent="0.3">
      <c r="H87" s="68" t="str">
        <f>IFERROR(MP_DATA[[#This Row],[Bottom '[m']]]-MP_DATA[[#This Row],[D, top '[m']]], "")</f>
        <v/>
      </c>
      <c r="I87" s="68" t="str">
        <f>IFERROR(-(MP_DATA[[#This Row],[D, bottom '[m']]]-MP_DATA[[#This Row],[D, top '[m']]])/(MP_DATA[[#This Row],[Bottom '[m']]]-MP_DATA[[#This Row],[Top '[m']]]),"")</f>
        <v/>
      </c>
      <c r="J87" s="68" t="str">
        <f t="shared" si="3"/>
        <v/>
      </c>
      <c r="K87" s="68" t="str">
        <f>IFERROR((MP_DATA[[#This Row],[D, bottom '[m']]]+MP_DATA[[#This Row],[D, top '[m']]])/(2*MP_DATA[[#This Row],[t '[mm']]]/1000),"")</f>
        <v/>
      </c>
      <c r="L87" s="68" t="str">
        <f>IFERROR((MP_DATA[[#This Row],[D, bottom '[m']]]+#REF!)/(2*#REF!/1000),"")</f>
        <v/>
      </c>
      <c r="AP87" s="68" t="str">
        <f>IFERROR(TP_DATA[[#This Row],[Bottom '[m']]]-TP_DATA[[#This Row],[D, top '[m']]], "")</f>
        <v/>
      </c>
      <c r="AQ87" s="68" t="str">
        <f>IFERROR(-(TP_DATA[[#This Row],[D, bottom '[m']]]-TP_DATA[[#This Row],[D, top '[m']]])/(TP_DATA[[#This Row],[Bottom '[m']]]-TP_DATA[[#This Row],[Top '[m']]]),"")</f>
        <v/>
      </c>
      <c r="AR87" s="68" t="str">
        <f t="shared" si="1"/>
        <v/>
      </c>
      <c r="AS87" s="68" t="str">
        <f>IFERROR((TP_DATA[[#This Row],[D, bottom '[m']]]+TP_DATA[[#This Row],[D, top '[m']]])/(2*TP_DATA[[#This Row],[t '[mm']]]/1000),"")</f>
        <v/>
      </c>
      <c r="AT87" s="68" t="str">
        <f>IFERROR((TP_DATA[[#This Row],[D, bottom '[m']]]+#REF!)/(2*#REF!/1000),"")</f>
        <v/>
      </c>
      <c r="BR87">
        <v>63</v>
      </c>
      <c r="BS87">
        <v>27.097000000000001</v>
      </c>
      <c r="BT87">
        <v>25.021000000000001</v>
      </c>
      <c r="BU87">
        <v>7.5</v>
      </c>
      <c r="BV87">
        <v>7.5</v>
      </c>
      <c r="BW87">
        <v>64.5</v>
      </c>
      <c r="BX87" s="68">
        <f>IFERROR(TOWER_DATA[[#This Row],[Bottom '[m']]]-TOWER_DATA[[#This Row],[D, top '[m']]], "")</f>
        <v>17.521000000000001</v>
      </c>
      <c r="BY87" s="68">
        <f>IFERROR(-(TOWER_DATA[[#This Row],[D, bottom '[m']]]-TOWER_DATA[[#This Row],[D, top '[m']]])/(TOWER_DATA[[#This Row],[Bottom '[m']]]-TOWER_DATA[[#This Row],[Top '[m']]]),"")</f>
        <v>0</v>
      </c>
      <c r="BZ87" s="68">
        <f t="shared" si="2"/>
        <v>24.553690158832335</v>
      </c>
      <c r="CA87" s="68">
        <f>IFERROR((TOWER_DATA[[#This Row],[D, bottom '[m']]]+TOWER_DATA[[#This Row],[D, top '[m']]])/(2*TOWER_DATA[[#This Row],[t '[mm']]]/1000),"")</f>
        <v>116.27906976744185</v>
      </c>
      <c r="CB87" s="68" t="str">
        <f>IFERROR((TOWER_DATA[[#This Row],[D, bottom '[m']]]+#REF!)/(2*#REF!/1000),"")</f>
        <v/>
      </c>
      <c r="CG87" s="67">
        <v>63</v>
      </c>
      <c r="CH87" s="67">
        <v>27.097000000000001</v>
      </c>
      <c r="CI87" s="67">
        <v>25.021000000000001</v>
      </c>
      <c r="CJ87">
        <v>7.5</v>
      </c>
      <c r="CK87" s="67">
        <v>7.5</v>
      </c>
      <c r="CL87">
        <v>64.5</v>
      </c>
    </row>
    <row r="88" spans="8:90" x14ac:dyDescent="0.3">
      <c r="H88" s="68" t="str">
        <f>IFERROR(MP_DATA[[#This Row],[Bottom '[m']]]-MP_DATA[[#This Row],[D, top '[m']]], "")</f>
        <v/>
      </c>
      <c r="I88" s="68" t="str">
        <f>IFERROR(-(MP_DATA[[#This Row],[D, bottom '[m']]]-MP_DATA[[#This Row],[D, top '[m']]])/(MP_DATA[[#This Row],[Bottom '[m']]]-MP_DATA[[#This Row],[Top '[m']]]),"")</f>
        <v/>
      </c>
      <c r="J88" s="68" t="str">
        <f t="shared" si="3"/>
        <v/>
      </c>
      <c r="K88" s="68" t="str">
        <f>IFERROR((MP_DATA[[#This Row],[D, bottom '[m']]]+MP_DATA[[#This Row],[D, top '[m']]])/(2*MP_DATA[[#This Row],[t '[mm']]]/1000),"")</f>
        <v/>
      </c>
      <c r="L88" s="68" t="str">
        <f>IFERROR((MP_DATA[[#This Row],[D, bottom '[m']]]+#REF!)/(2*#REF!/1000),"")</f>
        <v/>
      </c>
      <c r="AP88" s="68" t="str">
        <f>IFERROR(TP_DATA[[#This Row],[Bottom '[m']]]-TP_DATA[[#This Row],[D, top '[m']]], "")</f>
        <v/>
      </c>
      <c r="AQ88" s="68" t="str">
        <f>IFERROR(-(TP_DATA[[#This Row],[D, bottom '[m']]]-TP_DATA[[#This Row],[D, top '[m']]])/(TP_DATA[[#This Row],[Bottom '[m']]]-TP_DATA[[#This Row],[Top '[m']]]),"")</f>
        <v/>
      </c>
      <c r="AR88" s="68" t="str">
        <f t="shared" si="1"/>
        <v/>
      </c>
      <c r="AS88" s="68" t="str">
        <f>IFERROR((TP_DATA[[#This Row],[D, bottom '[m']]]+TP_DATA[[#This Row],[D, top '[m']]])/(2*TP_DATA[[#This Row],[t '[mm']]]/1000),"")</f>
        <v/>
      </c>
      <c r="AT88" s="68" t="str">
        <f>IFERROR((TP_DATA[[#This Row],[D, bottom '[m']]]+#REF!)/(2*#REF!/1000),"")</f>
        <v/>
      </c>
      <c r="BR88">
        <v>64</v>
      </c>
      <c r="BS88">
        <v>25.021000000000001</v>
      </c>
      <c r="BT88">
        <v>22.495999999999999</v>
      </c>
      <c r="BU88">
        <v>7.5</v>
      </c>
      <c r="BV88">
        <v>7.5</v>
      </c>
      <c r="BW88">
        <v>64.5</v>
      </c>
      <c r="BX88" s="68">
        <f>IFERROR(TOWER_DATA[[#This Row],[Bottom '[m']]]-TOWER_DATA[[#This Row],[D, top '[m']]], "")</f>
        <v>14.995999999999999</v>
      </c>
      <c r="BY88" s="68">
        <f>IFERROR(-(TOWER_DATA[[#This Row],[D, bottom '[m']]]-TOWER_DATA[[#This Row],[D, top '[m']]])/(TOWER_DATA[[#This Row],[Bottom '[m']]]-TOWER_DATA[[#This Row],[Top '[m']]]),"")</f>
        <v>0</v>
      </c>
      <c r="BZ88" s="68">
        <f t="shared" si="2"/>
        <v>29.864194436922769</v>
      </c>
      <c r="CA88" s="68">
        <f>IFERROR((TOWER_DATA[[#This Row],[D, bottom '[m']]]+TOWER_DATA[[#This Row],[D, top '[m']]])/(2*TOWER_DATA[[#This Row],[t '[mm']]]/1000),"")</f>
        <v>116.27906976744185</v>
      </c>
      <c r="CB88" s="68" t="str">
        <f>IFERROR((TOWER_DATA[[#This Row],[D, bottom '[m']]]+#REF!)/(2*#REF!/1000),"")</f>
        <v/>
      </c>
      <c r="CG88" s="67">
        <v>64</v>
      </c>
      <c r="CH88" s="67">
        <v>25.021000000000001</v>
      </c>
      <c r="CI88" s="67">
        <v>22.495999999999999</v>
      </c>
      <c r="CJ88">
        <v>7.5</v>
      </c>
      <c r="CK88" s="67">
        <v>7.5</v>
      </c>
      <c r="CL88">
        <v>64.5</v>
      </c>
    </row>
    <row r="89" spans="8:90" x14ac:dyDescent="0.3">
      <c r="H89" s="68" t="str">
        <f>IFERROR(MP_DATA[[#This Row],[Bottom '[m']]]-MP_DATA[[#This Row],[D, top '[m']]], "")</f>
        <v/>
      </c>
      <c r="I89" s="68" t="str">
        <f>IFERROR(-(MP_DATA[[#This Row],[D, bottom '[m']]]-MP_DATA[[#This Row],[D, top '[m']]])/(MP_DATA[[#This Row],[Bottom '[m']]]-MP_DATA[[#This Row],[Top '[m']]]),"")</f>
        <v/>
      </c>
      <c r="J89" s="68" t="str">
        <f t="shared" ref="J89:J120" si="4">IF(7850/1000*(1/3)*PI()*ABS(C89-D89)*((E89/2)^2+(E89/2)*(F89/2)+(F89/2)^2-(E89/2-G89/1000)^2-(E89/2-G89/1000)*(F89/2-G89/1000)-(F89/2-G89/1000)^2)=0,"",7850/1000*(1/3)*PI()*ABS(C89-D89)*((E89/2)^2+(E89/2)*(F89/2)+(F89/2)^2-(E89/2-G89/1000)^2-(E89/2-G89/1000)*(F89/2-G89/1000)-(F89/2-G89/1000)^2))</f>
        <v/>
      </c>
      <c r="K89" s="68" t="str">
        <f>IFERROR((MP_DATA[[#This Row],[D, bottom '[m']]]+MP_DATA[[#This Row],[D, top '[m']]])/(2*MP_DATA[[#This Row],[t '[mm']]]/1000),"")</f>
        <v/>
      </c>
      <c r="L89" s="68" t="str">
        <f>IFERROR((MP_DATA[[#This Row],[D, bottom '[m']]]+#REF!)/(2*#REF!/1000),"")</f>
        <v/>
      </c>
      <c r="AP89" s="68" t="str">
        <f>IFERROR(TP_DATA[[#This Row],[Bottom '[m']]]-TP_DATA[[#This Row],[D, top '[m']]], "")</f>
        <v/>
      </c>
      <c r="AQ89" s="68" t="str">
        <f>IFERROR(-(TP_DATA[[#This Row],[D, bottom '[m']]]-TP_DATA[[#This Row],[D, top '[m']]])/(TP_DATA[[#This Row],[Bottom '[m']]]-TP_DATA[[#This Row],[Top '[m']]]),"")</f>
        <v/>
      </c>
      <c r="AR89" s="68" t="str">
        <f t="shared" ref="AR89:AR152" si="5">IF(7850/1000*(1/3)*PI()*ABS(AK89-AL89)*((AM89/2)^2+(AM89/2)*(AN89/2)+(AN89/2)^2-(AM89/2-AO89/1000)^2-(AM89/2-AO89/1000)*(AN89/2-AO89/1000)-(AN89/2-AO89/1000)^2)=0,"",7850/1000*(1/3)*PI()*ABS(AK89-AL89)*((AM89/2)^2+(AM89/2)*(AN89/2)+(AN89/2)^2-(AM89/2-AO89/1000)^2-(AM89/2-AO89/1000)*(AN89/2-AO89/1000)-(AN89/2-AO89/1000)^2))</f>
        <v/>
      </c>
      <c r="AS89" s="68" t="str">
        <f>IFERROR((TP_DATA[[#This Row],[D, bottom '[m']]]+TP_DATA[[#This Row],[D, top '[m']]])/(2*TP_DATA[[#This Row],[t '[mm']]]/1000),"")</f>
        <v/>
      </c>
      <c r="AT89" s="68" t="str">
        <f>IFERROR((TP_DATA[[#This Row],[D, bottom '[m']]]+#REF!)/(2*#REF!/1000),"")</f>
        <v/>
      </c>
      <c r="BR89">
        <v>65</v>
      </c>
      <c r="BS89">
        <v>22.495999999999999</v>
      </c>
      <c r="BT89">
        <v>22.097000000000001</v>
      </c>
      <c r="BU89">
        <v>7.5</v>
      </c>
      <c r="BV89">
        <v>7.5</v>
      </c>
      <c r="BW89">
        <v>64.5</v>
      </c>
      <c r="BX89" s="68">
        <f>IFERROR(TOWER_DATA[[#This Row],[Bottom '[m']]]-TOWER_DATA[[#This Row],[D, top '[m']]], "")</f>
        <v>14.597000000000001</v>
      </c>
      <c r="BY89" s="68">
        <f>IFERROR(-(TOWER_DATA[[#This Row],[D, bottom '[m']]]-TOWER_DATA[[#This Row],[D, top '[m']]])/(TOWER_DATA[[#This Row],[Bottom '[m']]]-TOWER_DATA[[#This Row],[Top '[m']]]),"")</f>
        <v>0</v>
      </c>
      <c r="BZ89" s="68">
        <f t="shared" ref="BZ89:BZ152" si="6">IF(7850/1000*(1/3)*PI()*ABS(BS89-BT89)*((BU89/2)^2+(BU89/2)*(BV89/2)+(BV89/2)^2-(BU89/2-BW89/1000)^2-(BU89/2-BW89/1000)*(BV89/2-BW89/1000)-(BV89/2-BW89/1000)^2)=0,"",7850/1000*(1/3)*PI()*ABS(BS89-BT89)*((BU89/2)^2+(BU89/2)*(BV89/2)+(BV89/2)^2-(BU89/2-BW89/1000)^2-(BU89/2-BW89/1000)*(BV89/2-BW89/1000)-(BV89/2-BW89/1000)^2))</f>
        <v>4.7191340912206332</v>
      </c>
      <c r="CA89" s="68">
        <f>IFERROR((TOWER_DATA[[#This Row],[D, bottom '[m']]]+TOWER_DATA[[#This Row],[D, top '[m']]])/(2*TOWER_DATA[[#This Row],[t '[mm']]]/1000),"")</f>
        <v>116.27906976744185</v>
      </c>
      <c r="CB89" s="68" t="str">
        <f>IFERROR((TOWER_DATA[[#This Row],[D, bottom '[m']]]+#REF!)/(2*#REF!/1000),"")</f>
        <v/>
      </c>
      <c r="CG89" s="67">
        <v>65</v>
      </c>
      <c r="CH89" s="67">
        <v>22.495999999999999</v>
      </c>
      <c r="CI89" s="67">
        <v>22.097000000000001</v>
      </c>
      <c r="CJ89">
        <v>7.5</v>
      </c>
      <c r="CK89" s="67">
        <v>7.5</v>
      </c>
      <c r="CL89">
        <v>64.5</v>
      </c>
    </row>
    <row r="90" spans="8:90" x14ac:dyDescent="0.3">
      <c r="H90" s="68" t="str">
        <f>IFERROR(MP_DATA[[#This Row],[Bottom '[m']]]-MP_DATA[[#This Row],[D, top '[m']]], "")</f>
        <v/>
      </c>
      <c r="I90" s="68" t="str">
        <f>IFERROR(-(MP_DATA[[#This Row],[D, bottom '[m']]]-MP_DATA[[#This Row],[D, top '[m']]])/(MP_DATA[[#This Row],[Bottom '[m']]]-MP_DATA[[#This Row],[Top '[m']]]),"")</f>
        <v/>
      </c>
      <c r="J90" s="68" t="str">
        <f t="shared" si="4"/>
        <v/>
      </c>
      <c r="K90" s="68" t="str">
        <f>IFERROR((MP_DATA[[#This Row],[D, bottom '[m']]]+MP_DATA[[#This Row],[D, top '[m']]])/(2*MP_DATA[[#This Row],[t '[mm']]]/1000),"")</f>
        <v/>
      </c>
      <c r="L90" s="68" t="str">
        <f>IFERROR((MP_DATA[[#This Row],[D, bottom '[m']]]+#REF!)/(2*#REF!/1000),"")</f>
        <v/>
      </c>
      <c r="AP90" s="68" t="str">
        <f>IFERROR(TP_DATA[[#This Row],[Bottom '[m']]]-TP_DATA[[#This Row],[D, top '[m']]], "")</f>
        <v/>
      </c>
      <c r="AQ90" s="68" t="str">
        <f>IFERROR(-(TP_DATA[[#This Row],[D, bottom '[m']]]-TP_DATA[[#This Row],[D, top '[m']]])/(TP_DATA[[#This Row],[Bottom '[m']]]-TP_DATA[[#This Row],[Top '[m']]]),"")</f>
        <v/>
      </c>
      <c r="AR90" s="68" t="str">
        <f t="shared" si="5"/>
        <v/>
      </c>
      <c r="AS90" s="68" t="str">
        <f>IFERROR((TP_DATA[[#This Row],[D, bottom '[m']]]+TP_DATA[[#This Row],[D, top '[m']]])/(2*TP_DATA[[#This Row],[t '[mm']]]/1000),"")</f>
        <v/>
      </c>
      <c r="AT90" s="68" t="str">
        <f>IFERROR((TP_DATA[[#This Row],[D, bottom '[m']]]+#REF!)/(2*#REF!/1000),"")</f>
        <v/>
      </c>
      <c r="BR90">
        <v>66</v>
      </c>
      <c r="BS90">
        <v>22.097000000000001</v>
      </c>
      <c r="BT90">
        <v>20.71</v>
      </c>
      <c r="BU90">
        <v>7.5</v>
      </c>
      <c r="BV90">
        <v>7.5</v>
      </c>
      <c r="BW90">
        <v>64.5</v>
      </c>
      <c r="BX90" s="68">
        <f>IFERROR(TOWER_DATA[[#This Row],[Bottom '[m']]]-TOWER_DATA[[#This Row],[D, top '[m']]], "")</f>
        <v>13.21</v>
      </c>
      <c r="BY90" s="68">
        <f>IFERROR(-(TOWER_DATA[[#This Row],[D, bottom '[m']]]-TOWER_DATA[[#This Row],[D, top '[m']]])/(TOWER_DATA[[#This Row],[Bottom '[m']]]-TOWER_DATA[[#This Row],[Top '[m']]]),"")</f>
        <v>0</v>
      </c>
      <c r="BZ90" s="68">
        <f t="shared" si="6"/>
        <v>16.404608983767076</v>
      </c>
      <c r="CA90" s="68">
        <f>IFERROR((TOWER_DATA[[#This Row],[D, bottom '[m']]]+TOWER_DATA[[#This Row],[D, top '[m']]])/(2*TOWER_DATA[[#This Row],[t '[mm']]]/1000),"")</f>
        <v>116.27906976744185</v>
      </c>
      <c r="CB90" s="68" t="str">
        <f>IFERROR((TOWER_DATA[[#This Row],[D, bottom '[m']]]+#REF!)/(2*#REF!/1000),"")</f>
        <v/>
      </c>
      <c r="CG90" s="67">
        <v>66</v>
      </c>
      <c r="CH90" s="67">
        <v>22.097000000000001</v>
      </c>
      <c r="CI90" s="67">
        <v>20.71</v>
      </c>
      <c r="CJ90">
        <v>7.5</v>
      </c>
      <c r="CK90" s="67">
        <v>7.5</v>
      </c>
      <c r="CL90">
        <v>64.5</v>
      </c>
    </row>
    <row r="91" spans="8:90" x14ac:dyDescent="0.3">
      <c r="H91" s="68" t="str">
        <f>IFERROR(MP_DATA[[#This Row],[Bottom '[m']]]-MP_DATA[[#This Row],[D, top '[m']]], "")</f>
        <v/>
      </c>
      <c r="I91" s="68" t="str">
        <f>IFERROR(-(MP_DATA[[#This Row],[D, bottom '[m']]]-MP_DATA[[#This Row],[D, top '[m']]])/(MP_DATA[[#This Row],[Bottom '[m']]]-MP_DATA[[#This Row],[Top '[m']]]),"")</f>
        <v/>
      </c>
      <c r="J91" s="68" t="str">
        <f t="shared" si="4"/>
        <v/>
      </c>
      <c r="K91" s="68" t="str">
        <f>IFERROR((MP_DATA[[#This Row],[D, bottom '[m']]]+MP_DATA[[#This Row],[D, top '[m']]])/(2*MP_DATA[[#This Row],[t '[mm']]]/1000),"")</f>
        <v/>
      </c>
      <c r="L91" s="68" t="str">
        <f>IFERROR((MP_DATA[[#This Row],[D, bottom '[m']]]+#REF!)/(2*#REF!/1000),"")</f>
        <v/>
      </c>
      <c r="AP91" s="68" t="str">
        <f>IFERROR(TP_DATA[[#This Row],[Bottom '[m']]]-TP_DATA[[#This Row],[D, top '[m']]], "")</f>
        <v/>
      </c>
      <c r="AQ91" s="68" t="str">
        <f>IFERROR(-(TP_DATA[[#This Row],[D, bottom '[m']]]-TP_DATA[[#This Row],[D, top '[m']]])/(TP_DATA[[#This Row],[Bottom '[m']]]-TP_DATA[[#This Row],[Top '[m']]]),"")</f>
        <v/>
      </c>
      <c r="AR91" s="68" t="str">
        <f t="shared" si="5"/>
        <v/>
      </c>
      <c r="AS91" s="68" t="str">
        <f>IFERROR((TP_DATA[[#This Row],[D, bottom '[m']]]+TP_DATA[[#This Row],[D, top '[m']]])/(2*TP_DATA[[#This Row],[t '[mm']]]/1000),"")</f>
        <v/>
      </c>
      <c r="AT91" s="68" t="str">
        <f>IFERROR((TP_DATA[[#This Row],[D, bottom '[m']]]+#REF!)/(2*#REF!/1000),"")</f>
        <v/>
      </c>
      <c r="BR91">
        <v>67</v>
      </c>
      <c r="BS91">
        <v>20.71</v>
      </c>
      <c r="BT91">
        <v>20.655000000000001</v>
      </c>
      <c r="BU91">
        <v>7.5</v>
      </c>
      <c r="BV91">
        <v>7.5</v>
      </c>
      <c r="BW91">
        <v>64.5</v>
      </c>
      <c r="BX91" s="68">
        <f>IFERROR(TOWER_DATA[[#This Row],[Bottom '[m']]]-TOWER_DATA[[#This Row],[D, top '[m']]], "")</f>
        <v>13.155000000000001</v>
      </c>
      <c r="BY91" s="68">
        <f>IFERROR(-(TOWER_DATA[[#This Row],[D, bottom '[m']]]-TOWER_DATA[[#This Row],[D, top '[m']]])/(TOWER_DATA[[#This Row],[Bottom '[m']]]-TOWER_DATA[[#This Row],[Top '[m']]]),"")</f>
        <v>0</v>
      </c>
      <c r="BZ91" s="68">
        <f t="shared" si="6"/>
        <v>0.65050720555672981</v>
      </c>
      <c r="CA91" s="68">
        <f>IFERROR((TOWER_DATA[[#This Row],[D, bottom '[m']]]+TOWER_DATA[[#This Row],[D, top '[m']]])/(2*TOWER_DATA[[#This Row],[t '[mm']]]/1000),"")</f>
        <v>116.27906976744185</v>
      </c>
      <c r="CB91" s="68" t="str">
        <f>IFERROR((TOWER_DATA[[#This Row],[D, bottom '[m']]]+#REF!)/(2*#REF!/1000),"")</f>
        <v/>
      </c>
      <c r="CG91" s="67">
        <v>67</v>
      </c>
      <c r="CH91" s="67">
        <v>20.71</v>
      </c>
      <c r="CI91" s="67">
        <v>20.655000000000001</v>
      </c>
      <c r="CJ91">
        <v>7.5</v>
      </c>
      <c r="CK91" s="67">
        <v>7.5</v>
      </c>
      <c r="CL91">
        <v>64.5</v>
      </c>
    </row>
    <row r="92" spans="8:90" x14ac:dyDescent="0.3">
      <c r="H92" s="68" t="str">
        <f>IFERROR(MP_DATA[[#This Row],[Bottom '[m']]]-MP_DATA[[#This Row],[D, top '[m']]], "")</f>
        <v/>
      </c>
      <c r="I92" s="68" t="str">
        <f>IFERROR(-(MP_DATA[[#This Row],[D, bottom '[m']]]-MP_DATA[[#This Row],[D, top '[m']]])/(MP_DATA[[#This Row],[Bottom '[m']]]-MP_DATA[[#This Row],[Top '[m']]]),"")</f>
        <v/>
      </c>
      <c r="J92" s="68" t="str">
        <f t="shared" si="4"/>
        <v/>
      </c>
      <c r="K92" s="68" t="str">
        <f>IFERROR((MP_DATA[[#This Row],[D, bottom '[m']]]+MP_DATA[[#This Row],[D, top '[m']]])/(2*MP_DATA[[#This Row],[t '[mm']]]/1000),"")</f>
        <v/>
      </c>
      <c r="L92" s="68" t="str">
        <f>IFERROR((MP_DATA[[#This Row],[D, bottom '[m']]]+#REF!)/(2*#REF!/1000),"")</f>
        <v/>
      </c>
      <c r="AP92" s="68" t="str">
        <f>IFERROR(TP_DATA[[#This Row],[Bottom '[m']]]-TP_DATA[[#This Row],[D, top '[m']]], "")</f>
        <v/>
      </c>
      <c r="AQ92" s="68" t="str">
        <f>IFERROR(-(TP_DATA[[#This Row],[D, bottom '[m']]]-TP_DATA[[#This Row],[D, top '[m']]])/(TP_DATA[[#This Row],[Bottom '[m']]]-TP_DATA[[#This Row],[Top '[m']]]),"")</f>
        <v/>
      </c>
      <c r="AR92" s="68" t="str">
        <f t="shared" si="5"/>
        <v/>
      </c>
      <c r="AS92" s="68" t="str">
        <f>IFERROR((TP_DATA[[#This Row],[D, bottom '[m']]]+TP_DATA[[#This Row],[D, top '[m']]])/(2*TP_DATA[[#This Row],[t '[mm']]]/1000),"")</f>
        <v/>
      </c>
      <c r="AT92" s="68" t="str">
        <f>IFERROR((TP_DATA[[#This Row],[D, bottom '[m']]]+#REF!)/(2*#REF!/1000),"")</f>
        <v/>
      </c>
      <c r="BR92">
        <v>68</v>
      </c>
      <c r="BS92">
        <v>20.655000000000001</v>
      </c>
      <c r="BT92">
        <v>20.5</v>
      </c>
      <c r="BU92">
        <v>7.5</v>
      </c>
      <c r="BV92">
        <v>7.5</v>
      </c>
      <c r="BW92">
        <v>64.5</v>
      </c>
      <c r="BX92" s="68">
        <f>IFERROR(TOWER_DATA[[#This Row],[Bottom '[m']]]-TOWER_DATA[[#This Row],[D, top '[m']]], "")</f>
        <v>13</v>
      </c>
      <c r="BY92" s="68">
        <f>IFERROR(-(TOWER_DATA[[#This Row],[D, bottom '[m']]]-TOWER_DATA[[#This Row],[D, top '[m']]])/(TOWER_DATA[[#This Row],[Bottom '[m']]]-TOWER_DATA[[#This Row],[Top '[m']]]),"")</f>
        <v>0</v>
      </c>
      <c r="BZ92" s="68">
        <f t="shared" si="6"/>
        <v>1.8332475792962613</v>
      </c>
      <c r="CA92" s="68">
        <f>IFERROR((TOWER_DATA[[#This Row],[D, bottom '[m']]]+TOWER_DATA[[#This Row],[D, top '[m']]])/(2*TOWER_DATA[[#This Row],[t '[mm']]]/1000),"")</f>
        <v>116.27906976744185</v>
      </c>
      <c r="CB92" s="68" t="str">
        <f>IFERROR((TOWER_DATA[[#This Row],[D, bottom '[m']]]+#REF!)/(2*#REF!/1000),"")</f>
        <v/>
      </c>
      <c r="CG92" s="67">
        <v>68</v>
      </c>
      <c r="CH92" s="67">
        <v>20.655000000000001</v>
      </c>
      <c r="CI92" s="67">
        <v>20.5</v>
      </c>
      <c r="CJ92">
        <v>7.5</v>
      </c>
      <c r="CK92" s="67">
        <v>7.5</v>
      </c>
      <c r="CL92">
        <v>64.5</v>
      </c>
    </row>
    <row r="93" spans="8:90" x14ac:dyDescent="0.3">
      <c r="H93" s="68" t="str">
        <f>IFERROR(MP_DATA[[#This Row],[Bottom '[m']]]-MP_DATA[[#This Row],[D, top '[m']]], "")</f>
        <v/>
      </c>
      <c r="I93" s="68" t="str">
        <f>IFERROR(-(MP_DATA[[#This Row],[D, bottom '[m']]]-MP_DATA[[#This Row],[D, top '[m']]])/(MP_DATA[[#This Row],[Bottom '[m']]]-MP_DATA[[#This Row],[Top '[m']]]),"")</f>
        <v/>
      </c>
      <c r="J93" s="68" t="str">
        <f t="shared" si="4"/>
        <v/>
      </c>
      <c r="K93" s="68" t="str">
        <f>IFERROR((MP_DATA[[#This Row],[D, bottom '[m']]]+MP_DATA[[#This Row],[D, top '[m']]])/(2*MP_DATA[[#This Row],[t '[mm']]]/1000),"")</f>
        <v/>
      </c>
      <c r="L93" s="68" t="str">
        <f>IFERROR((MP_DATA[[#This Row],[D, bottom '[m']]]+#REF!)/(2*#REF!/1000),"")</f>
        <v/>
      </c>
      <c r="AP93" s="68" t="str">
        <f>IFERROR(TP_DATA[[#This Row],[Bottom '[m']]]-TP_DATA[[#This Row],[D, top '[m']]], "")</f>
        <v/>
      </c>
      <c r="AQ93" s="68" t="str">
        <f>IFERROR(-(TP_DATA[[#This Row],[D, bottom '[m']]]-TP_DATA[[#This Row],[D, top '[m']]])/(TP_DATA[[#This Row],[Bottom '[m']]]-TP_DATA[[#This Row],[Top '[m']]]),"")</f>
        <v/>
      </c>
      <c r="AR93" s="68" t="str">
        <f t="shared" si="5"/>
        <v/>
      </c>
      <c r="AS93" s="68" t="str">
        <f>IFERROR((TP_DATA[[#This Row],[D, bottom '[m']]]+TP_DATA[[#This Row],[D, top '[m']]])/(2*TP_DATA[[#This Row],[t '[mm']]]/1000),"")</f>
        <v/>
      </c>
      <c r="AT93" s="68" t="str">
        <f>IFERROR((TP_DATA[[#This Row],[D, bottom '[m']]]+#REF!)/(2*#REF!/1000),"")</f>
        <v/>
      </c>
      <c r="BX93" s="68" t="str">
        <f>IFERROR(TOWER_DATA[[#This Row],[Bottom '[m']]]-TOWER_DATA[[#This Row],[D, top '[m']]], "")</f>
        <v/>
      </c>
      <c r="BY93" s="68" t="str">
        <f>IFERROR(-(TOWER_DATA[[#This Row],[D, bottom '[m']]]-TOWER_DATA[[#This Row],[D, top '[m']]])/(TOWER_DATA[[#This Row],[Bottom '[m']]]-TOWER_DATA[[#This Row],[Top '[m']]]),"")</f>
        <v/>
      </c>
      <c r="BZ93" s="68" t="str">
        <f t="shared" si="6"/>
        <v/>
      </c>
      <c r="CA93" s="68" t="str">
        <f>IFERROR((TOWER_DATA[[#This Row],[D, bottom '[m']]]+TOWER_DATA[[#This Row],[D, top '[m']]])/(2*TOWER_DATA[[#This Row],[t '[mm']]]/1000),"")</f>
        <v/>
      </c>
      <c r="CB93" s="68" t="str">
        <f>IFERROR((TOWER_DATA[[#This Row],[D, bottom '[m']]]+#REF!)/(2*#REF!/1000),"")</f>
        <v/>
      </c>
    </row>
    <row r="94" spans="8:90" x14ac:dyDescent="0.3">
      <c r="H94" s="68" t="str">
        <f>IFERROR(MP_DATA[[#This Row],[Bottom '[m']]]-MP_DATA[[#This Row],[D, top '[m']]], "")</f>
        <v/>
      </c>
      <c r="I94" s="68" t="str">
        <f>IFERROR(-(MP_DATA[[#This Row],[D, bottom '[m']]]-MP_DATA[[#This Row],[D, top '[m']]])/(MP_DATA[[#This Row],[Bottom '[m']]]-MP_DATA[[#This Row],[Top '[m']]]),"")</f>
        <v/>
      </c>
      <c r="J94" s="68" t="str">
        <f t="shared" si="4"/>
        <v/>
      </c>
      <c r="K94" s="68" t="str">
        <f>IFERROR((MP_DATA[[#This Row],[D, bottom '[m']]]+MP_DATA[[#This Row],[D, top '[m']]])/(2*MP_DATA[[#This Row],[t '[mm']]]/1000),"")</f>
        <v/>
      </c>
      <c r="L94" s="68" t="str">
        <f>IFERROR((MP_DATA[[#This Row],[D, bottom '[m']]]+#REF!)/(2*#REF!/1000),"")</f>
        <v/>
      </c>
      <c r="AP94" s="68" t="str">
        <f>IFERROR(TP_DATA[[#This Row],[Bottom '[m']]]-TP_DATA[[#This Row],[D, top '[m']]], "")</f>
        <v/>
      </c>
      <c r="AQ94" s="68" t="str">
        <f>IFERROR(-(TP_DATA[[#This Row],[D, bottom '[m']]]-TP_DATA[[#This Row],[D, top '[m']]])/(TP_DATA[[#This Row],[Bottom '[m']]]-TP_DATA[[#This Row],[Top '[m']]]),"")</f>
        <v/>
      </c>
      <c r="AR94" s="68" t="str">
        <f t="shared" si="5"/>
        <v/>
      </c>
      <c r="AS94" s="68" t="str">
        <f>IFERROR((TP_DATA[[#This Row],[D, bottom '[m']]]+TP_DATA[[#This Row],[D, top '[m']]])/(2*TP_DATA[[#This Row],[t '[mm']]]/1000),"")</f>
        <v/>
      </c>
      <c r="AT94" s="68" t="str">
        <f>IFERROR((TP_DATA[[#This Row],[D, bottom '[m']]]+#REF!)/(2*#REF!/1000),"")</f>
        <v/>
      </c>
      <c r="BX94" s="68" t="str">
        <f>IFERROR(TOWER_DATA[[#This Row],[Bottom '[m']]]-TOWER_DATA[[#This Row],[D, top '[m']]], "")</f>
        <v/>
      </c>
      <c r="BY94" s="68" t="str">
        <f>IFERROR(-(TOWER_DATA[[#This Row],[D, bottom '[m']]]-TOWER_DATA[[#This Row],[D, top '[m']]])/(TOWER_DATA[[#This Row],[Bottom '[m']]]-TOWER_DATA[[#This Row],[Top '[m']]]),"")</f>
        <v/>
      </c>
      <c r="BZ94" s="68" t="str">
        <f t="shared" si="6"/>
        <v/>
      </c>
      <c r="CA94" s="68" t="str">
        <f>IFERROR((TOWER_DATA[[#This Row],[D, bottom '[m']]]+TOWER_DATA[[#This Row],[D, top '[m']]])/(2*TOWER_DATA[[#This Row],[t '[mm']]]/1000),"")</f>
        <v/>
      </c>
      <c r="CB94" s="68" t="str">
        <f>IFERROR((TOWER_DATA[[#This Row],[D, bottom '[m']]]+#REF!)/(2*#REF!/1000),"")</f>
        <v/>
      </c>
    </row>
    <row r="95" spans="8:90" x14ac:dyDescent="0.3">
      <c r="H95" s="68" t="str">
        <f>IFERROR(MP_DATA[[#This Row],[Bottom '[m']]]-MP_DATA[[#This Row],[D, top '[m']]], "")</f>
        <v/>
      </c>
      <c r="I95" s="68" t="str">
        <f>IFERROR(-(MP_DATA[[#This Row],[D, bottom '[m']]]-MP_DATA[[#This Row],[D, top '[m']]])/(MP_DATA[[#This Row],[Bottom '[m']]]-MP_DATA[[#This Row],[Top '[m']]]),"")</f>
        <v/>
      </c>
      <c r="J95" s="68" t="str">
        <f t="shared" si="4"/>
        <v/>
      </c>
      <c r="K95" s="68" t="str">
        <f>IFERROR((MP_DATA[[#This Row],[D, bottom '[m']]]+MP_DATA[[#This Row],[D, top '[m']]])/(2*MP_DATA[[#This Row],[t '[mm']]]/1000),"")</f>
        <v/>
      </c>
      <c r="L95" s="68" t="str">
        <f>IFERROR((MP_DATA[[#This Row],[D, bottom '[m']]]+#REF!)/(2*#REF!/1000),"")</f>
        <v/>
      </c>
      <c r="AP95" s="68" t="str">
        <f>IFERROR(TP_DATA[[#This Row],[Bottom '[m']]]-TP_DATA[[#This Row],[D, top '[m']]], "")</f>
        <v/>
      </c>
      <c r="AQ95" s="68" t="str">
        <f>IFERROR(-(TP_DATA[[#This Row],[D, bottom '[m']]]-TP_DATA[[#This Row],[D, top '[m']]])/(TP_DATA[[#This Row],[Bottom '[m']]]-TP_DATA[[#This Row],[Top '[m']]]),"")</f>
        <v/>
      </c>
      <c r="AR95" s="68" t="str">
        <f t="shared" si="5"/>
        <v/>
      </c>
      <c r="AS95" s="68" t="str">
        <f>IFERROR((TP_DATA[[#This Row],[D, bottom '[m']]]+TP_DATA[[#This Row],[D, top '[m']]])/(2*TP_DATA[[#This Row],[t '[mm']]]/1000),"")</f>
        <v/>
      </c>
      <c r="AT95" s="68" t="str">
        <f>IFERROR((TP_DATA[[#This Row],[D, bottom '[m']]]+#REF!)/(2*#REF!/1000),"")</f>
        <v/>
      </c>
      <c r="BX95" s="68" t="str">
        <f>IFERROR(TOWER_DATA[[#This Row],[Bottom '[m']]]-TOWER_DATA[[#This Row],[D, top '[m']]], "")</f>
        <v/>
      </c>
      <c r="BY95" s="68" t="str">
        <f>IFERROR(-(TOWER_DATA[[#This Row],[D, bottom '[m']]]-TOWER_DATA[[#This Row],[D, top '[m']]])/(TOWER_DATA[[#This Row],[Bottom '[m']]]-TOWER_DATA[[#This Row],[Top '[m']]]),"")</f>
        <v/>
      </c>
      <c r="BZ95" s="68" t="str">
        <f t="shared" si="6"/>
        <v/>
      </c>
      <c r="CA95" s="68" t="str">
        <f>IFERROR((TOWER_DATA[[#This Row],[D, bottom '[m']]]+TOWER_DATA[[#This Row],[D, top '[m']]])/(2*TOWER_DATA[[#This Row],[t '[mm']]]/1000),"")</f>
        <v/>
      </c>
      <c r="CB95" s="68" t="str">
        <f>IFERROR((TOWER_DATA[[#This Row],[D, bottom '[m']]]+#REF!)/(2*#REF!/1000),"")</f>
        <v/>
      </c>
    </row>
    <row r="96" spans="8:90" x14ac:dyDescent="0.3">
      <c r="H96" s="68" t="str">
        <f>IFERROR(MP_DATA[[#This Row],[Bottom '[m']]]-MP_DATA[[#This Row],[D, top '[m']]], "")</f>
        <v/>
      </c>
      <c r="I96" s="68" t="str">
        <f>IFERROR(-(MP_DATA[[#This Row],[D, bottom '[m']]]-MP_DATA[[#This Row],[D, top '[m']]])/(MP_DATA[[#This Row],[Bottom '[m']]]-MP_DATA[[#This Row],[Top '[m']]]),"")</f>
        <v/>
      </c>
      <c r="J96" s="68" t="str">
        <f t="shared" si="4"/>
        <v/>
      </c>
      <c r="K96" s="68" t="str">
        <f>IFERROR((MP_DATA[[#This Row],[D, bottom '[m']]]+MP_DATA[[#This Row],[D, top '[m']]])/(2*MP_DATA[[#This Row],[t '[mm']]]/1000),"")</f>
        <v/>
      </c>
      <c r="L96" s="68" t="str">
        <f>IFERROR((MP_DATA[[#This Row],[D, bottom '[m']]]+#REF!)/(2*#REF!/1000),"")</f>
        <v/>
      </c>
      <c r="AP96" s="68" t="str">
        <f>IFERROR(TP_DATA[[#This Row],[Bottom '[m']]]-TP_DATA[[#This Row],[D, top '[m']]], "")</f>
        <v/>
      </c>
      <c r="AQ96" s="68" t="str">
        <f>IFERROR(-(TP_DATA[[#This Row],[D, bottom '[m']]]-TP_DATA[[#This Row],[D, top '[m']]])/(TP_DATA[[#This Row],[Bottom '[m']]]-TP_DATA[[#This Row],[Top '[m']]]),"")</f>
        <v/>
      </c>
      <c r="AR96" s="68" t="str">
        <f t="shared" si="5"/>
        <v/>
      </c>
      <c r="AS96" s="68" t="str">
        <f>IFERROR((TP_DATA[[#This Row],[D, bottom '[m']]]+TP_DATA[[#This Row],[D, top '[m']]])/(2*TP_DATA[[#This Row],[t '[mm']]]/1000),"")</f>
        <v/>
      </c>
      <c r="AT96" s="68" t="str">
        <f>IFERROR((TP_DATA[[#This Row],[D, bottom '[m']]]+#REF!)/(2*#REF!/1000),"")</f>
        <v/>
      </c>
      <c r="BX96" s="68" t="str">
        <f>IFERROR(TOWER_DATA[[#This Row],[Bottom '[m']]]-TOWER_DATA[[#This Row],[D, top '[m']]], "")</f>
        <v/>
      </c>
      <c r="BY96" s="68" t="str">
        <f>IFERROR(-(TOWER_DATA[[#This Row],[D, bottom '[m']]]-TOWER_DATA[[#This Row],[D, top '[m']]])/(TOWER_DATA[[#This Row],[Bottom '[m']]]-TOWER_DATA[[#This Row],[Top '[m']]]),"")</f>
        <v/>
      </c>
      <c r="BZ96" s="68" t="str">
        <f t="shared" si="6"/>
        <v/>
      </c>
      <c r="CA96" s="68" t="str">
        <f>IFERROR((TOWER_DATA[[#This Row],[D, bottom '[m']]]+TOWER_DATA[[#This Row],[D, top '[m']]])/(2*TOWER_DATA[[#This Row],[t '[mm']]]/1000),"")</f>
        <v/>
      </c>
      <c r="CB96" s="68" t="str">
        <f>IFERROR((TOWER_DATA[[#This Row],[D, bottom '[m']]]+#REF!)/(2*#REF!/1000),"")</f>
        <v/>
      </c>
    </row>
    <row r="97" spans="8:80" x14ac:dyDescent="0.3">
      <c r="H97" s="68" t="str">
        <f>IFERROR(MP_DATA[[#This Row],[Bottom '[m']]]-MP_DATA[[#This Row],[D, top '[m']]], "")</f>
        <v/>
      </c>
      <c r="I97" s="68" t="str">
        <f>IFERROR(-(MP_DATA[[#This Row],[D, bottom '[m']]]-MP_DATA[[#This Row],[D, top '[m']]])/(MP_DATA[[#This Row],[Bottom '[m']]]-MP_DATA[[#This Row],[Top '[m']]]),"")</f>
        <v/>
      </c>
      <c r="J97" s="68" t="str">
        <f t="shared" si="4"/>
        <v/>
      </c>
      <c r="K97" s="68" t="str">
        <f>IFERROR((MP_DATA[[#This Row],[D, bottom '[m']]]+MP_DATA[[#This Row],[D, top '[m']]])/(2*MP_DATA[[#This Row],[t '[mm']]]/1000),"")</f>
        <v/>
      </c>
      <c r="L97" s="68" t="str">
        <f>IFERROR((MP_DATA[[#This Row],[D, bottom '[m']]]+#REF!)/(2*#REF!/1000),"")</f>
        <v/>
      </c>
      <c r="AP97" s="68" t="str">
        <f>IFERROR(TP_DATA[[#This Row],[Bottom '[m']]]-TP_DATA[[#This Row],[D, top '[m']]], "")</f>
        <v/>
      </c>
      <c r="AQ97" s="68" t="str">
        <f>IFERROR(-(TP_DATA[[#This Row],[D, bottom '[m']]]-TP_DATA[[#This Row],[D, top '[m']]])/(TP_DATA[[#This Row],[Bottom '[m']]]-TP_DATA[[#This Row],[Top '[m']]]),"")</f>
        <v/>
      </c>
      <c r="AR97" s="68" t="str">
        <f t="shared" si="5"/>
        <v/>
      </c>
      <c r="AS97" s="68" t="str">
        <f>IFERROR((TP_DATA[[#This Row],[D, bottom '[m']]]+TP_DATA[[#This Row],[D, top '[m']]])/(2*TP_DATA[[#This Row],[t '[mm']]]/1000),"")</f>
        <v/>
      </c>
      <c r="AT97" s="68" t="str">
        <f>IFERROR((TP_DATA[[#This Row],[D, bottom '[m']]]+#REF!)/(2*#REF!/1000),"")</f>
        <v/>
      </c>
      <c r="BX97" s="68" t="str">
        <f>IFERROR(TOWER_DATA[[#This Row],[Bottom '[m']]]-TOWER_DATA[[#This Row],[D, top '[m']]], "")</f>
        <v/>
      </c>
      <c r="BY97" s="68" t="str">
        <f>IFERROR(-(TOWER_DATA[[#This Row],[D, bottom '[m']]]-TOWER_DATA[[#This Row],[D, top '[m']]])/(TOWER_DATA[[#This Row],[Bottom '[m']]]-TOWER_DATA[[#This Row],[Top '[m']]]),"")</f>
        <v/>
      </c>
      <c r="BZ97" s="68" t="str">
        <f t="shared" si="6"/>
        <v/>
      </c>
      <c r="CA97" s="68" t="str">
        <f>IFERROR((TOWER_DATA[[#This Row],[D, bottom '[m']]]+TOWER_DATA[[#This Row],[D, top '[m']]])/(2*TOWER_DATA[[#This Row],[t '[mm']]]/1000),"")</f>
        <v/>
      </c>
      <c r="CB97" s="68" t="str">
        <f>IFERROR((TOWER_DATA[[#This Row],[D, bottom '[m']]]+#REF!)/(2*#REF!/1000),"")</f>
        <v/>
      </c>
    </row>
    <row r="98" spans="8:80" x14ac:dyDescent="0.3">
      <c r="H98" s="68" t="str">
        <f>IFERROR(MP_DATA[[#This Row],[Bottom '[m']]]-MP_DATA[[#This Row],[D, top '[m']]], "")</f>
        <v/>
      </c>
      <c r="I98" s="68" t="str">
        <f>IFERROR(-(MP_DATA[[#This Row],[D, bottom '[m']]]-MP_DATA[[#This Row],[D, top '[m']]])/(MP_DATA[[#This Row],[Bottom '[m']]]-MP_DATA[[#This Row],[Top '[m']]]),"")</f>
        <v/>
      </c>
      <c r="J98" s="68" t="str">
        <f t="shared" si="4"/>
        <v/>
      </c>
      <c r="K98" s="68" t="str">
        <f>IFERROR((MP_DATA[[#This Row],[D, bottom '[m']]]+MP_DATA[[#This Row],[D, top '[m']]])/(2*MP_DATA[[#This Row],[t '[mm']]]/1000),"")</f>
        <v/>
      </c>
      <c r="L98" s="68" t="str">
        <f>IFERROR((MP_DATA[[#This Row],[D, bottom '[m']]]+#REF!)/(2*#REF!/1000),"")</f>
        <v/>
      </c>
      <c r="AP98" s="68" t="str">
        <f>IFERROR(TP_DATA[[#This Row],[Bottom '[m']]]-TP_DATA[[#This Row],[D, top '[m']]], "")</f>
        <v/>
      </c>
      <c r="AQ98" s="68" t="str">
        <f>IFERROR(-(TP_DATA[[#This Row],[D, bottom '[m']]]-TP_DATA[[#This Row],[D, top '[m']]])/(TP_DATA[[#This Row],[Bottom '[m']]]-TP_DATA[[#This Row],[Top '[m']]]),"")</f>
        <v/>
      </c>
      <c r="AR98" s="68" t="str">
        <f t="shared" si="5"/>
        <v/>
      </c>
      <c r="AS98" s="68" t="str">
        <f>IFERROR((TP_DATA[[#This Row],[D, bottom '[m']]]+TP_DATA[[#This Row],[D, top '[m']]])/(2*TP_DATA[[#This Row],[t '[mm']]]/1000),"")</f>
        <v/>
      </c>
      <c r="AT98" s="68" t="str">
        <f>IFERROR((TP_DATA[[#This Row],[D, bottom '[m']]]+#REF!)/(2*#REF!/1000),"")</f>
        <v/>
      </c>
      <c r="BX98" s="68" t="str">
        <f>IFERROR(TOWER_DATA[[#This Row],[Bottom '[m']]]-TOWER_DATA[[#This Row],[D, top '[m']]], "")</f>
        <v/>
      </c>
      <c r="BY98" s="68" t="str">
        <f>IFERROR(-(TOWER_DATA[[#This Row],[D, bottom '[m']]]-TOWER_DATA[[#This Row],[D, top '[m']]])/(TOWER_DATA[[#This Row],[Bottom '[m']]]-TOWER_DATA[[#This Row],[Top '[m']]]),"")</f>
        <v/>
      </c>
      <c r="BZ98" s="68" t="str">
        <f t="shared" si="6"/>
        <v/>
      </c>
      <c r="CA98" s="68" t="str">
        <f>IFERROR((TOWER_DATA[[#This Row],[D, bottom '[m']]]+TOWER_DATA[[#This Row],[D, top '[m']]])/(2*TOWER_DATA[[#This Row],[t '[mm']]]/1000),"")</f>
        <v/>
      </c>
      <c r="CB98" s="68" t="str">
        <f>IFERROR((TOWER_DATA[[#This Row],[D, bottom '[m']]]+#REF!)/(2*#REF!/1000),"")</f>
        <v/>
      </c>
    </row>
    <row r="99" spans="8:80" x14ac:dyDescent="0.3">
      <c r="H99" s="68" t="str">
        <f>IFERROR(MP_DATA[[#This Row],[Bottom '[m']]]-MP_DATA[[#This Row],[D, top '[m']]], "")</f>
        <v/>
      </c>
      <c r="I99" s="68" t="str">
        <f>IFERROR(-(MP_DATA[[#This Row],[D, bottom '[m']]]-MP_DATA[[#This Row],[D, top '[m']]])/(MP_DATA[[#This Row],[Bottom '[m']]]-MP_DATA[[#This Row],[Top '[m']]]),"")</f>
        <v/>
      </c>
      <c r="J99" s="68" t="str">
        <f t="shared" si="4"/>
        <v/>
      </c>
      <c r="K99" s="68" t="str">
        <f>IFERROR((MP_DATA[[#This Row],[D, bottom '[m']]]+MP_DATA[[#This Row],[D, top '[m']]])/(2*MP_DATA[[#This Row],[t '[mm']]]/1000),"")</f>
        <v/>
      </c>
      <c r="L99" s="68" t="str">
        <f>IFERROR((MP_DATA[[#This Row],[D, bottom '[m']]]+#REF!)/(2*#REF!/1000),"")</f>
        <v/>
      </c>
      <c r="AP99" s="68" t="str">
        <f>IFERROR(TP_DATA[[#This Row],[Bottom '[m']]]-TP_DATA[[#This Row],[D, top '[m']]], "")</f>
        <v/>
      </c>
      <c r="AQ99" s="68" t="str">
        <f>IFERROR(-(TP_DATA[[#This Row],[D, bottom '[m']]]-TP_DATA[[#This Row],[D, top '[m']]])/(TP_DATA[[#This Row],[Bottom '[m']]]-TP_DATA[[#This Row],[Top '[m']]]),"")</f>
        <v/>
      </c>
      <c r="AR99" s="68" t="str">
        <f t="shared" si="5"/>
        <v/>
      </c>
      <c r="AS99" s="68" t="str">
        <f>IFERROR((TP_DATA[[#This Row],[D, bottom '[m']]]+TP_DATA[[#This Row],[D, top '[m']]])/(2*TP_DATA[[#This Row],[t '[mm']]]/1000),"")</f>
        <v/>
      </c>
      <c r="AT99" s="68" t="str">
        <f>IFERROR((TP_DATA[[#This Row],[D, bottom '[m']]]+#REF!)/(2*#REF!/1000),"")</f>
        <v/>
      </c>
      <c r="BX99" s="68" t="str">
        <f>IFERROR(TOWER_DATA[[#This Row],[Bottom '[m']]]-TOWER_DATA[[#This Row],[D, top '[m']]], "")</f>
        <v/>
      </c>
      <c r="BY99" s="68" t="str">
        <f>IFERROR(-(TOWER_DATA[[#This Row],[D, bottom '[m']]]-TOWER_DATA[[#This Row],[D, top '[m']]])/(TOWER_DATA[[#This Row],[Bottom '[m']]]-TOWER_DATA[[#This Row],[Top '[m']]]),"")</f>
        <v/>
      </c>
      <c r="BZ99" s="68" t="str">
        <f t="shared" si="6"/>
        <v/>
      </c>
      <c r="CA99" s="68" t="str">
        <f>IFERROR((TOWER_DATA[[#This Row],[D, bottom '[m']]]+TOWER_DATA[[#This Row],[D, top '[m']]])/(2*TOWER_DATA[[#This Row],[t '[mm']]]/1000),"")</f>
        <v/>
      </c>
      <c r="CB99" s="68" t="str">
        <f>IFERROR((TOWER_DATA[[#This Row],[D, bottom '[m']]]+#REF!)/(2*#REF!/1000),"")</f>
        <v/>
      </c>
    </row>
    <row r="100" spans="8:80" x14ac:dyDescent="0.3">
      <c r="H100" s="68" t="str">
        <f>IFERROR(MP_DATA[[#This Row],[Bottom '[m']]]-MP_DATA[[#This Row],[D, top '[m']]], "")</f>
        <v/>
      </c>
      <c r="I100" s="68" t="str">
        <f>IFERROR(-(MP_DATA[[#This Row],[D, bottom '[m']]]-MP_DATA[[#This Row],[D, top '[m']]])/(MP_DATA[[#This Row],[Bottom '[m']]]-MP_DATA[[#This Row],[Top '[m']]]),"")</f>
        <v/>
      </c>
      <c r="J100" s="68" t="str">
        <f t="shared" si="4"/>
        <v/>
      </c>
      <c r="K100" s="68" t="str">
        <f>IFERROR((MP_DATA[[#This Row],[D, bottom '[m']]]+MP_DATA[[#This Row],[D, top '[m']]])/(2*MP_DATA[[#This Row],[t '[mm']]]/1000),"")</f>
        <v/>
      </c>
      <c r="L100" s="68" t="str">
        <f>IFERROR((MP_DATA[[#This Row],[D, bottom '[m']]]+#REF!)/(2*#REF!/1000),"")</f>
        <v/>
      </c>
      <c r="AP100" s="68" t="str">
        <f>IFERROR(TP_DATA[[#This Row],[Bottom '[m']]]-TP_DATA[[#This Row],[D, top '[m']]], "")</f>
        <v/>
      </c>
      <c r="AQ100" s="68" t="str">
        <f>IFERROR(-(TP_DATA[[#This Row],[D, bottom '[m']]]-TP_DATA[[#This Row],[D, top '[m']]])/(TP_DATA[[#This Row],[Bottom '[m']]]-TP_DATA[[#This Row],[Top '[m']]]),"")</f>
        <v/>
      </c>
      <c r="AR100" s="68" t="str">
        <f t="shared" si="5"/>
        <v/>
      </c>
      <c r="AS100" s="68" t="str">
        <f>IFERROR((TP_DATA[[#This Row],[D, bottom '[m']]]+TP_DATA[[#This Row],[D, top '[m']]])/(2*TP_DATA[[#This Row],[t '[mm']]]/1000),"")</f>
        <v/>
      </c>
      <c r="AT100" s="68" t="str">
        <f>IFERROR((TP_DATA[[#This Row],[D, bottom '[m']]]+#REF!)/(2*#REF!/1000),"")</f>
        <v/>
      </c>
      <c r="BX100" s="68" t="str">
        <f>IFERROR(TOWER_DATA[[#This Row],[Bottom '[m']]]-TOWER_DATA[[#This Row],[D, top '[m']]], "")</f>
        <v/>
      </c>
      <c r="BY100" s="68" t="str">
        <f>IFERROR(-(TOWER_DATA[[#This Row],[D, bottom '[m']]]-TOWER_DATA[[#This Row],[D, top '[m']]])/(TOWER_DATA[[#This Row],[Bottom '[m']]]-TOWER_DATA[[#This Row],[Top '[m']]]),"")</f>
        <v/>
      </c>
      <c r="BZ100" s="68" t="str">
        <f t="shared" si="6"/>
        <v/>
      </c>
      <c r="CA100" s="68" t="str">
        <f>IFERROR((TOWER_DATA[[#This Row],[D, bottom '[m']]]+TOWER_DATA[[#This Row],[D, top '[m']]])/(2*TOWER_DATA[[#This Row],[t '[mm']]]/1000),"")</f>
        <v/>
      </c>
      <c r="CB100" s="68" t="str">
        <f>IFERROR((TOWER_DATA[[#This Row],[D, bottom '[m']]]+#REF!)/(2*#REF!/1000),"")</f>
        <v/>
      </c>
    </row>
    <row r="101" spans="8:80" x14ac:dyDescent="0.3">
      <c r="H101" s="68" t="str">
        <f>IFERROR(MP_DATA[[#This Row],[Bottom '[m']]]-MP_DATA[[#This Row],[D, top '[m']]], "")</f>
        <v/>
      </c>
      <c r="I101" s="68" t="str">
        <f>IFERROR(-(MP_DATA[[#This Row],[D, bottom '[m']]]-MP_DATA[[#This Row],[D, top '[m']]])/(MP_DATA[[#This Row],[Bottom '[m']]]-MP_DATA[[#This Row],[Top '[m']]]),"")</f>
        <v/>
      </c>
      <c r="J101" s="68" t="str">
        <f t="shared" si="4"/>
        <v/>
      </c>
      <c r="K101" s="68" t="str">
        <f>IFERROR((MP_DATA[[#This Row],[D, bottom '[m']]]+MP_DATA[[#This Row],[D, top '[m']]])/(2*MP_DATA[[#This Row],[t '[mm']]]/1000),"")</f>
        <v/>
      </c>
      <c r="L101" s="68" t="str">
        <f>IFERROR((MP_DATA[[#This Row],[D, bottom '[m']]]+#REF!)/(2*#REF!/1000),"")</f>
        <v/>
      </c>
      <c r="AP101" s="68" t="str">
        <f>IFERROR(TP_DATA[[#This Row],[Bottom '[m']]]-TP_DATA[[#This Row],[D, top '[m']]], "")</f>
        <v/>
      </c>
      <c r="AQ101" s="68" t="str">
        <f>IFERROR(-(TP_DATA[[#This Row],[D, bottom '[m']]]-TP_DATA[[#This Row],[D, top '[m']]])/(TP_DATA[[#This Row],[Bottom '[m']]]-TP_DATA[[#This Row],[Top '[m']]]),"")</f>
        <v/>
      </c>
      <c r="AR101" s="68" t="str">
        <f t="shared" si="5"/>
        <v/>
      </c>
      <c r="AS101" s="68" t="str">
        <f>IFERROR((TP_DATA[[#This Row],[D, bottom '[m']]]+TP_DATA[[#This Row],[D, top '[m']]])/(2*TP_DATA[[#This Row],[t '[mm']]]/1000),"")</f>
        <v/>
      </c>
      <c r="AT101" s="68" t="str">
        <f>IFERROR((TP_DATA[[#This Row],[D, bottom '[m']]]+#REF!)/(2*#REF!/1000),"")</f>
        <v/>
      </c>
      <c r="BX101" s="68" t="str">
        <f>IFERROR(TOWER_DATA[[#This Row],[Bottom '[m']]]-TOWER_DATA[[#This Row],[D, top '[m']]], "")</f>
        <v/>
      </c>
      <c r="BY101" s="68" t="str">
        <f>IFERROR(-(TOWER_DATA[[#This Row],[D, bottom '[m']]]-TOWER_DATA[[#This Row],[D, top '[m']]])/(TOWER_DATA[[#This Row],[Bottom '[m']]]-TOWER_DATA[[#This Row],[Top '[m']]]),"")</f>
        <v/>
      </c>
      <c r="BZ101" s="68" t="str">
        <f t="shared" si="6"/>
        <v/>
      </c>
      <c r="CA101" s="68" t="str">
        <f>IFERROR((TOWER_DATA[[#This Row],[D, bottom '[m']]]+TOWER_DATA[[#This Row],[D, top '[m']]])/(2*TOWER_DATA[[#This Row],[t '[mm']]]/1000),"")</f>
        <v/>
      </c>
      <c r="CB101" s="68" t="str">
        <f>IFERROR((TOWER_DATA[[#This Row],[D, bottom '[m']]]+#REF!)/(2*#REF!/1000),"")</f>
        <v/>
      </c>
    </row>
    <row r="102" spans="8:80" x14ac:dyDescent="0.3">
      <c r="H102" s="68" t="str">
        <f>IFERROR(MP_DATA[[#This Row],[Bottom '[m']]]-MP_DATA[[#This Row],[D, top '[m']]], "")</f>
        <v/>
      </c>
      <c r="I102" s="68" t="str">
        <f>IFERROR(-(MP_DATA[[#This Row],[D, bottom '[m']]]-MP_DATA[[#This Row],[D, top '[m']]])/(MP_DATA[[#This Row],[Bottom '[m']]]-MP_DATA[[#This Row],[Top '[m']]]),"")</f>
        <v/>
      </c>
      <c r="J102" s="68" t="str">
        <f t="shared" si="4"/>
        <v/>
      </c>
      <c r="K102" s="68" t="str">
        <f>IFERROR((MP_DATA[[#This Row],[D, bottom '[m']]]+MP_DATA[[#This Row],[D, top '[m']]])/(2*MP_DATA[[#This Row],[t '[mm']]]/1000),"")</f>
        <v/>
      </c>
      <c r="L102" s="68" t="str">
        <f>IFERROR((MP_DATA[[#This Row],[D, bottom '[m']]]+#REF!)/(2*#REF!/1000),"")</f>
        <v/>
      </c>
      <c r="AP102" s="68" t="str">
        <f>IFERROR(TP_DATA[[#This Row],[Bottom '[m']]]-TP_DATA[[#This Row],[D, top '[m']]], "")</f>
        <v/>
      </c>
      <c r="AQ102" s="68" t="str">
        <f>IFERROR(-(TP_DATA[[#This Row],[D, bottom '[m']]]-TP_DATA[[#This Row],[D, top '[m']]])/(TP_DATA[[#This Row],[Bottom '[m']]]-TP_DATA[[#This Row],[Top '[m']]]),"")</f>
        <v/>
      </c>
      <c r="AR102" s="68" t="str">
        <f t="shared" si="5"/>
        <v/>
      </c>
      <c r="AS102" s="68" t="str">
        <f>IFERROR((TP_DATA[[#This Row],[D, bottom '[m']]]+TP_DATA[[#This Row],[D, top '[m']]])/(2*TP_DATA[[#This Row],[t '[mm']]]/1000),"")</f>
        <v/>
      </c>
      <c r="AT102" s="68" t="str">
        <f>IFERROR((TP_DATA[[#This Row],[D, bottom '[m']]]+#REF!)/(2*#REF!/1000),"")</f>
        <v/>
      </c>
      <c r="BX102" s="68" t="str">
        <f>IFERROR(TOWER_DATA[[#This Row],[Bottom '[m']]]-TOWER_DATA[[#This Row],[D, top '[m']]], "")</f>
        <v/>
      </c>
      <c r="BY102" s="68" t="str">
        <f>IFERROR(-(TOWER_DATA[[#This Row],[D, bottom '[m']]]-TOWER_DATA[[#This Row],[D, top '[m']]])/(TOWER_DATA[[#This Row],[Bottom '[m']]]-TOWER_DATA[[#This Row],[Top '[m']]]),"")</f>
        <v/>
      </c>
      <c r="BZ102" s="68" t="str">
        <f t="shared" si="6"/>
        <v/>
      </c>
      <c r="CA102" s="68" t="str">
        <f>IFERROR((TOWER_DATA[[#This Row],[D, bottom '[m']]]+TOWER_DATA[[#This Row],[D, top '[m']]])/(2*TOWER_DATA[[#This Row],[t '[mm']]]/1000),"")</f>
        <v/>
      </c>
      <c r="CB102" s="68" t="str">
        <f>IFERROR((TOWER_DATA[[#This Row],[D, bottom '[m']]]+#REF!)/(2*#REF!/1000),"")</f>
        <v/>
      </c>
    </row>
    <row r="103" spans="8:80" x14ac:dyDescent="0.3">
      <c r="H103" s="68" t="str">
        <f>IFERROR(MP_DATA[[#This Row],[Bottom '[m']]]-MP_DATA[[#This Row],[D, top '[m']]], "")</f>
        <v/>
      </c>
      <c r="I103" s="68" t="str">
        <f>IFERROR(-(MP_DATA[[#This Row],[D, bottom '[m']]]-MP_DATA[[#This Row],[D, top '[m']]])/(MP_DATA[[#This Row],[Bottom '[m']]]-MP_DATA[[#This Row],[Top '[m']]]),"")</f>
        <v/>
      </c>
      <c r="J103" s="68" t="str">
        <f t="shared" si="4"/>
        <v/>
      </c>
      <c r="K103" s="68" t="str">
        <f>IFERROR((MP_DATA[[#This Row],[D, bottom '[m']]]+MP_DATA[[#This Row],[D, top '[m']]])/(2*MP_DATA[[#This Row],[t '[mm']]]/1000),"")</f>
        <v/>
      </c>
      <c r="L103" s="68" t="str">
        <f>IFERROR((MP_DATA[[#This Row],[D, bottom '[m']]]+#REF!)/(2*#REF!/1000),"")</f>
        <v/>
      </c>
      <c r="AP103" s="68" t="str">
        <f>IFERROR(TP_DATA[[#This Row],[Bottom '[m']]]-TP_DATA[[#This Row],[D, top '[m']]], "")</f>
        <v/>
      </c>
      <c r="AQ103" s="68" t="str">
        <f>IFERROR(-(TP_DATA[[#This Row],[D, bottom '[m']]]-TP_DATA[[#This Row],[D, top '[m']]])/(TP_DATA[[#This Row],[Bottom '[m']]]-TP_DATA[[#This Row],[Top '[m']]]),"")</f>
        <v/>
      </c>
      <c r="AR103" s="68" t="str">
        <f t="shared" si="5"/>
        <v/>
      </c>
      <c r="AS103" s="68" t="str">
        <f>IFERROR((TP_DATA[[#This Row],[D, bottom '[m']]]+TP_DATA[[#This Row],[D, top '[m']]])/(2*TP_DATA[[#This Row],[t '[mm']]]/1000),"")</f>
        <v/>
      </c>
      <c r="AT103" s="68" t="str">
        <f>IFERROR((TP_DATA[[#This Row],[D, bottom '[m']]]+#REF!)/(2*#REF!/1000),"")</f>
        <v/>
      </c>
      <c r="BX103" s="68" t="str">
        <f>IFERROR(TOWER_DATA[[#This Row],[Bottom '[m']]]-TOWER_DATA[[#This Row],[D, top '[m']]], "")</f>
        <v/>
      </c>
      <c r="BY103" s="68" t="str">
        <f>IFERROR(-(TOWER_DATA[[#This Row],[D, bottom '[m']]]-TOWER_DATA[[#This Row],[D, top '[m']]])/(TOWER_DATA[[#This Row],[Bottom '[m']]]-TOWER_DATA[[#This Row],[Top '[m']]]),"")</f>
        <v/>
      </c>
      <c r="BZ103" s="68" t="str">
        <f t="shared" si="6"/>
        <v/>
      </c>
      <c r="CA103" s="68" t="str">
        <f>IFERROR((TOWER_DATA[[#This Row],[D, bottom '[m']]]+TOWER_DATA[[#This Row],[D, top '[m']]])/(2*TOWER_DATA[[#This Row],[t '[mm']]]/1000),"")</f>
        <v/>
      </c>
      <c r="CB103" s="68" t="str">
        <f>IFERROR((TOWER_DATA[[#This Row],[D, bottom '[m']]]+#REF!)/(2*#REF!/1000),"")</f>
        <v/>
      </c>
    </row>
    <row r="104" spans="8:80" x14ac:dyDescent="0.3">
      <c r="H104" s="68" t="str">
        <f>IFERROR(MP_DATA[[#This Row],[Bottom '[m']]]-MP_DATA[[#This Row],[D, top '[m']]], "")</f>
        <v/>
      </c>
      <c r="I104" s="68" t="str">
        <f>IFERROR(-(MP_DATA[[#This Row],[D, bottom '[m']]]-MP_DATA[[#This Row],[D, top '[m']]])/(MP_DATA[[#This Row],[Bottom '[m']]]-MP_DATA[[#This Row],[Top '[m']]]),"")</f>
        <v/>
      </c>
      <c r="J104" s="68" t="str">
        <f t="shared" si="4"/>
        <v/>
      </c>
      <c r="K104" s="68" t="str">
        <f>IFERROR((MP_DATA[[#This Row],[D, bottom '[m']]]+MP_DATA[[#This Row],[D, top '[m']]])/(2*MP_DATA[[#This Row],[t '[mm']]]/1000),"")</f>
        <v/>
      </c>
      <c r="L104" s="68" t="str">
        <f>IFERROR((MP_DATA[[#This Row],[D, bottom '[m']]]+#REF!)/(2*#REF!/1000),"")</f>
        <v/>
      </c>
      <c r="AP104" s="68" t="str">
        <f>IFERROR(TP_DATA[[#This Row],[Bottom '[m']]]-TP_DATA[[#This Row],[D, top '[m']]], "")</f>
        <v/>
      </c>
      <c r="AQ104" s="68" t="str">
        <f>IFERROR(-(TP_DATA[[#This Row],[D, bottom '[m']]]-TP_DATA[[#This Row],[D, top '[m']]])/(TP_DATA[[#This Row],[Bottom '[m']]]-TP_DATA[[#This Row],[Top '[m']]]),"")</f>
        <v/>
      </c>
      <c r="AR104" s="68" t="str">
        <f t="shared" si="5"/>
        <v/>
      </c>
      <c r="AS104" s="68" t="str">
        <f>IFERROR((TP_DATA[[#This Row],[D, bottom '[m']]]+TP_DATA[[#This Row],[D, top '[m']]])/(2*TP_DATA[[#This Row],[t '[mm']]]/1000),"")</f>
        <v/>
      </c>
      <c r="AT104" s="68" t="str">
        <f>IFERROR((TP_DATA[[#This Row],[D, bottom '[m']]]+#REF!)/(2*#REF!/1000),"")</f>
        <v/>
      </c>
      <c r="BX104" s="68" t="str">
        <f>IFERROR(TOWER_DATA[[#This Row],[Bottom '[m']]]-TOWER_DATA[[#This Row],[D, top '[m']]], "")</f>
        <v/>
      </c>
      <c r="BY104" s="68" t="str">
        <f>IFERROR(-(TOWER_DATA[[#This Row],[D, bottom '[m']]]-TOWER_DATA[[#This Row],[D, top '[m']]])/(TOWER_DATA[[#This Row],[Bottom '[m']]]-TOWER_DATA[[#This Row],[Top '[m']]]),"")</f>
        <v/>
      </c>
      <c r="BZ104" s="68" t="str">
        <f t="shared" si="6"/>
        <v/>
      </c>
      <c r="CA104" s="68" t="str">
        <f>IFERROR((TOWER_DATA[[#This Row],[D, bottom '[m']]]+TOWER_DATA[[#This Row],[D, top '[m']]])/(2*TOWER_DATA[[#This Row],[t '[mm']]]/1000),"")</f>
        <v/>
      </c>
      <c r="CB104" s="68" t="str">
        <f>IFERROR((TOWER_DATA[[#This Row],[D, bottom '[m']]]+#REF!)/(2*#REF!/1000),"")</f>
        <v/>
      </c>
    </row>
    <row r="105" spans="8:80" x14ac:dyDescent="0.3">
      <c r="H105" s="68" t="str">
        <f>IFERROR(MP_DATA[[#This Row],[Bottom '[m']]]-MP_DATA[[#This Row],[D, top '[m']]], "")</f>
        <v/>
      </c>
      <c r="I105" s="68" t="str">
        <f>IFERROR(-(MP_DATA[[#This Row],[D, bottom '[m']]]-MP_DATA[[#This Row],[D, top '[m']]])/(MP_DATA[[#This Row],[Bottom '[m']]]-MP_DATA[[#This Row],[Top '[m']]]),"")</f>
        <v/>
      </c>
      <c r="J105" s="68" t="str">
        <f t="shared" si="4"/>
        <v/>
      </c>
      <c r="K105" s="68" t="str">
        <f>IFERROR((MP_DATA[[#This Row],[D, bottom '[m']]]+MP_DATA[[#This Row],[D, top '[m']]])/(2*MP_DATA[[#This Row],[t '[mm']]]/1000),"")</f>
        <v/>
      </c>
      <c r="L105" s="68" t="str">
        <f>IFERROR((MP_DATA[[#This Row],[D, bottom '[m']]]+#REF!)/(2*#REF!/1000),"")</f>
        <v/>
      </c>
      <c r="AP105" s="68" t="str">
        <f>IFERROR(TP_DATA[[#This Row],[Bottom '[m']]]-TP_DATA[[#This Row],[D, top '[m']]], "")</f>
        <v/>
      </c>
      <c r="AQ105" s="68" t="str">
        <f>IFERROR(-(TP_DATA[[#This Row],[D, bottom '[m']]]-TP_DATA[[#This Row],[D, top '[m']]])/(TP_DATA[[#This Row],[Bottom '[m']]]-TP_DATA[[#This Row],[Top '[m']]]),"")</f>
        <v/>
      </c>
      <c r="AR105" s="68" t="str">
        <f t="shared" si="5"/>
        <v/>
      </c>
      <c r="AS105" s="68" t="str">
        <f>IFERROR((TP_DATA[[#This Row],[D, bottom '[m']]]+TP_DATA[[#This Row],[D, top '[m']]])/(2*TP_DATA[[#This Row],[t '[mm']]]/1000),"")</f>
        <v/>
      </c>
      <c r="AT105" s="68" t="str">
        <f>IFERROR((TP_DATA[[#This Row],[D, bottom '[m']]]+#REF!)/(2*#REF!/1000),"")</f>
        <v/>
      </c>
      <c r="BX105" s="68" t="str">
        <f>IFERROR(TOWER_DATA[[#This Row],[Bottom '[m']]]-TOWER_DATA[[#This Row],[D, top '[m']]], "")</f>
        <v/>
      </c>
      <c r="BY105" s="68" t="str">
        <f>IFERROR(-(TOWER_DATA[[#This Row],[D, bottom '[m']]]-TOWER_DATA[[#This Row],[D, top '[m']]])/(TOWER_DATA[[#This Row],[Bottom '[m']]]-TOWER_DATA[[#This Row],[Top '[m']]]),"")</f>
        <v/>
      </c>
      <c r="BZ105" s="68" t="str">
        <f t="shared" si="6"/>
        <v/>
      </c>
      <c r="CA105" s="68" t="str">
        <f>IFERROR((TOWER_DATA[[#This Row],[D, bottom '[m']]]+TOWER_DATA[[#This Row],[D, top '[m']]])/(2*TOWER_DATA[[#This Row],[t '[mm']]]/1000),"")</f>
        <v/>
      </c>
      <c r="CB105" s="68" t="str">
        <f>IFERROR((TOWER_DATA[[#This Row],[D, bottom '[m']]]+#REF!)/(2*#REF!/1000),"")</f>
        <v/>
      </c>
    </row>
    <row r="106" spans="8:80" x14ac:dyDescent="0.3">
      <c r="H106" s="68" t="str">
        <f>IFERROR(MP_DATA[[#This Row],[Bottom '[m']]]-MP_DATA[[#This Row],[D, top '[m']]], "")</f>
        <v/>
      </c>
      <c r="I106" s="68" t="str">
        <f>IFERROR(-(MP_DATA[[#This Row],[D, bottom '[m']]]-MP_DATA[[#This Row],[D, top '[m']]])/(MP_DATA[[#This Row],[Bottom '[m']]]-MP_DATA[[#This Row],[Top '[m']]]),"")</f>
        <v/>
      </c>
      <c r="J106" s="68" t="str">
        <f t="shared" si="4"/>
        <v/>
      </c>
      <c r="K106" s="68" t="str">
        <f>IFERROR((MP_DATA[[#This Row],[D, bottom '[m']]]+MP_DATA[[#This Row],[D, top '[m']]])/(2*MP_DATA[[#This Row],[t '[mm']]]/1000),"")</f>
        <v/>
      </c>
      <c r="L106" s="68" t="str">
        <f>IFERROR((MP_DATA[[#This Row],[D, bottom '[m']]]+#REF!)/(2*#REF!/1000),"")</f>
        <v/>
      </c>
      <c r="AP106" s="68" t="str">
        <f>IFERROR(TP_DATA[[#This Row],[Bottom '[m']]]-TP_DATA[[#This Row],[D, top '[m']]], "")</f>
        <v/>
      </c>
      <c r="AQ106" s="68" t="str">
        <f>IFERROR(-(TP_DATA[[#This Row],[D, bottom '[m']]]-TP_DATA[[#This Row],[D, top '[m']]])/(TP_DATA[[#This Row],[Bottom '[m']]]-TP_DATA[[#This Row],[Top '[m']]]),"")</f>
        <v/>
      </c>
      <c r="AR106" s="68" t="str">
        <f t="shared" si="5"/>
        <v/>
      </c>
      <c r="AS106" s="68" t="str">
        <f>IFERROR((TP_DATA[[#This Row],[D, bottom '[m']]]+TP_DATA[[#This Row],[D, top '[m']]])/(2*TP_DATA[[#This Row],[t '[mm']]]/1000),"")</f>
        <v/>
      </c>
      <c r="AT106" s="68" t="str">
        <f>IFERROR((TP_DATA[[#This Row],[D, bottom '[m']]]+#REF!)/(2*#REF!/1000),"")</f>
        <v/>
      </c>
      <c r="BX106" s="68" t="str">
        <f>IFERROR(TOWER_DATA[[#This Row],[Bottom '[m']]]-TOWER_DATA[[#This Row],[D, top '[m']]], "")</f>
        <v/>
      </c>
      <c r="BY106" s="68" t="str">
        <f>IFERROR(-(TOWER_DATA[[#This Row],[D, bottom '[m']]]-TOWER_DATA[[#This Row],[D, top '[m']]])/(TOWER_DATA[[#This Row],[Bottom '[m']]]-TOWER_DATA[[#This Row],[Top '[m']]]),"")</f>
        <v/>
      </c>
      <c r="BZ106" s="68" t="str">
        <f t="shared" si="6"/>
        <v/>
      </c>
      <c r="CA106" s="68" t="str">
        <f>IFERROR((TOWER_DATA[[#This Row],[D, bottom '[m']]]+TOWER_DATA[[#This Row],[D, top '[m']]])/(2*TOWER_DATA[[#This Row],[t '[mm']]]/1000),"")</f>
        <v/>
      </c>
      <c r="CB106" s="68" t="str">
        <f>IFERROR((TOWER_DATA[[#This Row],[D, bottom '[m']]]+#REF!)/(2*#REF!/1000),"")</f>
        <v/>
      </c>
    </row>
    <row r="107" spans="8:80" x14ac:dyDescent="0.3">
      <c r="H107" s="68" t="str">
        <f>IFERROR(MP_DATA[[#This Row],[Bottom '[m']]]-MP_DATA[[#This Row],[D, top '[m']]], "")</f>
        <v/>
      </c>
      <c r="I107" s="68" t="str">
        <f>IFERROR(-(MP_DATA[[#This Row],[D, bottom '[m']]]-MP_DATA[[#This Row],[D, top '[m']]])/(MP_DATA[[#This Row],[Bottom '[m']]]-MP_DATA[[#This Row],[Top '[m']]]),"")</f>
        <v/>
      </c>
      <c r="J107" s="68" t="str">
        <f t="shared" si="4"/>
        <v/>
      </c>
      <c r="K107" s="68" t="str">
        <f>IFERROR((MP_DATA[[#This Row],[D, bottom '[m']]]+MP_DATA[[#This Row],[D, top '[m']]])/(2*MP_DATA[[#This Row],[t '[mm']]]/1000),"")</f>
        <v/>
      </c>
      <c r="L107" s="68" t="str">
        <f>IFERROR((MP_DATA[[#This Row],[D, bottom '[m']]]+#REF!)/(2*#REF!/1000),"")</f>
        <v/>
      </c>
      <c r="AP107" s="68" t="str">
        <f>IFERROR(TP_DATA[[#This Row],[Bottom '[m']]]-TP_DATA[[#This Row],[D, top '[m']]], "")</f>
        <v/>
      </c>
      <c r="AQ107" s="68" t="str">
        <f>IFERROR(-(TP_DATA[[#This Row],[D, bottom '[m']]]-TP_DATA[[#This Row],[D, top '[m']]])/(TP_DATA[[#This Row],[Bottom '[m']]]-TP_DATA[[#This Row],[Top '[m']]]),"")</f>
        <v/>
      </c>
      <c r="AR107" s="68" t="str">
        <f t="shared" si="5"/>
        <v/>
      </c>
      <c r="AS107" s="68" t="str">
        <f>IFERROR((TP_DATA[[#This Row],[D, bottom '[m']]]+TP_DATA[[#This Row],[D, top '[m']]])/(2*TP_DATA[[#This Row],[t '[mm']]]/1000),"")</f>
        <v/>
      </c>
      <c r="AT107" s="68" t="str">
        <f>IFERROR((TP_DATA[[#This Row],[D, bottom '[m']]]+#REF!)/(2*#REF!/1000),"")</f>
        <v/>
      </c>
      <c r="BX107" s="68" t="str">
        <f>IFERROR(TOWER_DATA[[#This Row],[Bottom '[m']]]-TOWER_DATA[[#This Row],[D, top '[m']]], "")</f>
        <v/>
      </c>
      <c r="BY107" s="68" t="str">
        <f>IFERROR(-(TOWER_DATA[[#This Row],[D, bottom '[m']]]-TOWER_DATA[[#This Row],[D, top '[m']]])/(TOWER_DATA[[#This Row],[Bottom '[m']]]-TOWER_DATA[[#This Row],[Top '[m']]]),"")</f>
        <v/>
      </c>
      <c r="BZ107" s="68" t="str">
        <f t="shared" si="6"/>
        <v/>
      </c>
      <c r="CA107" s="68" t="str">
        <f>IFERROR((TOWER_DATA[[#This Row],[D, bottom '[m']]]+TOWER_DATA[[#This Row],[D, top '[m']]])/(2*TOWER_DATA[[#This Row],[t '[mm']]]/1000),"")</f>
        <v/>
      </c>
      <c r="CB107" s="68" t="str">
        <f>IFERROR((TOWER_DATA[[#This Row],[D, bottom '[m']]]+#REF!)/(2*#REF!/1000),"")</f>
        <v/>
      </c>
    </row>
    <row r="108" spans="8:80" x14ac:dyDescent="0.3">
      <c r="H108" s="68" t="str">
        <f>IFERROR(MP_DATA[[#This Row],[Bottom '[m']]]-MP_DATA[[#This Row],[D, top '[m']]], "")</f>
        <v/>
      </c>
      <c r="I108" s="68" t="str">
        <f>IFERROR(-(MP_DATA[[#This Row],[D, bottom '[m']]]-MP_DATA[[#This Row],[D, top '[m']]])/(MP_DATA[[#This Row],[Bottom '[m']]]-MP_DATA[[#This Row],[Top '[m']]]),"")</f>
        <v/>
      </c>
      <c r="J108" s="68" t="str">
        <f t="shared" si="4"/>
        <v/>
      </c>
      <c r="K108" s="68" t="str">
        <f>IFERROR((MP_DATA[[#This Row],[D, bottom '[m']]]+MP_DATA[[#This Row],[D, top '[m']]])/(2*MP_DATA[[#This Row],[t '[mm']]]/1000),"")</f>
        <v/>
      </c>
      <c r="L108" s="68" t="str">
        <f>IFERROR((MP_DATA[[#This Row],[D, bottom '[m']]]+#REF!)/(2*#REF!/1000),"")</f>
        <v/>
      </c>
      <c r="AP108" s="68" t="str">
        <f>IFERROR(TP_DATA[[#This Row],[Bottom '[m']]]-TP_DATA[[#This Row],[D, top '[m']]], "")</f>
        <v/>
      </c>
      <c r="AQ108" s="68" t="str">
        <f>IFERROR(-(TP_DATA[[#This Row],[D, bottom '[m']]]-TP_DATA[[#This Row],[D, top '[m']]])/(TP_DATA[[#This Row],[Bottom '[m']]]-TP_DATA[[#This Row],[Top '[m']]]),"")</f>
        <v/>
      </c>
      <c r="AR108" s="68" t="str">
        <f t="shared" si="5"/>
        <v/>
      </c>
      <c r="AS108" s="68" t="str">
        <f>IFERROR((TP_DATA[[#This Row],[D, bottom '[m']]]+TP_DATA[[#This Row],[D, top '[m']]])/(2*TP_DATA[[#This Row],[t '[mm']]]/1000),"")</f>
        <v/>
      </c>
      <c r="AT108" s="68" t="str">
        <f>IFERROR((TP_DATA[[#This Row],[D, bottom '[m']]]+#REF!)/(2*#REF!/1000),"")</f>
        <v/>
      </c>
      <c r="BX108" s="68" t="str">
        <f>IFERROR(TOWER_DATA[[#This Row],[Bottom '[m']]]-TOWER_DATA[[#This Row],[D, top '[m']]], "")</f>
        <v/>
      </c>
      <c r="BY108" s="68" t="str">
        <f>IFERROR(-(TOWER_DATA[[#This Row],[D, bottom '[m']]]-TOWER_DATA[[#This Row],[D, top '[m']]])/(TOWER_DATA[[#This Row],[Bottom '[m']]]-TOWER_DATA[[#This Row],[Top '[m']]]),"")</f>
        <v/>
      </c>
      <c r="BZ108" s="68" t="str">
        <f t="shared" si="6"/>
        <v/>
      </c>
      <c r="CA108" s="68" t="str">
        <f>IFERROR((TOWER_DATA[[#This Row],[D, bottom '[m']]]+TOWER_DATA[[#This Row],[D, top '[m']]])/(2*TOWER_DATA[[#This Row],[t '[mm']]]/1000),"")</f>
        <v/>
      </c>
      <c r="CB108" s="68" t="str">
        <f>IFERROR((TOWER_DATA[[#This Row],[D, bottom '[m']]]+#REF!)/(2*#REF!/1000),"")</f>
        <v/>
      </c>
    </row>
    <row r="109" spans="8:80" x14ac:dyDescent="0.3">
      <c r="H109" s="68" t="str">
        <f>IFERROR(MP_DATA[[#This Row],[Bottom '[m']]]-MP_DATA[[#This Row],[D, top '[m']]], "")</f>
        <v/>
      </c>
      <c r="I109" s="68" t="str">
        <f>IFERROR(-(MP_DATA[[#This Row],[D, bottom '[m']]]-MP_DATA[[#This Row],[D, top '[m']]])/(MP_DATA[[#This Row],[Bottom '[m']]]-MP_DATA[[#This Row],[Top '[m']]]),"")</f>
        <v/>
      </c>
      <c r="J109" s="68" t="str">
        <f t="shared" si="4"/>
        <v/>
      </c>
      <c r="K109" s="68" t="str">
        <f>IFERROR((MP_DATA[[#This Row],[D, bottom '[m']]]+MP_DATA[[#This Row],[D, top '[m']]])/(2*MP_DATA[[#This Row],[t '[mm']]]/1000),"")</f>
        <v/>
      </c>
      <c r="L109" s="68" t="str">
        <f>IFERROR((MP_DATA[[#This Row],[D, bottom '[m']]]+#REF!)/(2*#REF!/1000),"")</f>
        <v/>
      </c>
      <c r="AP109" s="68" t="str">
        <f>IFERROR(TP_DATA[[#This Row],[Bottom '[m']]]-TP_DATA[[#This Row],[D, top '[m']]], "")</f>
        <v/>
      </c>
      <c r="AQ109" s="68" t="str">
        <f>IFERROR(-(TP_DATA[[#This Row],[D, bottom '[m']]]-TP_DATA[[#This Row],[D, top '[m']]])/(TP_DATA[[#This Row],[Bottom '[m']]]-TP_DATA[[#This Row],[Top '[m']]]),"")</f>
        <v/>
      </c>
      <c r="AR109" s="68" t="str">
        <f t="shared" si="5"/>
        <v/>
      </c>
      <c r="AS109" s="68" t="str">
        <f>IFERROR((TP_DATA[[#This Row],[D, bottom '[m']]]+TP_DATA[[#This Row],[D, top '[m']]])/(2*TP_DATA[[#This Row],[t '[mm']]]/1000),"")</f>
        <v/>
      </c>
      <c r="AT109" s="68" t="str">
        <f>IFERROR((TP_DATA[[#This Row],[D, bottom '[m']]]+#REF!)/(2*#REF!/1000),"")</f>
        <v/>
      </c>
      <c r="BX109" s="68" t="str">
        <f>IFERROR(TOWER_DATA[[#This Row],[Bottom '[m']]]-TOWER_DATA[[#This Row],[D, top '[m']]], "")</f>
        <v/>
      </c>
      <c r="BY109" s="68" t="str">
        <f>IFERROR(-(TOWER_DATA[[#This Row],[D, bottom '[m']]]-TOWER_DATA[[#This Row],[D, top '[m']]])/(TOWER_DATA[[#This Row],[Bottom '[m']]]-TOWER_DATA[[#This Row],[Top '[m']]]),"")</f>
        <v/>
      </c>
      <c r="BZ109" s="68" t="str">
        <f t="shared" si="6"/>
        <v/>
      </c>
      <c r="CA109" s="68" t="str">
        <f>IFERROR((TOWER_DATA[[#This Row],[D, bottom '[m']]]+TOWER_DATA[[#This Row],[D, top '[m']]])/(2*TOWER_DATA[[#This Row],[t '[mm']]]/1000),"")</f>
        <v/>
      </c>
      <c r="CB109" s="68" t="str">
        <f>IFERROR((TOWER_DATA[[#This Row],[D, bottom '[m']]]+#REF!)/(2*#REF!/1000),"")</f>
        <v/>
      </c>
    </row>
    <row r="110" spans="8:80" x14ac:dyDescent="0.3">
      <c r="H110" s="68" t="str">
        <f>IFERROR(MP_DATA[[#This Row],[Bottom '[m']]]-MP_DATA[[#This Row],[D, top '[m']]], "")</f>
        <v/>
      </c>
      <c r="I110" s="68" t="str">
        <f>IFERROR(-(MP_DATA[[#This Row],[D, bottom '[m']]]-MP_DATA[[#This Row],[D, top '[m']]])/(MP_DATA[[#This Row],[Bottom '[m']]]-MP_DATA[[#This Row],[Top '[m']]]),"")</f>
        <v/>
      </c>
      <c r="J110" s="68" t="str">
        <f t="shared" si="4"/>
        <v/>
      </c>
      <c r="K110" s="68" t="str">
        <f>IFERROR((MP_DATA[[#This Row],[D, bottom '[m']]]+MP_DATA[[#This Row],[D, top '[m']]])/(2*MP_DATA[[#This Row],[t '[mm']]]/1000),"")</f>
        <v/>
      </c>
      <c r="L110" s="68" t="str">
        <f>IFERROR((MP_DATA[[#This Row],[D, bottom '[m']]]+#REF!)/(2*#REF!/1000),"")</f>
        <v/>
      </c>
      <c r="AP110" s="68" t="str">
        <f>IFERROR(TP_DATA[[#This Row],[Bottom '[m']]]-TP_DATA[[#This Row],[D, top '[m']]], "")</f>
        <v/>
      </c>
      <c r="AQ110" s="68" t="str">
        <f>IFERROR(-(TP_DATA[[#This Row],[D, bottom '[m']]]-TP_DATA[[#This Row],[D, top '[m']]])/(TP_DATA[[#This Row],[Bottom '[m']]]-TP_DATA[[#This Row],[Top '[m']]]),"")</f>
        <v/>
      </c>
      <c r="AR110" s="68" t="str">
        <f t="shared" si="5"/>
        <v/>
      </c>
      <c r="AS110" s="68" t="str">
        <f>IFERROR((TP_DATA[[#This Row],[D, bottom '[m']]]+TP_DATA[[#This Row],[D, top '[m']]])/(2*TP_DATA[[#This Row],[t '[mm']]]/1000),"")</f>
        <v/>
      </c>
      <c r="AT110" s="68" t="str">
        <f>IFERROR((TP_DATA[[#This Row],[D, bottom '[m']]]+#REF!)/(2*#REF!/1000),"")</f>
        <v/>
      </c>
      <c r="BX110" s="68" t="str">
        <f>IFERROR(TOWER_DATA[[#This Row],[Bottom '[m']]]-TOWER_DATA[[#This Row],[D, top '[m']]], "")</f>
        <v/>
      </c>
      <c r="BY110" s="68" t="str">
        <f>IFERROR(-(TOWER_DATA[[#This Row],[D, bottom '[m']]]-TOWER_DATA[[#This Row],[D, top '[m']]])/(TOWER_DATA[[#This Row],[Bottom '[m']]]-TOWER_DATA[[#This Row],[Top '[m']]]),"")</f>
        <v/>
      </c>
      <c r="BZ110" s="68" t="str">
        <f t="shared" si="6"/>
        <v/>
      </c>
      <c r="CA110" s="68" t="str">
        <f>IFERROR((TOWER_DATA[[#This Row],[D, bottom '[m']]]+TOWER_DATA[[#This Row],[D, top '[m']]])/(2*TOWER_DATA[[#This Row],[t '[mm']]]/1000),"")</f>
        <v/>
      </c>
      <c r="CB110" s="68" t="str">
        <f>IFERROR((TOWER_DATA[[#This Row],[D, bottom '[m']]]+#REF!)/(2*#REF!/1000),"")</f>
        <v/>
      </c>
    </row>
    <row r="111" spans="8:80" x14ac:dyDescent="0.3">
      <c r="H111" s="68" t="str">
        <f>IFERROR(MP_DATA[[#This Row],[Bottom '[m']]]-MP_DATA[[#This Row],[D, top '[m']]], "")</f>
        <v/>
      </c>
      <c r="I111" s="68" t="str">
        <f>IFERROR(-(MP_DATA[[#This Row],[D, bottom '[m']]]-MP_DATA[[#This Row],[D, top '[m']]])/(MP_DATA[[#This Row],[Bottom '[m']]]-MP_DATA[[#This Row],[Top '[m']]]),"")</f>
        <v/>
      </c>
      <c r="J111" s="68" t="str">
        <f t="shared" si="4"/>
        <v/>
      </c>
      <c r="K111" s="68" t="str">
        <f>IFERROR((MP_DATA[[#This Row],[D, bottom '[m']]]+MP_DATA[[#This Row],[D, top '[m']]])/(2*MP_DATA[[#This Row],[t '[mm']]]/1000),"")</f>
        <v/>
      </c>
      <c r="L111" s="68" t="str">
        <f>IFERROR((MP_DATA[[#This Row],[D, bottom '[m']]]+#REF!)/(2*#REF!/1000),"")</f>
        <v/>
      </c>
      <c r="AP111" s="68" t="str">
        <f>IFERROR(TP_DATA[[#This Row],[Bottom '[m']]]-TP_DATA[[#This Row],[D, top '[m']]], "")</f>
        <v/>
      </c>
      <c r="AQ111" s="68" t="str">
        <f>IFERROR(-(TP_DATA[[#This Row],[D, bottom '[m']]]-TP_DATA[[#This Row],[D, top '[m']]])/(TP_DATA[[#This Row],[Bottom '[m']]]-TP_DATA[[#This Row],[Top '[m']]]),"")</f>
        <v/>
      </c>
      <c r="AR111" s="68" t="str">
        <f t="shared" si="5"/>
        <v/>
      </c>
      <c r="AS111" s="68" t="str">
        <f>IFERROR((TP_DATA[[#This Row],[D, bottom '[m']]]+TP_DATA[[#This Row],[D, top '[m']]])/(2*TP_DATA[[#This Row],[t '[mm']]]/1000),"")</f>
        <v/>
      </c>
      <c r="AT111" s="68" t="str">
        <f>IFERROR((TP_DATA[[#This Row],[D, bottom '[m']]]+#REF!)/(2*#REF!/1000),"")</f>
        <v/>
      </c>
      <c r="BX111" s="68" t="str">
        <f>IFERROR(TOWER_DATA[[#This Row],[Bottom '[m']]]-TOWER_DATA[[#This Row],[D, top '[m']]], "")</f>
        <v/>
      </c>
      <c r="BY111" s="68" t="str">
        <f>IFERROR(-(TOWER_DATA[[#This Row],[D, bottom '[m']]]-TOWER_DATA[[#This Row],[D, top '[m']]])/(TOWER_DATA[[#This Row],[Bottom '[m']]]-TOWER_DATA[[#This Row],[Top '[m']]]),"")</f>
        <v/>
      </c>
      <c r="BZ111" s="68" t="str">
        <f t="shared" si="6"/>
        <v/>
      </c>
      <c r="CA111" s="68" t="str">
        <f>IFERROR((TOWER_DATA[[#This Row],[D, bottom '[m']]]+TOWER_DATA[[#This Row],[D, top '[m']]])/(2*TOWER_DATA[[#This Row],[t '[mm']]]/1000),"")</f>
        <v/>
      </c>
      <c r="CB111" s="68" t="str">
        <f>IFERROR((TOWER_DATA[[#This Row],[D, bottom '[m']]]+#REF!)/(2*#REF!/1000),"")</f>
        <v/>
      </c>
    </row>
    <row r="112" spans="8:80" x14ac:dyDescent="0.3">
      <c r="H112" s="68" t="str">
        <f>IFERROR(MP_DATA[[#This Row],[Bottom '[m']]]-MP_DATA[[#This Row],[D, top '[m']]], "")</f>
        <v/>
      </c>
      <c r="I112" s="68" t="str">
        <f>IFERROR(-(MP_DATA[[#This Row],[D, bottom '[m']]]-MP_DATA[[#This Row],[D, top '[m']]])/(MP_DATA[[#This Row],[Bottom '[m']]]-MP_DATA[[#This Row],[Top '[m']]]),"")</f>
        <v/>
      </c>
      <c r="J112" s="68" t="str">
        <f t="shared" si="4"/>
        <v/>
      </c>
      <c r="K112" s="68" t="str">
        <f>IFERROR((MP_DATA[[#This Row],[D, bottom '[m']]]+MP_DATA[[#This Row],[D, top '[m']]])/(2*MP_DATA[[#This Row],[t '[mm']]]/1000),"")</f>
        <v/>
      </c>
      <c r="L112" s="68" t="str">
        <f>IFERROR((MP_DATA[[#This Row],[D, bottom '[m']]]+#REF!)/(2*#REF!/1000),"")</f>
        <v/>
      </c>
      <c r="AP112" s="68" t="str">
        <f>IFERROR(TP_DATA[[#This Row],[Bottom '[m']]]-TP_DATA[[#This Row],[D, top '[m']]], "")</f>
        <v/>
      </c>
      <c r="AQ112" s="68" t="str">
        <f>IFERROR(-(TP_DATA[[#This Row],[D, bottom '[m']]]-TP_DATA[[#This Row],[D, top '[m']]])/(TP_DATA[[#This Row],[Bottom '[m']]]-TP_DATA[[#This Row],[Top '[m']]]),"")</f>
        <v/>
      </c>
      <c r="AR112" s="68" t="str">
        <f t="shared" si="5"/>
        <v/>
      </c>
      <c r="AS112" s="68" t="str">
        <f>IFERROR((TP_DATA[[#This Row],[D, bottom '[m']]]+TP_DATA[[#This Row],[D, top '[m']]])/(2*TP_DATA[[#This Row],[t '[mm']]]/1000),"")</f>
        <v/>
      </c>
      <c r="AT112" s="68" t="str">
        <f>IFERROR((TP_DATA[[#This Row],[D, bottom '[m']]]+#REF!)/(2*#REF!/1000),"")</f>
        <v/>
      </c>
      <c r="BX112" s="68" t="str">
        <f>IFERROR(TOWER_DATA[[#This Row],[Bottom '[m']]]-TOWER_DATA[[#This Row],[D, top '[m']]], "")</f>
        <v/>
      </c>
      <c r="BY112" s="68" t="str">
        <f>IFERROR(-(TOWER_DATA[[#This Row],[D, bottom '[m']]]-TOWER_DATA[[#This Row],[D, top '[m']]])/(TOWER_DATA[[#This Row],[Bottom '[m']]]-TOWER_DATA[[#This Row],[Top '[m']]]),"")</f>
        <v/>
      </c>
      <c r="BZ112" s="68" t="str">
        <f t="shared" si="6"/>
        <v/>
      </c>
      <c r="CA112" s="68" t="str">
        <f>IFERROR((TOWER_DATA[[#This Row],[D, bottom '[m']]]+TOWER_DATA[[#This Row],[D, top '[m']]])/(2*TOWER_DATA[[#This Row],[t '[mm']]]/1000),"")</f>
        <v/>
      </c>
      <c r="CB112" s="68" t="str">
        <f>IFERROR((TOWER_DATA[[#This Row],[D, bottom '[m']]]+#REF!)/(2*#REF!/1000),"")</f>
        <v/>
      </c>
    </row>
    <row r="113" spans="8:80" x14ac:dyDescent="0.3">
      <c r="H113" s="68" t="str">
        <f>IFERROR(MP_DATA[[#This Row],[Bottom '[m']]]-MP_DATA[[#This Row],[D, top '[m']]], "")</f>
        <v/>
      </c>
      <c r="I113" s="68" t="str">
        <f>IFERROR(-(MP_DATA[[#This Row],[D, bottom '[m']]]-MP_DATA[[#This Row],[D, top '[m']]])/(MP_DATA[[#This Row],[Bottom '[m']]]-MP_DATA[[#This Row],[Top '[m']]]),"")</f>
        <v/>
      </c>
      <c r="J113" s="68" t="str">
        <f t="shared" si="4"/>
        <v/>
      </c>
      <c r="K113" s="68" t="str">
        <f>IFERROR((MP_DATA[[#This Row],[D, bottom '[m']]]+MP_DATA[[#This Row],[D, top '[m']]])/(2*MP_DATA[[#This Row],[t '[mm']]]/1000),"")</f>
        <v/>
      </c>
      <c r="L113" s="68" t="str">
        <f>IFERROR((MP_DATA[[#This Row],[D, bottom '[m']]]+#REF!)/(2*#REF!/1000),"")</f>
        <v/>
      </c>
      <c r="AP113" s="68" t="str">
        <f>IFERROR(TP_DATA[[#This Row],[Bottom '[m']]]-TP_DATA[[#This Row],[D, top '[m']]], "")</f>
        <v/>
      </c>
      <c r="AQ113" s="68" t="str">
        <f>IFERROR(-(TP_DATA[[#This Row],[D, bottom '[m']]]-TP_DATA[[#This Row],[D, top '[m']]])/(TP_DATA[[#This Row],[Bottom '[m']]]-TP_DATA[[#This Row],[Top '[m']]]),"")</f>
        <v/>
      </c>
      <c r="AR113" s="68" t="str">
        <f t="shared" si="5"/>
        <v/>
      </c>
      <c r="AS113" s="68" t="str">
        <f>IFERROR((TP_DATA[[#This Row],[D, bottom '[m']]]+TP_DATA[[#This Row],[D, top '[m']]])/(2*TP_DATA[[#This Row],[t '[mm']]]/1000),"")</f>
        <v/>
      </c>
      <c r="AT113" s="68" t="str">
        <f>IFERROR((TP_DATA[[#This Row],[D, bottom '[m']]]+#REF!)/(2*#REF!/1000),"")</f>
        <v/>
      </c>
      <c r="BX113" s="68" t="str">
        <f>IFERROR(TOWER_DATA[[#This Row],[Bottom '[m']]]-TOWER_DATA[[#This Row],[D, top '[m']]], "")</f>
        <v/>
      </c>
      <c r="BY113" s="68" t="str">
        <f>IFERROR(-(TOWER_DATA[[#This Row],[D, bottom '[m']]]-TOWER_DATA[[#This Row],[D, top '[m']]])/(TOWER_DATA[[#This Row],[Bottom '[m']]]-TOWER_DATA[[#This Row],[Top '[m']]]),"")</f>
        <v/>
      </c>
      <c r="BZ113" s="68" t="str">
        <f t="shared" si="6"/>
        <v/>
      </c>
      <c r="CA113" s="68" t="str">
        <f>IFERROR((TOWER_DATA[[#This Row],[D, bottom '[m']]]+TOWER_DATA[[#This Row],[D, top '[m']]])/(2*TOWER_DATA[[#This Row],[t '[mm']]]/1000),"")</f>
        <v/>
      </c>
      <c r="CB113" s="68" t="str">
        <f>IFERROR((TOWER_DATA[[#This Row],[D, bottom '[m']]]+#REF!)/(2*#REF!/1000),"")</f>
        <v/>
      </c>
    </row>
    <row r="114" spans="8:80" x14ac:dyDescent="0.3">
      <c r="H114" s="68" t="str">
        <f>IFERROR(MP_DATA[[#This Row],[Bottom '[m']]]-MP_DATA[[#This Row],[D, top '[m']]], "")</f>
        <v/>
      </c>
      <c r="I114" s="68" t="str">
        <f>IFERROR(-(MP_DATA[[#This Row],[D, bottom '[m']]]-MP_DATA[[#This Row],[D, top '[m']]])/(MP_DATA[[#This Row],[Bottom '[m']]]-MP_DATA[[#This Row],[Top '[m']]]),"")</f>
        <v/>
      </c>
      <c r="J114" s="68" t="str">
        <f t="shared" si="4"/>
        <v/>
      </c>
      <c r="K114" s="68" t="str">
        <f>IFERROR((MP_DATA[[#This Row],[D, bottom '[m']]]+MP_DATA[[#This Row],[D, top '[m']]])/(2*MP_DATA[[#This Row],[t '[mm']]]/1000),"")</f>
        <v/>
      </c>
      <c r="L114" s="68" t="str">
        <f>IFERROR((MP_DATA[[#This Row],[D, bottom '[m']]]+#REF!)/(2*#REF!/1000),"")</f>
        <v/>
      </c>
      <c r="AP114" s="68" t="str">
        <f>IFERROR(TP_DATA[[#This Row],[Bottom '[m']]]-TP_DATA[[#This Row],[D, top '[m']]], "")</f>
        <v/>
      </c>
      <c r="AQ114" s="68" t="str">
        <f>IFERROR(-(TP_DATA[[#This Row],[D, bottom '[m']]]-TP_DATA[[#This Row],[D, top '[m']]])/(TP_DATA[[#This Row],[Bottom '[m']]]-TP_DATA[[#This Row],[Top '[m']]]),"")</f>
        <v/>
      </c>
      <c r="AR114" s="68" t="str">
        <f t="shared" si="5"/>
        <v/>
      </c>
      <c r="AS114" s="68" t="str">
        <f>IFERROR((TP_DATA[[#This Row],[D, bottom '[m']]]+TP_DATA[[#This Row],[D, top '[m']]])/(2*TP_DATA[[#This Row],[t '[mm']]]/1000),"")</f>
        <v/>
      </c>
      <c r="AT114" s="68" t="str">
        <f>IFERROR((TP_DATA[[#This Row],[D, bottom '[m']]]+#REF!)/(2*#REF!/1000),"")</f>
        <v/>
      </c>
      <c r="BX114" s="68" t="str">
        <f>IFERROR(TOWER_DATA[[#This Row],[Bottom '[m']]]-TOWER_DATA[[#This Row],[D, top '[m']]], "")</f>
        <v/>
      </c>
      <c r="BY114" s="68" t="str">
        <f>IFERROR(-(TOWER_DATA[[#This Row],[D, bottom '[m']]]-TOWER_DATA[[#This Row],[D, top '[m']]])/(TOWER_DATA[[#This Row],[Bottom '[m']]]-TOWER_DATA[[#This Row],[Top '[m']]]),"")</f>
        <v/>
      </c>
      <c r="BZ114" s="68" t="str">
        <f t="shared" si="6"/>
        <v/>
      </c>
      <c r="CA114" s="68" t="str">
        <f>IFERROR((TOWER_DATA[[#This Row],[D, bottom '[m']]]+TOWER_DATA[[#This Row],[D, top '[m']]])/(2*TOWER_DATA[[#This Row],[t '[mm']]]/1000),"")</f>
        <v/>
      </c>
      <c r="CB114" s="68" t="str">
        <f>IFERROR((TOWER_DATA[[#This Row],[D, bottom '[m']]]+#REF!)/(2*#REF!/1000),"")</f>
        <v/>
      </c>
    </row>
    <row r="115" spans="8:80" x14ac:dyDescent="0.3">
      <c r="H115" s="68" t="str">
        <f>IFERROR(MP_DATA[[#This Row],[Bottom '[m']]]-MP_DATA[[#This Row],[D, top '[m']]], "")</f>
        <v/>
      </c>
      <c r="I115" s="68" t="str">
        <f>IFERROR(-(MP_DATA[[#This Row],[D, bottom '[m']]]-MP_DATA[[#This Row],[D, top '[m']]])/(MP_DATA[[#This Row],[Bottom '[m']]]-MP_DATA[[#This Row],[Top '[m']]]),"")</f>
        <v/>
      </c>
      <c r="J115" s="68" t="str">
        <f t="shared" si="4"/>
        <v/>
      </c>
      <c r="K115" s="68" t="str">
        <f>IFERROR((MP_DATA[[#This Row],[D, bottom '[m']]]+MP_DATA[[#This Row],[D, top '[m']]])/(2*MP_DATA[[#This Row],[t '[mm']]]/1000),"")</f>
        <v/>
      </c>
      <c r="L115" s="68" t="str">
        <f>IFERROR((MP_DATA[[#This Row],[D, bottom '[m']]]+#REF!)/(2*#REF!/1000),"")</f>
        <v/>
      </c>
      <c r="AP115" s="68" t="str">
        <f>IFERROR(TP_DATA[[#This Row],[Bottom '[m']]]-TP_DATA[[#This Row],[D, top '[m']]], "")</f>
        <v/>
      </c>
      <c r="AQ115" s="68" t="str">
        <f>IFERROR(-(TP_DATA[[#This Row],[D, bottom '[m']]]-TP_DATA[[#This Row],[D, top '[m']]])/(TP_DATA[[#This Row],[Bottom '[m']]]-TP_DATA[[#This Row],[Top '[m']]]),"")</f>
        <v/>
      </c>
      <c r="AR115" s="68" t="str">
        <f t="shared" si="5"/>
        <v/>
      </c>
      <c r="AS115" s="68" t="str">
        <f>IFERROR((TP_DATA[[#This Row],[D, bottom '[m']]]+TP_DATA[[#This Row],[D, top '[m']]])/(2*TP_DATA[[#This Row],[t '[mm']]]/1000),"")</f>
        <v/>
      </c>
      <c r="AT115" s="68" t="str">
        <f>IFERROR((TP_DATA[[#This Row],[D, bottom '[m']]]+#REF!)/(2*#REF!/1000),"")</f>
        <v/>
      </c>
      <c r="BX115" s="68" t="str">
        <f>IFERROR(TOWER_DATA[[#This Row],[Bottom '[m']]]-TOWER_DATA[[#This Row],[D, top '[m']]], "")</f>
        <v/>
      </c>
      <c r="BY115" s="68" t="str">
        <f>IFERROR(-(TOWER_DATA[[#This Row],[D, bottom '[m']]]-TOWER_DATA[[#This Row],[D, top '[m']]])/(TOWER_DATA[[#This Row],[Bottom '[m']]]-TOWER_DATA[[#This Row],[Top '[m']]]),"")</f>
        <v/>
      </c>
      <c r="BZ115" s="68" t="str">
        <f t="shared" si="6"/>
        <v/>
      </c>
      <c r="CA115" s="68" t="str">
        <f>IFERROR((TOWER_DATA[[#This Row],[D, bottom '[m']]]+TOWER_DATA[[#This Row],[D, top '[m']]])/(2*TOWER_DATA[[#This Row],[t '[mm']]]/1000),"")</f>
        <v/>
      </c>
      <c r="CB115" s="68" t="str">
        <f>IFERROR((TOWER_DATA[[#This Row],[D, bottom '[m']]]+#REF!)/(2*#REF!/1000),"")</f>
        <v/>
      </c>
    </row>
    <row r="116" spans="8:80" x14ac:dyDescent="0.3">
      <c r="H116" s="68" t="str">
        <f>IFERROR(MP_DATA[[#This Row],[Bottom '[m']]]-MP_DATA[[#This Row],[D, top '[m']]], "")</f>
        <v/>
      </c>
      <c r="I116" s="68" t="str">
        <f>IFERROR(-(MP_DATA[[#This Row],[D, bottom '[m']]]-MP_DATA[[#This Row],[D, top '[m']]])/(MP_DATA[[#This Row],[Bottom '[m']]]-MP_DATA[[#This Row],[Top '[m']]]),"")</f>
        <v/>
      </c>
      <c r="J116" s="68" t="str">
        <f t="shared" si="4"/>
        <v/>
      </c>
      <c r="K116" s="68" t="str">
        <f>IFERROR((MP_DATA[[#This Row],[D, bottom '[m']]]+MP_DATA[[#This Row],[D, top '[m']]])/(2*MP_DATA[[#This Row],[t '[mm']]]/1000),"")</f>
        <v/>
      </c>
      <c r="L116" s="68" t="str">
        <f>IFERROR((MP_DATA[[#This Row],[D, bottom '[m']]]+#REF!)/(2*#REF!/1000),"")</f>
        <v/>
      </c>
      <c r="AP116" s="68" t="str">
        <f>IFERROR(TP_DATA[[#This Row],[Bottom '[m']]]-TP_DATA[[#This Row],[D, top '[m']]], "")</f>
        <v/>
      </c>
      <c r="AQ116" s="68" t="str">
        <f>IFERROR(-(TP_DATA[[#This Row],[D, bottom '[m']]]-TP_DATA[[#This Row],[D, top '[m']]])/(TP_DATA[[#This Row],[Bottom '[m']]]-TP_DATA[[#This Row],[Top '[m']]]),"")</f>
        <v/>
      </c>
      <c r="AR116" s="68" t="str">
        <f t="shared" si="5"/>
        <v/>
      </c>
      <c r="AS116" s="68" t="str">
        <f>IFERROR((TP_DATA[[#This Row],[D, bottom '[m']]]+TP_DATA[[#This Row],[D, top '[m']]])/(2*TP_DATA[[#This Row],[t '[mm']]]/1000),"")</f>
        <v/>
      </c>
      <c r="AT116" s="68" t="str">
        <f>IFERROR((TP_DATA[[#This Row],[D, bottom '[m']]]+#REF!)/(2*#REF!/1000),"")</f>
        <v/>
      </c>
      <c r="BX116" s="68" t="str">
        <f>IFERROR(TOWER_DATA[[#This Row],[Bottom '[m']]]-TOWER_DATA[[#This Row],[D, top '[m']]], "")</f>
        <v/>
      </c>
      <c r="BY116" s="68" t="str">
        <f>IFERROR(-(TOWER_DATA[[#This Row],[D, bottom '[m']]]-TOWER_DATA[[#This Row],[D, top '[m']]])/(TOWER_DATA[[#This Row],[Bottom '[m']]]-TOWER_DATA[[#This Row],[Top '[m']]]),"")</f>
        <v/>
      </c>
      <c r="BZ116" s="68" t="str">
        <f t="shared" si="6"/>
        <v/>
      </c>
      <c r="CA116" s="68" t="str">
        <f>IFERROR((TOWER_DATA[[#This Row],[D, bottom '[m']]]+TOWER_DATA[[#This Row],[D, top '[m']]])/(2*TOWER_DATA[[#This Row],[t '[mm']]]/1000),"")</f>
        <v/>
      </c>
      <c r="CB116" s="68" t="str">
        <f>IFERROR((TOWER_DATA[[#This Row],[D, bottom '[m']]]+#REF!)/(2*#REF!/1000),"")</f>
        <v/>
      </c>
    </row>
    <row r="117" spans="8:80" x14ac:dyDescent="0.3">
      <c r="H117" s="68" t="str">
        <f>IFERROR(MP_DATA[[#This Row],[Bottom '[m']]]-MP_DATA[[#This Row],[D, top '[m']]], "")</f>
        <v/>
      </c>
      <c r="I117" s="68" t="str">
        <f>IFERROR(-(MP_DATA[[#This Row],[D, bottom '[m']]]-MP_DATA[[#This Row],[D, top '[m']]])/(MP_DATA[[#This Row],[Bottom '[m']]]-MP_DATA[[#This Row],[Top '[m']]]),"")</f>
        <v/>
      </c>
      <c r="J117" s="68" t="str">
        <f t="shared" si="4"/>
        <v/>
      </c>
      <c r="K117" s="68" t="str">
        <f>IFERROR((MP_DATA[[#This Row],[D, bottom '[m']]]+MP_DATA[[#This Row],[D, top '[m']]])/(2*MP_DATA[[#This Row],[t '[mm']]]/1000),"")</f>
        <v/>
      </c>
      <c r="L117" s="68" t="str">
        <f>IFERROR((MP_DATA[[#This Row],[D, bottom '[m']]]+#REF!)/(2*#REF!/1000),"")</f>
        <v/>
      </c>
      <c r="AP117" s="68" t="str">
        <f>IFERROR(TP_DATA[[#This Row],[Bottom '[m']]]-TP_DATA[[#This Row],[D, top '[m']]], "")</f>
        <v/>
      </c>
      <c r="AQ117" s="68" t="str">
        <f>IFERROR(-(TP_DATA[[#This Row],[D, bottom '[m']]]-TP_DATA[[#This Row],[D, top '[m']]])/(TP_DATA[[#This Row],[Bottom '[m']]]-TP_DATA[[#This Row],[Top '[m']]]),"")</f>
        <v/>
      </c>
      <c r="AR117" s="68" t="str">
        <f t="shared" si="5"/>
        <v/>
      </c>
      <c r="AS117" s="68" t="str">
        <f>IFERROR((TP_DATA[[#This Row],[D, bottom '[m']]]+TP_DATA[[#This Row],[D, top '[m']]])/(2*TP_DATA[[#This Row],[t '[mm']]]/1000),"")</f>
        <v/>
      </c>
      <c r="AT117" s="68" t="str">
        <f>IFERROR((TP_DATA[[#This Row],[D, bottom '[m']]]+#REF!)/(2*#REF!/1000),"")</f>
        <v/>
      </c>
      <c r="BX117" s="68" t="str">
        <f>IFERROR(TOWER_DATA[[#This Row],[Bottom '[m']]]-TOWER_DATA[[#This Row],[D, top '[m']]], "")</f>
        <v/>
      </c>
      <c r="BY117" s="68" t="str">
        <f>IFERROR(-(TOWER_DATA[[#This Row],[D, bottom '[m']]]-TOWER_DATA[[#This Row],[D, top '[m']]])/(TOWER_DATA[[#This Row],[Bottom '[m']]]-TOWER_DATA[[#This Row],[Top '[m']]]),"")</f>
        <v/>
      </c>
      <c r="BZ117" s="68" t="str">
        <f t="shared" si="6"/>
        <v/>
      </c>
      <c r="CA117" s="68" t="str">
        <f>IFERROR((TOWER_DATA[[#This Row],[D, bottom '[m']]]+TOWER_DATA[[#This Row],[D, top '[m']]])/(2*TOWER_DATA[[#This Row],[t '[mm']]]/1000),"")</f>
        <v/>
      </c>
      <c r="CB117" s="68" t="str">
        <f>IFERROR((TOWER_DATA[[#This Row],[D, bottom '[m']]]+#REF!)/(2*#REF!/1000),"")</f>
        <v/>
      </c>
    </row>
    <row r="118" spans="8:80" x14ac:dyDescent="0.3">
      <c r="H118" s="68" t="str">
        <f>IFERROR(MP_DATA[[#This Row],[Bottom '[m']]]-MP_DATA[[#This Row],[D, top '[m']]], "")</f>
        <v/>
      </c>
      <c r="I118" s="68" t="str">
        <f>IFERROR(-(MP_DATA[[#This Row],[D, bottom '[m']]]-MP_DATA[[#This Row],[D, top '[m']]])/(MP_DATA[[#This Row],[Bottom '[m']]]-MP_DATA[[#This Row],[Top '[m']]]),"")</f>
        <v/>
      </c>
      <c r="J118" s="68" t="str">
        <f t="shared" si="4"/>
        <v/>
      </c>
      <c r="K118" s="68" t="str">
        <f>IFERROR((MP_DATA[[#This Row],[D, bottom '[m']]]+MP_DATA[[#This Row],[D, top '[m']]])/(2*MP_DATA[[#This Row],[t '[mm']]]/1000),"")</f>
        <v/>
      </c>
      <c r="L118" s="68" t="str">
        <f>IFERROR((MP_DATA[[#This Row],[D, bottom '[m']]]+#REF!)/(2*#REF!/1000),"")</f>
        <v/>
      </c>
      <c r="AP118" s="68" t="str">
        <f>IFERROR(TP_DATA[[#This Row],[Bottom '[m']]]-TP_DATA[[#This Row],[D, top '[m']]], "")</f>
        <v/>
      </c>
      <c r="AQ118" s="68" t="str">
        <f>IFERROR(-(TP_DATA[[#This Row],[D, bottom '[m']]]-TP_DATA[[#This Row],[D, top '[m']]])/(TP_DATA[[#This Row],[Bottom '[m']]]-TP_DATA[[#This Row],[Top '[m']]]),"")</f>
        <v/>
      </c>
      <c r="AR118" s="68" t="str">
        <f t="shared" si="5"/>
        <v/>
      </c>
      <c r="AS118" s="68" t="str">
        <f>IFERROR((TP_DATA[[#This Row],[D, bottom '[m']]]+TP_DATA[[#This Row],[D, top '[m']]])/(2*TP_DATA[[#This Row],[t '[mm']]]/1000),"")</f>
        <v/>
      </c>
      <c r="AT118" s="68" t="str">
        <f>IFERROR((TP_DATA[[#This Row],[D, bottom '[m']]]+#REF!)/(2*#REF!/1000),"")</f>
        <v/>
      </c>
      <c r="BX118" s="68" t="str">
        <f>IFERROR(TOWER_DATA[[#This Row],[Bottom '[m']]]-TOWER_DATA[[#This Row],[D, top '[m']]], "")</f>
        <v/>
      </c>
      <c r="BY118" s="68" t="str">
        <f>IFERROR(-(TOWER_DATA[[#This Row],[D, bottom '[m']]]-TOWER_DATA[[#This Row],[D, top '[m']]])/(TOWER_DATA[[#This Row],[Bottom '[m']]]-TOWER_DATA[[#This Row],[Top '[m']]]),"")</f>
        <v/>
      </c>
      <c r="BZ118" s="68" t="str">
        <f t="shared" si="6"/>
        <v/>
      </c>
      <c r="CA118" s="68" t="str">
        <f>IFERROR((TOWER_DATA[[#This Row],[D, bottom '[m']]]+TOWER_DATA[[#This Row],[D, top '[m']]])/(2*TOWER_DATA[[#This Row],[t '[mm']]]/1000),"")</f>
        <v/>
      </c>
      <c r="CB118" s="68" t="str">
        <f>IFERROR((TOWER_DATA[[#This Row],[D, bottom '[m']]]+#REF!)/(2*#REF!/1000),"")</f>
        <v/>
      </c>
    </row>
    <row r="119" spans="8:80" x14ac:dyDescent="0.3">
      <c r="H119" s="68" t="str">
        <f>IFERROR(MP_DATA[[#This Row],[Bottom '[m']]]-MP_DATA[[#This Row],[D, top '[m']]], "")</f>
        <v/>
      </c>
      <c r="I119" s="68" t="str">
        <f>IFERROR(-(MP_DATA[[#This Row],[D, bottom '[m']]]-MP_DATA[[#This Row],[D, top '[m']]])/(MP_DATA[[#This Row],[Bottom '[m']]]-MP_DATA[[#This Row],[Top '[m']]]),"")</f>
        <v/>
      </c>
      <c r="J119" s="68" t="str">
        <f t="shared" si="4"/>
        <v/>
      </c>
      <c r="K119" s="68" t="str">
        <f>IFERROR((MP_DATA[[#This Row],[D, bottom '[m']]]+MP_DATA[[#This Row],[D, top '[m']]])/(2*MP_DATA[[#This Row],[t '[mm']]]/1000),"")</f>
        <v/>
      </c>
      <c r="L119" s="68" t="str">
        <f>IFERROR((MP_DATA[[#This Row],[D, bottom '[m']]]+#REF!)/(2*#REF!/1000),"")</f>
        <v/>
      </c>
      <c r="AP119" s="68" t="str">
        <f>IFERROR(TP_DATA[[#This Row],[Bottom '[m']]]-TP_DATA[[#This Row],[D, top '[m']]], "")</f>
        <v/>
      </c>
      <c r="AQ119" s="68" t="str">
        <f>IFERROR(-(TP_DATA[[#This Row],[D, bottom '[m']]]-TP_DATA[[#This Row],[D, top '[m']]])/(TP_DATA[[#This Row],[Bottom '[m']]]-TP_DATA[[#This Row],[Top '[m']]]),"")</f>
        <v/>
      </c>
      <c r="AR119" s="68" t="str">
        <f t="shared" si="5"/>
        <v/>
      </c>
      <c r="AS119" s="68" t="str">
        <f>IFERROR((TP_DATA[[#This Row],[D, bottom '[m']]]+TP_DATA[[#This Row],[D, top '[m']]])/(2*TP_DATA[[#This Row],[t '[mm']]]/1000),"")</f>
        <v/>
      </c>
      <c r="AT119" s="68" t="str">
        <f>IFERROR((TP_DATA[[#This Row],[D, bottom '[m']]]+#REF!)/(2*#REF!/1000),"")</f>
        <v/>
      </c>
      <c r="BX119" s="68" t="str">
        <f>IFERROR(TOWER_DATA[[#This Row],[Bottom '[m']]]-TOWER_DATA[[#This Row],[D, top '[m']]], "")</f>
        <v/>
      </c>
      <c r="BY119" s="68" t="str">
        <f>IFERROR(-(TOWER_DATA[[#This Row],[D, bottom '[m']]]-TOWER_DATA[[#This Row],[D, top '[m']]])/(TOWER_DATA[[#This Row],[Bottom '[m']]]-TOWER_DATA[[#This Row],[Top '[m']]]),"")</f>
        <v/>
      </c>
      <c r="BZ119" s="68" t="str">
        <f t="shared" si="6"/>
        <v/>
      </c>
      <c r="CA119" s="68" t="str">
        <f>IFERROR((TOWER_DATA[[#This Row],[D, bottom '[m']]]+TOWER_DATA[[#This Row],[D, top '[m']]])/(2*TOWER_DATA[[#This Row],[t '[mm']]]/1000),"")</f>
        <v/>
      </c>
      <c r="CB119" s="68" t="str">
        <f>IFERROR((TOWER_DATA[[#This Row],[D, bottom '[m']]]+#REF!)/(2*#REF!/1000),"")</f>
        <v/>
      </c>
    </row>
    <row r="120" spans="8:80" x14ac:dyDescent="0.3">
      <c r="H120" s="68" t="str">
        <f>IFERROR(MP_DATA[[#This Row],[Bottom '[m']]]-MP_DATA[[#This Row],[D, top '[m']]], "")</f>
        <v/>
      </c>
      <c r="I120" s="68" t="str">
        <f>IFERROR(-(MP_DATA[[#This Row],[D, bottom '[m']]]-MP_DATA[[#This Row],[D, top '[m']]])/(MP_DATA[[#This Row],[Bottom '[m']]]-MP_DATA[[#This Row],[Top '[m']]]),"")</f>
        <v/>
      </c>
      <c r="J120" s="68" t="str">
        <f t="shared" si="4"/>
        <v/>
      </c>
      <c r="K120" s="68" t="str">
        <f>IFERROR((MP_DATA[[#This Row],[D, bottom '[m']]]+MP_DATA[[#This Row],[D, top '[m']]])/(2*MP_DATA[[#This Row],[t '[mm']]]/1000),"")</f>
        <v/>
      </c>
      <c r="L120" s="68" t="str">
        <f>IFERROR((MP_DATA[[#This Row],[D, bottom '[m']]]+#REF!)/(2*#REF!/1000),"")</f>
        <v/>
      </c>
      <c r="AP120" s="68" t="str">
        <f>IFERROR(TP_DATA[[#This Row],[Bottom '[m']]]-TP_DATA[[#This Row],[D, top '[m']]], "")</f>
        <v/>
      </c>
      <c r="AQ120" s="68" t="str">
        <f>IFERROR(-(TP_DATA[[#This Row],[D, bottom '[m']]]-TP_DATA[[#This Row],[D, top '[m']]])/(TP_DATA[[#This Row],[Bottom '[m']]]-TP_DATA[[#This Row],[Top '[m']]]),"")</f>
        <v/>
      </c>
      <c r="AR120" s="68" t="str">
        <f t="shared" si="5"/>
        <v/>
      </c>
      <c r="AS120" s="68" t="str">
        <f>IFERROR((TP_DATA[[#This Row],[D, bottom '[m']]]+TP_DATA[[#This Row],[D, top '[m']]])/(2*TP_DATA[[#This Row],[t '[mm']]]/1000),"")</f>
        <v/>
      </c>
      <c r="AT120" s="68" t="str">
        <f>IFERROR((TP_DATA[[#This Row],[D, bottom '[m']]]+#REF!)/(2*#REF!/1000),"")</f>
        <v/>
      </c>
      <c r="BX120" s="68" t="str">
        <f>IFERROR(TOWER_DATA[[#This Row],[Bottom '[m']]]-TOWER_DATA[[#This Row],[D, top '[m']]], "")</f>
        <v/>
      </c>
      <c r="BY120" s="68" t="str">
        <f>IFERROR(-(TOWER_DATA[[#This Row],[D, bottom '[m']]]-TOWER_DATA[[#This Row],[D, top '[m']]])/(TOWER_DATA[[#This Row],[Bottom '[m']]]-TOWER_DATA[[#This Row],[Top '[m']]]),"")</f>
        <v/>
      </c>
      <c r="BZ120" s="68" t="str">
        <f t="shared" si="6"/>
        <v/>
      </c>
      <c r="CA120" s="68" t="str">
        <f>IFERROR((TOWER_DATA[[#This Row],[D, bottom '[m']]]+TOWER_DATA[[#This Row],[D, top '[m']]])/(2*TOWER_DATA[[#This Row],[t '[mm']]]/1000),"")</f>
        <v/>
      </c>
      <c r="CB120" s="68" t="str">
        <f>IFERROR((TOWER_DATA[[#This Row],[D, bottom '[m']]]+#REF!)/(2*#REF!/1000),"")</f>
        <v/>
      </c>
    </row>
    <row r="121" spans="8:80" x14ac:dyDescent="0.3">
      <c r="H121" s="68" t="str">
        <f>IFERROR(MP_DATA[[#This Row],[Bottom '[m']]]-MP_DATA[[#This Row],[D, top '[m']]], "")</f>
        <v/>
      </c>
      <c r="I121" s="68" t="str">
        <f>IFERROR(-(MP_DATA[[#This Row],[D, bottom '[m']]]-MP_DATA[[#This Row],[D, top '[m']]])/(MP_DATA[[#This Row],[Bottom '[m']]]-MP_DATA[[#This Row],[Top '[m']]]),"")</f>
        <v/>
      </c>
      <c r="J121" s="68" t="str">
        <f t="shared" ref="J121:J153" si="7">IF(7850/1000*(1/3)*PI()*ABS(C121-D121)*((E121/2)^2+(E121/2)*(F121/2)+(F121/2)^2-(E121/2-G121/1000)^2-(E121/2-G121/1000)*(F121/2-G121/1000)-(F121/2-G121/1000)^2)=0,"",7850/1000*(1/3)*PI()*ABS(C121-D121)*((E121/2)^2+(E121/2)*(F121/2)+(F121/2)^2-(E121/2-G121/1000)^2-(E121/2-G121/1000)*(F121/2-G121/1000)-(F121/2-G121/1000)^2))</f>
        <v/>
      </c>
      <c r="K121" s="68" t="str">
        <f>IFERROR((MP_DATA[[#This Row],[D, bottom '[m']]]+MP_DATA[[#This Row],[D, top '[m']]])/(2*MP_DATA[[#This Row],[t '[mm']]]/1000),"")</f>
        <v/>
      </c>
      <c r="L121" s="68" t="str">
        <f>IFERROR((MP_DATA[[#This Row],[D, bottom '[m']]]+#REF!)/(2*#REF!/1000),"")</f>
        <v/>
      </c>
      <c r="AP121" s="68" t="str">
        <f>IFERROR(TP_DATA[[#This Row],[Bottom '[m']]]-TP_DATA[[#This Row],[D, top '[m']]], "")</f>
        <v/>
      </c>
      <c r="AQ121" s="68" t="str">
        <f>IFERROR(-(TP_DATA[[#This Row],[D, bottom '[m']]]-TP_DATA[[#This Row],[D, top '[m']]])/(TP_DATA[[#This Row],[Bottom '[m']]]-TP_DATA[[#This Row],[Top '[m']]]),"")</f>
        <v/>
      </c>
      <c r="AR121" s="68" t="str">
        <f t="shared" si="5"/>
        <v/>
      </c>
      <c r="AS121" s="68" t="str">
        <f>IFERROR((TP_DATA[[#This Row],[D, bottom '[m']]]+TP_DATA[[#This Row],[D, top '[m']]])/(2*TP_DATA[[#This Row],[t '[mm']]]/1000),"")</f>
        <v/>
      </c>
      <c r="AT121" s="68" t="str">
        <f>IFERROR((TP_DATA[[#This Row],[D, bottom '[m']]]+#REF!)/(2*#REF!/1000),"")</f>
        <v/>
      </c>
      <c r="BX121" s="68" t="str">
        <f>IFERROR(TOWER_DATA[[#This Row],[Bottom '[m']]]-TOWER_DATA[[#This Row],[D, top '[m']]], "")</f>
        <v/>
      </c>
      <c r="BY121" s="68" t="str">
        <f>IFERROR(-(TOWER_DATA[[#This Row],[D, bottom '[m']]]-TOWER_DATA[[#This Row],[D, top '[m']]])/(TOWER_DATA[[#This Row],[Bottom '[m']]]-TOWER_DATA[[#This Row],[Top '[m']]]),"")</f>
        <v/>
      </c>
      <c r="BZ121" s="68" t="str">
        <f t="shared" si="6"/>
        <v/>
      </c>
      <c r="CA121" s="68" t="str">
        <f>IFERROR((TOWER_DATA[[#This Row],[D, bottom '[m']]]+TOWER_DATA[[#This Row],[D, top '[m']]])/(2*TOWER_DATA[[#This Row],[t '[mm']]]/1000),"")</f>
        <v/>
      </c>
      <c r="CB121" s="68" t="str">
        <f>IFERROR((TOWER_DATA[[#This Row],[D, bottom '[m']]]+#REF!)/(2*#REF!/1000),"")</f>
        <v/>
      </c>
    </row>
    <row r="122" spans="8:80" x14ac:dyDescent="0.3">
      <c r="H122" s="68" t="str">
        <f>IFERROR(MP_DATA[[#This Row],[Bottom '[m']]]-MP_DATA[[#This Row],[D, top '[m']]], "")</f>
        <v/>
      </c>
      <c r="I122" s="68" t="str">
        <f>IFERROR(-(MP_DATA[[#This Row],[D, bottom '[m']]]-MP_DATA[[#This Row],[D, top '[m']]])/(MP_DATA[[#This Row],[Bottom '[m']]]-MP_DATA[[#This Row],[Top '[m']]]),"")</f>
        <v/>
      </c>
      <c r="J122" s="68" t="str">
        <f t="shared" si="7"/>
        <v/>
      </c>
      <c r="K122" s="68" t="str">
        <f>IFERROR((MP_DATA[[#This Row],[D, bottom '[m']]]+MP_DATA[[#This Row],[D, top '[m']]])/(2*MP_DATA[[#This Row],[t '[mm']]]/1000),"")</f>
        <v/>
      </c>
      <c r="L122" s="68" t="str">
        <f>IFERROR((MP_DATA[[#This Row],[D, bottom '[m']]]+#REF!)/(2*#REF!/1000),"")</f>
        <v/>
      </c>
      <c r="AP122" s="68" t="str">
        <f>IFERROR(TP_DATA[[#This Row],[Bottom '[m']]]-TP_DATA[[#This Row],[D, top '[m']]], "")</f>
        <v/>
      </c>
      <c r="AQ122" s="68" t="str">
        <f>IFERROR(-(TP_DATA[[#This Row],[D, bottom '[m']]]-TP_DATA[[#This Row],[D, top '[m']]])/(TP_DATA[[#This Row],[Bottom '[m']]]-TP_DATA[[#This Row],[Top '[m']]]),"")</f>
        <v/>
      </c>
      <c r="AR122" s="68" t="str">
        <f t="shared" si="5"/>
        <v/>
      </c>
      <c r="AS122" s="68" t="str">
        <f>IFERROR((TP_DATA[[#This Row],[D, bottom '[m']]]+TP_DATA[[#This Row],[D, top '[m']]])/(2*TP_DATA[[#This Row],[t '[mm']]]/1000),"")</f>
        <v/>
      </c>
      <c r="AT122" s="68" t="str">
        <f>IFERROR((TP_DATA[[#This Row],[D, bottom '[m']]]+#REF!)/(2*#REF!/1000),"")</f>
        <v/>
      </c>
      <c r="BX122" s="68" t="str">
        <f>IFERROR(TOWER_DATA[[#This Row],[Bottom '[m']]]-TOWER_DATA[[#This Row],[D, top '[m']]], "")</f>
        <v/>
      </c>
      <c r="BY122" s="68" t="str">
        <f>IFERROR(-(TOWER_DATA[[#This Row],[D, bottom '[m']]]-TOWER_DATA[[#This Row],[D, top '[m']]])/(TOWER_DATA[[#This Row],[Bottom '[m']]]-TOWER_DATA[[#This Row],[Top '[m']]]),"")</f>
        <v/>
      </c>
      <c r="BZ122" s="68" t="str">
        <f t="shared" si="6"/>
        <v/>
      </c>
      <c r="CA122" s="68" t="str">
        <f>IFERROR((TOWER_DATA[[#This Row],[D, bottom '[m']]]+TOWER_DATA[[#This Row],[D, top '[m']]])/(2*TOWER_DATA[[#This Row],[t '[mm']]]/1000),"")</f>
        <v/>
      </c>
      <c r="CB122" s="68" t="str">
        <f>IFERROR((TOWER_DATA[[#This Row],[D, bottom '[m']]]+#REF!)/(2*#REF!/1000),"")</f>
        <v/>
      </c>
    </row>
    <row r="123" spans="8:80" x14ac:dyDescent="0.3">
      <c r="H123" s="68" t="str">
        <f>IFERROR(MP_DATA[[#This Row],[Bottom '[m']]]-MP_DATA[[#This Row],[D, top '[m']]], "")</f>
        <v/>
      </c>
      <c r="I123" s="68" t="str">
        <f>IFERROR(-(MP_DATA[[#This Row],[D, bottom '[m']]]-MP_DATA[[#This Row],[D, top '[m']]])/(MP_DATA[[#This Row],[Bottom '[m']]]-MP_DATA[[#This Row],[Top '[m']]]),"")</f>
        <v/>
      </c>
      <c r="J123" s="68" t="str">
        <f t="shared" si="7"/>
        <v/>
      </c>
      <c r="K123" s="68" t="str">
        <f>IFERROR((MP_DATA[[#This Row],[D, bottom '[m']]]+MP_DATA[[#This Row],[D, top '[m']]])/(2*MP_DATA[[#This Row],[t '[mm']]]/1000),"")</f>
        <v/>
      </c>
      <c r="L123" s="68" t="str">
        <f>IFERROR((MP_DATA[[#This Row],[D, bottom '[m']]]+#REF!)/(2*#REF!/1000),"")</f>
        <v/>
      </c>
      <c r="AP123" s="68" t="str">
        <f>IFERROR(TP_DATA[[#This Row],[Bottom '[m']]]-TP_DATA[[#This Row],[D, top '[m']]], "")</f>
        <v/>
      </c>
      <c r="AQ123" s="68" t="str">
        <f>IFERROR(-(TP_DATA[[#This Row],[D, bottom '[m']]]-TP_DATA[[#This Row],[D, top '[m']]])/(TP_DATA[[#This Row],[Bottom '[m']]]-TP_DATA[[#This Row],[Top '[m']]]),"")</f>
        <v/>
      </c>
      <c r="AR123" s="68" t="str">
        <f t="shared" si="5"/>
        <v/>
      </c>
      <c r="AS123" s="68" t="str">
        <f>IFERROR((TP_DATA[[#This Row],[D, bottom '[m']]]+TP_DATA[[#This Row],[D, top '[m']]])/(2*TP_DATA[[#This Row],[t '[mm']]]/1000),"")</f>
        <v/>
      </c>
      <c r="AT123" s="68" t="str">
        <f>IFERROR((TP_DATA[[#This Row],[D, bottom '[m']]]+#REF!)/(2*#REF!/1000),"")</f>
        <v/>
      </c>
      <c r="BX123" s="68" t="str">
        <f>IFERROR(TOWER_DATA[[#This Row],[Bottom '[m']]]-TOWER_DATA[[#This Row],[D, top '[m']]], "")</f>
        <v/>
      </c>
      <c r="BY123" s="68" t="str">
        <f>IFERROR(-(TOWER_DATA[[#This Row],[D, bottom '[m']]]-TOWER_DATA[[#This Row],[D, top '[m']]])/(TOWER_DATA[[#This Row],[Bottom '[m']]]-TOWER_DATA[[#This Row],[Top '[m']]]),"")</f>
        <v/>
      </c>
      <c r="BZ123" s="68" t="str">
        <f t="shared" si="6"/>
        <v/>
      </c>
      <c r="CA123" s="68" t="str">
        <f>IFERROR((TOWER_DATA[[#This Row],[D, bottom '[m']]]+TOWER_DATA[[#This Row],[D, top '[m']]])/(2*TOWER_DATA[[#This Row],[t '[mm']]]/1000),"")</f>
        <v/>
      </c>
      <c r="CB123" s="68" t="str">
        <f>IFERROR((TOWER_DATA[[#This Row],[D, bottom '[m']]]+#REF!)/(2*#REF!/1000),"")</f>
        <v/>
      </c>
    </row>
    <row r="124" spans="8:80" x14ac:dyDescent="0.3">
      <c r="H124" s="68" t="str">
        <f>IFERROR(MP_DATA[[#This Row],[Bottom '[m']]]-MP_DATA[[#This Row],[D, top '[m']]], "")</f>
        <v/>
      </c>
      <c r="I124" s="68" t="str">
        <f>IFERROR(-(MP_DATA[[#This Row],[D, bottom '[m']]]-MP_DATA[[#This Row],[D, top '[m']]])/(MP_DATA[[#This Row],[Bottom '[m']]]-MP_DATA[[#This Row],[Top '[m']]]),"")</f>
        <v/>
      </c>
      <c r="J124" s="68" t="str">
        <f t="shared" si="7"/>
        <v/>
      </c>
      <c r="K124" s="68" t="str">
        <f>IFERROR((MP_DATA[[#This Row],[D, bottom '[m']]]+MP_DATA[[#This Row],[D, top '[m']]])/(2*MP_DATA[[#This Row],[t '[mm']]]/1000),"")</f>
        <v/>
      </c>
      <c r="L124" s="68" t="str">
        <f>IFERROR((MP_DATA[[#This Row],[D, bottom '[m']]]+#REF!)/(2*#REF!/1000),"")</f>
        <v/>
      </c>
      <c r="AP124" s="68" t="str">
        <f>IFERROR(TP_DATA[[#This Row],[Bottom '[m']]]-TP_DATA[[#This Row],[D, top '[m']]], "")</f>
        <v/>
      </c>
      <c r="AQ124" s="68" t="str">
        <f>IFERROR(-(TP_DATA[[#This Row],[D, bottom '[m']]]-TP_DATA[[#This Row],[D, top '[m']]])/(TP_DATA[[#This Row],[Bottom '[m']]]-TP_DATA[[#This Row],[Top '[m']]]),"")</f>
        <v/>
      </c>
      <c r="AR124" s="68" t="str">
        <f t="shared" si="5"/>
        <v/>
      </c>
      <c r="AS124" s="68" t="str">
        <f>IFERROR((TP_DATA[[#This Row],[D, bottom '[m']]]+TP_DATA[[#This Row],[D, top '[m']]])/(2*TP_DATA[[#This Row],[t '[mm']]]/1000),"")</f>
        <v/>
      </c>
      <c r="AT124" s="68" t="str">
        <f>IFERROR((TP_DATA[[#This Row],[D, bottom '[m']]]+#REF!)/(2*#REF!/1000),"")</f>
        <v/>
      </c>
      <c r="BX124" s="68" t="str">
        <f>IFERROR(TOWER_DATA[[#This Row],[Bottom '[m']]]-TOWER_DATA[[#This Row],[D, top '[m']]], "")</f>
        <v/>
      </c>
      <c r="BY124" s="68" t="str">
        <f>IFERROR(-(TOWER_DATA[[#This Row],[D, bottom '[m']]]-TOWER_DATA[[#This Row],[D, top '[m']]])/(TOWER_DATA[[#This Row],[Bottom '[m']]]-TOWER_DATA[[#This Row],[Top '[m']]]),"")</f>
        <v/>
      </c>
      <c r="BZ124" s="68" t="str">
        <f t="shared" si="6"/>
        <v/>
      </c>
      <c r="CA124" s="68" t="str">
        <f>IFERROR((TOWER_DATA[[#This Row],[D, bottom '[m']]]+TOWER_DATA[[#This Row],[D, top '[m']]])/(2*TOWER_DATA[[#This Row],[t '[mm']]]/1000),"")</f>
        <v/>
      </c>
      <c r="CB124" s="68" t="str">
        <f>IFERROR((TOWER_DATA[[#This Row],[D, bottom '[m']]]+#REF!)/(2*#REF!/1000),"")</f>
        <v/>
      </c>
    </row>
    <row r="125" spans="8:80" x14ac:dyDescent="0.3">
      <c r="H125" s="68" t="str">
        <f>IFERROR(MP_DATA[[#This Row],[Bottom '[m']]]-MP_DATA[[#This Row],[D, top '[m']]], "")</f>
        <v/>
      </c>
      <c r="I125" s="68" t="str">
        <f>IFERROR(-(MP_DATA[[#This Row],[D, bottom '[m']]]-MP_DATA[[#This Row],[D, top '[m']]])/(MP_DATA[[#This Row],[Bottom '[m']]]-MP_DATA[[#This Row],[Top '[m']]]),"")</f>
        <v/>
      </c>
      <c r="J125" s="68" t="str">
        <f t="shared" si="7"/>
        <v/>
      </c>
      <c r="K125" s="68" t="str">
        <f>IFERROR((MP_DATA[[#This Row],[D, bottom '[m']]]+MP_DATA[[#This Row],[D, top '[m']]])/(2*MP_DATA[[#This Row],[t '[mm']]]/1000),"")</f>
        <v/>
      </c>
      <c r="L125" s="68" t="str">
        <f>IFERROR((MP_DATA[[#This Row],[D, bottom '[m']]]+#REF!)/(2*#REF!/1000),"")</f>
        <v/>
      </c>
      <c r="AP125" s="68" t="str">
        <f>IFERROR(TP_DATA[[#This Row],[Bottom '[m']]]-TP_DATA[[#This Row],[D, top '[m']]], "")</f>
        <v/>
      </c>
      <c r="AQ125" s="68" t="str">
        <f>IFERROR(-(TP_DATA[[#This Row],[D, bottom '[m']]]-TP_DATA[[#This Row],[D, top '[m']]])/(TP_DATA[[#This Row],[Bottom '[m']]]-TP_DATA[[#This Row],[Top '[m']]]),"")</f>
        <v/>
      </c>
      <c r="AR125" s="68" t="str">
        <f t="shared" si="5"/>
        <v/>
      </c>
      <c r="AS125" s="68" t="str">
        <f>IFERROR((TP_DATA[[#This Row],[D, bottom '[m']]]+TP_DATA[[#This Row],[D, top '[m']]])/(2*TP_DATA[[#This Row],[t '[mm']]]/1000),"")</f>
        <v/>
      </c>
      <c r="AT125" s="68" t="str">
        <f>IFERROR((TP_DATA[[#This Row],[D, bottom '[m']]]+#REF!)/(2*#REF!/1000),"")</f>
        <v/>
      </c>
      <c r="BX125" s="68" t="str">
        <f>IFERROR(TOWER_DATA[[#This Row],[Bottom '[m']]]-TOWER_DATA[[#This Row],[D, top '[m']]], "")</f>
        <v/>
      </c>
      <c r="BY125" s="68" t="str">
        <f>IFERROR(-(TOWER_DATA[[#This Row],[D, bottom '[m']]]-TOWER_DATA[[#This Row],[D, top '[m']]])/(TOWER_DATA[[#This Row],[Bottom '[m']]]-TOWER_DATA[[#This Row],[Top '[m']]]),"")</f>
        <v/>
      </c>
      <c r="BZ125" s="68" t="str">
        <f t="shared" si="6"/>
        <v/>
      </c>
      <c r="CA125" s="68" t="str">
        <f>IFERROR((TOWER_DATA[[#This Row],[D, bottom '[m']]]+TOWER_DATA[[#This Row],[D, top '[m']]])/(2*TOWER_DATA[[#This Row],[t '[mm']]]/1000),"")</f>
        <v/>
      </c>
      <c r="CB125" s="68" t="str">
        <f>IFERROR((TOWER_DATA[[#This Row],[D, bottom '[m']]]+#REF!)/(2*#REF!/1000),"")</f>
        <v/>
      </c>
    </row>
    <row r="126" spans="8:80" x14ac:dyDescent="0.3">
      <c r="H126" s="68" t="str">
        <f>IFERROR(MP_DATA[[#This Row],[Bottom '[m']]]-MP_DATA[[#This Row],[D, top '[m']]], "")</f>
        <v/>
      </c>
      <c r="I126" s="68" t="str">
        <f>IFERROR(-(MP_DATA[[#This Row],[D, bottom '[m']]]-MP_DATA[[#This Row],[D, top '[m']]])/(MP_DATA[[#This Row],[Bottom '[m']]]-MP_DATA[[#This Row],[Top '[m']]]),"")</f>
        <v/>
      </c>
      <c r="J126" s="68" t="str">
        <f t="shared" si="7"/>
        <v/>
      </c>
      <c r="K126" s="68" t="str">
        <f>IFERROR((MP_DATA[[#This Row],[D, bottom '[m']]]+MP_DATA[[#This Row],[D, top '[m']]])/(2*MP_DATA[[#This Row],[t '[mm']]]/1000),"")</f>
        <v/>
      </c>
      <c r="L126" s="68" t="str">
        <f>IFERROR((MP_DATA[[#This Row],[D, bottom '[m']]]+#REF!)/(2*#REF!/1000),"")</f>
        <v/>
      </c>
      <c r="AP126" s="68" t="str">
        <f>IFERROR(TP_DATA[[#This Row],[Bottom '[m']]]-TP_DATA[[#This Row],[D, top '[m']]], "")</f>
        <v/>
      </c>
      <c r="AQ126" s="68" t="str">
        <f>IFERROR(-(TP_DATA[[#This Row],[D, bottom '[m']]]-TP_DATA[[#This Row],[D, top '[m']]])/(TP_DATA[[#This Row],[Bottom '[m']]]-TP_DATA[[#This Row],[Top '[m']]]),"")</f>
        <v/>
      </c>
      <c r="AR126" s="68" t="str">
        <f t="shared" si="5"/>
        <v/>
      </c>
      <c r="AS126" s="68" t="str">
        <f>IFERROR((TP_DATA[[#This Row],[D, bottom '[m']]]+TP_DATA[[#This Row],[D, top '[m']]])/(2*TP_DATA[[#This Row],[t '[mm']]]/1000),"")</f>
        <v/>
      </c>
      <c r="AT126" s="68" t="str">
        <f>IFERROR((TP_DATA[[#This Row],[D, bottom '[m']]]+#REF!)/(2*#REF!/1000),"")</f>
        <v/>
      </c>
      <c r="BX126" s="68" t="str">
        <f>IFERROR(TOWER_DATA[[#This Row],[Bottom '[m']]]-TOWER_DATA[[#This Row],[D, top '[m']]], "")</f>
        <v/>
      </c>
      <c r="BY126" s="68" t="str">
        <f>IFERROR(-(TOWER_DATA[[#This Row],[D, bottom '[m']]]-TOWER_DATA[[#This Row],[D, top '[m']]])/(TOWER_DATA[[#This Row],[Bottom '[m']]]-TOWER_DATA[[#This Row],[Top '[m']]]),"")</f>
        <v/>
      </c>
      <c r="BZ126" s="68" t="str">
        <f t="shared" si="6"/>
        <v/>
      </c>
      <c r="CA126" s="68" t="str">
        <f>IFERROR((TOWER_DATA[[#This Row],[D, bottom '[m']]]+TOWER_DATA[[#This Row],[D, top '[m']]])/(2*TOWER_DATA[[#This Row],[t '[mm']]]/1000),"")</f>
        <v/>
      </c>
      <c r="CB126" s="68" t="str">
        <f>IFERROR((TOWER_DATA[[#This Row],[D, bottom '[m']]]+#REF!)/(2*#REF!/1000),"")</f>
        <v/>
      </c>
    </row>
    <row r="127" spans="8:80" x14ac:dyDescent="0.3">
      <c r="H127" s="68" t="str">
        <f>IFERROR(MP_DATA[[#This Row],[Bottom '[m']]]-MP_DATA[[#This Row],[D, top '[m']]], "")</f>
        <v/>
      </c>
      <c r="I127" s="68" t="str">
        <f>IFERROR(-(MP_DATA[[#This Row],[D, bottom '[m']]]-MP_DATA[[#This Row],[D, top '[m']]])/(MP_DATA[[#This Row],[Bottom '[m']]]-MP_DATA[[#This Row],[Top '[m']]]),"")</f>
        <v/>
      </c>
      <c r="J127" s="68" t="str">
        <f t="shared" si="7"/>
        <v/>
      </c>
      <c r="K127" s="68" t="str">
        <f>IFERROR((MP_DATA[[#This Row],[D, bottom '[m']]]+MP_DATA[[#This Row],[D, top '[m']]])/(2*MP_DATA[[#This Row],[t '[mm']]]/1000),"")</f>
        <v/>
      </c>
      <c r="L127" s="68" t="str">
        <f>IFERROR((MP_DATA[[#This Row],[D, bottom '[m']]]+#REF!)/(2*#REF!/1000),"")</f>
        <v/>
      </c>
      <c r="AP127" s="68" t="str">
        <f>IFERROR(TP_DATA[[#This Row],[Bottom '[m']]]-TP_DATA[[#This Row],[D, top '[m']]], "")</f>
        <v/>
      </c>
      <c r="AQ127" s="68" t="str">
        <f>IFERROR(-(TP_DATA[[#This Row],[D, bottom '[m']]]-TP_DATA[[#This Row],[D, top '[m']]])/(TP_DATA[[#This Row],[Bottom '[m']]]-TP_DATA[[#This Row],[Top '[m']]]),"")</f>
        <v/>
      </c>
      <c r="AR127" s="68" t="str">
        <f t="shared" si="5"/>
        <v/>
      </c>
      <c r="AS127" s="68" t="str">
        <f>IFERROR((TP_DATA[[#This Row],[D, bottom '[m']]]+TP_DATA[[#This Row],[D, top '[m']]])/(2*TP_DATA[[#This Row],[t '[mm']]]/1000),"")</f>
        <v/>
      </c>
      <c r="AT127" s="68" t="str">
        <f>IFERROR((TP_DATA[[#This Row],[D, bottom '[m']]]+#REF!)/(2*#REF!/1000),"")</f>
        <v/>
      </c>
      <c r="BX127" s="68" t="str">
        <f>IFERROR(TOWER_DATA[[#This Row],[Bottom '[m']]]-TOWER_DATA[[#This Row],[D, top '[m']]], "")</f>
        <v/>
      </c>
      <c r="BY127" s="68" t="str">
        <f>IFERROR(-(TOWER_DATA[[#This Row],[D, bottom '[m']]]-TOWER_DATA[[#This Row],[D, top '[m']]])/(TOWER_DATA[[#This Row],[Bottom '[m']]]-TOWER_DATA[[#This Row],[Top '[m']]]),"")</f>
        <v/>
      </c>
      <c r="BZ127" s="68" t="str">
        <f t="shared" si="6"/>
        <v/>
      </c>
      <c r="CA127" s="68" t="str">
        <f>IFERROR((TOWER_DATA[[#This Row],[D, bottom '[m']]]+TOWER_DATA[[#This Row],[D, top '[m']]])/(2*TOWER_DATA[[#This Row],[t '[mm']]]/1000),"")</f>
        <v/>
      </c>
      <c r="CB127" s="68" t="str">
        <f>IFERROR((TOWER_DATA[[#This Row],[D, bottom '[m']]]+#REF!)/(2*#REF!/1000),"")</f>
        <v/>
      </c>
    </row>
    <row r="128" spans="8:80" x14ac:dyDescent="0.3">
      <c r="H128" s="68" t="str">
        <f>IFERROR(MP_DATA[[#This Row],[Bottom '[m']]]-MP_DATA[[#This Row],[D, top '[m']]], "")</f>
        <v/>
      </c>
      <c r="I128" s="68" t="str">
        <f>IFERROR(-(MP_DATA[[#This Row],[D, bottom '[m']]]-MP_DATA[[#This Row],[D, top '[m']]])/(MP_DATA[[#This Row],[Bottom '[m']]]-MP_DATA[[#This Row],[Top '[m']]]),"")</f>
        <v/>
      </c>
      <c r="J128" s="68" t="str">
        <f t="shared" si="7"/>
        <v/>
      </c>
      <c r="K128" s="68" t="str">
        <f>IFERROR((MP_DATA[[#This Row],[D, bottom '[m']]]+MP_DATA[[#This Row],[D, top '[m']]])/(2*MP_DATA[[#This Row],[t '[mm']]]/1000),"")</f>
        <v/>
      </c>
      <c r="L128" s="68" t="str">
        <f>IFERROR((MP_DATA[[#This Row],[D, bottom '[m']]]+#REF!)/(2*#REF!/1000),"")</f>
        <v/>
      </c>
      <c r="AP128" s="68" t="str">
        <f>IFERROR(TP_DATA[[#This Row],[Bottom '[m']]]-TP_DATA[[#This Row],[D, top '[m']]], "")</f>
        <v/>
      </c>
      <c r="AQ128" s="68" t="str">
        <f>IFERROR(-(TP_DATA[[#This Row],[D, bottom '[m']]]-TP_DATA[[#This Row],[D, top '[m']]])/(TP_DATA[[#This Row],[Bottom '[m']]]-TP_DATA[[#This Row],[Top '[m']]]),"")</f>
        <v/>
      </c>
      <c r="AR128" s="68" t="str">
        <f t="shared" si="5"/>
        <v/>
      </c>
      <c r="AS128" s="68" t="str">
        <f>IFERROR((TP_DATA[[#This Row],[D, bottom '[m']]]+TP_DATA[[#This Row],[D, top '[m']]])/(2*TP_DATA[[#This Row],[t '[mm']]]/1000),"")</f>
        <v/>
      </c>
      <c r="AT128" s="68" t="str">
        <f>IFERROR((TP_DATA[[#This Row],[D, bottom '[m']]]+#REF!)/(2*#REF!/1000),"")</f>
        <v/>
      </c>
      <c r="BX128" s="68" t="str">
        <f>IFERROR(TOWER_DATA[[#This Row],[Bottom '[m']]]-TOWER_DATA[[#This Row],[D, top '[m']]], "")</f>
        <v/>
      </c>
      <c r="BY128" s="68" t="str">
        <f>IFERROR(-(TOWER_DATA[[#This Row],[D, bottom '[m']]]-TOWER_DATA[[#This Row],[D, top '[m']]])/(TOWER_DATA[[#This Row],[Bottom '[m']]]-TOWER_DATA[[#This Row],[Top '[m']]]),"")</f>
        <v/>
      </c>
      <c r="BZ128" s="68" t="str">
        <f t="shared" si="6"/>
        <v/>
      </c>
      <c r="CA128" s="68" t="str">
        <f>IFERROR((TOWER_DATA[[#This Row],[D, bottom '[m']]]+TOWER_DATA[[#This Row],[D, top '[m']]])/(2*TOWER_DATA[[#This Row],[t '[mm']]]/1000),"")</f>
        <v/>
      </c>
      <c r="CB128" s="68" t="str">
        <f>IFERROR((TOWER_DATA[[#This Row],[D, bottom '[m']]]+#REF!)/(2*#REF!/1000),"")</f>
        <v/>
      </c>
    </row>
    <row r="129" spans="8:80" x14ac:dyDescent="0.3">
      <c r="H129" s="68" t="str">
        <f>IFERROR(MP_DATA[[#This Row],[Bottom '[m']]]-MP_DATA[[#This Row],[D, top '[m']]], "")</f>
        <v/>
      </c>
      <c r="I129" s="68" t="str">
        <f>IFERROR(-(MP_DATA[[#This Row],[D, bottom '[m']]]-MP_DATA[[#This Row],[D, top '[m']]])/(MP_DATA[[#This Row],[Bottom '[m']]]-MP_DATA[[#This Row],[Top '[m']]]),"")</f>
        <v/>
      </c>
      <c r="J129" s="68" t="str">
        <f t="shared" si="7"/>
        <v/>
      </c>
      <c r="K129" s="68" t="str">
        <f>IFERROR((MP_DATA[[#This Row],[D, bottom '[m']]]+MP_DATA[[#This Row],[D, top '[m']]])/(2*MP_DATA[[#This Row],[t '[mm']]]/1000),"")</f>
        <v/>
      </c>
      <c r="L129" s="68" t="str">
        <f>IFERROR((MP_DATA[[#This Row],[D, bottom '[m']]]+#REF!)/(2*#REF!/1000),"")</f>
        <v/>
      </c>
      <c r="AP129" s="68" t="str">
        <f>IFERROR(TP_DATA[[#This Row],[Bottom '[m']]]-TP_DATA[[#This Row],[D, top '[m']]], "")</f>
        <v/>
      </c>
      <c r="AQ129" s="68" t="str">
        <f>IFERROR(-(TP_DATA[[#This Row],[D, bottom '[m']]]-TP_DATA[[#This Row],[D, top '[m']]])/(TP_DATA[[#This Row],[Bottom '[m']]]-TP_DATA[[#This Row],[Top '[m']]]),"")</f>
        <v/>
      </c>
      <c r="AR129" s="68" t="str">
        <f t="shared" si="5"/>
        <v/>
      </c>
      <c r="AS129" s="68" t="str">
        <f>IFERROR((TP_DATA[[#This Row],[D, bottom '[m']]]+TP_DATA[[#This Row],[D, top '[m']]])/(2*TP_DATA[[#This Row],[t '[mm']]]/1000),"")</f>
        <v/>
      </c>
      <c r="AT129" s="68" t="str">
        <f>IFERROR((TP_DATA[[#This Row],[D, bottom '[m']]]+#REF!)/(2*#REF!/1000),"")</f>
        <v/>
      </c>
      <c r="BX129" s="68" t="str">
        <f>IFERROR(TOWER_DATA[[#This Row],[Bottom '[m']]]-TOWER_DATA[[#This Row],[D, top '[m']]], "")</f>
        <v/>
      </c>
      <c r="BY129" s="68" t="str">
        <f>IFERROR(-(TOWER_DATA[[#This Row],[D, bottom '[m']]]-TOWER_DATA[[#This Row],[D, top '[m']]])/(TOWER_DATA[[#This Row],[Bottom '[m']]]-TOWER_DATA[[#This Row],[Top '[m']]]),"")</f>
        <v/>
      </c>
      <c r="BZ129" s="68" t="str">
        <f t="shared" si="6"/>
        <v/>
      </c>
      <c r="CA129" s="68" t="str">
        <f>IFERROR((TOWER_DATA[[#This Row],[D, bottom '[m']]]+TOWER_DATA[[#This Row],[D, top '[m']]])/(2*TOWER_DATA[[#This Row],[t '[mm']]]/1000),"")</f>
        <v/>
      </c>
      <c r="CB129" s="68" t="str">
        <f>IFERROR((TOWER_DATA[[#This Row],[D, bottom '[m']]]+#REF!)/(2*#REF!/1000),"")</f>
        <v/>
      </c>
    </row>
    <row r="130" spans="8:80" x14ac:dyDescent="0.3">
      <c r="H130" s="68" t="str">
        <f>IFERROR(MP_DATA[[#This Row],[Bottom '[m']]]-MP_DATA[[#This Row],[D, top '[m']]], "")</f>
        <v/>
      </c>
      <c r="I130" s="68" t="str">
        <f>IFERROR(-(MP_DATA[[#This Row],[D, bottom '[m']]]-MP_DATA[[#This Row],[D, top '[m']]])/(MP_DATA[[#This Row],[Bottom '[m']]]-MP_DATA[[#This Row],[Top '[m']]]),"")</f>
        <v/>
      </c>
      <c r="J130" s="68" t="str">
        <f t="shared" si="7"/>
        <v/>
      </c>
      <c r="K130" s="68" t="str">
        <f>IFERROR((MP_DATA[[#This Row],[D, bottom '[m']]]+MP_DATA[[#This Row],[D, top '[m']]])/(2*MP_DATA[[#This Row],[t '[mm']]]/1000),"")</f>
        <v/>
      </c>
      <c r="L130" s="68" t="str">
        <f>IFERROR((MP_DATA[[#This Row],[D, bottom '[m']]]+#REF!)/(2*#REF!/1000),"")</f>
        <v/>
      </c>
      <c r="AP130" s="68" t="str">
        <f>IFERROR(TP_DATA[[#This Row],[Bottom '[m']]]-TP_DATA[[#This Row],[D, top '[m']]], "")</f>
        <v/>
      </c>
      <c r="AQ130" s="68" t="str">
        <f>IFERROR(-(TP_DATA[[#This Row],[D, bottom '[m']]]-TP_DATA[[#This Row],[D, top '[m']]])/(TP_DATA[[#This Row],[Bottom '[m']]]-TP_DATA[[#This Row],[Top '[m']]]),"")</f>
        <v/>
      </c>
      <c r="AR130" s="68" t="str">
        <f t="shared" si="5"/>
        <v/>
      </c>
      <c r="AS130" s="68" t="str">
        <f>IFERROR((TP_DATA[[#This Row],[D, bottom '[m']]]+TP_DATA[[#This Row],[D, top '[m']]])/(2*TP_DATA[[#This Row],[t '[mm']]]/1000),"")</f>
        <v/>
      </c>
      <c r="AT130" s="68" t="str">
        <f>IFERROR((TP_DATA[[#This Row],[D, bottom '[m']]]+#REF!)/(2*#REF!/1000),"")</f>
        <v/>
      </c>
      <c r="BX130" s="68" t="str">
        <f>IFERROR(TOWER_DATA[[#This Row],[Bottom '[m']]]-TOWER_DATA[[#This Row],[D, top '[m']]], "")</f>
        <v/>
      </c>
      <c r="BY130" s="68" t="str">
        <f>IFERROR(-(TOWER_DATA[[#This Row],[D, bottom '[m']]]-TOWER_DATA[[#This Row],[D, top '[m']]])/(TOWER_DATA[[#This Row],[Bottom '[m']]]-TOWER_DATA[[#This Row],[Top '[m']]]),"")</f>
        <v/>
      </c>
      <c r="BZ130" s="68" t="str">
        <f t="shared" si="6"/>
        <v/>
      </c>
      <c r="CA130" s="68" t="str">
        <f>IFERROR((TOWER_DATA[[#This Row],[D, bottom '[m']]]+TOWER_DATA[[#This Row],[D, top '[m']]])/(2*TOWER_DATA[[#This Row],[t '[mm']]]/1000),"")</f>
        <v/>
      </c>
      <c r="CB130" s="68" t="str">
        <f>IFERROR((TOWER_DATA[[#This Row],[D, bottom '[m']]]+#REF!)/(2*#REF!/1000),"")</f>
        <v/>
      </c>
    </row>
    <row r="131" spans="8:80" x14ac:dyDescent="0.3">
      <c r="H131" s="68" t="str">
        <f>IFERROR(MP_DATA[[#This Row],[Bottom '[m']]]-MP_DATA[[#This Row],[D, top '[m']]], "")</f>
        <v/>
      </c>
      <c r="I131" s="68" t="str">
        <f>IFERROR(-(MP_DATA[[#This Row],[D, bottom '[m']]]-MP_DATA[[#This Row],[D, top '[m']]])/(MP_DATA[[#This Row],[Bottom '[m']]]-MP_DATA[[#This Row],[Top '[m']]]),"")</f>
        <v/>
      </c>
      <c r="J131" s="68" t="str">
        <f t="shared" si="7"/>
        <v/>
      </c>
      <c r="K131" s="68" t="str">
        <f>IFERROR((MP_DATA[[#This Row],[D, bottom '[m']]]+MP_DATA[[#This Row],[D, top '[m']]])/(2*MP_DATA[[#This Row],[t '[mm']]]/1000),"")</f>
        <v/>
      </c>
      <c r="L131" s="68" t="str">
        <f>IFERROR((MP_DATA[[#This Row],[D, bottom '[m']]]+#REF!)/(2*#REF!/1000),"")</f>
        <v/>
      </c>
      <c r="AP131" s="68" t="str">
        <f>IFERROR(TP_DATA[[#This Row],[Bottom '[m']]]-TP_DATA[[#This Row],[D, top '[m']]], "")</f>
        <v/>
      </c>
      <c r="AQ131" s="68" t="str">
        <f>IFERROR(-(TP_DATA[[#This Row],[D, bottom '[m']]]-TP_DATA[[#This Row],[D, top '[m']]])/(TP_DATA[[#This Row],[Bottom '[m']]]-TP_DATA[[#This Row],[Top '[m']]]),"")</f>
        <v/>
      </c>
      <c r="AR131" s="68" t="str">
        <f t="shared" si="5"/>
        <v/>
      </c>
      <c r="AS131" s="68" t="str">
        <f>IFERROR((TP_DATA[[#This Row],[D, bottom '[m']]]+TP_DATA[[#This Row],[D, top '[m']]])/(2*TP_DATA[[#This Row],[t '[mm']]]/1000),"")</f>
        <v/>
      </c>
      <c r="AT131" s="68" t="str">
        <f>IFERROR((TP_DATA[[#This Row],[D, bottom '[m']]]+#REF!)/(2*#REF!/1000),"")</f>
        <v/>
      </c>
      <c r="BX131" s="68" t="str">
        <f>IFERROR(TOWER_DATA[[#This Row],[Bottom '[m']]]-TOWER_DATA[[#This Row],[D, top '[m']]], "")</f>
        <v/>
      </c>
      <c r="BY131" s="68" t="str">
        <f>IFERROR(-(TOWER_DATA[[#This Row],[D, bottom '[m']]]-TOWER_DATA[[#This Row],[D, top '[m']]])/(TOWER_DATA[[#This Row],[Bottom '[m']]]-TOWER_DATA[[#This Row],[Top '[m']]]),"")</f>
        <v/>
      </c>
      <c r="BZ131" s="68" t="str">
        <f t="shared" si="6"/>
        <v/>
      </c>
      <c r="CA131" s="68" t="str">
        <f>IFERROR((TOWER_DATA[[#This Row],[D, bottom '[m']]]+TOWER_DATA[[#This Row],[D, top '[m']]])/(2*TOWER_DATA[[#This Row],[t '[mm']]]/1000),"")</f>
        <v/>
      </c>
      <c r="CB131" s="68" t="str">
        <f>IFERROR((TOWER_DATA[[#This Row],[D, bottom '[m']]]+#REF!)/(2*#REF!/1000),"")</f>
        <v/>
      </c>
    </row>
    <row r="132" spans="8:80" x14ac:dyDescent="0.3">
      <c r="H132" s="68" t="str">
        <f>IFERROR(MP_DATA[[#This Row],[Bottom '[m']]]-MP_DATA[[#This Row],[D, top '[m']]], "")</f>
        <v/>
      </c>
      <c r="I132" s="68" t="str">
        <f>IFERROR(-(MP_DATA[[#This Row],[D, bottom '[m']]]-MP_DATA[[#This Row],[D, top '[m']]])/(MP_DATA[[#This Row],[Bottom '[m']]]-MP_DATA[[#This Row],[Top '[m']]]),"")</f>
        <v/>
      </c>
      <c r="J132" s="68" t="str">
        <f t="shared" si="7"/>
        <v/>
      </c>
      <c r="K132" s="68" t="str">
        <f>IFERROR((MP_DATA[[#This Row],[D, bottom '[m']]]+MP_DATA[[#This Row],[D, top '[m']]])/(2*MP_DATA[[#This Row],[t '[mm']]]/1000),"")</f>
        <v/>
      </c>
      <c r="L132" s="68" t="str">
        <f>IFERROR((MP_DATA[[#This Row],[D, bottom '[m']]]+#REF!)/(2*#REF!/1000),"")</f>
        <v/>
      </c>
      <c r="AP132" s="68" t="str">
        <f>IFERROR(TP_DATA[[#This Row],[Bottom '[m']]]-TP_DATA[[#This Row],[D, top '[m']]], "")</f>
        <v/>
      </c>
      <c r="AQ132" s="68" t="str">
        <f>IFERROR(-(TP_DATA[[#This Row],[D, bottom '[m']]]-TP_DATA[[#This Row],[D, top '[m']]])/(TP_DATA[[#This Row],[Bottom '[m']]]-TP_DATA[[#This Row],[Top '[m']]]),"")</f>
        <v/>
      </c>
      <c r="AR132" s="68" t="str">
        <f t="shared" si="5"/>
        <v/>
      </c>
      <c r="AS132" s="68" t="str">
        <f>IFERROR((TP_DATA[[#This Row],[D, bottom '[m']]]+TP_DATA[[#This Row],[D, top '[m']]])/(2*TP_DATA[[#This Row],[t '[mm']]]/1000),"")</f>
        <v/>
      </c>
      <c r="AT132" s="68" t="str">
        <f>IFERROR((TP_DATA[[#This Row],[D, bottom '[m']]]+#REF!)/(2*#REF!/1000),"")</f>
        <v/>
      </c>
      <c r="BX132" s="68" t="str">
        <f>IFERROR(TOWER_DATA[[#This Row],[Bottom '[m']]]-TOWER_DATA[[#This Row],[D, top '[m']]], "")</f>
        <v/>
      </c>
      <c r="BY132" s="68" t="str">
        <f>IFERROR(-(TOWER_DATA[[#This Row],[D, bottom '[m']]]-TOWER_DATA[[#This Row],[D, top '[m']]])/(TOWER_DATA[[#This Row],[Bottom '[m']]]-TOWER_DATA[[#This Row],[Top '[m']]]),"")</f>
        <v/>
      </c>
      <c r="BZ132" s="68" t="str">
        <f t="shared" si="6"/>
        <v/>
      </c>
      <c r="CA132" s="68" t="str">
        <f>IFERROR((TOWER_DATA[[#This Row],[D, bottom '[m']]]+TOWER_DATA[[#This Row],[D, top '[m']]])/(2*TOWER_DATA[[#This Row],[t '[mm']]]/1000),"")</f>
        <v/>
      </c>
      <c r="CB132" s="68" t="str">
        <f>IFERROR((TOWER_DATA[[#This Row],[D, bottom '[m']]]+#REF!)/(2*#REF!/1000),"")</f>
        <v/>
      </c>
    </row>
    <row r="133" spans="8:80" x14ac:dyDescent="0.3">
      <c r="H133" s="68" t="str">
        <f>IFERROR(MP_DATA[[#This Row],[Bottom '[m']]]-MP_DATA[[#This Row],[D, top '[m']]], "")</f>
        <v/>
      </c>
      <c r="I133" s="68" t="str">
        <f>IFERROR(-(MP_DATA[[#This Row],[D, bottom '[m']]]-MP_DATA[[#This Row],[D, top '[m']]])/(MP_DATA[[#This Row],[Bottom '[m']]]-MP_DATA[[#This Row],[Top '[m']]]),"")</f>
        <v/>
      </c>
      <c r="J133" s="68" t="str">
        <f t="shared" si="7"/>
        <v/>
      </c>
      <c r="K133" s="68" t="str">
        <f>IFERROR((MP_DATA[[#This Row],[D, bottom '[m']]]+MP_DATA[[#This Row],[D, top '[m']]])/(2*MP_DATA[[#This Row],[t '[mm']]]/1000),"")</f>
        <v/>
      </c>
      <c r="L133" s="68" t="str">
        <f>IFERROR((MP_DATA[[#This Row],[D, bottom '[m']]]+#REF!)/(2*#REF!/1000),"")</f>
        <v/>
      </c>
      <c r="AP133" s="68" t="str">
        <f>IFERROR(TP_DATA[[#This Row],[Bottom '[m']]]-TP_DATA[[#This Row],[D, top '[m']]], "")</f>
        <v/>
      </c>
      <c r="AQ133" s="68" t="str">
        <f>IFERROR(-(TP_DATA[[#This Row],[D, bottom '[m']]]-TP_DATA[[#This Row],[D, top '[m']]])/(TP_DATA[[#This Row],[Bottom '[m']]]-TP_DATA[[#This Row],[Top '[m']]]),"")</f>
        <v/>
      </c>
      <c r="AR133" s="68" t="str">
        <f t="shared" si="5"/>
        <v/>
      </c>
      <c r="AS133" s="68" t="str">
        <f>IFERROR((TP_DATA[[#This Row],[D, bottom '[m']]]+TP_DATA[[#This Row],[D, top '[m']]])/(2*TP_DATA[[#This Row],[t '[mm']]]/1000),"")</f>
        <v/>
      </c>
      <c r="AT133" s="68" t="str">
        <f>IFERROR((TP_DATA[[#This Row],[D, bottom '[m']]]+#REF!)/(2*#REF!/1000),"")</f>
        <v/>
      </c>
      <c r="BX133" s="68" t="str">
        <f>IFERROR(TOWER_DATA[[#This Row],[Bottom '[m']]]-TOWER_DATA[[#This Row],[D, top '[m']]], "")</f>
        <v/>
      </c>
      <c r="BY133" s="68" t="str">
        <f>IFERROR(-(TOWER_DATA[[#This Row],[D, bottom '[m']]]-TOWER_DATA[[#This Row],[D, top '[m']]])/(TOWER_DATA[[#This Row],[Bottom '[m']]]-TOWER_DATA[[#This Row],[Top '[m']]]),"")</f>
        <v/>
      </c>
      <c r="BZ133" s="68" t="str">
        <f t="shared" si="6"/>
        <v/>
      </c>
      <c r="CA133" s="68" t="str">
        <f>IFERROR((TOWER_DATA[[#This Row],[D, bottom '[m']]]+TOWER_DATA[[#This Row],[D, top '[m']]])/(2*TOWER_DATA[[#This Row],[t '[mm']]]/1000),"")</f>
        <v/>
      </c>
      <c r="CB133" s="68" t="str">
        <f>IFERROR((TOWER_DATA[[#This Row],[D, bottom '[m']]]+#REF!)/(2*#REF!/1000),"")</f>
        <v/>
      </c>
    </row>
    <row r="134" spans="8:80" x14ac:dyDescent="0.3">
      <c r="H134" s="68" t="str">
        <f>IFERROR(MP_DATA[[#This Row],[Bottom '[m']]]-MP_DATA[[#This Row],[D, top '[m']]], "")</f>
        <v/>
      </c>
      <c r="I134" s="68" t="str">
        <f>IFERROR(-(MP_DATA[[#This Row],[D, bottom '[m']]]-MP_DATA[[#This Row],[D, top '[m']]])/(MP_DATA[[#This Row],[Bottom '[m']]]-MP_DATA[[#This Row],[Top '[m']]]),"")</f>
        <v/>
      </c>
      <c r="J134" s="68" t="str">
        <f t="shared" si="7"/>
        <v/>
      </c>
      <c r="K134" s="68" t="str">
        <f>IFERROR((MP_DATA[[#This Row],[D, bottom '[m']]]+MP_DATA[[#This Row],[D, top '[m']]])/(2*MP_DATA[[#This Row],[t '[mm']]]/1000),"")</f>
        <v/>
      </c>
      <c r="L134" s="68" t="str">
        <f>IFERROR((MP_DATA[[#This Row],[D, bottom '[m']]]+#REF!)/(2*#REF!/1000),"")</f>
        <v/>
      </c>
      <c r="AP134" s="68" t="str">
        <f>IFERROR(TP_DATA[[#This Row],[Bottom '[m']]]-TP_DATA[[#This Row],[D, top '[m']]], "")</f>
        <v/>
      </c>
      <c r="AQ134" s="68" t="str">
        <f>IFERROR(-(TP_DATA[[#This Row],[D, bottom '[m']]]-TP_DATA[[#This Row],[D, top '[m']]])/(TP_DATA[[#This Row],[Bottom '[m']]]-TP_DATA[[#This Row],[Top '[m']]]),"")</f>
        <v/>
      </c>
      <c r="AR134" s="68" t="str">
        <f t="shared" si="5"/>
        <v/>
      </c>
      <c r="AS134" s="68" t="str">
        <f>IFERROR((TP_DATA[[#This Row],[D, bottom '[m']]]+TP_DATA[[#This Row],[D, top '[m']]])/(2*TP_DATA[[#This Row],[t '[mm']]]/1000),"")</f>
        <v/>
      </c>
      <c r="AT134" s="68" t="str">
        <f>IFERROR((TP_DATA[[#This Row],[D, bottom '[m']]]+#REF!)/(2*#REF!/1000),"")</f>
        <v/>
      </c>
      <c r="BX134" s="68" t="str">
        <f>IFERROR(TOWER_DATA[[#This Row],[Bottom '[m']]]-TOWER_DATA[[#This Row],[D, top '[m']]], "")</f>
        <v/>
      </c>
      <c r="BY134" s="68" t="str">
        <f>IFERROR(-(TOWER_DATA[[#This Row],[D, bottom '[m']]]-TOWER_DATA[[#This Row],[D, top '[m']]])/(TOWER_DATA[[#This Row],[Bottom '[m']]]-TOWER_DATA[[#This Row],[Top '[m']]]),"")</f>
        <v/>
      </c>
      <c r="BZ134" s="68" t="str">
        <f t="shared" si="6"/>
        <v/>
      </c>
      <c r="CA134" s="68" t="str">
        <f>IFERROR((TOWER_DATA[[#This Row],[D, bottom '[m']]]+TOWER_DATA[[#This Row],[D, top '[m']]])/(2*TOWER_DATA[[#This Row],[t '[mm']]]/1000),"")</f>
        <v/>
      </c>
      <c r="CB134" s="68" t="str">
        <f>IFERROR((TOWER_DATA[[#This Row],[D, bottom '[m']]]+#REF!)/(2*#REF!/1000),"")</f>
        <v/>
      </c>
    </row>
    <row r="135" spans="8:80" x14ac:dyDescent="0.3">
      <c r="H135" s="68" t="str">
        <f>IFERROR(MP_DATA[[#This Row],[Bottom '[m']]]-MP_DATA[[#This Row],[D, top '[m']]], "")</f>
        <v/>
      </c>
      <c r="I135" s="68" t="str">
        <f>IFERROR(-(MP_DATA[[#This Row],[D, bottom '[m']]]-MP_DATA[[#This Row],[D, top '[m']]])/(MP_DATA[[#This Row],[Bottom '[m']]]-MP_DATA[[#This Row],[Top '[m']]]),"")</f>
        <v/>
      </c>
      <c r="J135" s="68" t="str">
        <f t="shared" si="7"/>
        <v/>
      </c>
      <c r="K135" s="68" t="str">
        <f>IFERROR((MP_DATA[[#This Row],[D, bottom '[m']]]+MP_DATA[[#This Row],[D, top '[m']]])/(2*MP_DATA[[#This Row],[t '[mm']]]/1000),"")</f>
        <v/>
      </c>
      <c r="L135" s="68" t="str">
        <f>IFERROR((MP_DATA[[#This Row],[D, bottom '[m']]]+#REF!)/(2*#REF!/1000),"")</f>
        <v/>
      </c>
      <c r="AP135" s="68" t="str">
        <f>IFERROR(TP_DATA[[#This Row],[Bottom '[m']]]-TP_DATA[[#This Row],[D, top '[m']]], "")</f>
        <v/>
      </c>
      <c r="AQ135" s="68" t="str">
        <f>IFERROR(-(TP_DATA[[#This Row],[D, bottom '[m']]]-TP_DATA[[#This Row],[D, top '[m']]])/(TP_DATA[[#This Row],[Bottom '[m']]]-TP_DATA[[#This Row],[Top '[m']]]),"")</f>
        <v/>
      </c>
      <c r="AR135" s="68" t="str">
        <f t="shared" si="5"/>
        <v/>
      </c>
      <c r="AS135" s="68" t="str">
        <f>IFERROR((TP_DATA[[#This Row],[D, bottom '[m']]]+TP_DATA[[#This Row],[D, top '[m']]])/(2*TP_DATA[[#This Row],[t '[mm']]]/1000),"")</f>
        <v/>
      </c>
      <c r="AT135" s="68" t="str">
        <f>IFERROR((TP_DATA[[#This Row],[D, bottom '[m']]]+#REF!)/(2*#REF!/1000),"")</f>
        <v/>
      </c>
      <c r="BX135" s="68" t="str">
        <f>IFERROR(TOWER_DATA[[#This Row],[Bottom '[m']]]-TOWER_DATA[[#This Row],[D, top '[m']]], "")</f>
        <v/>
      </c>
      <c r="BY135" s="68" t="str">
        <f>IFERROR(-(TOWER_DATA[[#This Row],[D, bottom '[m']]]-TOWER_DATA[[#This Row],[D, top '[m']]])/(TOWER_DATA[[#This Row],[Bottom '[m']]]-TOWER_DATA[[#This Row],[Top '[m']]]),"")</f>
        <v/>
      </c>
      <c r="BZ135" s="68" t="str">
        <f t="shared" si="6"/>
        <v/>
      </c>
      <c r="CA135" s="68" t="str">
        <f>IFERROR((TOWER_DATA[[#This Row],[D, bottom '[m']]]+TOWER_DATA[[#This Row],[D, top '[m']]])/(2*TOWER_DATA[[#This Row],[t '[mm']]]/1000),"")</f>
        <v/>
      </c>
      <c r="CB135" s="68" t="str">
        <f>IFERROR((TOWER_DATA[[#This Row],[D, bottom '[m']]]+#REF!)/(2*#REF!/1000),"")</f>
        <v/>
      </c>
    </row>
    <row r="136" spans="8:80" x14ac:dyDescent="0.3">
      <c r="H136" s="68" t="str">
        <f>IFERROR(MP_DATA[[#This Row],[Bottom '[m']]]-MP_DATA[[#This Row],[D, top '[m']]], "")</f>
        <v/>
      </c>
      <c r="I136" s="68" t="str">
        <f>IFERROR(-(MP_DATA[[#This Row],[D, bottom '[m']]]-MP_DATA[[#This Row],[D, top '[m']]])/(MP_DATA[[#This Row],[Bottom '[m']]]-MP_DATA[[#This Row],[Top '[m']]]),"")</f>
        <v/>
      </c>
      <c r="J136" s="68" t="str">
        <f t="shared" si="7"/>
        <v/>
      </c>
      <c r="K136" s="68" t="str">
        <f>IFERROR((MP_DATA[[#This Row],[D, bottom '[m']]]+MP_DATA[[#This Row],[D, top '[m']]])/(2*MP_DATA[[#This Row],[t '[mm']]]/1000),"")</f>
        <v/>
      </c>
      <c r="L136" t="str">
        <f>IFERROR((MP_DATA[[#This Row],[D, bottom '[m']]]+#REF!)/(2*#REF!/1000),"")</f>
        <v/>
      </c>
      <c r="AP136" s="68" t="str">
        <f>IFERROR(TP_DATA[[#This Row],[Bottom '[m']]]-TP_DATA[[#This Row],[D, top '[m']]], "")</f>
        <v/>
      </c>
      <c r="AQ136" s="68" t="str">
        <f>IFERROR(-(TP_DATA[[#This Row],[D, bottom '[m']]]-TP_DATA[[#This Row],[D, top '[m']]])/(TP_DATA[[#This Row],[Bottom '[m']]]-TP_DATA[[#This Row],[Top '[m']]]),"")</f>
        <v/>
      </c>
      <c r="AR136" s="68" t="str">
        <f t="shared" si="5"/>
        <v/>
      </c>
      <c r="AS136" s="68" t="str">
        <f>IFERROR((TP_DATA[[#This Row],[D, bottom '[m']]]+TP_DATA[[#This Row],[D, top '[m']]])/(2*TP_DATA[[#This Row],[t '[mm']]]/1000),"")</f>
        <v/>
      </c>
      <c r="AT136" t="str">
        <f>IFERROR((TP_DATA[[#This Row],[D, bottom '[m']]]+#REF!)/(2*#REF!/1000),"")</f>
        <v/>
      </c>
      <c r="BX136" s="68" t="str">
        <f>IFERROR(TOWER_DATA[[#This Row],[Bottom '[m']]]-TOWER_DATA[[#This Row],[D, top '[m']]], "")</f>
        <v/>
      </c>
      <c r="BY136" s="68" t="str">
        <f>IFERROR(-(TOWER_DATA[[#This Row],[D, bottom '[m']]]-TOWER_DATA[[#This Row],[D, top '[m']]])/(TOWER_DATA[[#This Row],[Bottom '[m']]]-TOWER_DATA[[#This Row],[Top '[m']]]),"")</f>
        <v/>
      </c>
      <c r="BZ136" s="68" t="str">
        <f t="shared" si="6"/>
        <v/>
      </c>
      <c r="CA136" s="68" t="str">
        <f>IFERROR((TOWER_DATA[[#This Row],[D, bottom '[m']]]+TOWER_DATA[[#This Row],[D, top '[m']]])/(2*TOWER_DATA[[#This Row],[t '[mm']]]/1000),"")</f>
        <v/>
      </c>
      <c r="CB136" t="str">
        <f>IFERROR((TOWER_DATA[[#This Row],[D, bottom '[m']]]+#REF!)/(2*#REF!/1000),"")</f>
        <v/>
      </c>
    </row>
    <row r="137" spans="8:80" x14ac:dyDescent="0.3">
      <c r="H137" s="68" t="str">
        <f>IFERROR(MP_DATA[[#This Row],[Bottom '[m']]]-MP_DATA[[#This Row],[D, top '[m']]], "")</f>
        <v/>
      </c>
      <c r="I137" s="68" t="str">
        <f>IFERROR(-(MP_DATA[[#This Row],[D, bottom '[m']]]-MP_DATA[[#This Row],[D, top '[m']]])/(MP_DATA[[#This Row],[Bottom '[m']]]-MP_DATA[[#This Row],[Top '[m']]]),"")</f>
        <v/>
      </c>
      <c r="J137" s="68" t="str">
        <f t="shared" si="7"/>
        <v/>
      </c>
      <c r="K137" s="68" t="str">
        <f>IFERROR((MP_DATA[[#This Row],[D, bottom '[m']]]+MP_DATA[[#This Row],[D, top '[m']]])/(2*MP_DATA[[#This Row],[t '[mm']]]/1000),"")</f>
        <v/>
      </c>
      <c r="L137" t="str">
        <f>IFERROR((MP_DATA[[#This Row],[D, bottom '[m']]]+#REF!)/(2*#REF!/1000),"")</f>
        <v/>
      </c>
      <c r="AP137" s="68" t="str">
        <f>IFERROR(TP_DATA[[#This Row],[Bottom '[m']]]-TP_DATA[[#This Row],[D, top '[m']]], "")</f>
        <v/>
      </c>
      <c r="AQ137" s="68" t="str">
        <f>IFERROR(-(TP_DATA[[#This Row],[D, bottom '[m']]]-TP_DATA[[#This Row],[D, top '[m']]])/(TP_DATA[[#This Row],[Bottom '[m']]]-TP_DATA[[#This Row],[Top '[m']]]),"")</f>
        <v/>
      </c>
      <c r="AR137" s="68" t="str">
        <f t="shared" si="5"/>
        <v/>
      </c>
      <c r="AS137" s="68" t="str">
        <f>IFERROR((TP_DATA[[#This Row],[D, bottom '[m']]]+TP_DATA[[#This Row],[D, top '[m']]])/(2*TP_DATA[[#This Row],[t '[mm']]]/1000),"")</f>
        <v/>
      </c>
      <c r="AT137" t="str">
        <f>IFERROR((TP_DATA[[#This Row],[D, bottom '[m']]]+#REF!)/(2*#REF!/1000),"")</f>
        <v/>
      </c>
      <c r="BX137" s="68" t="str">
        <f>IFERROR(TOWER_DATA[[#This Row],[Bottom '[m']]]-TOWER_DATA[[#This Row],[D, top '[m']]], "")</f>
        <v/>
      </c>
      <c r="BY137" s="68" t="str">
        <f>IFERROR(-(TOWER_DATA[[#This Row],[D, bottom '[m']]]-TOWER_DATA[[#This Row],[D, top '[m']]])/(TOWER_DATA[[#This Row],[Bottom '[m']]]-TOWER_DATA[[#This Row],[Top '[m']]]),"")</f>
        <v/>
      </c>
      <c r="BZ137" s="68" t="str">
        <f t="shared" si="6"/>
        <v/>
      </c>
      <c r="CA137" s="68" t="str">
        <f>IFERROR((TOWER_DATA[[#This Row],[D, bottom '[m']]]+TOWER_DATA[[#This Row],[D, top '[m']]])/(2*TOWER_DATA[[#This Row],[t '[mm']]]/1000),"")</f>
        <v/>
      </c>
      <c r="CB137" t="str">
        <f>IFERROR((TOWER_DATA[[#This Row],[D, bottom '[m']]]+#REF!)/(2*#REF!/1000),"")</f>
        <v/>
      </c>
    </row>
    <row r="138" spans="8:80" x14ac:dyDescent="0.3">
      <c r="H138" s="68" t="str">
        <f>IFERROR(MP_DATA[[#This Row],[Bottom '[m']]]-MP_DATA[[#This Row],[D, top '[m']]], "")</f>
        <v/>
      </c>
      <c r="I138" s="68" t="str">
        <f>IFERROR(-(MP_DATA[[#This Row],[D, bottom '[m']]]-MP_DATA[[#This Row],[D, top '[m']]])/(MP_DATA[[#This Row],[Bottom '[m']]]-MP_DATA[[#This Row],[Top '[m']]]),"")</f>
        <v/>
      </c>
      <c r="J138" s="68" t="str">
        <f t="shared" si="7"/>
        <v/>
      </c>
      <c r="K138" s="68" t="str">
        <f>IFERROR((MP_DATA[[#This Row],[D, bottom '[m']]]+MP_DATA[[#This Row],[D, top '[m']]])/(2*MP_DATA[[#This Row],[t '[mm']]]/1000),"")</f>
        <v/>
      </c>
      <c r="L138" t="str">
        <f>IFERROR((MP_DATA[[#This Row],[D, bottom '[m']]]+#REF!)/(2*#REF!/1000),"")</f>
        <v/>
      </c>
      <c r="AP138" s="68" t="str">
        <f>IFERROR(TP_DATA[[#This Row],[Bottom '[m']]]-TP_DATA[[#This Row],[D, top '[m']]], "")</f>
        <v/>
      </c>
      <c r="AQ138" s="68" t="str">
        <f>IFERROR(-(TP_DATA[[#This Row],[D, bottom '[m']]]-TP_DATA[[#This Row],[D, top '[m']]])/(TP_DATA[[#This Row],[Bottom '[m']]]-TP_DATA[[#This Row],[Top '[m']]]),"")</f>
        <v/>
      </c>
      <c r="AR138" s="68" t="str">
        <f t="shared" si="5"/>
        <v/>
      </c>
      <c r="AS138" s="68" t="str">
        <f>IFERROR((TP_DATA[[#This Row],[D, bottom '[m']]]+TP_DATA[[#This Row],[D, top '[m']]])/(2*TP_DATA[[#This Row],[t '[mm']]]/1000),"")</f>
        <v/>
      </c>
      <c r="AT138" t="str">
        <f>IFERROR((TP_DATA[[#This Row],[D, bottom '[m']]]+#REF!)/(2*#REF!/1000),"")</f>
        <v/>
      </c>
      <c r="BX138" s="68" t="str">
        <f>IFERROR(TOWER_DATA[[#This Row],[Bottom '[m']]]-TOWER_DATA[[#This Row],[D, top '[m']]], "")</f>
        <v/>
      </c>
      <c r="BY138" s="68" t="str">
        <f>IFERROR(-(TOWER_DATA[[#This Row],[D, bottom '[m']]]-TOWER_DATA[[#This Row],[D, top '[m']]])/(TOWER_DATA[[#This Row],[Bottom '[m']]]-TOWER_DATA[[#This Row],[Top '[m']]]),"")</f>
        <v/>
      </c>
      <c r="BZ138" s="68" t="str">
        <f t="shared" si="6"/>
        <v/>
      </c>
      <c r="CA138" s="68" t="str">
        <f>IFERROR((TOWER_DATA[[#This Row],[D, bottom '[m']]]+TOWER_DATA[[#This Row],[D, top '[m']]])/(2*TOWER_DATA[[#This Row],[t '[mm']]]/1000),"")</f>
        <v/>
      </c>
      <c r="CB138" t="str">
        <f>IFERROR((TOWER_DATA[[#This Row],[D, bottom '[m']]]+#REF!)/(2*#REF!/1000),"")</f>
        <v/>
      </c>
    </row>
    <row r="139" spans="8:80" x14ac:dyDescent="0.3">
      <c r="H139" s="68" t="str">
        <f>IFERROR(MP_DATA[[#This Row],[Bottom '[m']]]-MP_DATA[[#This Row],[D, top '[m']]], "")</f>
        <v/>
      </c>
      <c r="I139" s="68" t="str">
        <f>IFERROR(-(MP_DATA[[#This Row],[D, bottom '[m']]]-MP_DATA[[#This Row],[D, top '[m']]])/(MP_DATA[[#This Row],[Bottom '[m']]]-MP_DATA[[#This Row],[Top '[m']]]),"")</f>
        <v/>
      </c>
      <c r="J139" s="68" t="str">
        <f t="shared" si="7"/>
        <v/>
      </c>
      <c r="K139" s="68" t="str">
        <f>IFERROR((MP_DATA[[#This Row],[D, bottom '[m']]]+MP_DATA[[#This Row],[D, top '[m']]])/(2*MP_DATA[[#This Row],[t '[mm']]]/1000),"")</f>
        <v/>
      </c>
      <c r="L139" t="str">
        <f>IFERROR((MP_DATA[[#This Row],[D, bottom '[m']]]+#REF!)/(2*#REF!/1000),"")</f>
        <v/>
      </c>
      <c r="AP139" s="68" t="str">
        <f>IFERROR(TP_DATA[[#This Row],[Bottom '[m']]]-TP_DATA[[#This Row],[D, top '[m']]], "")</f>
        <v/>
      </c>
      <c r="AQ139" s="68" t="str">
        <f>IFERROR(-(TP_DATA[[#This Row],[D, bottom '[m']]]-TP_DATA[[#This Row],[D, top '[m']]])/(TP_DATA[[#This Row],[Bottom '[m']]]-TP_DATA[[#This Row],[Top '[m']]]),"")</f>
        <v/>
      </c>
      <c r="AR139" s="68" t="str">
        <f t="shared" si="5"/>
        <v/>
      </c>
      <c r="AS139" s="68" t="str">
        <f>IFERROR((TP_DATA[[#This Row],[D, bottom '[m']]]+TP_DATA[[#This Row],[D, top '[m']]])/(2*TP_DATA[[#This Row],[t '[mm']]]/1000),"")</f>
        <v/>
      </c>
      <c r="AT139" t="str">
        <f>IFERROR((TP_DATA[[#This Row],[D, bottom '[m']]]+#REF!)/(2*#REF!/1000),"")</f>
        <v/>
      </c>
      <c r="BX139" s="68" t="str">
        <f>IFERROR(TOWER_DATA[[#This Row],[Bottom '[m']]]-TOWER_DATA[[#This Row],[D, top '[m']]], "")</f>
        <v/>
      </c>
      <c r="BY139" s="68" t="str">
        <f>IFERROR(-(TOWER_DATA[[#This Row],[D, bottom '[m']]]-TOWER_DATA[[#This Row],[D, top '[m']]])/(TOWER_DATA[[#This Row],[Bottom '[m']]]-TOWER_DATA[[#This Row],[Top '[m']]]),"")</f>
        <v/>
      </c>
      <c r="BZ139" s="68" t="str">
        <f t="shared" si="6"/>
        <v/>
      </c>
      <c r="CA139" s="68" t="str">
        <f>IFERROR((TOWER_DATA[[#This Row],[D, bottom '[m']]]+TOWER_DATA[[#This Row],[D, top '[m']]])/(2*TOWER_DATA[[#This Row],[t '[mm']]]/1000),"")</f>
        <v/>
      </c>
      <c r="CB139" t="str">
        <f>IFERROR((TOWER_DATA[[#This Row],[D, bottom '[m']]]+#REF!)/(2*#REF!/1000),"")</f>
        <v/>
      </c>
    </row>
    <row r="140" spans="8:80" x14ac:dyDescent="0.3">
      <c r="H140" s="68" t="str">
        <f>IFERROR(MP_DATA[[#This Row],[Bottom '[m']]]-MP_DATA[[#This Row],[D, top '[m']]], "")</f>
        <v/>
      </c>
      <c r="I140" s="68" t="str">
        <f>IFERROR(-(MP_DATA[[#This Row],[D, bottom '[m']]]-MP_DATA[[#This Row],[D, top '[m']]])/(MP_DATA[[#This Row],[Bottom '[m']]]-MP_DATA[[#This Row],[Top '[m']]]),"")</f>
        <v/>
      </c>
      <c r="J140" s="68" t="str">
        <f t="shared" si="7"/>
        <v/>
      </c>
      <c r="K140" s="68" t="str">
        <f>IFERROR((MP_DATA[[#This Row],[D, bottom '[m']]]+MP_DATA[[#This Row],[D, top '[m']]])/(2*MP_DATA[[#This Row],[t '[mm']]]/1000),"")</f>
        <v/>
      </c>
      <c r="L140" t="str">
        <f>IFERROR((MP_DATA[[#This Row],[D, bottom '[m']]]+#REF!)/(2*#REF!/1000),"")</f>
        <v/>
      </c>
      <c r="AP140" s="68" t="str">
        <f>IFERROR(TP_DATA[[#This Row],[Bottom '[m']]]-TP_DATA[[#This Row],[D, top '[m']]], "")</f>
        <v/>
      </c>
      <c r="AQ140" s="68" t="str">
        <f>IFERROR(-(TP_DATA[[#This Row],[D, bottom '[m']]]-TP_DATA[[#This Row],[D, top '[m']]])/(TP_DATA[[#This Row],[Bottom '[m']]]-TP_DATA[[#This Row],[Top '[m']]]),"")</f>
        <v/>
      </c>
      <c r="AR140" s="68" t="str">
        <f t="shared" si="5"/>
        <v/>
      </c>
      <c r="AS140" s="68" t="str">
        <f>IFERROR((TP_DATA[[#This Row],[D, bottom '[m']]]+TP_DATA[[#This Row],[D, top '[m']]])/(2*TP_DATA[[#This Row],[t '[mm']]]/1000),"")</f>
        <v/>
      </c>
      <c r="AT140" t="str">
        <f>IFERROR((TP_DATA[[#This Row],[D, bottom '[m']]]+#REF!)/(2*#REF!/1000),"")</f>
        <v/>
      </c>
      <c r="BX140" s="68" t="str">
        <f>IFERROR(TOWER_DATA[[#This Row],[Bottom '[m']]]-TOWER_DATA[[#This Row],[D, top '[m']]], "")</f>
        <v/>
      </c>
      <c r="BY140" s="68" t="str">
        <f>IFERROR(-(TOWER_DATA[[#This Row],[D, bottom '[m']]]-TOWER_DATA[[#This Row],[D, top '[m']]])/(TOWER_DATA[[#This Row],[Bottom '[m']]]-TOWER_DATA[[#This Row],[Top '[m']]]),"")</f>
        <v/>
      </c>
      <c r="BZ140" s="68" t="str">
        <f t="shared" si="6"/>
        <v/>
      </c>
      <c r="CA140" s="68" t="str">
        <f>IFERROR((TOWER_DATA[[#This Row],[D, bottom '[m']]]+TOWER_DATA[[#This Row],[D, top '[m']]])/(2*TOWER_DATA[[#This Row],[t '[mm']]]/1000),"")</f>
        <v/>
      </c>
      <c r="CB140" t="str">
        <f>IFERROR((TOWER_DATA[[#This Row],[D, bottom '[m']]]+#REF!)/(2*#REF!/1000),"")</f>
        <v/>
      </c>
    </row>
    <row r="141" spans="8:80" x14ac:dyDescent="0.3">
      <c r="H141" s="68" t="str">
        <f>IFERROR(MP_DATA[[#This Row],[Bottom '[m']]]-MP_DATA[[#This Row],[D, top '[m']]], "")</f>
        <v/>
      </c>
      <c r="I141" s="68" t="str">
        <f>IFERROR(-(MP_DATA[[#This Row],[D, bottom '[m']]]-MP_DATA[[#This Row],[D, top '[m']]])/(MP_DATA[[#This Row],[Bottom '[m']]]-MP_DATA[[#This Row],[Top '[m']]]),"")</f>
        <v/>
      </c>
      <c r="J141" s="68" t="str">
        <f t="shared" si="7"/>
        <v/>
      </c>
      <c r="K141" s="68" t="str">
        <f>IFERROR((MP_DATA[[#This Row],[D, bottom '[m']]]+MP_DATA[[#This Row],[D, top '[m']]])/(2*MP_DATA[[#This Row],[t '[mm']]]/1000),"")</f>
        <v/>
      </c>
      <c r="L141" t="str">
        <f>IFERROR((MP_DATA[[#This Row],[D, bottom '[m']]]+#REF!)/(2*#REF!/1000),"")</f>
        <v/>
      </c>
      <c r="AP141" s="68" t="str">
        <f>IFERROR(TP_DATA[[#This Row],[Bottom '[m']]]-TP_DATA[[#This Row],[D, top '[m']]], "")</f>
        <v/>
      </c>
      <c r="AQ141" s="68" t="str">
        <f>IFERROR(-(TP_DATA[[#This Row],[D, bottom '[m']]]-TP_DATA[[#This Row],[D, top '[m']]])/(TP_DATA[[#This Row],[Bottom '[m']]]-TP_DATA[[#This Row],[Top '[m']]]),"")</f>
        <v/>
      </c>
      <c r="AR141" s="68" t="str">
        <f t="shared" si="5"/>
        <v/>
      </c>
      <c r="AS141" s="68" t="str">
        <f>IFERROR((TP_DATA[[#This Row],[D, bottom '[m']]]+TP_DATA[[#This Row],[D, top '[m']]])/(2*TP_DATA[[#This Row],[t '[mm']]]/1000),"")</f>
        <v/>
      </c>
      <c r="AT141" t="str">
        <f>IFERROR((TP_DATA[[#This Row],[D, bottom '[m']]]+#REF!)/(2*#REF!/1000),"")</f>
        <v/>
      </c>
      <c r="BX141" s="68" t="str">
        <f>IFERROR(TOWER_DATA[[#This Row],[Bottom '[m']]]-TOWER_DATA[[#This Row],[D, top '[m']]], "")</f>
        <v/>
      </c>
      <c r="BY141" s="68" t="str">
        <f>IFERROR(-(TOWER_DATA[[#This Row],[D, bottom '[m']]]-TOWER_DATA[[#This Row],[D, top '[m']]])/(TOWER_DATA[[#This Row],[Bottom '[m']]]-TOWER_DATA[[#This Row],[Top '[m']]]),"")</f>
        <v/>
      </c>
      <c r="BZ141" s="68" t="str">
        <f t="shared" si="6"/>
        <v/>
      </c>
      <c r="CA141" s="68" t="str">
        <f>IFERROR((TOWER_DATA[[#This Row],[D, bottom '[m']]]+TOWER_DATA[[#This Row],[D, top '[m']]])/(2*TOWER_DATA[[#This Row],[t '[mm']]]/1000),"")</f>
        <v/>
      </c>
      <c r="CB141" t="str">
        <f>IFERROR((TOWER_DATA[[#This Row],[D, bottom '[m']]]+#REF!)/(2*#REF!/1000),"")</f>
        <v/>
      </c>
    </row>
    <row r="142" spans="8:80" x14ac:dyDescent="0.3">
      <c r="H142" s="68" t="str">
        <f>IFERROR(MP_DATA[[#This Row],[Bottom '[m']]]-MP_DATA[[#This Row],[D, top '[m']]], "")</f>
        <v/>
      </c>
      <c r="I142" s="68" t="str">
        <f>IFERROR(-(MP_DATA[[#This Row],[D, bottom '[m']]]-MP_DATA[[#This Row],[D, top '[m']]])/(MP_DATA[[#This Row],[Bottom '[m']]]-MP_DATA[[#This Row],[Top '[m']]]),"")</f>
        <v/>
      </c>
      <c r="J142" s="68" t="str">
        <f t="shared" si="7"/>
        <v/>
      </c>
      <c r="K142" s="68" t="str">
        <f>IFERROR((MP_DATA[[#This Row],[D, bottom '[m']]]+MP_DATA[[#This Row],[D, top '[m']]])/(2*MP_DATA[[#This Row],[t '[mm']]]/1000),"")</f>
        <v/>
      </c>
      <c r="AP142" s="68" t="str">
        <f>IFERROR(TP_DATA[[#This Row],[Bottom '[m']]]-TP_DATA[[#This Row],[D, top '[m']]], "")</f>
        <v/>
      </c>
      <c r="AQ142" s="68" t="str">
        <f>IFERROR(-(TP_DATA[[#This Row],[D, bottom '[m']]]-TP_DATA[[#This Row],[D, top '[m']]])/(TP_DATA[[#This Row],[Bottom '[m']]]-TP_DATA[[#This Row],[Top '[m']]]),"")</f>
        <v/>
      </c>
      <c r="AR142" s="68" t="str">
        <f t="shared" si="5"/>
        <v/>
      </c>
      <c r="AS142" s="68" t="str">
        <f>IFERROR((TP_DATA[[#This Row],[D, bottom '[m']]]+TP_DATA[[#This Row],[D, top '[m']]])/(2*TP_DATA[[#This Row],[t '[mm']]]/1000),"")</f>
        <v/>
      </c>
      <c r="BX142" s="68" t="str">
        <f>IFERROR(TOWER_DATA[[#This Row],[Bottom '[m']]]-TOWER_DATA[[#This Row],[D, top '[m']]], "")</f>
        <v/>
      </c>
      <c r="BY142" s="68" t="str">
        <f>IFERROR(-(TOWER_DATA[[#This Row],[D, bottom '[m']]]-TOWER_DATA[[#This Row],[D, top '[m']]])/(TOWER_DATA[[#This Row],[Bottom '[m']]]-TOWER_DATA[[#This Row],[Top '[m']]]),"")</f>
        <v/>
      </c>
      <c r="BZ142" s="68" t="str">
        <f t="shared" si="6"/>
        <v/>
      </c>
      <c r="CA142" s="68" t="str">
        <f>IFERROR((TOWER_DATA[[#This Row],[D, bottom '[m']]]+TOWER_DATA[[#This Row],[D, top '[m']]])/(2*TOWER_DATA[[#This Row],[t '[mm']]]/1000),"")</f>
        <v/>
      </c>
    </row>
    <row r="143" spans="8:80" x14ac:dyDescent="0.3">
      <c r="H143" s="68" t="str">
        <f>IFERROR(MP_DATA[[#This Row],[Bottom '[m']]]-MP_DATA[[#This Row],[D, top '[m']]], "")</f>
        <v/>
      </c>
      <c r="I143" s="68" t="str">
        <f>IFERROR(-(MP_DATA[[#This Row],[D, bottom '[m']]]-MP_DATA[[#This Row],[D, top '[m']]])/(MP_DATA[[#This Row],[Bottom '[m']]]-MP_DATA[[#This Row],[Top '[m']]]),"")</f>
        <v/>
      </c>
      <c r="J143" s="68" t="str">
        <f t="shared" si="7"/>
        <v/>
      </c>
      <c r="K143" s="68" t="str">
        <f>IFERROR((MP_DATA[[#This Row],[D, bottom '[m']]]+MP_DATA[[#This Row],[D, top '[m']]])/(2*MP_DATA[[#This Row],[t '[mm']]]/1000),"")</f>
        <v/>
      </c>
      <c r="AP143" s="68" t="str">
        <f>IFERROR(TP_DATA[[#This Row],[Bottom '[m']]]-TP_DATA[[#This Row],[D, top '[m']]], "")</f>
        <v/>
      </c>
      <c r="AQ143" s="68" t="str">
        <f>IFERROR(-(TP_DATA[[#This Row],[D, bottom '[m']]]-TP_DATA[[#This Row],[D, top '[m']]])/(TP_DATA[[#This Row],[Bottom '[m']]]-TP_DATA[[#This Row],[Top '[m']]]),"")</f>
        <v/>
      </c>
      <c r="AR143" s="68" t="str">
        <f t="shared" si="5"/>
        <v/>
      </c>
      <c r="AS143" s="68" t="str">
        <f>IFERROR((TP_DATA[[#This Row],[D, bottom '[m']]]+TP_DATA[[#This Row],[D, top '[m']]])/(2*TP_DATA[[#This Row],[t '[mm']]]/1000),"")</f>
        <v/>
      </c>
      <c r="BX143" s="68" t="str">
        <f>IFERROR(TOWER_DATA[[#This Row],[Bottom '[m']]]-TOWER_DATA[[#This Row],[D, top '[m']]], "")</f>
        <v/>
      </c>
      <c r="BY143" s="68" t="str">
        <f>IFERROR(-(TOWER_DATA[[#This Row],[D, bottom '[m']]]-TOWER_DATA[[#This Row],[D, top '[m']]])/(TOWER_DATA[[#This Row],[Bottom '[m']]]-TOWER_DATA[[#This Row],[Top '[m']]]),"")</f>
        <v/>
      </c>
      <c r="BZ143" s="68" t="str">
        <f t="shared" si="6"/>
        <v/>
      </c>
      <c r="CA143" s="68" t="str">
        <f>IFERROR((TOWER_DATA[[#This Row],[D, bottom '[m']]]+TOWER_DATA[[#This Row],[D, top '[m']]])/(2*TOWER_DATA[[#This Row],[t '[mm']]]/1000),"")</f>
        <v/>
      </c>
    </row>
    <row r="144" spans="8:80" x14ac:dyDescent="0.3">
      <c r="H144" s="68" t="str">
        <f>IFERROR(MP_DATA[[#This Row],[Bottom '[m']]]-MP_DATA[[#This Row],[D, top '[m']]], "")</f>
        <v/>
      </c>
      <c r="I144" s="68" t="str">
        <f>IFERROR(-(MP_DATA[[#This Row],[D, bottom '[m']]]-MP_DATA[[#This Row],[D, top '[m']]])/(MP_DATA[[#This Row],[Bottom '[m']]]-MP_DATA[[#This Row],[Top '[m']]]),"")</f>
        <v/>
      </c>
      <c r="J144" s="68" t="str">
        <f t="shared" si="7"/>
        <v/>
      </c>
      <c r="K144" s="68" t="str">
        <f>IFERROR((MP_DATA[[#This Row],[D, bottom '[m']]]+MP_DATA[[#This Row],[D, top '[m']]])/(2*MP_DATA[[#This Row],[t '[mm']]]/1000),"")</f>
        <v/>
      </c>
      <c r="AP144" s="68" t="str">
        <f>IFERROR(TP_DATA[[#This Row],[Bottom '[m']]]-TP_DATA[[#This Row],[D, top '[m']]], "")</f>
        <v/>
      </c>
      <c r="AQ144" s="68" t="str">
        <f>IFERROR(-(TP_DATA[[#This Row],[D, bottom '[m']]]-TP_DATA[[#This Row],[D, top '[m']]])/(TP_DATA[[#This Row],[Bottom '[m']]]-TP_DATA[[#This Row],[Top '[m']]]),"")</f>
        <v/>
      </c>
      <c r="AR144" s="68" t="str">
        <f t="shared" si="5"/>
        <v/>
      </c>
      <c r="AS144" s="68" t="str">
        <f>IFERROR((TP_DATA[[#This Row],[D, bottom '[m']]]+TP_DATA[[#This Row],[D, top '[m']]])/(2*TP_DATA[[#This Row],[t '[mm']]]/1000),"")</f>
        <v/>
      </c>
      <c r="BX144" s="68" t="str">
        <f>IFERROR(TOWER_DATA[[#This Row],[Bottom '[m']]]-TOWER_DATA[[#This Row],[D, top '[m']]], "")</f>
        <v/>
      </c>
      <c r="BY144" s="68" t="str">
        <f>IFERROR(-(TOWER_DATA[[#This Row],[D, bottom '[m']]]-TOWER_DATA[[#This Row],[D, top '[m']]])/(TOWER_DATA[[#This Row],[Bottom '[m']]]-TOWER_DATA[[#This Row],[Top '[m']]]),"")</f>
        <v/>
      </c>
      <c r="BZ144" s="68" t="str">
        <f t="shared" si="6"/>
        <v/>
      </c>
      <c r="CA144" s="68" t="str">
        <f>IFERROR((TOWER_DATA[[#This Row],[D, bottom '[m']]]+TOWER_DATA[[#This Row],[D, top '[m']]])/(2*TOWER_DATA[[#This Row],[t '[mm']]]/1000),"")</f>
        <v/>
      </c>
    </row>
    <row r="145" spans="8:79" x14ac:dyDescent="0.3">
      <c r="H145" s="68" t="str">
        <f>IFERROR(MP_DATA[[#This Row],[Bottom '[m']]]-MP_DATA[[#This Row],[D, top '[m']]], "")</f>
        <v/>
      </c>
      <c r="I145" s="68" t="str">
        <f>IFERROR(-(MP_DATA[[#This Row],[D, bottom '[m']]]-MP_DATA[[#This Row],[D, top '[m']]])/(MP_DATA[[#This Row],[Bottom '[m']]]-MP_DATA[[#This Row],[Top '[m']]]),"")</f>
        <v/>
      </c>
      <c r="J145" s="68" t="str">
        <f t="shared" si="7"/>
        <v/>
      </c>
      <c r="K145" s="68" t="str">
        <f>IFERROR((MP_DATA[[#This Row],[D, bottom '[m']]]+MP_DATA[[#This Row],[D, top '[m']]])/(2*MP_DATA[[#This Row],[t '[mm']]]/1000),"")</f>
        <v/>
      </c>
      <c r="AP145" s="68" t="str">
        <f>IFERROR(TP_DATA[[#This Row],[Bottom '[m']]]-TP_DATA[[#This Row],[D, top '[m']]], "")</f>
        <v/>
      </c>
      <c r="AQ145" s="68" t="str">
        <f>IFERROR(-(TP_DATA[[#This Row],[D, bottom '[m']]]-TP_DATA[[#This Row],[D, top '[m']]])/(TP_DATA[[#This Row],[Bottom '[m']]]-TP_DATA[[#This Row],[Top '[m']]]),"")</f>
        <v/>
      </c>
      <c r="AR145" s="68" t="str">
        <f t="shared" si="5"/>
        <v/>
      </c>
      <c r="AS145" s="68" t="str">
        <f>IFERROR((TP_DATA[[#This Row],[D, bottom '[m']]]+TP_DATA[[#This Row],[D, top '[m']]])/(2*TP_DATA[[#This Row],[t '[mm']]]/1000),"")</f>
        <v/>
      </c>
      <c r="BX145" s="68" t="str">
        <f>IFERROR(TOWER_DATA[[#This Row],[Bottom '[m']]]-TOWER_DATA[[#This Row],[D, top '[m']]], "")</f>
        <v/>
      </c>
      <c r="BY145" s="68" t="str">
        <f>IFERROR(-(TOWER_DATA[[#This Row],[D, bottom '[m']]]-TOWER_DATA[[#This Row],[D, top '[m']]])/(TOWER_DATA[[#This Row],[Bottom '[m']]]-TOWER_DATA[[#This Row],[Top '[m']]]),"")</f>
        <v/>
      </c>
      <c r="BZ145" s="68" t="str">
        <f t="shared" si="6"/>
        <v/>
      </c>
      <c r="CA145" s="68" t="str">
        <f>IFERROR((TOWER_DATA[[#This Row],[D, bottom '[m']]]+TOWER_DATA[[#This Row],[D, top '[m']]])/(2*TOWER_DATA[[#This Row],[t '[mm']]]/1000),"")</f>
        <v/>
      </c>
    </row>
    <row r="146" spans="8:79" x14ac:dyDescent="0.3">
      <c r="H146" s="68" t="str">
        <f>IFERROR(MP_DATA[[#This Row],[Bottom '[m']]]-MP_DATA[[#This Row],[D, top '[m']]], "")</f>
        <v/>
      </c>
      <c r="I146" s="68" t="str">
        <f>IFERROR(-(MP_DATA[[#This Row],[D, bottom '[m']]]-MP_DATA[[#This Row],[D, top '[m']]])/(MP_DATA[[#This Row],[Bottom '[m']]]-MP_DATA[[#This Row],[Top '[m']]]),"")</f>
        <v/>
      </c>
      <c r="J146" s="68" t="str">
        <f t="shared" si="7"/>
        <v/>
      </c>
      <c r="K146" s="68" t="str">
        <f>IFERROR((MP_DATA[[#This Row],[D, bottom '[m']]]+MP_DATA[[#This Row],[D, top '[m']]])/(2*MP_DATA[[#This Row],[t '[mm']]]/1000),"")</f>
        <v/>
      </c>
      <c r="AP146" s="68" t="str">
        <f>IFERROR(TP_DATA[[#This Row],[Bottom '[m']]]-TP_DATA[[#This Row],[D, top '[m']]], "")</f>
        <v/>
      </c>
      <c r="AQ146" s="68" t="str">
        <f>IFERROR(-(TP_DATA[[#This Row],[D, bottom '[m']]]-TP_DATA[[#This Row],[D, top '[m']]])/(TP_DATA[[#This Row],[Bottom '[m']]]-TP_DATA[[#This Row],[Top '[m']]]),"")</f>
        <v/>
      </c>
      <c r="AR146" s="68" t="str">
        <f t="shared" si="5"/>
        <v/>
      </c>
      <c r="AS146" s="68" t="str">
        <f>IFERROR((TP_DATA[[#This Row],[D, bottom '[m']]]+TP_DATA[[#This Row],[D, top '[m']]])/(2*TP_DATA[[#This Row],[t '[mm']]]/1000),"")</f>
        <v/>
      </c>
      <c r="BX146" s="68" t="str">
        <f>IFERROR(TOWER_DATA[[#This Row],[Bottom '[m']]]-TOWER_DATA[[#This Row],[D, top '[m']]], "")</f>
        <v/>
      </c>
      <c r="BY146" s="68" t="str">
        <f>IFERROR(-(TOWER_DATA[[#This Row],[D, bottom '[m']]]-TOWER_DATA[[#This Row],[D, top '[m']]])/(TOWER_DATA[[#This Row],[Bottom '[m']]]-TOWER_DATA[[#This Row],[Top '[m']]]),"")</f>
        <v/>
      </c>
      <c r="BZ146" s="68" t="str">
        <f t="shared" si="6"/>
        <v/>
      </c>
      <c r="CA146" s="68" t="str">
        <f>IFERROR((TOWER_DATA[[#This Row],[D, bottom '[m']]]+TOWER_DATA[[#This Row],[D, top '[m']]])/(2*TOWER_DATA[[#This Row],[t '[mm']]]/1000),"")</f>
        <v/>
      </c>
    </row>
    <row r="147" spans="8:79" x14ac:dyDescent="0.3">
      <c r="H147" s="68" t="str">
        <f>IFERROR(MP_DATA[[#This Row],[Bottom '[m']]]-MP_DATA[[#This Row],[D, top '[m']]], "")</f>
        <v/>
      </c>
      <c r="I147" s="68" t="str">
        <f>IFERROR(-(MP_DATA[[#This Row],[D, bottom '[m']]]-MP_DATA[[#This Row],[D, top '[m']]])/(MP_DATA[[#This Row],[Bottom '[m']]]-MP_DATA[[#This Row],[Top '[m']]]),"")</f>
        <v/>
      </c>
      <c r="J147" s="68" t="str">
        <f t="shared" si="7"/>
        <v/>
      </c>
      <c r="K147" s="68" t="str">
        <f>IFERROR((MP_DATA[[#This Row],[D, bottom '[m']]]+MP_DATA[[#This Row],[D, top '[m']]])/(2*MP_DATA[[#This Row],[t '[mm']]]/1000),"")</f>
        <v/>
      </c>
      <c r="AP147" s="68" t="str">
        <f>IFERROR(TP_DATA[[#This Row],[Bottom '[m']]]-TP_DATA[[#This Row],[D, top '[m']]], "")</f>
        <v/>
      </c>
      <c r="AQ147" s="68" t="str">
        <f>IFERROR(-(TP_DATA[[#This Row],[D, bottom '[m']]]-TP_DATA[[#This Row],[D, top '[m']]])/(TP_DATA[[#This Row],[Bottom '[m']]]-TP_DATA[[#This Row],[Top '[m']]]),"")</f>
        <v/>
      </c>
      <c r="AR147" s="68" t="str">
        <f t="shared" si="5"/>
        <v/>
      </c>
      <c r="AS147" s="68" t="str">
        <f>IFERROR((TP_DATA[[#This Row],[D, bottom '[m']]]+TP_DATA[[#This Row],[D, top '[m']]])/(2*TP_DATA[[#This Row],[t '[mm']]]/1000),"")</f>
        <v/>
      </c>
      <c r="BX147" s="68" t="str">
        <f>IFERROR(TOWER_DATA[[#This Row],[Bottom '[m']]]-TOWER_DATA[[#This Row],[D, top '[m']]], "")</f>
        <v/>
      </c>
      <c r="BY147" s="68" t="str">
        <f>IFERROR(-(TOWER_DATA[[#This Row],[D, bottom '[m']]]-TOWER_DATA[[#This Row],[D, top '[m']]])/(TOWER_DATA[[#This Row],[Bottom '[m']]]-TOWER_DATA[[#This Row],[Top '[m']]]),"")</f>
        <v/>
      </c>
      <c r="BZ147" s="68" t="str">
        <f t="shared" si="6"/>
        <v/>
      </c>
      <c r="CA147" s="68" t="str">
        <f>IFERROR((TOWER_DATA[[#This Row],[D, bottom '[m']]]+TOWER_DATA[[#This Row],[D, top '[m']]])/(2*TOWER_DATA[[#This Row],[t '[mm']]]/1000),"")</f>
        <v/>
      </c>
    </row>
    <row r="148" spans="8:79" x14ac:dyDescent="0.3">
      <c r="H148" s="68" t="str">
        <f>IFERROR(MP_DATA[[#This Row],[Bottom '[m']]]-MP_DATA[[#This Row],[D, top '[m']]], "")</f>
        <v/>
      </c>
      <c r="I148" s="68" t="str">
        <f>IFERROR(-(MP_DATA[[#This Row],[D, bottom '[m']]]-MP_DATA[[#This Row],[D, top '[m']]])/(MP_DATA[[#This Row],[Bottom '[m']]]-MP_DATA[[#This Row],[Top '[m']]]),"")</f>
        <v/>
      </c>
      <c r="J148" s="68" t="str">
        <f t="shared" si="7"/>
        <v/>
      </c>
      <c r="K148" s="68" t="str">
        <f>IFERROR((MP_DATA[[#This Row],[D, bottom '[m']]]+MP_DATA[[#This Row],[D, top '[m']]])/(2*MP_DATA[[#This Row],[t '[mm']]]/1000),"")</f>
        <v/>
      </c>
      <c r="AP148" s="68" t="str">
        <f>IFERROR(TP_DATA[[#This Row],[Bottom '[m']]]-TP_DATA[[#This Row],[D, top '[m']]], "")</f>
        <v/>
      </c>
      <c r="AQ148" s="68" t="str">
        <f>IFERROR(-(TP_DATA[[#This Row],[D, bottom '[m']]]-TP_DATA[[#This Row],[D, top '[m']]])/(TP_DATA[[#This Row],[Bottom '[m']]]-TP_DATA[[#This Row],[Top '[m']]]),"")</f>
        <v/>
      </c>
      <c r="AR148" s="68" t="str">
        <f t="shared" si="5"/>
        <v/>
      </c>
      <c r="AS148" s="68" t="str">
        <f>IFERROR((TP_DATA[[#This Row],[D, bottom '[m']]]+TP_DATA[[#This Row],[D, top '[m']]])/(2*TP_DATA[[#This Row],[t '[mm']]]/1000),"")</f>
        <v/>
      </c>
      <c r="BX148" s="68" t="str">
        <f>IFERROR(TOWER_DATA[[#This Row],[Bottom '[m']]]-TOWER_DATA[[#This Row],[D, top '[m']]], "")</f>
        <v/>
      </c>
      <c r="BY148" s="68" t="str">
        <f>IFERROR(-(TOWER_DATA[[#This Row],[D, bottom '[m']]]-TOWER_DATA[[#This Row],[D, top '[m']]])/(TOWER_DATA[[#This Row],[Bottom '[m']]]-TOWER_DATA[[#This Row],[Top '[m']]]),"")</f>
        <v/>
      </c>
      <c r="BZ148" s="68" t="str">
        <f t="shared" si="6"/>
        <v/>
      </c>
      <c r="CA148" s="68" t="str">
        <f>IFERROR((TOWER_DATA[[#This Row],[D, bottom '[m']]]+TOWER_DATA[[#This Row],[D, top '[m']]])/(2*TOWER_DATA[[#This Row],[t '[mm']]]/1000),"")</f>
        <v/>
      </c>
    </row>
    <row r="149" spans="8:79" x14ac:dyDescent="0.3">
      <c r="H149" s="68" t="str">
        <f>IFERROR(MP_DATA[[#This Row],[Bottom '[m']]]-MP_DATA[[#This Row],[D, top '[m']]], "")</f>
        <v/>
      </c>
      <c r="I149" s="68" t="str">
        <f>IFERROR(-(MP_DATA[[#This Row],[D, bottom '[m']]]-MP_DATA[[#This Row],[D, top '[m']]])/(MP_DATA[[#This Row],[Bottom '[m']]]-MP_DATA[[#This Row],[Top '[m']]]),"")</f>
        <v/>
      </c>
      <c r="J149" s="68" t="str">
        <f t="shared" si="7"/>
        <v/>
      </c>
      <c r="K149" s="68" t="str">
        <f>IFERROR((MP_DATA[[#This Row],[D, bottom '[m']]]+MP_DATA[[#This Row],[D, top '[m']]])/(2*MP_DATA[[#This Row],[t '[mm']]]/1000),"")</f>
        <v/>
      </c>
      <c r="AP149" s="68" t="str">
        <f>IFERROR(TP_DATA[[#This Row],[Bottom '[m']]]-TP_DATA[[#This Row],[D, top '[m']]], "")</f>
        <v/>
      </c>
      <c r="AQ149" s="68" t="str">
        <f>IFERROR(-(TP_DATA[[#This Row],[D, bottom '[m']]]-TP_DATA[[#This Row],[D, top '[m']]])/(TP_DATA[[#This Row],[Bottom '[m']]]-TP_DATA[[#This Row],[Top '[m']]]),"")</f>
        <v/>
      </c>
      <c r="AR149" s="68" t="str">
        <f t="shared" si="5"/>
        <v/>
      </c>
      <c r="AS149" s="68" t="str">
        <f>IFERROR((TP_DATA[[#This Row],[D, bottom '[m']]]+TP_DATA[[#This Row],[D, top '[m']]])/(2*TP_DATA[[#This Row],[t '[mm']]]/1000),"")</f>
        <v/>
      </c>
      <c r="BX149" s="68" t="str">
        <f>IFERROR(TOWER_DATA[[#This Row],[Bottom '[m']]]-TOWER_DATA[[#This Row],[D, top '[m']]], "")</f>
        <v/>
      </c>
      <c r="BY149" s="68" t="str">
        <f>IFERROR(-(TOWER_DATA[[#This Row],[D, bottom '[m']]]-TOWER_DATA[[#This Row],[D, top '[m']]])/(TOWER_DATA[[#This Row],[Bottom '[m']]]-TOWER_DATA[[#This Row],[Top '[m']]]),"")</f>
        <v/>
      </c>
      <c r="BZ149" s="68" t="str">
        <f t="shared" si="6"/>
        <v/>
      </c>
      <c r="CA149" s="68" t="str">
        <f>IFERROR((TOWER_DATA[[#This Row],[D, bottom '[m']]]+TOWER_DATA[[#This Row],[D, top '[m']]])/(2*TOWER_DATA[[#This Row],[t '[mm']]]/1000),"")</f>
        <v/>
      </c>
    </row>
    <row r="150" spans="8:79" x14ac:dyDescent="0.3">
      <c r="H150" s="68" t="str">
        <f>IFERROR(MP_DATA[[#This Row],[Bottom '[m']]]-MP_DATA[[#This Row],[D, top '[m']]], "")</f>
        <v/>
      </c>
      <c r="I150" s="68" t="str">
        <f>IFERROR(-(MP_DATA[[#This Row],[D, bottom '[m']]]-MP_DATA[[#This Row],[D, top '[m']]])/(MP_DATA[[#This Row],[Bottom '[m']]]-MP_DATA[[#This Row],[Top '[m']]]),"")</f>
        <v/>
      </c>
      <c r="J150" s="68" t="str">
        <f t="shared" si="7"/>
        <v/>
      </c>
      <c r="K150" s="68" t="str">
        <f>IFERROR((MP_DATA[[#This Row],[D, bottom '[m']]]+MP_DATA[[#This Row],[D, top '[m']]])/(2*MP_DATA[[#This Row],[t '[mm']]]/1000),"")</f>
        <v/>
      </c>
      <c r="AP150" s="68" t="str">
        <f>IFERROR(TP_DATA[[#This Row],[Bottom '[m']]]-TP_DATA[[#This Row],[D, top '[m']]], "")</f>
        <v/>
      </c>
      <c r="AQ150" s="68" t="str">
        <f>IFERROR(-(TP_DATA[[#This Row],[D, bottom '[m']]]-TP_DATA[[#This Row],[D, top '[m']]])/(TP_DATA[[#This Row],[Bottom '[m']]]-TP_DATA[[#This Row],[Top '[m']]]),"")</f>
        <v/>
      </c>
      <c r="AR150" s="68" t="str">
        <f t="shared" si="5"/>
        <v/>
      </c>
      <c r="AS150" s="68" t="str">
        <f>IFERROR((TP_DATA[[#This Row],[D, bottom '[m']]]+TP_DATA[[#This Row],[D, top '[m']]])/(2*TP_DATA[[#This Row],[t '[mm']]]/1000),"")</f>
        <v/>
      </c>
      <c r="BX150" s="68" t="str">
        <f>IFERROR(TOWER_DATA[[#This Row],[Bottom '[m']]]-TOWER_DATA[[#This Row],[D, top '[m']]], "")</f>
        <v/>
      </c>
      <c r="BY150" s="68" t="str">
        <f>IFERROR(-(TOWER_DATA[[#This Row],[D, bottom '[m']]]-TOWER_DATA[[#This Row],[D, top '[m']]])/(TOWER_DATA[[#This Row],[Bottom '[m']]]-TOWER_DATA[[#This Row],[Top '[m']]]),"")</f>
        <v/>
      </c>
      <c r="BZ150" s="68" t="str">
        <f t="shared" si="6"/>
        <v/>
      </c>
      <c r="CA150" s="68" t="str">
        <f>IFERROR((TOWER_DATA[[#This Row],[D, bottom '[m']]]+TOWER_DATA[[#This Row],[D, top '[m']]])/(2*TOWER_DATA[[#This Row],[t '[mm']]]/1000),"")</f>
        <v/>
      </c>
    </row>
    <row r="151" spans="8:79" x14ac:dyDescent="0.3">
      <c r="H151" s="68" t="str">
        <f>IFERROR(MP_DATA[[#This Row],[Bottom '[m']]]-MP_DATA[[#This Row],[D, top '[m']]], "")</f>
        <v/>
      </c>
      <c r="I151" s="68" t="str">
        <f>IFERROR(-(MP_DATA[[#This Row],[D, bottom '[m']]]-MP_DATA[[#This Row],[D, top '[m']]])/(MP_DATA[[#This Row],[Bottom '[m']]]-MP_DATA[[#This Row],[Top '[m']]]),"")</f>
        <v/>
      </c>
      <c r="J151" s="68" t="str">
        <f t="shared" si="7"/>
        <v/>
      </c>
      <c r="K151" s="68" t="str">
        <f>IFERROR((MP_DATA[[#This Row],[D, bottom '[m']]]+MP_DATA[[#This Row],[D, top '[m']]])/(2*MP_DATA[[#This Row],[t '[mm']]]/1000),"")</f>
        <v/>
      </c>
      <c r="AP151" s="68" t="str">
        <f>IFERROR(TP_DATA[[#This Row],[Bottom '[m']]]-TP_DATA[[#This Row],[D, top '[m']]], "")</f>
        <v/>
      </c>
      <c r="AQ151" s="68" t="str">
        <f>IFERROR(-(TP_DATA[[#This Row],[D, bottom '[m']]]-TP_DATA[[#This Row],[D, top '[m']]])/(TP_DATA[[#This Row],[Bottom '[m']]]-TP_DATA[[#This Row],[Top '[m']]]),"")</f>
        <v/>
      </c>
      <c r="AR151" s="68" t="str">
        <f t="shared" si="5"/>
        <v/>
      </c>
      <c r="AS151" s="68" t="str">
        <f>IFERROR((TP_DATA[[#This Row],[D, bottom '[m']]]+TP_DATA[[#This Row],[D, top '[m']]])/(2*TP_DATA[[#This Row],[t '[mm']]]/1000),"")</f>
        <v/>
      </c>
      <c r="BX151" s="68" t="str">
        <f>IFERROR(TOWER_DATA[[#This Row],[Bottom '[m']]]-TOWER_DATA[[#This Row],[D, top '[m']]], "")</f>
        <v/>
      </c>
      <c r="BY151" s="68" t="str">
        <f>IFERROR(-(TOWER_DATA[[#This Row],[D, bottom '[m']]]-TOWER_DATA[[#This Row],[D, top '[m']]])/(TOWER_DATA[[#This Row],[Bottom '[m']]]-TOWER_DATA[[#This Row],[Top '[m']]]),"")</f>
        <v/>
      </c>
      <c r="BZ151" s="68" t="str">
        <f t="shared" si="6"/>
        <v/>
      </c>
      <c r="CA151" s="68" t="str">
        <f>IFERROR((TOWER_DATA[[#This Row],[D, bottom '[m']]]+TOWER_DATA[[#This Row],[D, top '[m']]])/(2*TOWER_DATA[[#This Row],[t '[mm']]]/1000),"")</f>
        <v/>
      </c>
    </row>
    <row r="152" spans="8:79" x14ac:dyDescent="0.3">
      <c r="H152" s="68" t="str">
        <f>IFERROR(MP_DATA[[#This Row],[Bottom '[m']]]-MP_DATA[[#This Row],[D, top '[m']]], "")</f>
        <v/>
      </c>
      <c r="I152" s="68" t="str">
        <f>IFERROR(-(MP_DATA[[#This Row],[D, bottom '[m']]]-MP_DATA[[#This Row],[D, top '[m']]])/(MP_DATA[[#This Row],[Bottom '[m']]]-MP_DATA[[#This Row],[Top '[m']]]),"")</f>
        <v/>
      </c>
      <c r="J152" s="68" t="str">
        <f t="shared" si="7"/>
        <v/>
      </c>
      <c r="K152" s="68" t="str">
        <f>IFERROR((MP_DATA[[#This Row],[D, bottom '[m']]]+MP_DATA[[#This Row],[D, top '[m']]])/(2*MP_DATA[[#This Row],[t '[mm']]]/1000),"")</f>
        <v/>
      </c>
      <c r="AP152" s="68" t="str">
        <f>IFERROR(TP_DATA[[#This Row],[Bottom '[m']]]-TP_DATA[[#This Row],[D, top '[m']]], "")</f>
        <v/>
      </c>
      <c r="AQ152" s="68" t="str">
        <f>IFERROR(-(TP_DATA[[#This Row],[D, bottom '[m']]]-TP_DATA[[#This Row],[D, top '[m']]])/(TP_DATA[[#This Row],[Bottom '[m']]]-TP_DATA[[#This Row],[Top '[m']]]),"")</f>
        <v/>
      </c>
      <c r="AR152" s="68" t="str">
        <f t="shared" si="5"/>
        <v/>
      </c>
      <c r="AS152" s="68" t="str">
        <f>IFERROR((TP_DATA[[#This Row],[D, bottom '[m']]]+TP_DATA[[#This Row],[D, top '[m']]])/(2*TP_DATA[[#This Row],[t '[mm']]]/1000),"")</f>
        <v/>
      </c>
      <c r="BX152" s="68" t="str">
        <f>IFERROR(TOWER_DATA[[#This Row],[Bottom '[m']]]-TOWER_DATA[[#This Row],[D, top '[m']]], "")</f>
        <v/>
      </c>
      <c r="BY152" s="68" t="str">
        <f>IFERROR(-(TOWER_DATA[[#This Row],[D, bottom '[m']]]-TOWER_DATA[[#This Row],[D, top '[m']]])/(TOWER_DATA[[#This Row],[Bottom '[m']]]-TOWER_DATA[[#This Row],[Top '[m']]]),"")</f>
        <v/>
      </c>
      <c r="BZ152" s="68" t="str">
        <f t="shared" si="6"/>
        <v/>
      </c>
      <c r="CA152" s="68" t="str">
        <f>IFERROR((TOWER_DATA[[#This Row],[D, bottom '[m']]]+TOWER_DATA[[#This Row],[D, top '[m']]])/(2*TOWER_DATA[[#This Row],[t '[mm']]]/1000),"")</f>
        <v/>
      </c>
    </row>
    <row r="153" spans="8:79" x14ac:dyDescent="0.3">
      <c r="H153" s="68" t="str">
        <f>IFERROR(MP_DATA[[#This Row],[Bottom '[m']]]-MP_DATA[[#This Row],[D, top '[m']]], "")</f>
        <v/>
      </c>
      <c r="I153" s="68" t="str">
        <f>IFERROR(-(MP_DATA[[#This Row],[D, bottom '[m']]]-MP_DATA[[#This Row],[D, top '[m']]])/(MP_DATA[[#This Row],[Bottom '[m']]]-MP_DATA[[#This Row],[Top '[m']]]),"")</f>
        <v/>
      </c>
      <c r="J153" s="68" t="str">
        <f t="shared" si="7"/>
        <v/>
      </c>
      <c r="K153" s="68" t="str">
        <f>IFERROR((MP_DATA[[#This Row],[D, bottom '[m']]]+MP_DATA[[#This Row],[D, top '[m']]])/(2*MP_DATA[[#This Row],[t '[mm']]]/1000),"")</f>
        <v/>
      </c>
      <c r="AP153" s="68" t="str">
        <f>IFERROR(TP_DATA[[#This Row],[Bottom '[m']]]-TP_DATA[[#This Row],[D, top '[m']]], "")</f>
        <v/>
      </c>
      <c r="AQ153" s="68" t="str">
        <f>IFERROR(-(TP_DATA[[#This Row],[D, bottom '[m']]]-TP_DATA[[#This Row],[D, top '[m']]])/(TP_DATA[[#This Row],[Bottom '[m']]]-TP_DATA[[#This Row],[Top '[m']]]),"")</f>
        <v/>
      </c>
      <c r="AR153" s="68" t="str">
        <f t="shared" ref="AR153:AR160" si="8">IF(7850/1000*(1/3)*PI()*ABS(AK153-AL153)*((AM153/2)^2+(AM153/2)*(AN153/2)+(AN153/2)^2-(AM153/2-AO153/1000)^2-(AM153/2-AO153/1000)*(AN153/2-AO153/1000)-(AN153/2-AO153/1000)^2)=0,"",7850/1000*(1/3)*PI()*ABS(AK153-AL153)*((AM153/2)^2+(AM153/2)*(AN153/2)+(AN153/2)^2-(AM153/2-AO153/1000)^2-(AM153/2-AO153/1000)*(AN153/2-AO153/1000)-(AN153/2-AO153/1000)^2))</f>
        <v/>
      </c>
      <c r="AS153" s="68" t="str">
        <f>IFERROR((TP_DATA[[#This Row],[D, bottom '[m']]]+TP_DATA[[#This Row],[D, top '[m']]])/(2*TP_DATA[[#This Row],[t '[mm']]]/1000),"")</f>
        <v/>
      </c>
      <c r="BX153" s="68" t="str">
        <f>IFERROR(TOWER_DATA[[#This Row],[Bottom '[m']]]-TOWER_DATA[[#This Row],[D, top '[m']]], "")</f>
        <v/>
      </c>
      <c r="BY153" s="68" t="str">
        <f>IFERROR(-(TOWER_DATA[[#This Row],[D, bottom '[m']]]-TOWER_DATA[[#This Row],[D, top '[m']]])/(TOWER_DATA[[#This Row],[Bottom '[m']]]-TOWER_DATA[[#This Row],[Top '[m']]]),"")</f>
        <v/>
      </c>
      <c r="BZ153" s="68" t="str">
        <f t="shared" ref="BZ153:BZ162" si="9">IF(7850/1000*(1/3)*PI()*ABS(BS153-BT153)*((BU153/2)^2+(BU153/2)*(BV153/2)+(BV153/2)^2-(BU153/2-BW153/1000)^2-(BU153/2-BW153/1000)*(BV153/2-BW153/1000)-(BV153/2-BW153/1000)^2)=0,"",7850/1000*(1/3)*PI()*ABS(BS153-BT153)*((BU153/2)^2+(BU153/2)*(BV153/2)+(BV153/2)^2-(BU153/2-BW153/1000)^2-(BU153/2-BW153/1000)*(BV153/2-BW153/1000)-(BV153/2-BW153/1000)^2))</f>
        <v/>
      </c>
      <c r="CA153" s="68" t="str">
        <f>IFERROR((TOWER_DATA[[#This Row],[D, bottom '[m']]]+TOWER_DATA[[#This Row],[D, top '[m']]])/(2*TOWER_DATA[[#This Row],[t '[mm']]]/1000),"")</f>
        <v/>
      </c>
    </row>
    <row r="154" spans="8:79" x14ac:dyDescent="0.3">
      <c r="H154" s="68" t="str">
        <f>IFERROR(MP_DATA[[#This Row],[Bottom '[m']]]-MP_DATA[[#This Row],[D, top '[m']]], "")</f>
        <v/>
      </c>
      <c r="I154" s="68" t="str">
        <f>IFERROR(-(MP_DATA[[#This Row],[D, bottom '[m']]]-MP_DATA[[#This Row],[D, top '[m']]])/(MP_DATA[[#This Row],[Bottom '[m']]]-MP_DATA[[#This Row],[Top '[m']]]),"")</f>
        <v/>
      </c>
      <c r="J154" s="68" t="str">
        <f t="shared" ref="J154:J160" si="10">IF(7850/1000*(1/3)*PI()*ABS(C154-D154)*((E154/2)^2+(E154/2)*(F154/2)+(F154/2)^2-(E154/2-G154/1000)^2-(E154/2-G154/1000)*(F154/2-G154/1000)-(F154/2-G154/1000)^2)=0,"",7850/1000*(1/3)*PI()*ABS(C154-D154)*((E154/2)^2+(E154/2)*(F154/2)+(F154/2)^2-(E154/2-G154/1000)^2-(E154/2-G154/1000)*(F154/2-G154/1000)-(F154/2-G154/1000)^2))</f>
        <v/>
      </c>
      <c r="K154" s="68" t="str">
        <f>IFERROR((MP_DATA[[#This Row],[D, bottom '[m']]]+MP_DATA[[#This Row],[D, top '[m']]])/(2*MP_DATA[[#This Row],[t '[mm']]]/1000),"")</f>
        <v/>
      </c>
      <c r="AP154" s="68" t="str">
        <f>IFERROR(TP_DATA[[#This Row],[Bottom '[m']]]-TP_DATA[[#This Row],[D, top '[m']]], "")</f>
        <v/>
      </c>
      <c r="AQ154" s="68" t="str">
        <f>IFERROR(-(TP_DATA[[#This Row],[D, bottom '[m']]]-TP_DATA[[#This Row],[D, top '[m']]])/(TP_DATA[[#This Row],[Bottom '[m']]]-TP_DATA[[#This Row],[Top '[m']]]),"")</f>
        <v/>
      </c>
      <c r="AR154" s="68" t="str">
        <f t="shared" si="8"/>
        <v/>
      </c>
      <c r="AS154" s="68" t="str">
        <f>IFERROR((TP_DATA[[#This Row],[D, bottom '[m']]]+TP_DATA[[#This Row],[D, top '[m']]])/(2*TP_DATA[[#This Row],[t '[mm']]]/1000),"")</f>
        <v/>
      </c>
      <c r="BX154" s="68" t="str">
        <f>IFERROR(TOWER_DATA[[#This Row],[Bottom '[m']]]-TOWER_DATA[[#This Row],[D, top '[m']]], "")</f>
        <v/>
      </c>
      <c r="BY154" s="68" t="str">
        <f>IFERROR(-(TOWER_DATA[[#This Row],[D, bottom '[m']]]-TOWER_DATA[[#This Row],[D, top '[m']]])/(TOWER_DATA[[#This Row],[Bottom '[m']]]-TOWER_DATA[[#This Row],[Top '[m']]]),"")</f>
        <v/>
      </c>
      <c r="BZ154" s="68" t="str">
        <f t="shared" si="9"/>
        <v/>
      </c>
      <c r="CA154" s="68" t="str">
        <f>IFERROR((TOWER_DATA[[#This Row],[D, bottom '[m']]]+TOWER_DATA[[#This Row],[D, top '[m']]])/(2*TOWER_DATA[[#This Row],[t '[mm']]]/1000),"")</f>
        <v/>
      </c>
    </row>
    <row r="155" spans="8:79" x14ac:dyDescent="0.3">
      <c r="H155" s="68" t="str">
        <f>IFERROR(MP_DATA[[#This Row],[Bottom '[m']]]-MP_DATA[[#This Row],[D, top '[m']]], "")</f>
        <v/>
      </c>
      <c r="I155" s="68" t="str">
        <f>IFERROR(-(MP_DATA[[#This Row],[D, bottom '[m']]]-MP_DATA[[#This Row],[D, top '[m']]])/(MP_DATA[[#This Row],[Bottom '[m']]]-MP_DATA[[#This Row],[Top '[m']]]),"")</f>
        <v/>
      </c>
      <c r="J155" s="68" t="str">
        <f t="shared" si="10"/>
        <v/>
      </c>
      <c r="K155" s="68" t="str">
        <f>IFERROR((MP_DATA[[#This Row],[D, bottom '[m']]]+MP_DATA[[#This Row],[D, top '[m']]])/(2*MP_DATA[[#This Row],[t '[mm']]]/1000),"")</f>
        <v/>
      </c>
      <c r="AP155" s="68" t="str">
        <f>IFERROR(TP_DATA[[#This Row],[Bottom '[m']]]-TP_DATA[[#This Row],[D, top '[m']]], "")</f>
        <v/>
      </c>
      <c r="AQ155" s="68" t="str">
        <f>IFERROR(-(TP_DATA[[#This Row],[D, bottom '[m']]]-TP_DATA[[#This Row],[D, top '[m']]])/(TP_DATA[[#This Row],[Bottom '[m']]]-TP_DATA[[#This Row],[Top '[m']]]),"")</f>
        <v/>
      </c>
      <c r="AR155" s="68" t="str">
        <f t="shared" si="8"/>
        <v/>
      </c>
      <c r="AS155" s="68" t="str">
        <f>IFERROR((TP_DATA[[#This Row],[D, bottom '[m']]]+TP_DATA[[#This Row],[D, top '[m']]])/(2*TP_DATA[[#This Row],[t '[mm']]]/1000),"")</f>
        <v/>
      </c>
      <c r="BX155" s="68" t="str">
        <f>IFERROR(TOWER_DATA[[#This Row],[Bottom '[m']]]-TOWER_DATA[[#This Row],[D, top '[m']]], "")</f>
        <v/>
      </c>
      <c r="BY155" s="68" t="str">
        <f>IFERROR(-(TOWER_DATA[[#This Row],[D, bottom '[m']]]-TOWER_DATA[[#This Row],[D, top '[m']]])/(TOWER_DATA[[#This Row],[Bottom '[m']]]-TOWER_DATA[[#This Row],[Top '[m']]]),"")</f>
        <v/>
      </c>
      <c r="BZ155" s="68" t="str">
        <f t="shared" si="9"/>
        <v/>
      </c>
      <c r="CA155" s="68" t="str">
        <f>IFERROR((TOWER_DATA[[#This Row],[D, bottom '[m']]]+TOWER_DATA[[#This Row],[D, top '[m']]])/(2*TOWER_DATA[[#This Row],[t '[mm']]]/1000),"")</f>
        <v/>
      </c>
    </row>
    <row r="156" spans="8:79" x14ac:dyDescent="0.3">
      <c r="H156" s="68" t="str">
        <f>IFERROR(MP_DATA[[#This Row],[Bottom '[m']]]-MP_DATA[[#This Row],[D, top '[m']]], "")</f>
        <v/>
      </c>
      <c r="I156" s="68" t="str">
        <f>IFERROR(-(MP_DATA[[#This Row],[D, bottom '[m']]]-MP_DATA[[#This Row],[D, top '[m']]])/(MP_DATA[[#This Row],[Bottom '[m']]]-MP_DATA[[#This Row],[Top '[m']]]),"")</f>
        <v/>
      </c>
      <c r="J156" s="68" t="str">
        <f t="shared" si="10"/>
        <v/>
      </c>
      <c r="K156" s="68" t="str">
        <f>IFERROR((MP_DATA[[#This Row],[D, bottom '[m']]]+MP_DATA[[#This Row],[D, top '[m']]])/(2*MP_DATA[[#This Row],[t '[mm']]]/1000),"")</f>
        <v/>
      </c>
      <c r="AP156" s="68" t="str">
        <f>IFERROR(TP_DATA[[#This Row],[Bottom '[m']]]-TP_DATA[[#This Row],[D, top '[m']]], "")</f>
        <v/>
      </c>
      <c r="AQ156" s="68" t="str">
        <f>IFERROR(-(TP_DATA[[#This Row],[D, bottom '[m']]]-TP_DATA[[#This Row],[D, top '[m']]])/(TP_DATA[[#This Row],[Bottom '[m']]]-TP_DATA[[#This Row],[Top '[m']]]),"")</f>
        <v/>
      </c>
      <c r="AR156" s="68" t="str">
        <f t="shared" si="8"/>
        <v/>
      </c>
      <c r="AS156" s="68" t="str">
        <f>IFERROR((TP_DATA[[#This Row],[D, bottom '[m']]]+TP_DATA[[#This Row],[D, top '[m']]])/(2*TP_DATA[[#This Row],[t '[mm']]]/1000),"")</f>
        <v/>
      </c>
      <c r="BX156" s="68" t="str">
        <f>IFERROR(TOWER_DATA[[#This Row],[Bottom '[m']]]-TOWER_DATA[[#This Row],[D, top '[m']]], "")</f>
        <v/>
      </c>
      <c r="BY156" s="68" t="str">
        <f>IFERROR(-(TOWER_DATA[[#This Row],[D, bottom '[m']]]-TOWER_DATA[[#This Row],[D, top '[m']]])/(TOWER_DATA[[#This Row],[Bottom '[m']]]-TOWER_DATA[[#This Row],[Top '[m']]]),"")</f>
        <v/>
      </c>
      <c r="BZ156" s="68" t="str">
        <f t="shared" si="9"/>
        <v/>
      </c>
      <c r="CA156" s="68" t="str">
        <f>IFERROR((TOWER_DATA[[#This Row],[D, bottom '[m']]]+TOWER_DATA[[#This Row],[D, top '[m']]])/(2*TOWER_DATA[[#This Row],[t '[mm']]]/1000),"")</f>
        <v/>
      </c>
    </row>
    <row r="157" spans="8:79" x14ac:dyDescent="0.3">
      <c r="H157" s="68" t="str">
        <f>IFERROR(MP_DATA[[#This Row],[Bottom '[m']]]-MP_DATA[[#This Row],[D, top '[m']]], "")</f>
        <v/>
      </c>
      <c r="I157" s="68" t="str">
        <f>IFERROR(-(MP_DATA[[#This Row],[D, bottom '[m']]]-MP_DATA[[#This Row],[D, top '[m']]])/(MP_DATA[[#This Row],[Bottom '[m']]]-MP_DATA[[#This Row],[Top '[m']]]),"")</f>
        <v/>
      </c>
      <c r="J157" s="68" t="str">
        <f t="shared" si="10"/>
        <v/>
      </c>
      <c r="K157" s="68" t="str">
        <f>IFERROR((MP_DATA[[#This Row],[D, bottom '[m']]]+MP_DATA[[#This Row],[D, top '[m']]])/(2*MP_DATA[[#This Row],[t '[mm']]]/1000),"")</f>
        <v/>
      </c>
      <c r="AP157" s="68" t="str">
        <f>IFERROR(TP_DATA[[#This Row],[Bottom '[m']]]-TP_DATA[[#This Row],[D, top '[m']]], "")</f>
        <v/>
      </c>
      <c r="AQ157" s="68" t="str">
        <f>IFERROR(-(TP_DATA[[#This Row],[D, bottom '[m']]]-TP_DATA[[#This Row],[D, top '[m']]])/(TP_DATA[[#This Row],[Bottom '[m']]]-TP_DATA[[#This Row],[Top '[m']]]),"")</f>
        <v/>
      </c>
      <c r="AR157" s="68" t="str">
        <f t="shared" si="8"/>
        <v/>
      </c>
      <c r="AS157" s="68" t="str">
        <f>IFERROR((TP_DATA[[#This Row],[D, bottom '[m']]]+TP_DATA[[#This Row],[D, top '[m']]])/(2*TP_DATA[[#This Row],[t '[mm']]]/1000),"")</f>
        <v/>
      </c>
      <c r="BX157" s="68" t="str">
        <f>IFERROR(TOWER_DATA[[#This Row],[Bottom '[m']]]-TOWER_DATA[[#This Row],[D, top '[m']]], "")</f>
        <v/>
      </c>
      <c r="BY157" s="68" t="str">
        <f>IFERROR(-(TOWER_DATA[[#This Row],[D, bottom '[m']]]-TOWER_DATA[[#This Row],[D, top '[m']]])/(TOWER_DATA[[#This Row],[Bottom '[m']]]-TOWER_DATA[[#This Row],[Top '[m']]]),"")</f>
        <v/>
      </c>
      <c r="BZ157" s="68" t="str">
        <f t="shared" si="9"/>
        <v/>
      </c>
      <c r="CA157" s="68" t="str">
        <f>IFERROR((TOWER_DATA[[#This Row],[D, bottom '[m']]]+TOWER_DATA[[#This Row],[D, top '[m']]])/(2*TOWER_DATA[[#This Row],[t '[mm']]]/1000),"")</f>
        <v/>
      </c>
    </row>
    <row r="158" spans="8:79" x14ac:dyDescent="0.3">
      <c r="H158" s="68" t="str">
        <f>IFERROR(MP_DATA[[#This Row],[Bottom '[m']]]-MP_DATA[[#This Row],[D, top '[m']]], "")</f>
        <v/>
      </c>
      <c r="I158" s="68" t="str">
        <f>IFERROR(-(MP_DATA[[#This Row],[D, bottom '[m']]]-MP_DATA[[#This Row],[D, top '[m']]])/(MP_DATA[[#This Row],[Bottom '[m']]]-MP_DATA[[#This Row],[Top '[m']]]),"")</f>
        <v/>
      </c>
      <c r="J158" s="68" t="str">
        <f t="shared" si="10"/>
        <v/>
      </c>
      <c r="K158" s="68" t="str">
        <f>IFERROR((MP_DATA[[#This Row],[D, bottom '[m']]]+MP_DATA[[#This Row],[D, top '[m']]])/(2*MP_DATA[[#This Row],[t '[mm']]]/1000),"")</f>
        <v/>
      </c>
      <c r="AP158" s="68" t="str">
        <f>IFERROR(TP_DATA[[#This Row],[Bottom '[m']]]-TP_DATA[[#This Row],[D, top '[m']]], "")</f>
        <v/>
      </c>
      <c r="AQ158" s="68" t="str">
        <f>IFERROR(-(TP_DATA[[#This Row],[D, bottom '[m']]]-TP_DATA[[#This Row],[D, top '[m']]])/(TP_DATA[[#This Row],[Bottom '[m']]]-TP_DATA[[#This Row],[Top '[m']]]),"")</f>
        <v/>
      </c>
      <c r="AR158" s="68" t="str">
        <f t="shared" si="8"/>
        <v/>
      </c>
      <c r="AS158" s="68" t="str">
        <f>IFERROR((TP_DATA[[#This Row],[D, bottom '[m']]]+TP_DATA[[#This Row],[D, top '[m']]])/(2*TP_DATA[[#This Row],[t '[mm']]]/1000),"")</f>
        <v/>
      </c>
      <c r="BX158" s="68" t="str">
        <f>IFERROR(TOWER_DATA[[#This Row],[Bottom '[m']]]-TOWER_DATA[[#This Row],[D, top '[m']]], "")</f>
        <v/>
      </c>
      <c r="BY158" s="68" t="str">
        <f>IFERROR(-(TOWER_DATA[[#This Row],[D, bottom '[m']]]-TOWER_DATA[[#This Row],[D, top '[m']]])/(TOWER_DATA[[#This Row],[Bottom '[m']]]-TOWER_DATA[[#This Row],[Top '[m']]]),"")</f>
        <v/>
      </c>
      <c r="BZ158" s="68" t="str">
        <f t="shared" si="9"/>
        <v/>
      </c>
      <c r="CA158" s="68" t="str">
        <f>IFERROR((TOWER_DATA[[#This Row],[D, bottom '[m']]]+TOWER_DATA[[#This Row],[D, top '[m']]])/(2*TOWER_DATA[[#This Row],[t '[mm']]]/1000),"")</f>
        <v/>
      </c>
    </row>
    <row r="159" spans="8:79" x14ac:dyDescent="0.3">
      <c r="H159" s="68" t="str">
        <f>IFERROR(MP_DATA[[#This Row],[Bottom '[m']]]-MP_DATA[[#This Row],[D, top '[m']]], "")</f>
        <v/>
      </c>
      <c r="I159" s="68" t="str">
        <f>IFERROR(-(MP_DATA[[#This Row],[D, bottom '[m']]]-MP_DATA[[#This Row],[D, top '[m']]])/(MP_DATA[[#This Row],[Bottom '[m']]]-MP_DATA[[#This Row],[Top '[m']]]),"")</f>
        <v/>
      </c>
      <c r="J159" s="68" t="str">
        <f t="shared" si="10"/>
        <v/>
      </c>
      <c r="K159" s="68" t="str">
        <f>IFERROR((MP_DATA[[#This Row],[D, bottom '[m']]]+MP_DATA[[#This Row],[D, top '[m']]])/(2*MP_DATA[[#This Row],[t '[mm']]]/1000),"")</f>
        <v/>
      </c>
      <c r="AP159" s="68" t="str">
        <f>IFERROR(TP_DATA[[#This Row],[Bottom '[m']]]-TP_DATA[[#This Row],[D, top '[m']]], "")</f>
        <v/>
      </c>
      <c r="AQ159" s="68" t="str">
        <f>IFERROR(-(TP_DATA[[#This Row],[D, bottom '[m']]]-TP_DATA[[#This Row],[D, top '[m']]])/(TP_DATA[[#This Row],[Bottom '[m']]]-TP_DATA[[#This Row],[Top '[m']]]),"")</f>
        <v/>
      </c>
      <c r="AR159" s="68" t="str">
        <f t="shared" si="8"/>
        <v/>
      </c>
      <c r="AS159" s="68" t="str">
        <f>IFERROR((TP_DATA[[#This Row],[D, bottom '[m']]]+TP_DATA[[#This Row],[D, top '[m']]])/(2*TP_DATA[[#This Row],[t '[mm']]]/1000),"")</f>
        <v/>
      </c>
      <c r="BX159" s="68" t="str">
        <f>IFERROR(TOWER_DATA[[#This Row],[Bottom '[m']]]-TOWER_DATA[[#This Row],[D, top '[m']]], "")</f>
        <v/>
      </c>
      <c r="BY159" s="68" t="str">
        <f>IFERROR(-(TOWER_DATA[[#This Row],[D, bottom '[m']]]-TOWER_DATA[[#This Row],[D, top '[m']]])/(TOWER_DATA[[#This Row],[Bottom '[m']]]-TOWER_DATA[[#This Row],[Top '[m']]]),"")</f>
        <v/>
      </c>
      <c r="BZ159" s="68" t="str">
        <f t="shared" si="9"/>
        <v/>
      </c>
      <c r="CA159" s="68" t="str">
        <f>IFERROR((TOWER_DATA[[#This Row],[D, bottom '[m']]]+TOWER_DATA[[#This Row],[D, top '[m']]])/(2*TOWER_DATA[[#This Row],[t '[mm']]]/1000),"")</f>
        <v/>
      </c>
    </row>
    <row r="160" spans="8:79" x14ac:dyDescent="0.3">
      <c r="H160" s="68" t="str">
        <f>IFERROR(MP_DATA[[#This Row],[Bottom '[m']]]-MP_DATA[[#This Row],[D, top '[m']]], "")</f>
        <v/>
      </c>
      <c r="I160" s="68" t="str">
        <f>IFERROR(-(MP_DATA[[#This Row],[D, bottom '[m']]]-MP_DATA[[#This Row],[D, top '[m']]])/(MP_DATA[[#This Row],[Bottom '[m']]]-MP_DATA[[#This Row],[Top '[m']]]),"")</f>
        <v/>
      </c>
      <c r="J160" s="68" t="str">
        <f t="shared" si="10"/>
        <v/>
      </c>
      <c r="K160" s="68" t="str">
        <f>IFERROR((MP_DATA[[#This Row],[D, bottom '[m']]]+MP_DATA[[#This Row],[D, top '[m']]])/(2*MP_DATA[[#This Row],[t '[mm']]]/1000),"")</f>
        <v/>
      </c>
      <c r="AP160" s="68" t="str">
        <f>IFERROR(TP_DATA[[#This Row],[Bottom '[m']]]-TP_DATA[[#This Row],[D, top '[m']]], "")</f>
        <v/>
      </c>
      <c r="AQ160" s="68" t="str">
        <f>IFERROR(-(TP_DATA[[#This Row],[D, bottom '[m']]]-TP_DATA[[#This Row],[D, top '[m']]])/(TP_DATA[[#This Row],[Bottom '[m']]]-TP_DATA[[#This Row],[Top '[m']]]),"")</f>
        <v/>
      </c>
      <c r="AR160" s="68" t="str">
        <f t="shared" si="8"/>
        <v/>
      </c>
      <c r="AS160" s="68" t="str">
        <f>IFERROR((TP_DATA[[#This Row],[D, bottom '[m']]]+TP_DATA[[#This Row],[D, top '[m']]])/(2*TP_DATA[[#This Row],[t '[mm']]]/1000),"")</f>
        <v/>
      </c>
      <c r="BX160" s="68" t="str">
        <f>IFERROR(TOWER_DATA[[#This Row],[Bottom '[m']]]-TOWER_DATA[[#This Row],[D, top '[m']]], "")</f>
        <v/>
      </c>
      <c r="BY160" s="68" t="str">
        <f>IFERROR(-(TOWER_DATA[[#This Row],[D, bottom '[m']]]-TOWER_DATA[[#This Row],[D, top '[m']]])/(TOWER_DATA[[#This Row],[Bottom '[m']]]-TOWER_DATA[[#This Row],[Top '[m']]]),"")</f>
        <v/>
      </c>
      <c r="BZ160" s="68" t="str">
        <f t="shared" si="9"/>
        <v/>
      </c>
      <c r="CA160" s="68" t="str">
        <f>IFERROR((TOWER_DATA[[#This Row],[D, bottom '[m']]]+TOWER_DATA[[#This Row],[D, top '[m']]])/(2*TOWER_DATA[[#This Row],[t '[mm']]]/1000),"")</f>
        <v/>
      </c>
    </row>
    <row r="161" spans="8:79" x14ac:dyDescent="0.3">
      <c r="H161" s="68" t="str">
        <f>IFERROR(MP_DATA[[#This Row],[Bottom '[m']]]-MP_DATA[[#This Row],[D, top '[m']]], "")</f>
        <v/>
      </c>
      <c r="I161" s="68" t="str">
        <f>IFERROR(-(MP_DATA[[#This Row],[D, bottom '[m']]]-MP_DATA[[#This Row],[D, top '[m']]])/(MP_DATA[[#This Row],[Bottom '[m']]]-MP_DATA[[#This Row],[Top '[m']]]),"")</f>
        <v/>
      </c>
      <c r="K161" s="68" t="str">
        <f>IFERROR((MP_DATA[[#This Row],[D, bottom '[m']]]+MP_DATA[[#This Row],[D, top '[m']]])/(2*MP_DATA[[#This Row],[t '[mm']]]/1000),"")</f>
        <v/>
      </c>
      <c r="AP161" s="68" t="str">
        <f>IFERROR(TP_DATA[[#This Row],[Bottom '[m']]]-TP_DATA[[#This Row],[D, top '[m']]], "")</f>
        <v/>
      </c>
      <c r="AQ161" s="68" t="str">
        <f>IFERROR(-(TP_DATA[[#This Row],[D, bottom '[m']]]-TP_DATA[[#This Row],[D, top '[m']]])/(TP_DATA[[#This Row],[Bottom '[m']]]-TP_DATA[[#This Row],[Top '[m']]]),"")</f>
        <v/>
      </c>
      <c r="AS161" s="68" t="str">
        <f>IFERROR((TP_DATA[[#This Row],[D, bottom '[m']]]+TP_DATA[[#This Row],[D, top '[m']]])/(2*TP_DATA[[#This Row],[t '[mm']]]/1000),"")</f>
        <v/>
      </c>
      <c r="BX161" s="68" t="str">
        <f>IFERROR(TOWER_DATA[[#This Row],[Bottom '[m']]]-TOWER_DATA[[#This Row],[D, top '[m']]], "")</f>
        <v/>
      </c>
      <c r="BY161" s="68" t="str">
        <f>IFERROR(-(TOWER_DATA[[#This Row],[D, bottom '[m']]]-TOWER_DATA[[#This Row],[D, top '[m']]])/(TOWER_DATA[[#This Row],[Bottom '[m']]]-TOWER_DATA[[#This Row],[Top '[m']]]),"")</f>
        <v/>
      </c>
      <c r="BZ161" s="68" t="str">
        <f t="shared" si="9"/>
        <v/>
      </c>
      <c r="CA161" s="68" t="str">
        <f>IFERROR((TOWER_DATA[[#This Row],[D, bottom '[m']]]+TOWER_DATA[[#This Row],[D, top '[m']]])/(2*TOWER_DATA[[#This Row],[t '[mm']]]/1000),"")</f>
        <v/>
      </c>
    </row>
    <row r="162" spans="8:79" x14ac:dyDescent="0.3">
      <c r="H162" s="68" t="str">
        <f>IFERROR(MP_DATA[[#This Row],[Bottom '[m']]]-MP_DATA[[#This Row],[D, top '[m']]], "")</f>
        <v/>
      </c>
      <c r="I162" s="68" t="str">
        <f>IFERROR(-(MP_DATA[[#This Row],[D, bottom '[m']]]-MP_DATA[[#This Row],[D, top '[m']]])/(MP_DATA[[#This Row],[Bottom '[m']]]-MP_DATA[[#This Row],[Top '[m']]]),"")</f>
        <v/>
      </c>
      <c r="K162" s="68" t="str">
        <f>IFERROR((MP_DATA[[#This Row],[D, bottom '[m']]]+MP_DATA[[#This Row],[D, top '[m']]])/(2*MP_DATA[[#This Row],[t '[mm']]]/1000),"")</f>
        <v/>
      </c>
      <c r="AP162" s="68" t="str">
        <f>IFERROR(TP_DATA[[#This Row],[Bottom '[m']]]-TP_DATA[[#This Row],[D, top '[m']]], "")</f>
        <v/>
      </c>
      <c r="AQ162" s="68" t="str">
        <f>IFERROR(-(TP_DATA[[#This Row],[D, bottom '[m']]]-TP_DATA[[#This Row],[D, top '[m']]])/(TP_DATA[[#This Row],[Bottom '[m']]]-TP_DATA[[#This Row],[Top '[m']]]),"")</f>
        <v/>
      </c>
      <c r="AS162" s="68" t="str">
        <f>IFERROR((TP_DATA[[#This Row],[D, bottom '[m']]]+TP_DATA[[#This Row],[D, top '[m']]])/(2*TP_DATA[[#This Row],[t '[mm']]]/1000),"")</f>
        <v/>
      </c>
      <c r="BX162" s="68" t="str">
        <f>IFERROR(TOWER_DATA[[#This Row],[Bottom '[m']]]-TOWER_DATA[[#This Row],[D, top '[m']]], "")</f>
        <v/>
      </c>
      <c r="BY162" s="68" t="str">
        <f>IFERROR(-(TOWER_DATA[[#This Row],[D, bottom '[m']]]-TOWER_DATA[[#This Row],[D, top '[m']]])/(TOWER_DATA[[#This Row],[Bottom '[m']]]-TOWER_DATA[[#This Row],[Top '[m']]]),"")</f>
        <v/>
      </c>
      <c r="BZ162" s="68" t="str">
        <f t="shared" si="9"/>
        <v/>
      </c>
      <c r="CA162" s="68" t="str">
        <f>IFERROR((TOWER_DATA[[#This Row],[D, bottom '[m']]]+TOWER_DATA[[#This Row],[D, top '[m']]])/(2*TOWER_DATA[[#This Row],[t '[mm']]]/1000),"")</f>
        <v/>
      </c>
    </row>
    <row r="163" spans="8:79" x14ac:dyDescent="0.3">
      <c r="H163" s="68" t="str">
        <f>IFERROR(MP_DATA[[#This Row],[Bottom '[m']]]-MP_DATA[[#This Row],[D, top '[m']]], "")</f>
        <v/>
      </c>
      <c r="I163" s="68" t="str">
        <f>IFERROR(-(MP_DATA[[#This Row],[D, bottom '[m']]]-MP_DATA[[#This Row],[D, top '[m']]])/(MP_DATA[[#This Row],[Bottom '[m']]]-MP_DATA[[#This Row],[Top '[m']]]),"")</f>
        <v/>
      </c>
      <c r="K163" s="68" t="str">
        <f>IFERROR((MP_DATA[[#This Row],[D, bottom '[m']]]+MP_DATA[[#This Row],[D, top '[m']]])/(2*MP_DATA[[#This Row],[t '[mm']]]/1000),"")</f>
        <v/>
      </c>
      <c r="AP163" s="68" t="str">
        <f>IFERROR(TP_DATA[[#This Row],[Bottom '[m']]]-TP_DATA[[#This Row],[D, top '[m']]], "")</f>
        <v/>
      </c>
      <c r="AQ163" s="68" t="str">
        <f>IFERROR(-(TP_DATA[[#This Row],[D, bottom '[m']]]-TP_DATA[[#This Row],[D, top '[m']]])/(TP_DATA[[#This Row],[Bottom '[m']]]-TP_DATA[[#This Row],[Top '[m']]]),"")</f>
        <v/>
      </c>
      <c r="AS163" s="68" t="str">
        <f>IFERROR((TP_DATA[[#This Row],[D, bottom '[m']]]+TP_DATA[[#This Row],[D, top '[m']]])/(2*TP_DATA[[#This Row],[t '[mm']]]/1000),"")</f>
        <v/>
      </c>
      <c r="BX163" s="68" t="str">
        <f>IFERROR(TOWER_DATA[[#This Row],[Bottom '[m']]]-TOWER_DATA[[#This Row],[D, top '[m']]], "")</f>
        <v/>
      </c>
      <c r="BY163" s="68" t="str">
        <f>IFERROR(-(TOWER_DATA[[#This Row],[D, bottom '[m']]]-TOWER_DATA[[#This Row],[D, top '[m']]])/(TOWER_DATA[[#This Row],[Bottom '[m']]]-TOWER_DATA[[#This Row],[Top '[m']]]),"")</f>
        <v/>
      </c>
      <c r="CA163" s="68" t="str">
        <f>IFERROR((TOWER_DATA[[#This Row],[D, bottom '[m']]]+TOWER_DATA[[#This Row],[D, top '[m']]])/(2*TOWER_DATA[[#This Row],[t '[mm']]]/1000),"")</f>
        <v/>
      </c>
    </row>
    <row r="164" spans="8:79" x14ac:dyDescent="0.3">
      <c r="H164" s="68" t="str">
        <f>IFERROR(MP_DATA[[#This Row],[Bottom '[m']]]-MP_DATA[[#This Row],[D, top '[m']]], "")</f>
        <v/>
      </c>
      <c r="I164" s="68" t="str">
        <f>IFERROR(-(MP_DATA[[#This Row],[D, bottom '[m']]]-MP_DATA[[#This Row],[D, top '[m']]])/(MP_DATA[[#This Row],[Bottom '[m']]]-MP_DATA[[#This Row],[Top '[m']]]),"")</f>
        <v/>
      </c>
      <c r="K164" s="68" t="str">
        <f>IFERROR((MP_DATA[[#This Row],[D, bottom '[m']]]+MP_DATA[[#This Row],[D, top '[m']]])/(2*MP_DATA[[#This Row],[t '[mm']]]/1000),"")</f>
        <v/>
      </c>
      <c r="AP164" s="68" t="str">
        <f>IFERROR(TP_DATA[[#This Row],[Bottom '[m']]]-TP_DATA[[#This Row],[D, top '[m']]], "")</f>
        <v/>
      </c>
      <c r="AQ164" s="68" t="str">
        <f>IFERROR(-(TP_DATA[[#This Row],[D, bottom '[m']]]-TP_DATA[[#This Row],[D, top '[m']]])/(TP_DATA[[#This Row],[Bottom '[m']]]-TP_DATA[[#This Row],[Top '[m']]]),"")</f>
        <v/>
      </c>
      <c r="AS164" s="68" t="str">
        <f>IFERROR((TP_DATA[[#This Row],[D, bottom '[m']]]+TP_DATA[[#This Row],[D, top '[m']]])/(2*TP_DATA[[#This Row],[t '[mm']]]/1000),"")</f>
        <v/>
      </c>
      <c r="BX164" s="68" t="str">
        <f>IFERROR(TOWER_DATA[[#This Row],[Bottom '[m']]]-TOWER_DATA[[#This Row],[D, top '[m']]], "")</f>
        <v/>
      </c>
      <c r="BY164" s="68" t="str">
        <f>IFERROR(-(TOWER_DATA[[#This Row],[D, bottom '[m']]]-TOWER_DATA[[#This Row],[D, top '[m']]])/(TOWER_DATA[[#This Row],[Bottom '[m']]]-TOWER_DATA[[#This Row],[Top '[m']]]),"")</f>
        <v/>
      </c>
      <c r="CA164" s="68" t="str">
        <f>IFERROR((TOWER_DATA[[#This Row],[D, bottom '[m']]]+TOWER_DATA[[#This Row],[D, top '[m']]])/(2*TOWER_DATA[[#This Row],[t '[mm']]]/1000),"")</f>
        <v/>
      </c>
    </row>
    <row r="165" spans="8:79" x14ac:dyDescent="0.3">
      <c r="H165" s="68" t="str">
        <f>IFERROR(MP_DATA[[#This Row],[Bottom '[m']]]-MP_DATA[[#This Row],[D, top '[m']]], "")</f>
        <v/>
      </c>
      <c r="I165" s="68" t="str">
        <f>IFERROR(-(MP_DATA[[#This Row],[D, bottom '[m']]]-MP_DATA[[#This Row],[D, top '[m']]])/(MP_DATA[[#This Row],[Bottom '[m']]]-MP_DATA[[#This Row],[Top '[m']]]),"")</f>
        <v/>
      </c>
      <c r="K165" s="68" t="str">
        <f>IFERROR((MP_DATA[[#This Row],[D, bottom '[m']]]+MP_DATA[[#This Row],[D, top '[m']]])/(2*MP_DATA[[#This Row],[t '[mm']]]/1000),"")</f>
        <v/>
      </c>
      <c r="AP165" s="68" t="str">
        <f>IFERROR(TP_DATA[[#This Row],[Bottom '[m']]]-TP_DATA[[#This Row],[D, top '[m']]], "")</f>
        <v/>
      </c>
      <c r="AQ165" s="68" t="str">
        <f>IFERROR(-(TP_DATA[[#This Row],[D, bottom '[m']]]-TP_DATA[[#This Row],[D, top '[m']]])/(TP_DATA[[#This Row],[Bottom '[m']]]-TP_DATA[[#This Row],[Top '[m']]]),"")</f>
        <v/>
      </c>
      <c r="AS165" s="68" t="str">
        <f>IFERROR((TP_DATA[[#This Row],[D, bottom '[m']]]+TP_DATA[[#This Row],[D, top '[m']]])/(2*TP_DATA[[#This Row],[t '[mm']]]/1000),"")</f>
        <v/>
      </c>
      <c r="BX165" s="68" t="str">
        <f>IFERROR(TOWER_DATA[[#This Row],[Bottom '[m']]]-TOWER_DATA[[#This Row],[D, top '[m']]], "")</f>
        <v/>
      </c>
      <c r="BY165" s="68" t="str">
        <f>IFERROR(-(TOWER_DATA[[#This Row],[D, bottom '[m']]]-TOWER_DATA[[#This Row],[D, top '[m']]])/(TOWER_DATA[[#This Row],[Bottom '[m']]]-TOWER_DATA[[#This Row],[Top '[m']]]),"")</f>
        <v/>
      </c>
      <c r="CA165" s="68" t="str">
        <f>IFERROR((TOWER_DATA[[#This Row],[D, bottom '[m']]]+TOWER_DATA[[#This Row],[D, top '[m']]])/(2*TOWER_DATA[[#This Row],[t '[mm']]]/1000),"")</f>
        <v/>
      </c>
    </row>
    <row r="166" spans="8:79" x14ac:dyDescent="0.3">
      <c r="H166" s="68" t="str">
        <f>IFERROR(MP_DATA[[#This Row],[Bottom '[m']]]-MP_DATA[[#This Row],[D, top '[m']]], "")</f>
        <v/>
      </c>
      <c r="I166" s="68" t="str">
        <f>IFERROR(-(MP_DATA[[#This Row],[D, bottom '[m']]]-MP_DATA[[#This Row],[D, top '[m']]])/(MP_DATA[[#This Row],[Bottom '[m']]]-MP_DATA[[#This Row],[Top '[m']]]),"")</f>
        <v/>
      </c>
      <c r="K166" s="68" t="str">
        <f>IFERROR((MP_DATA[[#This Row],[D, bottom '[m']]]+MP_DATA[[#This Row],[D, top '[m']]])/(2*MP_DATA[[#This Row],[t '[mm']]]/1000),"")</f>
        <v/>
      </c>
      <c r="AP166" s="68" t="str">
        <f>IFERROR(TP_DATA[[#This Row],[Bottom '[m']]]-TP_DATA[[#This Row],[D, top '[m']]], "")</f>
        <v/>
      </c>
      <c r="AQ166" s="68" t="str">
        <f>IFERROR(-(TP_DATA[[#This Row],[D, bottom '[m']]]-TP_DATA[[#This Row],[D, top '[m']]])/(TP_DATA[[#This Row],[Bottom '[m']]]-TP_DATA[[#This Row],[Top '[m']]]),"")</f>
        <v/>
      </c>
      <c r="AS166" s="68" t="str">
        <f>IFERROR((TP_DATA[[#This Row],[D, bottom '[m']]]+TP_DATA[[#This Row],[D, top '[m']]])/(2*TP_DATA[[#This Row],[t '[mm']]]/1000),"")</f>
        <v/>
      </c>
      <c r="BX166" s="68" t="str">
        <f>IFERROR(TOWER_DATA[[#This Row],[Bottom '[m']]]-TOWER_DATA[[#This Row],[D, top '[m']]], "")</f>
        <v/>
      </c>
      <c r="BY166" s="68" t="str">
        <f>IFERROR(-(TOWER_DATA[[#This Row],[D, bottom '[m']]]-TOWER_DATA[[#This Row],[D, top '[m']]])/(TOWER_DATA[[#This Row],[Bottom '[m']]]-TOWER_DATA[[#This Row],[Top '[m']]]),"")</f>
        <v/>
      </c>
      <c r="CA166" s="68" t="str">
        <f>IFERROR((TOWER_DATA[[#This Row],[D, bottom '[m']]]+TOWER_DATA[[#This Row],[D, top '[m']]])/(2*TOWER_DATA[[#This Row],[t '[mm']]]/1000),"")</f>
        <v/>
      </c>
    </row>
    <row r="167" spans="8:79" x14ac:dyDescent="0.3">
      <c r="H167" s="68" t="str">
        <f>IFERROR(MP_DATA[[#This Row],[Bottom '[m']]]-MP_DATA[[#This Row],[D, top '[m']]], "")</f>
        <v/>
      </c>
      <c r="K167" s="68" t="str">
        <f>IFERROR((MP_DATA[[#This Row],[D, bottom '[m']]]+MP_DATA[[#This Row],[D, top '[m']]])/(2*MP_DATA[[#This Row],[t '[mm']]]/1000),"")</f>
        <v/>
      </c>
      <c r="BI167" s="68"/>
      <c r="BJ167" s="68"/>
      <c r="BK167" s="68"/>
      <c r="BL167" s="68"/>
    </row>
    <row r="168" spans="8:79" x14ac:dyDescent="0.3">
      <c r="BI168" s="68"/>
      <c r="BJ168" s="68"/>
      <c r="BK168" s="68"/>
      <c r="BL168" s="68"/>
    </row>
  </sheetData>
  <protectedRanges>
    <protectedRange sqref="CC25:CE49" name="Bereich1"/>
  </protectedRanges>
  <dataConsolidate/>
  <phoneticPr fontId="10" type="noConversion"/>
  <conditionalFormatting sqref="B1966">
    <cfRule type="expression" dxfId="240" priority="12">
      <formula>B1965&lt;&gt;_xludf.INDIRECT("B" &amp; _xludf.ROW() + 200)</formula>
    </cfRule>
  </conditionalFormatting>
  <conditionalFormatting sqref="B168:L191 B56:G167 I167:J167 J161:J166 L144:L167">
    <cfRule type="expression" dxfId="239" priority="14">
      <formula>#REF!&lt;&gt;_xludf.INDIRECT(_xludf.ADDRESS(_xludf.ROW()-200,_xludf.COLUMN()))</formula>
    </cfRule>
  </conditionalFormatting>
  <conditionalFormatting sqref="H206">
    <cfRule type="expression" dxfId="238" priority="16">
      <formula>#REF!&lt;&gt;_xludf.INDIRECT(_xludf.ADDRESS(_xludf.ROW()-200,_xludf.COLUMN()))</formula>
    </cfRule>
  </conditionalFormatting>
  <conditionalFormatting sqref="D193">
    <cfRule type="expression" dxfId="237" priority="19">
      <formula>#REF!&lt;&gt;_xludf.INDIRECT(_xludf.ADDRESS(_xludf.ROW()-200,_xludf.COLUMN()))</formula>
    </cfRule>
  </conditionalFormatting>
  <conditionalFormatting sqref="G208:G214 H207:H214 G197:G206 B197:F214 H197:H205 I197:L214">
    <cfRule type="expression" dxfId="236" priority="20">
      <formula>B29&lt;&gt;_xludf.INDIRECT(_xludf.ADDRESS(_xludf.ROW()-200,_xludf.COLUMN()))</formula>
    </cfRule>
  </conditionalFormatting>
  <conditionalFormatting sqref="G207">
    <cfRule type="expression" dxfId="235" priority="29">
      <formula>H38&lt;&gt;_xludf.INDIRECT(_xludf.ADDRESS(_xludf.ROW()-200,_xludf.COLUMN()))</formula>
    </cfRule>
  </conditionalFormatting>
  <conditionalFormatting sqref="F193:G196 C193:C196 D194:E196 C192:G192 I192:L196">
    <cfRule type="expression" dxfId="234" priority="30">
      <formula>B24&lt;&gt;_xludf.INDIRECT(_xludf.ADDRESS(_xludf.ROW()-200,_xludf.COLUMN()))</formula>
    </cfRule>
  </conditionalFormatting>
  <conditionalFormatting sqref="B192:B196 H192:H196">
    <cfRule type="expression" dxfId="233" priority="37">
      <formula>#REF!&lt;&gt;_xludf.INDIRECT(_xludf.ADDRESS(_xludf.ROW()-200,_xludf.COLUMN()))</formula>
    </cfRule>
  </conditionalFormatting>
  <conditionalFormatting sqref="E193">
    <cfRule type="expression" dxfId="232" priority="40">
      <formula>C25&lt;&gt;_xludf.INDIRECT(_xludf.ADDRESS(_xludf.ROW()-200,_xludf.COLUMN()))</formula>
    </cfRule>
  </conditionalFormatting>
  <conditionalFormatting sqref="AJ56:AO166 AR161:AR166 AT144:AT166">
    <cfRule type="expression" dxfId="231" priority="2">
      <formula>#REF!&lt;&gt;_xludf.INDIRECT(_xludf.ADDRESS(_xludf.ROW()-200,_xludf.COLUMN()))</formula>
    </cfRule>
  </conditionalFormatting>
  <conditionalFormatting sqref="BR93:BW203 BZ163:BZ166 CB144:CB166">
    <cfRule type="expression" dxfId="230" priority="1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160020</xdr:rowOff>
                  </from>
                  <to>
                    <xdr:col>2</xdr:col>
                    <xdr:colOff>190500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12</xdr:row>
                    <xdr:rowOff>30480</xdr:rowOff>
                  </from>
                  <to>
                    <xdr:col>1</xdr:col>
                    <xdr:colOff>1074420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17</xdr:row>
                    <xdr:rowOff>22860</xdr:rowOff>
                  </from>
                  <to>
                    <xdr:col>14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10</xdr:col>
                    <xdr:colOff>190500</xdr:colOff>
                    <xdr:row>10</xdr:row>
                    <xdr:rowOff>190500</xdr:rowOff>
                  </from>
                  <to>
                    <xdr:col>12</xdr:col>
                    <xdr:colOff>579120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22860</xdr:colOff>
                    <xdr:row>4</xdr:row>
                    <xdr:rowOff>99060</xdr:rowOff>
                  </from>
                  <to>
                    <xdr:col>2</xdr:col>
                    <xdr:colOff>289560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35</xdr:col>
                    <xdr:colOff>38100</xdr:colOff>
                    <xdr:row>13</xdr:row>
                    <xdr:rowOff>160020</xdr:rowOff>
                  </from>
                  <to>
                    <xdr:col>37</xdr:col>
                    <xdr:colOff>373380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35</xdr:col>
                    <xdr:colOff>30480</xdr:colOff>
                    <xdr:row>12</xdr:row>
                    <xdr:rowOff>30480</xdr:rowOff>
                  </from>
                  <to>
                    <xdr:col>35</xdr:col>
                    <xdr:colOff>800100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47</xdr:col>
                    <xdr:colOff>38100</xdr:colOff>
                    <xdr:row>17</xdr:row>
                    <xdr:rowOff>22860</xdr:rowOff>
                  </from>
                  <to>
                    <xdr:col>48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47</xdr:col>
                    <xdr:colOff>38100</xdr:colOff>
                    <xdr:row>11</xdr:row>
                    <xdr:rowOff>83820</xdr:rowOff>
                  </from>
                  <to>
                    <xdr:col>48</xdr:col>
                    <xdr:colOff>1318260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4" name="Button 25">
              <controlPr defaultSize="0" print="0" autoFill="0" autoPict="0" macro="[0]!save_MP_Data">
                <anchor moveWithCells="1" sizeWithCells="1">
                  <from>
                    <xdr:col>44</xdr:col>
                    <xdr:colOff>45720</xdr:colOff>
                    <xdr:row>17</xdr:row>
                    <xdr:rowOff>22860</xdr:rowOff>
                  </from>
                  <to>
                    <xdr:col>46</xdr:col>
                    <xdr:colOff>731520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5" name="Dropdown_TOWER_Structures">
              <controlPr defaultSize="0" autoLine="0" autoPict="0" macro="[0]!load_TOWER_Data">
                <anchor moveWithCells="1">
                  <from>
                    <xdr:col>69</xdr:col>
                    <xdr:colOff>38100</xdr:colOff>
                    <xdr:row>13</xdr:row>
                    <xdr:rowOff>160020</xdr:rowOff>
                  </from>
                  <to>
                    <xdr:col>71</xdr:col>
                    <xdr:colOff>381000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6" name="Button 27">
              <controlPr defaultSize="0" print="0" autoFill="0" autoPict="0" macro="[0]!load_TOWER_DB">
                <anchor moveWithCells="1" sizeWithCells="1">
                  <from>
                    <xdr:col>69</xdr:col>
                    <xdr:colOff>38100</xdr:colOff>
                    <xdr:row>12</xdr:row>
                    <xdr:rowOff>38100</xdr:rowOff>
                  </from>
                  <to>
                    <xdr:col>69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7" name="Button 28">
              <controlPr defaultSize="0" print="0" autoFill="0" autoPict="0" macro="[0]!save_TOWER_Data">
                <anchor moveWithCells="1" sizeWithCells="1">
                  <from>
                    <xdr:col>81</xdr:col>
                    <xdr:colOff>868680</xdr:colOff>
                    <xdr:row>17</xdr:row>
                    <xdr:rowOff>22860</xdr:rowOff>
                  </from>
                  <to>
                    <xdr:col>82</xdr:col>
                    <xdr:colOff>2171700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8" name="Button 29">
              <controlPr defaultSize="0" print="0" autoFill="0" autoPict="0" macro="[0]!delete_TOWER_Data">
                <anchor moveWithCells="1" sizeWithCells="1">
                  <from>
                    <xdr:col>76</xdr:col>
                    <xdr:colOff>251460</xdr:colOff>
                    <xdr:row>17</xdr:row>
                    <xdr:rowOff>22860</xdr:rowOff>
                  </from>
                  <to>
                    <xdr:col>78</xdr:col>
                    <xdr:colOff>716280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9" name="Button 30">
              <controlPr defaultSize="0" print="0" autoFill="0" autoPict="0" macro="[0]!save_TOWER_Data">
                <anchor moveWithCells="1" sizeWithCells="1">
                  <from>
                    <xdr:col>79</xdr:col>
                    <xdr:colOff>60960</xdr:colOff>
                    <xdr:row>16</xdr:row>
                    <xdr:rowOff>182880</xdr:rowOff>
                  </from>
                  <to>
                    <xdr:col>81</xdr:col>
                    <xdr:colOff>746760</xdr:colOff>
                    <xdr:row>21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0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1143000</xdr:colOff>
                    <xdr:row>12</xdr:row>
                    <xdr:rowOff>38100</xdr:rowOff>
                  </from>
                  <to>
                    <xdr:col>2</xdr:col>
                    <xdr:colOff>22860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1" name="Button 32">
              <controlPr defaultSize="0" print="0" autoFill="0" autoPict="0" macro="[0]!reload_TP_DB">
                <anchor moveWithCells="1" sizeWithCells="1">
                  <from>
                    <xdr:col>35</xdr:col>
                    <xdr:colOff>838200</xdr:colOff>
                    <xdr:row>12</xdr:row>
                    <xdr:rowOff>22860</xdr:rowOff>
                  </from>
                  <to>
                    <xdr:col>36</xdr:col>
                    <xdr:colOff>0</xdr:colOff>
                    <xdr:row>12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2" name="Button 33">
              <controlPr defaultSize="0" print="0" autoFill="0" autoPict="0" macro="[0]!reload_TOWER_DB">
                <anchor moveWithCells="1" sizeWithCells="1">
                  <from>
                    <xdr:col>69</xdr:col>
                    <xdr:colOff>822960</xdr:colOff>
                    <xdr:row>12</xdr:row>
                    <xdr:rowOff>22860</xdr:rowOff>
                  </from>
                  <to>
                    <xdr:col>70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3" name="Import_MP_use_TP">
              <controlPr defaultSize="0" autoFill="0" autoLine="0" autoPict="0">
                <anchor moveWithCells="1">
                  <from>
                    <xdr:col>3</xdr:col>
                    <xdr:colOff>68580</xdr:colOff>
                    <xdr:row>6</xdr:row>
                    <xdr:rowOff>22860</xdr:rowOff>
                  </from>
                  <to>
                    <xdr:col>3</xdr:col>
                    <xdr:colOff>868680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4" name="Import_MP_use_MP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38100</xdr:rowOff>
                  </from>
                  <to>
                    <xdr:col>3</xdr:col>
                    <xdr:colOff>944880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5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30480</xdr:colOff>
                    <xdr:row>14</xdr:row>
                    <xdr:rowOff>0</xdr:rowOff>
                  </from>
                  <to>
                    <xdr:col>7</xdr:col>
                    <xdr:colOff>708660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6" name="Button 38">
              <controlPr defaultSize="0" print="0" autoFill="0" autoPict="0" macro="[0]!move_structure_TP">
                <anchor moveWithCells="1" sizeWithCells="1">
                  <from>
                    <xdr:col>42</xdr:col>
                    <xdr:colOff>60960</xdr:colOff>
                    <xdr:row>14</xdr:row>
                    <xdr:rowOff>0</xdr:rowOff>
                  </from>
                  <to>
                    <xdr:col>43</xdr:col>
                    <xdr:colOff>731520</xdr:colOff>
                    <xdr:row>14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tableParts count="24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H445"/>
  <sheetViews>
    <sheetView tabSelected="1" zoomScale="85" zoomScaleNormal="85" workbookViewId="0">
      <selection activeCell="K12" sqref="K12"/>
    </sheetView>
  </sheetViews>
  <sheetFormatPr baseColWidth="10" defaultColWidth="14.44140625" defaultRowHeight="14.4" x14ac:dyDescent="0.3"/>
  <cols>
    <col min="1" max="9" width="14.44140625" style="55"/>
    <col min="10" max="10" width="14.44140625" style="55" customWidth="1"/>
    <col min="11" max="14" width="14.44140625" style="55"/>
    <col min="15" max="15" width="10.33203125" style="59" customWidth="1"/>
    <col min="16" max="16" width="23.88671875" style="59" customWidth="1"/>
    <col min="17" max="17" width="12.6640625" style="59" customWidth="1"/>
    <col min="18" max="18" width="58.6640625" style="59" customWidth="1"/>
    <col min="19" max="19" width="13" style="55" customWidth="1"/>
    <col min="20" max="20" width="14.44140625" style="55" customWidth="1"/>
    <col min="21" max="21" width="19.33203125" style="55" customWidth="1"/>
    <col min="22" max="22" width="14.44140625" style="55"/>
    <col min="23" max="23" width="17.6640625" style="55" customWidth="1"/>
    <col min="24" max="28" width="14.44140625" style="55"/>
    <col min="29" max="29" width="20.44140625" style="55" customWidth="1"/>
    <col min="30" max="30" width="14.44140625" style="55"/>
    <col min="31" max="32" width="14.44140625" style="55" customWidth="1"/>
    <col min="33" max="16384" width="14.44140625" style="55"/>
  </cols>
  <sheetData>
    <row r="2" spans="2:34" ht="31.8" customHeight="1" x14ac:dyDescent="0.6">
      <c r="B2" s="79" t="s">
        <v>126</v>
      </c>
      <c r="O2" s="79" t="s">
        <v>127</v>
      </c>
      <c r="T2" s="79" t="s">
        <v>129</v>
      </c>
      <c r="AA2" s="79" t="s">
        <v>20</v>
      </c>
      <c r="AE2" s="79" t="s">
        <v>128</v>
      </c>
    </row>
    <row r="5" spans="2:34" x14ac:dyDescent="0.3">
      <c r="B5" s="55" t="s">
        <v>1</v>
      </c>
      <c r="C5" s="55" t="s">
        <v>103</v>
      </c>
      <c r="D5" s="55" t="s">
        <v>100</v>
      </c>
      <c r="E5" s="55" t="s">
        <v>123</v>
      </c>
      <c r="F5" s="55" t="s">
        <v>122</v>
      </c>
      <c r="G5" s="55" t="s">
        <v>94</v>
      </c>
      <c r="H5" s="55" t="s">
        <v>95</v>
      </c>
      <c r="I5" s="55" t="s">
        <v>96</v>
      </c>
      <c r="J5" s="55" t="s">
        <v>102</v>
      </c>
      <c r="K5" s="55" t="s">
        <v>9</v>
      </c>
      <c r="L5" s="55" t="s">
        <v>10</v>
      </c>
      <c r="M5" s="55" t="s">
        <v>12</v>
      </c>
      <c r="O5" s="59" t="s">
        <v>103</v>
      </c>
      <c r="P5" t="s">
        <v>125</v>
      </c>
      <c r="Q5" t="s">
        <v>106</v>
      </c>
      <c r="R5" s="59" t="s">
        <v>19</v>
      </c>
      <c r="T5" s="77" t="s">
        <v>103</v>
      </c>
      <c r="U5" s="61" t="s">
        <v>125</v>
      </c>
      <c r="V5" s="61" t="s">
        <v>106</v>
      </c>
      <c r="W5" s="78" t="s">
        <v>19</v>
      </c>
      <c r="AA5" s="55" t="s">
        <v>122</v>
      </c>
      <c r="AB5" s="55" t="s">
        <v>123</v>
      </c>
      <c r="AC5" s="55" t="s">
        <v>130</v>
      </c>
      <c r="AE5" s="55" t="s">
        <v>122</v>
      </c>
      <c r="AF5" s="55" t="s">
        <v>123</v>
      </c>
      <c r="AG5" s="55" t="s">
        <v>17</v>
      </c>
      <c r="AH5" s="55" t="s">
        <v>18</v>
      </c>
    </row>
    <row r="6" spans="2:34" x14ac:dyDescent="0.3">
      <c r="B6" s="55">
        <v>1</v>
      </c>
      <c r="C6" s="55" t="s">
        <v>79</v>
      </c>
      <c r="D6" s="55">
        <v>1</v>
      </c>
      <c r="E6" s="55">
        <v>134.67000000000002</v>
      </c>
      <c r="F6" s="55">
        <v>134.59</v>
      </c>
      <c r="G6" s="55">
        <v>5.7039999999999997</v>
      </c>
      <c r="H6" s="55">
        <v>5.7039999999999997</v>
      </c>
      <c r="I6" s="55">
        <v>30</v>
      </c>
      <c r="J6" s="58">
        <f t="shared" ref="J6:J59" si="0">IF(7850/1000*(1/3)*PI()*ABS(E6-F6)*((G6/2)^2+(G6/2)*(H6/2)+(H6/2)^2-(G6/2-I6/1000)^2-(G6/2-I6/1000)*(H6/2-I6/1000)-(H6/2-I6/1000)^2)=0,"",7850/1000*(1/3)*PI()*ABS(E6-F6)*((G6/2)^2+(G6/2)*(H6/2)+(H6/2)^2-(G6/2-I6/1000)^2-(G6/2-I6/1000)*(H6/2-I6/1000)-(H6/2-I6/1000)^2))</f>
        <v>0.33583047413831496</v>
      </c>
      <c r="K6" s="57">
        <f>IFERROR(WHOLE_STRUCTURE[[#This Row],[Bottom '[m']]]-WHOLE_STRUCTURE[[#This Row],[D, top '[m']]], "")</f>
        <v>128.886</v>
      </c>
      <c r="L6" s="58">
        <f>IFERROR(-(WHOLE_STRUCTURE[[#This Row],[D, bottom '[m']]]-WHOLE_STRUCTURE[[#This Row],[D, top '[m']]])/(WHOLE_STRUCTURE[[#This Row],[Bottom '[m']]]-WHOLE_STRUCTURE[[#This Row],[Top '[m']]]),"")</f>
        <v>0</v>
      </c>
      <c r="M6" s="56">
        <f>IFERROR((WHOLE_STRUCTURE[[#This Row],[D, bottom '[m']]]+WHOLE_STRUCTURE[[#This Row],[D, top '[m']]])/(2*WHOLE_STRUCTURE[[#This Row],[t '[mm']]]/1000),"")</f>
        <v>190.13333333333333</v>
      </c>
      <c r="O6" s="59" t="s">
        <v>79</v>
      </c>
      <c r="P6" s="59">
        <v>134.17000000000002</v>
      </c>
      <c r="Q6" s="59">
        <v>2543</v>
      </c>
      <c r="R6" s="59" t="s">
        <v>117</v>
      </c>
      <c r="T6" s="55" t="s">
        <v>120</v>
      </c>
      <c r="U6" s="80">
        <v>2.8847684049364144</v>
      </c>
      <c r="V6" s="80">
        <v>134.76074207519969</v>
      </c>
      <c r="W6" s="55" t="s">
        <v>109</v>
      </c>
      <c r="AA6" s="55">
        <v>139</v>
      </c>
      <c r="AB6" s="55">
        <v>4.5999999999999996</v>
      </c>
      <c r="AC6" s="55">
        <v>0</v>
      </c>
      <c r="AE6" s="55">
        <v>20</v>
      </c>
      <c r="AF6" s="55">
        <v>6.5</v>
      </c>
      <c r="AG6" s="55">
        <v>0.9</v>
      </c>
      <c r="AH6" s="55">
        <v>2</v>
      </c>
    </row>
    <row r="7" spans="2:34" x14ac:dyDescent="0.3">
      <c r="B7" s="55">
        <v>2</v>
      </c>
      <c r="C7" s="55" t="s">
        <v>79</v>
      </c>
      <c r="D7" s="55">
        <v>2</v>
      </c>
      <c r="E7" s="55">
        <v>134.59</v>
      </c>
      <c r="F7" s="55">
        <v>134.54</v>
      </c>
      <c r="G7" s="55">
        <v>5.7039999999999997</v>
      </c>
      <c r="H7" s="55">
        <v>5.7</v>
      </c>
      <c r="I7" s="55">
        <v>26</v>
      </c>
      <c r="J7" s="58">
        <f t="shared" si="0"/>
        <v>0.1819722933976623</v>
      </c>
      <c r="K7" s="57">
        <f>IFERROR(WHOLE_STRUCTURE[[#This Row],[Bottom '[m']]]-WHOLE_STRUCTURE[[#This Row],[D, top '[m']]], "")</f>
        <v>128.83599999999998</v>
      </c>
      <c r="L7" s="58">
        <f>IFERROR(-(WHOLE_STRUCTURE[[#This Row],[D, bottom '[m']]]-WHOLE_STRUCTURE[[#This Row],[D, top '[m']]])/(WHOLE_STRUCTURE[[#This Row],[Bottom '[m']]]-WHOLE_STRUCTURE[[#This Row],[Top '[m']]]),"")</f>
        <v>-7.9999999999972995E-2</v>
      </c>
      <c r="M7" s="56">
        <f>IFERROR((WHOLE_STRUCTURE[[#This Row],[D, bottom '[m']]]+WHOLE_STRUCTURE[[#This Row],[D, top '[m']]])/(2*WHOLE_STRUCTURE[[#This Row],[t '[mm']]]/1000),"")</f>
        <v>219.30769230769232</v>
      </c>
      <c r="O7" s="59" t="s">
        <v>79</v>
      </c>
      <c r="P7" s="59">
        <v>133.072</v>
      </c>
      <c r="Q7" s="59">
        <v>1500</v>
      </c>
      <c r="R7" s="59" t="s">
        <v>117</v>
      </c>
      <c r="AA7" s="55">
        <f>IF(ISBLANK(AB7),"",AB6)</f>
        <v>4.5999999999999996</v>
      </c>
      <c r="AB7" s="55">
        <v>-9.6</v>
      </c>
      <c r="AC7" s="55">
        <v>250</v>
      </c>
      <c r="AE7" s="55">
        <f>IF(ISBLANK(AF7),"",AF6)</f>
        <v>6.5</v>
      </c>
      <c r="AF7" s="55">
        <v>-22</v>
      </c>
      <c r="AG7" s="55">
        <v>0.9</v>
      </c>
      <c r="AH7" s="55">
        <v>2</v>
      </c>
    </row>
    <row r="8" spans="2:34" x14ac:dyDescent="0.3">
      <c r="B8" s="55">
        <v>3</v>
      </c>
      <c r="C8" s="55" t="s">
        <v>79</v>
      </c>
      <c r="D8" s="55">
        <v>3</v>
      </c>
      <c r="E8" s="55">
        <v>134.54</v>
      </c>
      <c r="F8" s="55">
        <v>133.69</v>
      </c>
      <c r="G8" s="55">
        <v>5.7</v>
      </c>
      <c r="H8" s="55">
        <v>5.7023000000000001</v>
      </c>
      <c r="I8" s="55">
        <v>22.3</v>
      </c>
      <c r="J8" s="58">
        <f t="shared" si="0"/>
        <v>2.6546282739380436</v>
      </c>
      <c r="K8" s="57">
        <f>IFERROR(WHOLE_STRUCTURE[[#This Row],[Bottom '[m']]]-WHOLE_STRUCTURE[[#This Row],[D, top '[m']]], "")</f>
        <v>127.99</v>
      </c>
      <c r="L8" s="58">
        <f>IFERROR(-(WHOLE_STRUCTURE[[#This Row],[D, bottom '[m']]]-WHOLE_STRUCTURE[[#This Row],[D, top '[m']]])/(WHOLE_STRUCTURE[[#This Row],[Bottom '[m']]]-WHOLE_STRUCTURE[[#This Row],[Top '[m']]]),"")</f>
        <v>2.7058823529411578E-3</v>
      </c>
      <c r="M8" s="56">
        <f>IFERROR((WHOLE_STRUCTURE[[#This Row],[D, bottom '[m']]]+WHOLE_STRUCTURE[[#This Row],[D, top '[m']]])/(2*WHOLE_STRUCTURE[[#This Row],[t '[mm']]]/1000),"")</f>
        <v>255.65695067264573</v>
      </c>
      <c r="O8" s="59" t="s">
        <v>79</v>
      </c>
      <c r="P8" s="59">
        <v>130.178</v>
      </c>
      <c r="Q8" s="59">
        <v>25000</v>
      </c>
      <c r="R8" s="59" t="s">
        <v>117</v>
      </c>
      <c r="AA8" s="55">
        <f t="shared" ref="AA8" si="1">IF(ISBLANK(AB8),"",AB7)</f>
        <v>-9.6</v>
      </c>
      <c r="AB8" s="55">
        <v>-22</v>
      </c>
      <c r="AC8" s="55">
        <v>100</v>
      </c>
      <c r="AE8" s="55" t="str">
        <f t="shared" ref="AE8" si="2">IF(ISBLANK(AF8),"",AF7)</f>
        <v/>
      </c>
    </row>
    <row r="9" spans="2:34" x14ac:dyDescent="0.3">
      <c r="B9" s="55">
        <v>4</v>
      </c>
      <c r="C9" s="55" t="s">
        <v>79</v>
      </c>
      <c r="D9" s="55">
        <v>4</v>
      </c>
      <c r="E9" s="55">
        <v>133.69</v>
      </c>
      <c r="F9" s="55">
        <v>133.572</v>
      </c>
      <c r="G9" s="55">
        <v>5.7023000000000001</v>
      </c>
      <c r="H9" s="55">
        <v>5.7051999999999996</v>
      </c>
      <c r="I9" s="55">
        <v>22.3</v>
      </c>
      <c r="J9" s="58">
        <f t="shared" si="0"/>
        <v>0.36869359138513769</v>
      </c>
      <c r="K9" s="57">
        <f>IFERROR(WHOLE_STRUCTURE[[#This Row],[Bottom '[m']]]-WHOLE_STRUCTURE[[#This Row],[D, top '[m']]], "")</f>
        <v>127.86970000000001</v>
      </c>
      <c r="L9" s="58">
        <f>IFERROR(-(WHOLE_STRUCTURE[[#This Row],[D, bottom '[m']]]-WHOLE_STRUCTURE[[#This Row],[D, top '[m']]])/(WHOLE_STRUCTURE[[#This Row],[Bottom '[m']]]-WHOLE_STRUCTURE[[#This Row],[Top '[m']]]),"")</f>
        <v>2.457627118643713E-2</v>
      </c>
      <c r="M9" s="56">
        <f>IFERROR((WHOLE_STRUCTURE[[#This Row],[D, bottom '[m']]]+WHOLE_STRUCTURE[[#This Row],[D, top '[m']]])/(2*WHOLE_STRUCTURE[[#This Row],[t '[mm']]]/1000),"")</f>
        <v>255.77354260089683</v>
      </c>
      <c r="O9" s="59" t="s">
        <v>79</v>
      </c>
      <c r="P9" s="59">
        <v>128.18100000000001</v>
      </c>
      <c r="Q9" s="59">
        <v>1000</v>
      </c>
      <c r="R9" s="59" t="s">
        <v>117</v>
      </c>
      <c r="T9" s="60" t="s">
        <v>103</v>
      </c>
      <c r="U9" s="61" t="s">
        <v>123</v>
      </c>
      <c r="V9" s="61" t="s">
        <v>122</v>
      </c>
      <c r="W9" s="61" t="s">
        <v>94</v>
      </c>
      <c r="X9" s="61" t="s">
        <v>95</v>
      </c>
      <c r="Y9" s="61" t="s">
        <v>96</v>
      </c>
    </row>
    <row r="10" spans="2:34" x14ac:dyDescent="0.3">
      <c r="B10" s="55">
        <v>5</v>
      </c>
      <c r="C10" s="55" t="s">
        <v>79</v>
      </c>
      <c r="D10" s="55">
        <v>5</v>
      </c>
      <c r="E10" s="55">
        <v>133.572</v>
      </c>
      <c r="F10" s="55">
        <v>131.494</v>
      </c>
      <c r="G10" s="55">
        <v>5.7051999999999996</v>
      </c>
      <c r="H10" s="55">
        <v>5.7557999999999998</v>
      </c>
      <c r="I10" s="55">
        <v>21.8</v>
      </c>
      <c r="J10" s="58">
        <f t="shared" si="0"/>
        <v>6.3776221755356737</v>
      </c>
      <c r="K10" s="57">
        <f>IFERROR(WHOLE_STRUCTURE[[#This Row],[Bottom '[m']]]-WHOLE_STRUCTURE[[#This Row],[D, top '[m']]], "")</f>
        <v>125.78879999999999</v>
      </c>
      <c r="L10" s="58">
        <f>IFERROR(-(WHOLE_STRUCTURE[[#This Row],[D, bottom '[m']]]-WHOLE_STRUCTURE[[#This Row],[D, top '[m']]])/(WHOLE_STRUCTURE[[#This Row],[Bottom '[m']]]-WHOLE_STRUCTURE[[#This Row],[Top '[m']]]),"")</f>
        <v>2.4350336862367723E-2</v>
      </c>
      <c r="M10" s="56">
        <f>IFERROR((WHOLE_STRUCTURE[[#This Row],[D, bottom '[m']]]+WHOLE_STRUCTURE[[#This Row],[D, top '[m']]])/(2*WHOLE_STRUCTURE[[#This Row],[t '[mm']]]/1000),"")</f>
        <v>262.86697247706417</v>
      </c>
      <c r="O10" s="59" t="s">
        <v>79</v>
      </c>
      <c r="P10" s="59">
        <v>108.711</v>
      </c>
      <c r="Q10" s="59">
        <v>4156</v>
      </c>
      <c r="R10" s="59" t="s">
        <v>117</v>
      </c>
      <c r="T10" s="62" t="s">
        <v>120</v>
      </c>
      <c r="U10" s="62">
        <v>5.8</v>
      </c>
      <c r="V10" s="62">
        <v>3.5</v>
      </c>
      <c r="W10" s="62">
        <v>8</v>
      </c>
      <c r="X10" s="63">
        <v>8</v>
      </c>
      <c r="Y10" s="64">
        <v>124</v>
      </c>
    </row>
    <row r="11" spans="2:34" x14ac:dyDescent="0.3">
      <c r="B11" s="55">
        <v>6</v>
      </c>
      <c r="C11" s="55" t="s">
        <v>79</v>
      </c>
      <c r="D11" s="55">
        <v>6</v>
      </c>
      <c r="E11" s="55">
        <v>131.494</v>
      </c>
      <c r="F11" s="55">
        <v>130.678</v>
      </c>
      <c r="G11" s="55">
        <v>5.7557999999999998</v>
      </c>
      <c r="H11" s="55">
        <v>5.7717999999999998</v>
      </c>
      <c r="I11" s="55">
        <v>21.8</v>
      </c>
      <c r="J11" s="58">
        <f t="shared" si="0"/>
        <v>2.5190069745336889</v>
      </c>
      <c r="K11" s="57">
        <f>IFERROR(WHOLE_STRUCTURE[[#This Row],[Bottom '[m']]]-WHOLE_STRUCTURE[[#This Row],[D, top '[m']]], "")</f>
        <v>124.9222</v>
      </c>
      <c r="L11" s="58">
        <f>IFERROR(-(WHOLE_STRUCTURE[[#This Row],[D, bottom '[m']]]-WHOLE_STRUCTURE[[#This Row],[D, top '[m']]])/(WHOLE_STRUCTURE[[#This Row],[Bottom '[m']]]-WHOLE_STRUCTURE[[#This Row],[Top '[m']]]),"")</f>
        <v>1.960784313725486E-2</v>
      </c>
      <c r="M11" s="56">
        <f>IFERROR((WHOLE_STRUCTURE[[#This Row],[D, bottom '[m']]]+WHOLE_STRUCTURE[[#This Row],[D, top '[m']]])/(2*WHOLE_STRUCTURE[[#This Row],[t '[mm']]]/1000),"")</f>
        <v>264.39449541284404</v>
      </c>
      <c r="O11" s="59" t="s">
        <v>79</v>
      </c>
      <c r="P11" s="59">
        <v>108.59099999999999</v>
      </c>
      <c r="Q11" s="59">
        <v>4156</v>
      </c>
      <c r="R11" s="59" t="s">
        <v>117</v>
      </c>
      <c r="T11" s="62" t="s">
        <v>120</v>
      </c>
      <c r="U11" s="62">
        <v>3.5</v>
      </c>
      <c r="V11" s="62">
        <v>-0.20000000000000018</v>
      </c>
      <c r="W11" s="62">
        <v>8</v>
      </c>
      <c r="X11" s="63">
        <v>8</v>
      </c>
      <c r="Y11" s="62">
        <v>110</v>
      </c>
    </row>
    <row r="12" spans="2:34" x14ac:dyDescent="0.3">
      <c r="B12" s="55">
        <v>7</v>
      </c>
      <c r="C12" s="55" t="s">
        <v>79</v>
      </c>
      <c r="D12" s="55">
        <v>7</v>
      </c>
      <c r="E12" s="55">
        <v>130.678</v>
      </c>
      <c r="F12" s="55">
        <v>128.70699999999999</v>
      </c>
      <c r="G12" s="55">
        <v>5.7717999999999998</v>
      </c>
      <c r="H12" s="55">
        <v>5.8105000000000002</v>
      </c>
      <c r="I12" s="55">
        <v>21.5</v>
      </c>
      <c r="J12" s="58">
        <f t="shared" si="0"/>
        <v>6.0296774719339465</v>
      </c>
      <c r="K12" s="57">
        <f>IFERROR(WHOLE_STRUCTURE[[#This Row],[Bottom '[m']]]-WHOLE_STRUCTURE[[#This Row],[D, top '[m']]], "")</f>
        <v>122.93519999999999</v>
      </c>
      <c r="L12" s="58">
        <f>IFERROR(-(WHOLE_STRUCTURE[[#This Row],[D, bottom '[m']]]-WHOLE_STRUCTURE[[#This Row],[D, top '[m']]])/(WHOLE_STRUCTURE[[#This Row],[Bottom '[m']]]-WHOLE_STRUCTURE[[#This Row],[Top '[m']]]),"")</f>
        <v>1.9634703196347199E-2</v>
      </c>
      <c r="M12" s="56">
        <f>IFERROR((WHOLE_STRUCTURE[[#This Row],[D, bottom '[m']]]+WHOLE_STRUCTURE[[#This Row],[D, top '[m']]])/(2*WHOLE_STRUCTURE[[#This Row],[t '[mm']]]/1000),"")</f>
        <v>269.35581395348839</v>
      </c>
      <c r="O12" s="59" t="s">
        <v>79</v>
      </c>
      <c r="P12" s="59">
        <v>107.29299999999999</v>
      </c>
      <c r="Q12" s="59">
        <v>1500</v>
      </c>
      <c r="R12" s="59" t="s">
        <v>117</v>
      </c>
    </row>
    <row r="13" spans="2:34" x14ac:dyDescent="0.3">
      <c r="B13" s="55">
        <v>8</v>
      </c>
      <c r="C13" s="55" t="s">
        <v>79</v>
      </c>
      <c r="D13" s="55">
        <v>8</v>
      </c>
      <c r="E13" s="55">
        <v>128.70699999999999</v>
      </c>
      <c r="F13" s="55">
        <v>128.68100000000001</v>
      </c>
      <c r="G13" s="55">
        <v>5.8105000000000002</v>
      </c>
      <c r="H13" s="55">
        <v>5.8109999999999999</v>
      </c>
      <c r="I13" s="55">
        <v>21.5</v>
      </c>
      <c r="J13" s="58">
        <f t="shared" si="0"/>
        <v>7.9809325723593616E-2</v>
      </c>
      <c r="K13" s="57">
        <f>IFERROR(WHOLE_STRUCTURE[[#This Row],[Bottom '[m']]]-WHOLE_STRUCTURE[[#This Row],[D, top '[m']]], "")</f>
        <v>122.87050000000001</v>
      </c>
      <c r="L13" s="58">
        <f>IFERROR(-(WHOLE_STRUCTURE[[#This Row],[D, bottom '[m']]]-WHOLE_STRUCTURE[[#This Row],[D, top '[m']]])/(WHOLE_STRUCTURE[[#This Row],[Bottom '[m']]]-WHOLE_STRUCTURE[[#This Row],[Top '[m']]]),"")</f>
        <v>1.9230769230771858E-2</v>
      </c>
      <c r="M13" s="56">
        <f>IFERROR((WHOLE_STRUCTURE[[#This Row],[D, bottom '[m']]]+WHOLE_STRUCTURE[[#This Row],[D, top '[m']]])/(2*WHOLE_STRUCTURE[[#This Row],[t '[mm']]]/1000),"")</f>
        <v>270.26744186046517</v>
      </c>
      <c r="O13" s="59" t="s">
        <v>79</v>
      </c>
      <c r="P13" s="59">
        <v>72.39</v>
      </c>
      <c r="Q13" s="59">
        <v>5785</v>
      </c>
      <c r="R13" s="59" t="s">
        <v>117</v>
      </c>
    </row>
    <row r="14" spans="2:34" x14ac:dyDescent="0.3">
      <c r="B14" s="55">
        <v>9</v>
      </c>
      <c r="C14" s="55" t="s">
        <v>79</v>
      </c>
      <c r="D14" s="55">
        <v>9</v>
      </c>
      <c r="E14" s="55">
        <v>128.68100000000001</v>
      </c>
      <c r="F14" s="55">
        <v>125.923</v>
      </c>
      <c r="G14" s="55">
        <v>5.8109999999999999</v>
      </c>
      <c r="H14" s="55">
        <v>5.8646000000000003</v>
      </c>
      <c r="I14" s="55">
        <v>21.6</v>
      </c>
      <c r="J14" s="58">
        <f t="shared" si="0"/>
        <v>8.5448978339475516</v>
      </c>
      <c r="K14" s="57">
        <f>IFERROR(WHOLE_STRUCTURE[[#This Row],[Bottom '[m']]]-WHOLE_STRUCTURE[[#This Row],[D, top '[m']]], "")</f>
        <v>120.11199999999999</v>
      </c>
      <c r="L14" s="58">
        <f>IFERROR(-(WHOLE_STRUCTURE[[#This Row],[D, bottom '[m']]]-WHOLE_STRUCTURE[[#This Row],[D, top '[m']]])/(WHOLE_STRUCTURE[[#This Row],[Bottom '[m']]]-WHOLE_STRUCTURE[[#This Row],[Top '[m']]]),"")</f>
        <v>1.9434372733865165E-2</v>
      </c>
      <c r="M14" s="56">
        <f>IFERROR((WHOLE_STRUCTURE[[#This Row],[D, bottom '[m']]]+WHOLE_STRUCTURE[[#This Row],[D, top '[m']]])/(2*WHOLE_STRUCTURE[[#This Row],[t '[mm']]]/1000),"")</f>
        <v>270.26851851851848</v>
      </c>
      <c r="O14" s="59" t="s">
        <v>79</v>
      </c>
      <c r="P14" s="59">
        <v>72.259999999999991</v>
      </c>
      <c r="Q14" s="59">
        <v>5785</v>
      </c>
      <c r="R14" s="59" t="s">
        <v>117</v>
      </c>
    </row>
    <row r="15" spans="2:34" x14ac:dyDescent="0.3">
      <c r="B15" s="55">
        <v>10</v>
      </c>
      <c r="C15" s="55" t="s">
        <v>79</v>
      </c>
      <c r="D15" s="55">
        <v>10</v>
      </c>
      <c r="E15" s="55">
        <v>125.923</v>
      </c>
      <c r="F15" s="55">
        <v>123.13899999999998</v>
      </c>
      <c r="G15" s="55">
        <v>5.8646000000000003</v>
      </c>
      <c r="H15" s="55">
        <v>5.9176000000000002</v>
      </c>
      <c r="I15" s="55">
        <v>19.599999999999998</v>
      </c>
      <c r="J15" s="58">
        <f t="shared" si="0"/>
        <v>7.9012153166611743</v>
      </c>
      <c r="K15" s="57">
        <f>IFERROR(WHOLE_STRUCTURE[[#This Row],[Bottom '[m']]]-WHOLE_STRUCTURE[[#This Row],[D, top '[m']]], "")</f>
        <v>117.27439999999999</v>
      </c>
      <c r="L15" s="58">
        <f>IFERROR(-(WHOLE_STRUCTURE[[#This Row],[D, bottom '[m']]]-WHOLE_STRUCTURE[[#This Row],[D, top '[m']]])/(WHOLE_STRUCTURE[[#This Row],[Bottom '[m']]]-WHOLE_STRUCTURE[[#This Row],[Top '[m']]]),"")</f>
        <v>1.9037356321838918E-2</v>
      </c>
      <c r="M15" s="56">
        <f>IFERROR((WHOLE_STRUCTURE[[#This Row],[D, bottom '[m']]]+WHOLE_STRUCTURE[[#This Row],[D, top '[m']]])/(2*WHOLE_STRUCTURE[[#This Row],[t '[mm']]]/1000),"")</f>
        <v>300.56632653061223</v>
      </c>
      <c r="O15" s="59" t="s">
        <v>79</v>
      </c>
      <c r="P15" s="59">
        <v>70.962999999999994</v>
      </c>
      <c r="Q15" s="59">
        <v>1500</v>
      </c>
      <c r="R15" s="59" t="s">
        <v>117</v>
      </c>
    </row>
    <row r="16" spans="2:34" x14ac:dyDescent="0.3">
      <c r="B16" s="55">
        <v>11</v>
      </c>
      <c r="C16" s="55" t="s">
        <v>79</v>
      </c>
      <c r="D16" s="55">
        <v>11</v>
      </c>
      <c r="E16" s="55">
        <v>123.13899999999998</v>
      </c>
      <c r="F16" s="55">
        <v>120.35599999999999</v>
      </c>
      <c r="G16" s="55">
        <v>5.9176000000000002</v>
      </c>
      <c r="H16" s="55">
        <v>5.9721000000000002</v>
      </c>
      <c r="I16" s="55">
        <v>20.100000000000001</v>
      </c>
      <c r="J16" s="58">
        <f t="shared" si="0"/>
        <v>8.1733260256296827</v>
      </c>
      <c r="K16" s="57">
        <f>IFERROR(WHOLE_STRUCTURE[[#This Row],[Bottom '[m']]]-WHOLE_STRUCTURE[[#This Row],[D, top '[m']]], "")</f>
        <v>114.4384</v>
      </c>
      <c r="L16" s="58">
        <f>IFERROR(-(WHOLE_STRUCTURE[[#This Row],[D, bottom '[m']]]-WHOLE_STRUCTURE[[#This Row],[D, top '[m']]])/(WHOLE_STRUCTURE[[#This Row],[Bottom '[m']]]-WHOLE_STRUCTURE[[#This Row],[Top '[m']]]),"")</f>
        <v>1.9583183614804257E-2</v>
      </c>
      <c r="M16" s="56">
        <f>IFERROR((WHOLE_STRUCTURE[[#This Row],[D, bottom '[m']]]+WHOLE_STRUCTURE[[#This Row],[D, top '[m']]])/(2*WHOLE_STRUCTURE[[#This Row],[t '[mm']]]/1000),"")</f>
        <v>295.76368159203986</v>
      </c>
      <c r="O16" s="59" t="s">
        <v>79</v>
      </c>
      <c r="P16" s="59">
        <v>39.422999999999995</v>
      </c>
      <c r="Q16" s="59">
        <v>7233</v>
      </c>
      <c r="R16" s="59" t="s">
        <v>117</v>
      </c>
    </row>
    <row r="17" spans="2:18" x14ac:dyDescent="0.3">
      <c r="B17" s="55">
        <v>12</v>
      </c>
      <c r="C17" s="55" t="s">
        <v>79</v>
      </c>
      <c r="D17" s="55">
        <v>12</v>
      </c>
      <c r="E17" s="55">
        <v>120.35599999999999</v>
      </c>
      <c r="F17" s="55">
        <v>117.57599999999999</v>
      </c>
      <c r="G17" s="55">
        <v>5.9721000000000002</v>
      </c>
      <c r="H17" s="55">
        <v>6.0275999999999996</v>
      </c>
      <c r="I17" s="55">
        <v>20.6</v>
      </c>
      <c r="J17" s="58">
        <f t="shared" si="0"/>
        <v>8.4445839583441931</v>
      </c>
      <c r="K17" s="57">
        <f>IFERROR(WHOLE_STRUCTURE[[#This Row],[Bottom '[m']]]-WHOLE_STRUCTURE[[#This Row],[D, top '[m']]], "")</f>
        <v>111.6039</v>
      </c>
      <c r="L17" s="58">
        <f>IFERROR(-(WHOLE_STRUCTURE[[#This Row],[D, bottom '[m']]]-WHOLE_STRUCTURE[[#This Row],[D, top '[m']]])/(WHOLE_STRUCTURE[[#This Row],[Bottom '[m']]]-WHOLE_STRUCTURE[[#This Row],[Top '[m']]]),"")</f>
        <v>1.9964028776978206E-2</v>
      </c>
      <c r="M17" s="56">
        <f>IFERROR((WHOLE_STRUCTURE[[#This Row],[D, bottom '[m']]]+WHOLE_STRUCTURE[[#This Row],[D, top '[m']]])/(2*WHOLE_STRUCTURE[[#This Row],[t '[mm']]]/1000),"")</f>
        <v>291.25485436893206</v>
      </c>
      <c r="O17" s="59" t="s">
        <v>79</v>
      </c>
      <c r="P17" s="59">
        <v>39.282999999999994</v>
      </c>
      <c r="Q17" s="59">
        <v>7233</v>
      </c>
      <c r="R17" s="59" t="s">
        <v>117</v>
      </c>
    </row>
    <row r="18" spans="2:18" x14ac:dyDescent="0.3">
      <c r="B18" s="55">
        <v>13</v>
      </c>
      <c r="C18" s="55" t="s">
        <v>79</v>
      </c>
      <c r="D18" s="55">
        <v>13</v>
      </c>
      <c r="E18" s="55">
        <v>117.57599999999999</v>
      </c>
      <c r="F18" s="55">
        <v>114.79599999999999</v>
      </c>
      <c r="G18" s="55">
        <v>6.0275999999999996</v>
      </c>
      <c r="H18" s="55">
        <v>6.0824999999999996</v>
      </c>
      <c r="I18" s="55">
        <v>21.5</v>
      </c>
      <c r="J18" s="58">
        <f t="shared" si="0"/>
        <v>8.8935612695373987</v>
      </c>
      <c r="K18" s="57">
        <f>IFERROR(WHOLE_STRUCTURE[[#This Row],[Bottom '[m']]]-WHOLE_STRUCTURE[[#This Row],[D, top '[m']]], "")</f>
        <v>108.76839999999999</v>
      </c>
      <c r="L18" s="58">
        <f>IFERROR(-(WHOLE_STRUCTURE[[#This Row],[D, bottom '[m']]]-WHOLE_STRUCTURE[[#This Row],[D, top '[m']]])/(WHOLE_STRUCTURE[[#This Row],[Bottom '[m']]]-WHOLE_STRUCTURE[[#This Row],[Top '[m']]]),"")</f>
        <v>1.9748201438848895E-2</v>
      </c>
      <c r="M18" s="56">
        <f>IFERROR((WHOLE_STRUCTURE[[#This Row],[D, bottom '[m']]]+WHOLE_STRUCTURE[[#This Row],[D, top '[m']]])/(2*WHOLE_STRUCTURE[[#This Row],[t '[mm']]]/1000),"")</f>
        <v>281.63023255813954</v>
      </c>
      <c r="O18" s="59" t="s">
        <v>79</v>
      </c>
      <c r="P18" s="59">
        <v>37.98599999999999</v>
      </c>
      <c r="Q18" s="59">
        <v>1500</v>
      </c>
      <c r="R18" s="59" t="s">
        <v>117</v>
      </c>
    </row>
    <row r="19" spans="2:18" x14ac:dyDescent="0.3">
      <c r="B19" s="55">
        <v>14</v>
      </c>
      <c r="C19" s="55" t="s">
        <v>79</v>
      </c>
      <c r="D19" s="55">
        <v>14</v>
      </c>
      <c r="E19" s="55">
        <v>114.79599999999999</v>
      </c>
      <c r="F19" s="55">
        <v>112.017</v>
      </c>
      <c r="G19" s="55">
        <v>6.0824999999999996</v>
      </c>
      <c r="H19" s="55">
        <v>6.1383999999999999</v>
      </c>
      <c r="I19" s="55">
        <v>22.4</v>
      </c>
      <c r="J19" s="58">
        <f t="shared" si="0"/>
        <v>9.3461835330187331</v>
      </c>
      <c r="K19" s="57">
        <f>IFERROR(WHOLE_STRUCTURE[[#This Row],[Bottom '[m']]]-WHOLE_STRUCTURE[[#This Row],[D, top '[m']]], "")</f>
        <v>105.9345</v>
      </c>
      <c r="L19" s="58">
        <f>IFERROR(-(WHOLE_STRUCTURE[[#This Row],[D, bottom '[m']]]-WHOLE_STRUCTURE[[#This Row],[D, top '[m']]])/(WHOLE_STRUCTURE[[#This Row],[Bottom '[m']]]-WHOLE_STRUCTURE[[#This Row],[Top '[m']]]),"")</f>
        <v>2.011514933429304E-2</v>
      </c>
      <c r="M19" s="56">
        <f>IFERROR((WHOLE_STRUCTURE[[#This Row],[D, bottom '[m']]]+WHOLE_STRUCTURE[[#This Row],[D, top '[m']]])/(2*WHOLE_STRUCTURE[[#This Row],[t '[mm']]]/1000),"")</f>
        <v>272.78794642857144</v>
      </c>
      <c r="O19" s="59" t="s">
        <v>79</v>
      </c>
      <c r="P19" s="59">
        <v>16.965999999999998</v>
      </c>
      <c r="Q19" s="59">
        <v>10500</v>
      </c>
      <c r="R19" s="59" t="s">
        <v>117</v>
      </c>
    </row>
    <row r="20" spans="2:18" x14ac:dyDescent="0.3">
      <c r="B20" s="55">
        <v>15</v>
      </c>
      <c r="C20" s="55" t="s">
        <v>79</v>
      </c>
      <c r="D20" s="55">
        <v>15</v>
      </c>
      <c r="E20" s="55">
        <v>112.017</v>
      </c>
      <c r="F20" s="55">
        <v>109.241</v>
      </c>
      <c r="G20" s="55">
        <v>6.1383999999999999</v>
      </c>
      <c r="H20" s="55">
        <v>6.1931000000000003</v>
      </c>
      <c r="I20" s="55">
        <v>23.099999999999998</v>
      </c>
      <c r="J20" s="58">
        <f t="shared" si="0"/>
        <v>9.7141933110070458</v>
      </c>
      <c r="K20" s="57">
        <f>IFERROR(WHOLE_STRUCTURE[[#This Row],[Bottom '[m']]]-WHOLE_STRUCTURE[[#This Row],[D, top '[m']]], "")</f>
        <v>103.1026</v>
      </c>
      <c r="L20" s="58">
        <f>IFERROR(-(WHOLE_STRUCTURE[[#This Row],[D, bottom '[m']]]-WHOLE_STRUCTURE[[#This Row],[D, top '[m']]])/(WHOLE_STRUCTURE[[#This Row],[Bottom '[m']]]-WHOLE_STRUCTURE[[#This Row],[Top '[m']]]),"")</f>
        <v>1.9704610951008821E-2</v>
      </c>
      <c r="M20" s="56">
        <f>IFERROR((WHOLE_STRUCTURE[[#This Row],[D, bottom '[m']]]+WHOLE_STRUCTURE[[#This Row],[D, top '[m']]])/(2*WHOLE_STRUCTURE[[#This Row],[t '[mm']]]/1000),"")</f>
        <v>266.91558441558442</v>
      </c>
      <c r="O20" s="59" t="s">
        <v>101</v>
      </c>
      <c r="P20" s="59">
        <v>15.469999999999999</v>
      </c>
      <c r="Q20" s="59">
        <v>30000</v>
      </c>
      <c r="R20" s="59" t="s">
        <v>112</v>
      </c>
    </row>
    <row r="21" spans="2:18" x14ac:dyDescent="0.3">
      <c r="B21" s="55">
        <v>16</v>
      </c>
      <c r="C21" s="55" t="s">
        <v>79</v>
      </c>
      <c r="D21" s="55">
        <v>16</v>
      </c>
      <c r="E21" s="55">
        <v>109.241</v>
      </c>
      <c r="F21" s="55">
        <v>109.211</v>
      </c>
      <c r="G21" s="55">
        <v>6.1931000000000003</v>
      </c>
      <c r="H21" s="55">
        <v>6.1931000000000003</v>
      </c>
      <c r="I21" s="55">
        <v>23.099999999999998</v>
      </c>
      <c r="J21" s="58">
        <f t="shared" si="0"/>
        <v>0.10544789828054829</v>
      </c>
      <c r="K21" s="57">
        <f>IFERROR(WHOLE_STRUCTURE[[#This Row],[Bottom '[m']]]-WHOLE_STRUCTURE[[#This Row],[D, top '[m']]], "")</f>
        <v>103.0179</v>
      </c>
      <c r="L21" s="58">
        <f>IFERROR(-(WHOLE_STRUCTURE[[#This Row],[D, bottom '[m']]]-WHOLE_STRUCTURE[[#This Row],[D, top '[m']]])/(WHOLE_STRUCTURE[[#This Row],[Bottom '[m']]]-WHOLE_STRUCTURE[[#This Row],[Top '[m']]]),"")</f>
        <v>0</v>
      </c>
      <c r="M21" s="56">
        <f>IFERROR((WHOLE_STRUCTURE[[#This Row],[D, bottom '[m']]]+WHOLE_STRUCTURE[[#This Row],[D, top '[m']]])/(2*WHOLE_STRUCTURE[[#This Row],[t '[mm']]]/1000),"")</f>
        <v>268.09956709956714</v>
      </c>
      <c r="O21" s="59" t="s">
        <v>101</v>
      </c>
      <c r="P21" s="59">
        <v>14.7</v>
      </c>
      <c r="Q21" s="59">
        <v>20000</v>
      </c>
      <c r="R21" s="59" t="s">
        <v>113</v>
      </c>
    </row>
    <row r="22" spans="2:18" x14ac:dyDescent="0.3">
      <c r="B22" s="55">
        <v>17</v>
      </c>
      <c r="C22" s="55" t="s">
        <v>79</v>
      </c>
      <c r="D22" s="55">
        <v>17</v>
      </c>
      <c r="E22" s="55">
        <v>109.211</v>
      </c>
      <c r="F22" s="55">
        <v>109.09099999999999</v>
      </c>
      <c r="G22" s="55">
        <v>6.1931000000000003</v>
      </c>
      <c r="H22" s="55">
        <v>6.1931000000000003</v>
      </c>
      <c r="I22" s="55">
        <v>23.099999999999998</v>
      </c>
      <c r="J22" s="58">
        <f t="shared" si="0"/>
        <v>0.42179159312219316</v>
      </c>
      <c r="K22" s="57">
        <f>IFERROR(WHOLE_STRUCTURE[[#This Row],[Bottom '[m']]]-WHOLE_STRUCTURE[[#This Row],[D, top '[m']]], "")</f>
        <v>102.89789999999999</v>
      </c>
      <c r="L22" s="58">
        <f>IFERROR(-(WHOLE_STRUCTURE[[#This Row],[D, bottom '[m']]]-WHOLE_STRUCTURE[[#This Row],[D, top '[m']]])/(WHOLE_STRUCTURE[[#This Row],[Bottom '[m']]]-WHOLE_STRUCTURE[[#This Row],[Top '[m']]]),"")</f>
        <v>0</v>
      </c>
      <c r="M22" s="56">
        <f>IFERROR((WHOLE_STRUCTURE[[#This Row],[D, bottom '[m']]]+WHOLE_STRUCTURE[[#This Row],[D, top '[m']]])/(2*WHOLE_STRUCTURE[[#This Row],[t '[mm']]]/1000),"")</f>
        <v>268.09956709956714</v>
      </c>
      <c r="O22" s="59" t="s">
        <v>101</v>
      </c>
      <c r="P22" s="59">
        <v>14.100000000000001</v>
      </c>
      <c r="Q22" s="59">
        <v>5000</v>
      </c>
      <c r="R22" s="59" t="s">
        <v>104</v>
      </c>
    </row>
    <row r="23" spans="2:18" x14ac:dyDescent="0.3">
      <c r="B23" s="55">
        <v>18</v>
      </c>
      <c r="C23" s="55" t="s">
        <v>79</v>
      </c>
      <c r="D23" s="55">
        <v>18</v>
      </c>
      <c r="E23" s="55">
        <v>109.09099999999999</v>
      </c>
      <c r="F23" s="55">
        <v>108.971</v>
      </c>
      <c r="G23" s="55">
        <v>6.1931000000000003</v>
      </c>
      <c r="H23" s="55">
        <v>6.1931000000000003</v>
      </c>
      <c r="I23" s="55">
        <v>23.099999999999998</v>
      </c>
      <c r="J23" s="58">
        <f t="shared" si="0"/>
        <v>0.42179159312214326</v>
      </c>
      <c r="K23" s="57">
        <f>IFERROR(WHOLE_STRUCTURE[[#This Row],[Bottom '[m']]]-WHOLE_STRUCTURE[[#This Row],[D, top '[m']]], "")</f>
        <v>102.7779</v>
      </c>
      <c r="L23" s="58">
        <f>IFERROR(-(WHOLE_STRUCTURE[[#This Row],[D, bottom '[m']]]-WHOLE_STRUCTURE[[#This Row],[D, top '[m']]])/(WHOLE_STRUCTURE[[#This Row],[Bottom '[m']]]-WHOLE_STRUCTURE[[#This Row],[Top '[m']]]),"")</f>
        <v>0</v>
      </c>
      <c r="M23" s="56">
        <f>IFERROR((WHOLE_STRUCTURE[[#This Row],[D, bottom '[m']]]+WHOLE_STRUCTURE[[#This Row],[D, top '[m']]])/(2*WHOLE_STRUCTURE[[#This Row],[t '[mm']]]/1000),"")</f>
        <v>268.09956709956714</v>
      </c>
      <c r="O23" s="59" t="s">
        <v>101</v>
      </c>
      <c r="P23" s="59">
        <v>8</v>
      </c>
      <c r="Q23" s="59">
        <v>5000</v>
      </c>
      <c r="R23" s="59" t="s">
        <v>114</v>
      </c>
    </row>
    <row r="24" spans="2:18" x14ac:dyDescent="0.3">
      <c r="B24" s="55">
        <v>19</v>
      </c>
      <c r="C24" s="55" t="s">
        <v>79</v>
      </c>
      <c r="D24" s="55">
        <v>19</v>
      </c>
      <c r="E24" s="55">
        <v>108.971</v>
      </c>
      <c r="F24" s="55">
        <v>108.941</v>
      </c>
      <c r="G24" s="55">
        <v>6.1931000000000003</v>
      </c>
      <c r="H24" s="55">
        <v>6.1931000000000003</v>
      </c>
      <c r="I24" s="55">
        <v>23.099999999999998</v>
      </c>
      <c r="J24" s="58">
        <f t="shared" si="0"/>
        <v>0.10544789828054829</v>
      </c>
      <c r="K24" s="57">
        <f>IFERROR(WHOLE_STRUCTURE[[#This Row],[Bottom '[m']]]-WHOLE_STRUCTURE[[#This Row],[D, top '[m']]], "")</f>
        <v>102.7479</v>
      </c>
      <c r="L24" s="58">
        <f>IFERROR(-(WHOLE_STRUCTURE[[#This Row],[D, bottom '[m']]]-WHOLE_STRUCTURE[[#This Row],[D, top '[m']]])/(WHOLE_STRUCTURE[[#This Row],[Bottom '[m']]]-WHOLE_STRUCTURE[[#This Row],[Top '[m']]]),"")</f>
        <v>0</v>
      </c>
      <c r="M24" s="56">
        <f>IFERROR((WHOLE_STRUCTURE[[#This Row],[D, bottom '[m']]]+WHOLE_STRUCTURE[[#This Row],[D, top '[m']]])/(2*WHOLE_STRUCTURE[[#This Row],[t '[mm']]]/1000),"")</f>
        <v>268.09956709956714</v>
      </c>
      <c r="O24" s="59" t="s">
        <v>70</v>
      </c>
      <c r="P24" s="59">
        <v>5.6</v>
      </c>
      <c r="Q24" s="59">
        <v>70000</v>
      </c>
      <c r="R24" s="59" t="s">
        <v>107</v>
      </c>
    </row>
    <row r="25" spans="2:18" x14ac:dyDescent="0.3">
      <c r="B25" s="55">
        <v>20</v>
      </c>
      <c r="C25" s="55" t="s">
        <v>79</v>
      </c>
      <c r="D25" s="55">
        <v>20</v>
      </c>
      <c r="E25" s="55">
        <v>108.941</v>
      </c>
      <c r="F25" s="55">
        <v>107.79299999999999</v>
      </c>
      <c r="G25" s="55">
        <v>6.1931000000000003</v>
      </c>
      <c r="H25" s="55">
        <v>6.2171000000000003</v>
      </c>
      <c r="I25" s="55">
        <v>23.099999999999998</v>
      </c>
      <c r="J25" s="58">
        <f t="shared" si="0"/>
        <v>4.042987495578295</v>
      </c>
      <c r="K25" s="57">
        <f>IFERROR(WHOLE_STRUCTURE[[#This Row],[Bottom '[m']]]-WHOLE_STRUCTURE[[#This Row],[D, top '[m']]], "")</f>
        <v>101.59989999999999</v>
      </c>
      <c r="L25" s="58">
        <f>IFERROR(-(WHOLE_STRUCTURE[[#This Row],[D, bottom '[m']]]-WHOLE_STRUCTURE[[#This Row],[D, top '[m']]])/(WHOLE_STRUCTURE[[#This Row],[Bottom '[m']]]-WHOLE_STRUCTURE[[#This Row],[Top '[m']]]),"")</f>
        <v>2.0905923344947567E-2</v>
      </c>
      <c r="M25" s="56">
        <f>IFERROR((WHOLE_STRUCTURE[[#This Row],[D, bottom '[m']]]+WHOLE_STRUCTURE[[#This Row],[D, top '[m']]])/(2*WHOLE_STRUCTURE[[#This Row],[t '[mm']]]/1000),"")</f>
        <v>268.61904761904765</v>
      </c>
      <c r="O25" s="59" t="s">
        <v>70</v>
      </c>
      <c r="P25" s="59">
        <v>4.2</v>
      </c>
      <c r="Q25" s="59">
        <v>9000</v>
      </c>
      <c r="R25" s="59" t="s">
        <v>108</v>
      </c>
    </row>
    <row r="26" spans="2:18" x14ac:dyDescent="0.3">
      <c r="B26" s="55">
        <v>21</v>
      </c>
      <c r="C26" s="55" t="s">
        <v>79</v>
      </c>
      <c r="D26" s="55">
        <v>21</v>
      </c>
      <c r="E26" s="55">
        <v>107.79299999999999</v>
      </c>
      <c r="F26" s="55">
        <v>107.584</v>
      </c>
      <c r="G26" s="55">
        <v>6.2171000000000003</v>
      </c>
      <c r="H26" s="55">
        <v>6.2214999999999998</v>
      </c>
      <c r="I26" s="55">
        <v>23.5</v>
      </c>
      <c r="J26" s="58">
        <f t="shared" si="0"/>
        <v>0.75046608105365997</v>
      </c>
      <c r="K26" s="57">
        <f>IFERROR(WHOLE_STRUCTURE[[#This Row],[Bottom '[m']]]-WHOLE_STRUCTURE[[#This Row],[D, top '[m']]], "")</f>
        <v>101.3669</v>
      </c>
      <c r="L26" s="58">
        <f>IFERROR(-(WHOLE_STRUCTURE[[#This Row],[D, bottom '[m']]]-WHOLE_STRUCTURE[[#This Row],[D, top '[m']]])/(WHOLE_STRUCTURE[[#This Row],[Bottom '[m']]]-WHOLE_STRUCTURE[[#This Row],[Top '[m']]]),"")</f>
        <v>2.1052631578946161E-2</v>
      </c>
      <c r="M26" s="56">
        <f>IFERROR((WHOLE_STRUCTURE[[#This Row],[D, bottom '[m']]]+WHOLE_STRUCTURE[[#This Row],[D, top '[m']]])/(2*WHOLE_STRUCTURE[[#This Row],[t '[mm']]]/1000),"")</f>
        <v>264.65106382978723</v>
      </c>
      <c r="O26" s="59" t="s">
        <v>70</v>
      </c>
      <c r="P26" s="59">
        <v>0.3</v>
      </c>
      <c r="Q26" s="59">
        <v>100000</v>
      </c>
      <c r="R26" s="59" t="s">
        <v>109</v>
      </c>
    </row>
    <row r="27" spans="2:18" x14ac:dyDescent="0.3">
      <c r="B27" s="55">
        <v>22</v>
      </c>
      <c r="C27" s="55" t="s">
        <v>79</v>
      </c>
      <c r="D27" s="55">
        <v>22</v>
      </c>
      <c r="E27" s="55">
        <v>107.584</v>
      </c>
      <c r="F27" s="55">
        <v>106.161</v>
      </c>
      <c r="G27" s="55">
        <v>6.2214999999999998</v>
      </c>
      <c r="H27" s="55">
        <v>6.2492999999999999</v>
      </c>
      <c r="I27" s="55">
        <v>24.299999999999997</v>
      </c>
      <c r="J27" s="58">
        <f t="shared" si="0"/>
        <v>5.2966249828572636</v>
      </c>
      <c r="K27" s="57">
        <f>IFERROR(WHOLE_STRUCTURE[[#This Row],[Bottom '[m']]]-WHOLE_STRUCTURE[[#This Row],[D, top '[m']]], "")</f>
        <v>99.939499999999995</v>
      </c>
      <c r="L27" s="58">
        <f>IFERROR(-(WHOLE_STRUCTURE[[#This Row],[D, bottom '[m']]]-WHOLE_STRUCTURE[[#This Row],[D, top '[m']]])/(WHOLE_STRUCTURE[[#This Row],[Bottom '[m']]]-WHOLE_STRUCTURE[[#This Row],[Top '[m']]]),"")</f>
        <v>1.9536191145467331E-2</v>
      </c>
      <c r="M27" s="56">
        <f>IFERROR((WHOLE_STRUCTURE[[#This Row],[D, bottom '[m']]]+WHOLE_STRUCTURE[[#This Row],[D, top '[m']]])/(2*WHOLE_STRUCTURE[[#This Row],[t '[mm']]]/1000),"")</f>
        <v>256.60082304526753</v>
      </c>
      <c r="O27" s="59" t="s">
        <v>101</v>
      </c>
      <c r="P27" s="59">
        <v>9.9999999999999645E-2</v>
      </c>
      <c r="Q27" s="59">
        <v>200</v>
      </c>
      <c r="R27" s="59" t="s">
        <v>115</v>
      </c>
    </row>
    <row r="28" spans="2:18" x14ac:dyDescent="0.3">
      <c r="B28" s="55">
        <v>23</v>
      </c>
      <c r="C28" s="55" t="s">
        <v>79</v>
      </c>
      <c r="D28" s="55">
        <v>23</v>
      </c>
      <c r="E28" s="55">
        <v>106.161</v>
      </c>
      <c r="F28" s="55">
        <v>103.38500000000001</v>
      </c>
      <c r="G28" s="55">
        <v>6.2492999999999999</v>
      </c>
      <c r="H28" s="55">
        <v>6.3041999999999998</v>
      </c>
      <c r="I28" s="55">
        <v>25.2</v>
      </c>
      <c r="J28" s="58">
        <f t="shared" si="0"/>
        <v>10.785176109527962</v>
      </c>
      <c r="K28" s="57">
        <f>IFERROR(WHOLE_STRUCTURE[[#This Row],[Bottom '[m']]]-WHOLE_STRUCTURE[[#This Row],[D, top '[m']]], "")</f>
        <v>97.1357</v>
      </c>
      <c r="L28" s="58">
        <f>IFERROR(-(WHOLE_STRUCTURE[[#This Row],[D, bottom '[m']]]-WHOLE_STRUCTURE[[#This Row],[D, top '[m']]])/(WHOLE_STRUCTURE[[#This Row],[Bottom '[m']]]-WHOLE_STRUCTURE[[#This Row],[Top '[m']]]),"")</f>
        <v>1.9776657060518739E-2</v>
      </c>
      <c r="M28" s="56">
        <f>IFERROR((WHOLE_STRUCTURE[[#This Row],[D, bottom '[m']]]+WHOLE_STRUCTURE[[#This Row],[D, top '[m']]])/(2*WHOLE_STRUCTURE[[#This Row],[t '[mm']]]/1000),"")</f>
        <v>249.07738095238093</v>
      </c>
      <c r="O28" s="59" t="s">
        <v>70</v>
      </c>
      <c r="P28" s="59">
        <v>-5</v>
      </c>
      <c r="Q28" s="59">
        <v>1</v>
      </c>
      <c r="R28" s="59" t="s">
        <v>110</v>
      </c>
    </row>
    <row r="29" spans="2:18" x14ac:dyDescent="0.3">
      <c r="B29" s="55">
        <v>24</v>
      </c>
      <c r="C29" s="55" t="s">
        <v>79</v>
      </c>
      <c r="D29" s="55">
        <v>24</v>
      </c>
      <c r="E29" s="55">
        <v>103.38500000000001</v>
      </c>
      <c r="F29" s="55">
        <v>100.61</v>
      </c>
      <c r="G29" s="55">
        <v>6.3041999999999998</v>
      </c>
      <c r="H29" s="55">
        <v>6.3586</v>
      </c>
      <c r="I29" s="55">
        <v>25.6</v>
      </c>
      <c r="J29" s="58">
        <f t="shared" si="0"/>
        <v>11.047466019228711</v>
      </c>
      <c r="K29" s="57">
        <f>IFERROR(WHOLE_STRUCTURE[[#This Row],[Bottom '[m']]]-WHOLE_STRUCTURE[[#This Row],[D, top '[m']]], "")</f>
        <v>94.305800000000005</v>
      </c>
      <c r="L29" s="58">
        <f>IFERROR(-(WHOLE_STRUCTURE[[#This Row],[D, bottom '[m']]]-WHOLE_STRUCTURE[[#This Row],[D, top '[m']]])/(WHOLE_STRUCTURE[[#This Row],[Bottom '[m']]]-WHOLE_STRUCTURE[[#This Row],[Top '[m']]]),"")</f>
        <v>1.9603603603603643E-2</v>
      </c>
      <c r="M29" s="56">
        <f>IFERROR((WHOLE_STRUCTURE[[#This Row],[D, bottom '[m']]]+WHOLE_STRUCTURE[[#This Row],[D, top '[m']]])/(2*WHOLE_STRUCTURE[[#This Row],[t '[mm']]]/1000),"")</f>
        <v>247.3203125</v>
      </c>
      <c r="O29" s="59" t="s">
        <v>70</v>
      </c>
      <c r="P29" s="59">
        <v>-43.3</v>
      </c>
      <c r="Q29" s="59">
        <v>1</v>
      </c>
      <c r="R29" s="59" t="s">
        <v>111</v>
      </c>
    </row>
    <row r="30" spans="2:18" x14ac:dyDescent="0.3">
      <c r="B30" s="55">
        <v>25</v>
      </c>
      <c r="C30" s="55" t="s">
        <v>79</v>
      </c>
      <c r="D30" s="55">
        <v>25</v>
      </c>
      <c r="E30" s="55">
        <v>100.61</v>
      </c>
      <c r="F30" s="55">
        <v>97.835999999999999</v>
      </c>
      <c r="G30" s="55">
        <v>6.3586</v>
      </c>
      <c r="H30" s="55">
        <v>6.4127999999999998</v>
      </c>
      <c r="I30" s="55">
        <v>25.8</v>
      </c>
      <c r="J30" s="58">
        <f t="shared" si="0"/>
        <v>11.225248892567858</v>
      </c>
      <c r="K30" s="57">
        <f>IFERROR(WHOLE_STRUCTURE[[#This Row],[Bottom '[m']]]-WHOLE_STRUCTURE[[#This Row],[D, top '[m']]], "")</f>
        <v>91.477400000000003</v>
      </c>
      <c r="L30" s="58">
        <f>IFERROR(-(WHOLE_STRUCTURE[[#This Row],[D, bottom '[m']]]-WHOLE_STRUCTURE[[#This Row],[D, top '[m']]])/(WHOLE_STRUCTURE[[#This Row],[Bottom '[m']]]-WHOLE_STRUCTURE[[#This Row],[Top '[m']]]),"")</f>
        <v>1.9538572458543541E-2</v>
      </c>
      <c r="M30" s="56">
        <f>IFERROR((WHOLE_STRUCTURE[[#This Row],[D, bottom '[m']]]+WHOLE_STRUCTURE[[#This Row],[D, top '[m']]])/(2*WHOLE_STRUCTURE[[#This Row],[t '[mm']]]/1000),"")</f>
        <v>247.50775193798449</v>
      </c>
    </row>
    <row r="31" spans="2:18" x14ac:dyDescent="0.3">
      <c r="B31" s="55">
        <v>26</v>
      </c>
      <c r="C31" s="55" t="s">
        <v>79</v>
      </c>
      <c r="D31" s="55">
        <v>26</v>
      </c>
      <c r="E31" s="55">
        <v>97.835999999999999</v>
      </c>
      <c r="F31" s="55">
        <v>95.064999999999998</v>
      </c>
      <c r="G31" s="55">
        <v>6.4127999999999998</v>
      </c>
      <c r="H31" s="55">
        <v>6.4669999999999996</v>
      </c>
      <c r="I31" s="55">
        <v>26</v>
      </c>
      <c r="J31" s="58">
        <f t="shared" si="0"/>
        <v>11.395977620360522</v>
      </c>
      <c r="K31" s="57">
        <f>IFERROR(WHOLE_STRUCTURE[[#This Row],[Bottom '[m']]]-WHOLE_STRUCTURE[[#This Row],[D, top '[m']]], "")</f>
        <v>88.652199999999993</v>
      </c>
      <c r="L31" s="58">
        <f>IFERROR(-(WHOLE_STRUCTURE[[#This Row],[D, bottom '[m']]]-WHOLE_STRUCTURE[[#This Row],[D, top '[m']]])/(WHOLE_STRUCTURE[[#This Row],[Bottom '[m']]]-WHOLE_STRUCTURE[[#This Row],[Top '[m']]]),"")</f>
        <v>1.9559725730783035E-2</v>
      </c>
      <c r="M31" s="56">
        <f>IFERROR((WHOLE_STRUCTURE[[#This Row],[D, bottom '[m']]]+WHOLE_STRUCTURE[[#This Row],[D, top '[m']]])/(2*WHOLE_STRUCTURE[[#This Row],[t '[mm']]]/1000),"")</f>
        <v>247.68846153846155</v>
      </c>
    </row>
    <row r="32" spans="2:18" x14ac:dyDescent="0.3">
      <c r="B32" s="55">
        <v>27</v>
      </c>
      <c r="C32" s="55" t="s">
        <v>79</v>
      </c>
      <c r="D32" s="55">
        <v>27</v>
      </c>
      <c r="E32" s="55">
        <v>95.064999999999998</v>
      </c>
      <c r="F32" s="55">
        <v>92.293999999999997</v>
      </c>
      <c r="G32" s="55">
        <v>6.4669999999999996</v>
      </c>
      <c r="H32" s="55">
        <v>6.5206</v>
      </c>
      <c r="I32" s="55">
        <v>26.599999999999998</v>
      </c>
      <c r="J32" s="58">
        <f t="shared" si="0"/>
        <v>11.755848583701995</v>
      </c>
      <c r="K32" s="57">
        <f>IFERROR(WHOLE_STRUCTURE[[#This Row],[Bottom '[m']]]-WHOLE_STRUCTURE[[#This Row],[D, top '[m']]], "")</f>
        <v>85.826999999999998</v>
      </c>
      <c r="L32" s="58">
        <f>IFERROR(-(WHOLE_STRUCTURE[[#This Row],[D, bottom '[m']]]-WHOLE_STRUCTURE[[#This Row],[D, top '[m']]])/(WHOLE_STRUCTURE[[#This Row],[Bottom '[m']]]-WHOLE_STRUCTURE[[#This Row],[Top '[m']]]),"")</f>
        <v>1.9343197401660159E-2</v>
      </c>
      <c r="M32" s="56">
        <f>IFERROR((WHOLE_STRUCTURE[[#This Row],[D, bottom '[m']]]+WHOLE_STRUCTURE[[#This Row],[D, top '[m']]])/(2*WHOLE_STRUCTURE[[#This Row],[t '[mm']]]/1000),"")</f>
        <v>244.1278195488722</v>
      </c>
    </row>
    <row r="33" spans="2:13" x14ac:dyDescent="0.3">
      <c r="B33" s="55">
        <v>28</v>
      </c>
      <c r="C33" s="55" t="s">
        <v>79</v>
      </c>
      <c r="D33" s="55">
        <v>28</v>
      </c>
      <c r="E33" s="55">
        <v>92.293999999999997</v>
      </c>
      <c r="F33" s="55">
        <v>89.524000000000001</v>
      </c>
      <c r="G33" s="55">
        <v>6.5206</v>
      </c>
      <c r="H33" s="55">
        <v>6.5753000000000004</v>
      </c>
      <c r="I33" s="55">
        <v>27.3</v>
      </c>
      <c r="J33" s="58">
        <f t="shared" si="0"/>
        <v>12.160539292573176</v>
      </c>
      <c r="K33" s="57">
        <f>IFERROR(WHOLE_STRUCTURE[[#This Row],[Bottom '[m']]]-WHOLE_STRUCTURE[[#This Row],[D, top '[m']]], "")</f>
        <v>83.003399999999999</v>
      </c>
      <c r="L33" s="58">
        <f>IFERROR(-(WHOLE_STRUCTURE[[#This Row],[D, bottom '[m']]]-WHOLE_STRUCTURE[[#This Row],[D, top '[m']]])/(WHOLE_STRUCTURE[[#This Row],[Bottom '[m']]]-WHOLE_STRUCTURE[[#This Row],[Top '[m']]]),"")</f>
        <v>1.9747292418772742E-2</v>
      </c>
      <c r="M33" s="56">
        <f>IFERROR((WHOLE_STRUCTURE[[#This Row],[D, bottom '[m']]]+WHOLE_STRUCTURE[[#This Row],[D, top '[m']]])/(2*WHOLE_STRUCTURE[[#This Row],[t '[mm']]]/1000),"")</f>
        <v>239.85164835164835</v>
      </c>
    </row>
    <row r="34" spans="2:13" x14ac:dyDescent="0.3">
      <c r="B34" s="55">
        <v>29</v>
      </c>
      <c r="C34" s="55" t="s">
        <v>79</v>
      </c>
      <c r="D34" s="55">
        <v>29</v>
      </c>
      <c r="E34" s="55">
        <v>89.524000000000001</v>
      </c>
      <c r="F34" s="55">
        <v>86.757000000000005</v>
      </c>
      <c r="G34" s="55">
        <v>6.5753000000000004</v>
      </c>
      <c r="H34" s="55">
        <v>6.6299000000000001</v>
      </c>
      <c r="I34" s="55">
        <v>27.900000000000002</v>
      </c>
      <c r="J34" s="58">
        <f t="shared" si="0"/>
        <v>12.517247308250088</v>
      </c>
      <c r="K34" s="57">
        <f>IFERROR(WHOLE_STRUCTURE[[#This Row],[Bottom '[m']]]-WHOLE_STRUCTURE[[#This Row],[D, top '[m']]], "")</f>
        <v>80.181700000000006</v>
      </c>
      <c r="L34" s="58">
        <f>IFERROR(-(WHOLE_STRUCTURE[[#This Row],[D, bottom '[m']]]-WHOLE_STRUCTURE[[#This Row],[D, top '[m']]])/(WHOLE_STRUCTURE[[#This Row],[Bottom '[m']]]-WHOLE_STRUCTURE[[#This Row],[Top '[m']]]),"")</f>
        <v>1.9732562341886462E-2</v>
      </c>
      <c r="M34" s="56">
        <f>IFERROR((WHOLE_STRUCTURE[[#This Row],[D, bottom '[m']]]+WHOLE_STRUCTURE[[#This Row],[D, top '[m']]])/(2*WHOLE_STRUCTURE[[#This Row],[t '[mm']]]/1000),"")</f>
        <v>236.65232974910396</v>
      </c>
    </row>
    <row r="35" spans="2:13" x14ac:dyDescent="0.3">
      <c r="B35" s="55">
        <v>30</v>
      </c>
      <c r="C35" s="55" t="s">
        <v>79</v>
      </c>
      <c r="D35" s="55">
        <v>30</v>
      </c>
      <c r="E35" s="55">
        <v>86.757000000000005</v>
      </c>
      <c r="F35" s="55">
        <v>83.99</v>
      </c>
      <c r="G35" s="55">
        <v>6.6299000000000001</v>
      </c>
      <c r="H35" s="55">
        <v>6.6836000000000002</v>
      </c>
      <c r="I35" s="55">
        <v>28.6</v>
      </c>
      <c r="J35" s="58">
        <f t="shared" si="0"/>
        <v>12.935614067789432</v>
      </c>
      <c r="K35" s="57">
        <f>IFERROR(WHOLE_STRUCTURE[[#This Row],[Bottom '[m']]]-WHOLE_STRUCTURE[[#This Row],[D, top '[m']]], "")</f>
        <v>77.360099999999989</v>
      </c>
      <c r="L35" s="58">
        <f>IFERROR(-(WHOLE_STRUCTURE[[#This Row],[D, bottom '[m']]]-WHOLE_STRUCTURE[[#This Row],[D, top '[m']]])/(WHOLE_STRUCTURE[[#This Row],[Bottom '[m']]]-WHOLE_STRUCTURE[[#This Row],[Top '[m']]]),"")</f>
        <v>1.9407300325261976E-2</v>
      </c>
      <c r="M35" s="56">
        <f>IFERROR((WHOLE_STRUCTURE[[#This Row],[D, bottom '[m']]]+WHOLE_STRUCTURE[[#This Row],[D, top '[m']]])/(2*WHOLE_STRUCTURE[[#This Row],[t '[mm']]]/1000),"")</f>
        <v>232.75349650349654</v>
      </c>
    </row>
    <row r="36" spans="2:13" x14ac:dyDescent="0.3">
      <c r="B36" s="55">
        <v>31</v>
      </c>
      <c r="C36" s="55" t="s">
        <v>79</v>
      </c>
      <c r="D36" s="55">
        <v>31</v>
      </c>
      <c r="E36" s="55">
        <v>83.99</v>
      </c>
      <c r="F36" s="55">
        <v>81.224000000000004</v>
      </c>
      <c r="G36" s="55">
        <v>6.6836000000000002</v>
      </c>
      <c r="H36" s="55">
        <v>6.7382</v>
      </c>
      <c r="I36" s="55">
        <v>29.2</v>
      </c>
      <c r="J36" s="58">
        <f t="shared" si="0"/>
        <v>13.308880608998512</v>
      </c>
      <c r="K36" s="57">
        <f>IFERROR(WHOLE_STRUCTURE[[#This Row],[Bottom '[m']]]-WHOLE_STRUCTURE[[#This Row],[D, top '[m']]], "")</f>
        <v>74.540400000000005</v>
      </c>
      <c r="L36" s="58">
        <f>IFERROR(-(WHOLE_STRUCTURE[[#This Row],[D, bottom '[m']]]-WHOLE_STRUCTURE[[#This Row],[D, top '[m']]])/(WHOLE_STRUCTURE[[#This Row],[Bottom '[m']]]-WHOLE_STRUCTURE[[#This Row],[Top '[m']]]),"")</f>
        <v>1.9739696312364403E-2</v>
      </c>
      <c r="M36" s="56">
        <f>IFERROR((WHOLE_STRUCTURE[[#This Row],[D, bottom '[m']]]+WHOLE_STRUCTURE[[#This Row],[D, top '[m']]])/(2*WHOLE_STRUCTURE[[#This Row],[t '[mm']]]/1000),"")</f>
        <v>229.82534246575344</v>
      </c>
    </row>
    <row r="37" spans="2:13" x14ac:dyDescent="0.3">
      <c r="B37" s="55">
        <v>32</v>
      </c>
      <c r="C37" s="55" t="s">
        <v>79</v>
      </c>
      <c r="D37" s="55">
        <v>32</v>
      </c>
      <c r="E37" s="55">
        <v>81.224000000000004</v>
      </c>
      <c r="F37" s="55">
        <v>78.459999999999994</v>
      </c>
      <c r="G37" s="55">
        <v>6.7382</v>
      </c>
      <c r="H37" s="55">
        <v>6.7927999999999997</v>
      </c>
      <c r="I37" s="55">
        <v>29.8</v>
      </c>
      <c r="J37" s="58">
        <f t="shared" si="0"/>
        <v>13.682219965512832</v>
      </c>
      <c r="K37" s="57">
        <f>IFERROR(WHOLE_STRUCTURE[[#This Row],[Bottom '[m']]]-WHOLE_STRUCTURE[[#This Row],[D, top '[m']]], "")</f>
        <v>71.721799999999988</v>
      </c>
      <c r="L37" s="58">
        <f>IFERROR(-(WHOLE_STRUCTURE[[#This Row],[D, bottom '[m']]]-WHOLE_STRUCTURE[[#This Row],[D, top '[m']]])/(WHOLE_STRUCTURE[[#This Row],[Bottom '[m']]]-WHOLE_STRUCTURE[[#This Row],[Top '[m']]]),"")</f>
        <v>1.97539797395078E-2</v>
      </c>
      <c r="M37" s="56">
        <f>IFERROR((WHOLE_STRUCTURE[[#This Row],[D, bottom '[m']]]+WHOLE_STRUCTURE[[#This Row],[D, top '[m']]])/(2*WHOLE_STRUCTURE[[#This Row],[t '[mm']]]/1000),"")</f>
        <v>227.03020134228186</v>
      </c>
    </row>
    <row r="38" spans="2:13" x14ac:dyDescent="0.3">
      <c r="B38" s="55">
        <v>33</v>
      </c>
      <c r="C38" s="55" t="s">
        <v>79</v>
      </c>
      <c r="D38" s="55">
        <v>33</v>
      </c>
      <c r="E38" s="55">
        <v>78.459999999999994</v>
      </c>
      <c r="F38" s="55">
        <v>75.696999999999989</v>
      </c>
      <c r="G38" s="55">
        <v>6.7927999999999997</v>
      </c>
      <c r="H38" s="55">
        <v>6.8464</v>
      </c>
      <c r="I38" s="55">
        <v>30.4</v>
      </c>
      <c r="J38" s="58">
        <f t="shared" si="0"/>
        <v>14.063473543386305</v>
      </c>
      <c r="K38" s="57">
        <f>IFERROR(WHOLE_STRUCTURE[[#This Row],[Bottom '[m']]]-WHOLE_STRUCTURE[[#This Row],[D, top '[m']]], "")</f>
        <v>68.904199999999989</v>
      </c>
      <c r="L38" s="58">
        <f>IFERROR(-(WHOLE_STRUCTURE[[#This Row],[D, bottom '[m']]]-WHOLE_STRUCTURE[[#This Row],[D, top '[m']]])/(WHOLE_STRUCTURE[[#This Row],[Bottom '[m']]]-WHOLE_STRUCTURE[[#This Row],[Top '[m']]]),"")</f>
        <v>1.9399203764024688E-2</v>
      </c>
      <c r="M38" s="56">
        <f>IFERROR((WHOLE_STRUCTURE[[#This Row],[D, bottom '[m']]]+WHOLE_STRUCTURE[[#This Row],[D, top '[m']]])/(2*WHOLE_STRUCTURE[[#This Row],[t '[mm']]]/1000),"")</f>
        <v>224.32894736842104</v>
      </c>
    </row>
    <row r="39" spans="2:13" x14ac:dyDescent="0.3">
      <c r="B39" s="55">
        <v>34</v>
      </c>
      <c r="C39" s="55" t="s">
        <v>79</v>
      </c>
      <c r="D39" s="55">
        <v>34</v>
      </c>
      <c r="E39" s="55">
        <v>75.696999999999989</v>
      </c>
      <c r="F39" s="55">
        <v>72.935000000000002</v>
      </c>
      <c r="G39" s="55">
        <v>6.8464</v>
      </c>
      <c r="H39" s="55">
        <v>6.9020000000000001</v>
      </c>
      <c r="I39" s="55">
        <v>32</v>
      </c>
      <c r="J39" s="58">
        <f t="shared" si="0"/>
        <v>14.913821699332818</v>
      </c>
      <c r="K39" s="57">
        <f>IFERROR(WHOLE_STRUCTURE[[#This Row],[Bottom '[m']]]-WHOLE_STRUCTURE[[#This Row],[D, top '[m']]], "")</f>
        <v>66.0886</v>
      </c>
      <c r="L39" s="58">
        <f>IFERROR(-(WHOLE_STRUCTURE[[#This Row],[D, bottom '[m']]]-WHOLE_STRUCTURE[[#This Row],[D, top '[m']]])/(WHOLE_STRUCTURE[[#This Row],[Bottom '[m']]]-WHOLE_STRUCTURE[[#This Row],[Top '[m']]]),"")</f>
        <v>2.0130340333092096E-2</v>
      </c>
      <c r="M39" s="56">
        <f>IFERROR((WHOLE_STRUCTURE[[#This Row],[D, bottom '[m']]]+WHOLE_STRUCTURE[[#This Row],[D, top '[m']]])/(2*WHOLE_STRUCTURE[[#This Row],[t '[mm']]]/1000),"")</f>
        <v>214.81874999999999</v>
      </c>
    </row>
    <row r="40" spans="2:13" x14ac:dyDescent="0.3">
      <c r="B40" s="55">
        <v>35</v>
      </c>
      <c r="C40" s="55" t="s">
        <v>79</v>
      </c>
      <c r="D40" s="55">
        <v>35</v>
      </c>
      <c r="E40" s="55">
        <v>72.935000000000002</v>
      </c>
      <c r="F40" s="55">
        <v>72.89</v>
      </c>
      <c r="G40" s="55">
        <v>6.9020000000000001</v>
      </c>
      <c r="H40" s="55">
        <v>6.9020000000000001</v>
      </c>
      <c r="I40" s="55">
        <v>32</v>
      </c>
      <c r="J40" s="58">
        <f t="shared" si="0"/>
        <v>0.24397131025696062</v>
      </c>
      <c r="K40" s="57">
        <f>IFERROR(WHOLE_STRUCTURE[[#This Row],[Bottom '[m']]]-WHOLE_STRUCTURE[[#This Row],[D, top '[m']]], "")</f>
        <v>65.988</v>
      </c>
      <c r="L40" s="58">
        <f>IFERROR(-(WHOLE_STRUCTURE[[#This Row],[D, bottom '[m']]]-WHOLE_STRUCTURE[[#This Row],[D, top '[m']]])/(WHOLE_STRUCTURE[[#This Row],[Bottom '[m']]]-WHOLE_STRUCTURE[[#This Row],[Top '[m']]]),"")</f>
        <v>0</v>
      </c>
      <c r="M40" s="56">
        <f>IFERROR((WHOLE_STRUCTURE[[#This Row],[D, bottom '[m']]]+WHOLE_STRUCTURE[[#This Row],[D, top '[m']]])/(2*WHOLE_STRUCTURE[[#This Row],[t '[mm']]]/1000),"")</f>
        <v>215.6875</v>
      </c>
    </row>
    <row r="41" spans="2:13" x14ac:dyDescent="0.3">
      <c r="B41" s="55">
        <v>36</v>
      </c>
      <c r="C41" s="55" t="s">
        <v>79</v>
      </c>
      <c r="D41" s="55">
        <v>36</v>
      </c>
      <c r="E41" s="55">
        <v>72.89</v>
      </c>
      <c r="F41" s="55">
        <v>72.759999999999991</v>
      </c>
      <c r="G41" s="55">
        <v>6.9020000000000001</v>
      </c>
      <c r="H41" s="55">
        <v>6.9020000000000001</v>
      </c>
      <c r="I41" s="55">
        <v>32</v>
      </c>
      <c r="J41" s="58">
        <f t="shared" si="0"/>
        <v>0.70480600740902288</v>
      </c>
      <c r="K41" s="57">
        <f>IFERROR(WHOLE_STRUCTURE[[#This Row],[Bottom '[m']]]-WHOLE_STRUCTURE[[#This Row],[D, top '[m']]], "")</f>
        <v>65.85799999999999</v>
      </c>
      <c r="L41" s="58">
        <f>IFERROR(-(WHOLE_STRUCTURE[[#This Row],[D, bottom '[m']]]-WHOLE_STRUCTURE[[#This Row],[D, top '[m']]])/(WHOLE_STRUCTURE[[#This Row],[Bottom '[m']]]-WHOLE_STRUCTURE[[#This Row],[Top '[m']]]),"")</f>
        <v>0</v>
      </c>
      <c r="M41" s="56">
        <f>IFERROR((WHOLE_STRUCTURE[[#This Row],[D, bottom '[m']]]+WHOLE_STRUCTURE[[#This Row],[D, top '[m']]])/(2*WHOLE_STRUCTURE[[#This Row],[t '[mm']]]/1000),"")</f>
        <v>215.6875</v>
      </c>
    </row>
    <row r="42" spans="2:13" x14ac:dyDescent="0.3">
      <c r="B42" s="55">
        <v>37</v>
      </c>
      <c r="C42" s="55" t="s">
        <v>79</v>
      </c>
      <c r="D42" s="55">
        <v>37</v>
      </c>
      <c r="E42" s="55">
        <v>72.759999999999991</v>
      </c>
      <c r="F42" s="55">
        <v>72.631</v>
      </c>
      <c r="G42" s="55">
        <v>6.9020000000000001</v>
      </c>
      <c r="H42" s="55">
        <v>6.9020000000000001</v>
      </c>
      <c r="I42" s="55">
        <v>32</v>
      </c>
      <c r="J42" s="58">
        <f t="shared" si="0"/>
        <v>0.69938442273654333</v>
      </c>
      <c r="K42" s="57">
        <f>IFERROR(WHOLE_STRUCTURE[[#This Row],[Bottom '[m']]]-WHOLE_STRUCTURE[[#This Row],[D, top '[m']]], "")</f>
        <v>65.728999999999999</v>
      </c>
      <c r="L42" s="58">
        <f>IFERROR(-(WHOLE_STRUCTURE[[#This Row],[D, bottom '[m']]]-WHOLE_STRUCTURE[[#This Row],[D, top '[m']]])/(WHOLE_STRUCTURE[[#This Row],[Bottom '[m']]]-WHOLE_STRUCTURE[[#This Row],[Top '[m']]]),"")</f>
        <v>0</v>
      </c>
      <c r="M42" s="56">
        <f>IFERROR((WHOLE_STRUCTURE[[#This Row],[D, bottom '[m']]]+WHOLE_STRUCTURE[[#This Row],[D, top '[m']]])/(2*WHOLE_STRUCTURE[[#This Row],[t '[mm']]]/1000),"")</f>
        <v>215.6875</v>
      </c>
    </row>
    <row r="43" spans="2:13" x14ac:dyDescent="0.3">
      <c r="B43" s="55">
        <v>38</v>
      </c>
      <c r="C43" s="55" t="s">
        <v>79</v>
      </c>
      <c r="D43" s="55">
        <v>38</v>
      </c>
      <c r="E43" s="55">
        <v>72.631</v>
      </c>
      <c r="F43" s="55">
        <v>72.585999999999999</v>
      </c>
      <c r="G43" s="55">
        <v>6.9020000000000001</v>
      </c>
      <c r="H43" s="55">
        <v>6.9020000000000001</v>
      </c>
      <c r="I43" s="55">
        <v>32</v>
      </c>
      <c r="J43" s="58">
        <f t="shared" si="0"/>
        <v>0.24397131025696062</v>
      </c>
      <c r="K43" s="57">
        <f>IFERROR(WHOLE_STRUCTURE[[#This Row],[Bottom '[m']]]-WHOLE_STRUCTURE[[#This Row],[D, top '[m']]], "")</f>
        <v>65.683999999999997</v>
      </c>
      <c r="L43" s="58">
        <f>IFERROR(-(WHOLE_STRUCTURE[[#This Row],[D, bottom '[m']]]-WHOLE_STRUCTURE[[#This Row],[D, top '[m']]])/(WHOLE_STRUCTURE[[#This Row],[Bottom '[m']]]-WHOLE_STRUCTURE[[#This Row],[Top '[m']]]),"")</f>
        <v>0</v>
      </c>
      <c r="M43" s="56">
        <f>IFERROR((WHOLE_STRUCTURE[[#This Row],[D, bottom '[m']]]+WHOLE_STRUCTURE[[#This Row],[D, top '[m']]])/(2*WHOLE_STRUCTURE[[#This Row],[t '[mm']]]/1000),"")</f>
        <v>215.6875</v>
      </c>
    </row>
    <row r="44" spans="2:13" x14ac:dyDescent="0.3">
      <c r="B44" s="55">
        <v>39</v>
      </c>
      <c r="C44" s="55" t="s">
        <v>79</v>
      </c>
      <c r="D44" s="55">
        <v>39</v>
      </c>
      <c r="E44" s="55">
        <v>72.585999999999999</v>
      </c>
      <c r="F44" s="55">
        <v>71.462999999999994</v>
      </c>
      <c r="G44" s="55">
        <v>6.9020000000000001</v>
      </c>
      <c r="H44" s="55">
        <v>6.9241000000000001</v>
      </c>
      <c r="I44" s="55">
        <v>32</v>
      </c>
      <c r="J44" s="58">
        <f t="shared" si="0"/>
        <v>6.0982324920917463</v>
      </c>
      <c r="K44" s="57">
        <f>IFERROR(WHOLE_STRUCTURE[[#This Row],[Bottom '[m']]]-WHOLE_STRUCTURE[[#This Row],[D, top '[m']]], "")</f>
        <v>64.560999999999993</v>
      </c>
      <c r="L44" s="58">
        <f>IFERROR(-(WHOLE_STRUCTURE[[#This Row],[D, bottom '[m']]]-WHOLE_STRUCTURE[[#This Row],[D, top '[m']]])/(WHOLE_STRUCTURE[[#This Row],[Bottom '[m']]]-WHOLE_STRUCTURE[[#This Row],[Top '[m']]]),"")</f>
        <v>1.9679430097951839E-2</v>
      </c>
      <c r="M44" s="56">
        <f>IFERROR((WHOLE_STRUCTURE[[#This Row],[D, bottom '[m']]]+WHOLE_STRUCTURE[[#This Row],[D, top '[m']]])/(2*WHOLE_STRUCTURE[[#This Row],[t '[mm']]]/1000),"")</f>
        <v>216.03281250000001</v>
      </c>
    </row>
    <row r="45" spans="2:13" x14ac:dyDescent="0.3">
      <c r="B45" s="55">
        <v>40</v>
      </c>
      <c r="C45" s="55" t="s">
        <v>79</v>
      </c>
      <c r="D45" s="55">
        <v>40</v>
      </c>
      <c r="E45" s="55">
        <v>71.462999999999994</v>
      </c>
      <c r="F45" s="55">
        <v>70.262999999999991</v>
      </c>
      <c r="G45" s="55">
        <v>6.9241000000000001</v>
      </c>
      <c r="H45" s="55">
        <v>6.9477000000000002</v>
      </c>
      <c r="I45" s="55">
        <v>31.7</v>
      </c>
      <c r="J45" s="58">
        <f t="shared" si="0"/>
        <v>6.4769926046518744</v>
      </c>
      <c r="K45" s="57">
        <f>IFERROR(WHOLE_STRUCTURE[[#This Row],[Bottom '[m']]]-WHOLE_STRUCTURE[[#This Row],[D, top '[m']]], "")</f>
        <v>63.338899999999988</v>
      </c>
      <c r="L45" s="58">
        <f>IFERROR(-(WHOLE_STRUCTURE[[#This Row],[D, bottom '[m']]]-WHOLE_STRUCTURE[[#This Row],[D, top '[m']]])/(WHOLE_STRUCTURE[[#This Row],[Bottom '[m']]]-WHOLE_STRUCTURE[[#This Row],[Top '[m']]]),"")</f>
        <v>1.9666666666666676E-2</v>
      </c>
      <c r="M45" s="56">
        <f>IFERROR((WHOLE_STRUCTURE[[#This Row],[D, bottom '[m']]]+WHOLE_STRUCTURE[[#This Row],[D, top '[m']]])/(2*WHOLE_STRUCTURE[[#This Row],[t '[mm']]]/1000),"")</f>
        <v>218.79810725552051</v>
      </c>
    </row>
    <row r="46" spans="2:13" x14ac:dyDescent="0.3">
      <c r="B46" s="55">
        <v>41</v>
      </c>
      <c r="C46" s="55" t="s">
        <v>79</v>
      </c>
      <c r="D46" s="55">
        <v>41</v>
      </c>
      <c r="E46" s="55">
        <v>70.262999999999991</v>
      </c>
      <c r="F46" s="55">
        <v>67.501999999999995</v>
      </c>
      <c r="G46" s="55">
        <v>6.9477000000000002</v>
      </c>
      <c r="H46" s="55">
        <v>7.0012999999999996</v>
      </c>
      <c r="I46" s="55">
        <v>32.300000000000004</v>
      </c>
      <c r="J46" s="58">
        <f t="shared" si="0"/>
        <v>15.268120527915034</v>
      </c>
      <c r="K46" s="57">
        <f>IFERROR(WHOLE_STRUCTURE[[#This Row],[Bottom '[m']]]-WHOLE_STRUCTURE[[#This Row],[D, top '[m']]], "")</f>
        <v>60.554299999999998</v>
      </c>
      <c r="L46" s="58">
        <f>IFERROR(-(WHOLE_STRUCTURE[[#This Row],[D, bottom '[m']]]-WHOLE_STRUCTURE[[#This Row],[D, top '[m']]])/(WHOLE_STRUCTURE[[#This Row],[Bottom '[m']]]-WHOLE_STRUCTURE[[#This Row],[Top '[m']]]),"")</f>
        <v>1.9413256066642345E-2</v>
      </c>
      <c r="M46" s="56">
        <f>IFERROR((WHOLE_STRUCTURE[[#This Row],[D, bottom '[m']]]+WHOLE_STRUCTURE[[#This Row],[D, top '[m']]])/(2*WHOLE_STRUCTURE[[#This Row],[t '[mm']]]/1000),"")</f>
        <v>215.92879256965944</v>
      </c>
    </row>
    <row r="47" spans="2:13" x14ac:dyDescent="0.3">
      <c r="B47" s="55">
        <v>42</v>
      </c>
      <c r="C47" s="55" t="s">
        <v>79</v>
      </c>
      <c r="D47" s="55">
        <v>42</v>
      </c>
      <c r="E47" s="55">
        <v>67.501999999999995</v>
      </c>
      <c r="F47" s="55">
        <v>64.744</v>
      </c>
      <c r="G47" s="55">
        <v>7.0012999999999996</v>
      </c>
      <c r="H47" s="55">
        <v>7.0548000000000002</v>
      </c>
      <c r="I47" s="55">
        <v>32.800000000000004</v>
      </c>
      <c r="J47" s="58">
        <f t="shared" si="0"/>
        <v>15.60597386030209</v>
      </c>
      <c r="K47" s="57">
        <f>IFERROR(WHOLE_STRUCTURE[[#This Row],[Bottom '[m']]]-WHOLE_STRUCTURE[[#This Row],[D, top '[m']]], "")</f>
        <v>57.742699999999999</v>
      </c>
      <c r="L47" s="58">
        <f>IFERROR(-(WHOLE_STRUCTURE[[#This Row],[D, bottom '[m']]]-WHOLE_STRUCTURE[[#This Row],[D, top '[m']]])/(WHOLE_STRUCTURE[[#This Row],[Bottom '[m']]]-WHOLE_STRUCTURE[[#This Row],[Top '[m']]]),"")</f>
        <v>1.9398114575779779E-2</v>
      </c>
      <c r="M47" s="56">
        <f>IFERROR((WHOLE_STRUCTURE[[#This Row],[D, bottom '[m']]]+WHOLE_STRUCTURE[[#This Row],[D, top '[m']]])/(2*WHOLE_STRUCTURE[[#This Row],[t '[mm']]]/1000),"")</f>
        <v>214.26981707317071</v>
      </c>
    </row>
    <row r="48" spans="2:13" x14ac:dyDescent="0.3">
      <c r="B48" s="55">
        <v>43</v>
      </c>
      <c r="C48" s="55" t="s">
        <v>79</v>
      </c>
      <c r="D48" s="55">
        <v>43</v>
      </c>
      <c r="E48" s="55">
        <v>64.744</v>
      </c>
      <c r="F48" s="55">
        <v>61.98599999999999</v>
      </c>
      <c r="G48" s="55">
        <v>7.0548000000000002</v>
      </c>
      <c r="H48" s="55">
        <v>7.1083999999999996</v>
      </c>
      <c r="I48" s="55">
        <v>33.4</v>
      </c>
      <c r="J48" s="58">
        <f t="shared" si="0"/>
        <v>16.011738077218361</v>
      </c>
      <c r="K48" s="57">
        <f>IFERROR(WHOLE_STRUCTURE[[#This Row],[Bottom '[m']]]-WHOLE_STRUCTURE[[#This Row],[D, top '[m']]], "")</f>
        <v>54.93119999999999</v>
      </c>
      <c r="L48" s="58">
        <f>IFERROR(-(WHOLE_STRUCTURE[[#This Row],[D, bottom '[m']]]-WHOLE_STRUCTURE[[#This Row],[D, top '[m']]])/(WHOLE_STRUCTURE[[#This Row],[Bottom '[m']]]-WHOLE_STRUCTURE[[#This Row],[Top '[m']]]),"")</f>
        <v>1.9434372733864842E-2</v>
      </c>
      <c r="M48" s="56">
        <f>IFERROR((WHOLE_STRUCTURE[[#This Row],[D, bottom '[m']]]+WHOLE_STRUCTURE[[#This Row],[D, top '[m']]])/(2*WHOLE_STRUCTURE[[#This Row],[t '[mm']]]/1000),"")</f>
        <v>212.0239520958084</v>
      </c>
    </row>
    <row r="49" spans="2:13" x14ac:dyDescent="0.3">
      <c r="B49" s="55">
        <v>44</v>
      </c>
      <c r="C49" s="55" t="s">
        <v>79</v>
      </c>
      <c r="D49" s="55">
        <v>44</v>
      </c>
      <c r="E49" s="55">
        <v>61.98599999999999</v>
      </c>
      <c r="F49" s="55">
        <v>59.228999999999999</v>
      </c>
      <c r="G49" s="55">
        <v>7.1083999999999996</v>
      </c>
      <c r="H49" s="55">
        <v>7.1619000000000002</v>
      </c>
      <c r="I49" s="55">
        <v>33.9</v>
      </c>
      <c r="J49" s="58">
        <f t="shared" si="0"/>
        <v>16.367818328804507</v>
      </c>
      <c r="K49" s="57">
        <f>IFERROR(WHOLE_STRUCTURE[[#This Row],[Bottom '[m']]]-WHOLE_STRUCTURE[[#This Row],[D, top '[m']]], "")</f>
        <v>52.120599999999996</v>
      </c>
      <c r="L49" s="58">
        <f>IFERROR(-(WHOLE_STRUCTURE[[#This Row],[D, bottom '[m']]]-WHOLE_STRUCTURE[[#This Row],[D, top '[m']]])/(WHOLE_STRUCTURE[[#This Row],[Bottom '[m']]]-WHOLE_STRUCTURE[[#This Row],[Top '[m']]]),"")</f>
        <v>1.940515052593425E-2</v>
      </c>
      <c r="M49" s="56">
        <f>IFERROR((WHOLE_STRUCTURE[[#This Row],[D, bottom '[m']]]+WHOLE_STRUCTURE[[#This Row],[D, top '[m']]])/(2*WHOLE_STRUCTURE[[#This Row],[t '[mm']]]/1000),"")</f>
        <v>210.47640117994098</v>
      </c>
    </row>
    <row r="50" spans="2:13" x14ac:dyDescent="0.3">
      <c r="B50" s="55">
        <v>45</v>
      </c>
      <c r="C50" s="55" t="s">
        <v>79</v>
      </c>
      <c r="D50" s="55">
        <v>45</v>
      </c>
      <c r="E50" s="55">
        <v>59.228999999999999</v>
      </c>
      <c r="F50" s="55">
        <v>56.47399999999999</v>
      </c>
      <c r="G50" s="55">
        <v>7.1619000000000002</v>
      </c>
      <c r="H50" s="55">
        <v>7.2164000000000001</v>
      </c>
      <c r="I50" s="55">
        <v>34.4</v>
      </c>
      <c r="J50" s="58">
        <f t="shared" si="0"/>
        <v>16.72222407153459</v>
      </c>
      <c r="K50" s="57">
        <f>IFERROR(WHOLE_STRUCTURE[[#This Row],[Bottom '[m']]]-WHOLE_STRUCTURE[[#This Row],[D, top '[m']]], "")</f>
        <v>49.312099999999987</v>
      </c>
      <c r="L50" s="58">
        <f>IFERROR(-(WHOLE_STRUCTURE[[#This Row],[D, bottom '[m']]]-WHOLE_STRUCTURE[[#This Row],[D, top '[m']]])/(WHOLE_STRUCTURE[[#This Row],[Bottom '[m']]]-WHOLE_STRUCTURE[[#This Row],[Top '[m']]]),"")</f>
        <v>1.9782214156079784E-2</v>
      </c>
      <c r="M50" s="56">
        <f>IFERROR((WHOLE_STRUCTURE[[#This Row],[D, bottom '[m']]]+WHOLE_STRUCTURE[[#This Row],[D, top '[m']]])/(2*WHOLE_STRUCTURE[[#This Row],[t '[mm']]]/1000),"")</f>
        <v>208.98691860465115</v>
      </c>
    </row>
    <row r="51" spans="2:13" x14ac:dyDescent="0.3">
      <c r="B51" s="55">
        <v>46</v>
      </c>
      <c r="C51" s="55" t="s">
        <v>79</v>
      </c>
      <c r="D51" s="55">
        <v>46</v>
      </c>
      <c r="E51" s="55">
        <v>56.47399999999999</v>
      </c>
      <c r="F51" s="55">
        <v>53.72</v>
      </c>
      <c r="G51" s="55">
        <v>7.2164000000000001</v>
      </c>
      <c r="H51" s="55">
        <v>7.2698999999999998</v>
      </c>
      <c r="I51" s="55">
        <v>34.9</v>
      </c>
      <c r="J51" s="58">
        <f t="shared" si="0"/>
        <v>17.085934335832185</v>
      </c>
      <c r="K51" s="57">
        <f>IFERROR(WHOLE_STRUCTURE[[#This Row],[Bottom '[m']]]-WHOLE_STRUCTURE[[#This Row],[D, top '[m']]], "")</f>
        <v>46.503599999999999</v>
      </c>
      <c r="L51" s="58">
        <f>IFERROR(-(WHOLE_STRUCTURE[[#This Row],[D, bottom '[m']]]-WHOLE_STRUCTURE[[#This Row],[D, top '[m']]])/(WHOLE_STRUCTURE[[#This Row],[Bottom '[m']]]-WHOLE_STRUCTURE[[#This Row],[Top '[m']]]),"")</f>
        <v>1.9426289034132113E-2</v>
      </c>
      <c r="M51" s="56">
        <f>IFERROR((WHOLE_STRUCTURE[[#This Row],[D, bottom '[m']]]+WHOLE_STRUCTURE[[#This Row],[D, top '[m']]])/(2*WHOLE_STRUCTURE[[#This Row],[t '[mm']]]/1000),"")</f>
        <v>207.54011461318052</v>
      </c>
    </row>
    <row r="52" spans="2:13" x14ac:dyDescent="0.3">
      <c r="B52" s="55">
        <v>47</v>
      </c>
      <c r="C52" s="55" t="s">
        <v>79</v>
      </c>
      <c r="D52" s="55">
        <v>47</v>
      </c>
      <c r="E52" s="55">
        <v>53.72</v>
      </c>
      <c r="F52" s="55">
        <v>50.966999999999999</v>
      </c>
      <c r="G52" s="55">
        <v>7.2698999999999998</v>
      </c>
      <c r="H52" s="55">
        <v>7.3234000000000004</v>
      </c>
      <c r="I52" s="55">
        <v>35.4</v>
      </c>
      <c r="J52" s="58">
        <f t="shared" si="0"/>
        <v>17.451806633347989</v>
      </c>
      <c r="K52" s="57">
        <f>IFERROR(WHOLE_STRUCTURE[[#This Row],[Bottom '[m']]]-WHOLE_STRUCTURE[[#This Row],[D, top '[m']]], "")</f>
        <v>43.697099999999999</v>
      </c>
      <c r="L52" s="58">
        <f>IFERROR(-(WHOLE_STRUCTURE[[#This Row],[D, bottom '[m']]]-WHOLE_STRUCTURE[[#This Row],[D, top '[m']]])/(WHOLE_STRUCTURE[[#This Row],[Bottom '[m']]]-WHOLE_STRUCTURE[[#This Row],[Top '[m']]]),"")</f>
        <v>1.9433345441336923E-2</v>
      </c>
      <c r="M52" s="56">
        <f>IFERROR((WHOLE_STRUCTURE[[#This Row],[D, bottom '[m']]]+WHOLE_STRUCTURE[[#This Row],[D, top '[m']]])/(2*WHOLE_STRUCTURE[[#This Row],[t '[mm']]]/1000),"")</f>
        <v>206.12005649717511</v>
      </c>
    </row>
    <row r="53" spans="2:13" x14ac:dyDescent="0.3">
      <c r="B53" s="55">
        <v>48</v>
      </c>
      <c r="C53" s="55" t="s">
        <v>79</v>
      </c>
      <c r="D53" s="55">
        <v>48</v>
      </c>
      <c r="E53" s="55">
        <v>50.966999999999999</v>
      </c>
      <c r="F53" s="55">
        <v>48.214999999999989</v>
      </c>
      <c r="G53" s="55">
        <v>7.3234000000000004</v>
      </c>
      <c r="H53" s="55">
        <v>7.3768000000000002</v>
      </c>
      <c r="I53" s="55">
        <v>35.799999999999997</v>
      </c>
      <c r="J53" s="58">
        <f t="shared" si="0"/>
        <v>17.771486453115703</v>
      </c>
      <c r="K53" s="57">
        <f>IFERROR(WHOLE_STRUCTURE[[#This Row],[Bottom '[m']]]-WHOLE_STRUCTURE[[#This Row],[D, top '[m']]], "")</f>
        <v>40.89159999999999</v>
      </c>
      <c r="L53" s="58">
        <f>IFERROR(-(WHOLE_STRUCTURE[[#This Row],[D, bottom '[m']]]-WHOLE_STRUCTURE[[#This Row],[D, top '[m']]])/(WHOLE_STRUCTURE[[#This Row],[Bottom '[m']]]-WHOLE_STRUCTURE[[#This Row],[Top '[m']]]),"")</f>
        <v>1.9404069767441755E-2</v>
      </c>
      <c r="M53" s="56">
        <f>IFERROR((WHOLE_STRUCTURE[[#This Row],[D, bottom '[m']]]+WHOLE_STRUCTURE[[#This Row],[D, top '[m']]])/(2*WHOLE_STRUCTURE[[#This Row],[t '[mm']]]/1000),"")</f>
        <v>205.31005586592181</v>
      </c>
    </row>
    <row r="54" spans="2:13" x14ac:dyDescent="0.3">
      <c r="B54" s="55">
        <v>49</v>
      </c>
      <c r="C54" s="55" t="s">
        <v>79</v>
      </c>
      <c r="D54" s="55">
        <v>49</v>
      </c>
      <c r="E54" s="55">
        <v>48.214999999999989</v>
      </c>
      <c r="F54" s="55">
        <v>45.464999999999996</v>
      </c>
      <c r="G54" s="55">
        <v>7.3768000000000002</v>
      </c>
      <c r="H54" s="55">
        <v>7.4303999999999997</v>
      </c>
      <c r="I54" s="55">
        <v>36.4</v>
      </c>
      <c r="J54" s="58">
        <f t="shared" si="0"/>
        <v>18.186790619055468</v>
      </c>
      <c r="K54" s="57">
        <f>IFERROR(WHOLE_STRUCTURE[[#This Row],[Bottom '[m']]]-WHOLE_STRUCTURE[[#This Row],[D, top '[m']]], "")</f>
        <v>38.088199999999993</v>
      </c>
      <c r="L54" s="58">
        <f>IFERROR(-(WHOLE_STRUCTURE[[#This Row],[D, bottom '[m']]]-WHOLE_STRUCTURE[[#This Row],[D, top '[m']]])/(WHOLE_STRUCTURE[[#This Row],[Bottom '[m']]]-WHOLE_STRUCTURE[[#This Row],[Top '[m']]]),"")</f>
        <v>1.9490909090908934E-2</v>
      </c>
      <c r="M54" s="56">
        <f>IFERROR((WHOLE_STRUCTURE[[#This Row],[D, bottom '[m']]]+WHOLE_STRUCTURE[[#This Row],[D, top '[m']]])/(2*WHOLE_STRUCTURE[[#This Row],[t '[mm']]]/1000),"")</f>
        <v>203.39560439560438</v>
      </c>
    </row>
    <row r="55" spans="2:13" x14ac:dyDescent="0.3">
      <c r="B55" s="55">
        <v>50</v>
      </c>
      <c r="C55" s="55" t="s">
        <v>79</v>
      </c>
      <c r="D55" s="55">
        <v>50</v>
      </c>
      <c r="E55" s="55">
        <v>45.464999999999996</v>
      </c>
      <c r="F55" s="55">
        <v>42.715999999999994</v>
      </c>
      <c r="G55" s="55">
        <v>7.4303999999999997</v>
      </c>
      <c r="H55" s="55">
        <v>7.4749999999999996</v>
      </c>
      <c r="I55" s="55">
        <v>39.5</v>
      </c>
      <c r="J55" s="58">
        <f t="shared" si="0"/>
        <v>19.851671590436911</v>
      </c>
      <c r="K55" s="57">
        <f>IFERROR(WHOLE_STRUCTURE[[#This Row],[Bottom '[m']]]-WHOLE_STRUCTURE[[#This Row],[D, top '[m']]], "")</f>
        <v>35.285599999999995</v>
      </c>
      <c r="L55" s="58">
        <f>IFERROR(-(WHOLE_STRUCTURE[[#This Row],[D, bottom '[m']]]-WHOLE_STRUCTURE[[#This Row],[D, top '[m']]])/(WHOLE_STRUCTURE[[#This Row],[Bottom '[m']]]-WHOLE_STRUCTURE[[#This Row],[Top '[m']]]),"")</f>
        <v>1.6224081484176041E-2</v>
      </c>
      <c r="M55" s="56">
        <f>IFERROR((WHOLE_STRUCTURE[[#This Row],[D, bottom '[m']]]+WHOLE_STRUCTURE[[#This Row],[D, top '[m']]])/(2*WHOLE_STRUCTURE[[#This Row],[t '[mm']]]/1000),"")</f>
        <v>188.67594936708861</v>
      </c>
    </row>
    <row r="56" spans="2:13" x14ac:dyDescent="0.3">
      <c r="B56" s="55">
        <v>51</v>
      </c>
      <c r="C56" s="55" t="s">
        <v>79</v>
      </c>
      <c r="D56" s="55">
        <v>51</v>
      </c>
      <c r="E56" s="55">
        <v>42.715999999999994</v>
      </c>
      <c r="F56" s="55">
        <v>39.967999999999996</v>
      </c>
      <c r="G56" s="55">
        <v>7.4749999999999996</v>
      </c>
      <c r="H56" s="55">
        <v>7.4749999999999996</v>
      </c>
      <c r="I56" s="55">
        <v>39.5</v>
      </c>
      <c r="J56" s="58">
        <f t="shared" si="0"/>
        <v>19.904145210531652</v>
      </c>
      <c r="K56" s="58">
        <f>IFERROR(WHOLE_STRUCTURE[[#This Row],[Bottom '[m']]]-WHOLE_STRUCTURE[[#This Row],[D, top '[m']]], "")</f>
        <v>32.492999999999995</v>
      </c>
      <c r="L56" s="58">
        <f>IFERROR(-(WHOLE_STRUCTURE[[#This Row],[D, bottom '[m']]]-WHOLE_STRUCTURE[[#This Row],[D, top '[m']]])/(WHOLE_STRUCTURE[[#This Row],[Bottom '[m']]]-WHOLE_STRUCTURE[[#This Row],[Top '[m']]]),"")</f>
        <v>0</v>
      </c>
      <c r="M56" s="58">
        <f>IFERROR((WHOLE_STRUCTURE[[#This Row],[D, bottom '[m']]]+WHOLE_STRUCTURE[[#This Row],[D, top '[m']]])/(2*WHOLE_STRUCTURE[[#This Row],[t '[mm']]]/1000),"")</f>
        <v>189.24050632911391</v>
      </c>
    </row>
    <row r="57" spans="2:13" x14ac:dyDescent="0.3">
      <c r="B57" s="55">
        <v>52</v>
      </c>
      <c r="C57" s="55" t="s">
        <v>79</v>
      </c>
      <c r="D57" s="55">
        <v>52</v>
      </c>
      <c r="E57" s="55">
        <v>39.967999999999996</v>
      </c>
      <c r="F57" s="55">
        <v>39.922999999999995</v>
      </c>
      <c r="G57" s="55">
        <v>7.4749999999999996</v>
      </c>
      <c r="H57" s="55">
        <v>7.4749999999999996</v>
      </c>
      <c r="I57" s="55">
        <v>39.5</v>
      </c>
      <c r="J57" s="58">
        <f t="shared" si="0"/>
        <v>0.32594124253055279</v>
      </c>
      <c r="K57" s="58">
        <f>IFERROR(WHOLE_STRUCTURE[[#This Row],[Bottom '[m']]]-WHOLE_STRUCTURE[[#This Row],[D, top '[m']]], "")</f>
        <v>32.447999999999993</v>
      </c>
      <c r="L57" s="58">
        <f>IFERROR(-(WHOLE_STRUCTURE[[#This Row],[D, bottom '[m']]]-WHOLE_STRUCTURE[[#This Row],[D, top '[m']]])/(WHOLE_STRUCTURE[[#This Row],[Bottom '[m']]]-WHOLE_STRUCTURE[[#This Row],[Top '[m']]]),"")</f>
        <v>0</v>
      </c>
      <c r="M57" s="58">
        <f>IFERROR((WHOLE_STRUCTURE[[#This Row],[D, bottom '[m']]]+WHOLE_STRUCTURE[[#This Row],[D, top '[m']]])/(2*WHOLE_STRUCTURE[[#This Row],[t '[mm']]]/1000),"")</f>
        <v>189.24050632911391</v>
      </c>
    </row>
    <row r="58" spans="2:13" x14ac:dyDescent="0.3">
      <c r="B58" s="55">
        <v>53</v>
      </c>
      <c r="C58" s="55" t="s">
        <v>79</v>
      </c>
      <c r="D58" s="55">
        <v>53</v>
      </c>
      <c r="E58" s="55">
        <v>39.922999999999995</v>
      </c>
      <c r="F58" s="55">
        <v>39.782999999999994</v>
      </c>
      <c r="G58" s="55">
        <v>7.4749999999999996</v>
      </c>
      <c r="H58" s="55">
        <v>7.4749999999999996</v>
      </c>
      <c r="I58" s="55">
        <v>39.5</v>
      </c>
      <c r="J58" s="58">
        <f t="shared" si="0"/>
        <v>1.0140394212061299</v>
      </c>
      <c r="K58" s="58">
        <f>IFERROR(WHOLE_STRUCTURE[[#This Row],[Bottom '[m']]]-WHOLE_STRUCTURE[[#This Row],[D, top '[m']]], "")</f>
        <v>32.307999999999993</v>
      </c>
      <c r="L58" s="58">
        <f>IFERROR(-(WHOLE_STRUCTURE[[#This Row],[D, bottom '[m']]]-WHOLE_STRUCTURE[[#This Row],[D, top '[m']]])/(WHOLE_STRUCTURE[[#This Row],[Bottom '[m']]]-WHOLE_STRUCTURE[[#This Row],[Top '[m']]]),"")</f>
        <v>0</v>
      </c>
      <c r="M58" s="58">
        <f>IFERROR((WHOLE_STRUCTURE[[#This Row],[D, bottom '[m']]]+WHOLE_STRUCTURE[[#This Row],[D, top '[m']]])/(2*WHOLE_STRUCTURE[[#This Row],[t '[mm']]]/1000),"")</f>
        <v>189.24050632911391</v>
      </c>
    </row>
    <row r="59" spans="2:13" x14ac:dyDescent="0.3">
      <c r="B59" s="55">
        <v>54</v>
      </c>
      <c r="C59" s="55" t="s">
        <v>79</v>
      </c>
      <c r="D59" s="55">
        <v>54</v>
      </c>
      <c r="E59" s="55">
        <v>39.782999999999994</v>
      </c>
      <c r="F59" s="55">
        <v>39.643999999999991</v>
      </c>
      <c r="G59" s="55">
        <v>7.4749999999999996</v>
      </c>
      <c r="H59" s="55">
        <v>7.4749999999999996</v>
      </c>
      <c r="I59" s="55">
        <v>39.5</v>
      </c>
      <c r="J59" s="58">
        <f t="shared" si="0"/>
        <v>1.0067962824832459</v>
      </c>
      <c r="K59" s="58">
        <f>IFERROR(WHOLE_STRUCTURE[[#This Row],[Bottom '[m']]]-WHOLE_STRUCTURE[[#This Row],[D, top '[m']]], "")</f>
        <v>32.16899999999999</v>
      </c>
      <c r="L59" s="58">
        <f>IFERROR(-(WHOLE_STRUCTURE[[#This Row],[D, bottom '[m']]]-WHOLE_STRUCTURE[[#This Row],[D, top '[m']]])/(WHOLE_STRUCTURE[[#This Row],[Bottom '[m']]]-WHOLE_STRUCTURE[[#This Row],[Top '[m']]]),"")</f>
        <v>0</v>
      </c>
      <c r="M59" s="58">
        <f>IFERROR((WHOLE_STRUCTURE[[#This Row],[D, bottom '[m']]]+WHOLE_STRUCTURE[[#This Row],[D, top '[m']]])/(2*WHOLE_STRUCTURE[[#This Row],[t '[mm']]]/1000),"")</f>
        <v>189.24050632911391</v>
      </c>
    </row>
    <row r="60" spans="2:13" x14ac:dyDescent="0.3">
      <c r="B60" s="55">
        <v>55</v>
      </c>
      <c r="C60" s="55" t="s">
        <v>79</v>
      </c>
      <c r="D60" s="55">
        <v>55</v>
      </c>
      <c r="E60" s="55">
        <v>39.643999999999991</v>
      </c>
      <c r="F60" s="55">
        <v>39.598999999999997</v>
      </c>
      <c r="G60" s="55">
        <v>7.4749999999999996</v>
      </c>
      <c r="H60" s="55">
        <v>7.4749999999999996</v>
      </c>
      <c r="I60" s="55">
        <v>38</v>
      </c>
      <c r="J60" s="58">
        <f t="shared" ref="J60:J123" si="3">IF(7850/1000*(1/3)*PI()*ABS(E60-F60)*((G60/2)^2+(G60/2)*(H60/2)+(H60/2)^2-(G60/2-I60/1000)^2-(G60/2-I60/1000)*(H60/2-I60/1000)-(H60/2-I60/1000)^2)=0,"",7850/1000*(1/3)*PI()*ABS(E60-F60)*((G60/2)^2+(G60/2)*(H60/2)+(H60/2)^2-(G60/2-I60/1000)^2-(G60/2-I60/1000)*(H60/2-I60/1000)-(H60/2-I60/1000)^2))</f>
        <v>0.31362698374484504</v>
      </c>
      <c r="K60" s="58">
        <f>IFERROR(WHOLE_STRUCTURE[[#This Row],[Bottom '[m']]]-WHOLE_STRUCTURE[[#This Row],[D, top '[m']]], "")</f>
        <v>32.123999999999995</v>
      </c>
      <c r="L60" s="58">
        <f>IFERROR(-(WHOLE_STRUCTURE[[#This Row],[D, bottom '[m']]]-WHOLE_STRUCTURE[[#This Row],[D, top '[m']]])/(WHOLE_STRUCTURE[[#This Row],[Bottom '[m']]]-WHOLE_STRUCTURE[[#This Row],[Top '[m']]]),"")</f>
        <v>0</v>
      </c>
      <c r="M60" s="58">
        <f>IFERROR((WHOLE_STRUCTURE[[#This Row],[D, bottom '[m']]]+WHOLE_STRUCTURE[[#This Row],[D, top '[m']]])/(2*WHOLE_STRUCTURE[[#This Row],[t '[mm']]]/1000),"")</f>
        <v>196.71052631578948</v>
      </c>
    </row>
    <row r="61" spans="2:13" x14ac:dyDescent="0.3">
      <c r="B61" s="55">
        <v>56</v>
      </c>
      <c r="C61" s="55" t="s">
        <v>79</v>
      </c>
      <c r="D61" s="55">
        <v>56</v>
      </c>
      <c r="E61" s="55">
        <v>39.598999999999997</v>
      </c>
      <c r="F61" s="55">
        <v>38.48599999999999</v>
      </c>
      <c r="G61" s="55">
        <v>7.4749999999999996</v>
      </c>
      <c r="H61" s="55">
        <v>7.4749999999999996</v>
      </c>
      <c r="I61" s="55">
        <v>38</v>
      </c>
      <c r="J61" s="58">
        <f t="shared" si="3"/>
        <v>7.7570407312901448</v>
      </c>
      <c r="K61" s="58">
        <f>IFERROR(WHOLE_STRUCTURE[[#This Row],[Bottom '[m']]]-WHOLE_STRUCTURE[[#This Row],[D, top '[m']]], "")</f>
        <v>31.010999999999989</v>
      </c>
      <c r="L61" s="58">
        <f>IFERROR(-(WHOLE_STRUCTURE[[#This Row],[D, bottom '[m']]]-WHOLE_STRUCTURE[[#This Row],[D, top '[m']]])/(WHOLE_STRUCTURE[[#This Row],[Bottom '[m']]]-WHOLE_STRUCTURE[[#This Row],[Top '[m']]]),"")</f>
        <v>0</v>
      </c>
      <c r="M61" s="58">
        <f>IFERROR((WHOLE_STRUCTURE[[#This Row],[D, bottom '[m']]]+WHOLE_STRUCTURE[[#This Row],[D, top '[m']]])/(2*WHOLE_STRUCTURE[[#This Row],[t '[mm']]]/1000),"")</f>
        <v>196.71052631578948</v>
      </c>
    </row>
    <row r="62" spans="2:13" x14ac:dyDescent="0.3">
      <c r="B62" s="55">
        <v>57</v>
      </c>
      <c r="C62" s="55" t="s">
        <v>79</v>
      </c>
      <c r="D62" s="55">
        <v>57</v>
      </c>
      <c r="E62" s="55">
        <v>38.48599999999999</v>
      </c>
      <c r="F62" s="55">
        <v>36.688999999999993</v>
      </c>
      <c r="G62" s="55">
        <v>7.4749999999999996</v>
      </c>
      <c r="H62" s="55">
        <v>7.4749999999999996</v>
      </c>
      <c r="I62" s="55">
        <v>38.800000000000004</v>
      </c>
      <c r="J62" s="58">
        <f t="shared" si="3"/>
        <v>12.786462048690439</v>
      </c>
      <c r="K62" s="58">
        <f>IFERROR(WHOLE_STRUCTURE[[#This Row],[Bottom '[m']]]-WHOLE_STRUCTURE[[#This Row],[D, top '[m']]], "")</f>
        <v>29.213999999999992</v>
      </c>
      <c r="L62" s="58">
        <f>IFERROR(-(WHOLE_STRUCTURE[[#This Row],[D, bottom '[m']]]-WHOLE_STRUCTURE[[#This Row],[D, top '[m']]])/(WHOLE_STRUCTURE[[#This Row],[Bottom '[m']]]-WHOLE_STRUCTURE[[#This Row],[Top '[m']]]),"")</f>
        <v>0</v>
      </c>
      <c r="M62" s="58">
        <f>IFERROR((WHOLE_STRUCTURE[[#This Row],[D, bottom '[m']]]+WHOLE_STRUCTURE[[#This Row],[D, top '[m']]])/(2*WHOLE_STRUCTURE[[#This Row],[t '[mm']]]/1000),"")</f>
        <v>192.65463917525773</v>
      </c>
    </row>
    <row r="63" spans="2:13" x14ac:dyDescent="0.3">
      <c r="B63" s="55">
        <v>58</v>
      </c>
      <c r="C63" s="55" t="s">
        <v>79</v>
      </c>
      <c r="D63" s="55">
        <v>58</v>
      </c>
      <c r="E63" s="55">
        <v>36.688999999999993</v>
      </c>
      <c r="F63" s="55">
        <v>33.765000000000001</v>
      </c>
      <c r="G63" s="55">
        <v>7.4749999999999996</v>
      </c>
      <c r="H63" s="55">
        <v>7.4749999999999996</v>
      </c>
      <c r="I63" s="55">
        <v>40.4</v>
      </c>
      <c r="J63" s="58">
        <f t="shared" si="3"/>
        <v>21.658873770182829</v>
      </c>
      <c r="K63" s="58">
        <f>IFERROR(WHOLE_STRUCTURE[[#This Row],[Bottom '[m']]]-WHOLE_STRUCTURE[[#This Row],[D, top '[m']]], "")</f>
        <v>26.29</v>
      </c>
      <c r="L63" s="58">
        <f>IFERROR(-(WHOLE_STRUCTURE[[#This Row],[D, bottom '[m']]]-WHOLE_STRUCTURE[[#This Row],[D, top '[m']]])/(WHOLE_STRUCTURE[[#This Row],[Bottom '[m']]]-WHOLE_STRUCTURE[[#This Row],[Top '[m']]]),"")</f>
        <v>0</v>
      </c>
      <c r="M63" s="58">
        <f>IFERROR((WHOLE_STRUCTURE[[#This Row],[D, bottom '[m']]]+WHOLE_STRUCTURE[[#This Row],[D, top '[m']]])/(2*WHOLE_STRUCTURE[[#This Row],[t '[mm']]]/1000),"")</f>
        <v>185.02475247524751</v>
      </c>
    </row>
    <row r="64" spans="2:13" x14ac:dyDescent="0.3">
      <c r="B64" s="55">
        <v>59</v>
      </c>
      <c r="C64" s="55" t="s">
        <v>79</v>
      </c>
      <c r="D64" s="55">
        <v>59</v>
      </c>
      <c r="E64" s="55">
        <v>33.765000000000001</v>
      </c>
      <c r="F64" s="55">
        <v>30.840999999999994</v>
      </c>
      <c r="G64" s="55">
        <v>7.4749999999999996</v>
      </c>
      <c r="H64" s="55">
        <v>7.4749999999999996</v>
      </c>
      <c r="I64" s="55">
        <v>41.2</v>
      </c>
      <c r="J64" s="58">
        <f t="shared" si="3"/>
        <v>22.085385606417827</v>
      </c>
      <c r="K64" s="58">
        <f>IFERROR(WHOLE_STRUCTURE[[#This Row],[Bottom '[m']]]-WHOLE_STRUCTURE[[#This Row],[D, top '[m']]], "")</f>
        <v>23.365999999999993</v>
      </c>
      <c r="L64" s="58">
        <f>IFERROR(-(WHOLE_STRUCTURE[[#This Row],[D, bottom '[m']]]-WHOLE_STRUCTURE[[#This Row],[D, top '[m']]])/(WHOLE_STRUCTURE[[#This Row],[Bottom '[m']]]-WHOLE_STRUCTURE[[#This Row],[Top '[m']]]),"")</f>
        <v>0</v>
      </c>
      <c r="M64" s="58">
        <f>IFERROR((WHOLE_STRUCTURE[[#This Row],[D, bottom '[m']]]+WHOLE_STRUCTURE[[#This Row],[D, top '[m']]])/(2*WHOLE_STRUCTURE[[#This Row],[t '[mm']]]/1000),"")</f>
        <v>181.43203883495144</v>
      </c>
    </row>
    <row r="65" spans="2:13" x14ac:dyDescent="0.3">
      <c r="B65" s="55">
        <v>60</v>
      </c>
      <c r="C65" s="55" t="s">
        <v>79</v>
      </c>
      <c r="D65" s="55">
        <v>60</v>
      </c>
      <c r="E65" s="55">
        <v>30.840999999999994</v>
      </c>
      <c r="F65" s="55">
        <v>27.915999999999997</v>
      </c>
      <c r="G65" s="55">
        <v>7.4767000000000001</v>
      </c>
      <c r="H65" s="55">
        <v>7.4749999999999996</v>
      </c>
      <c r="I65" s="55">
        <v>42.1</v>
      </c>
      <c r="J65" s="58">
        <f t="shared" si="3"/>
        <v>22.5753996435555</v>
      </c>
      <c r="K65" s="58">
        <f>IFERROR(WHOLE_STRUCTURE[[#This Row],[Bottom '[m']]]-WHOLE_STRUCTURE[[#This Row],[D, top '[m']]], "")</f>
        <v>20.439299999999996</v>
      </c>
      <c r="L65" s="58">
        <f>IFERROR(-(WHOLE_STRUCTURE[[#This Row],[D, bottom '[m']]]-WHOLE_STRUCTURE[[#This Row],[D, top '[m']]])/(WHOLE_STRUCTURE[[#This Row],[Bottom '[m']]]-WHOLE_STRUCTURE[[#This Row],[Top '[m']]]),"")</f>
        <v>-5.8119658119674554E-4</v>
      </c>
      <c r="M65" s="58">
        <f>IFERROR((WHOLE_STRUCTURE[[#This Row],[D, bottom '[m']]]+WHOLE_STRUCTURE[[#This Row],[D, top '[m']]])/(2*WHOLE_STRUCTURE[[#This Row],[t '[mm']]]/1000),"")</f>
        <v>177.57363420427552</v>
      </c>
    </row>
    <row r="66" spans="2:13" x14ac:dyDescent="0.3">
      <c r="B66" s="55">
        <v>61</v>
      </c>
      <c r="C66" s="55" t="s">
        <v>79</v>
      </c>
      <c r="D66" s="55">
        <v>61</v>
      </c>
      <c r="E66" s="55">
        <v>27.915999999999997</v>
      </c>
      <c r="F66" s="55">
        <v>24.992000000000001</v>
      </c>
      <c r="G66" s="55">
        <v>7.4775999999999998</v>
      </c>
      <c r="H66" s="55">
        <v>7.4749999999999996</v>
      </c>
      <c r="I66" s="55">
        <v>43</v>
      </c>
      <c r="J66" s="58">
        <f t="shared" si="3"/>
        <v>23.048730724071454</v>
      </c>
      <c r="K66" s="58">
        <f>IFERROR(WHOLE_STRUCTURE[[#This Row],[Bottom '[m']]]-WHOLE_STRUCTURE[[#This Row],[D, top '[m']]], "")</f>
        <v>17.514400000000002</v>
      </c>
      <c r="L66" s="58">
        <f>IFERROR(-(WHOLE_STRUCTURE[[#This Row],[D, bottom '[m']]]-WHOLE_STRUCTURE[[#This Row],[D, top '[m']]])/(WHOLE_STRUCTURE[[#This Row],[Bottom '[m']]]-WHOLE_STRUCTURE[[#This Row],[Top '[m']]]),"")</f>
        <v>-8.8919288645696352E-4</v>
      </c>
      <c r="M66" s="58">
        <f>IFERROR((WHOLE_STRUCTURE[[#This Row],[D, bottom '[m']]]+WHOLE_STRUCTURE[[#This Row],[D, top '[m']]])/(2*WHOLE_STRUCTURE[[#This Row],[t '[mm']]]/1000),"")</f>
        <v>173.86744186046514</v>
      </c>
    </row>
    <row r="67" spans="2:13" x14ac:dyDescent="0.3">
      <c r="B67" s="55">
        <v>62</v>
      </c>
      <c r="C67" s="55" t="s">
        <v>79</v>
      </c>
      <c r="D67" s="55">
        <v>62</v>
      </c>
      <c r="E67" s="55">
        <v>24.992000000000001</v>
      </c>
      <c r="F67" s="55">
        <v>22.067</v>
      </c>
      <c r="G67" s="55">
        <v>7.4785000000000004</v>
      </c>
      <c r="H67" s="55">
        <v>7.5</v>
      </c>
      <c r="I67" s="55">
        <v>64.5</v>
      </c>
      <c r="J67" s="58">
        <f t="shared" si="3"/>
        <v>34.545139399533667</v>
      </c>
      <c r="K67" s="58">
        <f>IFERROR(WHOLE_STRUCTURE[[#This Row],[Bottom '[m']]]-WHOLE_STRUCTURE[[#This Row],[D, top '[m']]], "")</f>
        <v>14.5885</v>
      </c>
      <c r="L67" s="58">
        <f>IFERROR(-(WHOLE_STRUCTURE[[#This Row],[D, bottom '[m']]]-WHOLE_STRUCTURE[[#This Row],[D, top '[m']]])/(WHOLE_STRUCTURE[[#This Row],[Bottom '[m']]]-WHOLE_STRUCTURE[[#This Row],[Top '[m']]]),"")</f>
        <v>7.3504273504272225E-3</v>
      </c>
      <c r="M67" s="58">
        <f>IFERROR((WHOLE_STRUCTURE[[#This Row],[D, bottom '[m']]]+WHOLE_STRUCTURE[[#This Row],[D, top '[m']]])/(2*WHOLE_STRUCTURE[[#This Row],[t '[mm']]]/1000),"")</f>
        <v>116.1124031007752</v>
      </c>
    </row>
    <row r="68" spans="2:13" x14ac:dyDescent="0.3">
      <c r="B68" s="55">
        <v>63</v>
      </c>
      <c r="C68" s="55" t="s">
        <v>79</v>
      </c>
      <c r="D68" s="55">
        <v>63</v>
      </c>
      <c r="E68" s="55">
        <v>22.067</v>
      </c>
      <c r="F68" s="55">
        <v>19.991</v>
      </c>
      <c r="G68" s="55">
        <v>7.5</v>
      </c>
      <c r="H68" s="55">
        <v>7.5</v>
      </c>
      <c r="I68" s="55">
        <v>64.5</v>
      </c>
      <c r="J68" s="58">
        <f t="shared" si="3"/>
        <v>24.553690158832335</v>
      </c>
      <c r="K68" s="58">
        <f>IFERROR(WHOLE_STRUCTURE[[#This Row],[Bottom '[m']]]-WHOLE_STRUCTURE[[#This Row],[D, top '[m']]], "")</f>
        <v>12.491</v>
      </c>
      <c r="L68" s="58">
        <f>IFERROR(-(WHOLE_STRUCTURE[[#This Row],[D, bottom '[m']]]-WHOLE_STRUCTURE[[#This Row],[D, top '[m']]])/(WHOLE_STRUCTURE[[#This Row],[Bottom '[m']]]-WHOLE_STRUCTURE[[#This Row],[Top '[m']]]),"")</f>
        <v>0</v>
      </c>
      <c r="M68" s="58">
        <f>IFERROR((WHOLE_STRUCTURE[[#This Row],[D, bottom '[m']]]+WHOLE_STRUCTURE[[#This Row],[D, top '[m']]])/(2*WHOLE_STRUCTURE[[#This Row],[t '[mm']]]/1000),"")</f>
        <v>116.27906976744185</v>
      </c>
    </row>
    <row r="69" spans="2:13" x14ac:dyDescent="0.3">
      <c r="B69" s="55">
        <v>64</v>
      </c>
      <c r="C69" s="55" t="s">
        <v>79</v>
      </c>
      <c r="D69" s="55">
        <v>64</v>
      </c>
      <c r="E69" s="55">
        <v>19.991</v>
      </c>
      <c r="F69" s="55">
        <v>17.465999999999998</v>
      </c>
      <c r="G69" s="55">
        <v>7.5</v>
      </c>
      <c r="H69" s="55">
        <v>7.5</v>
      </c>
      <c r="I69" s="55">
        <v>64.5</v>
      </c>
      <c r="J69" s="58">
        <f t="shared" si="3"/>
        <v>29.864194436922769</v>
      </c>
      <c r="K69" s="58">
        <f>IFERROR(WHOLE_STRUCTURE[[#This Row],[Bottom '[m']]]-WHOLE_STRUCTURE[[#This Row],[D, top '[m']]], "")</f>
        <v>9.9659999999999975</v>
      </c>
      <c r="L69" s="58">
        <f>IFERROR(-(WHOLE_STRUCTURE[[#This Row],[D, bottom '[m']]]-WHOLE_STRUCTURE[[#This Row],[D, top '[m']]])/(WHOLE_STRUCTURE[[#This Row],[Bottom '[m']]]-WHOLE_STRUCTURE[[#This Row],[Top '[m']]]),"")</f>
        <v>0</v>
      </c>
      <c r="M69" s="58">
        <f>IFERROR((WHOLE_STRUCTURE[[#This Row],[D, bottom '[m']]]+WHOLE_STRUCTURE[[#This Row],[D, top '[m']]])/(2*WHOLE_STRUCTURE[[#This Row],[t '[mm']]]/1000),"")</f>
        <v>116.27906976744185</v>
      </c>
    </row>
    <row r="70" spans="2:13" x14ac:dyDescent="0.3">
      <c r="B70" s="55">
        <v>65</v>
      </c>
      <c r="C70" s="55" t="s">
        <v>79</v>
      </c>
      <c r="D70" s="55">
        <v>65</v>
      </c>
      <c r="E70" s="55">
        <v>17.465999999999998</v>
      </c>
      <c r="F70" s="55">
        <v>17.067</v>
      </c>
      <c r="G70" s="55">
        <v>7.5</v>
      </c>
      <c r="H70" s="55">
        <v>7.5</v>
      </c>
      <c r="I70" s="55">
        <v>64.5</v>
      </c>
      <c r="J70" s="58">
        <f t="shared" si="3"/>
        <v>4.7191340912206332</v>
      </c>
      <c r="K70" s="58">
        <f>IFERROR(WHOLE_STRUCTURE[[#This Row],[Bottom '[m']]]-WHOLE_STRUCTURE[[#This Row],[D, top '[m']]], "")</f>
        <v>9.5670000000000002</v>
      </c>
      <c r="L70" s="58">
        <f>IFERROR(-(WHOLE_STRUCTURE[[#This Row],[D, bottom '[m']]]-WHOLE_STRUCTURE[[#This Row],[D, top '[m']]])/(WHOLE_STRUCTURE[[#This Row],[Bottom '[m']]]-WHOLE_STRUCTURE[[#This Row],[Top '[m']]]),"")</f>
        <v>0</v>
      </c>
      <c r="M70" s="58">
        <f>IFERROR((WHOLE_STRUCTURE[[#This Row],[D, bottom '[m']]]+WHOLE_STRUCTURE[[#This Row],[D, top '[m']]])/(2*WHOLE_STRUCTURE[[#This Row],[t '[mm']]]/1000),"")</f>
        <v>116.27906976744185</v>
      </c>
    </row>
    <row r="71" spans="2:13" x14ac:dyDescent="0.3">
      <c r="B71" s="55">
        <v>66</v>
      </c>
      <c r="C71" s="55" t="s">
        <v>79</v>
      </c>
      <c r="D71" s="55">
        <v>66</v>
      </c>
      <c r="E71" s="55">
        <v>17.067</v>
      </c>
      <c r="F71" s="55">
        <v>15.68</v>
      </c>
      <c r="G71" s="55">
        <v>7.5</v>
      </c>
      <c r="H71" s="55">
        <v>7.5</v>
      </c>
      <c r="I71" s="55">
        <v>64.5</v>
      </c>
      <c r="J71" s="58">
        <f t="shared" si="3"/>
        <v>16.404608983767076</v>
      </c>
      <c r="K71" s="58">
        <f>IFERROR(WHOLE_STRUCTURE[[#This Row],[Bottom '[m']]]-WHOLE_STRUCTURE[[#This Row],[D, top '[m']]], "")</f>
        <v>8.18</v>
      </c>
      <c r="L71" s="58">
        <f>IFERROR(-(WHOLE_STRUCTURE[[#This Row],[D, bottom '[m']]]-WHOLE_STRUCTURE[[#This Row],[D, top '[m']]])/(WHOLE_STRUCTURE[[#This Row],[Bottom '[m']]]-WHOLE_STRUCTURE[[#This Row],[Top '[m']]]),"")</f>
        <v>0</v>
      </c>
      <c r="M71" s="58">
        <f>IFERROR((WHOLE_STRUCTURE[[#This Row],[D, bottom '[m']]]+WHOLE_STRUCTURE[[#This Row],[D, top '[m']]])/(2*WHOLE_STRUCTURE[[#This Row],[t '[mm']]]/1000),"")</f>
        <v>116.27906976744185</v>
      </c>
    </row>
    <row r="72" spans="2:13" x14ac:dyDescent="0.3">
      <c r="B72" s="55">
        <v>67</v>
      </c>
      <c r="C72" s="55" t="s">
        <v>79</v>
      </c>
      <c r="D72" s="55">
        <v>67</v>
      </c>
      <c r="E72" s="55">
        <v>15.68</v>
      </c>
      <c r="F72" s="55">
        <v>15.625</v>
      </c>
      <c r="G72" s="55">
        <v>7.5</v>
      </c>
      <c r="H72" s="55">
        <v>7.5</v>
      </c>
      <c r="I72" s="55">
        <v>64.5</v>
      </c>
      <c r="J72" s="58">
        <f t="shared" si="3"/>
        <v>0.65050720555672981</v>
      </c>
      <c r="K72" s="58">
        <f>IFERROR(WHOLE_STRUCTURE[[#This Row],[Bottom '[m']]]-WHOLE_STRUCTURE[[#This Row],[D, top '[m']]], "")</f>
        <v>8.125</v>
      </c>
      <c r="L72" s="58">
        <f>IFERROR(-(WHOLE_STRUCTURE[[#This Row],[D, bottom '[m']]]-WHOLE_STRUCTURE[[#This Row],[D, top '[m']]])/(WHOLE_STRUCTURE[[#This Row],[Bottom '[m']]]-WHOLE_STRUCTURE[[#This Row],[Top '[m']]]),"")</f>
        <v>0</v>
      </c>
      <c r="M72" s="58">
        <f>IFERROR((WHOLE_STRUCTURE[[#This Row],[D, bottom '[m']]]+WHOLE_STRUCTURE[[#This Row],[D, top '[m']]])/(2*WHOLE_STRUCTURE[[#This Row],[t '[mm']]]/1000),"")</f>
        <v>116.27906976744185</v>
      </c>
    </row>
    <row r="73" spans="2:13" x14ac:dyDescent="0.3">
      <c r="B73" s="55">
        <v>68</v>
      </c>
      <c r="C73" s="55" t="s">
        <v>79</v>
      </c>
      <c r="D73" s="55">
        <v>68</v>
      </c>
      <c r="E73" s="55">
        <v>15.625</v>
      </c>
      <c r="F73" s="55">
        <v>15.469999999999999</v>
      </c>
      <c r="G73" s="55">
        <v>7.5</v>
      </c>
      <c r="H73" s="55">
        <v>7.5</v>
      </c>
      <c r="I73" s="55">
        <v>64.5</v>
      </c>
      <c r="J73" s="58">
        <f t="shared" si="3"/>
        <v>1.8332475792962613</v>
      </c>
      <c r="K73" s="58">
        <f>IFERROR(WHOLE_STRUCTURE[[#This Row],[Bottom '[m']]]-WHOLE_STRUCTURE[[#This Row],[D, top '[m']]], "")</f>
        <v>7.9699999999999989</v>
      </c>
      <c r="L73" s="58">
        <f>IFERROR(-(WHOLE_STRUCTURE[[#This Row],[D, bottom '[m']]]-WHOLE_STRUCTURE[[#This Row],[D, top '[m']]])/(WHOLE_STRUCTURE[[#This Row],[Bottom '[m']]]-WHOLE_STRUCTURE[[#This Row],[Top '[m']]]),"")</f>
        <v>0</v>
      </c>
      <c r="M73" s="58">
        <f>IFERROR((WHOLE_STRUCTURE[[#This Row],[D, bottom '[m']]]+WHOLE_STRUCTURE[[#This Row],[D, top '[m']]])/(2*WHOLE_STRUCTURE[[#This Row],[t '[mm']]]/1000),"")</f>
        <v>116.27906976744185</v>
      </c>
    </row>
    <row r="74" spans="2:13" x14ac:dyDescent="0.3">
      <c r="B74" s="55">
        <v>69</v>
      </c>
      <c r="C74" s="55" t="s">
        <v>101</v>
      </c>
      <c r="D74" s="55">
        <v>1</v>
      </c>
      <c r="E74" s="55">
        <v>15.469999999999999</v>
      </c>
      <c r="F74" s="55">
        <v>11.5</v>
      </c>
      <c r="G74" s="55">
        <v>8</v>
      </c>
      <c r="H74" s="55">
        <v>8</v>
      </c>
      <c r="I74" s="55">
        <v>102</v>
      </c>
      <c r="J74" s="58">
        <f t="shared" si="3"/>
        <v>78.87281429739798</v>
      </c>
      <c r="K74" s="58">
        <f>IFERROR(WHOLE_STRUCTURE[[#This Row],[Bottom '[m']]]-WHOLE_STRUCTURE[[#This Row],[D, top '[m']]], "")</f>
        <v>3.5</v>
      </c>
      <c r="L74" s="58">
        <f>IFERROR(-(WHOLE_STRUCTURE[[#This Row],[D, bottom '[m']]]-WHOLE_STRUCTURE[[#This Row],[D, top '[m']]])/(WHOLE_STRUCTURE[[#This Row],[Bottom '[m']]]-WHOLE_STRUCTURE[[#This Row],[Top '[m']]]),"")</f>
        <v>0</v>
      </c>
      <c r="M74" s="58">
        <f>IFERROR((WHOLE_STRUCTURE[[#This Row],[D, bottom '[m']]]+WHOLE_STRUCTURE[[#This Row],[D, top '[m']]])/(2*WHOLE_STRUCTURE[[#This Row],[t '[mm']]]/1000),"")</f>
        <v>78.431372549019613</v>
      </c>
    </row>
    <row r="75" spans="2:13" x14ac:dyDescent="0.3">
      <c r="B75" s="55">
        <v>70</v>
      </c>
      <c r="C75" s="55" t="s">
        <v>101</v>
      </c>
      <c r="D75" s="55">
        <v>2</v>
      </c>
      <c r="E75" s="55">
        <v>11.5</v>
      </c>
      <c r="F75" s="55">
        <v>7.5</v>
      </c>
      <c r="G75" s="55">
        <v>8</v>
      </c>
      <c r="H75" s="55">
        <v>8</v>
      </c>
      <c r="I75" s="55">
        <v>102</v>
      </c>
      <c r="J75" s="58">
        <f t="shared" si="3"/>
        <v>79.468830526345599</v>
      </c>
      <c r="K75" s="58">
        <f>IFERROR(WHOLE_STRUCTURE[[#This Row],[Bottom '[m']]]-WHOLE_STRUCTURE[[#This Row],[D, top '[m']]], "")</f>
        <v>-0.5</v>
      </c>
      <c r="L75" s="58">
        <f>IFERROR(-(WHOLE_STRUCTURE[[#This Row],[D, bottom '[m']]]-WHOLE_STRUCTURE[[#This Row],[D, top '[m']]])/(WHOLE_STRUCTURE[[#This Row],[Bottom '[m']]]-WHOLE_STRUCTURE[[#This Row],[Top '[m']]]),"")</f>
        <v>0</v>
      </c>
      <c r="M75" s="58">
        <f>IFERROR((WHOLE_STRUCTURE[[#This Row],[D, bottom '[m']]]+WHOLE_STRUCTURE[[#This Row],[D, top '[m']]])/(2*WHOLE_STRUCTURE[[#This Row],[t '[mm']]]/1000),"")</f>
        <v>78.431372549019613</v>
      </c>
    </row>
    <row r="76" spans="2:13" x14ac:dyDescent="0.3">
      <c r="B76" s="55">
        <v>71</v>
      </c>
      <c r="C76" s="55" t="s">
        <v>101</v>
      </c>
      <c r="D76" s="55">
        <v>3</v>
      </c>
      <c r="E76" s="55">
        <v>7.5</v>
      </c>
      <c r="F76" s="55">
        <v>5.8</v>
      </c>
      <c r="G76" s="55">
        <v>8</v>
      </c>
      <c r="H76" s="55">
        <v>8</v>
      </c>
      <c r="I76" s="55">
        <v>124</v>
      </c>
      <c r="J76" s="58">
        <f t="shared" si="3"/>
        <v>40.944525588736475</v>
      </c>
      <c r="K76" s="58">
        <f>IFERROR(WHOLE_STRUCTURE[[#This Row],[Bottom '[m']]]-WHOLE_STRUCTURE[[#This Row],[D, top '[m']]], "")</f>
        <v>-2.2000000000000002</v>
      </c>
      <c r="L76" s="58">
        <f>IFERROR(-(WHOLE_STRUCTURE[[#This Row],[D, bottom '[m']]]-WHOLE_STRUCTURE[[#This Row],[D, top '[m']]])/(WHOLE_STRUCTURE[[#This Row],[Bottom '[m']]]-WHOLE_STRUCTURE[[#This Row],[Top '[m']]]),"")</f>
        <v>0</v>
      </c>
      <c r="M76" s="58">
        <f>IFERROR((WHOLE_STRUCTURE[[#This Row],[D, bottom '[m']]]+WHOLE_STRUCTURE[[#This Row],[D, top '[m']]])/(2*WHOLE_STRUCTURE[[#This Row],[t '[mm']]]/1000),"")</f>
        <v>64.516129032258064</v>
      </c>
    </row>
    <row r="77" spans="2:13" x14ac:dyDescent="0.3">
      <c r="B77" s="55">
        <v>72</v>
      </c>
      <c r="C77" s="55" t="s">
        <v>70</v>
      </c>
      <c r="D77" s="55">
        <v>1</v>
      </c>
      <c r="E77" s="55">
        <v>5.8</v>
      </c>
      <c r="F77" s="55">
        <v>2.6</v>
      </c>
      <c r="G77" s="55">
        <v>8</v>
      </c>
      <c r="H77" s="55">
        <v>8</v>
      </c>
      <c r="I77" s="55">
        <v>125</v>
      </c>
      <c r="J77" s="58">
        <f t="shared" si="3"/>
        <v>77.683732341641587</v>
      </c>
      <c r="K77" s="58">
        <f>IFERROR(WHOLE_STRUCTURE[[#This Row],[Bottom '[m']]]-WHOLE_STRUCTURE[[#This Row],[D, top '[m']]], "")</f>
        <v>-5.4</v>
      </c>
      <c r="L77" s="58">
        <f>IFERROR(-(WHOLE_STRUCTURE[[#This Row],[D, bottom '[m']]]-WHOLE_STRUCTURE[[#This Row],[D, top '[m']]])/(WHOLE_STRUCTURE[[#This Row],[Bottom '[m']]]-WHOLE_STRUCTURE[[#This Row],[Top '[m']]]),"")</f>
        <v>0</v>
      </c>
      <c r="M77" s="58">
        <f>IFERROR((WHOLE_STRUCTURE[[#This Row],[D, bottom '[m']]]+WHOLE_STRUCTURE[[#This Row],[D, top '[m']]])/(2*WHOLE_STRUCTURE[[#This Row],[t '[mm']]]/1000),"")</f>
        <v>64</v>
      </c>
    </row>
    <row r="78" spans="2:13" x14ac:dyDescent="0.3">
      <c r="B78" s="55">
        <v>73</v>
      </c>
      <c r="C78" s="55" t="s">
        <v>70</v>
      </c>
      <c r="D78" s="55">
        <v>2</v>
      </c>
      <c r="E78" s="55">
        <v>2.6</v>
      </c>
      <c r="F78" s="55">
        <v>-0.6</v>
      </c>
      <c r="G78" s="55">
        <v>8</v>
      </c>
      <c r="H78" s="55">
        <v>8</v>
      </c>
      <c r="I78" s="55">
        <v>116</v>
      </c>
      <c r="J78" s="58">
        <f t="shared" si="3"/>
        <v>72.17289276002974</v>
      </c>
      <c r="K78" s="58">
        <f>IFERROR(WHOLE_STRUCTURE[[#This Row],[Bottom '[m']]]-WHOLE_STRUCTURE[[#This Row],[D, top '[m']]], "")</f>
        <v>-8.6</v>
      </c>
      <c r="L78" s="58">
        <f>IFERROR(-(WHOLE_STRUCTURE[[#This Row],[D, bottom '[m']]]-WHOLE_STRUCTURE[[#This Row],[D, top '[m']]])/(WHOLE_STRUCTURE[[#This Row],[Bottom '[m']]]-WHOLE_STRUCTURE[[#This Row],[Top '[m']]]),"")</f>
        <v>0</v>
      </c>
      <c r="M78" s="58">
        <f>IFERROR((WHOLE_STRUCTURE[[#This Row],[D, bottom '[m']]]+WHOLE_STRUCTURE[[#This Row],[D, top '[m']]])/(2*WHOLE_STRUCTURE[[#This Row],[t '[mm']]]/1000),"")</f>
        <v>68.965517241379303</v>
      </c>
    </row>
    <row r="79" spans="2:13" x14ac:dyDescent="0.3">
      <c r="B79" s="55">
        <v>74</v>
      </c>
      <c r="C79" s="55" t="s">
        <v>70</v>
      </c>
      <c r="D79" s="55">
        <v>3</v>
      </c>
      <c r="E79" s="55">
        <v>-0.6</v>
      </c>
      <c r="F79" s="55">
        <v>-3.8</v>
      </c>
      <c r="G79" s="55">
        <v>8</v>
      </c>
      <c r="H79" s="55">
        <v>8</v>
      </c>
      <c r="I79" s="55">
        <v>125</v>
      </c>
      <c r="J79" s="58">
        <f t="shared" si="3"/>
        <v>77.683732341641587</v>
      </c>
      <c r="K79" s="58">
        <f>IFERROR(WHOLE_STRUCTURE[[#This Row],[Bottom '[m']]]-WHOLE_STRUCTURE[[#This Row],[D, top '[m']]], "")</f>
        <v>-11.8</v>
      </c>
      <c r="L79" s="58">
        <f>IFERROR(-(WHOLE_STRUCTURE[[#This Row],[D, bottom '[m']]]-WHOLE_STRUCTURE[[#This Row],[D, top '[m']]])/(WHOLE_STRUCTURE[[#This Row],[Bottom '[m']]]-WHOLE_STRUCTURE[[#This Row],[Top '[m']]]),"")</f>
        <v>0</v>
      </c>
      <c r="M79" s="58">
        <f>IFERROR((WHOLE_STRUCTURE[[#This Row],[D, bottom '[m']]]+WHOLE_STRUCTURE[[#This Row],[D, top '[m']]])/(2*WHOLE_STRUCTURE[[#This Row],[t '[mm']]]/1000),"")</f>
        <v>64</v>
      </c>
    </row>
    <row r="80" spans="2:13" x14ac:dyDescent="0.3">
      <c r="B80" s="55">
        <v>75</v>
      </c>
      <c r="C80" s="55" t="s">
        <v>70</v>
      </c>
      <c r="D80" s="55">
        <v>4</v>
      </c>
      <c r="E80" s="55">
        <v>-3.8</v>
      </c>
      <c r="F80" s="55">
        <v>-7.3</v>
      </c>
      <c r="G80" s="55">
        <v>8</v>
      </c>
      <c r="H80" s="55">
        <v>8.44</v>
      </c>
      <c r="I80" s="55">
        <v>125</v>
      </c>
      <c r="J80" s="58">
        <f t="shared" si="3"/>
        <v>87.340251847998317</v>
      </c>
      <c r="K80" s="58">
        <f>IFERROR(WHOLE_STRUCTURE[[#This Row],[Bottom '[m']]]-WHOLE_STRUCTURE[[#This Row],[D, top '[m']]], "")</f>
        <v>-15.3</v>
      </c>
      <c r="L80" s="58">
        <f>IFERROR(-(WHOLE_STRUCTURE[[#This Row],[D, bottom '[m']]]-WHOLE_STRUCTURE[[#This Row],[D, top '[m']]])/(WHOLE_STRUCTURE[[#This Row],[Bottom '[m']]]-WHOLE_STRUCTURE[[#This Row],[Top '[m']]]),"")</f>
        <v>0.12571428571428558</v>
      </c>
      <c r="M80" s="58">
        <f>IFERROR((WHOLE_STRUCTURE[[#This Row],[D, bottom '[m']]]+WHOLE_STRUCTURE[[#This Row],[D, top '[m']]])/(2*WHOLE_STRUCTURE[[#This Row],[t '[mm']]]/1000),"")</f>
        <v>65.759999999999991</v>
      </c>
    </row>
    <row r="81" spans="2:13" x14ac:dyDescent="0.3">
      <c r="B81" s="55">
        <v>76</v>
      </c>
      <c r="C81" s="55" t="s">
        <v>70</v>
      </c>
      <c r="D81" s="55">
        <v>5</v>
      </c>
      <c r="E81" s="55">
        <v>-7.3</v>
      </c>
      <c r="F81" s="55">
        <v>-10.8</v>
      </c>
      <c r="G81" s="55">
        <v>8.44</v>
      </c>
      <c r="H81" s="55">
        <v>8.8800000000000008</v>
      </c>
      <c r="I81" s="55">
        <v>106</v>
      </c>
      <c r="J81" s="58">
        <f t="shared" si="3"/>
        <v>78.26411613749147</v>
      </c>
      <c r="K81" s="58">
        <f>IFERROR(WHOLE_STRUCTURE[[#This Row],[Bottom '[m']]]-WHOLE_STRUCTURE[[#This Row],[D, top '[m']]], "")</f>
        <v>-19.240000000000002</v>
      </c>
      <c r="L81" s="58">
        <f>IFERROR(-(WHOLE_STRUCTURE[[#This Row],[D, bottom '[m']]]-WHOLE_STRUCTURE[[#This Row],[D, top '[m']]])/(WHOLE_STRUCTURE[[#This Row],[Bottom '[m']]]-WHOLE_STRUCTURE[[#This Row],[Top '[m']]]),"")</f>
        <v>0.12571428571428606</v>
      </c>
      <c r="M81" s="58">
        <f>IFERROR((WHOLE_STRUCTURE[[#This Row],[D, bottom '[m']]]+WHOLE_STRUCTURE[[#This Row],[D, top '[m']]])/(2*WHOLE_STRUCTURE[[#This Row],[t '[mm']]]/1000),"")</f>
        <v>81.698113207547181</v>
      </c>
    </row>
    <row r="82" spans="2:13" x14ac:dyDescent="0.3">
      <c r="B82" s="55">
        <v>77</v>
      </c>
      <c r="C82" s="55" t="s">
        <v>70</v>
      </c>
      <c r="D82" s="55">
        <v>6</v>
      </c>
      <c r="E82" s="55">
        <v>-10.8</v>
      </c>
      <c r="F82" s="55">
        <v>-14.3</v>
      </c>
      <c r="G82" s="55">
        <v>8.8800000000000008</v>
      </c>
      <c r="H82" s="55">
        <v>9.31</v>
      </c>
      <c r="I82" s="55">
        <v>116</v>
      </c>
      <c r="J82" s="58">
        <f t="shared" si="3"/>
        <v>89.902865547432455</v>
      </c>
      <c r="K82" s="58">
        <f>IFERROR(WHOLE_STRUCTURE[[#This Row],[Bottom '[m']]]-WHOLE_STRUCTURE[[#This Row],[D, top '[m']]], "")</f>
        <v>-23.18</v>
      </c>
      <c r="L82" s="58">
        <f>IFERROR(-(WHOLE_STRUCTURE[[#This Row],[D, bottom '[m']]]-WHOLE_STRUCTURE[[#This Row],[D, top '[m']]])/(WHOLE_STRUCTURE[[#This Row],[Bottom '[m']]]-WHOLE_STRUCTURE[[#This Row],[Top '[m']]]),"")</f>
        <v>0.12285714285714278</v>
      </c>
      <c r="M82" s="58">
        <f>IFERROR((WHOLE_STRUCTURE[[#This Row],[D, bottom '[m']]]+WHOLE_STRUCTURE[[#This Row],[D, top '[m']]])/(2*WHOLE_STRUCTURE[[#This Row],[t '[mm']]]/1000),"")</f>
        <v>78.40517241379311</v>
      </c>
    </row>
    <row r="83" spans="2:13" x14ac:dyDescent="0.3">
      <c r="B83" s="55">
        <v>78</v>
      </c>
      <c r="C83" s="55" t="s">
        <v>70</v>
      </c>
      <c r="D83" s="55">
        <v>7</v>
      </c>
      <c r="E83" s="55">
        <v>-14.3</v>
      </c>
      <c r="F83" s="55">
        <v>-17.8</v>
      </c>
      <c r="G83" s="55">
        <v>9.31</v>
      </c>
      <c r="H83" s="55">
        <v>9.75</v>
      </c>
      <c r="I83" s="55">
        <v>103</v>
      </c>
      <c r="J83" s="58">
        <f t="shared" si="3"/>
        <v>83.810475680910201</v>
      </c>
      <c r="K83" s="58">
        <f>IFERROR(WHOLE_STRUCTURE[[#This Row],[Bottom '[m']]]-WHOLE_STRUCTURE[[#This Row],[D, top '[m']]], "")</f>
        <v>-27.11</v>
      </c>
      <c r="L83" s="58">
        <f>IFERROR(-(WHOLE_STRUCTURE[[#This Row],[D, bottom '[m']]]-WHOLE_STRUCTURE[[#This Row],[D, top '[m']]])/(WHOLE_STRUCTURE[[#This Row],[Bottom '[m']]]-WHOLE_STRUCTURE[[#This Row],[Top '[m']]]),"")</f>
        <v>0.12571428571428558</v>
      </c>
      <c r="M83" s="58">
        <f>IFERROR((WHOLE_STRUCTURE[[#This Row],[D, bottom '[m']]]+WHOLE_STRUCTURE[[#This Row],[D, top '[m']]])/(2*WHOLE_STRUCTURE[[#This Row],[t '[mm']]]/1000),"")</f>
        <v>92.524271844660205</v>
      </c>
    </row>
    <row r="84" spans="2:13" x14ac:dyDescent="0.3">
      <c r="B84" s="55">
        <v>79</v>
      </c>
      <c r="C84" s="55" t="s">
        <v>70</v>
      </c>
      <c r="D84" s="55">
        <v>8</v>
      </c>
      <c r="E84" s="55">
        <v>-17.8</v>
      </c>
      <c r="F84" s="55">
        <v>-21.3</v>
      </c>
      <c r="G84" s="55">
        <v>9.75</v>
      </c>
      <c r="H84" s="55">
        <v>10.19</v>
      </c>
      <c r="I84" s="55">
        <v>98</v>
      </c>
      <c r="J84" s="58">
        <f t="shared" si="3"/>
        <v>83.506214395905459</v>
      </c>
      <c r="K84" s="58">
        <f>IFERROR(WHOLE_STRUCTURE[[#This Row],[Bottom '[m']]]-WHOLE_STRUCTURE[[#This Row],[D, top '[m']]], "")</f>
        <v>-31.05</v>
      </c>
      <c r="L84" s="58">
        <f>IFERROR(-(WHOLE_STRUCTURE[[#This Row],[D, bottom '[m']]]-WHOLE_STRUCTURE[[#This Row],[D, top '[m']]])/(WHOLE_STRUCTURE[[#This Row],[Bottom '[m']]]-WHOLE_STRUCTURE[[#This Row],[Top '[m']]]),"")</f>
        <v>0.12571428571428558</v>
      </c>
      <c r="M84" s="58">
        <f>IFERROR((WHOLE_STRUCTURE[[#This Row],[D, bottom '[m']]]+WHOLE_STRUCTURE[[#This Row],[D, top '[m']]])/(2*WHOLE_STRUCTURE[[#This Row],[t '[mm']]]/1000),"")</f>
        <v>101.73469387755101</v>
      </c>
    </row>
    <row r="85" spans="2:13" x14ac:dyDescent="0.3">
      <c r="B85" s="55">
        <v>80</v>
      </c>
      <c r="C85" s="55" t="s">
        <v>70</v>
      </c>
      <c r="D85" s="55">
        <v>9</v>
      </c>
      <c r="E85" s="55">
        <v>-21.3</v>
      </c>
      <c r="F85" s="55">
        <v>-24.8</v>
      </c>
      <c r="G85" s="55">
        <v>10.19</v>
      </c>
      <c r="H85" s="55">
        <v>10.63</v>
      </c>
      <c r="I85" s="55">
        <v>98</v>
      </c>
      <c r="J85" s="58">
        <f t="shared" si="3"/>
        <v>87.228128327651717</v>
      </c>
      <c r="K85" s="58">
        <f>IFERROR(WHOLE_STRUCTURE[[#This Row],[Bottom '[m']]]-WHOLE_STRUCTURE[[#This Row],[D, top '[m']]], "")</f>
        <v>-34.99</v>
      </c>
      <c r="L85" s="58">
        <f>IFERROR(-(WHOLE_STRUCTURE[[#This Row],[D, bottom '[m']]]-WHOLE_STRUCTURE[[#This Row],[D, top '[m']]])/(WHOLE_STRUCTURE[[#This Row],[Bottom '[m']]]-WHOLE_STRUCTURE[[#This Row],[Top '[m']]]),"")</f>
        <v>0.12571428571428608</v>
      </c>
      <c r="M85" s="58">
        <f>IFERROR((WHOLE_STRUCTURE[[#This Row],[D, bottom '[m']]]+WHOLE_STRUCTURE[[#This Row],[D, top '[m']]])/(2*WHOLE_STRUCTURE[[#This Row],[t '[mm']]]/1000),"")</f>
        <v>106.22448979591836</v>
      </c>
    </row>
    <row r="86" spans="2:13" x14ac:dyDescent="0.3">
      <c r="B86" s="55">
        <v>81</v>
      </c>
      <c r="C86" s="55" t="s">
        <v>70</v>
      </c>
      <c r="D86" s="55">
        <v>10</v>
      </c>
      <c r="E86" s="55">
        <v>-24.8</v>
      </c>
      <c r="F86" s="55">
        <v>-28.3</v>
      </c>
      <c r="G86" s="55">
        <v>10.63</v>
      </c>
      <c r="H86" s="55">
        <v>11.06</v>
      </c>
      <c r="I86" s="55">
        <v>98</v>
      </c>
      <c r="J86" s="58">
        <f t="shared" si="3"/>
        <v>90.907747782900842</v>
      </c>
      <c r="K86" s="58">
        <f>IFERROR(WHOLE_STRUCTURE[[#This Row],[Bottom '[m']]]-WHOLE_STRUCTURE[[#This Row],[D, top '[m']]], "")</f>
        <v>-38.93</v>
      </c>
      <c r="L86" s="58">
        <f>IFERROR(-(WHOLE_STRUCTURE[[#This Row],[D, bottom '[m']]]-WHOLE_STRUCTURE[[#This Row],[D, top '[m']]])/(WHOLE_STRUCTURE[[#This Row],[Bottom '[m']]]-WHOLE_STRUCTURE[[#This Row],[Top '[m']]]),"")</f>
        <v>0.12285714285714278</v>
      </c>
      <c r="M86" s="58">
        <f>IFERROR((WHOLE_STRUCTURE[[#This Row],[D, bottom '[m']]]+WHOLE_STRUCTURE[[#This Row],[D, top '[m']]])/(2*WHOLE_STRUCTURE[[#This Row],[t '[mm']]]/1000),"")</f>
        <v>110.66326530612245</v>
      </c>
    </row>
    <row r="87" spans="2:13" x14ac:dyDescent="0.3">
      <c r="B87" s="55">
        <v>82</v>
      </c>
      <c r="C87" s="55" t="s">
        <v>70</v>
      </c>
      <c r="D87" s="55">
        <v>11</v>
      </c>
      <c r="E87" s="55">
        <v>-28.3</v>
      </c>
      <c r="F87" s="55">
        <v>-31.8</v>
      </c>
      <c r="G87" s="55">
        <v>11.06</v>
      </c>
      <c r="H87" s="55">
        <v>11.5</v>
      </c>
      <c r="I87" s="55">
        <v>98</v>
      </c>
      <c r="J87" s="58">
        <f t="shared" si="3"/>
        <v>94.587367238149838</v>
      </c>
      <c r="K87" s="58">
        <f>IFERROR(WHOLE_STRUCTURE[[#This Row],[Bottom '[m']]]-WHOLE_STRUCTURE[[#This Row],[D, top '[m']]], "")</f>
        <v>-42.86</v>
      </c>
      <c r="L87" s="58">
        <f>IFERROR(-(WHOLE_STRUCTURE[[#This Row],[D, bottom '[m']]]-WHOLE_STRUCTURE[[#This Row],[D, top '[m']]])/(WHOLE_STRUCTURE[[#This Row],[Bottom '[m']]]-WHOLE_STRUCTURE[[#This Row],[Top '[m']]]),"")</f>
        <v>0.12571428571428558</v>
      </c>
      <c r="M87" s="58">
        <f>IFERROR((WHOLE_STRUCTURE[[#This Row],[D, bottom '[m']]]+WHOLE_STRUCTURE[[#This Row],[D, top '[m']]])/(2*WHOLE_STRUCTURE[[#This Row],[t '[mm']]]/1000),"")</f>
        <v>115.10204081632654</v>
      </c>
    </row>
    <row r="88" spans="2:13" x14ac:dyDescent="0.3">
      <c r="B88" s="55">
        <v>83</v>
      </c>
      <c r="C88" s="55" t="s">
        <v>70</v>
      </c>
      <c r="D88" s="55">
        <v>12</v>
      </c>
      <c r="E88" s="55">
        <v>-31.8</v>
      </c>
      <c r="F88" s="55">
        <v>-35.299999999999997</v>
      </c>
      <c r="G88" s="55">
        <v>11.5</v>
      </c>
      <c r="H88" s="55">
        <v>11.5</v>
      </c>
      <c r="I88" s="55">
        <v>98</v>
      </c>
      <c r="J88" s="58">
        <f t="shared" si="3"/>
        <v>96.448324204023137</v>
      </c>
      <c r="K88" s="58">
        <f>IFERROR(WHOLE_STRUCTURE[[#This Row],[Bottom '[m']]]-WHOLE_STRUCTURE[[#This Row],[D, top '[m']]], "")</f>
        <v>-46.8</v>
      </c>
      <c r="L88" s="58">
        <f>IFERROR(-(WHOLE_STRUCTURE[[#This Row],[D, bottom '[m']]]-WHOLE_STRUCTURE[[#This Row],[D, top '[m']]])/(WHOLE_STRUCTURE[[#This Row],[Bottom '[m']]]-WHOLE_STRUCTURE[[#This Row],[Top '[m']]]),"")</f>
        <v>0</v>
      </c>
      <c r="M88" s="58">
        <f>IFERROR((WHOLE_STRUCTURE[[#This Row],[D, bottom '[m']]]+WHOLE_STRUCTURE[[#This Row],[D, top '[m']]])/(2*WHOLE_STRUCTURE[[#This Row],[t '[mm']]]/1000),"")</f>
        <v>117.3469387755102</v>
      </c>
    </row>
    <row r="89" spans="2:13" x14ac:dyDescent="0.3">
      <c r="B89" s="55">
        <v>84</v>
      </c>
      <c r="C89" s="55" t="s">
        <v>70</v>
      </c>
      <c r="D89" s="55">
        <v>13</v>
      </c>
      <c r="E89" s="55">
        <v>-35.299999999999997</v>
      </c>
      <c r="F89" s="55">
        <v>-38.6</v>
      </c>
      <c r="G89" s="55">
        <v>11.5</v>
      </c>
      <c r="H89" s="55">
        <v>11.5</v>
      </c>
      <c r="I89" s="55">
        <v>100</v>
      </c>
      <c r="J89" s="58">
        <f t="shared" si="3"/>
        <v>92.776571768017746</v>
      </c>
      <c r="K89" s="58">
        <f>IFERROR(WHOLE_STRUCTURE[[#This Row],[Bottom '[m']]]-WHOLE_STRUCTURE[[#This Row],[D, top '[m']]], "")</f>
        <v>-50.1</v>
      </c>
      <c r="L89" s="58">
        <f>IFERROR(-(WHOLE_STRUCTURE[[#This Row],[D, bottom '[m']]]-WHOLE_STRUCTURE[[#This Row],[D, top '[m']]])/(WHOLE_STRUCTURE[[#This Row],[Bottom '[m']]]-WHOLE_STRUCTURE[[#This Row],[Top '[m']]]),"")</f>
        <v>0</v>
      </c>
      <c r="M89" s="58">
        <f>IFERROR((WHOLE_STRUCTURE[[#This Row],[D, bottom '[m']]]+WHOLE_STRUCTURE[[#This Row],[D, top '[m']]])/(2*WHOLE_STRUCTURE[[#This Row],[t '[mm']]]/1000),"")</f>
        <v>115</v>
      </c>
    </row>
    <row r="90" spans="2:13" x14ac:dyDescent="0.3">
      <c r="B90" s="55">
        <v>85</v>
      </c>
      <c r="C90" s="55" t="s">
        <v>70</v>
      </c>
      <c r="D90" s="55">
        <v>14</v>
      </c>
      <c r="E90" s="55">
        <v>-38.6</v>
      </c>
      <c r="F90" s="55">
        <v>-41.9</v>
      </c>
      <c r="G90" s="55">
        <v>11.5</v>
      </c>
      <c r="H90" s="55">
        <v>11.5</v>
      </c>
      <c r="I90" s="55">
        <v>98</v>
      </c>
      <c r="J90" s="58">
        <f t="shared" si="3"/>
        <v>90.936991392364675</v>
      </c>
      <c r="K90" s="58">
        <f>IFERROR(WHOLE_STRUCTURE[[#This Row],[Bottom '[m']]]-WHOLE_STRUCTURE[[#This Row],[D, top '[m']]], "")</f>
        <v>-53.4</v>
      </c>
      <c r="L90" s="58">
        <f>IFERROR(-(WHOLE_STRUCTURE[[#This Row],[D, bottom '[m']]]-WHOLE_STRUCTURE[[#This Row],[D, top '[m']]])/(WHOLE_STRUCTURE[[#This Row],[Bottom '[m']]]-WHOLE_STRUCTURE[[#This Row],[Top '[m']]]),"")</f>
        <v>0</v>
      </c>
      <c r="M90" s="58">
        <f>IFERROR((WHOLE_STRUCTURE[[#This Row],[D, bottom '[m']]]+WHOLE_STRUCTURE[[#This Row],[D, top '[m']]])/(2*WHOLE_STRUCTURE[[#This Row],[t '[mm']]]/1000),"")</f>
        <v>117.3469387755102</v>
      </c>
    </row>
    <row r="91" spans="2:13" x14ac:dyDescent="0.3">
      <c r="B91" s="55">
        <v>86</v>
      </c>
      <c r="C91" s="55" t="s">
        <v>70</v>
      </c>
      <c r="D91" s="55">
        <v>15</v>
      </c>
      <c r="E91" s="55">
        <v>-41.9</v>
      </c>
      <c r="F91" s="55">
        <v>-45.2</v>
      </c>
      <c r="G91" s="55">
        <v>11.5</v>
      </c>
      <c r="H91" s="55">
        <v>11.5</v>
      </c>
      <c r="I91" s="55">
        <v>95</v>
      </c>
      <c r="J91" s="58">
        <f t="shared" si="3"/>
        <v>88.17640008451977</v>
      </c>
      <c r="K91" s="58">
        <f>IFERROR(WHOLE_STRUCTURE[[#This Row],[Bottom '[m']]]-WHOLE_STRUCTURE[[#This Row],[D, top '[m']]], "")</f>
        <v>-56.7</v>
      </c>
      <c r="L91" s="58">
        <f>IFERROR(-(WHOLE_STRUCTURE[[#This Row],[D, bottom '[m']]]-WHOLE_STRUCTURE[[#This Row],[D, top '[m']]])/(WHOLE_STRUCTURE[[#This Row],[Bottom '[m']]]-WHOLE_STRUCTURE[[#This Row],[Top '[m']]]),"")</f>
        <v>0</v>
      </c>
      <c r="M91" s="58">
        <f>IFERROR((WHOLE_STRUCTURE[[#This Row],[D, bottom '[m']]]+WHOLE_STRUCTURE[[#This Row],[D, top '[m']]])/(2*WHOLE_STRUCTURE[[#This Row],[t '[mm']]]/1000),"")</f>
        <v>121.05263157894737</v>
      </c>
    </row>
    <row r="92" spans="2:13" x14ac:dyDescent="0.3">
      <c r="B92" s="55">
        <v>87</v>
      </c>
      <c r="C92" s="55" t="s">
        <v>70</v>
      </c>
      <c r="D92" s="55">
        <v>16</v>
      </c>
      <c r="E92" s="55">
        <v>-45.2</v>
      </c>
      <c r="F92" s="55">
        <v>-48.5</v>
      </c>
      <c r="G92" s="55">
        <v>11.5</v>
      </c>
      <c r="H92" s="55">
        <v>11.5</v>
      </c>
      <c r="I92" s="55">
        <v>95</v>
      </c>
      <c r="J92" s="58">
        <f t="shared" si="3"/>
        <v>88.176400084519571</v>
      </c>
      <c r="K92" s="58">
        <f>IFERROR(WHOLE_STRUCTURE[[#This Row],[Bottom '[m']]]-WHOLE_STRUCTURE[[#This Row],[D, top '[m']]], "")</f>
        <v>-60</v>
      </c>
      <c r="L92" s="58">
        <f>IFERROR(-(WHOLE_STRUCTURE[[#This Row],[D, bottom '[m']]]-WHOLE_STRUCTURE[[#This Row],[D, top '[m']]])/(WHOLE_STRUCTURE[[#This Row],[Bottom '[m']]]-WHOLE_STRUCTURE[[#This Row],[Top '[m']]]),"")</f>
        <v>0</v>
      </c>
      <c r="M92" s="58">
        <f>IFERROR((WHOLE_STRUCTURE[[#This Row],[D, bottom '[m']]]+WHOLE_STRUCTURE[[#This Row],[D, top '[m']]])/(2*WHOLE_STRUCTURE[[#This Row],[t '[mm']]]/1000),"")</f>
        <v>121.05263157894737</v>
      </c>
    </row>
    <row r="93" spans="2:13" x14ac:dyDescent="0.3">
      <c r="B93" s="55">
        <v>88</v>
      </c>
      <c r="C93" s="55" t="s">
        <v>70</v>
      </c>
      <c r="D93" s="55">
        <v>17</v>
      </c>
      <c r="E93" s="55">
        <v>-48.5</v>
      </c>
      <c r="F93" s="55">
        <v>-51.7</v>
      </c>
      <c r="G93" s="55">
        <v>11.5</v>
      </c>
      <c r="H93" s="55">
        <v>11.5</v>
      </c>
      <c r="I93" s="55">
        <v>95</v>
      </c>
      <c r="J93" s="58">
        <f t="shared" si="3"/>
        <v>85.504387960746399</v>
      </c>
      <c r="K93" s="58">
        <f>IFERROR(WHOLE_STRUCTURE[[#This Row],[Bottom '[m']]]-WHOLE_STRUCTURE[[#This Row],[D, top '[m']]], "")</f>
        <v>-63.2</v>
      </c>
      <c r="L93" s="58">
        <f>IFERROR(-(WHOLE_STRUCTURE[[#This Row],[D, bottom '[m']]]-WHOLE_STRUCTURE[[#This Row],[D, top '[m']]])/(WHOLE_STRUCTURE[[#This Row],[Bottom '[m']]]-WHOLE_STRUCTURE[[#This Row],[Top '[m']]]),"")</f>
        <v>0</v>
      </c>
      <c r="M93" s="58">
        <f>IFERROR((WHOLE_STRUCTURE[[#This Row],[D, bottom '[m']]]+WHOLE_STRUCTURE[[#This Row],[D, top '[m']]])/(2*WHOLE_STRUCTURE[[#This Row],[t '[mm']]]/1000),"")</f>
        <v>121.05263157894737</v>
      </c>
    </row>
    <row r="94" spans="2:13" x14ac:dyDescent="0.3">
      <c r="B94" s="55">
        <v>89</v>
      </c>
      <c r="C94" s="55" t="s">
        <v>70</v>
      </c>
      <c r="D94" s="55">
        <v>18</v>
      </c>
      <c r="E94" s="55">
        <v>-51.7</v>
      </c>
      <c r="F94" s="55">
        <v>-55.3</v>
      </c>
      <c r="G94" s="55">
        <v>11.5</v>
      </c>
      <c r="H94" s="55">
        <v>11.5</v>
      </c>
      <c r="I94" s="55">
        <v>93</v>
      </c>
      <c r="J94" s="58">
        <f t="shared" si="3"/>
        <v>94.183845872414466</v>
      </c>
      <c r="K94" s="58">
        <f>IFERROR(WHOLE_STRUCTURE[[#This Row],[Bottom '[m']]]-WHOLE_STRUCTURE[[#This Row],[D, top '[m']]], "")</f>
        <v>-66.8</v>
      </c>
      <c r="L94" s="58">
        <f>IFERROR(-(WHOLE_STRUCTURE[[#This Row],[D, bottom '[m']]]-WHOLE_STRUCTURE[[#This Row],[D, top '[m']]])/(WHOLE_STRUCTURE[[#This Row],[Bottom '[m']]]-WHOLE_STRUCTURE[[#This Row],[Top '[m']]]),"")</f>
        <v>0</v>
      </c>
      <c r="M94" s="58">
        <f>IFERROR((WHOLE_STRUCTURE[[#This Row],[D, bottom '[m']]]+WHOLE_STRUCTURE[[#This Row],[D, top '[m']]])/(2*WHOLE_STRUCTURE[[#This Row],[t '[mm']]]/1000),"")</f>
        <v>123.65591397849462</v>
      </c>
    </row>
    <row r="95" spans="2:13" x14ac:dyDescent="0.3">
      <c r="B95" s="55">
        <v>90</v>
      </c>
      <c r="C95" s="55" t="s">
        <v>70</v>
      </c>
      <c r="D95" s="55">
        <v>19</v>
      </c>
      <c r="E95" s="55">
        <v>-55.3</v>
      </c>
      <c r="F95" s="55">
        <v>-59.3</v>
      </c>
      <c r="G95" s="55">
        <v>11.5</v>
      </c>
      <c r="H95" s="55">
        <v>11.5</v>
      </c>
      <c r="I95" s="55">
        <v>93</v>
      </c>
      <c r="J95" s="58">
        <f t="shared" si="3"/>
        <v>104.64871763601624</v>
      </c>
      <c r="K95" s="58">
        <f>IFERROR(WHOLE_STRUCTURE[[#This Row],[Bottom '[m']]]-WHOLE_STRUCTURE[[#This Row],[D, top '[m']]], "")</f>
        <v>-70.8</v>
      </c>
      <c r="L95" s="58">
        <f>IFERROR(-(WHOLE_STRUCTURE[[#This Row],[D, bottom '[m']]]-WHOLE_STRUCTURE[[#This Row],[D, top '[m']]])/(WHOLE_STRUCTURE[[#This Row],[Bottom '[m']]]-WHOLE_STRUCTURE[[#This Row],[Top '[m']]]),"")</f>
        <v>0</v>
      </c>
      <c r="M95" s="58">
        <f>IFERROR((WHOLE_STRUCTURE[[#This Row],[D, bottom '[m']]]+WHOLE_STRUCTURE[[#This Row],[D, top '[m']]])/(2*WHOLE_STRUCTURE[[#This Row],[t '[mm']]]/1000),"")</f>
        <v>123.65591397849462</v>
      </c>
    </row>
    <row r="96" spans="2:13" x14ac:dyDescent="0.3">
      <c r="B96" s="55">
        <v>91</v>
      </c>
      <c r="C96" s="55" t="s">
        <v>70</v>
      </c>
      <c r="D96" s="55">
        <v>20</v>
      </c>
      <c r="E96" s="55">
        <v>-59.3</v>
      </c>
      <c r="F96" s="55">
        <v>-63.3</v>
      </c>
      <c r="G96" s="55">
        <v>11.5</v>
      </c>
      <c r="H96" s="55">
        <v>11.5</v>
      </c>
      <c r="I96" s="55">
        <v>93</v>
      </c>
      <c r="J96" s="58">
        <f t="shared" si="3"/>
        <v>104.64871763601624</v>
      </c>
      <c r="K96" s="58">
        <f>IFERROR(WHOLE_STRUCTURE[[#This Row],[Bottom '[m']]]-WHOLE_STRUCTURE[[#This Row],[D, top '[m']]], "")</f>
        <v>-74.8</v>
      </c>
      <c r="L96" s="58">
        <f>IFERROR(-(WHOLE_STRUCTURE[[#This Row],[D, bottom '[m']]]-WHOLE_STRUCTURE[[#This Row],[D, top '[m']]])/(WHOLE_STRUCTURE[[#This Row],[Bottom '[m']]]-WHOLE_STRUCTURE[[#This Row],[Top '[m']]]),"")</f>
        <v>0</v>
      </c>
      <c r="M96" s="58">
        <f>IFERROR((WHOLE_STRUCTURE[[#This Row],[D, bottom '[m']]]+WHOLE_STRUCTURE[[#This Row],[D, top '[m']]])/(2*WHOLE_STRUCTURE[[#This Row],[t '[mm']]]/1000),"")</f>
        <v>123.65591397849462</v>
      </c>
    </row>
    <row r="97" spans="2:13" x14ac:dyDescent="0.3">
      <c r="B97" s="55">
        <v>92</v>
      </c>
      <c r="C97" s="55" t="s">
        <v>70</v>
      </c>
      <c r="D97" s="55">
        <v>21</v>
      </c>
      <c r="E97" s="55">
        <v>-63.3</v>
      </c>
      <c r="F97" s="55">
        <v>-67.3</v>
      </c>
      <c r="G97" s="55">
        <v>11.5</v>
      </c>
      <c r="H97" s="55">
        <v>11.5</v>
      </c>
      <c r="I97" s="55">
        <v>93</v>
      </c>
      <c r="J97" s="58">
        <f t="shared" si="3"/>
        <v>104.64871763601624</v>
      </c>
      <c r="K97" s="58">
        <f>IFERROR(WHOLE_STRUCTURE[[#This Row],[Bottom '[m']]]-WHOLE_STRUCTURE[[#This Row],[D, top '[m']]], "")</f>
        <v>-78.8</v>
      </c>
      <c r="L97" s="58">
        <f>IFERROR(-(WHOLE_STRUCTURE[[#This Row],[D, bottom '[m']]]-WHOLE_STRUCTURE[[#This Row],[D, top '[m']]])/(WHOLE_STRUCTURE[[#This Row],[Bottom '[m']]]-WHOLE_STRUCTURE[[#This Row],[Top '[m']]]),"")</f>
        <v>0</v>
      </c>
      <c r="M97" s="58">
        <f>IFERROR((WHOLE_STRUCTURE[[#This Row],[D, bottom '[m']]]+WHOLE_STRUCTURE[[#This Row],[D, top '[m']]])/(2*WHOLE_STRUCTURE[[#This Row],[t '[mm']]]/1000),"")</f>
        <v>123.65591397849462</v>
      </c>
    </row>
    <row r="98" spans="2:13" x14ac:dyDescent="0.3">
      <c r="B98" s="55">
        <v>93</v>
      </c>
      <c r="C98" s="55" t="s">
        <v>70</v>
      </c>
      <c r="D98" s="55">
        <v>22</v>
      </c>
      <c r="E98" s="55">
        <v>-67.3</v>
      </c>
      <c r="F98" s="55">
        <v>-71</v>
      </c>
      <c r="G98" s="55">
        <v>11.5</v>
      </c>
      <c r="H98" s="55">
        <v>11.5</v>
      </c>
      <c r="I98" s="55">
        <v>96</v>
      </c>
      <c r="J98" s="58">
        <f t="shared" si="3"/>
        <v>99.896367220087171</v>
      </c>
      <c r="K98" s="58">
        <f>IFERROR(WHOLE_STRUCTURE[[#This Row],[Bottom '[m']]]-WHOLE_STRUCTURE[[#This Row],[D, top '[m']]], "")</f>
        <v>-82.5</v>
      </c>
      <c r="L98" s="58">
        <f>IFERROR(-(WHOLE_STRUCTURE[[#This Row],[D, bottom '[m']]]-WHOLE_STRUCTURE[[#This Row],[D, top '[m']]])/(WHOLE_STRUCTURE[[#This Row],[Bottom '[m']]]-WHOLE_STRUCTURE[[#This Row],[Top '[m']]]),"")</f>
        <v>0</v>
      </c>
      <c r="M98" s="58">
        <f>IFERROR((WHOLE_STRUCTURE[[#This Row],[D, bottom '[m']]]+WHOLE_STRUCTURE[[#This Row],[D, top '[m']]])/(2*WHOLE_STRUCTURE[[#This Row],[t '[mm']]]/1000),"")</f>
        <v>119.79166666666666</v>
      </c>
    </row>
    <row r="99" spans="2:13" x14ac:dyDescent="0.3">
      <c r="B99" s="55">
        <v>94</v>
      </c>
      <c r="C99" s="55" t="s">
        <v>70</v>
      </c>
      <c r="D99" s="55">
        <v>23</v>
      </c>
      <c r="E99" s="55">
        <v>-71</v>
      </c>
      <c r="F99" s="55">
        <v>-74.3</v>
      </c>
      <c r="G99" s="55">
        <v>11.5</v>
      </c>
      <c r="H99" s="55">
        <v>11.5</v>
      </c>
      <c r="I99" s="55">
        <v>100</v>
      </c>
      <c r="J99" s="58">
        <f t="shared" si="3"/>
        <v>92.776571768017547</v>
      </c>
      <c r="K99" s="58">
        <f>IFERROR(WHOLE_STRUCTURE[[#This Row],[Bottom '[m']]]-WHOLE_STRUCTURE[[#This Row],[D, top '[m']]], "")</f>
        <v>-85.8</v>
      </c>
      <c r="L99" s="58">
        <f>IFERROR(-(WHOLE_STRUCTURE[[#This Row],[D, bottom '[m']]]-WHOLE_STRUCTURE[[#This Row],[D, top '[m']]])/(WHOLE_STRUCTURE[[#This Row],[Bottom '[m']]]-WHOLE_STRUCTURE[[#This Row],[Top '[m']]]),"")</f>
        <v>0</v>
      </c>
      <c r="M99" s="58">
        <f>IFERROR((WHOLE_STRUCTURE[[#This Row],[D, bottom '[m']]]+WHOLE_STRUCTURE[[#This Row],[D, top '[m']]])/(2*WHOLE_STRUCTURE[[#This Row],[t '[mm']]]/1000),"")</f>
        <v>115</v>
      </c>
    </row>
    <row r="100" spans="2:13" x14ac:dyDescent="0.3">
      <c r="B100" s="55">
        <v>95</v>
      </c>
      <c r="C100" s="55" t="s">
        <v>70</v>
      </c>
      <c r="D100" s="55">
        <v>24</v>
      </c>
      <c r="E100" s="55">
        <v>-74.3</v>
      </c>
      <c r="F100" s="55">
        <v>-77.430000000000007</v>
      </c>
      <c r="G100" s="55">
        <v>11.5</v>
      </c>
      <c r="H100" s="55">
        <v>11.5</v>
      </c>
      <c r="I100" s="55">
        <v>110</v>
      </c>
      <c r="J100" s="58">
        <f t="shared" si="3"/>
        <v>96.71198032544136</v>
      </c>
      <c r="K100" s="58">
        <f>IFERROR(WHOLE_STRUCTURE[[#This Row],[Bottom '[m']]]-WHOLE_STRUCTURE[[#This Row],[D, top '[m']]], "")</f>
        <v>-88.93</v>
      </c>
      <c r="L100" s="58">
        <f>IFERROR(-(WHOLE_STRUCTURE[[#This Row],[D, bottom '[m']]]-WHOLE_STRUCTURE[[#This Row],[D, top '[m']]])/(WHOLE_STRUCTURE[[#This Row],[Bottom '[m']]]-WHOLE_STRUCTURE[[#This Row],[Top '[m']]]),"")</f>
        <v>0</v>
      </c>
      <c r="M100" s="58">
        <f>IFERROR((WHOLE_STRUCTURE[[#This Row],[D, bottom '[m']]]+WHOLE_STRUCTURE[[#This Row],[D, top '[m']]])/(2*WHOLE_STRUCTURE[[#This Row],[t '[mm']]]/1000),"")</f>
        <v>104.54545454545455</v>
      </c>
    </row>
    <row r="101" spans="2:13" x14ac:dyDescent="0.3">
      <c r="B101" s="55">
        <v>96</v>
      </c>
      <c r="C101" s="55" t="s">
        <v>70</v>
      </c>
      <c r="D101" s="55">
        <v>25</v>
      </c>
      <c r="E101" s="55">
        <v>-77.430000000000007</v>
      </c>
      <c r="F101" s="55">
        <v>-80.430000000000007</v>
      </c>
      <c r="G101" s="55">
        <v>11.5</v>
      </c>
      <c r="H101" s="55">
        <v>11.5</v>
      </c>
      <c r="I101" s="55">
        <v>122</v>
      </c>
      <c r="J101" s="58">
        <f t="shared" si="3"/>
        <v>102.6990779077619</v>
      </c>
      <c r="K101" s="58">
        <f>IFERROR(WHOLE_STRUCTURE[[#This Row],[Bottom '[m']]]-WHOLE_STRUCTURE[[#This Row],[D, top '[m']]], "")</f>
        <v>-91.93</v>
      </c>
      <c r="L101" s="58">
        <f>IFERROR(-(WHOLE_STRUCTURE[[#This Row],[D, bottom '[m']]]-WHOLE_STRUCTURE[[#This Row],[D, top '[m']]])/(WHOLE_STRUCTURE[[#This Row],[Bottom '[m']]]-WHOLE_STRUCTURE[[#This Row],[Top '[m']]]),"")</f>
        <v>0</v>
      </c>
      <c r="M101" s="58">
        <f>IFERROR((WHOLE_STRUCTURE[[#This Row],[D, bottom '[m']]]+WHOLE_STRUCTURE[[#This Row],[D, top '[m']]])/(2*WHOLE_STRUCTURE[[#This Row],[t '[mm']]]/1000),"")</f>
        <v>94.26229508196721</v>
      </c>
    </row>
    <row r="102" spans="2:13" x14ac:dyDescent="0.3">
      <c r="J102" s="58" t="str">
        <f t="shared" si="3"/>
        <v/>
      </c>
      <c r="K102" s="58" t="str">
        <f>IFERROR(WHOLE_STRUCTURE[[#This Row],[Bottom '[m']]]-WHOLE_STRUCTURE[[#This Row],[D, top '[m']]], "")</f>
        <v/>
      </c>
      <c r="L102" s="58" t="str">
        <f>IFERROR(-(WHOLE_STRUCTURE[[#This Row],[D, bottom '[m']]]-WHOLE_STRUCTURE[[#This Row],[D, top '[m']]])/(WHOLE_STRUCTURE[[#This Row],[Bottom '[m']]]-WHOLE_STRUCTURE[[#This Row],[Top '[m']]]),"")</f>
        <v/>
      </c>
      <c r="M102" s="58" t="str">
        <f>IFERROR((WHOLE_STRUCTURE[[#This Row],[D, bottom '[m']]]+WHOLE_STRUCTURE[[#This Row],[D, top '[m']]])/(2*WHOLE_STRUCTURE[[#This Row],[t '[mm']]]/1000),"")</f>
        <v/>
      </c>
    </row>
    <row r="103" spans="2:13" x14ac:dyDescent="0.3">
      <c r="J103" s="58" t="str">
        <f t="shared" si="3"/>
        <v/>
      </c>
      <c r="K103" s="58" t="str">
        <f>IFERROR(WHOLE_STRUCTURE[[#This Row],[Bottom '[m']]]-WHOLE_STRUCTURE[[#This Row],[D, top '[m']]], "")</f>
        <v/>
      </c>
      <c r="L103" s="58" t="str">
        <f>IFERROR(-(WHOLE_STRUCTURE[[#This Row],[D, bottom '[m']]]-WHOLE_STRUCTURE[[#This Row],[D, top '[m']]])/(WHOLE_STRUCTURE[[#This Row],[Bottom '[m']]]-WHOLE_STRUCTURE[[#This Row],[Top '[m']]]),"")</f>
        <v/>
      </c>
      <c r="M103" s="58" t="str">
        <f>IFERROR((WHOLE_STRUCTURE[[#This Row],[D, bottom '[m']]]+WHOLE_STRUCTURE[[#This Row],[D, top '[m']]])/(2*WHOLE_STRUCTURE[[#This Row],[t '[mm']]]/1000),"")</f>
        <v/>
      </c>
    </row>
    <row r="104" spans="2:13" x14ac:dyDescent="0.3">
      <c r="J104" s="58" t="str">
        <f t="shared" si="3"/>
        <v/>
      </c>
      <c r="K104" s="58" t="str">
        <f>IFERROR(WHOLE_STRUCTURE[[#This Row],[Bottom '[m']]]-WHOLE_STRUCTURE[[#This Row],[D, top '[m']]], "")</f>
        <v/>
      </c>
      <c r="L104" s="58" t="str">
        <f>IFERROR(-(WHOLE_STRUCTURE[[#This Row],[D, bottom '[m']]]-WHOLE_STRUCTURE[[#This Row],[D, top '[m']]])/(WHOLE_STRUCTURE[[#This Row],[Bottom '[m']]]-WHOLE_STRUCTURE[[#This Row],[Top '[m']]]),"")</f>
        <v/>
      </c>
      <c r="M104" s="58" t="str">
        <f>IFERROR((WHOLE_STRUCTURE[[#This Row],[D, bottom '[m']]]+WHOLE_STRUCTURE[[#This Row],[D, top '[m']]])/(2*WHOLE_STRUCTURE[[#This Row],[t '[mm']]]/1000),"")</f>
        <v/>
      </c>
    </row>
    <row r="105" spans="2:13" x14ac:dyDescent="0.3">
      <c r="J105" s="58" t="str">
        <f t="shared" si="3"/>
        <v/>
      </c>
      <c r="K105" s="58" t="str">
        <f>IFERROR(WHOLE_STRUCTURE[[#This Row],[Bottom '[m']]]-WHOLE_STRUCTURE[[#This Row],[D, top '[m']]], "")</f>
        <v/>
      </c>
      <c r="L105" s="58" t="str">
        <f>IFERROR(-(WHOLE_STRUCTURE[[#This Row],[D, bottom '[m']]]-WHOLE_STRUCTURE[[#This Row],[D, top '[m']]])/(WHOLE_STRUCTURE[[#This Row],[Bottom '[m']]]-WHOLE_STRUCTURE[[#This Row],[Top '[m']]]),"")</f>
        <v/>
      </c>
      <c r="M105" s="58" t="str">
        <f>IFERROR((WHOLE_STRUCTURE[[#This Row],[D, bottom '[m']]]+WHOLE_STRUCTURE[[#This Row],[D, top '[m']]])/(2*WHOLE_STRUCTURE[[#This Row],[t '[mm']]]/1000),"")</f>
        <v/>
      </c>
    </row>
    <row r="106" spans="2:13" x14ac:dyDescent="0.3">
      <c r="J106" s="58" t="str">
        <f t="shared" si="3"/>
        <v/>
      </c>
      <c r="K106" s="58" t="str">
        <f>IFERROR(WHOLE_STRUCTURE[[#This Row],[Bottom '[m']]]-WHOLE_STRUCTURE[[#This Row],[D, top '[m']]], "")</f>
        <v/>
      </c>
      <c r="L106" s="58" t="str">
        <f>IFERROR(-(WHOLE_STRUCTURE[[#This Row],[D, bottom '[m']]]-WHOLE_STRUCTURE[[#This Row],[D, top '[m']]])/(WHOLE_STRUCTURE[[#This Row],[Bottom '[m']]]-WHOLE_STRUCTURE[[#This Row],[Top '[m']]]),"")</f>
        <v/>
      </c>
      <c r="M106" s="58" t="str">
        <f>IFERROR((WHOLE_STRUCTURE[[#This Row],[D, bottom '[m']]]+WHOLE_STRUCTURE[[#This Row],[D, top '[m']]])/(2*WHOLE_STRUCTURE[[#This Row],[t '[mm']]]/1000),"")</f>
        <v/>
      </c>
    </row>
    <row r="107" spans="2:13" x14ac:dyDescent="0.3">
      <c r="J107" s="58" t="str">
        <f t="shared" si="3"/>
        <v/>
      </c>
      <c r="K107" s="58" t="str">
        <f>IFERROR(WHOLE_STRUCTURE[[#This Row],[Bottom '[m']]]-WHOLE_STRUCTURE[[#This Row],[D, top '[m']]], "")</f>
        <v/>
      </c>
      <c r="L107" s="58" t="str">
        <f>IFERROR(-(WHOLE_STRUCTURE[[#This Row],[D, bottom '[m']]]-WHOLE_STRUCTURE[[#This Row],[D, top '[m']]])/(WHOLE_STRUCTURE[[#This Row],[Bottom '[m']]]-WHOLE_STRUCTURE[[#This Row],[Top '[m']]]),"")</f>
        <v/>
      </c>
      <c r="M107" s="58" t="str">
        <f>IFERROR((WHOLE_STRUCTURE[[#This Row],[D, bottom '[m']]]+WHOLE_STRUCTURE[[#This Row],[D, top '[m']]])/(2*WHOLE_STRUCTURE[[#This Row],[t '[mm']]]/1000),"")</f>
        <v/>
      </c>
    </row>
    <row r="108" spans="2:13" x14ac:dyDescent="0.3">
      <c r="J108" s="58" t="str">
        <f t="shared" si="3"/>
        <v/>
      </c>
      <c r="K108" s="58" t="str">
        <f>IFERROR(WHOLE_STRUCTURE[[#This Row],[Bottom '[m']]]-WHOLE_STRUCTURE[[#This Row],[D, top '[m']]], "")</f>
        <v/>
      </c>
      <c r="L108" s="58" t="str">
        <f>IFERROR(-(WHOLE_STRUCTURE[[#This Row],[D, bottom '[m']]]-WHOLE_STRUCTURE[[#This Row],[D, top '[m']]])/(WHOLE_STRUCTURE[[#This Row],[Bottom '[m']]]-WHOLE_STRUCTURE[[#This Row],[Top '[m']]]),"")</f>
        <v/>
      </c>
      <c r="M108" s="58" t="str">
        <f>IFERROR((WHOLE_STRUCTURE[[#This Row],[D, bottom '[m']]]+WHOLE_STRUCTURE[[#This Row],[D, top '[m']]])/(2*WHOLE_STRUCTURE[[#This Row],[t '[mm']]]/1000),"")</f>
        <v/>
      </c>
    </row>
    <row r="109" spans="2:13" x14ac:dyDescent="0.3">
      <c r="J109" s="58" t="str">
        <f t="shared" si="3"/>
        <v/>
      </c>
      <c r="K109" s="58" t="str">
        <f>IFERROR(WHOLE_STRUCTURE[[#This Row],[Bottom '[m']]]-WHOLE_STRUCTURE[[#This Row],[D, top '[m']]], "")</f>
        <v/>
      </c>
      <c r="L109" s="58" t="str">
        <f>IFERROR(-(WHOLE_STRUCTURE[[#This Row],[D, bottom '[m']]]-WHOLE_STRUCTURE[[#This Row],[D, top '[m']]])/(WHOLE_STRUCTURE[[#This Row],[Bottom '[m']]]-WHOLE_STRUCTURE[[#This Row],[Top '[m']]]),"")</f>
        <v/>
      </c>
      <c r="M109" s="58" t="str">
        <f>IFERROR((WHOLE_STRUCTURE[[#This Row],[D, bottom '[m']]]+WHOLE_STRUCTURE[[#This Row],[D, top '[m']]])/(2*WHOLE_STRUCTURE[[#This Row],[t '[mm']]]/1000),"")</f>
        <v/>
      </c>
    </row>
    <row r="110" spans="2:13" x14ac:dyDescent="0.3">
      <c r="J110" s="58" t="str">
        <f t="shared" si="3"/>
        <v/>
      </c>
      <c r="K110" s="58" t="str">
        <f>IFERROR(WHOLE_STRUCTURE[[#This Row],[Bottom '[m']]]-WHOLE_STRUCTURE[[#This Row],[D, top '[m']]], "")</f>
        <v/>
      </c>
      <c r="L110" s="58" t="str">
        <f>IFERROR(-(WHOLE_STRUCTURE[[#This Row],[D, bottom '[m']]]-WHOLE_STRUCTURE[[#This Row],[D, top '[m']]])/(WHOLE_STRUCTURE[[#This Row],[Bottom '[m']]]-WHOLE_STRUCTURE[[#This Row],[Top '[m']]]),"")</f>
        <v/>
      </c>
      <c r="M110" s="58" t="str">
        <f>IFERROR((WHOLE_STRUCTURE[[#This Row],[D, bottom '[m']]]+WHOLE_STRUCTURE[[#This Row],[D, top '[m']]])/(2*WHOLE_STRUCTURE[[#This Row],[t '[mm']]]/1000),"")</f>
        <v/>
      </c>
    </row>
    <row r="111" spans="2:13" x14ac:dyDescent="0.3">
      <c r="J111" s="58" t="str">
        <f t="shared" si="3"/>
        <v/>
      </c>
      <c r="K111" s="58" t="str">
        <f>IFERROR(WHOLE_STRUCTURE[[#This Row],[Bottom '[m']]]-WHOLE_STRUCTURE[[#This Row],[D, top '[m']]], "")</f>
        <v/>
      </c>
      <c r="L111" s="58" t="str">
        <f>IFERROR(-(WHOLE_STRUCTURE[[#This Row],[D, bottom '[m']]]-WHOLE_STRUCTURE[[#This Row],[D, top '[m']]])/(WHOLE_STRUCTURE[[#This Row],[Bottom '[m']]]-WHOLE_STRUCTURE[[#This Row],[Top '[m']]]),"")</f>
        <v/>
      </c>
      <c r="M111" s="58" t="str">
        <f>IFERROR((WHOLE_STRUCTURE[[#This Row],[D, bottom '[m']]]+WHOLE_STRUCTURE[[#This Row],[D, top '[m']]])/(2*WHOLE_STRUCTURE[[#This Row],[t '[mm']]]/1000),"")</f>
        <v/>
      </c>
    </row>
    <row r="112" spans="2:13" x14ac:dyDescent="0.3">
      <c r="J112" s="58" t="str">
        <f t="shared" si="3"/>
        <v/>
      </c>
      <c r="K112" s="58" t="str">
        <f>IFERROR(WHOLE_STRUCTURE[[#This Row],[Bottom '[m']]]-WHOLE_STRUCTURE[[#This Row],[D, top '[m']]], "")</f>
        <v/>
      </c>
      <c r="L112" s="58" t="str">
        <f>IFERROR(-(WHOLE_STRUCTURE[[#This Row],[D, bottom '[m']]]-WHOLE_STRUCTURE[[#This Row],[D, top '[m']]])/(WHOLE_STRUCTURE[[#This Row],[Bottom '[m']]]-WHOLE_STRUCTURE[[#This Row],[Top '[m']]]),"")</f>
        <v/>
      </c>
      <c r="M112" s="58" t="str">
        <f>IFERROR((WHOLE_STRUCTURE[[#This Row],[D, bottom '[m']]]+WHOLE_STRUCTURE[[#This Row],[D, top '[m']]])/(2*WHOLE_STRUCTURE[[#This Row],[t '[mm']]]/1000),"")</f>
        <v/>
      </c>
    </row>
    <row r="113" spans="10:13" x14ac:dyDescent="0.3">
      <c r="J113" s="58" t="str">
        <f t="shared" si="3"/>
        <v/>
      </c>
      <c r="K113" s="58" t="str">
        <f>IFERROR(WHOLE_STRUCTURE[[#This Row],[Bottom '[m']]]-WHOLE_STRUCTURE[[#This Row],[D, top '[m']]], "")</f>
        <v/>
      </c>
      <c r="L113" s="58" t="str">
        <f>IFERROR(-(WHOLE_STRUCTURE[[#This Row],[D, bottom '[m']]]-WHOLE_STRUCTURE[[#This Row],[D, top '[m']]])/(WHOLE_STRUCTURE[[#This Row],[Bottom '[m']]]-WHOLE_STRUCTURE[[#This Row],[Top '[m']]]),"")</f>
        <v/>
      </c>
      <c r="M113" s="58" t="str">
        <f>IFERROR((WHOLE_STRUCTURE[[#This Row],[D, bottom '[m']]]+WHOLE_STRUCTURE[[#This Row],[D, top '[m']]])/(2*WHOLE_STRUCTURE[[#This Row],[t '[mm']]]/1000),"")</f>
        <v/>
      </c>
    </row>
    <row r="114" spans="10:13" x14ac:dyDescent="0.3">
      <c r="J114" s="58" t="str">
        <f t="shared" si="3"/>
        <v/>
      </c>
      <c r="K114" s="58" t="str">
        <f>IFERROR(WHOLE_STRUCTURE[[#This Row],[Bottom '[m']]]-WHOLE_STRUCTURE[[#This Row],[D, top '[m']]], "")</f>
        <v/>
      </c>
      <c r="L114" s="58" t="str">
        <f>IFERROR(-(WHOLE_STRUCTURE[[#This Row],[D, bottom '[m']]]-WHOLE_STRUCTURE[[#This Row],[D, top '[m']]])/(WHOLE_STRUCTURE[[#This Row],[Bottom '[m']]]-WHOLE_STRUCTURE[[#This Row],[Top '[m']]]),"")</f>
        <v/>
      </c>
      <c r="M114" s="58" t="str">
        <f>IFERROR((WHOLE_STRUCTURE[[#This Row],[D, bottom '[m']]]+WHOLE_STRUCTURE[[#This Row],[D, top '[m']]])/(2*WHOLE_STRUCTURE[[#This Row],[t '[mm']]]/1000),"")</f>
        <v/>
      </c>
    </row>
    <row r="115" spans="10:13" x14ac:dyDescent="0.3">
      <c r="J115" s="58" t="str">
        <f t="shared" si="3"/>
        <v/>
      </c>
      <c r="K115" s="58" t="str">
        <f>IFERROR(WHOLE_STRUCTURE[[#This Row],[Bottom '[m']]]-WHOLE_STRUCTURE[[#This Row],[D, top '[m']]], "")</f>
        <v/>
      </c>
      <c r="L115" s="58" t="str">
        <f>IFERROR(-(WHOLE_STRUCTURE[[#This Row],[D, bottom '[m']]]-WHOLE_STRUCTURE[[#This Row],[D, top '[m']]])/(WHOLE_STRUCTURE[[#This Row],[Bottom '[m']]]-WHOLE_STRUCTURE[[#This Row],[Top '[m']]]),"")</f>
        <v/>
      </c>
      <c r="M115" s="58" t="str">
        <f>IFERROR((WHOLE_STRUCTURE[[#This Row],[D, bottom '[m']]]+WHOLE_STRUCTURE[[#This Row],[D, top '[m']]])/(2*WHOLE_STRUCTURE[[#This Row],[t '[mm']]]/1000),"")</f>
        <v/>
      </c>
    </row>
    <row r="116" spans="10:13" x14ac:dyDescent="0.3">
      <c r="J116" s="58" t="str">
        <f t="shared" si="3"/>
        <v/>
      </c>
      <c r="K116" s="58" t="str">
        <f>IFERROR(WHOLE_STRUCTURE[[#This Row],[Bottom '[m']]]-WHOLE_STRUCTURE[[#This Row],[D, top '[m']]], "")</f>
        <v/>
      </c>
      <c r="L116" s="58" t="str">
        <f>IFERROR(-(WHOLE_STRUCTURE[[#This Row],[D, bottom '[m']]]-WHOLE_STRUCTURE[[#This Row],[D, top '[m']]])/(WHOLE_STRUCTURE[[#This Row],[Bottom '[m']]]-WHOLE_STRUCTURE[[#This Row],[Top '[m']]]),"")</f>
        <v/>
      </c>
      <c r="M116" s="58" t="str">
        <f>IFERROR((WHOLE_STRUCTURE[[#This Row],[D, bottom '[m']]]+WHOLE_STRUCTURE[[#This Row],[D, top '[m']]])/(2*WHOLE_STRUCTURE[[#This Row],[t '[mm']]]/1000),"")</f>
        <v/>
      </c>
    </row>
    <row r="117" spans="10:13" x14ac:dyDescent="0.3">
      <c r="J117" s="58" t="str">
        <f t="shared" si="3"/>
        <v/>
      </c>
      <c r="K117" s="58" t="str">
        <f>IFERROR(WHOLE_STRUCTURE[[#This Row],[Bottom '[m']]]-WHOLE_STRUCTURE[[#This Row],[D, top '[m']]], "")</f>
        <v/>
      </c>
      <c r="L117" s="58" t="str">
        <f>IFERROR(-(WHOLE_STRUCTURE[[#This Row],[D, bottom '[m']]]-WHOLE_STRUCTURE[[#This Row],[D, top '[m']]])/(WHOLE_STRUCTURE[[#This Row],[Bottom '[m']]]-WHOLE_STRUCTURE[[#This Row],[Top '[m']]]),"")</f>
        <v/>
      </c>
      <c r="M117" s="58" t="str">
        <f>IFERROR((WHOLE_STRUCTURE[[#This Row],[D, bottom '[m']]]+WHOLE_STRUCTURE[[#This Row],[D, top '[m']]])/(2*WHOLE_STRUCTURE[[#This Row],[t '[mm']]]/1000),"")</f>
        <v/>
      </c>
    </row>
    <row r="118" spans="10:13" x14ac:dyDescent="0.3">
      <c r="J118" s="58" t="str">
        <f t="shared" si="3"/>
        <v/>
      </c>
      <c r="K118" s="58" t="str">
        <f>IFERROR(WHOLE_STRUCTURE[[#This Row],[Bottom '[m']]]-WHOLE_STRUCTURE[[#This Row],[D, top '[m']]], "")</f>
        <v/>
      </c>
      <c r="L118" s="58" t="str">
        <f>IFERROR(-(WHOLE_STRUCTURE[[#This Row],[D, bottom '[m']]]-WHOLE_STRUCTURE[[#This Row],[D, top '[m']]])/(WHOLE_STRUCTURE[[#This Row],[Bottom '[m']]]-WHOLE_STRUCTURE[[#This Row],[Top '[m']]]),"")</f>
        <v/>
      </c>
      <c r="M118" s="58" t="str">
        <f>IFERROR((WHOLE_STRUCTURE[[#This Row],[D, bottom '[m']]]+WHOLE_STRUCTURE[[#This Row],[D, top '[m']]])/(2*WHOLE_STRUCTURE[[#This Row],[t '[mm']]]/1000),"")</f>
        <v/>
      </c>
    </row>
    <row r="119" spans="10:13" x14ac:dyDescent="0.3">
      <c r="J119" s="58" t="str">
        <f t="shared" si="3"/>
        <v/>
      </c>
      <c r="K119" s="58" t="str">
        <f>IFERROR(WHOLE_STRUCTURE[[#This Row],[Bottom '[m']]]-WHOLE_STRUCTURE[[#This Row],[D, top '[m']]], "")</f>
        <v/>
      </c>
      <c r="L119" s="58" t="str">
        <f>IFERROR(-(WHOLE_STRUCTURE[[#This Row],[D, bottom '[m']]]-WHOLE_STRUCTURE[[#This Row],[D, top '[m']]])/(WHOLE_STRUCTURE[[#This Row],[Bottom '[m']]]-WHOLE_STRUCTURE[[#This Row],[Top '[m']]]),"")</f>
        <v/>
      </c>
      <c r="M119" s="58" t="str">
        <f>IFERROR((WHOLE_STRUCTURE[[#This Row],[D, bottom '[m']]]+WHOLE_STRUCTURE[[#This Row],[D, top '[m']]])/(2*WHOLE_STRUCTURE[[#This Row],[t '[mm']]]/1000),"")</f>
        <v/>
      </c>
    </row>
    <row r="120" spans="10:13" x14ac:dyDescent="0.3">
      <c r="J120" s="58" t="str">
        <f t="shared" si="3"/>
        <v/>
      </c>
      <c r="K120" s="58" t="str">
        <f>IFERROR(WHOLE_STRUCTURE[[#This Row],[Bottom '[m']]]-WHOLE_STRUCTURE[[#This Row],[D, top '[m']]], "")</f>
        <v/>
      </c>
      <c r="L120" s="58" t="str">
        <f>IFERROR(-(WHOLE_STRUCTURE[[#This Row],[D, bottom '[m']]]-WHOLE_STRUCTURE[[#This Row],[D, top '[m']]])/(WHOLE_STRUCTURE[[#This Row],[Bottom '[m']]]-WHOLE_STRUCTURE[[#This Row],[Top '[m']]]),"")</f>
        <v/>
      </c>
      <c r="M120" s="58" t="str">
        <f>IFERROR((WHOLE_STRUCTURE[[#This Row],[D, bottom '[m']]]+WHOLE_STRUCTURE[[#This Row],[D, top '[m']]])/(2*WHOLE_STRUCTURE[[#This Row],[t '[mm']]]/1000),"")</f>
        <v/>
      </c>
    </row>
    <row r="121" spans="10:13" x14ac:dyDescent="0.3">
      <c r="J121" s="58" t="str">
        <f t="shared" si="3"/>
        <v/>
      </c>
      <c r="K121" s="58" t="str">
        <f>IFERROR(WHOLE_STRUCTURE[[#This Row],[Bottom '[m']]]-WHOLE_STRUCTURE[[#This Row],[D, top '[m']]], "")</f>
        <v/>
      </c>
      <c r="L121" s="58" t="str">
        <f>IFERROR(-(WHOLE_STRUCTURE[[#This Row],[D, bottom '[m']]]-WHOLE_STRUCTURE[[#This Row],[D, top '[m']]])/(WHOLE_STRUCTURE[[#This Row],[Bottom '[m']]]-WHOLE_STRUCTURE[[#This Row],[Top '[m']]]),"")</f>
        <v/>
      </c>
      <c r="M121" s="58" t="str">
        <f>IFERROR((WHOLE_STRUCTURE[[#This Row],[D, bottom '[m']]]+WHOLE_STRUCTURE[[#This Row],[D, top '[m']]])/(2*WHOLE_STRUCTURE[[#This Row],[t '[mm']]]/1000),"")</f>
        <v/>
      </c>
    </row>
    <row r="122" spans="10:13" x14ac:dyDescent="0.3">
      <c r="J122" s="58" t="str">
        <f t="shared" si="3"/>
        <v/>
      </c>
      <c r="K122" s="58" t="str">
        <f>IFERROR(WHOLE_STRUCTURE[[#This Row],[Bottom '[m']]]-WHOLE_STRUCTURE[[#This Row],[D, top '[m']]], "")</f>
        <v/>
      </c>
      <c r="L122" s="58" t="str">
        <f>IFERROR(-(WHOLE_STRUCTURE[[#This Row],[D, bottom '[m']]]-WHOLE_STRUCTURE[[#This Row],[D, top '[m']]])/(WHOLE_STRUCTURE[[#This Row],[Bottom '[m']]]-WHOLE_STRUCTURE[[#This Row],[Top '[m']]]),"")</f>
        <v/>
      </c>
      <c r="M122" s="58" t="str">
        <f>IFERROR((WHOLE_STRUCTURE[[#This Row],[D, bottom '[m']]]+WHOLE_STRUCTURE[[#This Row],[D, top '[m']]])/(2*WHOLE_STRUCTURE[[#This Row],[t '[mm']]]/1000),"")</f>
        <v/>
      </c>
    </row>
    <row r="123" spans="10:13" x14ac:dyDescent="0.3">
      <c r="J123" s="58" t="str">
        <f t="shared" si="3"/>
        <v/>
      </c>
      <c r="K123" s="58" t="str">
        <f>IFERROR(WHOLE_STRUCTURE[[#This Row],[Bottom '[m']]]-WHOLE_STRUCTURE[[#This Row],[D, top '[m']]], "")</f>
        <v/>
      </c>
      <c r="L123" s="58" t="str">
        <f>IFERROR(-(WHOLE_STRUCTURE[[#This Row],[D, bottom '[m']]]-WHOLE_STRUCTURE[[#This Row],[D, top '[m']]])/(WHOLE_STRUCTURE[[#This Row],[Bottom '[m']]]-WHOLE_STRUCTURE[[#This Row],[Top '[m']]]),"")</f>
        <v/>
      </c>
      <c r="M123" s="58" t="str">
        <f>IFERROR((WHOLE_STRUCTURE[[#This Row],[D, bottom '[m']]]+WHOLE_STRUCTURE[[#This Row],[D, top '[m']]])/(2*WHOLE_STRUCTURE[[#This Row],[t '[mm']]]/1000),"")</f>
        <v/>
      </c>
    </row>
    <row r="124" spans="10:13" x14ac:dyDescent="0.3">
      <c r="J124" s="58" t="str">
        <f t="shared" ref="J124:J187" si="4">IF(7850/1000*(1/3)*PI()*ABS(E124-F124)*((G124/2)^2+(G124/2)*(H124/2)+(H124/2)^2-(G124/2-I124/1000)^2-(G124/2-I124/1000)*(H124/2-I124/1000)-(H124/2-I124/1000)^2)=0,"",7850/1000*(1/3)*PI()*ABS(E124-F124)*((G124/2)^2+(G124/2)*(H124/2)+(H124/2)^2-(G124/2-I124/1000)^2-(G124/2-I124/1000)*(H124/2-I124/1000)-(H124/2-I124/1000)^2))</f>
        <v/>
      </c>
      <c r="K124" s="58" t="str">
        <f>IFERROR(WHOLE_STRUCTURE[[#This Row],[Bottom '[m']]]-WHOLE_STRUCTURE[[#This Row],[D, top '[m']]], "")</f>
        <v/>
      </c>
      <c r="L124" s="58" t="str">
        <f>IFERROR(-(WHOLE_STRUCTURE[[#This Row],[D, bottom '[m']]]-WHOLE_STRUCTURE[[#This Row],[D, top '[m']]])/(WHOLE_STRUCTURE[[#This Row],[Bottom '[m']]]-WHOLE_STRUCTURE[[#This Row],[Top '[m']]]),"")</f>
        <v/>
      </c>
      <c r="M124" s="58" t="str">
        <f>IFERROR((WHOLE_STRUCTURE[[#This Row],[D, bottom '[m']]]+WHOLE_STRUCTURE[[#This Row],[D, top '[m']]])/(2*WHOLE_STRUCTURE[[#This Row],[t '[mm']]]/1000),"")</f>
        <v/>
      </c>
    </row>
    <row r="125" spans="10:13" x14ac:dyDescent="0.3">
      <c r="J125" s="58" t="str">
        <f t="shared" si="4"/>
        <v/>
      </c>
      <c r="K125" s="58" t="str">
        <f>IFERROR(WHOLE_STRUCTURE[[#This Row],[Bottom '[m']]]-WHOLE_STRUCTURE[[#This Row],[D, top '[m']]], "")</f>
        <v/>
      </c>
      <c r="L125" s="58" t="str">
        <f>IFERROR(-(WHOLE_STRUCTURE[[#This Row],[D, bottom '[m']]]-WHOLE_STRUCTURE[[#This Row],[D, top '[m']]])/(WHOLE_STRUCTURE[[#This Row],[Bottom '[m']]]-WHOLE_STRUCTURE[[#This Row],[Top '[m']]]),"")</f>
        <v/>
      </c>
      <c r="M125" s="58" t="str">
        <f>IFERROR((WHOLE_STRUCTURE[[#This Row],[D, bottom '[m']]]+WHOLE_STRUCTURE[[#This Row],[D, top '[m']]])/(2*WHOLE_STRUCTURE[[#This Row],[t '[mm']]]/1000),"")</f>
        <v/>
      </c>
    </row>
    <row r="126" spans="10:13" x14ac:dyDescent="0.3">
      <c r="J126" s="58" t="str">
        <f t="shared" si="4"/>
        <v/>
      </c>
      <c r="K126" s="58" t="str">
        <f>IFERROR(WHOLE_STRUCTURE[[#This Row],[Bottom '[m']]]-WHOLE_STRUCTURE[[#This Row],[D, top '[m']]], "")</f>
        <v/>
      </c>
      <c r="L126" s="58" t="str">
        <f>IFERROR(-(WHOLE_STRUCTURE[[#This Row],[D, bottom '[m']]]-WHOLE_STRUCTURE[[#This Row],[D, top '[m']]])/(WHOLE_STRUCTURE[[#This Row],[Bottom '[m']]]-WHOLE_STRUCTURE[[#This Row],[Top '[m']]]),"")</f>
        <v/>
      </c>
      <c r="M126" s="58" t="str">
        <f>IFERROR((WHOLE_STRUCTURE[[#This Row],[D, bottom '[m']]]+WHOLE_STRUCTURE[[#This Row],[D, top '[m']]])/(2*WHOLE_STRUCTURE[[#This Row],[t '[mm']]]/1000),"")</f>
        <v/>
      </c>
    </row>
    <row r="127" spans="10:13" x14ac:dyDescent="0.3">
      <c r="J127" s="58" t="str">
        <f t="shared" si="4"/>
        <v/>
      </c>
      <c r="K127" s="58" t="str">
        <f>IFERROR(WHOLE_STRUCTURE[[#This Row],[Bottom '[m']]]-WHOLE_STRUCTURE[[#This Row],[D, top '[m']]], "")</f>
        <v/>
      </c>
      <c r="L127" s="58" t="str">
        <f>IFERROR(-(WHOLE_STRUCTURE[[#This Row],[D, bottom '[m']]]-WHOLE_STRUCTURE[[#This Row],[D, top '[m']]])/(WHOLE_STRUCTURE[[#This Row],[Bottom '[m']]]-WHOLE_STRUCTURE[[#This Row],[Top '[m']]]),"")</f>
        <v/>
      </c>
      <c r="M127" s="58" t="str">
        <f>IFERROR((WHOLE_STRUCTURE[[#This Row],[D, bottom '[m']]]+WHOLE_STRUCTURE[[#This Row],[D, top '[m']]])/(2*WHOLE_STRUCTURE[[#This Row],[t '[mm']]]/1000),"")</f>
        <v/>
      </c>
    </row>
    <row r="128" spans="10:13" x14ac:dyDescent="0.3">
      <c r="J128" s="58" t="str">
        <f t="shared" si="4"/>
        <v/>
      </c>
      <c r="K128" s="58" t="str">
        <f>IFERROR(WHOLE_STRUCTURE[[#This Row],[Bottom '[m']]]-WHOLE_STRUCTURE[[#This Row],[D, top '[m']]], "")</f>
        <v/>
      </c>
      <c r="L128" s="58" t="str">
        <f>IFERROR(-(WHOLE_STRUCTURE[[#This Row],[D, bottom '[m']]]-WHOLE_STRUCTURE[[#This Row],[D, top '[m']]])/(WHOLE_STRUCTURE[[#This Row],[Bottom '[m']]]-WHOLE_STRUCTURE[[#This Row],[Top '[m']]]),"")</f>
        <v/>
      </c>
      <c r="M128" s="58" t="str">
        <f>IFERROR((WHOLE_STRUCTURE[[#This Row],[D, bottom '[m']]]+WHOLE_STRUCTURE[[#This Row],[D, top '[m']]])/(2*WHOLE_STRUCTURE[[#This Row],[t '[mm']]]/1000),"")</f>
        <v/>
      </c>
    </row>
    <row r="129" spans="10:13" x14ac:dyDescent="0.3">
      <c r="J129" s="58" t="str">
        <f t="shared" si="4"/>
        <v/>
      </c>
      <c r="K129" s="58" t="str">
        <f>IFERROR(WHOLE_STRUCTURE[[#This Row],[Bottom '[m']]]-WHOLE_STRUCTURE[[#This Row],[D, top '[m']]], "")</f>
        <v/>
      </c>
      <c r="L129" s="58" t="str">
        <f>IFERROR(-(WHOLE_STRUCTURE[[#This Row],[D, bottom '[m']]]-WHOLE_STRUCTURE[[#This Row],[D, top '[m']]])/(WHOLE_STRUCTURE[[#This Row],[Bottom '[m']]]-WHOLE_STRUCTURE[[#This Row],[Top '[m']]]),"")</f>
        <v/>
      </c>
      <c r="M129" s="58" t="str">
        <f>IFERROR((WHOLE_STRUCTURE[[#This Row],[D, bottom '[m']]]+WHOLE_STRUCTURE[[#This Row],[D, top '[m']]])/(2*WHOLE_STRUCTURE[[#This Row],[t '[mm']]]/1000),"")</f>
        <v/>
      </c>
    </row>
    <row r="130" spans="10:13" x14ac:dyDescent="0.3">
      <c r="J130" s="58" t="str">
        <f t="shared" si="4"/>
        <v/>
      </c>
      <c r="K130" s="58" t="str">
        <f>IFERROR(WHOLE_STRUCTURE[[#This Row],[Bottom '[m']]]-WHOLE_STRUCTURE[[#This Row],[D, top '[m']]], "")</f>
        <v/>
      </c>
      <c r="L130" s="58" t="str">
        <f>IFERROR(-(WHOLE_STRUCTURE[[#This Row],[D, bottom '[m']]]-WHOLE_STRUCTURE[[#This Row],[D, top '[m']]])/(WHOLE_STRUCTURE[[#This Row],[Bottom '[m']]]-WHOLE_STRUCTURE[[#This Row],[Top '[m']]]),"")</f>
        <v/>
      </c>
      <c r="M130" s="58" t="str">
        <f>IFERROR((WHOLE_STRUCTURE[[#This Row],[D, bottom '[m']]]+WHOLE_STRUCTURE[[#This Row],[D, top '[m']]])/(2*WHOLE_STRUCTURE[[#This Row],[t '[mm']]]/1000),"")</f>
        <v/>
      </c>
    </row>
    <row r="131" spans="10:13" x14ac:dyDescent="0.3">
      <c r="J131" s="58" t="str">
        <f t="shared" si="4"/>
        <v/>
      </c>
      <c r="K131" s="58" t="str">
        <f>IFERROR(WHOLE_STRUCTURE[[#This Row],[Bottom '[m']]]-WHOLE_STRUCTURE[[#This Row],[D, top '[m']]], "")</f>
        <v/>
      </c>
      <c r="L131" s="58" t="str">
        <f>IFERROR(-(WHOLE_STRUCTURE[[#This Row],[D, bottom '[m']]]-WHOLE_STRUCTURE[[#This Row],[D, top '[m']]])/(WHOLE_STRUCTURE[[#This Row],[Bottom '[m']]]-WHOLE_STRUCTURE[[#This Row],[Top '[m']]]),"")</f>
        <v/>
      </c>
      <c r="M131" s="58" t="str">
        <f>IFERROR((WHOLE_STRUCTURE[[#This Row],[D, bottom '[m']]]+WHOLE_STRUCTURE[[#This Row],[D, top '[m']]])/(2*WHOLE_STRUCTURE[[#This Row],[t '[mm']]]/1000),"")</f>
        <v/>
      </c>
    </row>
    <row r="132" spans="10:13" x14ac:dyDescent="0.3">
      <c r="J132" s="58" t="str">
        <f t="shared" si="4"/>
        <v/>
      </c>
      <c r="K132" s="58" t="str">
        <f>IFERROR(WHOLE_STRUCTURE[[#This Row],[Bottom '[m']]]-WHOLE_STRUCTURE[[#This Row],[D, top '[m']]], "")</f>
        <v/>
      </c>
      <c r="L132" s="58" t="str">
        <f>IFERROR(-(WHOLE_STRUCTURE[[#This Row],[D, bottom '[m']]]-WHOLE_STRUCTURE[[#This Row],[D, top '[m']]])/(WHOLE_STRUCTURE[[#This Row],[Bottom '[m']]]-WHOLE_STRUCTURE[[#This Row],[Top '[m']]]),"")</f>
        <v/>
      </c>
      <c r="M132" s="58" t="str">
        <f>IFERROR((WHOLE_STRUCTURE[[#This Row],[D, bottom '[m']]]+WHOLE_STRUCTURE[[#This Row],[D, top '[m']]])/(2*WHOLE_STRUCTURE[[#This Row],[t '[mm']]]/1000),"")</f>
        <v/>
      </c>
    </row>
    <row r="133" spans="10:13" x14ac:dyDescent="0.3">
      <c r="J133" s="58" t="str">
        <f t="shared" si="4"/>
        <v/>
      </c>
      <c r="K133" s="58" t="str">
        <f>IFERROR(WHOLE_STRUCTURE[[#This Row],[Bottom '[m']]]-WHOLE_STRUCTURE[[#This Row],[D, top '[m']]], "")</f>
        <v/>
      </c>
      <c r="L133" s="58" t="str">
        <f>IFERROR(-(WHOLE_STRUCTURE[[#This Row],[D, bottom '[m']]]-WHOLE_STRUCTURE[[#This Row],[D, top '[m']]])/(WHOLE_STRUCTURE[[#This Row],[Bottom '[m']]]-WHOLE_STRUCTURE[[#This Row],[Top '[m']]]),"")</f>
        <v/>
      </c>
      <c r="M133" s="58" t="str">
        <f>IFERROR((WHOLE_STRUCTURE[[#This Row],[D, bottom '[m']]]+WHOLE_STRUCTURE[[#This Row],[D, top '[m']]])/(2*WHOLE_STRUCTURE[[#This Row],[t '[mm']]]/1000),"")</f>
        <v/>
      </c>
    </row>
    <row r="134" spans="10:13" x14ac:dyDescent="0.3">
      <c r="J134" s="58" t="str">
        <f t="shared" si="4"/>
        <v/>
      </c>
      <c r="K134" s="58" t="str">
        <f>IFERROR(WHOLE_STRUCTURE[[#This Row],[Bottom '[m']]]-WHOLE_STRUCTURE[[#This Row],[D, top '[m']]], "")</f>
        <v/>
      </c>
      <c r="L134" s="58" t="str">
        <f>IFERROR(-(WHOLE_STRUCTURE[[#This Row],[D, bottom '[m']]]-WHOLE_STRUCTURE[[#This Row],[D, top '[m']]])/(WHOLE_STRUCTURE[[#This Row],[Bottom '[m']]]-WHOLE_STRUCTURE[[#This Row],[Top '[m']]]),"")</f>
        <v/>
      </c>
      <c r="M134" s="58" t="str">
        <f>IFERROR((WHOLE_STRUCTURE[[#This Row],[D, bottom '[m']]]+WHOLE_STRUCTURE[[#This Row],[D, top '[m']]])/(2*WHOLE_STRUCTURE[[#This Row],[t '[mm']]]/1000),"")</f>
        <v/>
      </c>
    </row>
    <row r="135" spans="10:13" x14ac:dyDescent="0.3">
      <c r="J135" s="58" t="str">
        <f t="shared" si="4"/>
        <v/>
      </c>
      <c r="K135" s="58" t="str">
        <f>IFERROR(WHOLE_STRUCTURE[[#This Row],[Bottom '[m']]]-WHOLE_STRUCTURE[[#This Row],[D, top '[m']]], "")</f>
        <v/>
      </c>
      <c r="L135" s="58" t="str">
        <f>IFERROR(-(WHOLE_STRUCTURE[[#This Row],[D, bottom '[m']]]-WHOLE_STRUCTURE[[#This Row],[D, top '[m']]])/(WHOLE_STRUCTURE[[#This Row],[Bottom '[m']]]-WHOLE_STRUCTURE[[#This Row],[Top '[m']]]),"")</f>
        <v/>
      </c>
      <c r="M135" s="58" t="str">
        <f>IFERROR((WHOLE_STRUCTURE[[#This Row],[D, bottom '[m']]]+WHOLE_STRUCTURE[[#This Row],[D, top '[m']]])/(2*WHOLE_STRUCTURE[[#This Row],[t '[mm']]]/1000),"")</f>
        <v/>
      </c>
    </row>
    <row r="136" spans="10:13" x14ac:dyDescent="0.3">
      <c r="J136" s="58" t="str">
        <f t="shared" si="4"/>
        <v/>
      </c>
      <c r="K136" s="58" t="str">
        <f>IFERROR(WHOLE_STRUCTURE[[#This Row],[Bottom '[m']]]-WHOLE_STRUCTURE[[#This Row],[D, top '[m']]], "")</f>
        <v/>
      </c>
      <c r="L136" s="58" t="str">
        <f>IFERROR(-(WHOLE_STRUCTURE[[#This Row],[D, bottom '[m']]]-WHOLE_STRUCTURE[[#This Row],[D, top '[m']]])/(WHOLE_STRUCTURE[[#This Row],[Bottom '[m']]]-WHOLE_STRUCTURE[[#This Row],[Top '[m']]]),"")</f>
        <v/>
      </c>
      <c r="M136" s="58" t="str">
        <f>IFERROR((WHOLE_STRUCTURE[[#This Row],[D, bottom '[m']]]+WHOLE_STRUCTURE[[#This Row],[D, top '[m']]])/(2*WHOLE_STRUCTURE[[#This Row],[t '[mm']]]/1000),"")</f>
        <v/>
      </c>
    </row>
    <row r="137" spans="10:13" x14ac:dyDescent="0.3">
      <c r="J137" s="58" t="str">
        <f t="shared" si="4"/>
        <v/>
      </c>
      <c r="K137" s="58" t="str">
        <f>IFERROR(WHOLE_STRUCTURE[[#This Row],[Bottom '[m']]]-WHOLE_STRUCTURE[[#This Row],[D, top '[m']]], "")</f>
        <v/>
      </c>
      <c r="L137" s="58" t="str">
        <f>IFERROR(-(WHOLE_STRUCTURE[[#This Row],[D, bottom '[m']]]-WHOLE_STRUCTURE[[#This Row],[D, top '[m']]])/(WHOLE_STRUCTURE[[#This Row],[Bottom '[m']]]-WHOLE_STRUCTURE[[#This Row],[Top '[m']]]),"")</f>
        <v/>
      </c>
      <c r="M137" s="58" t="str">
        <f>IFERROR((WHOLE_STRUCTURE[[#This Row],[D, bottom '[m']]]+WHOLE_STRUCTURE[[#This Row],[D, top '[m']]])/(2*WHOLE_STRUCTURE[[#This Row],[t '[mm']]]/1000),"")</f>
        <v/>
      </c>
    </row>
    <row r="138" spans="10:13" x14ac:dyDescent="0.3">
      <c r="J138" s="58" t="str">
        <f t="shared" si="4"/>
        <v/>
      </c>
      <c r="K138" s="58" t="str">
        <f>IFERROR(WHOLE_STRUCTURE[[#This Row],[Bottom '[m']]]-WHOLE_STRUCTURE[[#This Row],[D, top '[m']]], "")</f>
        <v/>
      </c>
      <c r="L138" s="58" t="str">
        <f>IFERROR(-(WHOLE_STRUCTURE[[#This Row],[D, bottom '[m']]]-WHOLE_STRUCTURE[[#This Row],[D, top '[m']]])/(WHOLE_STRUCTURE[[#This Row],[Bottom '[m']]]-WHOLE_STRUCTURE[[#This Row],[Top '[m']]]),"")</f>
        <v/>
      </c>
      <c r="M138" s="58" t="str">
        <f>IFERROR((WHOLE_STRUCTURE[[#This Row],[D, bottom '[m']]]+WHOLE_STRUCTURE[[#This Row],[D, top '[m']]])/(2*WHOLE_STRUCTURE[[#This Row],[t '[mm']]]/1000),"")</f>
        <v/>
      </c>
    </row>
    <row r="139" spans="10:13" x14ac:dyDescent="0.3">
      <c r="J139" s="58" t="str">
        <f t="shared" si="4"/>
        <v/>
      </c>
      <c r="K139" s="58" t="str">
        <f>IFERROR(WHOLE_STRUCTURE[[#This Row],[Bottom '[m']]]-WHOLE_STRUCTURE[[#This Row],[D, top '[m']]], "")</f>
        <v/>
      </c>
      <c r="L139" s="58" t="str">
        <f>IFERROR(-(WHOLE_STRUCTURE[[#This Row],[D, bottom '[m']]]-WHOLE_STRUCTURE[[#This Row],[D, top '[m']]])/(WHOLE_STRUCTURE[[#This Row],[Bottom '[m']]]-WHOLE_STRUCTURE[[#This Row],[Top '[m']]]),"")</f>
        <v/>
      </c>
      <c r="M139" s="58" t="str">
        <f>IFERROR((WHOLE_STRUCTURE[[#This Row],[D, bottom '[m']]]+WHOLE_STRUCTURE[[#This Row],[D, top '[m']]])/(2*WHOLE_STRUCTURE[[#This Row],[t '[mm']]]/1000),"")</f>
        <v/>
      </c>
    </row>
    <row r="140" spans="10:13" x14ac:dyDescent="0.3">
      <c r="J140" s="58" t="str">
        <f t="shared" si="4"/>
        <v/>
      </c>
      <c r="K140" s="58" t="str">
        <f>IFERROR(WHOLE_STRUCTURE[[#This Row],[Bottom '[m']]]-WHOLE_STRUCTURE[[#This Row],[D, top '[m']]], "")</f>
        <v/>
      </c>
      <c r="L140" s="58" t="str">
        <f>IFERROR(-(WHOLE_STRUCTURE[[#This Row],[D, bottom '[m']]]-WHOLE_STRUCTURE[[#This Row],[D, top '[m']]])/(WHOLE_STRUCTURE[[#This Row],[Bottom '[m']]]-WHOLE_STRUCTURE[[#This Row],[Top '[m']]]),"")</f>
        <v/>
      </c>
      <c r="M140" s="58" t="str">
        <f>IFERROR((WHOLE_STRUCTURE[[#This Row],[D, bottom '[m']]]+WHOLE_STRUCTURE[[#This Row],[D, top '[m']]])/(2*WHOLE_STRUCTURE[[#This Row],[t '[mm']]]/1000),"")</f>
        <v/>
      </c>
    </row>
    <row r="141" spans="10:13" x14ac:dyDescent="0.3">
      <c r="J141" s="58" t="str">
        <f t="shared" si="4"/>
        <v/>
      </c>
      <c r="K141" s="58" t="str">
        <f>IFERROR(WHOLE_STRUCTURE[[#This Row],[Bottom '[m']]]-WHOLE_STRUCTURE[[#This Row],[D, top '[m']]], "")</f>
        <v/>
      </c>
      <c r="L141" s="58" t="str">
        <f>IFERROR(-(WHOLE_STRUCTURE[[#This Row],[D, bottom '[m']]]-WHOLE_STRUCTURE[[#This Row],[D, top '[m']]])/(WHOLE_STRUCTURE[[#This Row],[Bottom '[m']]]-WHOLE_STRUCTURE[[#This Row],[Top '[m']]]),"")</f>
        <v/>
      </c>
      <c r="M141" s="58" t="str">
        <f>IFERROR((WHOLE_STRUCTURE[[#This Row],[D, bottom '[m']]]+WHOLE_STRUCTURE[[#This Row],[D, top '[m']]])/(2*WHOLE_STRUCTURE[[#This Row],[t '[mm']]]/1000),"")</f>
        <v/>
      </c>
    </row>
    <row r="142" spans="10:13" x14ac:dyDescent="0.3">
      <c r="J142" s="58" t="str">
        <f t="shared" si="4"/>
        <v/>
      </c>
      <c r="K142" s="58" t="str">
        <f>IFERROR(WHOLE_STRUCTURE[[#This Row],[Bottom '[m']]]-WHOLE_STRUCTURE[[#This Row],[D, top '[m']]], "")</f>
        <v/>
      </c>
      <c r="L142" s="58" t="str">
        <f>IFERROR(-(WHOLE_STRUCTURE[[#This Row],[D, bottom '[m']]]-WHOLE_STRUCTURE[[#This Row],[D, top '[m']]])/(WHOLE_STRUCTURE[[#This Row],[Bottom '[m']]]-WHOLE_STRUCTURE[[#This Row],[Top '[m']]]),"")</f>
        <v/>
      </c>
      <c r="M142" s="58" t="str">
        <f>IFERROR((WHOLE_STRUCTURE[[#This Row],[D, bottom '[m']]]+WHOLE_STRUCTURE[[#This Row],[D, top '[m']]])/(2*WHOLE_STRUCTURE[[#This Row],[t '[mm']]]/1000),"")</f>
        <v/>
      </c>
    </row>
    <row r="143" spans="10:13" x14ac:dyDescent="0.3">
      <c r="J143" s="58" t="str">
        <f t="shared" si="4"/>
        <v/>
      </c>
      <c r="K143" s="58" t="str">
        <f>IFERROR(WHOLE_STRUCTURE[[#This Row],[Bottom '[m']]]-WHOLE_STRUCTURE[[#This Row],[D, top '[m']]], "")</f>
        <v/>
      </c>
      <c r="L143" s="58" t="str">
        <f>IFERROR(-(WHOLE_STRUCTURE[[#This Row],[D, bottom '[m']]]-WHOLE_STRUCTURE[[#This Row],[D, top '[m']]])/(WHOLE_STRUCTURE[[#This Row],[Bottom '[m']]]-WHOLE_STRUCTURE[[#This Row],[Top '[m']]]),"")</f>
        <v/>
      </c>
      <c r="M143" s="58" t="str">
        <f>IFERROR((WHOLE_STRUCTURE[[#This Row],[D, bottom '[m']]]+WHOLE_STRUCTURE[[#This Row],[D, top '[m']]])/(2*WHOLE_STRUCTURE[[#This Row],[t '[mm']]]/1000),"")</f>
        <v/>
      </c>
    </row>
    <row r="144" spans="10:13" x14ac:dyDescent="0.3">
      <c r="J144" s="58" t="str">
        <f t="shared" si="4"/>
        <v/>
      </c>
      <c r="K144" s="58" t="str">
        <f>IFERROR(WHOLE_STRUCTURE[[#This Row],[Bottom '[m']]]-WHOLE_STRUCTURE[[#This Row],[D, top '[m']]], "")</f>
        <v/>
      </c>
      <c r="L144" s="58" t="str">
        <f>IFERROR(-(WHOLE_STRUCTURE[[#This Row],[D, bottom '[m']]]-WHOLE_STRUCTURE[[#This Row],[D, top '[m']]])/(WHOLE_STRUCTURE[[#This Row],[Bottom '[m']]]-WHOLE_STRUCTURE[[#This Row],[Top '[m']]]),"")</f>
        <v/>
      </c>
      <c r="M144" s="58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58" t="str">
        <f t="shared" si="4"/>
        <v/>
      </c>
      <c r="K145" s="58" t="str">
        <f>IFERROR(WHOLE_STRUCTURE[[#This Row],[Bottom '[m']]]-WHOLE_STRUCTURE[[#This Row],[D, top '[m']]], "")</f>
        <v/>
      </c>
      <c r="L145" s="58" t="str">
        <f>IFERROR(-(WHOLE_STRUCTURE[[#This Row],[D, bottom '[m']]]-WHOLE_STRUCTURE[[#This Row],[D, top '[m']]])/(WHOLE_STRUCTURE[[#This Row],[Bottom '[m']]]-WHOLE_STRUCTURE[[#This Row],[Top '[m']]]),"")</f>
        <v/>
      </c>
      <c r="M145" s="58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58" t="str">
        <f t="shared" si="4"/>
        <v/>
      </c>
      <c r="K146" s="58" t="str">
        <f>IFERROR(WHOLE_STRUCTURE[[#This Row],[Bottom '[m']]]-WHOLE_STRUCTURE[[#This Row],[D, top '[m']]], "")</f>
        <v/>
      </c>
      <c r="L146" s="58" t="str">
        <f>IFERROR(-(WHOLE_STRUCTURE[[#This Row],[D, bottom '[m']]]-WHOLE_STRUCTURE[[#This Row],[D, top '[m']]])/(WHOLE_STRUCTURE[[#This Row],[Bottom '[m']]]-WHOLE_STRUCTURE[[#This Row],[Top '[m']]]),"")</f>
        <v/>
      </c>
      <c r="M146" s="58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58" t="str">
        <f t="shared" si="4"/>
        <v/>
      </c>
      <c r="K147" s="58" t="str">
        <f>IFERROR(WHOLE_STRUCTURE[[#This Row],[Bottom '[m']]]-WHOLE_STRUCTURE[[#This Row],[D, top '[m']]], "")</f>
        <v/>
      </c>
      <c r="L147" s="58" t="str">
        <f>IFERROR(-(WHOLE_STRUCTURE[[#This Row],[D, bottom '[m']]]-WHOLE_STRUCTURE[[#This Row],[D, top '[m']]])/(WHOLE_STRUCTURE[[#This Row],[Bottom '[m']]]-WHOLE_STRUCTURE[[#This Row],[Top '[m']]]),"")</f>
        <v/>
      </c>
      <c r="M147" s="58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58" t="str">
        <f t="shared" si="4"/>
        <v/>
      </c>
      <c r="K148" s="58" t="str">
        <f>IFERROR(WHOLE_STRUCTURE[[#This Row],[Bottom '[m']]]-WHOLE_STRUCTURE[[#This Row],[D, top '[m']]], "")</f>
        <v/>
      </c>
      <c r="L148" s="58" t="str">
        <f>IFERROR(-(WHOLE_STRUCTURE[[#This Row],[D, bottom '[m']]]-WHOLE_STRUCTURE[[#This Row],[D, top '[m']]])/(WHOLE_STRUCTURE[[#This Row],[Bottom '[m']]]-WHOLE_STRUCTURE[[#This Row],[Top '[m']]]),"")</f>
        <v/>
      </c>
      <c r="M148" s="58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58" t="str">
        <f t="shared" si="4"/>
        <v/>
      </c>
      <c r="K149" s="58" t="str">
        <f>IFERROR(WHOLE_STRUCTURE[[#This Row],[Bottom '[m']]]-WHOLE_STRUCTURE[[#This Row],[D, top '[m']]], "")</f>
        <v/>
      </c>
      <c r="L149" s="58" t="str">
        <f>IFERROR(-(WHOLE_STRUCTURE[[#This Row],[D, bottom '[m']]]-WHOLE_STRUCTURE[[#This Row],[D, top '[m']]])/(WHOLE_STRUCTURE[[#This Row],[Bottom '[m']]]-WHOLE_STRUCTURE[[#This Row],[Top '[m']]]),"")</f>
        <v/>
      </c>
      <c r="M149" s="58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58" t="str">
        <f t="shared" si="4"/>
        <v/>
      </c>
      <c r="K150" s="58" t="str">
        <f>IFERROR(WHOLE_STRUCTURE[[#This Row],[Bottom '[m']]]-WHOLE_STRUCTURE[[#This Row],[D, top '[m']]], "")</f>
        <v/>
      </c>
      <c r="L150" s="58" t="str">
        <f>IFERROR(-(WHOLE_STRUCTURE[[#This Row],[D, bottom '[m']]]-WHOLE_STRUCTURE[[#This Row],[D, top '[m']]])/(WHOLE_STRUCTURE[[#This Row],[Bottom '[m']]]-WHOLE_STRUCTURE[[#This Row],[Top '[m']]]),"")</f>
        <v/>
      </c>
      <c r="M150" s="58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58" t="str">
        <f t="shared" si="4"/>
        <v/>
      </c>
      <c r="K151" s="58" t="str">
        <f>IFERROR(WHOLE_STRUCTURE[[#This Row],[Bottom '[m']]]-WHOLE_STRUCTURE[[#This Row],[D, top '[m']]], "")</f>
        <v/>
      </c>
      <c r="L151" s="58" t="str">
        <f>IFERROR(-(WHOLE_STRUCTURE[[#This Row],[D, bottom '[m']]]-WHOLE_STRUCTURE[[#This Row],[D, top '[m']]])/(WHOLE_STRUCTURE[[#This Row],[Bottom '[m']]]-WHOLE_STRUCTURE[[#This Row],[Top '[m']]]),"")</f>
        <v/>
      </c>
      <c r="M151" s="58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58" t="str">
        <f t="shared" si="4"/>
        <v/>
      </c>
      <c r="K152" s="58" t="str">
        <f>IFERROR(WHOLE_STRUCTURE[[#This Row],[Bottom '[m']]]-WHOLE_STRUCTURE[[#This Row],[D, top '[m']]], "")</f>
        <v/>
      </c>
      <c r="L152" s="58" t="str">
        <f>IFERROR(-(WHOLE_STRUCTURE[[#This Row],[D, bottom '[m']]]-WHOLE_STRUCTURE[[#This Row],[D, top '[m']]])/(WHOLE_STRUCTURE[[#This Row],[Bottom '[m']]]-WHOLE_STRUCTURE[[#This Row],[Top '[m']]]),"")</f>
        <v/>
      </c>
      <c r="M152" s="58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58" t="str">
        <f t="shared" si="4"/>
        <v/>
      </c>
      <c r="K153" s="58" t="str">
        <f>IFERROR(WHOLE_STRUCTURE[[#This Row],[Bottom '[m']]]-WHOLE_STRUCTURE[[#This Row],[D, top '[m']]], "")</f>
        <v/>
      </c>
      <c r="L153" s="58" t="str">
        <f>IFERROR(-(WHOLE_STRUCTURE[[#This Row],[D, bottom '[m']]]-WHOLE_STRUCTURE[[#This Row],[D, top '[m']]])/(WHOLE_STRUCTURE[[#This Row],[Bottom '[m']]]-WHOLE_STRUCTURE[[#This Row],[Top '[m']]]),"")</f>
        <v/>
      </c>
      <c r="M153" s="58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58" t="str">
        <f t="shared" si="4"/>
        <v/>
      </c>
      <c r="K154" s="58" t="str">
        <f>IFERROR(WHOLE_STRUCTURE[[#This Row],[Bottom '[m']]]-WHOLE_STRUCTURE[[#This Row],[D, top '[m']]], "")</f>
        <v/>
      </c>
      <c r="L154" s="58" t="str">
        <f>IFERROR(-(WHOLE_STRUCTURE[[#This Row],[D, bottom '[m']]]-WHOLE_STRUCTURE[[#This Row],[D, top '[m']]])/(WHOLE_STRUCTURE[[#This Row],[Bottom '[m']]]-WHOLE_STRUCTURE[[#This Row],[Top '[m']]]),"")</f>
        <v/>
      </c>
      <c r="M154" s="58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58" t="str">
        <f t="shared" si="4"/>
        <v/>
      </c>
      <c r="K155" s="58" t="str">
        <f>IFERROR(WHOLE_STRUCTURE[[#This Row],[Bottom '[m']]]-WHOLE_STRUCTURE[[#This Row],[D, top '[m']]], "")</f>
        <v/>
      </c>
      <c r="L155" s="58" t="str">
        <f>IFERROR(-(WHOLE_STRUCTURE[[#This Row],[D, bottom '[m']]]-WHOLE_STRUCTURE[[#This Row],[D, top '[m']]])/(WHOLE_STRUCTURE[[#This Row],[Bottom '[m']]]-WHOLE_STRUCTURE[[#This Row],[Top '[m']]]),"")</f>
        <v/>
      </c>
      <c r="M155" s="58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58" t="str">
        <f t="shared" si="4"/>
        <v/>
      </c>
      <c r="K156" s="58" t="str">
        <f>IFERROR(WHOLE_STRUCTURE[[#This Row],[Bottom '[m']]]-WHOLE_STRUCTURE[[#This Row],[D, top '[m']]], "")</f>
        <v/>
      </c>
      <c r="L156" s="58" t="str">
        <f>IFERROR(-(WHOLE_STRUCTURE[[#This Row],[D, bottom '[m']]]-WHOLE_STRUCTURE[[#This Row],[D, top '[m']]])/(WHOLE_STRUCTURE[[#This Row],[Bottom '[m']]]-WHOLE_STRUCTURE[[#This Row],[Top '[m']]]),"")</f>
        <v/>
      </c>
      <c r="M156" s="58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58" t="str">
        <f t="shared" si="4"/>
        <v/>
      </c>
      <c r="K157" s="58" t="str">
        <f>IFERROR(WHOLE_STRUCTURE[[#This Row],[Bottom '[m']]]-WHOLE_STRUCTURE[[#This Row],[D, top '[m']]], "")</f>
        <v/>
      </c>
      <c r="L157" s="58" t="str">
        <f>IFERROR(-(WHOLE_STRUCTURE[[#This Row],[D, bottom '[m']]]-WHOLE_STRUCTURE[[#This Row],[D, top '[m']]])/(WHOLE_STRUCTURE[[#This Row],[Bottom '[m']]]-WHOLE_STRUCTURE[[#This Row],[Top '[m']]]),"")</f>
        <v/>
      </c>
      <c r="M157" s="58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58" t="str">
        <f t="shared" si="4"/>
        <v/>
      </c>
      <c r="K158" s="58" t="str">
        <f>IFERROR(WHOLE_STRUCTURE[[#This Row],[Bottom '[m']]]-WHOLE_STRUCTURE[[#This Row],[D, top '[m']]], "")</f>
        <v/>
      </c>
      <c r="L158" s="58" t="str">
        <f>IFERROR(-(WHOLE_STRUCTURE[[#This Row],[D, bottom '[m']]]-WHOLE_STRUCTURE[[#This Row],[D, top '[m']]])/(WHOLE_STRUCTURE[[#This Row],[Bottom '[m']]]-WHOLE_STRUCTURE[[#This Row],[Top '[m']]]),"")</f>
        <v/>
      </c>
      <c r="M158" s="58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58" t="str">
        <f t="shared" si="4"/>
        <v/>
      </c>
      <c r="K159" s="58" t="str">
        <f>IFERROR(WHOLE_STRUCTURE[[#This Row],[Bottom '[m']]]-WHOLE_STRUCTURE[[#This Row],[D, top '[m']]], "")</f>
        <v/>
      </c>
      <c r="L159" s="58" t="str">
        <f>IFERROR(-(WHOLE_STRUCTURE[[#This Row],[D, bottom '[m']]]-WHOLE_STRUCTURE[[#This Row],[D, top '[m']]])/(WHOLE_STRUCTURE[[#This Row],[Bottom '[m']]]-WHOLE_STRUCTURE[[#This Row],[Top '[m']]]),"")</f>
        <v/>
      </c>
      <c r="M159" s="58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58" t="str">
        <f t="shared" si="4"/>
        <v/>
      </c>
      <c r="K160" s="58" t="str">
        <f>IFERROR(WHOLE_STRUCTURE[[#This Row],[Bottom '[m']]]-WHOLE_STRUCTURE[[#This Row],[D, top '[m']]], "")</f>
        <v/>
      </c>
      <c r="L160" s="58" t="str">
        <f>IFERROR(-(WHOLE_STRUCTURE[[#This Row],[D, bottom '[m']]]-WHOLE_STRUCTURE[[#This Row],[D, top '[m']]])/(WHOLE_STRUCTURE[[#This Row],[Bottom '[m']]]-WHOLE_STRUCTURE[[#This Row],[Top '[m']]]),"")</f>
        <v/>
      </c>
      <c r="M160" s="58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58" t="str">
        <f t="shared" si="4"/>
        <v/>
      </c>
      <c r="K161" s="58" t="str">
        <f>IFERROR(WHOLE_STRUCTURE[[#This Row],[Bottom '[m']]]-WHOLE_STRUCTURE[[#This Row],[D, top '[m']]], "")</f>
        <v/>
      </c>
      <c r="L161" s="58" t="str">
        <f>IFERROR(-(WHOLE_STRUCTURE[[#This Row],[D, bottom '[m']]]-WHOLE_STRUCTURE[[#This Row],[D, top '[m']]])/(WHOLE_STRUCTURE[[#This Row],[Bottom '[m']]]-WHOLE_STRUCTURE[[#This Row],[Top '[m']]]),"")</f>
        <v/>
      </c>
      <c r="M161" s="58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58" t="str">
        <f t="shared" si="4"/>
        <v/>
      </c>
      <c r="K162" s="58" t="str">
        <f>IFERROR(WHOLE_STRUCTURE[[#This Row],[Bottom '[m']]]-WHOLE_STRUCTURE[[#This Row],[D, top '[m']]], "")</f>
        <v/>
      </c>
      <c r="L162" s="58" t="str">
        <f>IFERROR(-(WHOLE_STRUCTURE[[#This Row],[D, bottom '[m']]]-WHOLE_STRUCTURE[[#This Row],[D, top '[m']]])/(WHOLE_STRUCTURE[[#This Row],[Bottom '[m']]]-WHOLE_STRUCTURE[[#This Row],[Top '[m']]]),"")</f>
        <v/>
      </c>
      <c r="M162" s="58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58" t="str">
        <f t="shared" si="4"/>
        <v/>
      </c>
      <c r="K163" s="58" t="str">
        <f>IFERROR(WHOLE_STRUCTURE[[#This Row],[Bottom '[m']]]-WHOLE_STRUCTURE[[#This Row],[D, top '[m']]], "")</f>
        <v/>
      </c>
      <c r="L163" s="58" t="str">
        <f>IFERROR(-(WHOLE_STRUCTURE[[#This Row],[D, bottom '[m']]]-WHOLE_STRUCTURE[[#This Row],[D, top '[m']]])/(WHOLE_STRUCTURE[[#This Row],[Bottom '[m']]]-WHOLE_STRUCTURE[[#This Row],[Top '[m']]]),"")</f>
        <v/>
      </c>
      <c r="M163" s="58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58" t="str">
        <f t="shared" si="4"/>
        <v/>
      </c>
      <c r="K164" s="58" t="str">
        <f>IFERROR(WHOLE_STRUCTURE[[#This Row],[Bottom '[m']]]-WHOLE_STRUCTURE[[#This Row],[D, top '[m']]], "")</f>
        <v/>
      </c>
      <c r="L164" s="58" t="str">
        <f>IFERROR(-(WHOLE_STRUCTURE[[#This Row],[D, bottom '[m']]]-WHOLE_STRUCTURE[[#This Row],[D, top '[m']]])/(WHOLE_STRUCTURE[[#This Row],[Bottom '[m']]]-WHOLE_STRUCTURE[[#This Row],[Top '[m']]]),"")</f>
        <v/>
      </c>
      <c r="M164" s="58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58" t="str">
        <f t="shared" si="4"/>
        <v/>
      </c>
      <c r="K165" s="58" t="str">
        <f>IFERROR(WHOLE_STRUCTURE[[#This Row],[Bottom '[m']]]-WHOLE_STRUCTURE[[#This Row],[D, top '[m']]], "")</f>
        <v/>
      </c>
      <c r="L165" s="58" t="str">
        <f>IFERROR(-(WHOLE_STRUCTURE[[#This Row],[D, bottom '[m']]]-WHOLE_STRUCTURE[[#This Row],[D, top '[m']]])/(WHOLE_STRUCTURE[[#This Row],[Bottom '[m']]]-WHOLE_STRUCTURE[[#This Row],[Top '[m']]]),"")</f>
        <v/>
      </c>
      <c r="M165" s="58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58" t="str">
        <f t="shared" si="4"/>
        <v/>
      </c>
      <c r="K166" s="58" t="str">
        <f>IFERROR(WHOLE_STRUCTURE[[#This Row],[Bottom '[m']]]-WHOLE_STRUCTURE[[#This Row],[D, top '[m']]], "")</f>
        <v/>
      </c>
      <c r="L166" s="58" t="str">
        <f>IFERROR(-(WHOLE_STRUCTURE[[#This Row],[D, bottom '[m']]]-WHOLE_STRUCTURE[[#This Row],[D, top '[m']]])/(WHOLE_STRUCTURE[[#This Row],[Bottom '[m']]]-WHOLE_STRUCTURE[[#This Row],[Top '[m']]]),"")</f>
        <v/>
      </c>
      <c r="M166" s="58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58" t="str">
        <f t="shared" si="4"/>
        <v/>
      </c>
      <c r="K167" s="58" t="str">
        <f>IFERROR(WHOLE_STRUCTURE[[#This Row],[Bottom '[m']]]-WHOLE_STRUCTURE[[#This Row],[D, top '[m']]], "")</f>
        <v/>
      </c>
      <c r="L167" s="58" t="str">
        <f>IFERROR(-(WHOLE_STRUCTURE[[#This Row],[D, bottom '[m']]]-WHOLE_STRUCTURE[[#This Row],[D, top '[m']]])/(WHOLE_STRUCTURE[[#This Row],[Bottom '[m']]]-WHOLE_STRUCTURE[[#This Row],[Top '[m']]]),"")</f>
        <v/>
      </c>
      <c r="M167" s="58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58" t="str">
        <f t="shared" si="4"/>
        <v/>
      </c>
      <c r="K168" s="58" t="str">
        <f>IFERROR(WHOLE_STRUCTURE[[#This Row],[Bottom '[m']]]-WHOLE_STRUCTURE[[#This Row],[D, top '[m']]], "")</f>
        <v/>
      </c>
      <c r="L168" s="58" t="str">
        <f>IFERROR(-(WHOLE_STRUCTURE[[#This Row],[D, bottom '[m']]]-WHOLE_STRUCTURE[[#This Row],[D, top '[m']]])/(WHOLE_STRUCTURE[[#This Row],[Bottom '[m']]]-WHOLE_STRUCTURE[[#This Row],[Top '[m']]]),"")</f>
        <v/>
      </c>
      <c r="M168" s="58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58" t="str">
        <f t="shared" si="4"/>
        <v/>
      </c>
      <c r="K169" s="58" t="str">
        <f>IFERROR(WHOLE_STRUCTURE[[#This Row],[Bottom '[m']]]-WHOLE_STRUCTURE[[#This Row],[D, top '[m']]], "")</f>
        <v/>
      </c>
      <c r="L169" s="58" t="str">
        <f>IFERROR(-(WHOLE_STRUCTURE[[#This Row],[D, bottom '[m']]]-WHOLE_STRUCTURE[[#This Row],[D, top '[m']]])/(WHOLE_STRUCTURE[[#This Row],[Bottom '[m']]]-WHOLE_STRUCTURE[[#This Row],[Top '[m']]]),"")</f>
        <v/>
      </c>
      <c r="M169" s="58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58" t="str">
        <f t="shared" si="4"/>
        <v/>
      </c>
      <c r="K170" s="58" t="str">
        <f>IFERROR(WHOLE_STRUCTURE[[#This Row],[Bottom '[m']]]-WHOLE_STRUCTURE[[#This Row],[D, top '[m']]], "")</f>
        <v/>
      </c>
      <c r="L170" s="58" t="str">
        <f>IFERROR(-(WHOLE_STRUCTURE[[#This Row],[D, bottom '[m']]]-WHOLE_STRUCTURE[[#This Row],[D, top '[m']]])/(WHOLE_STRUCTURE[[#This Row],[Bottom '[m']]]-WHOLE_STRUCTURE[[#This Row],[Top '[m']]]),"")</f>
        <v/>
      </c>
      <c r="M170" s="58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58" t="str">
        <f t="shared" si="4"/>
        <v/>
      </c>
      <c r="K171" s="58" t="str">
        <f>IFERROR(WHOLE_STRUCTURE[[#This Row],[Bottom '[m']]]-WHOLE_STRUCTURE[[#This Row],[D, top '[m']]], "")</f>
        <v/>
      </c>
      <c r="L171" s="58" t="str">
        <f>IFERROR(-(WHOLE_STRUCTURE[[#This Row],[D, bottom '[m']]]-WHOLE_STRUCTURE[[#This Row],[D, top '[m']]])/(WHOLE_STRUCTURE[[#This Row],[Bottom '[m']]]-WHOLE_STRUCTURE[[#This Row],[Top '[m']]]),"")</f>
        <v/>
      </c>
      <c r="M171" s="58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58" t="str">
        <f t="shared" si="4"/>
        <v/>
      </c>
      <c r="K172" s="58" t="str">
        <f>IFERROR(WHOLE_STRUCTURE[[#This Row],[Bottom '[m']]]-WHOLE_STRUCTURE[[#This Row],[D, top '[m']]], "")</f>
        <v/>
      </c>
      <c r="L172" s="58" t="str">
        <f>IFERROR(-(WHOLE_STRUCTURE[[#This Row],[D, bottom '[m']]]-WHOLE_STRUCTURE[[#This Row],[D, top '[m']]])/(WHOLE_STRUCTURE[[#This Row],[Bottom '[m']]]-WHOLE_STRUCTURE[[#This Row],[Top '[m']]]),"")</f>
        <v/>
      </c>
      <c r="M172" s="58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58" t="str">
        <f t="shared" si="4"/>
        <v/>
      </c>
      <c r="K173" s="58" t="str">
        <f>IFERROR(WHOLE_STRUCTURE[[#This Row],[Bottom '[m']]]-WHOLE_STRUCTURE[[#This Row],[D, top '[m']]], "")</f>
        <v/>
      </c>
      <c r="L173" s="58" t="str">
        <f>IFERROR(-(WHOLE_STRUCTURE[[#This Row],[D, bottom '[m']]]-WHOLE_STRUCTURE[[#This Row],[D, top '[m']]])/(WHOLE_STRUCTURE[[#This Row],[Bottom '[m']]]-WHOLE_STRUCTURE[[#This Row],[Top '[m']]]),"")</f>
        <v/>
      </c>
      <c r="M173" s="58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58" t="str">
        <f t="shared" si="4"/>
        <v/>
      </c>
      <c r="K174" s="58" t="str">
        <f>IFERROR(WHOLE_STRUCTURE[[#This Row],[Bottom '[m']]]-WHOLE_STRUCTURE[[#This Row],[D, top '[m']]], "")</f>
        <v/>
      </c>
      <c r="L174" s="58" t="str">
        <f>IFERROR(-(WHOLE_STRUCTURE[[#This Row],[D, bottom '[m']]]-WHOLE_STRUCTURE[[#This Row],[D, top '[m']]])/(WHOLE_STRUCTURE[[#This Row],[Bottom '[m']]]-WHOLE_STRUCTURE[[#This Row],[Top '[m']]]),"")</f>
        <v/>
      </c>
      <c r="M174" s="58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58" t="str">
        <f t="shared" si="4"/>
        <v/>
      </c>
      <c r="K175" s="58" t="str">
        <f>IFERROR(WHOLE_STRUCTURE[[#This Row],[Bottom '[m']]]-WHOLE_STRUCTURE[[#This Row],[D, top '[m']]], "")</f>
        <v/>
      </c>
      <c r="L175" s="58" t="str">
        <f>IFERROR(-(WHOLE_STRUCTURE[[#This Row],[D, bottom '[m']]]-WHOLE_STRUCTURE[[#This Row],[D, top '[m']]])/(WHOLE_STRUCTURE[[#This Row],[Bottom '[m']]]-WHOLE_STRUCTURE[[#This Row],[Top '[m']]]),"")</f>
        <v/>
      </c>
      <c r="M175" s="58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58" t="str">
        <f t="shared" si="4"/>
        <v/>
      </c>
      <c r="K176" s="58" t="str">
        <f>IFERROR(WHOLE_STRUCTURE[[#This Row],[Bottom '[m']]]-WHOLE_STRUCTURE[[#This Row],[D, top '[m']]], "")</f>
        <v/>
      </c>
      <c r="L176" s="58" t="str">
        <f>IFERROR(-(WHOLE_STRUCTURE[[#This Row],[D, bottom '[m']]]-WHOLE_STRUCTURE[[#This Row],[D, top '[m']]])/(WHOLE_STRUCTURE[[#This Row],[Bottom '[m']]]-WHOLE_STRUCTURE[[#This Row],[Top '[m']]]),"")</f>
        <v/>
      </c>
      <c r="M176" s="58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58" t="str">
        <f t="shared" si="4"/>
        <v/>
      </c>
      <c r="K177" s="58" t="str">
        <f>IFERROR(WHOLE_STRUCTURE[[#This Row],[Bottom '[m']]]-WHOLE_STRUCTURE[[#This Row],[D, top '[m']]], "")</f>
        <v/>
      </c>
      <c r="L177" s="58" t="str">
        <f>IFERROR(-(WHOLE_STRUCTURE[[#This Row],[D, bottom '[m']]]-WHOLE_STRUCTURE[[#This Row],[D, top '[m']]])/(WHOLE_STRUCTURE[[#This Row],[Bottom '[m']]]-WHOLE_STRUCTURE[[#This Row],[Top '[m']]]),"")</f>
        <v/>
      </c>
      <c r="M177" s="58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58" t="str">
        <f t="shared" si="4"/>
        <v/>
      </c>
      <c r="K178" s="58" t="str">
        <f>IFERROR(WHOLE_STRUCTURE[[#This Row],[Bottom '[m']]]-WHOLE_STRUCTURE[[#This Row],[D, top '[m']]], "")</f>
        <v/>
      </c>
      <c r="L178" s="58" t="str">
        <f>IFERROR(-(WHOLE_STRUCTURE[[#This Row],[D, bottom '[m']]]-WHOLE_STRUCTURE[[#This Row],[D, top '[m']]])/(WHOLE_STRUCTURE[[#This Row],[Bottom '[m']]]-WHOLE_STRUCTURE[[#This Row],[Top '[m']]]),"")</f>
        <v/>
      </c>
      <c r="M178" s="58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58" t="str">
        <f t="shared" si="4"/>
        <v/>
      </c>
      <c r="K179" s="58" t="str">
        <f>IFERROR(WHOLE_STRUCTURE[[#This Row],[Bottom '[m']]]-WHOLE_STRUCTURE[[#This Row],[D, top '[m']]], "")</f>
        <v/>
      </c>
      <c r="L179" s="58" t="str">
        <f>IFERROR(-(WHOLE_STRUCTURE[[#This Row],[D, bottom '[m']]]-WHOLE_STRUCTURE[[#This Row],[D, top '[m']]])/(WHOLE_STRUCTURE[[#This Row],[Bottom '[m']]]-WHOLE_STRUCTURE[[#This Row],[Top '[m']]]),"")</f>
        <v/>
      </c>
      <c r="M179" s="58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58" t="str">
        <f t="shared" si="4"/>
        <v/>
      </c>
      <c r="K180" s="58" t="str">
        <f>IFERROR(WHOLE_STRUCTURE[[#This Row],[Bottom '[m']]]-WHOLE_STRUCTURE[[#This Row],[D, top '[m']]], "")</f>
        <v/>
      </c>
      <c r="L180" s="58" t="str">
        <f>IFERROR(-(WHOLE_STRUCTURE[[#This Row],[D, bottom '[m']]]-WHOLE_STRUCTURE[[#This Row],[D, top '[m']]])/(WHOLE_STRUCTURE[[#This Row],[Bottom '[m']]]-WHOLE_STRUCTURE[[#This Row],[Top '[m']]]),"")</f>
        <v/>
      </c>
      <c r="M180" s="58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58" t="str">
        <f t="shared" si="4"/>
        <v/>
      </c>
      <c r="K181" s="58" t="str">
        <f>IFERROR(WHOLE_STRUCTURE[[#This Row],[Bottom '[m']]]-WHOLE_STRUCTURE[[#This Row],[D, top '[m']]], "")</f>
        <v/>
      </c>
      <c r="L181" s="58" t="str">
        <f>IFERROR(-(WHOLE_STRUCTURE[[#This Row],[D, bottom '[m']]]-WHOLE_STRUCTURE[[#This Row],[D, top '[m']]])/(WHOLE_STRUCTURE[[#This Row],[Bottom '[m']]]-WHOLE_STRUCTURE[[#This Row],[Top '[m']]]),"")</f>
        <v/>
      </c>
      <c r="M181" s="58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58" t="str">
        <f t="shared" si="4"/>
        <v/>
      </c>
      <c r="K182" s="58" t="str">
        <f>IFERROR(WHOLE_STRUCTURE[[#This Row],[Bottom '[m']]]-WHOLE_STRUCTURE[[#This Row],[D, top '[m']]], "")</f>
        <v/>
      </c>
      <c r="L182" s="58" t="str">
        <f>IFERROR(-(WHOLE_STRUCTURE[[#This Row],[D, bottom '[m']]]-WHOLE_STRUCTURE[[#This Row],[D, top '[m']]])/(WHOLE_STRUCTURE[[#This Row],[Bottom '[m']]]-WHOLE_STRUCTURE[[#This Row],[Top '[m']]]),"")</f>
        <v/>
      </c>
      <c r="M182" s="58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58" t="str">
        <f t="shared" si="4"/>
        <v/>
      </c>
      <c r="K183" s="58" t="str">
        <f>IFERROR(WHOLE_STRUCTURE[[#This Row],[Bottom '[m']]]-WHOLE_STRUCTURE[[#This Row],[D, top '[m']]], "")</f>
        <v/>
      </c>
      <c r="L183" s="58" t="str">
        <f>IFERROR(-(WHOLE_STRUCTURE[[#This Row],[D, bottom '[m']]]-WHOLE_STRUCTURE[[#This Row],[D, top '[m']]])/(WHOLE_STRUCTURE[[#This Row],[Bottom '[m']]]-WHOLE_STRUCTURE[[#This Row],[Top '[m']]]),"")</f>
        <v/>
      </c>
      <c r="M183" s="58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58" t="str">
        <f t="shared" si="4"/>
        <v/>
      </c>
      <c r="K184" s="58" t="str">
        <f>IFERROR(WHOLE_STRUCTURE[[#This Row],[Bottom '[m']]]-WHOLE_STRUCTURE[[#This Row],[D, top '[m']]], "")</f>
        <v/>
      </c>
      <c r="L184" s="58" t="str">
        <f>IFERROR(-(WHOLE_STRUCTURE[[#This Row],[D, bottom '[m']]]-WHOLE_STRUCTURE[[#This Row],[D, top '[m']]])/(WHOLE_STRUCTURE[[#This Row],[Bottom '[m']]]-WHOLE_STRUCTURE[[#This Row],[Top '[m']]]),"")</f>
        <v/>
      </c>
      <c r="M184" s="58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58" t="str">
        <f t="shared" si="4"/>
        <v/>
      </c>
      <c r="K185" s="58" t="str">
        <f>IFERROR(WHOLE_STRUCTURE[[#This Row],[Bottom '[m']]]-WHOLE_STRUCTURE[[#This Row],[D, top '[m']]], "")</f>
        <v/>
      </c>
      <c r="L185" s="58" t="str">
        <f>IFERROR(-(WHOLE_STRUCTURE[[#This Row],[D, bottom '[m']]]-WHOLE_STRUCTURE[[#This Row],[D, top '[m']]])/(WHOLE_STRUCTURE[[#This Row],[Bottom '[m']]]-WHOLE_STRUCTURE[[#This Row],[Top '[m']]]),"")</f>
        <v/>
      </c>
      <c r="M185" s="58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58" t="str">
        <f t="shared" si="4"/>
        <v/>
      </c>
      <c r="K186" s="58" t="str">
        <f>IFERROR(WHOLE_STRUCTURE[[#This Row],[Bottom '[m']]]-WHOLE_STRUCTURE[[#This Row],[D, top '[m']]], "")</f>
        <v/>
      </c>
      <c r="L186" s="58" t="str">
        <f>IFERROR(-(WHOLE_STRUCTURE[[#This Row],[D, bottom '[m']]]-WHOLE_STRUCTURE[[#This Row],[D, top '[m']]])/(WHOLE_STRUCTURE[[#This Row],[Bottom '[m']]]-WHOLE_STRUCTURE[[#This Row],[Top '[m']]]),"")</f>
        <v/>
      </c>
      <c r="M186" s="58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58" t="str">
        <f t="shared" si="4"/>
        <v/>
      </c>
      <c r="K187" s="58" t="str">
        <f>IFERROR(WHOLE_STRUCTURE[[#This Row],[Bottom '[m']]]-WHOLE_STRUCTURE[[#This Row],[D, top '[m']]], "")</f>
        <v/>
      </c>
      <c r="L187" s="58" t="str">
        <f>IFERROR(-(WHOLE_STRUCTURE[[#This Row],[D, bottom '[m']]]-WHOLE_STRUCTURE[[#This Row],[D, top '[m']]])/(WHOLE_STRUCTURE[[#This Row],[Bottom '[m']]]-WHOLE_STRUCTURE[[#This Row],[Top '[m']]]),"")</f>
        <v/>
      </c>
      <c r="M187" s="58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58" t="str">
        <f t="shared" ref="J188:J251" si="5">IF(7850/1000*(1/3)*PI()*ABS(E188-F188)*((G188/2)^2+(G188/2)*(H188/2)+(H188/2)^2-(G188/2-I188/1000)^2-(G188/2-I188/1000)*(H188/2-I188/1000)-(H188/2-I188/1000)^2)=0,"",7850/1000*(1/3)*PI()*ABS(E188-F188)*((G188/2)^2+(G188/2)*(H188/2)+(H188/2)^2-(G188/2-I188/1000)^2-(G188/2-I188/1000)*(H188/2-I188/1000)-(H188/2-I188/1000)^2))</f>
        <v/>
      </c>
      <c r="K188" s="58" t="str">
        <f>IFERROR(WHOLE_STRUCTURE[[#This Row],[Bottom '[m']]]-WHOLE_STRUCTURE[[#This Row],[D, top '[m']]], "")</f>
        <v/>
      </c>
      <c r="L188" s="58" t="str">
        <f>IFERROR(-(WHOLE_STRUCTURE[[#This Row],[D, bottom '[m']]]-WHOLE_STRUCTURE[[#This Row],[D, top '[m']]])/(WHOLE_STRUCTURE[[#This Row],[Bottom '[m']]]-WHOLE_STRUCTURE[[#This Row],[Top '[m']]]),"")</f>
        <v/>
      </c>
      <c r="M188" s="58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58" t="str">
        <f t="shared" si="5"/>
        <v/>
      </c>
      <c r="K189" s="58" t="str">
        <f>IFERROR(WHOLE_STRUCTURE[[#This Row],[Bottom '[m']]]-WHOLE_STRUCTURE[[#This Row],[D, top '[m']]], "")</f>
        <v/>
      </c>
      <c r="L189" s="58" t="str">
        <f>IFERROR(-(WHOLE_STRUCTURE[[#This Row],[D, bottom '[m']]]-WHOLE_STRUCTURE[[#This Row],[D, top '[m']]])/(WHOLE_STRUCTURE[[#This Row],[Bottom '[m']]]-WHOLE_STRUCTURE[[#This Row],[Top '[m']]]),"")</f>
        <v/>
      </c>
      <c r="M189" s="58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58" t="str">
        <f t="shared" si="5"/>
        <v/>
      </c>
      <c r="K190" s="58" t="str">
        <f>IFERROR(WHOLE_STRUCTURE[[#This Row],[Bottom '[m']]]-WHOLE_STRUCTURE[[#This Row],[D, top '[m']]], "")</f>
        <v/>
      </c>
      <c r="L190" s="58" t="str">
        <f>IFERROR(-(WHOLE_STRUCTURE[[#This Row],[D, bottom '[m']]]-WHOLE_STRUCTURE[[#This Row],[D, top '[m']]])/(WHOLE_STRUCTURE[[#This Row],[Bottom '[m']]]-WHOLE_STRUCTURE[[#This Row],[Top '[m']]]),"")</f>
        <v/>
      </c>
      <c r="M190" s="58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58" t="str">
        <f t="shared" si="5"/>
        <v/>
      </c>
      <c r="K191" s="58" t="str">
        <f>IFERROR(WHOLE_STRUCTURE[[#This Row],[Bottom '[m']]]-WHOLE_STRUCTURE[[#This Row],[D, top '[m']]], "")</f>
        <v/>
      </c>
      <c r="L191" s="58" t="str">
        <f>IFERROR(-(WHOLE_STRUCTURE[[#This Row],[D, bottom '[m']]]-WHOLE_STRUCTURE[[#This Row],[D, top '[m']]])/(WHOLE_STRUCTURE[[#This Row],[Bottom '[m']]]-WHOLE_STRUCTURE[[#This Row],[Top '[m']]]),"")</f>
        <v/>
      </c>
      <c r="M191" s="58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58" t="str">
        <f t="shared" si="5"/>
        <v/>
      </c>
      <c r="K192" s="58" t="str">
        <f>IFERROR(WHOLE_STRUCTURE[[#This Row],[Bottom '[m']]]-WHOLE_STRUCTURE[[#This Row],[D, top '[m']]], "")</f>
        <v/>
      </c>
      <c r="L192" s="58" t="str">
        <f>IFERROR(-(WHOLE_STRUCTURE[[#This Row],[D, bottom '[m']]]-WHOLE_STRUCTURE[[#This Row],[D, top '[m']]])/(WHOLE_STRUCTURE[[#This Row],[Bottom '[m']]]-WHOLE_STRUCTURE[[#This Row],[Top '[m']]]),"")</f>
        <v/>
      </c>
      <c r="M192" s="58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58" t="str">
        <f t="shared" si="5"/>
        <v/>
      </c>
      <c r="K193" s="58" t="str">
        <f>IFERROR(WHOLE_STRUCTURE[[#This Row],[Bottom '[m']]]-WHOLE_STRUCTURE[[#This Row],[D, top '[m']]], "")</f>
        <v/>
      </c>
      <c r="L193" s="58" t="str">
        <f>IFERROR(-(WHOLE_STRUCTURE[[#This Row],[D, bottom '[m']]]-WHOLE_STRUCTURE[[#This Row],[D, top '[m']]])/(WHOLE_STRUCTURE[[#This Row],[Bottom '[m']]]-WHOLE_STRUCTURE[[#This Row],[Top '[m']]]),"")</f>
        <v/>
      </c>
      <c r="M193" s="58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58" t="str">
        <f t="shared" si="5"/>
        <v/>
      </c>
      <c r="K194" s="58" t="str">
        <f>IFERROR(WHOLE_STRUCTURE[[#This Row],[Bottom '[m']]]-WHOLE_STRUCTURE[[#This Row],[D, top '[m']]], "")</f>
        <v/>
      </c>
      <c r="L194" s="58" t="str">
        <f>IFERROR(-(WHOLE_STRUCTURE[[#This Row],[D, bottom '[m']]]-WHOLE_STRUCTURE[[#This Row],[D, top '[m']]])/(WHOLE_STRUCTURE[[#This Row],[Bottom '[m']]]-WHOLE_STRUCTURE[[#This Row],[Top '[m']]]),"")</f>
        <v/>
      </c>
      <c r="M194" s="58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58" t="str">
        <f t="shared" si="5"/>
        <v/>
      </c>
      <c r="K195" s="58" t="str">
        <f>IFERROR(WHOLE_STRUCTURE[[#This Row],[Bottom '[m']]]-WHOLE_STRUCTURE[[#This Row],[D, top '[m']]], "")</f>
        <v/>
      </c>
      <c r="L195" s="58" t="str">
        <f>IFERROR(-(WHOLE_STRUCTURE[[#This Row],[D, bottom '[m']]]-WHOLE_STRUCTURE[[#This Row],[D, top '[m']]])/(WHOLE_STRUCTURE[[#This Row],[Bottom '[m']]]-WHOLE_STRUCTURE[[#This Row],[Top '[m']]]),"")</f>
        <v/>
      </c>
      <c r="M195" s="58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58" t="str">
        <f t="shared" si="5"/>
        <v/>
      </c>
      <c r="K196" s="58" t="str">
        <f>IFERROR(WHOLE_STRUCTURE[[#This Row],[Bottom '[m']]]-WHOLE_STRUCTURE[[#This Row],[D, top '[m']]], "")</f>
        <v/>
      </c>
      <c r="L196" s="58" t="str">
        <f>IFERROR(-(WHOLE_STRUCTURE[[#This Row],[D, bottom '[m']]]-WHOLE_STRUCTURE[[#This Row],[D, top '[m']]])/(WHOLE_STRUCTURE[[#This Row],[Bottom '[m']]]-WHOLE_STRUCTURE[[#This Row],[Top '[m']]]),"")</f>
        <v/>
      </c>
      <c r="M196" s="58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58" t="str">
        <f t="shared" si="5"/>
        <v/>
      </c>
      <c r="K197" s="58" t="str">
        <f>IFERROR(WHOLE_STRUCTURE[[#This Row],[Bottom '[m']]]-WHOLE_STRUCTURE[[#This Row],[D, top '[m']]], "")</f>
        <v/>
      </c>
      <c r="L197" s="58" t="str">
        <f>IFERROR(-(WHOLE_STRUCTURE[[#This Row],[D, bottom '[m']]]-WHOLE_STRUCTURE[[#This Row],[D, top '[m']]])/(WHOLE_STRUCTURE[[#This Row],[Bottom '[m']]]-WHOLE_STRUCTURE[[#This Row],[Top '[m']]]),"")</f>
        <v/>
      </c>
      <c r="M197" s="58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58" t="str">
        <f t="shared" si="5"/>
        <v/>
      </c>
      <c r="K198" s="58" t="str">
        <f>IFERROR(WHOLE_STRUCTURE[[#This Row],[Bottom '[m']]]-WHOLE_STRUCTURE[[#This Row],[D, top '[m']]], "")</f>
        <v/>
      </c>
      <c r="L198" s="58" t="str">
        <f>IFERROR(-(WHOLE_STRUCTURE[[#This Row],[D, bottom '[m']]]-WHOLE_STRUCTURE[[#This Row],[D, top '[m']]])/(WHOLE_STRUCTURE[[#This Row],[Bottom '[m']]]-WHOLE_STRUCTURE[[#This Row],[Top '[m']]]),"")</f>
        <v/>
      </c>
      <c r="M198" s="58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58" t="str">
        <f t="shared" si="5"/>
        <v/>
      </c>
      <c r="K199" s="58" t="str">
        <f>IFERROR(WHOLE_STRUCTURE[[#This Row],[Bottom '[m']]]-WHOLE_STRUCTURE[[#This Row],[D, top '[m']]], "")</f>
        <v/>
      </c>
      <c r="L199" s="58" t="str">
        <f>IFERROR(-(WHOLE_STRUCTURE[[#This Row],[D, bottom '[m']]]-WHOLE_STRUCTURE[[#This Row],[D, top '[m']]])/(WHOLE_STRUCTURE[[#This Row],[Bottom '[m']]]-WHOLE_STRUCTURE[[#This Row],[Top '[m']]]),"")</f>
        <v/>
      </c>
      <c r="M199" s="58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58" t="str">
        <f t="shared" si="5"/>
        <v/>
      </c>
      <c r="K200" s="58" t="str">
        <f>IFERROR(WHOLE_STRUCTURE[[#This Row],[Bottom '[m']]]-WHOLE_STRUCTURE[[#This Row],[D, top '[m']]], "")</f>
        <v/>
      </c>
      <c r="L200" s="58" t="str">
        <f>IFERROR(-(WHOLE_STRUCTURE[[#This Row],[D, bottom '[m']]]-WHOLE_STRUCTURE[[#This Row],[D, top '[m']]])/(WHOLE_STRUCTURE[[#This Row],[Bottom '[m']]]-WHOLE_STRUCTURE[[#This Row],[Top '[m']]]),"")</f>
        <v/>
      </c>
      <c r="M200" s="58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58" t="str">
        <f t="shared" si="5"/>
        <v/>
      </c>
      <c r="K201" s="58" t="str">
        <f>IFERROR(WHOLE_STRUCTURE[[#This Row],[Bottom '[m']]]-WHOLE_STRUCTURE[[#This Row],[D, top '[m']]], "")</f>
        <v/>
      </c>
      <c r="L201" s="58" t="str">
        <f>IFERROR(-(WHOLE_STRUCTURE[[#This Row],[D, bottom '[m']]]-WHOLE_STRUCTURE[[#This Row],[D, top '[m']]])/(WHOLE_STRUCTURE[[#This Row],[Bottom '[m']]]-WHOLE_STRUCTURE[[#This Row],[Top '[m']]]),"")</f>
        <v/>
      </c>
      <c r="M201" s="58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58" t="str">
        <f t="shared" si="5"/>
        <v/>
      </c>
      <c r="K202" s="58" t="str">
        <f>IFERROR(WHOLE_STRUCTURE[[#This Row],[Bottom '[m']]]-WHOLE_STRUCTURE[[#This Row],[D, top '[m']]], "")</f>
        <v/>
      </c>
      <c r="L202" s="58" t="str">
        <f>IFERROR(-(WHOLE_STRUCTURE[[#This Row],[D, bottom '[m']]]-WHOLE_STRUCTURE[[#This Row],[D, top '[m']]])/(WHOLE_STRUCTURE[[#This Row],[Bottom '[m']]]-WHOLE_STRUCTURE[[#This Row],[Top '[m']]]),"")</f>
        <v/>
      </c>
      <c r="M202" s="58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58" t="str">
        <f t="shared" si="5"/>
        <v/>
      </c>
      <c r="K203" s="58" t="str">
        <f>IFERROR(WHOLE_STRUCTURE[[#This Row],[Bottom '[m']]]-WHOLE_STRUCTURE[[#This Row],[D, top '[m']]], "")</f>
        <v/>
      </c>
      <c r="L203" s="58" t="str">
        <f>IFERROR(-(WHOLE_STRUCTURE[[#This Row],[D, bottom '[m']]]-WHOLE_STRUCTURE[[#This Row],[D, top '[m']]])/(WHOLE_STRUCTURE[[#This Row],[Bottom '[m']]]-WHOLE_STRUCTURE[[#This Row],[Top '[m']]]),"")</f>
        <v/>
      </c>
      <c r="M203" s="58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58" t="str">
        <f t="shared" si="5"/>
        <v/>
      </c>
      <c r="K204" s="58" t="str">
        <f>IFERROR(WHOLE_STRUCTURE[[#This Row],[Bottom '[m']]]-WHOLE_STRUCTURE[[#This Row],[D, top '[m']]], "")</f>
        <v/>
      </c>
      <c r="L204" s="58" t="str">
        <f>IFERROR(-(WHOLE_STRUCTURE[[#This Row],[D, bottom '[m']]]-WHOLE_STRUCTURE[[#This Row],[D, top '[m']]])/(WHOLE_STRUCTURE[[#This Row],[Bottom '[m']]]-WHOLE_STRUCTURE[[#This Row],[Top '[m']]]),"")</f>
        <v/>
      </c>
      <c r="M204" s="58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58" t="str">
        <f t="shared" si="5"/>
        <v/>
      </c>
      <c r="K205" s="58" t="str">
        <f>IFERROR(WHOLE_STRUCTURE[[#This Row],[Bottom '[m']]]-WHOLE_STRUCTURE[[#This Row],[D, top '[m']]], "")</f>
        <v/>
      </c>
      <c r="L205" s="58" t="str">
        <f>IFERROR(-(WHOLE_STRUCTURE[[#This Row],[D, bottom '[m']]]-WHOLE_STRUCTURE[[#This Row],[D, top '[m']]])/(WHOLE_STRUCTURE[[#This Row],[Bottom '[m']]]-WHOLE_STRUCTURE[[#This Row],[Top '[m']]]),"")</f>
        <v/>
      </c>
      <c r="M205" s="58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58" t="str">
        <f t="shared" si="5"/>
        <v/>
      </c>
      <c r="K206" s="58" t="str">
        <f>IFERROR(WHOLE_STRUCTURE[[#This Row],[Bottom '[m']]]-WHOLE_STRUCTURE[[#This Row],[D, top '[m']]], "")</f>
        <v/>
      </c>
      <c r="L206" s="58" t="str">
        <f>IFERROR(-(WHOLE_STRUCTURE[[#This Row],[D, bottom '[m']]]-WHOLE_STRUCTURE[[#This Row],[D, top '[m']]])/(WHOLE_STRUCTURE[[#This Row],[Bottom '[m']]]-WHOLE_STRUCTURE[[#This Row],[Top '[m']]]),"")</f>
        <v/>
      </c>
      <c r="M206" s="58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58" t="str">
        <f t="shared" si="5"/>
        <v/>
      </c>
      <c r="K207" s="58" t="str">
        <f>IFERROR(WHOLE_STRUCTURE[[#This Row],[Bottom '[m']]]-WHOLE_STRUCTURE[[#This Row],[D, top '[m']]], "")</f>
        <v/>
      </c>
      <c r="L207" s="58" t="str">
        <f>IFERROR(-(WHOLE_STRUCTURE[[#This Row],[D, bottom '[m']]]-WHOLE_STRUCTURE[[#This Row],[D, top '[m']]])/(WHOLE_STRUCTURE[[#This Row],[Bottom '[m']]]-WHOLE_STRUCTURE[[#This Row],[Top '[m']]]),"")</f>
        <v/>
      </c>
      <c r="M207" s="58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58" t="str">
        <f t="shared" si="5"/>
        <v/>
      </c>
      <c r="K208" s="58" t="str">
        <f>IFERROR(WHOLE_STRUCTURE[[#This Row],[Bottom '[m']]]-WHOLE_STRUCTURE[[#This Row],[D, top '[m']]], "")</f>
        <v/>
      </c>
      <c r="L208" s="58" t="str">
        <f>IFERROR(-(WHOLE_STRUCTURE[[#This Row],[D, bottom '[m']]]-WHOLE_STRUCTURE[[#This Row],[D, top '[m']]])/(WHOLE_STRUCTURE[[#This Row],[Bottom '[m']]]-WHOLE_STRUCTURE[[#This Row],[Top '[m']]]),"")</f>
        <v/>
      </c>
      <c r="M208" s="58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58" t="str">
        <f t="shared" si="5"/>
        <v/>
      </c>
      <c r="K209" s="58" t="str">
        <f>IFERROR(WHOLE_STRUCTURE[[#This Row],[Bottom '[m']]]-WHOLE_STRUCTURE[[#This Row],[D, top '[m']]], "")</f>
        <v/>
      </c>
      <c r="L209" s="58" t="str">
        <f>IFERROR(-(WHOLE_STRUCTURE[[#This Row],[D, bottom '[m']]]-WHOLE_STRUCTURE[[#This Row],[D, top '[m']]])/(WHOLE_STRUCTURE[[#This Row],[Bottom '[m']]]-WHOLE_STRUCTURE[[#This Row],[Top '[m']]]),"")</f>
        <v/>
      </c>
      <c r="M209" s="58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58" t="str">
        <f t="shared" si="5"/>
        <v/>
      </c>
      <c r="K210" s="58" t="str">
        <f>IFERROR(WHOLE_STRUCTURE[[#This Row],[Bottom '[m']]]-WHOLE_STRUCTURE[[#This Row],[D, top '[m']]], "")</f>
        <v/>
      </c>
      <c r="L210" s="58" t="str">
        <f>IFERROR(-(WHOLE_STRUCTURE[[#This Row],[D, bottom '[m']]]-WHOLE_STRUCTURE[[#This Row],[D, top '[m']]])/(WHOLE_STRUCTURE[[#This Row],[Bottom '[m']]]-WHOLE_STRUCTURE[[#This Row],[Top '[m']]]),"")</f>
        <v/>
      </c>
      <c r="M210" s="58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58" t="str">
        <f t="shared" si="5"/>
        <v/>
      </c>
      <c r="K211" s="58" t="str">
        <f>IFERROR(WHOLE_STRUCTURE[[#This Row],[Bottom '[m']]]-WHOLE_STRUCTURE[[#This Row],[D, top '[m']]], "")</f>
        <v/>
      </c>
      <c r="L211" s="58" t="str">
        <f>IFERROR(-(WHOLE_STRUCTURE[[#This Row],[D, bottom '[m']]]-WHOLE_STRUCTURE[[#This Row],[D, top '[m']]])/(WHOLE_STRUCTURE[[#This Row],[Bottom '[m']]]-WHOLE_STRUCTURE[[#This Row],[Top '[m']]]),"")</f>
        <v/>
      </c>
      <c r="M211" s="58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58" t="str">
        <f t="shared" si="5"/>
        <v/>
      </c>
      <c r="K212" s="58" t="str">
        <f>IFERROR(WHOLE_STRUCTURE[[#This Row],[Bottom '[m']]]-WHOLE_STRUCTURE[[#This Row],[D, top '[m']]], "")</f>
        <v/>
      </c>
      <c r="L212" s="58" t="str">
        <f>IFERROR(-(WHOLE_STRUCTURE[[#This Row],[D, bottom '[m']]]-WHOLE_STRUCTURE[[#This Row],[D, top '[m']]])/(WHOLE_STRUCTURE[[#This Row],[Bottom '[m']]]-WHOLE_STRUCTURE[[#This Row],[Top '[m']]]),"")</f>
        <v/>
      </c>
      <c r="M212" s="58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58" t="str">
        <f t="shared" si="5"/>
        <v/>
      </c>
      <c r="K213" s="58" t="str">
        <f>IFERROR(WHOLE_STRUCTURE[[#This Row],[Bottom '[m']]]-WHOLE_STRUCTURE[[#This Row],[D, top '[m']]], "")</f>
        <v/>
      </c>
      <c r="L213" s="58" t="str">
        <f>IFERROR(-(WHOLE_STRUCTURE[[#This Row],[D, bottom '[m']]]-WHOLE_STRUCTURE[[#This Row],[D, top '[m']]])/(WHOLE_STRUCTURE[[#This Row],[Bottom '[m']]]-WHOLE_STRUCTURE[[#This Row],[Top '[m']]]),"")</f>
        <v/>
      </c>
      <c r="M213" s="58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58" t="str">
        <f t="shared" si="5"/>
        <v/>
      </c>
      <c r="K214" s="58" t="str">
        <f>IFERROR(WHOLE_STRUCTURE[[#This Row],[Bottom '[m']]]-WHOLE_STRUCTURE[[#This Row],[D, top '[m']]], "")</f>
        <v/>
      </c>
      <c r="L214" s="58" t="str">
        <f>IFERROR(-(WHOLE_STRUCTURE[[#This Row],[D, bottom '[m']]]-WHOLE_STRUCTURE[[#This Row],[D, top '[m']]])/(WHOLE_STRUCTURE[[#This Row],[Bottom '[m']]]-WHOLE_STRUCTURE[[#This Row],[Top '[m']]]),"")</f>
        <v/>
      </c>
      <c r="M214" s="58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58" t="str">
        <f t="shared" si="5"/>
        <v/>
      </c>
      <c r="K215" s="58" t="str">
        <f>IFERROR(WHOLE_STRUCTURE[[#This Row],[Bottom '[m']]]-WHOLE_STRUCTURE[[#This Row],[D, top '[m']]], "")</f>
        <v/>
      </c>
      <c r="L215" s="58" t="str">
        <f>IFERROR(-(WHOLE_STRUCTURE[[#This Row],[D, bottom '[m']]]-WHOLE_STRUCTURE[[#This Row],[D, top '[m']]])/(WHOLE_STRUCTURE[[#This Row],[Bottom '[m']]]-WHOLE_STRUCTURE[[#This Row],[Top '[m']]]),"")</f>
        <v/>
      </c>
      <c r="M215" s="58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58" t="str">
        <f t="shared" si="5"/>
        <v/>
      </c>
      <c r="K216" s="58" t="str">
        <f>IFERROR(WHOLE_STRUCTURE[[#This Row],[Bottom '[m']]]-WHOLE_STRUCTURE[[#This Row],[D, top '[m']]], "")</f>
        <v/>
      </c>
      <c r="L216" s="58" t="str">
        <f>IFERROR(-(WHOLE_STRUCTURE[[#This Row],[D, bottom '[m']]]-WHOLE_STRUCTURE[[#This Row],[D, top '[m']]])/(WHOLE_STRUCTURE[[#This Row],[Bottom '[m']]]-WHOLE_STRUCTURE[[#This Row],[Top '[m']]]),"")</f>
        <v/>
      </c>
      <c r="M216" s="58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58" t="str">
        <f t="shared" si="5"/>
        <v/>
      </c>
      <c r="K217" s="58" t="str">
        <f>IFERROR(WHOLE_STRUCTURE[[#This Row],[Bottom '[m']]]-WHOLE_STRUCTURE[[#This Row],[D, top '[m']]], "")</f>
        <v/>
      </c>
      <c r="L217" s="58" t="str">
        <f>IFERROR(-(WHOLE_STRUCTURE[[#This Row],[D, bottom '[m']]]-WHOLE_STRUCTURE[[#This Row],[D, top '[m']]])/(WHOLE_STRUCTURE[[#This Row],[Bottom '[m']]]-WHOLE_STRUCTURE[[#This Row],[Top '[m']]]),"")</f>
        <v/>
      </c>
      <c r="M217" s="58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58" t="str">
        <f t="shared" si="5"/>
        <v/>
      </c>
      <c r="K218" s="58" t="str">
        <f>IFERROR(WHOLE_STRUCTURE[[#This Row],[Bottom '[m']]]-WHOLE_STRUCTURE[[#This Row],[D, top '[m']]], "")</f>
        <v/>
      </c>
      <c r="L218" s="58" t="str">
        <f>IFERROR(-(WHOLE_STRUCTURE[[#This Row],[D, bottom '[m']]]-WHOLE_STRUCTURE[[#This Row],[D, top '[m']]])/(WHOLE_STRUCTURE[[#This Row],[Bottom '[m']]]-WHOLE_STRUCTURE[[#This Row],[Top '[m']]]),"")</f>
        <v/>
      </c>
      <c r="M218" s="58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58" t="str">
        <f t="shared" si="5"/>
        <v/>
      </c>
      <c r="K219" s="58" t="str">
        <f>IFERROR(WHOLE_STRUCTURE[[#This Row],[Bottom '[m']]]-WHOLE_STRUCTURE[[#This Row],[D, top '[m']]], "")</f>
        <v/>
      </c>
      <c r="L219" s="58" t="str">
        <f>IFERROR(-(WHOLE_STRUCTURE[[#This Row],[D, bottom '[m']]]-WHOLE_STRUCTURE[[#This Row],[D, top '[m']]])/(WHOLE_STRUCTURE[[#This Row],[Bottom '[m']]]-WHOLE_STRUCTURE[[#This Row],[Top '[m']]]),"")</f>
        <v/>
      </c>
      <c r="M219" s="58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58" t="str">
        <f t="shared" si="5"/>
        <v/>
      </c>
      <c r="K220" s="58" t="str">
        <f>IFERROR(WHOLE_STRUCTURE[[#This Row],[Bottom '[m']]]-WHOLE_STRUCTURE[[#This Row],[D, top '[m']]], "")</f>
        <v/>
      </c>
      <c r="L220" s="58" t="str">
        <f>IFERROR(-(WHOLE_STRUCTURE[[#This Row],[D, bottom '[m']]]-WHOLE_STRUCTURE[[#This Row],[D, top '[m']]])/(WHOLE_STRUCTURE[[#This Row],[Bottom '[m']]]-WHOLE_STRUCTURE[[#This Row],[Top '[m']]]),"")</f>
        <v/>
      </c>
      <c r="M220" s="58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58" t="str">
        <f t="shared" si="5"/>
        <v/>
      </c>
      <c r="K221" s="58" t="str">
        <f>IFERROR(WHOLE_STRUCTURE[[#This Row],[Bottom '[m']]]-WHOLE_STRUCTURE[[#This Row],[D, top '[m']]], "")</f>
        <v/>
      </c>
      <c r="L221" s="58" t="str">
        <f>IFERROR(-(WHOLE_STRUCTURE[[#This Row],[D, bottom '[m']]]-WHOLE_STRUCTURE[[#This Row],[D, top '[m']]])/(WHOLE_STRUCTURE[[#This Row],[Bottom '[m']]]-WHOLE_STRUCTURE[[#This Row],[Top '[m']]]),"")</f>
        <v/>
      </c>
      <c r="M221" s="58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58" t="str">
        <f t="shared" si="5"/>
        <v/>
      </c>
      <c r="K222" s="58" t="str">
        <f>IFERROR(WHOLE_STRUCTURE[[#This Row],[Bottom '[m']]]-WHOLE_STRUCTURE[[#This Row],[D, top '[m']]], "")</f>
        <v/>
      </c>
      <c r="L222" s="58" t="str">
        <f>IFERROR(-(WHOLE_STRUCTURE[[#This Row],[D, bottom '[m']]]-WHOLE_STRUCTURE[[#This Row],[D, top '[m']]])/(WHOLE_STRUCTURE[[#This Row],[Bottom '[m']]]-WHOLE_STRUCTURE[[#This Row],[Top '[m']]]),"")</f>
        <v/>
      </c>
      <c r="M222" s="58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58" t="str">
        <f t="shared" si="5"/>
        <v/>
      </c>
      <c r="K223" s="58" t="str">
        <f>IFERROR(WHOLE_STRUCTURE[[#This Row],[Bottom '[m']]]-WHOLE_STRUCTURE[[#This Row],[D, top '[m']]], "")</f>
        <v/>
      </c>
      <c r="L223" s="58" t="str">
        <f>IFERROR(-(WHOLE_STRUCTURE[[#This Row],[D, bottom '[m']]]-WHOLE_STRUCTURE[[#This Row],[D, top '[m']]])/(WHOLE_STRUCTURE[[#This Row],[Bottom '[m']]]-WHOLE_STRUCTURE[[#This Row],[Top '[m']]]),"")</f>
        <v/>
      </c>
      <c r="M223" s="58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58" t="str">
        <f t="shared" si="5"/>
        <v/>
      </c>
      <c r="K224" s="58" t="str">
        <f>IFERROR(WHOLE_STRUCTURE[[#This Row],[Bottom '[m']]]-WHOLE_STRUCTURE[[#This Row],[D, top '[m']]], "")</f>
        <v/>
      </c>
      <c r="L224" s="58" t="str">
        <f>IFERROR(-(WHOLE_STRUCTURE[[#This Row],[D, bottom '[m']]]-WHOLE_STRUCTURE[[#This Row],[D, top '[m']]])/(WHOLE_STRUCTURE[[#This Row],[Bottom '[m']]]-WHOLE_STRUCTURE[[#This Row],[Top '[m']]]),"")</f>
        <v/>
      </c>
      <c r="M224" s="58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58" t="str">
        <f t="shared" si="5"/>
        <v/>
      </c>
      <c r="K225" s="58" t="str">
        <f>IFERROR(WHOLE_STRUCTURE[[#This Row],[Bottom '[m']]]-WHOLE_STRUCTURE[[#This Row],[D, top '[m']]], "")</f>
        <v/>
      </c>
      <c r="L225" s="58" t="str">
        <f>IFERROR(-(WHOLE_STRUCTURE[[#This Row],[D, bottom '[m']]]-WHOLE_STRUCTURE[[#This Row],[D, top '[m']]])/(WHOLE_STRUCTURE[[#This Row],[Bottom '[m']]]-WHOLE_STRUCTURE[[#This Row],[Top '[m']]]),"")</f>
        <v/>
      </c>
      <c r="M225" s="58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58" t="str">
        <f t="shared" si="5"/>
        <v/>
      </c>
      <c r="K226" s="58" t="str">
        <f>IFERROR(WHOLE_STRUCTURE[[#This Row],[Bottom '[m']]]-WHOLE_STRUCTURE[[#This Row],[D, top '[m']]], "")</f>
        <v/>
      </c>
      <c r="L226" s="58" t="str">
        <f>IFERROR(-(WHOLE_STRUCTURE[[#This Row],[D, bottom '[m']]]-WHOLE_STRUCTURE[[#This Row],[D, top '[m']]])/(WHOLE_STRUCTURE[[#This Row],[Bottom '[m']]]-WHOLE_STRUCTURE[[#This Row],[Top '[m']]]),"")</f>
        <v/>
      </c>
      <c r="M226" s="58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58" t="str">
        <f t="shared" si="5"/>
        <v/>
      </c>
      <c r="K227" s="58" t="str">
        <f>IFERROR(WHOLE_STRUCTURE[[#This Row],[Bottom '[m']]]-WHOLE_STRUCTURE[[#This Row],[D, top '[m']]], "")</f>
        <v/>
      </c>
      <c r="L227" s="58" t="str">
        <f>IFERROR(-(WHOLE_STRUCTURE[[#This Row],[D, bottom '[m']]]-WHOLE_STRUCTURE[[#This Row],[D, top '[m']]])/(WHOLE_STRUCTURE[[#This Row],[Bottom '[m']]]-WHOLE_STRUCTURE[[#This Row],[Top '[m']]]),"")</f>
        <v/>
      </c>
      <c r="M227" s="58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58" t="str">
        <f t="shared" si="5"/>
        <v/>
      </c>
      <c r="K228" s="58" t="str">
        <f>IFERROR(WHOLE_STRUCTURE[[#This Row],[Bottom '[m']]]-WHOLE_STRUCTURE[[#This Row],[D, top '[m']]], "")</f>
        <v/>
      </c>
      <c r="L228" s="58" t="str">
        <f>IFERROR(-(WHOLE_STRUCTURE[[#This Row],[D, bottom '[m']]]-WHOLE_STRUCTURE[[#This Row],[D, top '[m']]])/(WHOLE_STRUCTURE[[#This Row],[Bottom '[m']]]-WHOLE_STRUCTURE[[#This Row],[Top '[m']]]),"")</f>
        <v/>
      </c>
      <c r="M228" s="58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58" t="str">
        <f t="shared" si="5"/>
        <v/>
      </c>
      <c r="K229" s="58" t="str">
        <f>IFERROR(WHOLE_STRUCTURE[[#This Row],[Bottom '[m']]]-WHOLE_STRUCTURE[[#This Row],[D, top '[m']]], "")</f>
        <v/>
      </c>
      <c r="L229" s="58" t="str">
        <f>IFERROR(-(WHOLE_STRUCTURE[[#This Row],[D, bottom '[m']]]-WHOLE_STRUCTURE[[#This Row],[D, top '[m']]])/(WHOLE_STRUCTURE[[#This Row],[Bottom '[m']]]-WHOLE_STRUCTURE[[#This Row],[Top '[m']]]),"")</f>
        <v/>
      </c>
      <c r="M229" s="58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58" t="str">
        <f t="shared" si="5"/>
        <v/>
      </c>
      <c r="K230" s="58" t="str">
        <f>IFERROR(WHOLE_STRUCTURE[[#This Row],[Bottom '[m']]]-WHOLE_STRUCTURE[[#This Row],[D, top '[m']]], "")</f>
        <v/>
      </c>
      <c r="L230" s="58" t="str">
        <f>IFERROR(-(WHOLE_STRUCTURE[[#This Row],[D, bottom '[m']]]-WHOLE_STRUCTURE[[#This Row],[D, top '[m']]])/(WHOLE_STRUCTURE[[#This Row],[Bottom '[m']]]-WHOLE_STRUCTURE[[#This Row],[Top '[m']]]),"")</f>
        <v/>
      </c>
      <c r="M230" s="58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58" t="str">
        <f t="shared" si="5"/>
        <v/>
      </c>
      <c r="K231" s="58" t="str">
        <f>IFERROR(WHOLE_STRUCTURE[[#This Row],[Bottom '[m']]]-WHOLE_STRUCTURE[[#This Row],[D, top '[m']]], "")</f>
        <v/>
      </c>
      <c r="L231" s="58" t="str">
        <f>IFERROR(-(WHOLE_STRUCTURE[[#This Row],[D, bottom '[m']]]-WHOLE_STRUCTURE[[#This Row],[D, top '[m']]])/(WHOLE_STRUCTURE[[#This Row],[Bottom '[m']]]-WHOLE_STRUCTURE[[#This Row],[Top '[m']]]),"")</f>
        <v/>
      </c>
      <c r="M231" s="58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58" t="str">
        <f t="shared" si="5"/>
        <v/>
      </c>
      <c r="K232" s="58" t="str">
        <f>IFERROR(WHOLE_STRUCTURE[[#This Row],[Bottom '[m']]]-WHOLE_STRUCTURE[[#This Row],[D, top '[m']]], "")</f>
        <v/>
      </c>
      <c r="L232" s="58" t="str">
        <f>IFERROR(-(WHOLE_STRUCTURE[[#This Row],[D, bottom '[m']]]-WHOLE_STRUCTURE[[#This Row],[D, top '[m']]])/(WHOLE_STRUCTURE[[#This Row],[Bottom '[m']]]-WHOLE_STRUCTURE[[#This Row],[Top '[m']]]),"")</f>
        <v/>
      </c>
      <c r="M232" s="58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58" t="str">
        <f t="shared" si="5"/>
        <v/>
      </c>
      <c r="K233" s="58" t="str">
        <f>IFERROR(WHOLE_STRUCTURE[[#This Row],[Bottom '[m']]]-WHOLE_STRUCTURE[[#This Row],[D, top '[m']]], "")</f>
        <v/>
      </c>
      <c r="L233" s="58" t="str">
        <f>IFERROR(-(WHOLE_STRUCTURE[[#This Row],[D, bottom '[m']]]-WHOLE_STRUCTURE[[#This Row],[D, top '[m']]])/(WHOLE_STRUCTURE[[#This Row],[Bottom '[m']]]-WHOLE_STRUCTURE[[#This Row],[Top '[m']]]),"")</f>
        <v/>
      </c>
      <c r="M233" s="58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58" t="str">
        <f t="shared" si="5"/>
        <v/>
      </c>
      <c r="K234" s="58" t="str">
        <f>IFERROR(WHOLE_STRUCTURE[[#This Row],[Bottom '[m']]]-WHOLE_STRUCTURE[[#This Row],[D, top '[m']]], "")</f>
        <v/>
      </c>
      <c r="L234" s="58" t="str">
        <f>IFERROR(-(WHOLE_STRUCTURE[[#This Row],[D, bottom '[m']]]-WHOLE_STRUCTURE[[#This Row],[D, top '[m']]])/(WHOLE_STRUCTURE[[#This Row],[Bottom '[m']]]-WHOLE_STRUCTURE[[#This Row],[Top '[m']]]),"")</f>
        <v/>
      </c>
      <c r="M234" s="58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58" t="str">
        <f t="shared" si="5"/>
        <v/>
      </c>
      <c r="K235" s="58" t="str">
        <f>IFERROR(WHOLE_STRUCTURE[[#This Row],[Bottom '[m']]]-WHOLE_STRUCTURE[[#This Row],[D, top '[m']]], "")</f>
        <v/>
      </c>
      <c r="L235" s="58" t="str">
        <f>IFERROR(-(WHOLE_STRUCTURE[[#This Row],[D, bottom '[m']]]-WHOLE_STRUCTURE[[#This Row],[D, top '[m']]])/(WHOLE_STRUCTURE[[#This Row],[Bottom '[m']]]-WHOLE_STRUCTURE[[#This Row],[Top '[m']]]),"")</f>
        <v/>
      </c>
      <c r="M235" s="58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58" t="str">
        <f t="shared" si="5"/>
        <v/>
      </c>
      <c r="K236" s="58" t="str">
        <f>IFERROR(WHOLE_STRUCTURE[[#This Row],[Bottom '[m']]]-WHOLE_STRUCTURE[[#This Row],[D, top '[m']]], "")</f>
        <v/>
      </c>
      <c r="L236" s="58" t="str">
        <f>IFERROR(-(WHOLE_STRUCTURE[[#This Row],[D, bottom '[m']]]-WHOLE_STRUCTURE[[#This Row],[D, top '[m']]])/(WHOLE_STRUCTURE[[#This Row],[Bottom '[m']]]-WHOLE_STRUCTURE[[#This Row],[Top '[m']]]),"")</f>
        <v/>
      </c>
      <c r="M236" s="58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58" t="str">
        <f t="shared" si="5"/>
        <v/>
      </c>
      <c r="K237" s="58" t="str">
        <f>IFERROR(WHOLE_STRUCTURE[[#This Row],[Bottom '[m']]]-WHOLE_STRUCTURE[[#This Row],[D, top '[m']]], "")</f>
        <v/>
      </c>
      <c r="L237" s="58" t="str">
        <f>IFERROR(-(WHOLE_STRUCTURE[[#This Row],[D, bottom '[m']]]-WHOLE_STRUCTURE[[#This Row],[D, top '[m']]])/(WHOLE_STRUCTURE[[#This Row],[Bottom '[m']]]-WHOLE_STRUCTURE[[#This Row],[Top '[m']]]),"")</f>
        <v/>
      </c>
      <c r="M237" s="58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58" t="str">
        <f t="shared" si="5"/>
        <v/>
      </c>
      <c r="K238" s="58" t="str">
        <f>IFERROR(WHOLE_STRUCTURE[[#This Row],[Bottom '[m']]]-WHOLE_STRUCTURE[[#This Row],[D, top '[m']]], "")</f>
        <v/>
      </c>
      <c r="L238" s="58" t="str">
        <f>IFERROR(-(WHOLE_STRUCTURE[[#This Row],[D, bottom '[m']]]-WHOLE_STRUCTURE[[#This Row],[D, top '[m']]])/(WHOLE_STRUCTURE[[#This Row],[Bottom '[m']]]-WHOLE_STRUCTURE[[#This Row],[Top '[m']]]),"")</f>
        <v/>
      </c>
      <c r="M238" s="58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58" t="str">
        <f t="shared" si="5"/>
        <v/>
      </c>
      <c r="K239" s="58" t="str">
        <f>IFERROR(WHOLE_STRUCTURE[[#This Row],[Bottom '[m']]]-WHOLE_STRUCTURE[[#This Row],[D, top '[m']]], "")</f>
        <v/>
      </c>
      <c r="L239" s="58" t="str">
        <f>IFERROR(-(WHOLE_STRUCTURE[[#This Row],[D, bottom '[m']]]-WHOLE_STRUCTURE[[#This Row],[D, top '[m']]])/(WHOLE_STRUCTURE[[#This Row],[Bottom '[m']]]-WHOLE_STRUCTURE[[#This Row],[Top '[m']]]),"")</f>
        <v/>
      </c>
      <c r="M239" s="58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58" t="str">
        <f t="shared" si="5"/>
        <v/>
      </c>
      <c r="K240" s="58" t="str">
        <f>IFERROR(WHOLE_STRUCTURE[[#This Row],[Bottom '[m']]]-WHOLE_STRUCTURE[[#This Row],[D, top '[m']]], "")</f>
        <v/>
      </c>
      <c r="L240" s="58" t="str">
        <f>IFERROR(-(WHOLE_STRUCTURE[[#This Row],[D, bottom '[m']]]-WHOLE_STRUCTURE[[#This Row],[D, top '[m']]])/(WHOLE_STRUCTURE[[#This Row],[Bottom '[m']]]-WHOLE_STRUCTURE[[#This Row],[Top '[m']]]),"")</f>
        <v/>
      </c>
      <c r="M240" s="58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58" t="str">
        <f t="shared" si="5"/>
        <v/>
      </c>
      <c r="K241" s="58" t="str">
        <f>IFERROR(WHOLE_STRUCTURE[[#This Row],[Bottom '[m']]]-WHOLE_STRUCTURE[[#This Row],[D, top '[m']]], "")</f>
        <v/>
      </c>
      <c r="L241" s="58" t="str">
        <f>IFERROR(-(WHOLE_STRUCTURE[[#This Row],[D, bottom '[m']]]-WHOLE_STRUCTURE[[#This Row],[D, top '[m']]])/(WHOLE_STRUCTURE[[#This Row],[Bottom '[m']]]-WHOLE_STRUCTURE[[#This Row],[Top '[m']]]),"")</f>
        <v/>
      </c>
      <c r="M241" s="58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58" t="str">
        <f t="shared" si="5"/>
        <v/>
      </c>
      <c r="K242" s="58" t="str">
        <f>IFERROR(WHOLE_STRUCTURE[[#This Row],[Bottom '[m']]]-WHOLE_STRUCTURE[[#This Row],[D, top '[m']]], "")</f>
        <v/>
      </c>
      <c r="L242" s="58" t="str">
        <f>IFERROR(-(WHOLE_STRUCTURE[[#This Row],[D, bottom '[m']]]-WHOLE_STRUCTURE[[#This Row],[D, top '[m']]])/(WHOLE_STRUCTURE[[#This Row],[Bottom '[m']]]-WHOLE_STRUCTURE[[#This Row],[Top '[m']]]),"")</f>
        <v/>
      </c>
      <c r="M242" s="58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58" t="str">
        <f t="shared" si="5"/>
        <v/>
      </c>
      <c r="K243" s="58" t="str">
        <f>IFERROR(WHOLE_STRUCTURE[[#This Row],[Bottom '[m']]]-WHOLE_STRUCTURE[[#This Row],[D, top '[m']]], "")</f>
        <v/>
      </c>
      <c r="L243" s="58" t="str">
        <f>IFERROR(-(WHOLE_STRUCTURE[[#This Row],[D, bottom '[m']]]-WHOLE_STRUCTURE[[#This Row],[D, top '[m']]])/(WHOLE_STRUCTURE[[#This Row],[Bottom '[m']]]-WHOLE_STRUCTURE[[#This Row],[Top '[m']]]),"")</f>
        <v/>
      </c>
      <c r="M243" s="58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58" t="str">
        <f t="shared" si="5"/>
        <v/>
      </c>
      <c r="K244" s="58" t="str">
        <f>IFERROR(WHOLE_STRUCTURE[[#This Row],[Bottom '[m']]]-WHOLE_STRUCTURE[[#This Row],[D, top '[m']]], "")</f>
        <v/>
      </c>
      <c r="L244" s="58" t="str">
        <f>IFERROR(-(WHOLE_STRUCTURE[[#This Row],[D, bottom '[m']]]-WHOLE_STRUCTURE[[#This Row],[D, top '[m']]])/(WHOLE_STRUCTURE[[#This Row],[Bottom '[m']]]-WHOLE_STRUCTURE[[#This Row],[Top '[m']]]),"")</f>
        <v/>
      </c>
      <c r="M244" s="58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58" t="str">
        <f t="shared" si="5"/>
        <v/>
      </c>
      <c r="K245" s="58" t="str">
        <f>IFERROR(WHOLE_STRUCTURE[[#This Row],[Bottom '[m']]]-WHOLE_STRUCTURE[[#This Row],[D, top '[m']]], "")</f>
        <v/>
      </c>
      <c r="L245" s="58" t="str">
        <f>IFERROR(-(WHOLE_STRUCTURE[[#This Row],[D, bottom '[m']]]-WHOLE_STRUCTURE[[#This Row],[D, top '[m']]])/(WHOLE_STRUCTURE[[#This Row],[Bottom '[m']]]-WHOLE_STRUCTURE[[#This Row],[Top '[m']]]),"")</f>
        <v/>
      </c>
      <c r="M245" s="58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58" t="str">
        <f t="shared" si="5"/>
        <v/>
      </c>
      <c r="K246" s="58" t="str">
        <f>IFERROR(WHOLE_STRUCTURE[[#This Row],[Bottom '[m']]]-WHOLE_STRUCTURE[[#This Row],[D, top '[m']]], "")</f>
        <v/>
      </c>
      <c r="L246" s="58" t="str">
        <f>IFERROR(-(WHOLE_STRUCTURE[[#This Row],[D, bottom '[m']]]-WHOLE_STRUCTURE[[#This Row],[D, top '[m']]])/(WHOLE_STRUCTURE[[#This Row],[Bottom '[m']]]-WHOLE_STRUCTURE[[#This Row],[Top '[m']]]),"")</f>
        <v/>
      </c>
      <c r="M246" s="58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58" t="str">
        <f t="shared" si="5"/>
        <v/>
      </c>
      <c r="K247" s="58" t="str">
        <f>IFERROR(WHOLE_STRUCTURE[[#This Row],[Bottom '[m']]]-WHOLE_STRUCTURE[[#This Row],[D, top '[m']]], "")</f>
        <v/>
      </c>
      <c r="L247" s="58" t="str">
        <f>IFERROR(-(WHOLE_STRUCTURE[[#This Row],[D, bottom '[m']]]-WHOLE_STRUCTURE[[#This Row],[D, top '[m']]])/(WHOLE_STRUCTURE[[#This Row],[Bottom '[m']]]-WHOLE_STRUCTURE[[#This Row],[Top '[m']]]),"")</f>
        <v/>
      </c>
      <c r="M247" s="58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58" t="str">
        <f t="shared" si="5"/>
        <v/>
      </c>
      <c r="K248" s="58" t="str">
        <f>IFERROR(WHOLE_STRUCTURE[[#This Row],[Bottom '[m']]]-WHOLE_STRUCTURE[[#This Row],[D, top '[m']]], "")</f>
        <v/>
      </c>
      <c r="L248" s="58" t="str">
        <f>IFERROR(-(WHOLE_STRUCTURE[[#This Row],[D, bottom '[m']]]-WHOLE_STRUCTURE[[#This Row],[D, top '[m']]])/(WHOLE_STRUCTURE[[#This Row],[Bottom '[m']]]-WHOLE_STRUCTURE[[#This Row],[Top '[m']]]),"")</f>
        <v/>
      </c>
      <c r="M248" s="58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58" t="str">
        <f t="shared" si="5"/>
        <v/>
      </c>
      <c r="K249" s="58" t="str">
        <f>IFERROR(WHOLE_STRUCTURE[[#This Row],[Bottom '[m']]]-WHOLE_STRUCTURE[[#This Row],[D, top '[m']]], "")</f>
        <v/>
      </c>
      <c r="L249" s="58" t="str">
        <f>IFERROR(-(WHOLE_STRUCTURE[[#This Row],[D, bottom '[m']]]-WHOLE_STRUCTURE[[#This Row],[D, top '[m']]])/(WHOLE_STRUCTURE[[#This Row],[Bottom '[m']]]-WHOLE_STRUCTURE[[#This Row],[Top '[m']]]),"")</f>
        <v/>
      </c>
      <c r="M249" s="58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58" t="str">
        <f t="shared" si="5"/>
        <v/>
      </c>
      <c r="K250" s="58" t="str">
        <f>IFERROR(WHOLE_STRUCTURE[[#This Row],[Bottom '[m']]]-WHOLE_STRUCTURE[[#This Row],[D, top '[m']]], "")</f>
        <v/>
      </c>
      <c r="L250" s="58" t="str">
        <f>IFERROR(-(WHOLE_STRUCTURE[[#This Row],[D, bottom '[m']]]-WHOLE_STRUCTURE[[#This Row],[D, top '[m']]])/(WHOLE_STRUCTURE[[#This Row],[Bottom '[m']]]-WHOLE_STRUCTURE[[#This Row],[Top '[m']]]),"")</f>
        <v/>
      </c>
      <c r="M250" s="58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58" t="str">
        <f t="shared" si="5"/>
        <v/>
      </c>
      <c r="K251" s="58" t="str">
        <f>IFERROR(WHOLE_STRUCTURE[[#This Row],[Bottom '[m']]]-WHOLE_STRUCTURE[[#This Row],[D, top '[m']]], "")</f>
        <v/>
      </c>
      <c r="L251" s="58" t="str">
        <f>IFERROR(-(WHOLE_STRUCTURE[[#This Row],[D, bottom '[m']]]-WHOLE_STRUCTURE[[#This Row],[D, top '[m']]])/(WHOLE_STRUCTURE[[#This Row],[Bottom '[m']]]-WHOLE_STRUCTURE[[#This Row],[Top '[m']]]),"")</f>
        <v/>
      </c>
      <c r="M251" s="58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58" t="str">
        <f t="shared" ref="J252:J315" si="6">IF(7850/1000*(1/3)*PI()*ABS(E252-F252)*((G252/2)^2+(G252/2)*(H252/2)+(H252/2)^2-(G252/2-I252/1000)^2-(G252/2-I252/1000)*(H252/2-I252/1000)-(H252/2-I252/1000)^2)=0,"",7850/1000*(1/3)*PI()*ABS(E252-F252)*((G252/2)^2+(G252/2)*(H252/2)+(H252/2)^2-(G252/2-I252/1000)^2-(G252/2-I252/1000)*(H252/2-I252/1000)-(H252/2-I252/1000)^2))</f>
        <v/>
      </c>
      <c r="K252" s="58" t="str">
        <f>IFERROR(WHOLE_STRUCTURE[[#This Row],[Bottom '[m']]]-WHOLE_STRUCTURE[[#This Row],[D, top '[m']]], "")</f>
        <v/>
      </c>
      <c r="L252" s="58" t="str">
        <f>IFERROR(-(WHOLE_STRUCTURE[[#This Row],[D, bottom '[m']]]-WHOLE_STRUCTURE[[#This Row],[D, top '[m']]])/(WHOLE_STRUCTURE[[#This Row],[Bottom '[m']]]-WHOLE_STRUCTURE[[#This Row],[Top '[m']]]),"")</f>
        <v/>
      </c>
      <c r="M252" s="58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58" t="str">
        <f t="shared" si="6"/>
        <v/>
      </c>
      <c r="K253" s="58" t="str">
        <f>IFERROR(WHOLE_STRUCTURE[[#This Row],[Bottom '[m']]]-WHOLE_STRUCTURE[[#This Row],[D, top '[m']]], "")</f>
        <v/>
      </c>
      <c r="L253" s="58" t="str">
        <f>IFERROR(-(WHOLE_STRUCTURE[[#This Row],[D, bottom '[m']]]-WHOLE_STRUCTURE[[#This Row],[D, top '[m']]])/(WHOLE_STRUCTURE[[#This Row],[Bottom '[m']]]-WHOLE_STRUCTURE[[#This Row],[Top '[m']]]),"")</f>
        <v/>
      </c>
      <c r="M253" s="58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58" t="str">
        <f t="shared" si="6"/>
        <v/>
      </c>
      <c r="K254" s="58" t="str">
        <f>IFERROR(WHOLE_STRUCTURE[[#This Row],[Bottom '[m']]]-WHOLE_STRUCTURE[[#This Row],[D, top '[m']]], "")</f>
        <v/>
      </c>
      <c r="L254" s="58" t="str">
        <f>IFERROR(-(WHOLE_STRUCTURE[[#This Row],[D, bottom '[m']]]-WHOLE_STRUCTURE[[#This Row],[D, top '[m']]])/(WHOLE_STRUCTURE[[#This Row],[Bottom '[m']]]-WHOLE_STRUCTURE[[#This Row],[Top '[m']]]),"")</f>
        <v/>
      </c>
      <c r="M254" s="58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58" t="str">
        <f t="shared" si="6"/>
        <v/>
      </c>
      <c r="K255" s="58" t="str">
        <f>IFERROR(WHOLE_STRUCTURE[[#This Row],[Bottom '[m']]]-WHOLE_STRUCTURE[[#This Row],[D, top '[m']]], "")</f>
        <v/>
      </c>
      <c r="L255" s="58" t="str">
        <f>IFERROR(-(WHOLE_STRUCTURE[[#This Row],[D, bottom '[m']]]-WHOLE_STRUCTURE[[#This Row],[D, top '[m']]])/(WHOLE_STRUCTURE[[#This Row],[Bottom '[m']]]-WHOLE_STRUCTURE[[#This Row],[Top '[m']]]),"")</f>
        <v/>
      </c>
      <c r="M255" s="58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58" t="str">
        <f t="shared" si="6"/>
        <v/>
      </c>
      <c r="K256" s="58" t="str">
        <f>IFERROR(WHOLE_STRUCTURE[[#This Row],[Bottom '[m']]]-WHOLE_STRUCTURE[[#This Row],[D, top '[m']]], "")</f>
        <v/>
      </c>
      <c r="L256" s="58" t="str">
        <f>IFERROR(-(WHOLE_STRUCTURE[[#This Row],[D, bottom '[m']]]-WHOLE_STRUCTURE[[#This Row],[D, top '[m']]])/(WHOLE_STRUCTURE[[#This Row],[Bottom '[m']]]-WHOLE_STRUCTURE[[#This Row],[Top '[m']]]),"")</f>
        <v/>
      </c>
      <c r="M256" s="58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58" t="str">
        <f t="shared" si="6"/>
        <v/>
      </c>
      <c r="K257" s="58" t="str">
        <f>IFERROR(WHOLE_STRUCTURE[[#This Row],[Bottom '[m']]]-WHOLE_STRUCTURE[[#This Row],[D, top '[m']]], "")</f>
        <v/>
      </c>
      <c r="L257" s="58" t="str">
        <f>IFERROR(-(WHOLE_STRUCTURE[[#This Row],[D, bottom '[m']]]-WHOLE_STRUCTURE[[#This Row],[D, top '[m']]])/(WHOLE_STRUCTURE[[#This Row],[Bottom '[m']]]-WHOLE_STRUCTURE[[#This Row],[Top '[m']]]),"")</f>
        <v/>
      </c>
      <c r="M257" s="58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58" t="str">
        <f t="shared" si="6"/>
        <v/>
      </c>
      <c r="K258" s="58" t="str">
        <f>IFERROR(WHOLE_STRUCTURE[[#This Row],[Bottom '[m']]]-WHOLE_STRUCTURE[[#This Row],[D, top '[m']]], "")</f>
        <v/>
      </c>
      <c r="L258" s="58" t="str">
        <f>IFERROR(-(WHOLE_STRUCTURE[[#This Row],[D, bottom '[m']]]-WHOLE_STRUCTURE[[#This Row],[D, top '[m']]])/(WHOLE_STRUCTURE[[#This Row],[Bottom '[m']]]-WHOLE_STRUCTURE[[#This Row],[Top '[m']]]),"")</f>
        <v/>
      </c>
      <c r="M258" s="58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58" t="str">
        <f t="shared" si="6"/>
        <v/>
      </c>
      <c r="K259" s="58" t="str">
        <f>IFERROR(WHOLE_STRUCTURE[[#This Row],[Bottom '[m']]]-WHOLE_STRUCTURE[[#This Row],[D, top '[m']]], "")</f>
        <v/>
      </c>
      <c r="L259" s="58" t="str">
        <f>IFERROR(-(WHOLE_STRUCTURE[[#This Row],[D, bottom '[m']]]-WHOLE_STRUCTURE[[#This Row],[D, top '[m']]])/(WHOLE_STRUCTURE[[#This Row],[Bottom '[m']]]-WHOLE_STRUCTURE[[#This Row],[Top '[m']]]),"")</f>
        <v/>
      </c>
      <c r="M259" s="58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58" t="str">
        <f t="shared" si="6"/>
        <v/>
      </c>
      <c r="K260" s="58" t="str">
        <f>IFERROR(WHOLE_STRUCTURE[[#This Row],[Bottom '[m']]]-WHOLE_STRUCTURE[[#This Row],[D, top '[m']]], "")</f>
        <v/>
      </c>
      <c r="L260" s="58" t="str">
        <f>IFERROR(-(WHOLE_STRUCTURE[[#This Row],[D, bottom '[m']]]-WHOLE_STRUCTURE[[#This Row],[D, top '[m']]])/(WHOLE_STRUCTURE[[#This Row],[Bottom '[m']]]-WHOLE_STRUCTURE[[#This Row],[Top '[m']]]),"")</f>
        <v/>
      </c>
      <c r="M260" s="58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58" t="str">
        <f t="shared" si="6"/>
        <v/>
      </c>
      <c r="K261" s="58" t="str">
        <f>IFERROR(WHOLE_STRUCTURE[[#This Row],[Bottom '[m']]]-WHOLE_STRUCTURE[[#This Row],[D, top '[m']]], "")</f>
        <v/>
      </c>
      <c r="L261" s="58" t="str">
        <f>IFERROR(-(WHOLE_STRUCTURE[[#This Row],[D, bottom '[m']]]-WHOLE_STRUCTURE[[#This Row],[D, top '[m']]])/(WHOLE_STRUCTURE[[#This Row],[Bottom '[m']]]-WHOLE_STRUCTURE[[#This Row],[Top '[m']]]),"")</f>
        <v/>
      </c>
      <c r="M261" s="58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58" t="str">
        <f t="shared" si="6"/>
        <v/>
      </c>
      <c r="K262" s="58" t="str">
        <f>IFERROR(WHOLE_STRUCTURE[[#This Row],[Bottom '[m']]]-WHOLE_STRUCTURE[[#This Row],[D, top '[m']]], "")</f>
        <v/>
      </c>
      <c r="L262" s="58" t="str">
        <f>IFERROR(-(WHOLE_STRUCTURE[[#This Row],[D, bottom '[m']]]-WHOLE_STRUCTURE[[#This Row],[D, top '[m']]])/(WHOLE_STRUCTURE[[#This Row],[Bottom '[m']]]-WHOLE_STRUCTURE[[#This Row],[Top '[m']]]),"")</f>
        <v/>
      </c>
      <c r="M262" s="58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58" t="str">
        <f t="shared" si="6"/>
        <v/>
      </c>
      <c r="K263" s="58" t="str">
        <f>IFERROR(WHOLE_STRUCTURE[[#This Row],[Bottom '[m']]]-WHOLE_STRUCTURE[[#This Row],[D, top '[m']]], "")</f>
        <v/>
      </c>
      <c r="L263" s="58" t="str">
        <f>IFERROR(-(WHOLE_STRUCTURE[[#This Row],[D, bottom '[m']]]-WHOLE_STRUCTURE[[#This Row],[D, top '[m']]])/(WHOLE_STRUCTURE[[#This Row],[Bottom '[m']]]-WHOLE_STRUCTURE[[#This Row],[Top '[m']]]),"")</f>
        <v/>
      </c>
      <c r="M263" s="58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58" t="str">
        <f t="shared" si="6"/>
        <v/>
      </c>
      <c r="K264" s="58" t="str">
        <f>IFERROR(WHOLE_STRUCTURE[[#This Row],[Bottom '[m']]]-WHOLE_STRUCTURE[[#This Row],[D, top '[m']]], "")</f>
        <v/>
      </c>
      <c r="L264" s="58" t="str">
        <f>IFERROR(-(WHOLE_STRUCTURE[[#This Row],[D, bottom '[m']]]-WHOLE_STRUCTURE[[#This Row],[D, top '[m']]])/(WHOLE_STRUCTURE[[#This Row],[Bottom '[m']]]-WHOLE_STRUCTURE[[#This Row],[Top '[m']]]),"")</f>
        <v/>
      </c>
      <c r="M264" s="58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58" t="str">
        <f t="shared" si="6"/>
        <v/>
      </c>
      <c r="K265" s="58" t="str">
        <f>IFERROR(WHOLE_STRUCTURE[[#This Row],[Bottom '[m']]]-WHOLE_STRUCTURE[[#This Row],[D, top '[m']]], "")</f>
        <v/>
      </c>
      <c r="L265" s="58" t="str">
        <f>IFERROR(-(WHOLE_STRUCTURE[[#This Row],[D, bottom '[m']]]-WHOLE_STRUCTURE[[#This Row],[D, top '[m']]])/(WHOLE_STRUCTURE[[#This Row],[Bottom '[m']]]-WHOLE_STRUCTURE[[#This Row],[Top '[m']]]),"")</f>
        <v/>
      </c>
      <c r="M265" s="58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58" t="str">
        <f t="shared" si="6"/>
        <v/>
      </c>
      <c r="K266" s="58" t="str">
        <f>IFERROR(WHOLE_STRUCTURE[[#This Row],[Bottom '[m']]]-WHOLE_STRUCTURE[[#This Row],[D, top '[m']]], "")</f>
        <v/>
      </c>
      <c r="L266" s="58" t="str">
        <f>IFERROR(-(WHOLE_STRUCTURE[[#This Row],[D, bottom '[m']]]-WHOLE_STRUCTURE[[#This Row],[D, top '[m']]])/(WHOLE_STRUCTURE[[#This Row],[Bottom '[m']]]-WHOLE_STRUCTURE[[#This Row],[Top '[m']]]),"")</f>
        <v/>
      </c>
      <c r="M266" s="58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58" t="str">
        <f t="shared" si="6"/>
        <v/>
      </c>
      <c r="K267" s="58" t="str">
        <f>IFERROR(WHOLE_STRUCTURE[[#This Row],[Bottom '[m']]]-WHOLE_STRUCTURE[[#This Row],[D, top '[m']]], "")</f>
        <v/>
      </c>
      <c r="L267" s="58" t="str">
        <f>IFERROR(-(WHOLE_STRUCTURE[[#This Row],[D, bottom '[m']]]-WHOLE_STRUCTURE[[#This Row],[D, top '[m']]])/(WHOLE_STRUCTURE[[#This Row],[Bottom '[m']]]-WHOLE_STRUCTURE[[#This Row],[Top '[m']]]),"")</f>
        <v/>
      </c>
      <c r="M267" s="58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58" t="str">
        <f t="shared" si="6"/>
        <v/>
      </c>
      <c r="K268" s="58" t="str">
        <f>IFERROR(WHOLE_STRUCTURE[[#This Row],[Bottom '[m']]]-WHOLE_STRUCTURE[[#This Row],[D, top '[m']]], "")</f>
        <v/>
      </c>
      <c r="L268" s="58" t="str">
        <f>IFERROR(-(WHOLE_STRUCTURE[[#This Row],[D, bottom '[m']]]-WHOLE_STRUCTURE[[#This Row],[D, top '[m']]])/(WHOLE_STRUCTURE[[#This Row],[Bottom '[m']]]-WHOLE_STRUCTURE[[#This Row],[Top '[m']]]),"")</f>
        <v/>
      </c>
      <c r="M268" s="58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58" t="str">
        <f t="shared" si="6"/>
        <v/>
      </c>
      <c r="K269" s="58" t="str">
        <f>IFERROR(WHOLE_STRUCTURE[[#This Row],[Bottom '[m']]]-WHOLE_STRUCTURE[[#This Row],[D, top '[m']]], "")</f>
        <v/>
      </c>
      <c r="L269" s="58" t="str">
        <f>IFERROR(-(WHOLE_STRUCTURE[[#This Row],[D, bottom '[m']]]-WHOLE_STRUCTURE[[#This Row],[D, top '[m']]])/(WHOLE_STRUCTURE[[#This Row],[Bottom '[m']]]-WHOLE_STRUCTURE[[#This Row],[Top '[m']]]),"")</f>
        <v/>
      </c>
      <c r="M269" s="58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58" t="str">
        <f t="shared" si="6"/>
        <v/>
      </c>
      <c r="K270" s="58" t="str">
        <f>IFERROR(WHOLE_STRUCTURE[[#This Row],[Bottom '[m']]]-WHOLE_STRUCTURE[[#This Row],[D, top '[m']]], "")</f>
        <v/>
      </c>
      <c r="L270" s="58" t="str">
        <f>IFERROR(-(WHOLE_STRUCTURE[[#This Row],[D, bottom '[m']]]-WHOLE_STRUCTURE[[#This Row],[D, top '[m']]])/(WHOLE_STRUCTURE[[#This Row],[Bottom '[m']]]-WHOLE_STRUCTURE[[#This Row],[Top '[m']]]),"")</f>
        <v/>
      </c>
      <c r="M270" s="58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58" t="str">
        <f t="shared" si="6"/>
        <v/>
      </c>
      <c r="K271" s="58" t="str">
        <f>IFERROR(WHOLE_STRUCTURE[[#This Row],[Bottom '[m']]]-WHOLE_STRUCTURE[[#This Row],[D, top '[m']]], "")</f>
        <v/>
      </c>
      <c r="L271" s="58" t="str">
        <f>IFERROR(-(WHOLE_STRUCTURE[[#This Row],[D, bottom '[m']]]-WHOLE_STRUCTURE[[#This Row],[D, top '[m']]])/(WHOLE_STRUCTURE[[#This Row],[Bottom '[m']]]-WHOLE_STRUCTURE[[#This Row],[Top '[m']]]),"")</f>
        <v/>
      </c>
      <c r="M271" s="58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58" t="str">
        <f t="shared" si="6"/>
        <v/>
      </c>
      <c r="K272" s="58" t="str">
        <f>IFERROR(WHOLE_STRUCTURE[[#This Row],[Bottom '[m']]]-WHOLE_STRUCTURE[[#This Row],[D, top '[m']]], "")</f>
        <v/>
      </c>
      <c r="L272" s="58" t="str">
        <f>IFERROR(-(WHOLE_STRUCTURE[[#This Row],[D, bottom '[m']]]-WHOLE_STRUCTURE[[#This Row],[D, top '[m']]])/(WHOLE_STRUCTURE[[#This Row],[Bottom '[m']]]-WHOLE_STRUCTURE[[#This Row],[Top '[m']]]),"")</f>
        <v/>
      </c>
      <c r="M272" s="58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58" t="str">
        <f t="shared" si="6"/>
        <v/>
      </c>
      <c r="K273" s="58" t="str">
        <f>IFERROR(WHOLE_STRUCTURE[[#This Row],[Bottom '[m']]]-WHOLE_STRUCTURE[[#This Row],[D, top '[m']]], "")</f>
        <v/>
      </c>
      <c r="L273" s="58" t="str">
        <f>IFERROR(-(WHOLE_STRUCTURE[[#This Row],[D, bottom '[m']]]-WHOLE_STRUCTURE[[#This Row],[D, top '[m']]])/(WHOLE_STRUCTURE[[#This Row],[Bottom '[m']]]-WHOLE_STRUCTURE[[#This Row],[Top '[m']]]),"")</f>
        <v/>
      </c>
      <c r="M273" s="58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58" t="str">
        <f t="shared" si="6"/>
        <v/>
      </c>
      <c r="K274" s="58" t="str">
        <f>IFERROR(WHOLE_STRUCTURE[[#This Row],[Bottom '[m']]]-WHOLE_STRUCTURE[[#This Row],[D, top '[m']]], "")</f>
        <v/>
      </c>
      <c r="L274" s="58" t="str">
        <f>IFERROR(-(WHOLE_STRUCTURE[[#This Row],[D, bottom '[m']]]-WHOLE_STRUCTURE[[#This Row],[D, top '[m']]])/(WHOLE_STRUCTURE[[#This Row],[Bottom '[m']]]-WHOLE_STRUCTURE[[#This Row],[Top '[m']]]),"")</f>
        <v/>
      </c>
      <c r="M274" s="58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58" t="str">
        <f t="shared" si="6"/>
        <v/>
      </c>
      <c r="K275" s="58" t="str">
        <f>IFERROR(WHOLE_STRUCTURE[[#This Row],[Bottom '[m']]]-WHOLE_STRUCTURE[[#This Row],[D, top '[m']]], "")</f>
        <v/>
      </c>
      <c r="L275" s="58" t="str">
        <f>IFERROR(-(WHOLE_STRUCTURE[[#This Row],[D, bottom '[m']]]-WHOLE_STRUCTURE[[#This Row],[D, top '[m']]])/(WHOLE_STRUCTURE[[#This Row],[Bottom '[m']]]-WHOLE_STRUCTURE[[#This Row],[Top '[m']]]),"")</f>
        <v/>
      </c>
      <c r="M275" s="58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58" t="str">
        <f t="shared" si="6"/>
        <v/>
      </c>
      <c r="K276" s="58" t="str">
        <f>IFERROR(WHOLE_STRUCTURE[[#This Row],[Bottom '[m']]]-WHOLE_STRUCTURE[[#This Row],[D, top '[m']]], "")</f>
        <v/>
      </c>
      <c r="L276" s="58" t="str">
        <f>IFERROR(-(WHOLE_STRUCTURE[[#This Row],[D, bottom '[m']]]-WHOLE_STRUCTURE[[#This Row],[D, top '[m']]])/(WHOLE_STRUCTURE[[#This Row],[Bottom '[m']]]-WHOLE_STRUCTURE[[#This Row],[Top '[m']]]),"")</f>
        <v/>
      </c>
      <c r="M276" s="58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58" t="str">
        <f t="shared" si="6"/>
        <v/>
      </c>
      <c r="K277" s="58" t="str">
        <f>IFERROR(WHOLE_STRUCTURE[[#This Row],[Bottom '[m']]]-WHOLE_STRUCTURE[[#This Row],[D, top '[m']]], "")</f>
        <v/>
      </c>
      <c r="L277" s="58" t="str">
        <f>IFERROR(-(WHOLE_STRUCTURE[[#This Row],[D, bottom '[m']]]-WHOLE_STRUCTURE[[#This Row],[D, top '[m']]])/(WHOLE_STRUCTURE[[#This Row],[Bottom '[m']]]-WHOLE_STRUCTURE[[#This Row],[Top '[m']]]),"")</f>
        <v/>
      </c>
      <c r="M277" s="58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58" t="str">
        <f t="shared" si="6"/>
        <v/>
      </c>
      <c r="K278" s="58" t="str">
        <f>IFERROR(WHOLE_STRUCTURE[[#This Row],[Bottom '[m']]]-WHOLE_STRUCTURE[[#This Row],[D, top '[m']]], "")</f>
        <v/>
      </c>
      <c r="L278" s="58" t="str">
        <f>IFERROR(-(WHOLE_STRUCTURE[[#This Row],[D, bottom '[m']]]-WHOLE_STRUCTURE[[#This Row],[D, top '[m']]])/(WHOLE_STRUCTURE[[#This Row],[Bottom '[m']]]-WHOLE_STRUCTURE[[#This Row],[Top '[m']]]),"")</f>
        <v/>
      </c>
      <c r="M278" s="58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58" t="str">
        <f t="shared" si="6"/>
        <v/>
      </c>
      <c r="K279" s="58" t="str">
        <f>IFERROR(WHOLE_STRUCTURE[[#This Row],[Bottom '[m']]]-WHOLE_STRUCTURE[[#This Row],[D, top '[m']]], "")</f>
        <v/>
      </c>
      <c r="L279" s="58" t="str">
        <f>IFERROR(-(WHOLE_STRUCTURE[[#This Row],[D, bottom '[m']]]-WHOLE_STRUCTURE[[#This Row],[D, top '[m']]])/(WHOLE_STRUCTURE[[#This Row],[Bottom '[m']]]-WHOLE_STRUCTURE[[#This Row],[Top '[m']]]),"")</f>
        <v/>
      </c>
      <c r="M279" s="58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58" t="str">
        <f t="shared" si="6"/>
        <v/>
      </c>
      <c r="K280" s="58" t="str">
        <f>IFERROR(WHOLE_STRUCTURE[[#This Row],[Bottom '[m']]]-WHOLE_STRUCTURE[[#This Row],[D, top '[m']]], "")</f>
        <v/>
      </c>
      <c r="L280" s="58" t="str">
        <f>IFERROR(-(WHOLE_STRUCTURE[[#This Row],[D, bottom '[m']]]-WHOLE_STRUCTURE[[#This Row],[D, top '[m']]])/(WHOLE_STRUCTURE[[#This Row],[Bottom '[m']]]-WHOLE_STRUCTURE[[#This Row],[Top '[m']]]),"")</f>
        <v/>
      </c>
      <c r="M280" s="58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58" t="str">
        <f t="shared" si="6"/>
        <v/>
      </c>
      <c r="K281" s="58" t="str">
        <f>IFERROR(WHOLE_STRUCTURE[[#This Row],[Bottom '[m']]]-WHOLE_STRUCTURE[[#This Row],[D, top '[m']]], "")</f>
        <v/>
      </c>
      <c r="L281" s="58" t="str">
        <f>IFERROR(-(WHOLE_STRUCTURE[[#This Row],[D, bottom '[m']]]-WHOLE_STRUCTURE[[#This Row],[D, top '[m']]])/(WHOLE_STRUCTURE[[#This Row],[Bottom '[m']]]-WHOLE_STRUCTURE[[#This Row],[Top '[m']]]),"")</f>
        <v/>
      </c>
      <c r="M281" s="58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58" t="str">
        <f t="shared" si="6"/>
        <v/>
      </c>
      <c r="K282" s="58" t="str">
        <f>IFERROR(WHOLE_STRUCTURE[[#This Row],[Bottom '[m']]]-WHOLE_STRUCTURE[[#This Row],[D, top '[m']]], "")</f>
        <v/>
      </c>
      <c r="L282" s="58" t="str">
        <f>IFERROR(-(WHOLE_STRUCTURE[[#This Row],[D, bottom '[m']]]-WHOLE_STRUCTURE[[#This Row],[D, top '[m']]])/(WHOLE_STRUCTURE[[#This Row],[Bottom '[m']]]-WHOLE_STRUCTURE[[#This Row],[Top '[m']]]),"")</f>
        <v/>
      </c>
      <c r="M282" s="58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58" t="str">
        <f t="shared" si="6"/>
        <v/>
      </c>
      <c r="K283" s="58" t="str">
        <f>IFERROR(WHOLE_STRUCTURE[[#This Row],[Bottom '[m']]]-WHOLE_STRUCTURE[[#This Row],[D, top '[m']]], "")</f>
        <v/>
      </c>
      <c r="L283" s="58" t="str">
        <f>IFERROR(-(WHOLE_STRUCTURE[[#This Row],[D, bottom '[m']]]-WHOLE_STRUCTURE[[#This Row],[D, top '[m']]])/(WHOLE_STRUCTURE[[#This Row],[Bottom '[m']]]-WHOLE_STRUCTURE[[#This Row],[Top '[m']]]),"")</f>
        <v/>
      </c>
      <c r="M283" s="58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58" t="str">
        <f t="shared" si="6"/>
        <v/>
      </c>
      <c r="K284" s="58" t="str">
        <f>IFERROR(WHOLE_STRUCTURE[[#This Row],[Bottom '[m']]]-WHOLE_STRUCTURE[[#This Row],[D, top '[m']]], "")</f>
        <v/>
      </c>
      <c r="L284" s="58" t="str">
        <f>IFERROR(-(WHOLE_STRUCTURE[[#This Row],[D, bottom '[m']]]-WHOLE_STRUCTURE[[#This Row],[D, top '[m']]])/(WHOLE_STRUCTURE[[#This Row],[Bottom '[m']]]-WHOLE_STRUCTURE[[#This Row],[Top '[m']]]),"")</f>
        <v/>
      </c>
      <c r="M284" s="58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58" t="str">
        <f t="shared" si="6"/>
        <v/>
      </c>
      <c r="K285" s="58" t="str">
        <f>IFERROR(WHOLE_STRUCTURE[[#This Row],[Bottom '[m']]]-WHOLE_STRUCTURE[[#This Row],[D, top '[m']]], "")</f>
        <v/>
      </c>
      <c r="L285" s="58" t="str">
        <f>IFERROR(-(WHOLE_STRUCTURE[[#This Row],[D, bottom '[m']]]-WHOLE_STRUCTURE[[#This Row],[D, top '[m']]])/(WHOLE_STRUCTURE[[#This Row],[Bottom '[m']]]-WHOLE_STRUCTURE[[#This Row],[Top '[m']]]),"")</f>
        <v/>
      </c>
      <c r="M285" s="58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58" t="str">
        <f t="shared" si="6"/>
        <v/>
      </c>
      <c r="K286" s="58" t="str">
        <f>IFERROR(WHOLE_STRUCTURE[[#This Row],[Bottom '[m']]]-WHOLE_STRUCTURE[[#This Row],[D, top '[m']]], "")</f>
        <v/>
      </c>
      <c r="L286" s="58" t="str">
        <f>IFERROR(-(WHOLE_STRUCTURE[[#This Row],[D, bottom '[m']]]-WHOLE_STRUCTURE[[#This Row],[D, top '[m']]])/(WHOLE_STRUCTURE[[#This Row],[Bottom '[m']]]-WHOLE_STRUCTURE[[#This Row],[Top '[m']]]),"")</f>
        <v/>
      </c>
      <c r="M286" s="58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58" t="str">
        <f t="shared" si="6"/>
        <v/>
      </c>
      <c r="K287" s="58" t="str">
        <f>IFERROR(WHOLE_STRUCTURE[[#This Row],[Bottom '[m']]]-WHOLE_STRUCTURE[[#This Row],[D, top '[m']]], "")</f>
        <v/>
      </c>
      <c r="L287" s="58" t="str">
        <f>IFERROR(-(WHOLE_STRUCTURE[[#This Row],[D, bottom '[m']]]-WHOLE_STRUCTURE[[#This Row],[D, top '[m']]])/(WHOLE_STRUCTURE[[#This Row],[Bottom '[m']]]-WHOLE_STRUCTURE[[#This Row],[Top '[m']]]),"")</f>
        <v/>
      </c>
      <c r="M287" s="58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58" t="str">
        <f t="shared" si="6"/>
        <v/>
      </c>
      <c r="K288" s="58" t="str">
        <f>IFERROR(WHOLE_STRUCTURE[[#This Row],[Bottom '[m']]]-WHOLE_STRUCTURE[[#This Row],[D, top '[m']]], "")</f>
        <v/>
      </c>
      <c r="L288" s="58" t="str">
        <f>IFERROR(-(WHOLE_STRUCTURE[[#This Row],[D, bottom '[m']]]-WHOLE_STRUCTURE[[#This Row],[D, top '[m']]])/(WHOLE_STRUCTURE[[#This Row],[Bottom '[m']]]-WHOLE_STRUCTURE[[#This Row],[Top '[m']]]),"")</f>
        <v/>
      </c>
      <c r="M288" s="58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58" t="str">
        <f t="shared" si="6"/>
        <v/>
      </c>
      <c r="K289" s="58" t="str">
        <f>IFERROR(WHOLE_STRUCTURE[[#This Row],[Bottom '[m']]]-WHOLE_STRUCTURE[[#This Row],[D, top '[m']]], "")</f>
        <v/>
      </c>
      <c r="L289" s="58" t="str">
        <f>IFERROR(-(WHOLE_STRUCTURE[[#This Row],[D, bottom '[m']]]-WHOLE_STRUCTURE[[#This Row],[D, top '[m']]])/(WHOLE_STRUCTURE[[#This Row],[Bottom '[m']]]-WHOLE_STRUCTURE[[#This Row],[Top '[m']]]),"")</f>
        <v/>
      </c>
      <c r="M289" s="58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58" t="str">
        <f t="shared" si="6"/>
        <v/>
      </c>
      <c r="K290" s="58" t="str">
        <f>IFERROR(WHOLE_STRUCTURE[[#This Row],[Bottom '[m']]]-WHOLE_STRUCTURE[[#This Row],[D, top '[m']]], "")</f>
        <v/>
      </c>
      <c r="L290" s="58" t="str">
        <f>IFERROR(-(WHOLE_STRUCTURE[[#This Row],[D, bottom '[m']]]-WHOLE_STRUCTURE[[#This Row],[D, top '[m']]])/(WHOLE_STRUCTURE[[#This Row],[Bottom '[m']]]-WHOLE_STRUCTURE[[#This Row],[Top '[m']]]),"")</f>
        <v/>
      </c>
      <c r="M290" s="58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58" t="str">
        <f t="shared" si="6"/>
        <v/>
      </c>
      <c r="K291" s="58" t="str">
        <f>IFERROR(WHOLE_STRUCTURE[[#This Row],[Bottom '[m']]]-WHOLE_STRUCTURE[[#This Row],[D, top '[m']]], "")</f>
        <v/>
      </c>
      <c r="L291" s="58" t="str">
        <f>IFERROR(-(WHOLE_STRUCTURE[[#This Row],[D, bottom '[m']]]-WHOLE_STRUCTURE[[#This Row],[D, top '[m']]])/(WHOLE_STRUCTURE[[#This Row],[Bottom '[m']]]-WHOLE_STRUCTURE[[#This Row],[Top '[m']]]),"")</f>
        <v/>
      </c>
      <c r="M291" s="58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58" t="str">
        <f t="shared" si="6"/>
        <v/>
      </c>
      <c r="K292" s="58" t="str">
        <f>IFERROR(WHOLE_STRUCTURE[[#This Row],[Bottom '[m']]]-WHOLE_STRUCTURE[[#This Row],[D, top '[m']]], "")</f>
        <v/>
      </c>
      <c r="L292" s="58" t="str">
        <f>IFERROR(-(WHOLE_STRUCTURE[[#This Row],[D, bottom '[m']]]-WHOLE_STRUCTURE[[#This Row],[D, top '[m']]])/(WHOLE_STRUCTURE[[#This Row],[Bottom '[m']]]-WHOLE_STRUCTURE[[#This Row],[Top '[m']]]),"")</f>
        <v/>
      </c>
      <c r="M292" s="58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58" t="str">
        <f t="shared" si="6"/>
        <v/>
      </c>
      <c r="K293" s="58" t="str">
        <f>IFERROR(WHOLE_STRUCTURE[[#This Row],[Bottom '[m']]]-WHOLE_STRUCTURE[[#This Row],[D, top '[m']]], "")</f>
        <v/>
      </c>
      <c r="L293" s="58" t="str">
        <f>IFERROR(-(WHOLE_STRUCTURE[[#This Row],[D, bottom '[m']]]-WHOLE_STRUCTURE[[#This Row],[D, top '[m']]])/(WHOLE_STRUCTURE[[#This Row],[Bottom '[m']]]-WHOLE_STRUCTURE[[#This Row],[Top '[m']]]),"")</f>
        <v/>
      </c>
      <c r="M293" s="58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58" t="str">
        <f t="shared" si="6"/>
        <v/>
      </c>
      <c r="K294" s="58" t="str">
        <f>IFERROR(WHOLE_STRUCTURE[[#This Row],[Bottom '[m']]]-WHOLE_STRUCTURE[[#This Row],[D, top '[m']]], "")</f>
        <v/>
      </c>
      <c r="L294" s="58" t="str">
        <f>IFERROR(-(WHOLE_STRUCTURE[[#This Row],[D, bottom '[m']]]-WHOLE_STRUCTURE[[#This Row],[D, top '[m']]])/(WHOLE_STRUCTURE[[#This Row],[Bottom '[m']]]-WHOLE_STRUCTURE[[#This Row],[Top '[m']]]),"")</f>
        <v/>
      </c>
      <c r="M294" s="58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58" t="str">
        <f t="shared" si="6"/>
        <v/>
      </c>
      <c r="K295" s="58" t="str">
        <f>IFERROR(WHOLE_STRUCTURE[[#This Row],[Bottom '[m']]]-WHOLE_STRUCTURE[[#This Row],[D, top '[m']]], "")</f>
        <v/>
      </c>
      <c r="L295" s="58" t="str">
        <f>IFERROR(-(WHOLE_STRUCTURE[[#This Row],[D, bottom '[m']]]-WHOLE_STRUCTURE[[#This Row],[D, top '[m']]])/(WHOLE_STRUCTURE[[#This Row],[Bottom '[m']]]-WHOLE_STRUCTURE[[#This Row],[Top '[m']]]),"")</f>
        <v/>
      </c>
      <c r="M295" s="58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58" t="str">
        <f t="shared" si="6"/>
        <v/>
      </c>
      <c r="K296" s="58" t="str">
        <f>IFERROR(WHOLE_STRUCTURE[[#This Row],[Bottom '[m']]]-WHOLE_STRUCTURE[[#This Row],[D, top '[m']]], "")</f>
        <v/>
      </c>
      <c r="L296" s="58" t="str">
        <f>IFERROR(-(WHOLE_STRUCTURE[[#This Row],[D, bottom '[m']]]-WHOLE_STRUCTURE[[#This Row],[D, top '[m']]])/(WHOLE_STRUCTURE[[#This Row],[Bottom '[m']]]-WHOLE_STRUCTURE[[#This Row],[Top '[m']]]),"")</f>
        <v/>
      </c>
      <c r="M296" s="58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58" t="str">
        <f t="shared" si="6"/>
        <v/>
      </c>
      <c r="K297" s="58" t="str">
        <f>IFERROR(WHOLE_STRUCTURE[[#This Row],[Bottom '[m']]]-WHOLE_STRUCTURE[[#This Row],[D, top '[m']]], "")</f>
        <v/>
      </c>
      <c r="L297" s="58" t="str">
        <f>IFERROR(-(WHOLE_STRUCTURE[[#This Row],[D, bottom '[m']]]-WHOLE_STRUCTURE[[#This Row],[D, top '[m']]])/(WHOLE_STRUCTURE[[#This Row],[Bottom '[m']]]-WHOLE_STRUCTURE[[#This Row],[Top '[m']]]),"")</f>
        <v/>
      </c>
      <c r="M297" s="58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58" t="str">
        <f t="shared" si="6"/>
        <v/>
      </c>
      <c r="K298" s="58" t="str">
        <f>IFERROR(WHOLE_STRUCTURE[[#This Row],[Bottom '[m']]]-WHOLE_STRUCTURE[[#This Row],[D, top '[m']]], "")</f>
        <v/>
      </c>
      <c r="L298" s="58" t="str">
        <f>IFERROR(-(WHOLE_STRUCTURE[[#This Row],[D, bottom '[m']]]-WHOLE_STRUCTURE[[#This Row],[D, top '[m']]])/(WHOLE_STRUCTURE[[#This Row],[Bottom '[m']]]-WHOLE_STRUCTURE[[#This Row],[Top '[m']]]),"")</f>
        <v/>
      </c>
      <c r="M298" s="58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58" t="str">
        <f t="shared" si="6"/>
        <v/>
      </c>
      <c r="K299" s="58" t="str">
        <f>IFERROR(WHOLE_STRUCTURE[[#This Row],[Bottom '[m']]]-WHOLE_STRUCTURE[[#This Row],[D, top '[m']]], "")</f>
        <v/>
      </c>
      <c r="L299" s="58" t="str">
        <f>IFERROR(-(WHOLE_STRUCTURE[[#This Row],[D, bottom '[m']]]-WHOLE_STRUCTURE[[#This Row],[D, top '[m']]])/(WHOLE_STRUCTURE[[#This Row],[Bottom '[m']]]-WHOLE_STRUCTURE[[#This Row],[Top '[m']]]),"")</f>
        <v/>
      </c>
      <c r="M299" s="58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58" t="str">
        <f t="shared" si="6"/>
        <v/>
      </c>
      <c r="K300" s="58" t="str">
        <f>IFERROR(WHOLE_STRUCTURE[[#This Row],[Bottom '[m']]]-WHOLE_STRUCTURE[[#This Row],[D, top '[m']]], "")</f>
        <v/>
      </c>
      <c r="L300" s="58" t="str">
        <f>IFERROR(-(WHOLE_STRUCTURE[[#This Row],[D, bottom '[m']]]-WHOLE_STRUCTURE[[#This Row],[D, top '[m']]])/(WHOLE_STRUCTURE[[#This Row],[Bottom '[m']]]-WHOLE_STRUCTURE[[#This Row],[Top '[m']]]),"")</f>
        <v/>
      </c>
      <c r="M300" s="58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58" t="str">
        <f t="shared" si="6"/>
        <v/>
      </c>
      <c r="K301" s="58" t="str">
        <f>IFERROR(WHOLE_STRUCTURE[[#This Row],[Bottom '[m']]]-WHOLE_STRUCTURE[[#This Row],[D, top '[m']]], "")</f>
        <v/>
      </c>
      <c r="L301" s="58" t="str">
        <f>IFERROR(-(WHOLE_STRUCTURE[[#This Row],[D, bottom '[m']]]-WHOLE_STRUCTURE[[#This Row],[D, top '[m']]])/(WHOLE_STRUCTURE[[#This Row],[Bottom '[m']]]-WHOLE_STRUCTURE[[#This Row],[Top '[m']]]),"")</f>
        <v/>
      </c>
      <c r="M301" s="58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58" t="str">
        <f t="shared" si="6"/>
        <v/>
      </c>
      <c r="K302" s="58" t="str">
        <f>IFERROR(WHOLE_STRUCTURE[[#This Row],[Bottom '[m']]]-WHOLE_STRUCTURE[[#This Row],[D, top '[m']]], "")</f>
        <v/>
      </c>
      <c r="L302" s="58" t="str">
        <f>IFERROR(-(WHOLE_STRUCTURE[[#This Row],[D, bottom '[m']]]-WHOLE_STRUCTURE[[#This Row],[D, top '[m']]])/(WHOLE_STRUCTURE[[#This Row],[Bottom '[m']]]-WHOLE_STRUCTURE[[#This Row],[Top '[m']]]),"")</f>
        <v/>
      </c>
      <c r="M302" s="58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58" t="str">
        <f t="shared" si="6"/>
        <v/>
      </c>
      <c r="K303" s="58" t="str">
        <f>IFERROR(WHOLE_STRUCTURE[[#This Row],[Bottom '[m']]]-WHOLE_STRUCTURE[[#This Row],[D, top '[m']]], "")</f>
        <v/>
      </c>
      <c r="L303" s="58" t="str">
        <f>IFERROR(-(WHOLE_STRUCTURE[[#This Row],[D, bottom '[m']]]-WHOLE_STRUCTURE[[#This Row],[D, top '[m']]])/(WHOLE_STRUCTURE[[#This Row],[Bottom '[m']]]-WHOLE_STRUCTURE[[#This Row],[Top '[m']]]),"")</f>
        <v/>
      </c>
      <c r="M303" s="58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58" t="str">
        <f t="shared" si="6"/>
        <v/>
      </c>
      <c r="K304" s="58" t="str">
        <f>IFERROR(WHOLE_STRUCTURE[[#This Row],[Bottom '[m']]]-WHOLE_STRUCTURE[[#This Row],[D, top '[m']]], "")</f>
        <v/>
      </c>
      <c r="L304" s="58" t="str">
        <f>IFERROR(-(WHOLE_STRUCTURE[[#This Row],[D, bottom '[m']]]-WHOLE_STRUCTURE[[#This Row],[D, top '[m']]])/(WHOLE_STRUCTURE[[#This Row],[Bottom '[m']]]-WHOLE_STRUCTURE[[#This Row],[Top '[m']]]),"")</f>
        <v/>
      </c>
      <c r="M304" s="58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58" t="str">
        <f t="shared" si="6"/>
        <v/>
      </c>
      <c r="K305" s="58" t="str">
        <f>IFERROR(WHOLE_STRUCTURE[[#This Row],[Bottom '[m']]]-WHOLE_STRUCTURE[[#This Row],[D, top '[m']]], "")</f>
        <v/>
      </c>
      <c r="L305" s="58" t="str">
        <f>IFERROR(-(WHOLE_STRUCTURE[[#This Row],[D, bottom '[m']]]-WHOLE_STRUCTURE[[#This Row],[D, top '[m']]])/(WHOLE_STRUCTURE[[#This Row],[Bottom '[m']]]-WHOLE_STRUCTURE[[#This Row],[Top '[m']]]),"")</f>
        <v/>
      </c>
      <c r="M305" s="58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58" t="str">
        <f t="shared" si="6"/>
        <v/>
      </c>
      <c r="K306" s="58" t="str">
        <f>IFERROR(WHOLE_STRUCTURE[[#This Row],[Bottom '[m']]]-WHOLE_STRUCTURE[[#This Row],[D, top '[m']]], "")</f>
        <v/>
      </c>
      <c r="L306" s="58" t="str">
        <f>IFERROR(-(WHOLE_STRUCTURE[[#This Row],[D, bottom '[m']]]-WHOLE_STRUCTURE[[#This Row],[D, top '[m']]])/(WHOLE_STRUCTURE[[#This Row],[Bottom '[m']]]-WHOLE_STRUCTURE[[#This Row],[Top '[m']]]),"")</f>
        <v/>
      </c>
      <c r="M306" s="58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58" t="str">
        <f t="shared" si="6"/>
        <v/>
      </c>
      <c r="K307" s="58" t="str">
        <f>IFERROR(WHOLE_STRUCTURE[[#This Row],[Bottom '[m']]]-WHOLE_STRUCTURE[[#This Row],[D, top '[m']]], "")</f>
        <v/>
      </c>
      <c r="L307" s="58" t="str">
        <f>IFERROR(-(WHOLE_STRUCTURE[[#This Row],[D, bottom '[m']]]-WHOLE_STRUCTURE[[#This Row],[D, top '[m']]])/(WHOLE_STRUCTURE[[#This Row],[Bottom '[m']]]-WHOLE_STRUCTURE[[#This Row],[Top '[m']]]),"")</f>
        <v/>
      </c>
      <c r="M307" s="58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58" t="str">
        <f t="shared" si="6"/>
        <v/>
      </c>
      <c r="K308" s="58" t="str">
        <f>IFERROR(WHOLE_STRUCTURE[[#This Row],[Bottom '[m']]]-WHOLE_STRUCTURE[[#This Row],[D, top '[m']]], "")</f>
        <v/>
      </c>
      <c r="L308" s="58" t="str">
        <f>IFERROR(-(WHOLE_STRUCTURE[[#This Row],[D, bottom '[m']]]-WHOLE_STRUCTURE[[#This Row],[D, top '[m']]])/(WHOLE_STRUCTURE[[#This Row],[Bottom '[m']]]-WHOLE_STRUCTURE[[#This Row],[Top '[m']]]),"")</f>
        <v/>
      </c>
      <c r="M308" s="58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58" t="str">
        <f t="shared" si="6"/>
        <v/>
      </c>
      <c r="K309" s="58" t="str">
        <f>IFERROR(WHOLE_STRUCTURE[[#This Row],[Bottom '[m']]]-WHOLE_STRUCTURE[[#This Row],[D, top '[m']]], "")</f>
        <v/>
      </c>
      <c r="L309" s="58" t="str">
        <f>IFERROR(-(WHOLE_STRUCTURE[[#This Row],[D, bottom '[m']]]-WHOLE_STRUCTURE[[#This Row],[D, top '[m']]])/(WHOLE_STRUCTURE[[#This Row],[Bottom '[m']]]-WHOLE_STRUCTURE[[#This Row],[Top '[m']]]),"")</f>
        <v/>
      </c>
      <c r="M309" s="58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58" t="str">
        <f t="shared" si="6"/>
        <v/>
      </c>
      <c r="K310" s="58" t="str">
        <f>IFERROR(WHOLE_STRUCTURE[[#This Row],[Bottom '[m']]]-WHOLE_STRUCTURE[[#This Row],[D, top '[m']]], "")</f>
        <v/>
      </c>
      <c r="L310" s="58" t="str">
        <f>IFERROR(-(WHOLE_STRUCTURE[[#This Row],[D, bottom '[m']]]-WHOLE_STRUCTURE[[#This Row],[D, top '[m']]])/(WHOLE_STRUCTURE[[#This Row],[Bottom '[m']]]-WHOLE_STRUCTURE[[#This Row],[Top '[m']]]),"")</f>
        <v/>
      </c>
      <c r="M310" s="58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58" t="str">
        <f t="shared" si="6"/>
        <v/>
      </c>
      <c r="K311" s="58" t="str">
        <f>IFERROR(WHOLE_STRUCTURE[[#This Row],[Bottom '[m']]]-WHOLE_STRUCTURE[[#This Row],[D, top '[m']]], "")</f>
        <v/>
      </c>
      <c r="L311" s="58" t="str">
        <f>IFERROR(-(WHOLE_STRUCTURE[[#This Row],[D, bottom '[m']]]-WHOLE_STRUCTURE[[#This Row],[D, top '[m']]])/(WHOLE_STRUCTURE[[#This Row],[Bottom '[m']]]-WHOLE_STRUCTURE[[#This Row],[Top '[m']]]),"")</f>
        <v/>
      </c>
      <c r="M311" s="58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58" t="str">
        <f t="shared" si="6"/>
        <v/>
      </c>
      <c r="K312" s="58" t="str">
        <f>IFERROR(WHOLE_STRUCTURE[[#This Row],[Bottom '[m']]]-WHOLE_STRUCTURE[[#This Row],[D, top '[m']]], "")</f>
        <v/>
      </c>
      <c r="L312" s="58" t="str">
        <f>IFERROR(-(WHOLE_STRUCTURE[[#This Row],[D, bottom '[m']]]-WHOLE_STRUCTURE[[#This Row],[D, top '[m']]])/(WHOLE_STRUCTURE[[#This Row],[Bottom '[m']]]-WHOLE_STRUCTURE[[#This Row],[Top '[m']]]),"")</f>
        <v/>
      </c>
      <c r="M312" s="58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58" t="str">
        <f t="shared" si="6"/>
        <v/>
      </c>
      <c r="K313" s="58" t="str">
        <f>IFERROR(WHOLE_STRUCTURE[[#This Row],[Bottom '[m']]]-WHOLE_STRUCTURE[[#This Row],[D, top '[m']]], "")</f>
        <v/>
      </c>
      <c r="L313" s="58" t="str">
        <f>IFERROR(-(WHOLE_STRUCTURE[[#This Row],[D, bottom '[m']]]-WHOLE_STRUCTURE[[#This Row],[D, top '[m']]])/(WHOLE_STRUCTURE[[#This Row],[Bottom '[m']]]-WHOLE_STRUCTURE[[#This Row],[Top '[m']]]),"")</f>
        <v/>
      </c>
      <c r="M313" s="58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58" t="str">
        <f t="shared" si="6"/>
        <v/>
      </c>
      <c r="K314" s="58" t="str">
        <f>IFERROR(WHOLE_STRUCTURE[[#This Row],[Bottom '[m']]]-WHOLE_STRUCTURE[[#This Row],[D, top '[m']]], "")</f>
        <v/>
      </c>
      <c r="L314" s="58" t="str">
        <f>IFERROR(-(WHOLE_STRUCTURE[[#This Row],[D, bottom '[m']]]-WHOLE_STRUCTURE[[#This Row],[D, top '[m']]])/(WHOLE_STRUCTURE[[#This Row],[Bottom '[m']]]-WHOLE_STRUCTURE[[#This Row],[Top '[m']]]),"")</f>
        <v/>
      </c>
      <c r="M314" s="58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58" t="str">
        <f t="shared" si="6"/>
        <v/>
      </c>
      <c r="K315" s="58" t="str">
        <f>IFERROR(WHOLE_STRUCTURE[[#This Row],[Bottom '[m']]]-WHOLE_STRUCTURE[[#This Row],[D, top '[m']]], "")</f>
        <v/>
      </c>
      <c r="L315" s="58" t="str">
        <f>IFERROR(-(WHOLE_STRUCTURE[[#This Row],[D, bottom '[m']]]-WHOLE_STRUCTURE[[#This Row],[D, top '[m']]])/(WHOLE_STRUCTURE[[#This Row],[Bottom '[m']]]-WHOLE_STRUCTURE[[#This Row],[Top '[m']]]),"")</f>
        <v/>
      </c>
      <c r="M315" s="58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58" t="str">
        <f t="shared" ref="J316:J379" si="7">IF(7850/1000*(1/3)*PI()*ABS(E316-F316)*((G316/2)^2+(G316/2)*(H316/2)+(H316/2)^2-(G316/2-I316/1000)^2-(G316/2-I316/1000)*(H316/2-I316/1000)-(H316/2-I316/1000)^2)=0,"",7850/1000*(1/3)*PI()*ABS(E316-F316)*((G316/2)^2+(G316/2)*(H316/2)+(H316/2)^2-(G316/2-I316/1000)^2-(G316/2-I316/1000)*(H316/2-I316/1000)-(H316/2-I316/1000)^2))</f>
        <v/>
      </c>
      <c r="K316" s="58" t="str">
        <f>IFERROR(WHOLE_STRUCTURE[[#This Row],[Bottom '[m']]]-WHOLE_STRUCTURE[[#This Row],[D, top '[m']]], "")</f>
        <v/>
      </c>
      <c r="L316" s="58" t="str">
        <f>IFERROR(-(WHOLE_STRUCTURE[[#This Row],[D, bottom '[m']]]-WHOLE_STRUCTURE[[#This Row],[D, top '[m']]])/(WHOLE_STRUCTURE[[#This Row],[Bottom '[m']]]-WHOLE_STRUCTURE[[#This Row],[Top '[m']]]),"")</f>
        <v/>
      </c>
      <c r="M316" s="58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58" t="str">
        <f t="shared" si="7"/>
        <v/>
      </c>
      <c r="K317" s="58" t="str">
        <f>IFERROR(WHOLE_STRUCTURE[[#This Row],[Bottom '[m']]]-WHOLE_STRUCTURE[[#This Row],[D, top '[m']]], "")</f>
        <v/>
      </c>
      <c r="L317" s="58" t="str">
        <f>IFERROR(-(WHOLE_STRUCTURE[[#This Row],[D, bottom '[m']]]-WHOLE_STRUCTURE[[#This Row],[D, top '[m']]])/(WHOLE_STRUCTURE[[#This Row],[Bottom '[m']]]-WHOLE_STRUCTURE[[#This Row],[Top '[m']]]),"")</f>
        <v/>
      </c>
      <c r="M317" s="58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58" t="str">
        <f t="shared" si="7"/>
        <v/>
      </c>
      <c r="K318" s="58" t="str">
        <f>IFERROR(WHOLE_STRUCTURE[[#This Row],[Bottom '[m']]]-WHOLE_STRUCTURE[[#This Row],[D, top '[m']]], "")</f>
        <v/>
      </c>
      <c r="L318" s="58" t="str">
        <f>IFERROR(-(WHOLE_STRUCTURE[[#This Row],[D, bottom '[m']]]-WHOLE_STRUCTURE[[#This Row],[D, top '[m']]])/(WHOLE_STRUCTURE[[#This Row],[Bottom '[m']]]-WHOLE_STRUCTURE[[#This Row],[Top '[m']]]),"")</f>
        <v/>
      </c>
      <c r="M318" s="58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58" t="str">
        <f t="shared" si="7"/>
        <v/>
      </c>
      <c r="K319" s="58" t="str">
        <f>IFERROR(WHOLE_STRUCTURE[[#This Row],[Bottom '[m']]]-WHOLE_STRUCTURE[[#This Row],[D, top '[m']]], "")</f>
        <v/>
      </c>
      <c r="L319" s="58" t="str">
        <f>IFERROR(-(WHOLE_STRUCTURE[[#This Row],[D, bottom '[m']]]-WHOLE_STRUCTURE[[#This Row],[D, top '[m']]])/(WHOLE_STRUCTURE[[#This Row],[Bottom '[m']]]-WHOLE_STRUCTURE[[#This Row],[Top '[m']]]),"")</f>
        <v/>
      </c>
      <c r="M319" s="58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58" t="str">
        <f t="shared" si="7"/>
        <v/>
      </c>
      <c r="K320" s="58" t="str">
        <f>IFERROR(WHOLE_STRUCTURE[[#This Row],[Bottom '[m']]]-WHOLE_STRUCTURE[[#This Row],[D, top '[m']]], "")</f>
        <v/>
      </c>
      <c r="L320" s="58" t="str">
        <f>IFERROR(-(WHOLE_STRUCTURE[[#This Row],[D, bottom '[m']]]-WHOLE_STRUCTURE[[#This Row],[D, top '[m']]])/(WHOLE_STRUCTURE[[#This Row],[Bottom '[m']]]-WHOLE_STRUCTURE[[#This Row],[Top '[m']]]),"")</f>
        <v/>
      </c>
      <c r="M320" s="58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58" t="str">
        <f t="shared" si="7"/>
        <v/>
      </c>
      <c r="K321" s="58" t="str">
        <f>IFERROR(WHOLE_STRUCTURE[[#This Row],[Bottom '[m']]]-WHOLE_STRUCTURE[[#This Row],[D, top '[m']]], "")</f>
        <v/>
      </c>
      <c r="L321" s="58" t="str">
        <f>IFERROR(-(WHOLE_STRUCTURE[[#This Row],[D, bottom '[m']]]-WHOLE_STRUCTURE[[#This Row],[D, top '[m']]])/(WHOLE_STRUCTURE[[#This Row],[Bottom '[m']]]-WHOLE_STRUCTURE[[#This Row],[Top '[m']]]),"")</f>
        <v/>
      </c>
      <c r="M321" s="58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58" t="str">
        <f t="shared" si="7"/>
        <v/>
      </c>
      <c r="K322" s="58" t="str">
        <f>IFERROR(WHOLE_STRUCTURE[[#This Row],[Bottom '[m']]]-WHOLE_STRUCTURE[[#This Row],[D, top '[m']]], "")</f>
        <v/>
      </c>
      <c r="L322" s="58" t="str">
        <f>IFERROR(-(WHOLE_STRUCTURE[[#This Row],[D, bottom '[m']]]-WHOLE_STRUCTURE[[#This Row],[D, top '[m']]])/(WHOLE_STRUCTURE[[#This Row],[Bottom '[m']]]-WHOLE_STRUCTURE[[#This Row],[Top '[m']]]),"")</f>
        <v/>
      </c>
      <c r="M322" s="58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58" t="str">
        <f t="shared" si="7"/>
        <v/>
      </c>
      <c r="K323" s="58" t="str">
        <f>IFERROR(WHOLE_STRUCTURE[[#This Row],[Bottom '[m']]]-WHOLE_STRUCTURE[[#This Row],[D, top '[m']]], "")</f>
        <v/>
      </c>
      <c r="L323" s="58" t="str">
        <f>IFERROR(-(WHOLE_STRUCTURE[[#This Row],[D, bottom '[m']]]-WHOLE_STRUCTURE[[#This Row],[D, top '[m']]])/(WHOLE_STRUCTURE[[#This Row],[Bottom '[m']]]-WHOLE_STRUCTURE[[#This Row],[Top '[m']]]),"")</f>
        <v/>
      </c>
      <c r="M323" s="58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58" t="str">
        <f t="shared" si="7"/>
        <v/>
      </c>
      <c r="K324" s="58" t="str">
        <f>IFERROR(WHOLE_STRUCTURE[[#This Row],[Bottom '[m']]]-WHOLE_STRUCTURE[[#This Row],[D, top '[m']]], "")</f>
        <v/>
      </c>
      <c r="L324" s="58" t="str">
        <f>IFERROR(-(WHOLE_STRUCTURE[[#This Row],[D, bottom '[m']]]-WHOLE_STRUCTURE[[#This Row],[D, top '[m']]])/(WHOLE_STRUCTURE[[#This Row],[Bottom '[m']]]-WHOLE_STRUCTURE[[#This Row],[Top '[m']]]),"")</f>
        <v/>
      </c>
      <c r="M324" s="58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58" t="str">
        <f t="shared" si="7"/>
        <v/>
      </c>
      <c r="K325" s="58" t="str">
        <f>IFERROR(WHOLE_STRUCTURE[[#This Row],[Bottom '[m']]]-WHOLE_STRUCTURE[[#This Row],[D, top '[m']]], "")</f>
        <v/>
      </c>
      <c r="L325" s="58" t="str">
        <f>IFERROR(-(WHOLE_STRUCTURE[[#This Row],[D, bottom '[m']]]-WHOLE_STRUCTURE[[#This Row],[D, top '[m']]])/(WHOLE_STRUCTURE[[#This Row],[Bottom '[m']]]-WHOLE_STRUCTURE[[#This Row],[Top '[m']]]),"")</f>
        <v/>
      </c>
      <c r="M325" s="58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58" t="str">
        <f t="shared" si="7"/>
        <v/>
      </c>
      <c r="K326" s="58" t="str">
        <f>IFERROR(WHOLE_STRUCTURE[[#This Row],[Bottom '[m']]]-WHOLE_STRUCTURE[[#This Row],[D, top '[m']]], "")</f>
        <v/>
      </c>
      <c r="L326" s="58" t="str">
        <f>IFERROR(-(WHOLE_STRUCTURE[[#This Row],[D, bottom '[m']]]-WHOLE_STRUCTURE[[#This Row],[D, top '[m']]])/(WHOLE_STRUCTURE[[#This Row],[Bottom '[m']]]-WHOLE_STRUCTURE[[#This Row],[Top '[m']]]),"")</f>
        <v/>
      </c>
      <c r="M326" s="58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58" t="str">
        <f t="shared" si="7"/>
        <v/>
      </c>
      <c r="K327" s="58" t="str">
        <f>IFERROR(WHOLE_STRUCTURE[[#This Row],[Bottom '[m']]]-WHOLE_STRUCTURE[[#This Row],[D, top '[m']]], "")</f>
        <v/>
      </c>
      <c r="L327" s="58" t="str">
        <f>IFERROR(-(WHOLE_STRUCTURE[[#This Row],[D, bottom '[m']]]-WHOLE_STRUCTURE[[#This Row],[D, top '[m']]])/(WHOLE_STRUCTURE[[#This Row],[Bottom '[m']]]-WHOLE_STRUCTURE[[#This Row],[Top '[m']]]),"")</f>
        <v/>
      </c>
      <c r="M327" s="58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58" t="str">
        <f t="shared" si="7"/>
        <v/>
      </c>
      <c r="K328" s="58" t="str">
        <f>IFERROR(WHOLE_STRUCTURE[[#This Row],[Bottom '[m']]]-WHOLE_STRUCTURE[[#This Row],[D, top '[m']]], "")</f>
        <v/>
      </c>
      <c r="L328" s="58" t="str">
        <f>IFERROR(-(WHOLE_STRUCTURE[[#This Row],[D, bottom '[m']]]-WHOLE_STRUCTURE[[#This Row],[D, top '[m']]])/(WHOLE_STRUCTURE[[#This Row],[Bottom '[m']]]-WHOLE_STRUCTURE[[#This Row],[Top '[m']]]),"")</f>
        <v/>
      </c>
      <c r="M328" s="58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58" t="str">
        <f t="shared" si="7"/>
        <v/>
      </c>
      <c r="K329" s="58" t="str">
        <f>IFERROR(WHOLE_STRUCTURE[[#This Row],[Bottom '[m']]]-WHOLE_STRUCTURE[[#This Row],[D, top '[m']]], "")</f>
        <v/>
      </c>
      <c r="L329" s="58" t="str">
        <f>IFERROR(-(WHOLE_STRUCTURE[[#This Row],[D, bottom '[m']]]-WHOLE_STRUCTURE[[#This Row],[D, top '[m']]])/(WHOLE_STRUCTURE[[#This Row],[Bottom '[m']]]-WHOLE_STRUCTURE[[#This Row],[Top '[m']]]),"")</f>
        <v/>
      </c>
      <c r="M329" s="58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58" t="str">
        <f t="shared" si="7"/>
        <v/>
      </c>
      <c r="K330" s="58" t="str">
        <f>IFERROR(WHOLE_STRUCTURE[[#This Row],[Bottom '[m']]]-WHOLE_STRUCTURE[[#This Row],[D, top '[m']]], "")</f>
        <v/>
      </c>
      <c r="L330" s="58" t="str">
        <f>IFERROR(-(WHOLE_STRUCTURE[[#This Row],[D, bottom '[m']]]-WHOLE_STRUCTURE[[#This Row],[D, top '[m']]])/(WHOLE_STRUCTURE[[#This Row],[Bottom '[m']]]-WHOLE_STRUCTURE[[#This Row],[Top '[m']]]),"")</f>
        <v/>
      </c>
      <c r="M330" s="58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58" t="str">
        <f t="shared" si="7"/>
        <v/>
      </c>
      <c r="K331" s="58" t="str">
        <f>IFERROR(WHOLE_STRUCTURE[[#This Row],[Bottom '[m']]]-WHOLE_STRUCTURE[[#This Row],[D, top '[m']]], "")</f>
        <v/>
      </c>
      <c r="L331" s="58" t="str">
        <f>IFERROR(-(WHOLE_STRUCTURE[[#This Row],[D, bottom '[m']]]-WHOLE_STRUCTURE[[#This Row],[D, top '[m']]])/(WHOLE_STRUCTURE[[#This Row],[Bottom '[m']]]-WHOLE_STRUCTURE[[#This Row],[Top '[m']]]),"")</f>
        <v/>
      </c>
      <c r="M331" s="58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58" t="str">
        <f t="shared" si="7"/>
        <v/>
      </c>
      <c r="K332" s="58" t="str">
        <f>IFERROR(WHOLE_STRUCTURE[[#This Row],[Bottom '[m']]]-WHOLE_STRUCTURE[[#This Row],[D, top '[m']]], "")</f>
        <v/>
      </c>
      <c r="L332" s="58" t="str">
        <f>IFERROR(-(WHOLE_STRUCTURE[[#This Row],[D, bottom '[m']]]-WHOLE_STRUCTURE[[#This Row],[D, top '[m']]])/(WHOLE_STRUCTURE[[#This Row],[Bottom '[m']]]-WHOLE_STRUCTURE[[#This Row],[Top '[m']]]),"")</f>
        <v/>
      </c>
      <c r="M332" s="58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58" t="str">
        <f t="shared" si="7"/>
        <v/>
      </c>
      <c r="K333" s="58" t="str">
        <f>IFERROR(WHOLE_STRUCTURE[[#This Row],[Bottom '[m']]]-WHOLE_STRUCTURE[[#This Row],[D, top '[m']]], "")</f>
        <v/>
      </c>
      <c r="L333" s="58" t="str">
        <f>IFERROR(-(WHOLE_STRUCTURE[[#This Row],[D, bottom '[m']]]-WHOLE_STRUCTURE[[#This Row],[D, top '[m']]])/(WHOLE_STRUCTURE[[#This Row],[Bottom '[m']]]-WHOLE_STRUCTURE[[#This Row],[Top '[m']]]),"")</f>
        <v/>
      </c>
      <c r="M333" s="58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58" t="str">
        <f t="shared" si="7"/>
        <v/>
      </c>
      <c r="K334" s="58" t="str">
        <f>IFERROR(WHOLE_STRUCTURE[[#This Row],[Bottom '[m']]]-WHOLE_STRUCTURE[[#This Row],[D, top '[m']]], "")</f>
        <v/>
      </c>
      <c r="L334" s="58" t="str">
        <f>IFERROR(-(WHOLE_STRUCTURE[[#This Row],[D, bottom '[m']]]-WHOLE_STRUCTURE[[#This Row],[D, top '[m']]])/(WHOLE_STRUCTURE[[#This Row],[Bottom '[m']]]-WHOLE_STRUCTURE[[#This Row],[Top '[m']]]),"")</f>
        <v/>
      </c>
      <c r="M334" s="58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58" t="str">
        <f t="shared" si="7"/>
        <v/>
      </c>
      <c r="K335" s="58" t="str">
        <f>IFERROR(WHOLE_STRUCTURE[[#This Row],[Bottom '[m']]]-WHOLE_STRUCTURE[[#This Row],[D, top '[m']]], "")</f>
        <v/>
      </c>
      <c r="L335" s="58" t="str">
        <f>IFERROR(-(WHOLE_STRUCTURE[[#This Row],[D, bottom '[m']]]-WHOLE_STRUCTURE[[#This Row],[D, top '[m']]])/(WHOLE_STRUCTURE[[#This Row],[Bottom '[m']]]-WHOLE_STRUCTURE[[#This Row],[Top '[m']]]),"")</f>
        <v/>
      </c>
      <c r="M335" s="58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58" t="str">
        <f t="shared" si="7"/>
        <v/>
      </c>
      <c r="K336" s="58" t="str">
        <f>IFERROR(WHOLE_STRUCTURE[[#This Row],[Bottom '[m']]]-WHOLE_STRUCTURE[[#This Row],[D, top '[m']]], "")</f>
        <v/>
      </c>
      <c r="L336" s="58" t="str">
        <f>IFERROR(-(WHOLE_STRUCTURE[[#This Row],[D, bottom '[m']]]-WHOLE_STRUCTURE[[#This Row],[D, top '[m']]])/(WHOLE_STRUCTURE[[#This Row],[Bottom '[m']]]-WHOLE_STRUCTURE[[#This Row],[Top '[m']]]),"")</f>
        <v/>
      </c>
      <c r="M336" s="58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58" t="str">
        <f t="shared" si="7"/>
        <v/>
      </c>
      <c r="K337" s="58" t="str">
        <f>IFERROR(WHOLE_STRUCTURE[[#This Row],[Bottom '[m']]]-WHOLE_STRUCTURE[[#This Row],[D, top '[m']]], "")</f>
        <v/>
      </c>
      <c r="L337" s="58" t="str">
        <f>IFERROR(-(WHOLE_STRUCTURE[[#This Row],[D, bottom '[m']]]-WHOLE_STRUCTURE[[#This Row],[D, top '[m']]])/(WHOLE_STRUCTURE[[#This Row],[Bottom '[m']]]-WHOLE_STRUCTURE[[#This Row],[Top '[m']]]),"")</f>
        <v/>
      </c>
      <c r="M337" s="58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58" t="str">
        <f t="shared" si="7"/>
        <v/>
      </c>
      <c r="K338" s="58" t="str">
        <f>IFERROR(WHOLE_STRUCTURE[[#This Row],[Bottom '[m']]]-WHOLE_STRUCTURE[[#This Row],[D, top '[m']]], "")</f>
        <v/>
      </c>
      <c r="L338" s="58" t="str">
        <f>IFERROR(-(WHOLE_STRUCTURE[[#This Row],[D, bottom '[m']]]-WHOLE_STRUCTURE[[#This Row],[D, top '[m']]])/(WHOLE_STRUCTURE[[#This Row],[Bottom '[m']]]-WHOLE_STRUCTURE[[#This Row],[Top '[m']]]),"")</f>
        <v/>
      </c>
      <c r="M338" s="58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58" t="str">
        <f t="shared" si="7"/>
        <v/>
      </c>
      <c r="K339" s="58" t="str">
        <f>IFERROR(WHOLE_STRUCTURE[[#This Row],[Bottom '[m']]]-WHOLE_STRUCTURE[[#This Row],[D, top '[m']]], "")</f>
        <v/>
      </c>
      <c r="L339" s="58" t="str">
        <f>IFERROR(-(WHOLE_STRUCTURE[[#This Row],[D, bottom '[m']]]-WHOLE_STRUCTURE[[#This Row],[D, top '[m']]])/(WHOLE_STRUCTURE[[#This Row],[Bottom '[m']]]-WHOLE_STRUCTURE[[#This Row],[Top '[m']]]),"")</f>
        <v/>
      </c>
      <c r="M339" s="58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58" t="str">
        <f t="shared" si="7"/>
        <v/>
      </c>
      <c r="K340" s="58" t="str">
        <f>IFERROR(WHOLE_STRUCTURE[[#This Row],[Bottom '[m']]]-WHOLE_STRUCTURE[[#This Row],[D, top '[m']]], "")</f>
        <v/>
      </c>
      <c r="L340" s="58" t="str">
        <f>IFERROR(-(WHOLE_STRUCTURE[[#This Row],[D, bottom '[m']]]-WHOLE_STRUCTURE[[#This Row],[D, top '[m']]])/(WHOLE_STRUCTURE[[#This Row],[Bottom '[m']]]-WHOLE_STRUCTURE[[#This Row],[Top '[m']]]),"")</f>
        <v/>
      </c>
      <c r="M340" s="58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58" t="str">
        <f t="shared" si="7"/>
        <v/>
      </c>
      <c r="K341" s="58" t="str">
        <f>IFERROR(WHOLE_STRUCTURE[[#This Row],[Bottom '[m']]]-WHOLE_STRUCTURE[[#This Row],[D, top '[m']]], "")</f>
        <v/>
      </c>
      <c r="L341" s="58" t="str">
        <f>IFERROR(-(WHOLE_STRUCTURE[[#This Row],[D, bottom '[m']]]-WHOLE_STRUCTURE[[#This Row],[D, top '[m']]])/(WHOLE_STRUCTURE[[#This Row],[Bottom '[m']]]-WHOLE_STRUCTURE[[#This Row],[Top '[m']]]),"")</f>
        <v/>
      </c>
      <c r="M341" s="58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58" t="str">
        <f t="shared" si="7"/>
        <v/>
      </c>
      <c r="K342" s="58" t="str">
        <f>IFERROR(WHOLE_STRUCTURE[[#This Row],[Bottom '[m']]]-WHOLE_STRUCTURE[[#This Row],[D, top '[m']]], "")</f>
        <v/>
      </c>
      <c r="L342" s="58" t="str">
        <f>IFERROR(-(WHOLE_STRUCTURE[[#This Row],[D, bottom '[m']]]-WHOLE_STRUCTURE[[#This Row],[D, top '[m']]])/(WHOLE_STRUCTURE[[#This Row],[Bottom '[m']]]-WHOLE_STRUCTURE[[#This Row],[Top '[m']]]),"")</f>
        <v/>
      </c>
      <c r="M342" s="58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58" t="str">
        <f t="shared" si="7"/>
        <v/>
      </c>
      <c r="K343" s="58" t="str">
        <f>IFERROR(WHOLE_STRUCTURE[[#This Row],[Bottom '[m']]]-WHOLE_STRUCTURE[[#This Row],[D, top '[m']]], "")</f>
        <v/>
      </c>
      <c r="L343" s="58" t="str">
        <f>IFERROR(-(WHOLE_STRUCTURE[[#This Row],[D, bottom '[m']]]-WHOLE_STRUCTURE[[#This Row],[D, top '[m']]])/(WHOLE_STRUCTURE[[#This Row],[Bottom '[m']]]-WHOLE_STRUCTURE[[#This Row],[Top '[m']]]),"")</f>
        <v/>
      </c>
      <c r="M343" s="58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58" t="str">
        <f t="shared" si="7"/>
        <v/>
      </c>
      <c r="K344" s="58" t="str">
        <f>IFERROR(WHOLE_STRUCTURE[[#This Row],[Bottom '[m']]]-WHOLE_STRUCTURE[[#This Row],[D, top '[m']]], "")</f>
        <v/>
      </c>
      <c r="L344" s="58" t="str">
        <f>IFERROR(-(WHOLE_STRUCTURE[[#This Row],[D, bottom '[m']]]-WHOLE_STRUCTURE[[#This Row],[D, top '[m']]])/(WHOLE_STRUCTURE[[#This Row],[Bottom '[m']]]-WHOLE_STRUCTURE[[#This Row],[Top '[m']]]),"")</f>
        <v/>
      </c>
      <c r="M344" s="58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58" t="str">
        <f t="shared" si="7"/>
        <v/>
      </c>
      <c r="K345" s="58" t="str">
        <f>IFERROR(WHOLE_STRUCTURE[[#This Row],[Bottom '[m']]]-WHOLE_STRUCTURE[[#This Row],[D, top '[m']]], "")</f>
        <v/>
      </c>
      <c r="L345" s="58" t="str">
        <f>IFERROR(-(WHOLE_STRUCTURE[[#This Row],[D, bottom '[m']]]-WHOLE_STRUCTURE[[#This Row],[D, top '[m']]])/(WHOLE_STRUCTURE[[#This Row],[Bottom '[m']]]-WHOLE_STRUCTURE[[#This Row],[Top '[m']]]),"")</f>
        <v/>
      </c>
      <c r="M345" s="58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58" t="str">
        <f t="shared" si="7"/>
        <v/>
      </c>
      <c r="K346" s="58" t="str">
        <f>IFERROR(WHOLE_STRUCTURE[[#This Row],[Bottom '[m']]]-WHOLE_STRUCTURE[[#This Row],[D, top '[m']]], "")</f>
        <v/>
      </c>
      <c r="L346" s="58" t="str">
        <f>IFERROR(-(WHOLE_STRUCTURE[[#This Row],[D, bottom '[m']]]-WHOLE_STRUCTURE[[#This Row],[D, top '[m']]])/(WHOLE_STRUCTURE[[#This Row],[Bottom '[m']]]-WHOLE_STRUCTURE[[#This Row],[Top '[m']]]),"")</f>
        <v/>
      </c>
      <c r="M346" s="58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58" t="str">
        <f t="shared" si="7"/>
        <v/>
      </c>
      <c r="K347" s="58" t="str">
        <f>IFERROR(WHOLE_STRUCTURE[[#This Row],[Bottom '[m']]]-WHOLE_STRUCTURE[[#This Row],[D, top '[m']]], "")</f>
        <v/>
      </c>
      <c r="L347" s="58" t="str">
        <f>IFERROR(-(WHOLE_STRUCTURE[[#This Row],[D, bottom '[m']]]-WHOLE_STRUCTURE[[#This Row],[D, top '[m']]])/(WHOLE_STRUCTURE[[#This Row],[Bottom '[m']]]-WHOLE_STRUCTURE[[#This Row],[Top '[m']]]),"")</f>
        <v/>
      </c>
      <c r="M347" s="58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58" t="str">
        <f t="shared" si="7"/>
        <v/>
      </c>
      <c r="K348" s="58" t="str">
        <f>IFERROR(WHOLE_STRUCTURE[[#This Row],[Bottom '[m']]]-WHOLE_STRUCTURE[[#This Row],[D, top '[m']]], "")</f>
        <v/>
      </c>
      <c r="L348" s="58" t="str">
        <f>IFERROR(-(WHOLE_STRUCTURE[[#This Row],[D, bottom '[m']]]-WHOLE_STRUCTURE[[#This Row],[D, top '[m']]])/(WHOLE_STRUCTURE[[#This Row],[Bottom '[m']]]-WHOLE_STRUCTURE[[#This Row],[Top '[m']]]),"")</f>
        <v/>
      </c>
      <c r="M348" s="58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58" t="str">
        <f t="shared" si="7"/>
        <v/>
      </c>
      <c r="K349" s="58" t="str">
        <f>IFERROR(WHOLE_STRUCTURE[[#This Row],[Bottom '[m']]]-WHOLE_STRUCTURE[[#This Row],[D, top '[m']]], "")</f>
        <v/>
      </c>
      <c r="L349" s="58" t="str">
        <f>IFERROR(-(WHOLE_STRUCTURE[[#This Row],[D, bottom '[m']]]-WHOLE_STRUCTURE[[#This Row],[D, top '[m']]])/(WHOLE_STRUCTURE[[#This Row],[Bottom '[m']]]-WHOLE_STRUCTURE[[#This Row],[Top '[m']]]),"")</f>
        <v/>
      </c>
      <c r="M349" s="58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58" t="str">
        <f t="shared" si="7"/>
        <v/>
      </c>
      <c r="K350" s="58" t="str">
        <f>IFERROR(WHOLE_STRUCTURE[[#This Row],[Bottom '[m']]]-WHOLE_STRUCTURE[[#This Row],[D, top '[m']]], "")</f>
        <v/>
      </c>
      <c r="L350" s="58" t="str">
        <f>IFERROR(-(WHOLE_STRUCTURE[[#This Row],[D, bottom '[m']]]-WHOLE_STRUCTURE[[#This Row],[D, top '[m']]])/(WHOLE_STRUCTURE[[#This Row],[Bottom '[m']]]-WHOLE_STRUCTURE[[#This Row],[Top '[m']]]),"")</f>
        <v/>
      </c>
      <c r="M350" s="58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58" t="str">
        <f t="shared" si="7"/>
        <v/>
      </c>
      <c r="K351" s="58" t="str">
        <f>IFERROR(WHOLE_STRUCTURE[[#This Row],[Bottom '[m']]]-WHOLE_STRUCTURE[[#This Row],[D, top '[m']]], "")</f>
        <v/>
      </c>
      <c r="L351" s="58" t="str">
        <f>IFERROR(-(WHOLE_STRUCTURE[[#This Row],[D, bottom '[m']]]-WHOLE_STRUCTURE[[#This Row],[D, top '[m']]])/(WHOLE_STRUCTURE[[#This Row],[Bottom '[m']]]-WHOLE_STRUCTURE[[#This Row],[Top '[m']]]),"")</f>
        <v/>
      </c>
      <c r="M351" s="58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58" t="str">
        <f t="shared" si="7"/>
        <v/>
      </c>
      <c r="K352" s="58" t="str">
        <f>IFERROR(WHOLE_STRUCTURE[[#This Row],[Bottom '[m']]]-WHOLE_STRUCTURE[[#This Row],[D, top '[m']]], "")</f>
        <v/>
      </c>
      <c r="L352" s="58" t="str">
        <f>IFERROR(-(WHOLE_STRUCTURE[[#This Row],[D, bottom '[m']]]-WHOLE_STRUCTURE[[#This Row],[D, top '[m']]])/(WHOLE_STRUCTURE[[#This Row],[Bottom '[m']]]-WHOLE_STRUCTURE[[#This Row],[Top '[m']]]),"")</f>
        <v/>
      </c>
      <c r="M352" s="58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58" t="str">
        <f t="shared" si="7"/>
        <v/>
      </c>
      <c r="K353" s="58" t="str">
        <f>IFERROR(WHOLE_STRUCTURE[[#This Row],[Bottom '[m']]]-WHOLE_STRUCTURE[[#This Row],[D, top '[m']]], "")</f>
        <v/>
      </c>
      <c r="L353" s="58" t="str">
        <f>IFERROR(-(WHOLE_STRUCTURE[[#This Row],[D, bottom '[m']]]-WHOLE_STRUCTURE[[#This Row],[D, top '[m']]])/(WHOLE_STRUCTURE[[#This Row],[Bottom '[m']]]-WHOLE_STRUCTURE[[#This Row],[Top '[m']]]),"")</f>
        <v/>
      </c>
      <c r="M353" s="58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58" t="str">
        <f t="shared" si="7"/>
        <v/>
      </c>
      <c r="K354" s="58" t="str">
        <f>IFERROR(WHOLE_STRUCTURE[[#This Row],[Bottom '[m']]]-WHOLE_STRUCTURE[[#This Row],[D, top '[m']]], "")</f>
        <v/>
      </c>
      <c r="L354" s="58" t="str">
        <f>IFERROR(-(WHOLE_STRUCTURE[[#This Row],[D, bottom '[m']]]-WHOLE_STRUCTURE[[#This Row],[D, top '[m']]])/(WHOLE_STRUCTURE[[#This Row],[Bottom '[m']]]-WHOLE_STRUCTURE[[#This Row],[Top '[m']]]),"")</f>
        <v/>
      </c>
      <c r="M354" s="58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58" t="str">
        <f t="shared" si="7"/>
        <v/>
      </c>
      <c r="K355" s="58" t="str">
        <f>IFERROR(WHOLE_STRUCTURE[[#This Row],[Bottom '[m']]]-WHOLE_STRUCTURE[[#This Row],[D, top '[m']]], "")</f>
        <v/>
      </c>
      <c r="L355" s="58" t="str">
        <f>IFERROR(-(WHOLE_STRUCTURE[[#This Row],[D, bottom '[m']]]-WHOLE_STRUCTURE[[#This Row],[D, top '[m']]])/(WHOLE_STRUCTURE[[#This Row],[Bottom '[m']]]-WHOLE_STRUCTURE[[#This Row],[Top '[m']]]),"")</f>
        <v/>
      </c>
      <c r="M355" s="58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58" t="str">
        <f t="shared" si="7"/>
        <v/>
      </c>
      <c r="K356" s="58" t="str">
        <f>IFERROR(WHOLE_STRUCTURE[[#This Row],[Bottom '[m']]]-WHOLE_STRUCTURE[[#This Row],[D, top '[m']]], "")</f>
        <v/>
      </c>
      <c r="L356" s="58" t="str">
        <f>IFERROR(-(WHOLE_STRUCTURE[[#This Row],[D, bottom '[m']]]-WHOLE_STRUCTURE[[#This Row],[D, top '[m']]])/(WHOLE_STRUCTURE[[#This Row],[Bottom '[m']]]-WHOLE_STRUCTURE[[#This Row],[Top '[m']]]),"")</f>
        <v/>
      </c>
      <c r="M356" s="58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58" t="str">
        <f t="shared" si="7"/>
        <v/>
      </c>
      <c r="K357" s="58" t="str">
        <f>IFERROR(WHOLE_STRUCTURE[[#This Row],[Bottom '[m']]]-WHOLE_STRUCTURE[[#This Row],[D, top '[m']]], "")</f>
        <v/>
      </c>
      <c r="L357" s="58" t="str">
        <f>IFERROR(-(WHOLE_STRUCTURE[[#This Row],[D, bottom '[m']]]-WHOLE_STRUCTURE[[#This Row],[D, top '[m']]])/(WHOLE_STRUCTURE[[#This Row],[Bottom '[m']]]-WHOLE_STRUCTURE[[#This Row],[Top '[m']]]),"")</f>
        <v/>
      </c>
      <c r="M357" s="58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58" t="str">
        <f t="shared" si="7"/>
        <v/>
      </c>
      <c r="K358" s="58" t="str">
        <f>IFERROR(WHOLE_STRUCTURE[[#This Row],[Bottom '[m']]]-WHOLE_STRUCTURE[[#This Row],[D, top '[m']]], "")</f>
        <v/>
      </c>
      <c r="L358" s="58" t="str">
        <f>IFERROR(-(WHOLE_STRUCTURE[[#This Row],[D, bottom '[m']]]-WHOLE_STRUCTURE[[#This Row],[D, top '[m']]])/(WHOLE_STRUCTURE[[#This Row],[Bottom '[m']]]-WHOLE_STRUCTURE[[#This Row],[Top '[m']]]),"")</f>
        <v/>
      </c>
      <c r="M358" s="58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58" t="str">
        <f t="shared" si="7"/>
        <v/>
      </c>
      <c r="K359" s="58" t="str">
        <f>IFERROR(WHOLE_STRUCTURE[[#This Row],[Bottom '[m']]]-WHOLE_STRUCTURE[[#This Row],[D, top '[m']]], "")</f>
        <v/>
      </c>
      <c r="L359" s="58" t="str">
        <f>IFERROR(-(WHOLE_STRUCTURE[[#This Row],[D, bottom '[m']]]-WHOLE_STRUCTURE[[#This Row],[D, top '[m']]])/(WHOLE_STRUCTURE[[#This Row],[Bottom '[m']]]-WHOLE_STRUCTURE[[#This Row],[Top '[m']]]),"")</f>
        <v/>
      </c>
      <c r="M359" s="58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58" t="str">
        <f t="shared" si="7"/>
        <v/>
      </c>
      <c r="K360" s="58" t="str">
        <f>IFERROR(WHOLE_STRUCTURE[[#This Row],[Bottom '[m']]]-WHOLE_STRUCTURE[[#This Row],[D, top '[m']]], "")</f>
        <v/>
      </c>
      <c r="L360" s="58" t="str">
        <f>IFERROR(-(WHOLE_STRUCTURE[[#This Row],[D, bottom '[m']]]-WHOLE_STRUCTURE[[#This Row],[D, top '[m']]])/(WHOLE_STRUCTURE[[#This Row],[Bottom '[m']]]-WHOLE_STRUCTURE[[#This Row],[Top '[m']]]),"")</f>
        <v/>
      </c>
      <c r="M360" s="58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58" t="str">
        <f t="shared" si="7"/>
        <v/>
      </c>
      <c r="K361" s="58" t="str">
        <f>IFERROR(WHOLE_STRUCTURE[[#This Row],[Bottom '[m']]]-WHOLE_STRUCTURE[[#This Row],[D, top '[m']]], "")</f>
        <v/>
      </c>
      <c r="L361" s="58" t="str">
        <f>IFERROR(-(WHOLE_STRUCTURE[[#This Row],[D, bottom '[m']]]-WHOLE_STRUCTURE[[#This Row],[D, top '[m']]])/(WHOLE_STRUCTURE[[#This Row],[Bottom '[m']]]-WHOLE_STRUCTURE[[#This Row],[Top '[m']]]),"")</f>
        <v/>
      </c>
      <c r="M361" s="58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58" t="str">
        <f t="shared" si="7"/>
        <v/>
      </c>
      <c r="K362" s="58" t="str">
        <f>IFERROR(WHOLE_STRUCTURE[[#This Row],[Bottom '[m']]]-WHOLE_STRUCTURE[[#This Row],[D, top '[m']]], "")</f>
        <v/>
      </c>
      <c r="L362" s="58" t="str">
        <f>IFERROR(-(WHOLE_STRUCTURE[[#This Row],[D, bottom '[m']]]-WHOLE_STRUCTURE[[#This Row],[D, top '[m']]])/(WHOLE_STRUCTURE[[#This Row],[Bottom '[m']]]-WHOLE_STRUCTURE[[#This Row],[Top '[m']]]),"")</f>
        <v/>
      </c>
      <c r="M362" s="58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58" t="str">
        <f t="shared" si="7"/>
        <v/>
      </c>
      <c r="K363" s="58" t="str">
        <f>IFERROR(WHOLE_STRUCTURE[[#This Row],[Bottom '[m']]]-WHOLE_STRUCTURE[[#This Row],[D, top '[m']]], "")</f>
        <v/>
      </c>
      <c r="L363" s="58" t="str">
        <f>IFERROR(-(WHOLE_STRUCTURE[[#This Row],[D, bottom '[m']]]-WHOLE_STRUCTURE[[#This Row],[D, top '[m']]])/(WHOLE_STRUCTURE[[#This Row],[Bottom '[m']]]-WHOLE_STRUCTURE[[#This Row],[Top '[m']]]),"")</f>
        <v/>
      </c>
      <c r="M363" s="58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58" t="str">
        <f t="shared" si="7"/>
        <v/>
      </c>
      <c r="K364" s="58" t="str">
        <f>IFERROR(WHOLE_STRUCTURE[[#This Row],[Bottom '[m']]]-WHOLE_STRUCTURE[[#This Row],[D, top '[m']]], "")</f>
        <v/>
      </c>
      <c r="L364" s="58" t="str">
        <f>IFERROR(-(WHOLE_STRUCTURE[[#This Row],[D, bottom '[m']]]-WHOLE_STRUCTURE[[#This Row],[D, top '[m']]])/(WHOLE_STRUCTURE[[#This Row],[Bottom '[m']]]-WHOLE_STRUCTURE[[#This Row],[Top '[m']]]),"")</f>
        <v/>
      </c>
      <c r="M364" s="58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58" t="str">
        <f t="shared" si="7"/>
        <v/>
      </c>
      <c r="K365" s="58" t="str">
        <f>IFERROR(WHOLE_STRUCTURE[[#This Row],[Bottom '[m']]]-WHOLE_STRUCTURE[[#This Row],[D, top '[m']]], "")</f>
        <v/>
      </c>
      <c r="L365" s="58" t="str">
        <f>IFERROR(-(WHOLE_STRUCTURE[[#This Row],[D, bottom '[m']]]-WHOLE_STRUCTURE[[#This Row],[D, top '[m']]])/(WHOLE_STRUCTURE[[#This Row],[Bottom '[m']]]-WHOLE_STRUCTURE[[#This Row],[Top '[m']]]),"")</f>
        <v/>
      </c>
      <c r="M365" s="58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58" t="str">
        <f t="shared" si="7"/>
        <v/>
      </c>
      <c r="K366" s="58" t="str">
        <f>IFERROR(WHOLE_STRUCTURE[[#This Row],[Bottom '[m']]]-WHOLE_STRUCTURE[[#This Row],[D, top '[m']]], "")</f>
        <v/>
      </c>
      <c r="L366" s="58" t="str">
        <f>IFERROR(-(WHOLE_STRUCTURE[[#This Row],[D, bottom '[m']]]-WHOLE_STRUCTURE[[#This Row],[D, top '[m']]])/(WHOLE_STRUCTURE[[#This Row],[Bottom '[m']]]-WHOLE_STRUCTURE[[#This Row],[Top '[m']]]),"")</f>
        <v/>
      </c>
      <c r="M366" s="58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58" t="str">
        <f t="shared" si="7"/>
        <v/>
      </c>
      <c r="K367" s="58" t="str">
        <f>IFERROR(WHOLE_STRUCTURE[[#This Row],[Bottom '[m']]]-WHOLE_STRUCTURE[[#This Row],[D, top '[m']]], "")</f>
        <v/>
      </c>
      <c r="L367" s="58" t="str">
        <f>IFERROR(-(WHOLE_STRUCTURE[[#This Row],[D, bottom '[m']]]-WHOLE_STRUCTURE[[#This Row],[D, top '[m']]])/(WHOLE_STRUCTURE[[#This Row],[Bottom '[m']]]-WHOLE_STRUCTURE[[#This Row],[Top '[m']]]),"")</f>
        <v/>
      </c>
      <c r="M367" s="58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58" t="str">
        <f t="shared" si="7"/>
        <v/>
      </c>
      <c r="K368" s="58" t="str">
        <f>IFERROR(WHOLE_STRUCTURE[[#This Row],[Bottom '[m']]]-WHOLE_STRUCTURE[[#This Row],[D, top '[m']]], "")</f>
        <v/>
      </c>
      <c r="L368" s="58" t="str">
        <f>IFERROR(-(WHOLE_STRUCTURE[[#This Row],[D, bottom '[m']]]-WHOLE_STRUCTURE[[#This Row],[D, top '[m']]])/(WHOLE_STRUCTURE[[#This Row],[Bottom '[m']]]-WHOLE_STRUCTURE[[#This Row],[Top '[m']]]),"")</f>
        <v/>
      </c>
      <c r="M368" s="58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58" t="str">
        <f t="shared" si="7"/>
        <v/>
      </c>
      <c r="K369" s="58" t="str">
        <f>IFERROR(WHOLE_STRUCTURE[[#This Row],[Bottom '[m']]]-WHOLE_STRUCTURE[[#This Row],[D, top '[m']]], "")</f>
        <v/>
      </c>
      <c r="L369" s="58" t="str">
        <f>IFERROR(-(WHOLE_STRUCTURE[[#This Row],[D, bottom '[m']]]-WHOLE_STRUCTURE[[#This Row],[D, top '[m']]])/(WHOLE_STRUCTURE[[#This Row],[Bottom '[m']]]-WHOLE_STRUCTURE[[#This Row],[Top '[m']]]),"")</f>
        <v/>
      </c>
      <c r="M369" s="58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58" t="str">
        <f t="shared" si="7"/>
        <v/>
      </c>
      <c r="K370" s="58" t="str">
        <f>IFERROR(WHOLE_STRUCTURE[[#This Row],[Bottom '[m']]]-WHOLE_STRUCTURE[[#This Row],[D, top '[m']]], "")</f>
        <v/>
      </c>
      <c r="L370" s="58" t="str">
        <f>IFERROR(-(WHOLE_STRUCTURE[[#This Row],[D, bottom '[m']]]-WHOLE_STRUCTURE[[#This Row],[D, top '[m']]])/(WHOLE_STRUCTURE[[#This Row],[Bottom '[m']]]-WHOLE_STRUCTURE[[#This Row],[Top '[m']]]),"")</f>
        <v/>
      </c>
      <c r="M370" s="58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58" t="str">
        <f t="shared" si="7"/>
        <v/>
      </c>
      <c r="K371" s="58" t="str">
        <f>IFERROR(WHOLE_STRUCTURE[[#This Row],[Bottom '[m']]]-WHOLE_STRUCTURE[[#This Row],[D, top '[m']]], "")</f>
        <v/>
      </c>
      <c r="L371" s="58" t="str">
        <f>IFERROR(-(WHOLE_STRUCTURE[[#This Row],[D, bottom '[m']]]-WHOLE_STRUCTURE[[#This Row],[D, top '[m']]])/(WHOLE_STRUCTURE[[#This Row],[Bottom '[m']]]-WHOLE_STRUCTURE[[#This Row],[Top '[m']]]),"")</f>
        <v/>
      </c>
      <c r="M371" s="58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58" t="str">
        <f t="shared" si="7"/>
        <v/>
      </c>
      <c r="K372" s="58" t="str">
        <f>IFERROR(WHOLE_STRUCTURE[[#This Row],[Bottom '[m']]]-WHOLE_STRUCTURE[[#This Row],[D, top '[m']]], "")</f>
        <v/>
      </c>
      <c r="L372" s="58" t="str">
        <f>IFERROR(-(WHOLE_STRUCTURE[[#This Row],[D, bottom '[m']]]-WHOLE_STRUCTURE[[#This Row],[D, top '[m']]])/(WHOLE_STRUCTURE[[#This Row],[Bottom '[m']]]-WHOLE_STRUCTURE[[#This Row],[Top '[m']]]),"")</f>
        <v/>
      </c>
      <c r="M372" s="58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58" t="str">
        <f t="shared" si="7"/>
        <v/>
      </c>
      <c r="K373" s="58" t="str">
        <f>IFERROR(WHOLE_STRUCTURE[[#This Row],[Bottom '[m']]]-WHOLE_STRUCTURE[[#This Row],[D, top '[m']]], "")</f>
        <v/>
      </c>
      <c r="L373" s="58" t="str">
        <f>IFERROR(-(WHOLE_STRUCTURE[[#This Row],[D, bottom '[m']]]-WHOLE_STRUCTURE[[#This Row],[D, top '[m']]])/(WHOLE_STRUCTURE[[#This Row],[Bottom '[m']]]-WHOLE_STRUCTURE[[#This Row],[Top '[m']]]),"")</f>
        <v/>
      </c>
      <c r="M373" s="58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58" t="str">
        <f t="shared" si="7"/>
        <v/>
      </c>
      <c r="K374" s="58" t="str">
        <f>IFERROR(WHOLE_STRUCTURE[[#This Row],[Bottom '[m']]]-WHOLE_STRUCTURE[[#This Row],[D, top '[m']]], "")</f>
        <v/>
      </c>
      <c r="L374" s="58" t="str">
        <f>IFERROR(-(WHOLE_STRUCTURE[[#This Row],[D, bottom '[m']]]-WHOLE_STRUCTURE[[#This Row],[D, top '[m']]])/(WHOLE_STRUCTURE[[#This Row],[Bottom '[m']]]-WHOLE_STRUCTURE[[#This Row],[Top '[m']]]),"")</f>
        <v/>
      </c>
      <c r="M374" s="58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58" t="str">
        <f t="shared" si="7"/>
        <v/>
      </c>
      <c r="K375" s="58" t="str">
        <f>IFERROR(WHOLE_STRUCTURE[[#This Row],[Bottom '[m']]]-WHOLE_STRUCTURE[[#This Row],[D, top '[m']]], "")</f>
        <v/>
      </c>
      <c r="L375" s="58" t="str">
        <f>IFERROR(-(WHOLE_STRUCTURE[[#This Row],[D, bottom '[m']]]-WHOLE_STRUCTURE[[#This Row],[D, top '[m']]])/(WHOLE_STRUCTURE[[#This Row],[Bottom '[m']]]-WHOLE_STRUCTURE[[#This Row],[Top '[m']]]),"")</f>
        <v/>
      </c>
      <c r="M375" s="58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58" t="str">
        <f t="shared" si="7"/>
        <v/>
      </c>
      <c r="K376" s="58" t="str">
        <f>IFERROR(WHOLE_STRUCTURE[[#This Row],[Bottom '[m']]]-WHOLE_STRUCTURE[[#This Row],[D, top '[m']]], "")</f>
        <v/>
      </c>
      <c r="L376" s="58" t="str">
        <f>IFERROR(-(WHOLE_STRUCTURE[[#This Row],[D, bottom '[m']]]-WHOLE_STRUCTURE[[#This Row],[D, top '[m']]])/(WHOLE_STRUCTURE[[#This Row],[Bottom '[m']]]-WHOLE_STRUCTURE[[#This Row],[Top '[m']]]),"")</f>
        <v/>
      </c>
      <c r="M376" s="58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58" t="str">
        <f t="shared" si="7"/>
        <v/>
      </c>
      <c r="K377" s="58" t="str">
        <f>IFERROR(WHOLE_STRUCTURE[[#This Row],[Bottom '[m']]]-WHOLE_STRUCTURE[[#This Row],[D, top '[m']]], "")</f>
        <v/>
      </c>
      <c r="L377" s="58" t="str">
        <f>IFERROR(-(WHOLE_STRUCTURE[[#This Row],[D, bottom '[m']]]-WHOLE_STRUCTURE[[#This Row],[D, top '[m']]])/(WHOLE_STRUCTURE[[#This Row],[Bottom '[m']]]-WHOLE_STRUCTURE[[#This Row],[Top '[m']]]),"")</f>
        <v/>
      </c>
      <c r="M377" s="58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58" t="str">
        <f t="shared" si="7"/>
        <v/>
      </c>
      <c r="K378" s="58" t="str">
        <f>IFERROR(WHOLE_STRUCTURE[[#This Row],[Bottom '[m']]]-WHOLE_STRUCTURE[[#This Row],[D, top '[m']]], "")</f>
        <v/>
      </c>
      <c r="L378" s="58" t="str">
        <f>IFERROR(-(WHOLE_STRUCTURE[[#This Row],[D, bottom '[m']]]-WHOLE_STRUCTURE[[#This Row],[D, top '[m']]])/(WHOLE_STRUCTURE[[#This Row],[Bottom '[m']]]-WHOLE_STRUCTURE[[#This Row],[Top '[m']]]),"")</f>
        <v/>
      </c>
      <c r="M378" s="58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58" t="str">
        <f t="shared" si="7"/>
        <v/>
      </c>
      <c r="K379" s="58" t="str">
        <f>IFERROR(WHOLE_STRUCTURE[[#This Row],[Bottom '[m']]]-WHOLE_STRUCTURE[[#This Row],[D, top '[m']]], "")</f>
        <v/>
      </c>
      <c r="L379" s="58" t="str">
        <f>IFERROR(-(WHOLE_STRUCTURE[[#This Row],[D, bottom '[m']]]-WHOLE_STRUCTURE[[#This Row],[D, top '[m']]])/(WHOLE_STRUCTURE[[#This Row],[Bottom '[m']]]-WHOLE_STRUCTURE[[#This Row],[Top '[m']]]),"")</f>
        <v/>
      </c>
      <c r="M379" s="58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58" t="str">
        <f t="shared" ref="J380:J443" si="8">IF(7850/1000*(1/3)*PI()*ABS(E380-F380)*((G380/2)^2+(G380/2)*(H380/2)+(H380/2)^2-(G380/2-I380/1000)^2-(G380/2-I380/1000)*(H380/2-I380/1000)-(H380/2-I380/1000)^2)=0,"",7850/1000*(1/3)*PI()*ABS(E380-F380)*((G380/2)^2+(G380/2)*(H380/2)+(H380/2)^2-(G380/2-I380/1000)^2-(G380/2-I380/1000)*(H380/2-I380/1000)-(H380/2-I380/1000)^2))</f>
        <v/>
      </c>
      <c r="K380" s="58" t="str">
        <f>IFERROR(WHOLE_STRUCTURE[[#This Row],[Bottom '[m']]]-WHOLE_STRUCTURE[[#This Row],[D, top '[m']]], "")</f>
        <v/>
      </c>
      <c r="L380" s="58" t="str">
        <f>IFERROR(-(WHOLE_STRUCTURE[[#This Row],[D, bottom '[m']]]-WHOLE_STRUCTURE[[#This Row],[D, top '[m']]])/(WHOLE_STRUCTURE[[#This Row],[Bottom '[m']]]-WHOLE_STRUCTURE[[#This Row],[Top '[m']]]),"")</f>
        <v/>
      </c>
      <c r="M380" s="58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58" t="str">
        <f t="shared" si="8"/>
        <v/>
      </c>
      <c r="K381" s="58" t="str">
        <f>IFERROR(WHOLE_STRUCTURE[[#This Row],[Bottom '[m']]]-WHOLE_STRUCTURE[[#This Row],[D, top '[m']]], "")</f>
        <v/>
      </c>
      <c r="L381" s="58" t="str">
        <f>IFERROR(-(WHOLE_STRUCTURE[[#This Row],[D, bottom '[m']]]-WHOLE_STRUCTURE[[#This Row],[D, top '[m']]])/(WHOLE_STRUCTURE[[#This Row],[Bottom '[m']]]-WHOLE_STRUCTURE[[#This Row],[Top '[m']]]),"")</f>
        <v/>
      </c>
      <c r="M381" s="58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58" t="str">
        <f t="shared" si="8"/>
        <v/>
      </c>
      <c r="K382" s="58" t="str">
        <f>IFERROR(WHOLE_STRUCTURE[[#This Row],[Bottom '[m']]]-WHOLE_STRUCTURE[[#This Row],[D, top '[m']]], "")</f>
        <v/>
      </c>
      <c r="L382" s="58" t="str">
        <f>IFERROR(-(WHOLE_STRUCTURE[[#This Row],[D, bottom '[m']]]-WHOLE_STRUCTURE[[#This Row],[D, top '[m']]])/(WHOLE_STRUCTURE[[#This Row],[Bottom '[m']]]-WHOLE_STRUCTURE[[#This Row],[Top '[m']]]),"")</f>
        <v/>
      </c>
      <c r="M382" s="58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58" t="str">
        <f t="shared" si="8"/>
        <v/>
      </c>
      <c r="K383" s="58" t="str">
        <f>IFERROR(WHOLE_STRUCTURE[[#This Row],[Bottom '[m']]]-WHOLE_STRUCTURE[[#This Row],[D, top '[m']]], "")</f>
        <v/>
      </c>
      <c r="L383" s="58" t="str">
        <f>IFERROR(-(WHOLE_STRUCTURE[[#This Row],[D, bottom '[m']]]-WHOLE_STRUCTURE[[#This Row],[D, top '[m']]])/(WHOLE_STRUCTURE[[#This Row],[Bottom '[m']]]-WHOLE_STRUCTURE[[#This Row],[Top '[m']]]),"")</f>
        <v/>
      </c>
      <c r="M383" s="58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58" t="str">
        <f t="shared" si="8"/>
        <v/>
      </c>
      <c r="K384" s="58" t="str">
        <f>IFERROR(WHOLE_STRUCTURE[[#This Row],[Bottom '[m']]]-WHOLE_STRUCTURE[[#This Row],[D, top '[m']]], "")</f>
        <v/>
      </c>
      <c r="L384" s="58" t="str">
        <f>IFERROR(-(WHOLE_STRUCTURE[[#This Row],[D, bottom '[m']]]-WHOLE_STRUCTURE[[#This Row],[D, top '[m']]])/(WHOLE_STRUCTURE[[#This Row],[Bottom '[m']]]-WHOLE_STRUCTURE[[#This Row],[Top '[m']]]),"")</f>
        <v/>
      </c>
      <c r="M384" s="58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58" t="str">
        <f t="shared" si="8"/>
        <v/>
      </c>
      <c r="K385" s="58" t="str">
        <f>IFERROR(WHOLE_STRUCTURE[[#This Row],[Bottom '[m']]]-WHOLE_STRUCTURE[[#This Row],[D, top '[m']]], "")</f>
        <v/>
      </c>
      <c r="L385" s="58" t="str">
        <f>IFERROR(-(WHOLE_STRUCTURE[[#This Row],[D, bottom '[m']]]-WHOLE_STRUCTURE[[#This Row],[D, top '[m']]])/(WHOLE_STRUCTURE[[#This Row],[Bottom '[m']]]-WHOLE_STRUCTURE[[#This Row],[Top '[m']]]),"")</f>
        <v/>
      </c>
      <c r="M385" s="58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58" t="str">
        <f t="shared" si="8"/>
        <v/>
      </c>
      <c r="K386" s="58" t="str">
        <f>IFERROR(WHOLE_STRUCTURE[[#This Row],[Bottom '[m']]]-WHOLE_STRUCTURE[[#This Row],[D, top '[m']]], "")</f>
        <v/>
      </c>
      <c r="L386" s="58" t="str">
        <f>IFERROR(-(WHOLE_STRUCTURE[[#This Row],[D, bottom '[m']]]-WHOLE_STRUCTURE[[#This Row],[D, top '[m']]])/(WHOLE_STRUCTURE[[#This Row],[Bottom '[m']]]-WHOLE_STRUCTURE[[#This Row],[Top '[m']]]),"")</f>
        <v/>
      </c>
      <c r="M386" s="58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58" t="str">
        <f t="shared" si="8"/>
        <v/>
      </c>
      <c r="K387" s="58" t="str">
        <f>IFERROR(WHOLE_STRUCTURE[[#This Row],[Bottom '[m']]]-WHOLE_STRUCTURE[[#This Row],[D, top '[m']]], "")</f>
        <v/>
      </c>
      <c r="L387" s="58" t="str">
        <f>IFERROR(-(WHOLE_STRUCTURE[[#This Row],[D, bottom '[m']]]-WHOLE_STRUCTURE[[#This Row],[D, top '[m']]])/(WHOLE_STRUCTURE[[#This Row],[Bottom '[m']]]-WHOLE_STRUCTURE[[#This Row],[Top '[m']]]),"")</f>
        <v/>
      </c>
      <c r="M387" s="58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58" t="str">
        <f t="shared" si="8"/>
        <v/>
      </c>
      <c r="K388" s="58" t="str">
        <f>IFERROR(WHOLE_STRUCTURE[[#This Row],[Bottom '[m']]]-WHOLE_STRUCTURE[[#This Row],[D, top '[m']]], "")</f>
        <v/>
      </c>
      <c r="L388" s="58" t="str">
        <f>IFERROR(-(WHOLE_STRUCTURE[[#This Row],[D, bottom '[m']]]-WHOLE_STRUCTURE[[#This Row],[D, top '[m']]])/(WHOLE_STRUCTURE[[#This Row],[Bottom '[m']]]-WHOLE_STRUCTURE[[#This Row],[Top '[m']]]),"")</f>
        <v/>
      </c>
      <c r="M388" s="58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58" t="str">
        <f t="shared" si="8"/>
        <v/>
      </c>
      <c r="K389" s="58" t="str">
        <f>IFERROR(WHOLE_STRUCTURE[[#This Row],[Bottom '[m']]]-WHOLE_STRUCTURE[[#This Row],[D, top '[m']]], "")</f>
        <v/>
      </c>
      <c r="L389" s="58" t="str">
        <f>IFERROR(-(WHOLE_STRUCTURE[[#This Row],[D, bottom '[m']]]-WHOLE_STRUCTURE[[#This Row],[D, top '[m']]])/(WHOLE_STRUCTURE[[#This Row],[Bottom '[m']]]-WHOLE_STRUCTURE[[#This Row],[Top '[m']]]),"")</f>
        <v/>
      </c>
      <c r="M389" s="58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58" t="str">
        <f t="shared" si="8"/>
        <v/>
      </c>
      <c r="K390" s="58" t="str">
        <f>IFERROR(WHOLE_STRUCTURE[[#This Row],[Bottom '[m']]]-WHOLE_STRUCTURE[[#This Row],[D, top '[m']]], "")</f>
        <v/>
      </c>
      <c r="L390" s="58" t="str">
        <f>IFERROR(-(WHOLE_STRUCTURE[[#This Row],[D, bottom '[m']]]-WHOLE_STRUCTURE[[#This Row],[D, top '[m']]])/(WHOLE_STRUCTURE[[#This Row],[Bottom '[m']]]-WHOLE_STRUCTURE[[#This Row],[Top '[m']]]),"")</f>
        <v/>
      </c>
      <c r="M390" s="58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58" t="str">
        <f t="shared" si="8"/>
        <v/>
      </c>
      <c r="K391" s="58" t="str">
        <f>IFERROR(WHOLE_STRUCTURE[[#This Row],[Bottom '[m']]]-WHOLE_STRUCTURE[[#This Row],[D, top '[m']]], "")</f>
        <v/>
      </c>
      <c r="L391" s="58" t="str">
        <f>IFERROR(-(WHOLE_STRUCTURE[[#This Row],[D, bottom '[m']]]-WHOLE_STRUCTURE[[#This Row],[D, top '[m']]])/(WHOLE_STRUCTURE[[#This Row],[Bottom '[m']]]-WHOLE_STRUCTURE[[#This Row],[Top '[m']]]),"")</f>
        <v/>
      </c>
      <c r="M391" s="58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58" t="str">
        <f t="shared" si="8"/>
        <v/>
      </c>
      <c r="K392" s="58" t="str">
        <f>IFERROR(WHOLE_STRUCTURE[[#This Row],[Bottom '[m']]]-WHOLE_STRUCTURE[[#This Row],[D, top '[m']]], "")</f>
        <v/>
      </c>
      <c r="L392" s="58" t="str">
        <f>IFERROR(-(WHOLE_STRUCTURE[[#This Row],[D, bottom '[m']]]-WHOLE_STRUCTURE[[#This Row],[D, top '[m']]])/(WHOLE_STRUCTURE[[#This Row],[Bottom '[m']]]-WHOLE_STRUCTURE[[#This Row],[Top '[m']]]),"")</f>
        <v/>
      </c>
      <c r="M392" s="58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58" t="str">
        <f t="shared" si="8"/>
        <v/>
      </c>
      <c r="K393" s="58" t="str">
        <f>IFERROR(WHOLE_STRUCTURE[[#This Row],[Bottom '[m']]]-WHOLE_STRUCTURE[[#This Row],[D, top '[m']]], "")</f>
        <v/>
      </c>
      <c r="L393" s="58" t="str">
        <f>IFERROR(-(WHOLE_STRUCTURE[[#This Row],[D, bottom '[m']]]-WHOLE_STRUCTURE[[#This Row],[D, top '[m']]])/(WHOLE_STRUCTURE[[#This Row],[Bottom '[m']]]-WHOLE_STRUCTURE[[#This Row],[Top '[m']]]),"")</f>
        <v/>
      </c>
      <c r="M393" s="58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58" t="str">
        <f t="shared" si="8"/>
        <v/>
      </c>
      <c r="K394" s="58" t="str">
        <f>IFERROR(WHOLE_STRUCTURE[[#This Row],[Bottom '[m']]]-WHOLE_STRUCTURE[[#This Row],[D, top '[m']]], "")</f>
        <v/>
      </c>
      <c r="L394" s="58" t="str">
        <f>IFERROR(-(WHOLE_STRUCTURE[[#This Row],[D, bottom '[m']]]-WHOLE_STRUCTURE[[#This Row],[D, top '[m']]])/(WHOLE_STRUCTURE[[#This Row],[Bottom '[m']]]-WHOLE_STRUCTURE[[#This Row],[Top '[m']]]),"")</f>
        <v/>
      </c>
      <c r="M394" s="58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58" t="str">
        <f t="shared" si="8"/>
        <v/>
      </c>
      <c r="K395" s="58" t="str">
        <f>IFERROR(WHOLE_STRUCTURE[[#This Row],[Bottom '[m']]]-WHOLE_STRUCTURE[[#This Row],[D, top '[m']]], "")</f>
        <v/>
      </c>
      <c r="L395" s="58" t="str">
        <f>IFERROR(-(WHOLE_STRUCTURE[[#This Row],[D, bottom '[m']]]-WHOLE_STRUCTURE[[#This Row],[D, top '[m']]])/(WHOLE_STRUCTURE[[#This Row],[Bottom '[m']]]-WHOLE_STRUCTURE[[#This Row],[Top '[m']]]),"")</f>
        <v/>
      </c>
      <c r="M395" s="58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58" t="str">
        <f t="shared" si="8"/>
        <v/>
      </c>
      <c r="K396" s="58" t="str">
        <f>IFERROR(WHOLE_STRUCTURE[[#This Row],[Bottom '[m']]]-WHOLE_STRUCTURE[[#This Row],[D, top '[m']]], "")</f>
        <v/>
      </c>
      <c r="L396" s="58" t="str">
        <f>IFERROR(-(WHOLE_STRUCTURE[[#This Row],[D, bottom '[m']]]-WHOLE_STRUCTURE[[#This Row],[D, top '[m']]])/(WHOLE_STRUCTURE[[#This Row],[Bottom '[m']]]-WHOLE_STRUCTURE[[#This Row],[Top '[m']]]),"")</f>
        <v/>
      </c>
      <c r="M396" s="58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58" t="str">
        <f t="shared" si="8"/>
        <v/>
      </c>
      <c r="K397" s="58" t="str">
        <f>IFERROR(WHOLE_STRUCTURE[[#This Row],[Bottom '[m']]]-WHOLE_STRUCTURE[[#This Row],[D, top '[m']]], "")</f>
        <v/>
      </c>
      <c r="L397" s="58" t="str">
        <f>IFERROR(-(WHOLE_STRUCTURE[[#This Row],[D, bottom '[m']]]-WHOLE_STRUCTURE[[#This Row],[D, top '[m']]])/(WHOLE_STRUCTURE[[#This Row],[Bottom '[m']]]-WHOLE_STRUCTURE[[#This Row],[Top '[m']]]),"")</f>
        <v/>
      </c>
      <c r="M397" s="58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58" t="str">
        <f t="shared" si="8"/>
        <v/>
      </c>
      <c r="K398" s="58" t="str">
        <f>IFERROR(WHOLE_STRUCTURE[[#This Row],[Bottom '[m']]]-WHOLE_STRUCTURE[[#This Row],[D, top '[m']]], "")</f>
        <v/>
      </c>
      <c r="L398" s="58" t="str">
        <f>IFERROR(-(WHOLE_STRUCTURE[[#This Row],[D, bottom '[m']]]-WHOLE_STRUCTURE[[#This Row],[D, top '[m']]])/(WHOLE_STRUCTURE[[#This Row],[Bottom '[m']]]-WHOLE_STRUCTURE[[#This Row],[Top '[m']]]),"")</f>
        <v/>
      </c>
      <c r="M398" s="58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58" t="str">
        <f t="shared" si="8"/>
        <v/>
      </c>
      <c r="K399" s="58" t="str">
        <f>IFERROR(WHOLE_STRUCTURE[[#This Row],[Bottom '[m']]]-WHOLE_STRUCTURE[[#This Row],[D, top '[m']]], "")</f>
        <v/>
      </c>
      <c r="L399" s="58" t="str">
        <f>IFERROR(-(WHOLE_STRUCTURE[[#This Row],[D, bottom '[m']]]-WHOLE_STRUCTURE[[#This Row],[D, top '[m']]])/(WHOLE_STRUCTURE[[#This Row],[Bottom '[m']]]-WHOLE_STRUCTURE[[#This Row],[Top '[m']]]),"")</f>
        <v/>
      </c>
      <c r="M399" s="58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58" t="str">
        <f t="shared" si="8"/>
        <v/>
      </c>
      <c r="K400" s="58" t="str">
        <f>IFERROR(WHOLE_STRUCTURE[[#This Row],[Bottom '[m']]]-WHOLE_STRUCTURE[[#This Row],[D, top '[m']]], "")</f>
        <v/>
      </c>
      <c r="L400" s="58" t="str">
        <f>IFERROR(-(WHOLE_STRUCTURE[[#This Row],[D, bottom '[m']]]-WHOLE_STRUCTURE[[#This Row],[D, top '[m']]])/(WHOLE_STRUCTURE[[#This Row],[Bottom '[m']]]-WHOLE_STRUCTURE[[#This Row],[Top '[m']]]),"")</f>
        <v/>
      </c>
      <c r="M400" s="58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58" t="str">
        <f t="shared" si="8"/>
        <v/>
      </c>
      <c r="K401" s="58" t="str">
        <f>IFERROR(WHOLE_STRUCTURE[[#This Row],[Bottom '[m']]]-WHOLE_STRUCTURE[[#This Row],[D, top '[m']]], "")</f>
        <v/>
      </c>
      <c r="L401" s="58" t="str">
        <f>IFERROR(-(WHOLE_STRUCTURE[[#This Row],[D, bottom '[m']]]-WHOLE_STRUCTURE[[#This Row],[D, top '[m']]])/(WHOLE_STRUCTURE[[#This Row],[Bottom '[m']]]-WHOLE_STRUCTURE[[#This Row],[Top '[m']]]),"")</f>
        <v/>
      </c>
      <c r="M401" s="58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58" t="str">
        <f t="shared" si="8"/>
        <v/>
      </c>
      <c r="K402" s="58" t="str">
        <f>IFERROR(WHOLE_STRUCTURE[[#This Row],[Bottom '[m']]]-WHOLE_STRUCTURE[[#This Row],[D, top '[m']]], "")</f>
        <v/>
      </c>
      <c r="L402" s="58" t="str">
        <f>IFERROR(-(WHOLE_STRUCTURE[[#This Row],[D, bottom '[m']]]-WHOLE_STRUCTURE[[#This Row],[D, top '[m']]])/(WHOLE_STRUCTURE[[#This Row],[Bottom '[m']]]-WHOLE_STRUCTURE[[#This Row],[Top '[m']]]),"")</f>
        <v/>
      </c>
      <c r="M402" s="58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58" t="str">
        <f t="shared" si="8"/>
        <v/>
      </c>
      <c r="K403" s="58" t="str">
        <f>IFERROR(WHOLE_STRUCTURE[[#This Row],[Bottom '[m']]]-WHOLE_STRUCTURE[[#This Row],[D, top '[m']]], "")</f>
        <v/>
      </c>
      <c r="L403" s="58" t="str">
        <f>IFERROR(-(WHOLE_STRUCTURE[[#This Row],[D, bottom '[m']]]-WHOLE_STRUCTURE[[#This Row],[D, top '[m']]])/(WHOLE_STRUCTURE[[#This Row],[Bottom '[m']]]-WHOLE_STRUCTURE[[#This Row],[Top '[m']]]),"")</f>
        <v/>
      </c>
      <c r="M403" s="58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58" t="str">
        <f t="shared" si="8"/>
        <v/>
      </c>
      <c r="K404" s="58" t="str">
        <f>IFERROR(WHOLE_STRUCTURE[[#This Row],[Bottom '[m']]]-WHOLE_STRUCTURE[[#This Row],[D, top '[m']]], "")</f>
        <v/>
      </c>
      <c r="L404" s="58" t="str">
        <f>IFERROR(-(WHOLE_STRUCTURE[[#This Row],[D, bottom '[m']]]-WHOLE_STRUCTURE[[#This Row],[D, top '[m']]])/(WHOLE_STRUCTURE[[#This Row],[Bottom '[m']]]-WHOLE_STRUCTURE[[#This Row],[Top '[m']]]),"")</f>
        <v/>
      </c>
      <c r="M404" s="58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58" t="str">
        <f t="shared" si="8"/>
        <v/>
      </c>
      <c r="K405" s="58" t="str">
        <f>IFERROR(WHOLE_STRUCTURE[[#This Row],[Bottom '[m']]]-WHOLE_STRUCTURE[[#This Row],[D, top '[m']]], "")</f>
        <v/>
      </c>
      <c r="L405" s="58" t="str">
        <f>IFERROR(-(WHOLE_STRUCTURE[[#This Row],[D, bottom '[m']]]-WHOLE_STRUCTURE[[#This Row],[D, top '[m']]])/(WHOLE_STRUCTURE[[#This Row],[Bottom '[m']]]-WHOLE_STRUCTURE[[#This Row],[Top '[m']]]),"")</f>
        <v/>
      </c>
      <c r="M405" s="58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58" t="str">
        <f t="shared" si="8"/>
        <v/>
      </c>
      <c r="K406" s="58" t="str">
        <f>IFERROR(WHOLE_STRUCTURE[[#This Row],[Bottom '[m']]]-WHOLE_STRUCTURE[[#This Row],[D, top '[m']]], "")</f>
        <v/>
      </c>
      <c r="L406" s="58" t="str">
        <f>IFERROR(-(WHOLE_STRUCTURE[[#This Row],[D, bottom '[m']]]-WHOLE_STRUCTURE[[#This Row],[D, top '[m']]])/(WHOLE_STRUCTURE[[#This Row],[Bottom '[m']]]-WHOLE_STRUCTURE[[#This Row],[Top '[m']]]),"")</f>
        <v/>
      </c>
      <c r="M406" s="58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58" t="str">
        <f t="shared" si="8"/>
        <v/>
      </c>
      <c r="K407" s="58" t="str">
        <f>IFERROR(WHOLE_STRUCTURE[[#This Row],[Bottom '[m']]]-WHOLE_STRUCTURE[[#This Row],[D, top '[m']]], "")</f>
        <v/>
      </c>
      <c r="L407" s="58" t="str">
        <f>IFERROR(-(WHOLE_STRUCTURE[[#This Row],[D, bottom '[m']]]-WHOLE_STRUCTURE[[#This Row],[D, top '[m']]])/(WHOLE_STRUCTURE[[#This Row],[Bottom '[m']]]-WHOLE_STRUCTURE[[#This Row],[Top '[m']]]),"")</f>
        <v/>
      </c>
      <c r="M407" s="58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58" t="str">
        <f t="shared" si="8"/>
        <v/>
      </c>
      <c r="K408" s="58" t="str">
        <f>IFERROR(WHOLE_STRUCTURE[[#This Row],[Bottom '[m']]]-WHOLE_STRUCTURE[[#This Row],[D, top '[m']]], "")</f>
        <v/>
      </c>
      <c r="L408" s="58" t="str">
        <f>IFERROR(-(WHOLE_STRUCTURE[[#This Row],[D, bottom '[m']]]-WHOLE_STRUCTURE[[#This Row],[D, top '[m']]])/(WHOLE_STRUCTURE[[#This Row],[Bottom '[m']]]-WHOLE_STRUCTURE[[#This Row],[Top '[m']]]),"")</f>
        <v/>
      </c>
      <c r="M408" s="58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58" t="str">
        <f t="shared" si="8"/>
        <v/>
      </c>
      <c r="K409" s="58" t="str">
        <f>IFERROR(WHOLE_STRUCTURE[[#This Row],[Bottom '[m']]]-WHOLE_STRUCTURE[[#This Row],[D, top '[m']]], "")</f>
        <v/>
      </c>
      <c r="L409" s="58" t="str">
        <f>IFERROR(-(WHOLE_STRUCTURE[[#This Row],[D, bottom '[m']]]-WHOLE_STRUCTURE[[#This Row],[D, top '[m']]])/(WHOLE_STRUCTURE[[#This Row],[Bottom '[m']]]-WHOLE_STRUCTURE[[#This Row],[Top '[m']]]),"")</f>
        <v/>
      </c>
      <c r="M409" s="58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58" t="str">
        <f t="shared" si="8"/>
        <v/>
      </c>
      <c r="K410" s="58" t="str">
        <f>IFERROR(WHOLE_STRUCTURE[[#This Row],[Bottom '[m']]]-WHOLE_STRUCTURE[[#This Row],[D, top '[m']]], "")</f>
        <v/>
      </c>
      <c r="L410" s="58" t="str">
        <f>IFERROR(-(WHOLE_STRUCTURE[[#This Row],[D, bottom '[m']]]-WHOLE_STRUCTURE[[#This Row],[D, top '[m']]])/(WHOLE_STRUCTURE[[#This Row],[Bottom '[m']]]-WHOLE_STRUCTURE[[#This Row],[Top '[m']]]),"")</f>
        <v/>
      </c>
      <c r="M410" s="58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58" t="str">
        <f t="shared" si="8"/>
        <v/>
      </c>
      <c r="K411" s="58" t="str">
        <f>IFERROR(WHOLE_STRUCTURE[[#This Row],[Bottom '[m']]]-WHOLE_STRUCTURE[[#This Row],[D, top '[m']]], "")</f>
        <v/>
      </c>
      <c r="L411" s="58" t="str">
        <f>IFERROR(-(WHOLE_STRUCTURE[[#This Row],[D, bottom '[m']]]-WHOLE_STRUCTURE[[#This Row],[D, top '[m']]])/(WHOLE_STRUCTURE[[#This Row],[Bottom '[m']]]-WHOLE_STRUCTURE[[#This Row],[Top '[m']]]),"")</f>
        <v/>
      </c>
      <c r="M411" s="58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58" t="str">
        <f t="shared" si="8"/>
        <v/>
      </c>
      <c r="K412" s="58" t="str">
        <f>IFERROR(WHOLE_STRUCTURE[[#This Row],[Bottom '[m']]]-WHOLE_STRUCTURE[[#This Row],[D, top '[m']]], "")</f>
        <v/>
      </c>
      <c r="L412" s="58" t="str">
        <f>IFERROR(-(WHOLE_STRUCTURE[[#This Row],[D, bottom '[m']]]-WHOLE_STRUCTURE[[#This Row],[D, top '[m']]])/(WHOLE_STRUCTURE[[#This Row],[Bottom '[m']]]-WHOLE_STRUCTURE[[#This Row],[Top '[m']]]),"")</f>
        <v/>
      </c>
      <c r="M412" s="58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58" t="str">
        <f t="shared" si="8"/>
        <v/>
      </c>
      <c r="K413" s="58" t="str">
        <f>IFERROR(WHOLE_STRUCTURE[[#This Row],[Bottom '[m']]]-WHOLE_STRUCTURE[[#This Row],[D, top '[m']]], "")</f>
        <v/>
      </c>
      <c r="L413" s="58" t="str">
        <f>IFERROR(-(WHOLE_STRUCTURE[[#This Row],[D, bottom '[m']]]-WHOLE_STRUCTURE[[#This Row],[D, top '[m']]])/(WHOLE_STRUCTURE[[#This Row],[Bottom '[m']]]-WHOLE_STRUCTURE[[#This Row],[Top '[m']]]),"")</f>
        <v/>
      </c>
      <c r="M413" s="58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58" t="str">
        <f t="shared" si="8"/>
        <v/>
      </c>
      <c r="K414" s="58" t="str">
        <f>IFERROR(WHOLE_STRUCTURE[[#This Row],[Bottom '[m']]]-WHOLE_STRUCTURE[[#This Row],[D, top '[m']]], "")</f>
        <v/>
      </c>
      <c r="L414" s="58" t="str">
        <f>IFERROR(-(WHOLE_STRUCTURE[[#This Row],[D, bottom '[m']]]-WHOLE_STRUCTURE[[#This Row],[D, top '[m']]])/(WHOLE_STRUCTURE[[#This Row],[Bottom '[m']]]-WHOLE_STRUCTURE[[#This Row],[Top '[m']]]),"")</f>
        <v/>
      </c>
      <c r="M414" s="58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58" t="str">
        <f t="shared" si="8"/>
        <v/>
      </c>
      <c r="K415" s="58" t="str">
        <f>IFERROR(WHOLE_STRUCTURE[[#This Row],[Bottom '[m']]]-WHOLE_STRUCTURE[[#This Row],[D, top '[m']]], "")</f>
        <v/>
      </c>
      <c r="L415" s="58" t="str">
        <f>IFERROR(-(WHOLE_STRUCTURE[[#This Row],[D, bottom '[m']]]-WHOLE_STRUCTURE[[#This Row],[D, top '[m']]])/(WHOLE_STRUCTURE[[#This Row],[Bottom '[m']]]-WHOLE_STRUCTURE[[#This Row],[Top '[m']]]),"")</f>
        <v/>
      </c>
      <c r="M415" s="58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58" t="str">
        <f t="shared" si="8"/>
        <v/>
      </c>
      <c r="K416" s="58" t="str">
        <f>IFERROR(WHOLE_STRUCTURE[[#This Row],[Bottom '[m']]]-WHOLE_STRUCTURE[[#This Row],[D, top '[m']]], "")</f>
        <v/>
      </c>
      <c r="L416" s="58" t="str">
        <f>IFERROR(-(WHOLE_STRUCTURE[[#This Row],[D, bottom '[m']]]-WHOLE_STRUCTURE[[#This Row],[D, top '[m']]])/(WHOLE_STRUCTURE[[#This Row],[Bottom '[m']]]-WHOLE_STRUCTURE[[#This Row],[Top '[m']]]),"")</f>
        <v/>
      </c>
      <c r="M416" s="58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58" t="str">
        <f t="shared" si="8"/>
        <v/>
      </c>
      <c r="K417" s="58" t="str">
        <f>IFERROR(WHOLE_STRUCTURE[[#This Row],[Bottom '[m']]]-WHOLE_STRUCTURE[[#This Row],[D, top '[m']]], "")</f>
        <v/>
      </c>
      <c r="L417" s="58" t="str">
        <f>IFERROR(-(WHOLE_STRUCTURE[[#This Row],[D, bottom '[m']]]-WHOLE_STRUCTURE[[#This Row],[D, top '[m']]])/(WHOLE_STRUCTURE[[#This Row],[Bottom '[m']]]-WHOLE_STRUCTURE[[#This Row],[Top '[m']]]),"")</f>
        <v/>
      </c>
      <c r="M417" s="58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58" t="str">
        <f t="shared" si="8"/>
        <v/>
      </c>
      <c r="K418" s="58" t="str">
        <f>IFERROR(WHOLE_STRUCTURE[[#This Row],[Bottom '[m']]]-WHOLE_STRUCTURE[[#This Row],[D, top '[m']]], "")</f>
        <v/>
      </c>
      <c r="L418" s="58" t="str">
        <f>IFERROR(-(WHOLE_STRUCTURE[[#This Row],[D, bottom '[m']]]-WHOLE_STRUCTURE[[#This Row],[D, top '[m']]])/(WHOLE_STRUCTURE[[#This Row],[Bottom '[m']]]-WHOLE_STRUCTURE[[#This Row],[Top '[m']]]),"")</f>
        <v/>
      </c>
      <c r="M418" s="58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58" t="str">
        <f t="shared" si="8"/>
        <v/>
      </c>
      <c r="K419" s="58" t="str">
        <f>IFERROR(WHOLE_STRUCTURE[[#This Row],[Bottom '[m']]]-WHOLE_STRUCTURE[[#This Row],[D, top '[m']]], "")</f>
        <v/>
      </c>
      <c r="L419" s="58" t="str">
        <f>IFERROR(-(WHOLE_STRUCTURE[[#This Row],[D, bottom '[m']]]-WHOLE_STRUCTURE[[#This Row],[D, top '[m']]])/(WHOLE_STRUCTURE[[#This Row],[Bottom '[m']]]-WHOLE_STRUCTURE[[#This Row],[Top '[m']]]),"")</f>
        <v/>
      </c>
      <c r="M419" s="58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58" t="str">
        <f t="shared" si="8"/>
        <v/>
      </c>
      <c r="K420" s="58" t="str">
        <f>IFERROR(WHOLE_STRUCTURE[[#This Row],[Bottom '[m']]]-WHOLE_STRUCTURE[[#This Row],[D, top '[m']]], "")</f>
        <v/>
      </c>
      <c r="L420" s="58" t="str">
        <f>IFERROR(-(WHOLE_STRUCTURE[[#This Row],[D, bottom '[m']]]-WHOLE_STRUCTURE[[#This Row],[D, top '[m']]])/(WHOLE_STRUCTURE[[#This Row],[Bottom '[m']]]-WHOLE_STRUCTURE[[#This Row],[Top '[m']]]),"")</f>
        <v/>
      </c>
      <c r="M420" s="58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58" t="str">
        <f t="shared" si="8"/>
        <v/>
      </c>
      <c r="K421" s="58" t="str">
        <f>IFERROR(WHOLE_STRUCTURE[[#This Row],[Bottom '[m']]]-WHOLE_STRUCTURE[[#This Row],[D, top '[m']]], "")</f>
        <v/>
      </c>
      <c r="L421" s="58" t="str">
        <f>IFERROR(-(WHOLE_STRUCTURE[[#This Row],[D, bottom '[m']]]-WHOLE_STRUCTURE[[#This Row],[D, top '[m']]])/(WHOLE_STRUCTURE[[#This Row],[Bottom '[m']]]-WHOLE_STRUCTURE[[#This Row],[Top '[m']]]),"")</f>
        <v/>
      </c>
      <c r="M421" s="58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58" t="str">
        <f t="shared" si="8"/>
        <v/>
      </c>
      <c r="K422" s="58" t="str">
        <f>IFERROR(WHOLE_STRUCTURE[[#This Row],[Bottom '[m']]]-WHOLE_STRUCTURE[[#This Row],[D, top '[m']]], "")</f>
        <v/>
      </c>
      <c r="L422" s="58" t="str">
        <f>IFERROR(-(WHOLE_STRUCTURE[[#This Row],[D, bottom '[m']]]-WHOLE_STRUCTURE[[#This Row],[D, top '[m']]])/(WHOLE_STRUCTURE[[#This Row],[Bottom '[m']]]-WHOLE_STRUCTURE[[#This Row],[Top '[m']]]),"")</f>
        <v/>
      </c>
      <c r="M422" s="58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58" t="str">
        <f t="shared" si="8"/>
        <v/>
      </c>
      <c r="K423" s="58" t="str">
        <f>IFERROR(WHOLE_STRUCTURE[[#This Row],[Bottom '[m']]]-WHOLE_STRUCTURE[[#This Row],[D, top '[m']]], "")</f>
        <v/>
      </c>
      <c r="L423" s="58" t="str">
        <f>IFERROR(-(WHOLE_STRUCTURE[[#This Row],[D, bottom '[m']]]-WHOLE_STRUCTURE[[#This Row],[D, top '[m']]])/(WHOLE_STRUCTURE[[#This Row],[Bottom '[m']]]-WHOLE_STRUCTURE[[#This Row],[Top '[m']]]),"")</f>
        <v/>
      </c>
      <c r="M423" s="58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58" t="str">
        <f t="shared" si="8"/>
        <v/>
      </c>
      <c r="K424" s="58" t="str">
        <f>IFERROR(WHOLE_STRUCTURE[[#This Row],[Bottom '[m']]]-WHOLE_STRUCTURE[[#This Row],[D, top '[m']]], "")</f>
        <v/>
      </c>
      <c r="L424" s="58" t="str">
        <f>IFERROR(-(WHOLE_STRUCTURE[[#This Row],[D, bottom '[m']]]-WHOLE_STRUCTURE[[#This Row],[D, top '[m']]])/(WHOLE_STRUCTURE[[#This Row],[Bottom '[m']]]-WHOLE_STRUCTURE[[#This Row],[Top '[m']]]),"")</f>
        <v/>
      </c>
      <c r="M424" s="58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58" t="str">
        <f t="shared" si="8"/>
        <v/>
      </c>
      <c r="K425" s="58" t="str">
        <f>IFERROR(WHOLE_STRUCTURE[[#This Row],[Bottom '[m']]]-WHOLE_STRUCTURE[[#This Row],[D, top '[m']]], "")</f>
        <v/>
      </c>
      <c r="L425" s="58" t="str">
        <f>IFERROR(-(WHOLE_STRUCTURE[[#This Row],[D, bottom '[m']]]-WHOLE_STRUCTURE[[#This Row],[D, top '[m']]])/(WHOLE_STRUCTURE[[#This Row],[Bottom '[m']]]-WHOLE_STRUCTURE[[#This Row],[Top '[m']]]),"")</f>
        <v/>
      </c>
      <c r="M425" s="58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58" t="str">
        <f t="shared" si="8"/>
        <v/>
      </c>
      <c r="K426" s="58" t="str">
        <f>IFERROR(WHOLE_STRUCTURE[[#This Row],[Bottom '[m']]]-WHOLE_STRUCTURE[[#This Row],[D, top '[m']]], "")</f>
        <v/>
      </c>
      <c r="L426" s="58" t="str">
        <f>IFERROR(-(WHOLE_STRUCTURE[[#This Row],[D, bottom '[m']]]-WHOLE_STRUCTURE[[#This Row],[D, top '[m']]])/(WHOLE_STRUCTURE[[#This Row],[Bottom '[m']]]-WHOLE_STRUCTURE[[#This Row],[Top '[m']]]),"")</f>
        <v/>
      </c>
      <c r="M426" s="58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58" t="str">
        <f t="shared" si="8"/>
        <v/>
      </c>
      <c r="K427" s="58" t="str">
        <f>IFERROR(WHOLE_STRUCTURE[[#This Row],[Bottom '[m']]]-WHOLE_STRUCTURE[[#This Row],[D, top '[m']]], "")</f>
        <v/>
      </c>
      <c r="L427" s="58" t="str">
        <f>IFERROR(-(WHOLE_STRUCTURE[[#This Row],[D, bottom '[m']]]-WHOLE_STRUCTURE[[#This Row],[D, top '[m']]])/(WHOLE_STRUCTURE[[#This Row],[Bottom '[m']]]-WHOLE_STRUCTURE[[#This Row],[Top '[m']]]),"")</f>
        <v/>
      </c>
      <c r="M427" s="58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58" t="str">
        <f t="shared" si="8"/>
        <v/>
      </c>
      <c r="K428" s="58" t="str">
        <f>IFERROR(WHOLE_STRUCTURE[[#This Row],[Bottom '[m']]]-WHOLE_STRUCTURE[[#This Row],[D, top '[m']]], "")</f>
        <v/>
      </c>
      <c r="L428" s="58" t="str">
        <f>IFERROR(-(WHOLE_STRUCTURE[[#This Row],[D, bottom '[m']]]-WHOLE_STRUCTURE[[#This Row],[D, top '[m']]])/(WHOLE_STRUCTURE[[#This Row],[Bottom '[m']]]-WHOLE_STRUCTURE[[#This Row],[Top '[m']]]),"")</f>
        <v/>
      </c>
      <c r="M428" s="58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58" t="str">
        <f t="shared" si="8"/>
        <v/>
      </c>
      <c r="K429" s="58" t="str">
        <f>IFERROR(WHOLE_STRUCTURE[[#This Row],[Bottom '[m']]]-WHOLE_STRUCTURE[[#This Row],[D, top '[m']]], "")</f>
        <v/>
      </c>
      <c r="L429" s="58" t="str">
        <f>IFERROR(-(WHOLE_STRUCTURE[[#This Row],[D, bottom '[m']]]-WHOLE_STRUCTURE[[#This Row],[D, top '[m']]])/(WHOLE_STRUCTURE[[#This Row],[Bottom '[m']]]-WHOLE_STRUCTURE[[#This Row],[Top '[m']]]),"")</f>
        <v/>
      </c>
      <c r="M429" s="58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58" t="str">
        <f t="shared" si="8"/>
        <v/>
      </c>
      <c r="K430" s="58" t="str">
        <f>IFERROR(WHOLE_STRUCTURE[[#This Row],[Bottom '[m']]]-WHOLE_STRUCTURE[[#This Row],[D, top '[m']]], "")</f>
        <v/>
      </c>
      <c r="L430" s="58" t="str">
        <f>IFERROR(-(WHOLE_STRUCTURE[[#This Row],[D, bottom '[m']]]-WHOLE_STRUCTURE[[#This Row],[D, top '[m']]])/(WHOLE_STRUCTURE[[#This Row],[Bottom '[m']]]-WHOLE_STRUCTURE[[#This Row],[Top '[m']]]),"")</f>
        <v/>
      </c>
      <c r="M430" s="58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58" t="str">
        <f t="shared" si="8"/>
        <v/>
      </c>
      <c r="K431" s="58" t="str">
        <f>IFERROR(WHOLE_STRUCTURE[[#This Row],[Bottom '[m']]]-WHOLE_STRUCTURE[[#This Row],[D, top '[m']]], "")</f>
        <v/>
      </c>
      <c r="L431" s="58" t="str">
        <f>IFERROR(-(WHOLE_STRUCTURE[[#This Row],[D, bottom '[m']]]-WHOLE_STRUCTURE[[#This Row],[D, top '[m']]])/(WHOLE_STRUCTURE[[#This Row],[Bottom '[m']]]-WHOLE_STRUCTURE[[#This Row],[Top '[m']]]),"")</f>
        <v/>
      </c>
      <c r="M431" s="58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58" t="str">
        <f t="shared" si="8"/>
        <v/>
      </c>
      <c r="K432" s="58" t="str">
        <f>IFERROR(WHOLE_STRUCTURE[[#This Row],[Bottom '[m']]]-WHOLE_STRUCTURE[[#This Row],[D, top '[m']]], "")</f>
        <v/>
      </c>
      <c r="L432" s="58" t="str">
        <f>IFERROR(-(WHOLE_STRUCTURE[[#This Row],[D, bottom '[m']]]-WHOLE_STRUCTURE[[#This Row],[D, top '[m']]])/(WHOLE_STRUCTURE[[#This Row],[Bottom '[m']]]-WHOLE_STRUCTURE[[#This Row],[Top '[m']]]),"")</f>
        <v/>
      </c>
      <c r="M432" s="58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58" t="str">
        <f t="shared" si="8"/>
        <v/>
      </c>
      <c r="K433" s="58" t="str">
        <f>IFERROR(WHOLE_STRUCTURE[[#This Row],[Bottom '[m']]]-WHOLE_STRUCTURE[[#This Row],[D, top '[m']]], "")</f>
        <v/>
      </c>
      <c r="L433" s="58" t="str">
        <f>IFERROR(-(WHOLE_STRUCTURE[[#This Row],[D, bottom '[m']]]-WHOLE_STRUCTURE[[#This Row],[D, top '[m']]])/(WHOLE_STRUCTURE[[#This Row],[Bottom '[m']]]-WHOLE_STRUCTURE[[#This Row],[Top '[m']]]),"")</f>
        <v/>
      </c>
      <c r="M433" s="58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58" t="str">
        <f t="shared" si="8"/>
        <v/>
      </c>
      <c r="K434" s="58" t="str">
        <f>IFERROR(WHOLE_STRUCTURE[[#This Row],[Bottom '[m']]]-WHOLE_STRUCTURE[[#This Row],[D, top '[m']]], "")</f>
        <v/>
      </c>
      <c r="L434" s="58" t="str">
        <f>IFERROR(-(WHOLE_STRUCTURE[[#This Row],[D, bottom '[m']]]-WHOLE_STRUCTURE[[#This Row],[D, top '[m']]])/(WHOLE_STRUCTURE[[#This Row],[Bottom '[m']]]-WHOLE_STRUCTURE[[#This Row],[Top '[m']]]),"")</f>
        <v/>
      </c>
      <c r="M434" s="58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58" t="str">
        <f t="shared" si="8"/>
        <v/>
      </c>
      <c r="K435" s="58" t="str">
        <f>IFERROR(WHOLE_STRUCTURE[[#This Row],[Bottom '[m']]]-WHOLE_STRUCTURE[[#This Row],[D, top '[m']]], "")</f>
        <v/>
      </c>
      <c r="L435" s="58" t="str">
        <f>IFERROR(-(WHOLE_STRUCTURE[[#This Row],[D, bottom '[m']]]-WHOLE_STRUCTURE[[#This Row],[D, top '[m']]])/(WHOLE_STRUCTURE[[#This Row],[Bottom '[m']]]-WHOLE_STRUCTURE[[#This Row],[Top '[m']]]),"")</f>
        <v/>
      </c>
      <c r="M435" s="58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58" t="str">
        <f t="shared" si="8"/>
        <v/>
      </c>
      <c r="K436" s="58" t="str">
        <f>IFERROR(WHOLE_STRUCTURE[[#This Row],[Bottom '[m']]]-WHOLE_STRUCTURE[[#This Row],[D, top '[m']]], "")</f>
        <v/>
      </c>
      <c r="L436" s="58" t="str">
        <f>IFERROR(-(WHOLE_STRUCTURE[[#This Row],[D, bottom '[m']]]-WHOLE_STRUCTURE[[#This Row],[D, top '[m']]])/(WHOLE_STRUCTURE[[#This Row],[Bottom '[m']]]-WHOLE_STRUCTURE[[#This Row],[Top '[m']]]),"")</f>
        <v/>
      </c>
      <c r="M436" s="58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58" t="str">
        <f t="shared" si="8"/>
        <v/>
      </c>
      <c r="K437" s="58" t="str">
        <f>IFERROR(WHOLE_STRUCTURE[[#This Row],[Bottom '[m']]]-WHOLE_STRUCTURE[[#This Row],[D, top '[m']]], "")</f>
        <v/>
      </c>
      <c r="L437" s="58" t="str">
        <f>IFERROR(-(WHOLE_STRUCTURE[[#This Row],[D, bottom '[m']]]-WHOLE_STRUCTURE[[#This Row],[D, top '[m']]])/(WHOLE_STRUCTURE[[#This Row],[Bottom '[m']]]-WHOLE_STRUCTURE[[#This Row],[Top '[m']]]),"")</f>
        <v/>
      </c>
      <c r="M437" s="58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58" t="str">
        <f t="shared" si="8"/>
        <v/>
      </c>
      <c r="K438" s="58" t="str">
        <f>IFERROR(WHOLE_STRUCTURE[[#This Row],[Bottom '[m']]]-WHOLE_STRUCTURE[[#This Row],[D, top '[m']]], "")</f>
        <v/>
      </c>
      <c r="L438" s="58" t="str">
        <f>IFERROR(-(WHOLE_STRUCTURE[[#This Row],[D, bottom '[m']]]-WHOLE_STRUCTURE[[#This Row],[D, top '[m']]])/(WHOLE_STRUCTURE[[#This Row],[Bottom '[m']]]-WHOLE_STRUCTURE[[#This Row],[Top '[m']]]),"")</f>
        <v/>
      </c>
      <c r="M438" s="58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58" t="str">
        <f t="shared" si="8"/>
        <v/>
      </c>
      <c r="K439" s="58" t="str">
        <f>IFERROR(WHOLE_STRUCTURE[[#This Row],[Bottom '[m']]]-WHOLE_STRUCTURE[[#This Row],[D, top '[m']]], "")</f>
        <v/>
      </c>
      <c r="L439" s="58" t="str">
        <f>IFERROR(-(WHOLE_STRUCTURE[[#This Row],[D, bottom '[m']]]-WHOLE_STRUCTURE[[#This Row],[D, top '[m']]])/(WHOLE_STRUCTURE[[#This Row],[Bottom '[m']]]-WHOLE_STRUCTURE[[#This Row],[Top '[m']]]),"")</f>
        <v/>
      </c>
      <c r="M439" s="58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58" t="str">
        <f t="shared" si="8"/>
        <v/>
      </c>
      <c r="K440" s="58" t="str">
        <f>IFERROR(WHOLE_STRUCTURE[[#This Row],[Bottom '[m']]]-WHOLE_STRUCTURE[[#This Row],[D, top '[m']]], "")</f>
        <v/>
      </c>
      <c r="L440" s="58" t="str">
        <f>IFERROR(-(WHOLE_STRUCTURE[[#This Row],[D, bottom '[m']]]-WHOLE_STRUCTURE[[#This Row],[D, top '[m']]])/(WHOLE_STRUCTURE[[#This Row],[Bottom '[m']]]-WHOLE_STRUCTURE[[#This Row],[Top '[m']]]),"")</f>
        <v/>
      </c>
      <c r="M440" s="58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58" t="str">
        <f t="shared" si="8"/>
        <v/>
      </c>
      <c r="K441" s="58" t="str">
        <f>IFERROR(WHOLE_STRUCTURE[[#This Row],[Bottom '[m']]]-WHOLE_STRUCTURE[[#This Row],[D, top '[m']]], "")</f>
        <v/>
      </c>
      <c r="L441" s="58" t="str">
        <f>IFERROR(-(WHOLE_STRUCTURE[[#This Row],[D, bottom '[m']]]-WHOLE_STRUCTURE[[#This Row],[D, top '[m']]])/(WHOLE_STRUCTURE[[#This Row],[Bottom '[m']]]-WHOLE_STRUCTURE[[#This Row],[Top '[m']]]),"")</f>
        <v/>
      </c>
      <c r="M441" s="58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58" t="str">
        <f t="shared" si="8"/>
        <v/>
      </c>
      <c r="K442" s="58" t="str">
        <f>IFERROR(WHOLE_STRUCTURE[[#This Row],[Bottom '[m']]]-WHOLE_STRUCTURE[[#This Row],[D, top '[m']]], "")</f>
        <v/>
      </c>
      <c r="L442" s="58" t="str">
        <f>IFERROR(-(WHOLE_STRUCTURE[[#This Row],[D, bottom '[m']]]-WHOLE_STRUCTURE[[#This Row],[D, top '[m']]])/(WHOLE_STRUCTURE[[#This Row],[Bottom '[m']]]-WHOLE_STRUCTURE[[#This Row],[Top '[m']]]),"")</f>
        <v/>
      </c>
      <c r="M442" s="58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58" t="str">
        <f t="shared" si="8"/>
        <v/>
      </c>
      <c r="K443" s="58" t="str">
        <f>IFERROR(WHOLE_STRUCTURE[[#This Row],[Bottom '[m']]]-WHOLE_STRUCTURE[[#This Row],[D, top '[m']]], "")</f>
        <v/>
      </c>
      <c r="L443" s="58" t="str">
        <f>IFERROR(-(WHOLE_STRUCTURE[[#This Row],[D, bottom '[m']]]-WHOLE_STRUCTURE[[#This Row],[D, top '[m']]])/(WHOLE_STRUCTURE[[#This Row],[Bottom '[m']]]-WHOLE_STRUCTURE[[#This Row],[Top '[m']]]),"")</f>
        <v/>
      </c>
      <c r="M443" s="58" t="str">
        <f>IFERROR((WHOLE_STRUCTURE[[#This Row],[D, bottom '[m']]]+WHOLE_STRUCTURE[[#This Row],[D, top '[m']]])/(2*WHOLE_STRUCTURE[[#This Row],[t '[mm']]]/1000),"")</f>
        <v/>
      </c>
    </row>
    <row r="444" spans="10:13" x14ac:dyDescent="0.3">
      <c r="J444" s="58" t="str">
        <f t="shared" ref="J444:J445" si="9">IF(7850/1000*(1/3)*PI()*ABS(E444-F444)*((G444/2)^2+(G444/2)*(H444/2)+(H444/2)^2-(G444/2-I444/1000)^2-(G444/2-I444/1000)*(H444/2-I444/1000)-(H444/2-I444/1000)^2)=0,"",7850/1000*(1/3)*PI()*ABS(E444-F444)*((G444/2)^2+(G444/2)*(H444/2)+(H444/2)^2-(G444/2-I444/1000)^2-(G444/2-I444/1000)*(H444/2-I444/1000)-(H444/2-I444/1000)^2))</f>
        <v/>
      </c>
      <c r="K444" s="58" t="str">
        <f>IFERROR(WHOLE_STRUCTURE[[#This Row],[Bottom '[m']]]-WHOLE_STRUCTURE[[#This Row],[D, top '[m']]], "")</f>
        <v/>
      </c>
      <c r="L444" s="58" t="str">
        <f>IFERROR(-(WHOLE_STRUCTURE[[#This Row],[D, bottom '[m']]]-WHOLE_STRUCTURE[[#This Row],[D, top '[m']]])/(WHOLE_STRUCTURE[[#This Row],[Bottom '[m']]]-WHOLE_STRUCTURE[[#This Row],[Top '[m']]]),"")</f>
        <v/>
      </c>
      <c r="M444" s="58" t="str">
        <f>IFERROR((WHOLE_STRUCTURE[[#This Row],[D, bottom '[m']]]+WHOLE_STRUCTURE[[#This Row],[D, top '[m']]])/(2*WHOLE_STRUCTURE[[#This Row],[t '[mm']]]/1000),"")</f>
        <v/>
      </c>
    </row>
    <row r="445" spans="10:13" x14ac:dyDescent="0.3">
      <c r="J445" s="58" t="str">
        <f t="shared" si="9"/>
        <v/>
      </c>
      <c r="K445" s="58" t="str">
        <f>IFERROR(WHOLE_STRUCTURE[[#This Row],[Bottom '[m']]]-WHOLE_STRUCTURE[[#This Row],[D, top '[m']]], "")</f>
        <v/>
      </c>
      <c r="L445" s="58" t="str">
        <f>IFERROR(-(WHOLE_STRUCTURE[[#This Row],[D, bottom '[m']]]-WHOLE_STRUCTURE[[#This Row],[D, top '[m']]])/(WHOLE_STRUCTURE[[#This Row],[Bottom '[m']]]-WHOLE_STRUCTURE[[#This Row],[Top '[m']]]),"")</f>
        <v/>
      </c>
      <c r="M445" s="58" t="str">
        <f>IFERROR((WHOLE_STRUCTURE[[#This Row],[D, bottom '[m']]]+WHOLE_STRUCTURE[[#This Row],[D, top '[m']]])/(2*WHOLE_STRUCTURE[[#This Row],[t '[mm']]]/1000),"")</f>
        <v/>
      </c>
    </row>
  </sheetData>
  <protectedRanges>
    <protectedRange sqref="AS36:AU38 AN36:AQ38 AA6:AC8 AE6:AH8" name="Bereich1_1"/>
  </protectedRanges>
  <pageMargins left="0.7" right="0.7" top="0.78740157499999996" bottom="0.78740157499999996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"/>
  <sheetViews>
    <sheetView workbookViewId="0">
      <selection activeCell="B4" sqref="B4"/>
    </sheetView>
  </sheetViews>
  <sheetFormatPr baseColWidth="10" defaultRowHeight="14.4" x14ac:dyDescent="0.3"/>
  <sheetData>
    <row r="2" spans="2:2" ht="31.2" x14ac:dyDescent="0.6">
      <c r="B2" s="79" t="s">
        <v>56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5" sqref="B5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69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59</v>
      </c>
    </row>
    <row r="13" spans="2:4" ht="17.25" customHeight="1" x14ac:dyDescent="0.3">
      <c r="B13" s="49" t="s">
        <v>60</v>
      </c>
    </row>
    <row r="14" spans="2:4" ht="17.25" customHeight="1" x14ac:dyDescent="0.3">
      <c r="B14" s="49" t="s">
        <v>61</v>
      </c>
    </row>
    <row r="15" spans="2:4" ht="17.25" customHeight="1" x14ac:dyDescent="0.3">
      <c r="B15" s="49" t="s">
        <v>62</v>
      </c>
    </row>
    <row r="16" spans="2:4" ht="17.25" customHeight="1" x14ac:dyDescent="0.3">
      <c r="B16" s="49" t="s">
        <v>63</v>
      </c>
    </row>
    <row r="17" spans="2:2" ht="17.25" customHeight="1" x14ac:dyDescent="0.3">
      <c r="B17" s="49" t="s">
        <v>64</v>
      </c>
    </row>
    <row r="18" spans="2:2" ht="17.25" customHeight="1" x14ac:dyDescent="0.3">
      <c r="B18" s="49" t="s">
        <v>65</v>
      </c>
    </row>
    <row r="19" spans="2:2" ht="17.25" customHeight="1" x14ac:dyDescent="0.3">
      <c r="B19" s="49" t="s">
        <v>66</v>
      </c>
    </row>
    <row r="20" spans="2:2" ht="17.25" customHeight="1" x14ac:dyDescent="0.3">
      <c r="B20" s="49" t="s">
        <v>67</v>
      </c>
    </row>
    <row r="21" spans="2:2" ht="17.25" customHeight="1" x14ac:dyDescent="0.3">
      <c r="B21" s="49" t="s">
        <v>68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16</vt:i4>
      </vt:variant>
    </vt:vector>
  </HeadingPairs>
  <TitlesOfParts>
    <vt:vector size="21" baseType="lpstr">
      <vt:lpstr>CreateStucture</vt:lpstr>
      <vt:lpstr>BuildYourStructure</vt:lpstr>
      <vt:lpstr>StructureOverview</vt:lpstr>
      <vt:lpstr>ExportStructure</vt:lpstr>
      <vt:lpstr>Loop</vt:lpstr>
      <vt:lpstr>DISPL_MP</vt:lpstr>
      <vt:lpstr>DISPL_TP</vt:lpstr>
      <vt:lpstr>Import_MP_path</vt:lpstr>
      <vt:lpstr>MOVE_STRUCT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TextBox_TOWER_db_path</vt:lpstr>
      <vt:lpstr>TextBox_TP_db_path</vt:lpstr>
      <vt:lpstr>Use_MP</vt:lpstr>
      <vt:lpstr>USE_TP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2025-06-03T12:22:44Z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