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rawings/drawing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E31A3992-21CF-401D-9B8B-E91A98754F1F}" xr6:coauthVersionLast="47" xr6:coauthVersionMax="47" xr10:uidLastSave="{00000000-0000-0000-0000-000000000000}"/>
  <bookViews>
    <workbookView xWindow="-108" yWindow="-108" windowWidth="23256" windowHeight="13896" activeTab="2" xr2:uid="{52C6B389-4C94-430F-9043-C68D8C94A3E4}"/>
  </bookViews>
  <sheets>
    <sheet name="CreateStucture" sheetId="1" r:id="rId1"/>
    <sheet name="BuildYourStructure" sheetId="5" r:id="rId2"/>
    <sheet name="StructureOverview" sheetId="6" r:id="rId3"/>
    <sheet name="Overview" sheetId="2" r:id="rId4"/>
    <sheet name="Loop" sheetId="3" r:id="rId5"/>
  </sheets>
  <functionGroups builtInGroupCount="19"/>
  <externalReferences>
    <externalReference r:id="rId6"/>
    <externalReference r:id="rId7"/>
  </externalReferences>
  <definedNames>
    <definedName name="_xleta.N" hidden="1" xlm="1">#NAME?</definedName>
    <definedName name="_xleta.T" hidden="1" xlm="1">#NAME?</definedName>
    <definedName name="Table_MP_DATA">BuildYourStructure!$U$18</definedName>
    <definedName name="Table_MP_META">BuildYourStructure!$B$12</definedName>
    <definedName name="Table_TP_DATA">BuildYourStructure!$BC$18</definedName>
    <definedName name="Table_TP_META">BuildYourStructure!$AQ$12</definedName>
    <definedName name="Test234">#REF!</definedName>
    <definedName name="Test456">#REF!</definedName>
    <definedName name="Text">BuildYourStructure!$CH$8</definedName>
    <definedName name="TextBox_MP_db_path">BuildYourStructure!$C$8</definedName>
    <definedName name="TextBox_TOWER_db_path">BuildYourStructure!$CH$8</definedName>
    <definedName name="TextBox_TP_db_path">BuildYourStructure!$AR$8</definedName>
    <definedName name="TextBox_TWR_db_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" i="5" l="1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8" i="6"/>
  <c r="L58" i="6"/>
  <c r="J58" i="6"/>
  <c r="M58" i="6"/>
  <c r="K59" i="6"/>
  <c r="L59" i="6"/>
  <c r="J59" i="6"/>
  <c r="M59" i="6"/>
  <c r="K60" i="6"/>
  <c r="L60" i="6"/>
  <c r="J60" i="6"/>
  <c r="M60" i="6"/>
  <c r="K61" i="6"/>
  <c r="L61" i="6"/>
  <c r="J61" i="6"/>
  <c r="M61" i="6"/>
  <c r="K62" i="6"/>
  <c r="L62" i="6"/>
  <c r="J62" i="6"/>
  <c r="M62" i="6"/>
  <c r="K63" i="6"/>
  <c r="L63" i="6"/>
  <c r="J63" i="6"/>
  <c r="M63" i="6"/>
  <c r="K64" i="6"/>
  <c r="L64" i="6"/>
  <c r="J64" i="6"/>
  <c r="M64" i="6"/>
  <c r="K65" i="6"/>
  <c r="L65" i="6"/>
  <c r="J65" i="6"/>
  <c r="M65" i="6"/>
  <c r="K66" i="6"/>
  <c r="L66" i="6"/>
  <c r="J66" i="6"/>
  <c r="M66" i="6"/>
  <c r="K67" i="6"/>
  <c r="L67" i="6"/>
  <c r="J67" i="6"/>
  <c r="M67" i="6"/>
  <c r="K68" i="6"/>
  <c r="L68" i="6"/>
  <c r="J68" i="6"/>
  <c r="M68" i="6"/>
  <c r="K69" i="6"/>
  <c r="L69" i="6"/>
  <c r="J69" i="6"/>
  <c r="M69" i="6"/>
  <c r="K70" i="6"/>
  <c r="L70" i="6"/>
  <c r="J70" i="6"/>
  <c r="M70" i="6"/>
  <c r="K71" i="6"/>
  <c r="L71" i="6"/>
  <c r="J71" i="6"/>
  <c r="M71" i="6"/>
  <c r="K72" i="6"/>
  <c r="L72" i="6"/>
  <c r="J72" i="6"/>
  <c r="M72" i="6"/>
  <c r="K73" i="6"/>
  <c r="L73" i="6"/>
  <c r="J73" i="6"/>
  <c r="M73" i="6"/>
  <c r="K74" i="6"/>
  <c r="L74" i="6"/>
  <c r="J74" i="6"/>
  <c r="M74" i="6"/>
  <c r="K75" i="6"/>
  <c r="L75" i="6"/>
  <c r="J75" i="6"/>
  <c r="M75" i="6"/>
  <c r="K76" i="6"/>
  <c r="L76" i="6"/>
  <c r="J76" i="6"/>
  <c r="M76" i="6"/>
  <c r="K77" i="6"/>
  <c r="L77" i="6"/>
  <c r="J77" i="6"/>
  <c r="M77" i="6"/>
  <c r="K78" i="6"/>
  <c r="L78" i="6"/>
  <c r="J78" i="6"/>
  <c r="M78" i="6"/>
  <c r="K79" i="6"/>
  <c r="L79" i="6"/>
  <c r="J79" i="6"/>
  <c r="M79" i="6"/>
  <c r="K80" i="6"/>
  <c r="L80" i="6"/>
  <c r="J80" i="6"/>
  <c r="M80" i="6"/>
  <c r="K81" i="6"/>
  <c r="L81" i="6"/>
  <c r="J81" i="6"/>
  <c r="M81" i="6"/>
  <c r="K82" i="6"/>
  <c r="L82" i="6"/>
  <c r="J82" i="6"/>
  <c r="M82" i="6"/>
  <c r="K83" i="6"/>
  <c r="L83" i="6"/>
  <c r="J83" i="6"/>
  <c r="M83" i="6"/>
  <c r="K84" i="6"/>
  <c r="L84" i="6"/>
  <c r="J84" i="6"/>
  <c r="M84" i="6"/>
  <c r="K85" i="6"/>
  <c r="L85" i="6"/>
  <c r="J85" i="6"/>
  <c r="M85" i="6"/>
  <c r="K86" i="6"/>
  <c r="L86" i="6"/>
  <c r="J86" i="6"/>
  <c r="M86" i="6"/>
  <c r="K87" i="6"/>
  <c r="L87" i="6"/>
  <c r="J87" i="6"/>
  <c r="M87" i="6"/>
  <c r="K88" i="6"/>
  <c r="L88" i="6"/>
  <c r="J88" i="6"/>
  <c r="M88" i="6"/>
  <c r="K89" i="6"/>
  <c r="L89" i="6"/>
  <c r="J89" i="6"/>
  <c r="M89" i="6"/>
  <c r="K90" i="6"/>
  <c r="L90" i="6"/>
  <c r="J90" i="6"/>
  <c r="M90" i="6"/>
  <c r="K91" i="6"/>
  <c r="L91" i="6"/>
  <c r="J91" i="6"/>
  <c r="M91" i="6"/>
  <c r="K92" i="6"/>
  <c r="L92" i="6"/>
  <c r="J92" i="6"/>
  <c r="M92" i="6"/>
  <c r="K93" i="6"/>
  <c r="L93" i="6"/>
  <c r="J93" i="6"/>
  <c r="M93" i="6"/>
  <c r="K94" i="6"/>
  <c r="L94" i="6"/>
  <c r="J94" i="6"/>
  <c r="M94" i="6"/>
  <c r="K95" i="6"/>
  <c r="L95" i="6"/>
  <c r="J95" i="6"/>
  <c r="M95" i="6"/>
  <c r="K96" i="6"/>
  <c r="L96" i="6"/>
  <c r="J96" i="6"/>
  <c r="M96" i="6"/>
  <c r="K97" i="6"/>
  <c r="L97" i="6"/>
  <c r="J97" i="6"/>
  <c r="M97" i="6"/>
  <c r="K98" i="6"/>
  <c r="L98" i="6"/>
  <c r="J98" i="6"/>
  <c r="M98" i="6"/>
  <c r="K99" i="6"/>
  <c r="L99" i="6"/>
  <c r="J99" i="6"/>
  <c r="M99" i="6"/>
  <c r="K100" i="6"/>
  <c r="L100" i="6"/>
  <c r="J100" i="6"/>
  <c r="M100" i="6"/>
  <c r="K101" i="6"/>
  <c r="L101" i="6"/>
  <c r="J101" i="6"/>
  <c r="M101" i="6"/>
  <c r="K102" i="6"/>
  <c r="L102" i="6"/>
  <c r="J102" i="6"/>
  <c r="M102" i="6"/>
  <c r="K103" i="6"/>
  <c r="L103" i="6"/>
  <c r="J103" i="6"/>
  <c r="M103" i="6"/>
  <c r="K104" i="6"/>
  <c r="L104" i="6"/>
  <c r="J104" i="6"/>
  <c r="M104" i="6"/>
  <c r="K105" i="6"/>
  <c r="L105" i="6"/>
  <c r="J105" i="6"/>
  <c r="M105" i="6"/>
  <c r="K106" i="6"/>
  <c r="L106" i="6"/>
  <c r="J106" i="6"/>
  <c r="M106" i="6"/>
  <c r="K107" i="6"/>
  <c r="L107" i="6"/>
  <c r="J107" i="6"/>
  <c r="M107" i="6"/>
  <c r="K108" i="6"/>
  <c r="L108" i="6"/>
  <c r="J108" i="6"/>
  <c r="M108" i="6"/>
  <c r="K109" i="6"/>
  <c r="L109" i="6"/>
  <c r="J109" i="6"/>
  <c r="M109" i="6"/>
  <c r="K110" i="6"/>
  <c r="L110" i="6"/>
  <c r="J110" i="6"/>
  <c r="M110" i="6"/>
  <c r="K111" i="6"/>
  <c r="L111" i="6"/>
  <c r="J111" i="6"/>
  <c r="M111" i="6"/>
  <c r="K112" i="6"/>
  <c r="L112" i="6"/>
  <c r="J112" i="6"/>
  <c r="M112" i="6"/>
  <c r="K113" i="6"/>
  <c r="L113" i="6"/>
  <c r="J113" i="6"/>
  <c r="M113" i="6"/>
  <c r="K114" i="6"/>
  <c r="L114" i="6"/>
  <c r="J114" i="6"/>
  <c r="M114" i="6"/>
  <c r="K115" i="6"/>
  <c r="L115" i="6"/>
  <c r="J115" i="6"/>
  <c r="M115" i="6"/>
  <c r="K116" i="6"/>
  <c r="L116" i="6"/>
  <c r="J116" i="6"/>
  <c r="M116" i="6"/>
  <c r="K117" i="6"/>
  <c r="L117" i="6"/>
  <c r="J117" i="6"/>
  <c r="M117" i="6"/>
  <c r="K118" i="6"/>
  <c r="L118" i="6"/>
  <c r="J118" i="6"/>
  <c r="M118" i="6"/>
  <c r="K119" i="6"/>
  <c r="L119" i="6"/>
  <c r="J119" i="6"/>
  <c r="M119" i="6"/>
  <c r="K120" i="6"/>
  <c r="L120" i="6"/>
  <c r="J120" i="6"/>
  <c r="M120" i="6"/>
  <c r="K121" i="6"/>
  <c r="L121" i="6"/>
  <c r="J121" i="6"/>
  <c r="M121" i="6"/>
  <c r="K122" i="6"/>
  <c r="L122" i="6"/>
  <c r="J122" i="6"/>
  <c r="M122" i="6"/>
  <c r="K123" i="6"/>
  <c r="L123" i="6"/>
  <c r="J123" i="6"/>
  <c r="M123" i="6"/>
  <c r="K124" i="6"/>
  <c r="L124" i="6"/>
  <c r="J124" i="6"/>
  <c r="M124" i="6"/>
  <c r="K125" i="6"/>
  <c r="L125" i="6"/>
  <c r="J125" i="6"/>
  <c r="M125" i="6"/>
  <c r="K126" i="6"/>
  <c r="L126" i="6"/>
  <c r="J126" i="6"/>
  <c r="M126" i="6"/>
  <c r="K127" i="6"/>
  <c r="L127" i="6"/>
  <c r="J127" i="6"/>
  <c r="M127" i="6"/>
  <c r="K128" i="6"/>
  <c r="L128" i="6"/>
  <c r="J128" i="6"/>
  <c r="M128" i="6"/>
  <c r="K129" i="6"/>
  <c r="L129" i="6"/>
  <c r="J129" i="6"/>
  <c r="M129" i="6"/>
  <c r="K130" i="6"/>
  <c r="L130" i="6"/>
  <c r="J130" i="6"/>
  <c r="M130" i="6"/>
  <c r="K131" i="6"/>
  <c r="L131" i="6"/>
  <c r="J131" i="6"/>
  <c r="M131" i="6"/>
  <c r="K132" i="6"/>
  <c r="L132" i="6"/>
  <c r="J132" i="6"/>
  <c r="M132" i="6"/>
  <c r="K133" i="6"/>
  <c r="L133" i="6"/>
  <c r="J133" i="6"/>
  <c r="M133" i="6"/>
  <c r="K134" i="6"/>
  <c r="L134" i="6"/>
  <c r="J134" i="6"/>
  <c r="M134" i="6"/>
  <c r="K135" i="6"/>
  <c r="L135" i="6"/>
  <c r="J135" i="6"/>
  <c r="M135" i="6"/>
  <c r="K136" i="6"/>
  <c r="L136" i="6"/>
  <c r="J136" i="6"/>
  <c r="M136" i="6"/>
  <c r="K137" i="6"/>
  <c r="L137" i="6"/>
  <c r="J137" i="6"/>
  <c r="M137" i="6"/>
  <c r="K138" i="6"/>
  <c r="L138" i="6"/>
  <c r="J138" i="6"/>
  <c r="M138" i="6"/>
  <c r="K139" i="6"/>
  <c r="L139" i="6"/>
  <c r="J139" i="6"/>
  <c r="M139" i="6"/>
  <c r="K140" i="6"/>
  <c r="L140" i="6"/>
  <c r="J140" i="6"/>
  <c r="M140" i="6"/>
  <c r="K141" i="6"/>
  <c r="L141" i="6"/>
  <c r="J141" i="6"/>
  <c r="M141" i="6"/>
  <c r="K142" i="6"/>
  <c r="L142" i="6"/>
  <c r="J142" i="6"/>
  <c r="M142" i="6"/>
  <c r="K143" i="6"/>
  <c r="L143" i="6"/>
  <c r="J143" i="6"/>
  <c r="M143" i="6"/>
  <c r="K144" i="6"/>
  <c r="L144" i="6"/>
  <c r="J144" i="6"/>
  <c r="M144" i="6"/>
  <c r="K145" i="6"/>
  <c r="L145" i="6"/>
  <c r="J145" i="6"/>
  <c r="M145" i="6"/>
  <c r="K146" i="6"/>
  <c r="L146" i="6"/>
  <c r="J146" i="6"/>
  <c r="M146" i="6"/>
  <c r="K147" i="6"/>
  <c r="L147" i="6"/>
  <c r="J147" i="6"/>
  <c r="M147" i="6"/>
  <c r="K148" i="6"/>
  <c r="L148" i="6"/>
  <c r="J148" i="6"/>
  <c r="M148" i="6"/>
  <c r="K149" i="6"/>
  <c r="L149" i="6"/>
  <c r="J149" i="6"/>
  <c r="M149" i="6"/>
  <c r="K150" i="6"/>
  <c r="L150" i="6"/>
  <c r="J150" i="6"/>
  <c r="M150" i="6"/>
  <c r="K151" i="6"/>
  <c r="L151" i="6"/>
  <c r="J151" i="6"/>
  <c r="M151" i="6"/>
  <c r="K152" i="6"/>
  <c r="L152" i="6"/>
  <c r="J152" i="6"/>
  <c r="M152" i="6"/>
  <c r="K153" i="6"/>
  <c r="L153" i="6"/>
  <c r="J153" i="6"/>
  <c r="M153" i="6"/>
  <c r="K154" i="6"/>
  <c r="L154" i="6"/>
  <c r="J154" i="6"/>
  <c r="M154" i="6"/>
  <c r="K155" i="6"/>
  <c r="L155" i="6"/>
  <c r="J155" i="6"/>
  <c r="M155" i="6"/>
  <c r="K156" i="6"/>
  <c r="L156" i="6"/>
  <c r="J156" i="6"/>
  <c r="M156" i="6"/>
  <c r="K157" i="6"/>
  <c r="L157" i="6"/>
  <c r="J157" i="6"/>
  <c r="M157" i="6"/>
  <c r="K158" i="6"/>
  <c r="L158" i="6"/>
  <c r="J158" i="6"/>
  <c r="M158" i="6"/>
  <c r="K159" i="6"/>
  <c r="L159" i="6"/>
  <c r="J159" i="6"/>
  <c r="M159" i="6"/>
  <c r="K160" i="6"/>
  <c r="L160" i="6"/>
  <c r="J160" i="6"/>
  <c r="M160" i="6"/>
  <c r="K161" i="6"/>
  <c r="L161" i="6"/>
  <c r="J161" i="6"/>
  <c r="M161" i="6"/>
  <c r="K162" i="6"/>
  <c r="L162" i="6"/>
  <c r="J162" i="6"/>
  <c r="M162" i="6"/>
  <c r="K163" i="6"/>
  <c r="L163" i="6"/>
  <c r="J163" i="6"/>
  <c r="M163" i="6"/>
  <c r="K164" i="6"/>
  <c r="L164" i="6"/>
  <c r="J164" i="6"/>
  <c r="M164" i="6"/>
  <c r="K165" i="6"/>
  <c r="L165" i="6"/>
  <c r="J165" i="6"/>
  <c r="M165" i="6"/>
  <c r="K166" i="6"/>
  <c r="L166" i="6"/>
  <c r="J166" i="6"/>
  <c r="M166" i="6"/>
  <c r="K167" i="6"/>
  <c r="L167" i="6"/>
  <c r="J167" i="6"/>
  <c r="M167" i="6"/>
  <c r="K168" i="6"/>
  <c r="L168" i="6"/>
  <c r="J168" i="6"/>
  <c r="M168" i="6"/>
  <c r="K169" i="6"/>
  <c r="L169" i="6"/>
  <c r="J169" i="6"/>
  <c r="M169" i="6"/>
  <c r="K170" i="6"/>
  <c r="L170" i="6"/>
  <c r="J170" i="6"/>
  <c r="M170" i="6"/>
  <c r="K171" i="6"/>
  <c r="L171" i="6"/>
  <c r="J171" i="6"/>
  <c r="M171" i="6"/>
  <c r="K172" i="6"/>
  <c r="L172" i="6"/>
  <c r="J172" i="6"/>
  <c r="M172" i="6"/>
  <c r="K173" i="6"/>
  <c r="L173" i="6"/>
  <c r="J173" i="6"/>
  <c r="M173" i="6"/>
  <c r="K174" i="6"/>
  <c r="L174" i="6"/>
  <c r="J174" i="6"/>
  <c r="M174" i="6"/>
  <c r="K175" i="6"/>
  <c r="L175" i="6"/>
  <c r="J175" i="6"/>
  <c r="M175" i="6"/>
  <c r="K176" i="6"/>
  <c r="L176" i="6"/>
  <c r="J176" i="6"/>
  <c r="M176" i="6"/>
  <c r="K177" i="6"/>
  <c r="L177" i="6"/>
  <c r="J177" i="6"/>
  <c r="M177" i="6"/>
  <c r="K178" i="6"/>
  <c r="L178" i="6"/>
  <c r="J178" i="6"/>
  <c r="M178" i="6"/>
  <c r="K179" i="6"/>
  <c r="L179" i="6"/>
  <c r="J179" i="6"/>
  <c r="M179" i="6"/>
  <c r="K180" i="6"/>
  <c r="L180" i="6"/>
  <c r="J180" i="6"/>
  <c r="M180" i="6"/>
  <c r="K181" i="6"/>
  <c r="L181" i="6"/>
  <c r="J181" i="6"/>
  <c r="M181" i="6"/>
  <c r="K182" i="6"/>
  <c r="L182" i="6"/>
  <c r="J182" i="6"/>
  <c r="M182" i="6"/>
  <c r="K183" i="6"/>
  <c r="L183" i="6"/>
  <c r="J183" i="6"/>
  <c r="M183" i="6"/>
  <c r="K184" i="6"/>
  <c r="L184" i="6"/>
  <c r="J184" i="6"/>
  <c r="M184" i="6"/>
  <c r="K185" i="6"/>
  <c r="L185" i="6"/>
  <c r="J185" i="6"/>
  <c r="M185" i="6"/>
  <c r="K186" i="6"/>
  <c r="L186" i="6"/>
  <c r="J186" i="6"/>
  <c r="M186" i="6"/>
  <c r="K187" i="6"/>
  <c r="L187" i="6"/>
  <c r="J187" i="6"/>
  <c r="M187" i="6"/>
  <c r="K188" i="6"/>
  <c r="L188" i="6"/>
  <c r="J188" i="6"/>
  <c r="M188" i="6"/>
  <c r="K189" i="6"/>
  <c r="L189" i="6"/>
  <c r="J189" i="6"/>
  <c r="M189" i="6"/>
  <c r="K190" i="6"/>
  <c r="L190" i="6"/>
  <c r="J190" i="6"/>
  <c r="M190" i="6"/>
  <c r="K191" i="6"/>
  <c r="L191" i="6"/>
  <c r="J191" i="6"/>
  <c r="M191" i="6"/>
  <c r="K192" i="6"/>
  <c r="L192" i="6"/>
  <c r="J192" i="6"/>
  <c r="M192" i="6"/>
  <c r="K193" i="6"/>
  <c r="L193" i="6"/>
  <c r="J193" i="6"/>
  <c r="M193" i="6"/>
  <c r="K194" i="6"/>
  <c r="L194" i="6"/>
  <c r="J194" i="6"/>
  <c r="M194" i="6"/>
  <c r="K195" i="6"/>
  <c r="L195" i="6"/>
  <c r="J195" i="6"/>
  <c r="M195" i="6"/>
  <c r="K196" i="6"/>
  <c r="L196" i="6"/>
  <c r="J196" i="6"/>
  <c r="M196" i="6"/>
  <c r="K197" i="6"/>
  <c r="L197" i="6"/>
  <c r="J197" i="6"/>
  <c r="M197" i="6"/>
  <c r="K198" i="6"/>
  <c r="L198" i="6"/>
  <c r="J198" i="6"/>
  <c r="M198" i="6"/>
  <c r="K199" i="6"/>
  <c r="L199" i="6"/>
  <c r="J199" i="6"/>
  <c r="M199" i="6"/>
  <c r="K200" i="6"/>
  <c r="L200" i="6"/>
  <c r="J200" i="6"/>
  <c r="M200" i="6"/>
  <c r="K201" i="6"/>
  <c r="L201" i="6"/>
  <c r="J201" i="6"/>
  <c r="M201" i="6"/>
  <c r="K202" i="6"/>
  <c r="L202" i="6"/>
  <c r="J202" i="6"/>
  <c r="M202" i="6"/>
  <c r="K203" i="6"/>
  <c r="L203" i="6"/>
  <c r="J203" i="6"/>
  <c r="M203" i="6"/>
  <c r="K204" i="6"/>
  <c r="L204" i="6"/>
  <c r="J204" i="6"/>
  <c r="M204" i="6"/>
  <c r="K205" i="6"/>
  <c r="L205" i="6"/>
  <c r="J205" i="6"/>
  <c r="M205" i="6"/>
  <c r="K206" i="6"/>
  <c r="L206" i="6"/>
  <c r="J206" i="6"/>
  <c r="M206" i="6"/>
  <c r="K207" i="6"/>
  <c r="L207" i="6"/>
  <c r="J207" i="6"/>
  <c r="M207" i="6"/>
  <c r="K208" i="6"/>
  <c r="L208" i="6"/>
  <c r="J208" i="6"/>
  <c r="M208" i="6"/>
  <c r="K209" i="6"/>
  <c r="L209" i="6"/>
  <c r="J209" i="6"/>
  <c r="M209" i="6"/>
  <c r="K210" i="6"/>
  <c r="L210" i="6"/>
  <c r="J210" i="6"/>
  <c r="M210" i="6"/>
  <c r="K211" i="6"/>
  <c r="L211" i="6"/>
  <c r="J211" i="6"/>
  <c r="M211" i="6"/>
  <c r="K212" i="6"/>
  <c r="L212" i="6"/>
  <c r="J212" i="6"/>
  <c r="M212" i="6"/>
  <c r="K213" i="6"/>
  <c r="L213" i="6"/>
  <c r="J213" i="6"/>
  <c r="M213" i="6"/>
  <c r="K214" i="6"/>
  <c r="L214" i="6"/>
  <c r="J214" i="6"/>
  <c r="M214" i="6"/>
  <c r="K215" i="6"/>
  <c r="L215" i="6"/>
  <c r="J215" i="6"/>
  <c r="M215" i="6"/>
  <c r="K216" i="6"/>
  <c r="L216" i="6"/>
  <c r="J216" i="6"/>
  <c r="M216" i="6"/>
  <c r="K217" i="6"/>
  <c r="L217" i="6"/>
  <c r="J217" i="6"/>
  <c r="M217" i="6"/>
  <c r="K218" i="6"/>
  <c r="L218" i="6"/>
  <c r="J218" i="6"/>
  <c r="M218" i="6"/>
  <c r="K219" i="6"/>
  <c r="L219" i="6"/>
  <c r="J219" i="6"/>
  <c r="M219" i="6"/>
  <c r="K220" i="6"/>
  <c r="L220" i="6"/>
  <c r="J220" i="6"/>
  <c r="M220" i="6"/>
  <c r="K221" i="6"/>
  <c r="L221" i="6"/>
  <c r="J221" i="6"/>
  <c r="M221" i="6"/>
  <c r="K222" i="6"/>
  <c r="L222" i="6"/>
  <c r="J222" i="6"/>
  <c r="M222" i="6"/>
  <c r="K223" i="6"/>
  <c r="L223" i="6"/>
  <c r="J223" i="6"/>
  <c r="M223" i="6"/>
  <c r="K224" i="6"/>
  <c r="L224" i="6"/>
  <c r="J224" i="6"/>
  <c r="M224" i="6"/>
  <c r="K225" i="6"/>
  <c r="L225" i="6"/>
  <c r="J225" i="6"/>
  <c r="M225" i="6"/>
  <c r="K226" i="6"/>
  <c r="L226" i="6"/>
  <c r="J226" i="6"/>
  <c r="M226" i="6"/>
  <c r="K227" i="6"/>
  <c r="L227" i="6"/>
  <c r="J227" i="6"/>
  <c r="M227" i="6"/>
  <c r="K228" i="6"/>
  <c r="L228" i="6"/>
  <c r="J228" i="6"/>
  <c r="M228" i="6"/>
  <c r="K229" i="6"/>
  <c r="L229" i="6"/>
  <c r="J229" i="6"/>
  <c r="M229" i="6"/>
  <c r="K230" i="6"/>
  <c r="L230" i="6"/>
  <c r="J230" i="6"/>
  <c r="M230" i="6"/>
  <c r="K231" i="6"/>
  <c r="L231" i="6"/>
  <c r="J231" i="6"/>
  <c r="M231" i="6"/>
  <c r="K232" i="6"/>
  <c r="L232" i="6"/>
  <c r="J232" i="6"/>
  <c r="M232" i="6"/>
  <c r="K233" i="6"/>
  <c r="L233" i="6"/>
  <c r="J233" i="6"/>
  <c r="M233" i="6"/>
  <c r="K234" i="6"/>
  <c r="L234" i="6"/>
  <c r="J234" i="6"/>
  <c r="M234" i="6"/>
  <c r="K235" i="6"/>
  <c r="L235" i="6"/>
  <c r="J235" i="6"/>
  <c r="M235" i="6"/>
  <c r="K236" i="6"/>
  <c r="L236" i="6"/>
  <c r="J236" i="6"/>
  <c r="M236" i="6"/>
  <c r="K237" i="6"/>
  <c r="L237" i="6"/>
  <c r="J237" i="6"/>
  <c r="M237" i="6"/>
  <c r="K238" i="6"/>
  <c r="L238" i="6"/>
  <c r="J238" i="6"/>
  <c r="M238" i="6"/>
  <c r="K239" i="6"/>
  <c r="L239" i="6"/>
  <c r="J239" i="6"/>
  <c r="M239" i="6"/>
  <c r="K240" i="6"/>
  <c r="L240" i="6"/>
  <c r="J240" i="6"/>
  <c r="M240" i="6"/>
  <c r="K241" i="6"/>
  <c r="L241" i="6"/>
  <c r="J241" i="6"/>
  <c r="M241" i="6"/>
  <c r="K242" i="6"/>
  <c r="L242" i="6"/>
  <c r="J242" i="6"/>
  <c r="M242" i="6"/>
  <c r="K243" i="6"/>
  <c r="L243" i="6"/>
  <c r="J243" i="6"/>
  <c r="M243" i="6"/>
  <c r="K244" i="6"/>
  <c r="L244" i="6"/>
  <c r="J244" i="6"/>
  <c r="M244" i="6"/>
  <c r="K245" i="6"/>
  <c r="L245" i="6"/>
  <c r="J245" i="6"/>
  <c r="M245" i="6"/>
  <c r="K246" i="6"/>
  <c r="L246" i="6"/>
  <c r="J246" i="6"/>
  <c r="M246" i="6"/>
  <c r="K247" i="6"/>
  <c r="L247" i="6"/>
  <c r="J247" i="6"/>
  <c r="M247" i="6"/>
  <c r="K248" i="6"/>
  <c r="L248" i="6"/>
  <c r="J248" i="6"/>
  <c r="M248" i="6"/>
  <c r="K249" i="6"/>
  <c r="L249" i="6"/>
  <c r="J249" i="6"/>
  <c r="M249" i="6"/>
  <c r="K250" i="6"/>
  <c r="L250" i="6"/>
  <c r="J250" i="6"/>
  <c r="M250" i="6"/>
  <c r="K251" i="6"/>
  <c r="L251" i="6"/>
  <c r="J251" i="6"/>
  <c r="M251" i="6"/>
  <c r="K252" i="6"/>
  <c r="L252" i="6"/>
  <c r="J252" i="6"/>
  <c r="M252" i="6"/>
  <c r="K253" i="6"/>
  <c r="L253" i="6"/>
  <c r="J253" i="6"/>
  <c r="M253" i="6"/>
  <c r="K254" i="6"/>
  <c r="L254" i="6"/>
  <c r="J254" i="6"/>
  <c r="M254" i="6"/>
  <c r="K255" i="6"/>
  <c r="L255" i="6"/>
  <c r="J255" i="6"/>
  <c r="M255" i="6"/>
  <c r="K256" i="6"/>
  <c r="L256" i="6"/>
  <c r="J256" i="6"/>
  <c r="M256" i="6"/>
  <c r="K257" i="6"/>
  <c r="L257" i="6"/>
  <c r="J257" i="6"/>
  <c r="M257" i="6"/>
  <c r="K258" i="6"/>
  <c r="L258" i="6"/>
  <c r="J258" i="6"/>
  <c r="M258" i="6"/>
  <c r="K259" i="6"/>
  <c r="L259" i="6"/>
  <c r="J259" i="6"/>
  <c r="M259" i="6"/>
  <c r="K260" i="6"/>
  <c r="L260" i="6"/>
  <c r="J260" i="6"/>
  <c r="M260" i="6"/>
  <c r="K261" i="6"/>
  <c r="L261" i="6"/>
  <c r="J261" i="6"/>
  <c r="M261" i="6"/>
  <c r="K262" i="6"/>
  <c r="L262" i="6"/>
  <c r="J262" i="6"/>
  <c r="M262" i="6"/>
  <c r="K263" i="6"/>
  <c r="L263" i="6"/>
  <c r="J263" i="6"/>
  <c r="M263" i="6"/>
  <c r="K264" i="6"/>
  <c r="L264" i="6"/>
  <c r="J264" i="6"/>
  <c r="M264" i="6"/>
  <c r="K265" i="6"/>
  <c r="L265" i="6"/>
  <c r="J265" i="6"/>
  <c r="M265" i="6"/>
  <c r="K266" i="6"/>
  <c r="L266" i="6"/>
  <c r="J266" i="6"/>
  <c r="M266" i="6"/>
  <c r="K267" i="6"/>
  <c r="L267" i="6"/>
  <c r="J267" i="6"/>
  <c r="M267" i="6"/>
  <c r="K268" i="6"/>
  <c r="L268" i="6"/>
  <c r="J268" i="6"/>
  <c r="M268" i="6"/>
  <c r="K269" i="6"/>
  <c r="L269" i="6"/>
  <c r="J269" i="6"/>
  <c r="M269" i="6"/>
  <c r="K270" i="6"/>
  <c r="L270" i="6"/>
  <c r="J270" i="6"/>
  <c r="M270" i="6"/>
  <c r="K271" i="6"/>
  <c r="L271" i="6"/>
  <c r="J271" i="6"/>
  <c r="M271" i="6"/>
  <c r="K272" i="6"/>
  <c r="L272" i="6"/>
  <c r="J272" i="6"/>
  <c r="M272" i="6"/>
  <c r="K273" i="6"/>
  <c r="L273" i="6"/>
  <c r="J273" i="6"/>
  <c r="M273" i="6"/>
  <c r="K274" i="6"/>
  <c r="L274" i="6"/>
  <c r="J274" i="6"/>
  <c r="M274" i="6"/>
  <c r="K275" i="6"/>
  <c r="L275" i="6"/>
  <c r="J275" i="6"/>
  <c r="M275" i="6"/>
  <c r="K276" i="6"/>
  <c r="L276" i="6"/>
  <c r="J276" i="6"/>
  <c r="M276" i="6"/>
  <c r="K277" i="6"/>
  <c r="L277" i="6"/>
  <c r="J277" i="6"/>
  <c r="M277" i="6"/>
  <c r="K278" i="6"/>
  <c r="L278" i="6"/>
  <c r="J278" i="6"/>
  <c r="M278" i="6"/>
  <c r="K279" i="6"/>
  <c r="L279" i="6"/>
  <c r="J279" i="6"/>
  <c r="M279" i="6"/>
  <c r="K280" i="6"/>
  <c r="L280" i="6"/>
  <c r="J280" i="6"/>
  <c r="M280" i="6"/>
  <c r="K281" i="6"/>
  <c r="L281" i="6"/>
  <c r="J281" i="6"/>
  <c r="M281" i="6"/>
  <c r="K282" i="6"/>
  <c r="L282" i="6"/>
  <c r="J282" i="6"/>
  <c r="M282" i="6"/>
  <c r="K283" i="6"/>
  <c r="L283" i="6"/>
  <c r="J283" i="6"/>
  <c r="M283" i="6"/>
  <c r="K284" i="6"/>
  <c r="L284" i="6"/>
  <c r="J284" i="6"/>
  <c r="M284" i="6"/>
  <c r="K285" i="6"/>
  <c r="L285" i="6"/>
  <c r="J285" i="6"/>
  <c r="M285" i="6"/>
  <c r="K286" i="6"/>
  <c r="L286" i="6"/>
  <c r="J286" i="6"/>
  <c r="M286" i="6"/>
  <c r="K287" i="6"/>
  <c r="L287" i="6"/>
  <c r="J287" i="6"/>
  <c r="M287" i="6"/>
  <c r="K288" i="6"/>
  <c r="L288" i="6"/>
  <c r="J288" i="6"/>
  <c r="M288" i="6"/>
  <c r="K289" i="6"/>
  <c r="L289" i="6"/>
  <c r="J289" i="6"/>
  <c r="M289" i="6"/>
  <c r="K290" i="6"/>
  <c r="L290" i="6"/>
  <c r="J290" i="6"/>
  <c r="M290" i="6"/>
  <c r="K291" i="6"/>
  <c r="L291" i="6"/>
  <c r="J291" i="6"/>
  <c r="M291" i="6"/>
  <c r="K292" i="6"/>
  <c r="L292" i="6"/>
  <c r="J292" i="6"/>
  <c r="M292" i="6"/>
  <c r="K293" i="6"/>
  <c r="L293" i="6"/>
  <c r="J293" i="6"/>
  <c r="M293" i="6"/>
  <c r="K294" i="6"/>
  <c r="L294" i="6"/>
  <c r="J294" i="6"/>
  <c r="M294" i="6"/>
  <c r="K295" i="6"/>
  <c r="L295" i="6"/>
  <c r="J295" i="6"/>
  <c r="M295" i="6"/>
  <c r="K296" i="6"/>
  <c r="L296" i="6"/>
  <c r="J296" i="6"/>
  <c r="M296" i="6"/>
  <c r="K297" i="6"/>
  <c r="L297" i="6"/>
  <c r="J297" i="6"/>
  <c r="M297" i="6"/>
  <c r="K298" i="6"/>
  <c r="L298" i="6"/>
  <c r="J298" i="6"/>
  <c r="M298" i="6"/>
  <c r="K299" i="6"/>
  <c r="L299" i="6"/>
  <c r="J299" i="6"/>
  <c r="M299" i="6"/>
  <c r="K300" i="6"/>
  <c r="L300" i="6"/>
  <c r="J300" i="6"/>
  <c r="M300" i="6"/>
  <c r="K301" i="6"/>
  <c r="L301" i="6"/>
  <c r="J301" i="6"/>
  <c r="M301" i="6"/>
  <c r="K302" i="6"/>
  <c r="L302" i="6"/>
  <c r="J302" i="6"/>
  <c r="M302" i="6"/>
  <c r="K303" i="6"/>
  <c r="L303" i="6"/>
  <c r="J303" i="6"/>
  <c r="M303" i="6"/>
  <c r="K304" i="6"/>
  <c r="L304" i="6"/>
  <c r="J304" i="6"/>
  <c r="M304" i="6"/>
  <c r="K305" i="6"/>
  <c r="L305" i="6"/>
  <c r="J305" i="6"/>
  <c r="M305" i="6"/>
  <c r="K306" i="6"/>
  <c r="L306" i="6"/>
  <c r="J306" i="6"/>
  <c r="M306" i="6"/>
  <c r="K307" i="6"/>
  <c r="L307" i="6"/>
  <c r="J307" i="6"/>
  <c r="M307" i="6"/>
  <c r="K308" i="6"/>
  <c r="L308" i="6"/>
  <c r="J308" i="6"/>
  <c r="M308" i="6"/>
  <c r="K309" i="6"/>
  <c r="L309" i="6"/>
  <c r="J309" i="6"/>
  <c r="M309" i="6"/>
  <c r="K310" i="6"/>
  <c r="L310" i="6"/>
  <c r="J310" i="6"/>
  <c r="M310" i="6"/>
  <c r="K311" i="6"/>
  <c r="L311" i="6"/>
  <c r="J311" i="6"/>
  <c r="M311" i="6"/>
  <c r="K312" i="6"/>
  <c r="L312" i="6"/>
  <c r="J312" i="6"/>
  <c r="M312" i="6"/>
  <c r="K313" i="6"/>
  <c r="L313" i="6"/>
  <c r="J313" i="6"/>
  <c r="M313" i="6"/>
  <c r="K314" i="6"/>
  <c r="L314" i="6"/>
  <c r="J314" i="6"/>
  <c r="M314" i="6"/>
  <c r="K315" i="6"/>
  <c r="L315" i="6"/>
  <c r="J315" i="6"/>
  <c r="M315" i="6"/>
  <c r="K316" i="6"/>
  <c r="L316" i="6"/>
  <c r="J316" i="6"/>
  <c r="M316" i="6"/>
  <c r="K317" i="6"/>
  <c r="L317" i="6"/>
  <c r="J317" i="6"/>
  <c r="M317" i="6"/>
  <c r="K318" i="6"/>
  <c r="L318" i="6"/>
  <c r="J318" i="6"/>
  <c r="M318" i="6"/>
  <c r="K319" i="6"/>
  <c r="L319" i="6"/>
  <c r="J319" i="6"/>
  <c r="M319" i="6"/>
  <c r="K320" i="6"/>
  <c r="L320" i="6"/>
  <c r="J320" i="6"/>
  <c r="M320" i="6"/>
  <c r="K321" i="6"/>
  <c r="L321" i="6"/>
  <c r="J321" i="6"/>
  <c r="M321" i="6"/>
  <c r="K322" i="6"/>
  <c r="L322" i="6"/>
  <c r="J322" i="6"/>
  <c r="M322" i="6"/>
  <c r="K323" i="6"/>
  <c r="L323" i="6"/>
  <c r="J323" i="6"/>
  <c r="M323" i="6"/>
  <c r="K324" i="6"/>
  <c r="L324" i="6"/>
  <c r="J324" i="6"/>
  <c r="M324" i="6"/>
  <c r="K325" i="6"/>
  <c r="L325" i="6"/>
  <c r="J325" i="6"/>
  <c r="M325" i="6"/>
  <c r="K326" i="6"/>
  <c r="L326" i="6"/>
  <c r="J326" i="6"/>
  <c r="M326" i="6"/>
  <c r="K327" i="6"/>
  <c r="L327" i="6"/>
  <c r="J327" i="6"/>
  <c r="M327" i="6"/>
  <c r="K328" i="6"/>
  <c r="L328" i="6"/>
  <c r="J328" i="6"/>
  <c r="M328" i="6"/>
  <c r="K329" i="6"/>
  <c r="L329" i="6"/>
  <c r="J329" i="6"/>
  <c r="M329" i="6"/>
  <c r="K330" i="6"/>
  <c r="L330" i="6"/>
  <c r="J330" i="6"/>
  <c r="M330" i="6"/>
  <c r="K331" i="6"/>
  <c r="L331" i="6"/>
  <c r="J331" i="6"/>
  <c r="M331" i="6"/>
  <c r="K332" i="6"/>
  <c r="L332" i="6"/>
  <c r="J332" i="6"/>
  <c r="M332" i="6"/>
  <c r="K333" i="6"/>
  <c r="L333" i="6"/>
  <c r="J333" i="6"/>
  <c r="M333" i="6"/>
  <c r="K334" i="6"/>
  <c r="L334" i="6"/>
  <c r="J334" i="6"/>
  <c r="M334" i="6"/>
  <c r="K335" i="6"/>
  <c r="L335" i="6"/>
  <c r="J335" i="6"/>
  <c r="M335" i="6"/>
  <c r="K336" i="6"/>
  <c r="L336" i="6"/>
  <c r="J336" i="6"/>
  <c r="M336" i="6"/>
  <c r="K337" i="6"/>
  <c r="L337" i="6"/>
  <c r="J337" i="6"/>
  <c r="M337" i="6"/>
  <c r="K338" i="6"/>
  <c r="L338" i="6"/>
  <c r="J338" i="6"/>
  <c r="M338" i="6"/>
  <c r="K339" i="6"/>
  <c r="L339" i="6"/>
  <c r="J339" i="6"/>
  <c r="M339" i="6"/>
  <c r="K340" i="6"/>
  <c r="L340" i="6"/>
  <c r="J340" i="6"/>
  <c r="M340" i="6"/>
  <c r="K341" i="6"/>
  <c r="L341" i="6"/>
  <c r="J341" i="6"/>
  <c r="M341" i="6"/>
  <c r="K342" i="6"/>
  <c r="L342" i="6"/>
  <c r="J342" i="6"/>
  <c r="M342" i="6"/>
  <c r="K343" i="6"/>
  <c r="L343" i="6"/>
  <c r="J343" i="6"/>
  <c r="M343" i="6"/>
  <c r="K344" i="6"/>
  <c r="L344" i="6"/>
  <c r="J344" i="6"/>
  <c r="M344" i="6"/>
  <c r="K345" i="6"/>
  <c r="L345" i="6"/>
  <c r="J345" i="6"/>
  <c r="M345" i="6"/>
  <c r="K346" i="6"/>
  <c r="L346" i="6"/>
  <c r="J346" i="6"/>
  <c r="M346" i="6"/>
  <c r="K347" i="6"/>
  <c r="L347" i="6"/>
  <c r="J347" i="6"/>
  <c r="M347" i="6"/>
  <c r="K348" i="6"/>
  <c r="L348" i="6"/>
  <c r="J348" i="6"/>
  <c r="M348" i="6"/>
  <c r="K349" i="6"/>
  <c r="L349" i="6"/>
  <c r="J349" i="6"/>
  <c r="M349" i="6"/>
  <c r="K350" i="6"/>
  <c r="L350" i="6"/>
  <c r="J350" i="6"/>
  <c r="M350" i="6"/>
  <c r="K351" i="6"/>
  <c r="L351" i="6"/>
  <c r="J351" i="6"/>
  <c r="M351" i="6"/>
  <c r="K352" i="6"/>
  <c r="L352" i="6"/>
  <c r="J352" i="6"/>
  <c r="M352" i="6"/>
  <c r="K353" i="6"/>
  <c r="L353" i="6"/>
  <c r="J353" i="6"/>
  <c r="M353" i="6"/>
  <c r="K354" i="6"/>
  <c r="L354" i="6"/>
  <c r="J354" i="6"/>
  <c r="M354" i="6"/>
  <c r="K355" i="6"/>
  <c r="L355" i="6"/>
  <c r="J355" i="6"/>
  <c r="M355" i="6"/>
  <c r="K356" i="6"/>
  <c r="L356" i="6"/>
  <c r="J356" i="6"/>
  <c r="M356" i="6"/>
  <c r="K357" i="6"/>
  <c r="L357" i="6"/>
  <c r="J357" i="6"/>
  <c r="M357" i="6"/>
  <c r="K358" i="6"/>
  <c r="L358" i="6"/>
  <c r="J358" i="6"/>
  <c r="M358" i="6"/>
  <c r="K359" i="6"/>
  <c r="L359" i="6"/>
  <c r="J359" i="6"/>
  <c r="M359" i="6"/>
  <c r="K360" i="6"/>
  <c r="L360" i="6"/>
  <c r="J360" i="6"/>
  <c r="M360" i="6"/>
  <c r="K361" i="6"/>
  <c r="L361" i="6"/>
  <c r="J361" i="6"/>
  <c r="M361" i="6"/>
  <c r="K362" i="6"/>
  <c r="L362" i="6"/>
  <c r="J362" i="6"/>
  <c r="M362" i="6"/>
  <c r="K363" i="6"/>
  <c r="L363" i="6"/>
  <c r="J363" i="6"/>
  <c r="M363" i="6"/>
  <c r="K364" i="6"/>
  <c r="L364" i="6"/>
  <c r="J364" i="6"/>
  <c r="M364" i="6"/>
  <c r="K365" i="6"/>
  <c r="L365" i="6"/>
  <c r="J365" i="6"/>
  <c r="M365" i="6"/>
  <c r="K366" i="6"/>
  <c r="L366" i="6"/>
  <c r="J366" i="6"/>
  <c r="M366" i="6"/>
  <c r="K367" i="6"/>
  <c r="L367" i="6"/>
  <c r="J367" i="6"/>
  <c r="M367" i="6"/>
  <c r="K368" i="6"/>
  <c r="L368" i="6"/>
  <c r="J368" i="6"/>
  <c r="M368" i="6"/>
  <c r="K369" i="6"/>
  <c r="L369" i="6"/>
  <c r="J369" i="6"/>
  <c r="M369" i="6"/>
  <c r="K370" i="6"/>
  <c r="L370" i="6"/>
  <c r="J370" i="6"/>
  <c r="M370" i="6"/>
  <c r="K371" i="6"/>
  <c r="L371" i="6"/>
  <c r="J371" i="6"/>
  <c r="M371" i="6"/>
  <c r="K372" i="6"/>
  <c r="L372" i="6"/>
  <c r="J372" i="6"/>
  <c r="M372" i="6"/>
  <c r="K373" i="6"/>
  <c r="L373" i="6"/>
  <c r="J373" i="6"/>
  <c r="M373" i="6"/>
  <c r="K374" i="6"/>
  <c r="L374" i="6"/>
  <c r="J374" i="6"/>
  <c r="M374" i="6"/>
  <c r="K375" i="6"/>
  <c r="L375" i="6"/>
  <c r="J375" i="6"/>
  <c r="M375" i="6"/>
  <c r="K376" i="6"/>
  <c r="L376" i="6"/>
  <c r="J376" i="6"/>
  <c r="M376" i="6"/>
  <c r="K377" i="6"/>
  <c r="L377" i="6"/>
  <c r="J377" i="6"/>
  <c r="M377" i="6"/>
  <c r="K378" i="6"/>
  <c r="L378" i="6"/>
  <c r="J378" i="6"/>
  <c r="M378" i="6"/>
  <c r="K379" i="6"/>
  <c r="L379" i="6"/>
  <c r="J379" i="6"/>
  <c r="M379" i="6"/>
  <c r="K380" i="6"/>
  <c r="L380" i="6"/>
  <c r="J380" i="6"/>
  <c r="M380" i="6"/>
  <c r="K381" i="6"/>
  <c r="L381" i="6"/>
  <c r="J381" i="6"/>
  <c r="M381" i="6"/>
  <c r="K382" i="6"/>
  <c r="L382" i="6"/>
  <c r="J382" i="6"/>
  <c r="M382" i="6"/>
  <c r="K383" i="6"/>
  <c r="L383" i="6"/>
  <c r="J383" i="6"/>
  <c r="M383" i="6"/>
  <c r="K384" i="6"/>
  <c r="L384" i="6"/>
  <c r="J384" i="6"/>
  <c r="M384" i="6"/>
  <c r="K385" i="6"/>
  <c r="L385" i="6"/>
  <c r="J385" i="6"/>
  <c r="M385" i="6"/>
  <c r="K386" i="6"/>
  <c r="L386" i="6"/>
  <c r="J386" i="6"/>
  <c r="M386" i="6"/>
  <c r="K387" i="6"/>
  <c r="L387" i="6"/>
  <c r="J387" i="6"/>
  <c r="M387" i="6"/>
  <c r="K388" i="6"/>
  <c r="L388" i="6"/>
  <c r="J388" i="6"/>
  <c r="M388" i="6"/>
  <c r="K389" i="6"/>
  <c r="L389" i="6"/>
  <c r="J389" i="6"/>
  <c r="M389" i="6"/>
  <c r="K390" i="6"/>
  <c r="L390" i="6"/>
  <c r="J390" i="6"/>
  <c r="M390" i="6"/>
  <c r="K391" i="6"/>
  <c r="L391" i="6"/>
  <c r="J391" i="6"/>
  <c r="M391" i="6"/>
  <c r="K392" i="6"/>
  <c r="L392" i="6"/>
  <c r="J392" i="6"/>
  <c r="M392" i="6"/>
  <c r="K393" i="6"/>
  <c r="L393" i="6"/>
  <c r="J393" i="6"/>
  <c r="M393" i="6"/>
  <c r="K394" i="6"/>
  <c r="L394" i="6"/>
  <c r="J394" i="6"/>
  <c r="M394" i="6"/>
  <c r="K395" i="6"/>
  <c r="L395" i="6"/>
  <c r="J395" i="6"/>
  <c r="M395" i="6"/>
  <c r="K396" i="6"/>
  <c r="L396" i="6"/>
  <c r="J396" i="6"/>
  <c r="M396" i="6"/>
  <c r="K397" i="6"/>
  <c r="L397" i="6"/>
  <c r="J397" i="6"/>
  <c r="M397" i="6"/>
  <c r="K398" i="6"/>
  <c r="L398" i="6"/>
  <c r="J398" i="6"/>
  <c r="M398" i="6"/>
  <c r="K399" i="6"/>
  <c r="L399" i="6"/>
  <c r="J399" i="6"/>
  <c r="M399" i="6"/>
  <c r="K400" i="6"/>
  <c r="L400" i="6"/>
  <c r="J400" i="6"/>
  <c r="M400" i="6"/>
  <c r="K401" i="6"/>
  <c r="L401" i="6"/>
  <c r="J401" i="6"/>
  <c r="M401" i="6"/>
  <c r="K402" i="6"/>
  <c r="L402" i="6"/>
  <c r="J402" i="6"/>
  <c r="M402" i="6"/>
  <c r="K403" i="6"/>
  <c r="L403" i="6"/>
  <c r="J403" i="6"/>
  <c r="M403" i="6"/>
  <c r="K404" i="6"/>
  <c r="L404" i="6"/>
  <c r="J404" i="6"/>
  <c r="M404" i="6"/>
  <c r="K405" i="6"/>
  <c r="L405" i="6"/>
  <c r="J405" i="6"/>
  <c r="M405" i="6"/>
  <c r="K406" i="6"/>
  <c r="L406" i="6"/>
  <c r="J406" i="6"/>
  <c r="M406" i="6"/>
  <c r="K407" i="6"/>
  <c r="L407" i="6"/>
  <c r="J407" i="6"/>
  <c r="M407" i="6"/>
  <c r="K408" i="6"/>
  <c r="L408" i="6"/>
  <c r="J408" i="6"/>
  <c r="M408" i="6"/>
  <c r="K409" i="6"/>
  <c r="L409" i="6"/>
  <c r="J409" i="6"/>
  <c r="M409" i="6"/>
  <c r="K410" i="6"/>
  <c r="L410" i="6"/>
  <c r="J410" i="6"/>
  <c r="M410" i="6"/>
  <c r="K411" i="6"/>
  <c r="L411" i="6"/>
  <c r="J411" i="6"/>
  <c r="M411" i="6"/>
  <c r="K412" i="6"/>
  <c r="L412" i="6"/>
  <c r="J412" i="6"/>
  <c r="M412" i="6"/>
  <c r="K413" i="6"/>
  <c r="L413" i="6"/>
  <c r="J413" i="6"/>
  <c r="M413" i="6"/>
  <c r="K414" i="6"/>
  <c r="L414" i="6"/>
  <c r="J414" i="6"/>
  <c r="M414" i="6"/>
  <c r="K415" i="6"/>
  <c r="L415" i="6"/>
  <c r="J415" i="6"/>
  <c r="M415" i="6"/>
  <c r="K416" i="6"/>
  <c r="L416" i="6"/>
  <c r="J416" i="6"/>
  <c r="M416" i="6"/>
  <c r="K417" i="6"/>
  <c r="L417" i="6"/>
  <c r="J417" i="6"/>
  <c r="M417" i="6"/>
  <c r="K418" i="6"/>
  <c r="L418" i="6"/>
  <c r="J418" i="6"/>
  <c r="M418" i="6"/>
  <c r="K419" i="6"/>
  <c r="L419" i="6"/>
  <c r="J419" i="6"/>
  <c r="M419" i="6"/>
  <c r="K420" i="6"/>
  <c r="L420" i="6"/>
  <c r="J420" i="6"/>
  <c r="M420" i="6"/>
  <c r="K421" i="6"/>
  <c r="L421" i="6"/>
  <c r="J421" i="6"/>
  <c r="M421" i="6"/>
  <c r="K422" i="6"/>
  <c r="L422" i="6"/>
  <c r="J422" i="6"/>
  <c r="M422" i="6"/>
  <c r="K423" i="6"/>
  <c r="L423" i="6"/>
  <c r="J423" i="6"/>
  <c r="M423" i="6"/>
  <c r="K424" i="6"/>
  <c r="L424" i="6"/>
  <c r="J424" i="6"/>
  <c r="M424" i="6"/>
  <c r="K425" i="6"/>
  <c r="L425" i="6"/>
  <c r="J425" i="6"/>
  <c r="M425" i="6"/>
  <c r="K426" i="6"/>
  <c r="L426" i="6"/>
  <c r="J426" i="6"/>
  <c r="M426" i="6"/>
  <c r="K427" i="6"/>
  <c r="L427" i="6"/>
  <c r="J427" i="6"/>
  <c r="M427" i="6"/>
  <c r="K428" i="6"/>
  <c r="L428" i="6"/>
  <c r="J428" i="6"/>
  <c r="M428" i="6"/>
  <c r="K429" i="6"/>
  <c r="L429" i="6"/>
  <c r="J429" i="6"/>
  <c r="M429" i="6"/>
  <c r="K430" i="6"/>
  <c r="L430" i="6"/>
  <c r="J430" i="6"/>
  <c r="M430" i="6"/>
  <c r="K431" i="6"/>
  <c r="L431" i="6"/>
  <c r="J431" i="6"/>
  <c r="M431" i="6"/>
  <c r="K432" i="6"/>
  <c r="L432" i="6"/>
  <c r="J432" i="6"/>
  <c r="M432" i="6"/>
  <c r="K433" i="6"/>
  <c r="L433" i="6"/>
  <c r="J433" i="6"/>
  <c r="M433" i="6"/>
  <c r="K434" i="6"/>
  <c r="L434" i="6"/>
  <c r="J434" i="6"/>
  <c r="M434" i="6"/>
  <c r="K435" i="6"/>
  <c r="L435" i="6"/>
  <c r="J435" i="6"/>
  <c r="M435" i="6"/>
  <c r="K436" i="6"/>
  <c r="L436" i="6"/>
  <c r="J436" i="6"/>
  <c r="M436" i="6"/>
  <c r="K437" i="6"/>
  <c r="L437" i="6"/>
  <c r="J437" i="6"/>
  <c r="M437" i="6"/>
  <c r="K438" i="6"/>
  <c r="L438" i="6"/>
  <c r="J438" i="6"/>
  <c r="M438" i="6"/>
  <c r="K439" i="6"/>
  <c r="L439" i="6"/>
  <c r="J439" i="6"/>
  <c r="M439" i="6"/>
  <c r="K440" i="6"/>
  <c r="L440" i="6"/>
  <c r="J440" i="6"/>
  <c r="M440" i="6"/>
  <c r="K441" i="6"/>
  <c r="L441" i="6"/>
  <c r="J441" i="6"/>
  <c r="M441" i="6"/>
  <c r="K442" i="6"/>
  <c r="L442" i="6"/>
  <c r="J442" i="6"/>
  <c r="M442" i="6"/>
  <c r="K443" i="6"/>
  <c r="L443" i="6"/>
  <c r="J443" i="6"/>
  <c r="M443" i="6"/>
  <c r="L5" i="6"/>
  <c r="M5" i="6"/>
  <c r="L6" i="6"/>
  <c r="M6" i="6"/>
  <c r="L7" i="6"/>
  <c r="M7" i="6"/>
  <c r="L8" i="6"/>
  <c r="M8" i="6"/>
  <c r="L9" i="6"/>
  <c r="M9" i="6"/>
  <c r="L10" i="6"/>
  <c r="M10" i="6"/>
  <c r="L11" i="6"/>
  <c r="M11" i="6"/>
  <c r="L12" i="6"/>
  <c r="M12" i="6"/>
  <c r="L13" i="6"/>
  <c r="M13" i="6"/>
  <c r="L14" i="6"/>
  <c r="M14" i="6"/>
  <c r="L15" i="6"/>
  <c r="M15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K54" i="6"/>
  <c r="L54" i="6"/>
  <c r="M54" i="6"/>
  <c r="K55" i="6"/>
  <c r="L55" i="6"/>
  <c r="M55" i="6"/>
  <c r="K56" i="6"/>
  <c r="L56" i="6"/>
  <c r="M56" i="6"/>
  <c r="K57" i="6"/>
  <c r="L57" i="6"/>
  <c r="M57" i="6"/>
  <c r="M4" i="6"/>
  <c r="L4" i="6"/>
  <c r="CP160" i="5" l="1"/>
  <c r="CN160" i="5"/>
  <c r="CM160" i="5"/>
  <c r="CP159" i="5"/>
  <c r="CN159" i="5"/>
  <c r="CM159" i="5"/>
  <c r="CP158" i="5"/>
  <c r="CN158" i="5"/>
  <c r="CM158" i="5"/>
  <c r="CP157" i="5"/>
  <c r="CN157" i="5"/>
  <c r="CM157" i="5"/>
  <c r="CP156" i="5"/>
  <c r="CN156" i="5"/>
  <c r="CM156" i="5"/>
  <c r="CP155" i="5"/>
  <c r="CN155" i="5"/>
  <c r="CM155" i="5"/>
  <c r="CP154" i="5"/>
  <c r="CO154" i="5"/>
  <c r="CN154" i="5"/>
  <c r="CM154" i="5"/>
  <c r="CP153" i="5"/>
  <c r="CO153" i="5"/>
  <c r="CN153" i="5"/>
  <c r="CM153" i="5"/>
  <c r="CP152" i="5"/>
  <c r="CO152" i="5"/>
  <c r="CN152" i="5"/>
  <c r="CM152" i="5"/>
  <c r="CP151" i="5"/>
  <c r="CO151" i="5"/>
  <c r="CN151" i="5"/>
  <c r="CM151" i="5"/>
  <c r="CP150" i="5"/>
  <c r="CO150" i="5"/>
  <c r="CN150" i="5"/>
  <c r="CM150" i="5"/>
  <c r="CP149" i="5"/>
  <c r="CO149" i="5"/>
  <c r="CN149" i="5"/>
  <c r="CM149" i="5"/>
  <c r="CP148" i="5"/>
  <c r="CO148" i="5"/>
  <c r="CN148" i="5"/>
  <c r="CM148" i="5"/>
  <c r="CP147" i="5"/>
  <c r="CO147" i="5"/>
  <c r="CN147" i="5"/>
  <c r="CM147" i="5"/>
  <c r="CP146" i="5"/>
  <c r="CO146" i="5"/>
  <c r="CN146" i="5"/>
  <c r="CM146" i="5"/>
  <c r="CP145" i="5"/>
  <c r="CO145" i="5"/>
  <c r="CN145" i="5"/>
  <c r="CM145" i="5"/>
  <c r="CP144" i="5"/>
  <c r="CO144" i="5"/>
  <c r="CN144" i="5"/>
  <c r="CM144" i="5"/>
  <c r="CP143" i="5"/>
  <c r="CO143" i="5"/>
  <c r="CN143" i="5"/>
  <c r="CM143" i="5"/>
  <c r="CP142" i="5"/>
  <c r="CO142" i="5"/>
  <c r="CN142" i="5"/>
  <c r="CM142" i="5"/>
  <c r="CP141" i="5"/>
  <c r="CO141" i="5"/>
  <c r="CN141" i="5"/>
  <c r="CM141" i="5"/>
  <c r="CP140" i="5"/>
  <c r="CO140" i="5"/>
  <c r="CN140" i="5"/>
  <c r="CM140" i="5"/>
  <c r="CP139" i="5"/>
  <c r="CO139" i="5"/>
  <c r="CN139" i="5"/>
  <c r="CM139" i="5"/>
  <c r="CP138" i="5"/>
  <c r="CO138" i="5"/>
  <c r="CN138" i="5"/>
  <c r="CM138" i="5"/>
  <c r="CP137" i="5"/>
  <c r="CO137" i="5"/>
  <c r="CN137" i="5"/>
  <c r="CM137" i="5"/>
  <c r="CP136" i="5"/>
  <c r="CO136" i="5"/>
  <c r="CN136" i="5"/>
  <c r="CM136" i="5"/>
  <c r="CQ135" i="5"/>
  <c r="CP135" i="5"/>
  <c r="CO135" i="5"/>
  <c r="CN135" i="5"/>
  <c r="CM135" i="5"/>
  <c r="CQ134" i="5"/>
  <c r="CP134" i="5"/>
  <c r="CO134" i="5"/>
  <c r="CN134" i="5"/>
  <c r="CM134" i="5"/>
  <c r="CQ133" i="5"/>
  <c r="CP133" i="5"/>
  <c r="CO133" i="5"/>
  <c r="CN133" i="5"/>
  <c r="CM133" i="5"/>
  <c r="CQ132" i="5"/>
  <c r="CP132" i="5"/>
  <c r="CO132" i="5"/>
  <c r="CN132" i="5"/>
  <c r="CM132" i="5"/>
  <c r="CQ131" i="5"/>
  <c r="CP131" i="5"/>
  <c r="CO131" i="5"/>
  <c r="CN131" i="5"/>
  <c r="CM131" i="5"/>
  <c r="CQ130" i="5"/>
  <c r="CP130" i="5"/>
  <c r="CO130" i="5"/>
  <c r="CN130" i="5"/>
  <c r="CM130" i="5"/>
  <c r="CQ129" i="5"/>
  <c r="CP129" i="5"/>
  <c r="CO129" i="5"/>
  <c r="CN129" i="5"/>
  <c r="CM129" i="5"/>
  <c r="CQ128" i="5"/>
  <c r="CP128" i="5"/>
  <c r="CO128" i="5"/>
  <c r="CN128" i="5"/>
  <c r="CM128" i="5"/>
  <c r="CQ127" i="5"/>
  <c r="CP127" i="5"/>
  <c r="CO127" i="5"/>
  <c r="CN127" i="5"/>
  <c r="CM127" i="5"/>
  <c r="CQ126" i="5"/>
  <c r="CP126" i="5"/>
  <c r="CO126" i="5"/>
  <c r="CN126" i="5"/>
  <c r="CM126" i="5"/>
  <c r="CQ125" i="5"/>
  <c r="CP125" i="5"/>
  <c r="CO125" i="5"/>
  <c r="CN125" i="5"/>
  <c r="CM125" i="5"/>
  <c r="CQ124" i="5"/>
  <c r="CP124" i="5"/>
  <c r="CO124" i="5"/>
  <c r="CN124" i="5"/>
  <c r="CM124" i="5"/>
  <c r="CQ123" i="5"/>
  <c r="CP123" i="5"/>
  <c r="CO123" i="5"/>
  <c r="CN123" i="5"/>
  <c r="CM123" i="5"/>
  <c r="CQ122" i="5"/>
  <c r="CP122" i="5"/>
  <c r="CO122" i="5"/>
  <c r="CN122" i="5"/>
  <c r="CM122" i="5"/>
  <c r="CQ121" i="5"/>
  <c r="CP121" i="5"/>
  <c r="CO121" i="5"/>
  <c r="CN121" i="5"/>
  <c r="CM121" i="5"/>
  <c r="CQ120" i="5"/>
  <c r="CP120" i="5"/>
  <c r="CO120" i="5"/>
  <c r="CN120" i="5"/>
  <c r="CM120" i="5"/>
  <c r="CQ119" i="5"/>
  <c r="CP119" i="5"/>
  <c r="CO119" i="5"/>
  <c r="CN119" i="5"/>
  <c r="CM119" i="5"/>
  <c r="CQ118" i="5"/>
  <c r="CP118" i="5"/>
  <c r="CO118" i="5"/>
  <c r="CN118" i="5"/>
  <c r="CM118" i="5"/>
  <c r="CQ117" i="5"/>
  <c r="CP117" i="5"/>
  <c r="CO117" i="5"/>
  <c r="CN117" i="5"/>
  <c r="CM117" i="5"/>
  <c r="CQ116" i="5"/>
  <c r="CP116" i="5"/>
  <c r="CO116" i="5"/>
  <c r="CN116" i="5"/>
  <c r="CM116" i="5"/>
  <c r="CQ115" i="5"/>
  <c r="CP115" i="5"/>
  <c r="CO115" i="5"/>
  <c r="CN115" i="5"/>
  <c r="CM115" i="5"/>
  <c r="CQ114" i="5"/>
  <c r="CP114" i="5"/>
  <c r="CO114" i="5"/>
  <c r="CN114" i="5"/>
  <c r="CM114" i="5"/>
  <c r="CQ113" i="5"/>
  <c r="CP113" i="5"/>
  <c r="CO113" i="5"/>
  <c r="CN113" i="5"/>
  <c r="CM113" i="5"/>
  <c r="CQ112" i="5"/>
  <c r="CP112" i="5"/>
  <c r="CO112" i="5"/>
  <c r="CN112" i="5"/>
  <c r="CM112" i="5"/>
  <c r="CQ111" i="5"/>
  <c r="CP111" i="5"/>
  <c r="CO111" i="5"/>
  <c r="CN111" i="5"/>
  <c r="CM111" i="5"/>
  <c r="CQ110" i="5"/>
  <c r="CP110" i="5"/>
  <c r="CO110" i="5"/>
  <c r="CN110" i="5"/>
  <c r="CM110" i="5"/>
  <c r="CQ109" i="5"/>
  <c r="CP109" i="5"/>
  <c r="CO109" i="5"/>
  <c r="CN109" i="5"/>
  <c r="CM109" i="5"/>
  <c r="CQ108" i="5"/>
  <c r="CP108" i="5"/>
  <c r="CO108" i="5"/>
  <c r="CN108" i="5"/>
  <c r="CM108" i="5"/>
  <c r="CQ107" i="5"/>
  <c r="CP107" i="5"/>
  <c r="CO107" i="5"/>
  <c r="CN107" i="5"/>
  <c r="CM107" i="5"/>
  <c r="CQ106" i="5"/>
  <c r="CP106" i="5"/>
  <c r="CO106" i="5"/>
  <c r="CN106" i="5"/>
  <c r="CM106" i="5"/>
  <c r="CQ105" i="5"/>
  <c r="CP105" i="5"/>
  <c r="CO105" i="5"/>
  <c r="CN105" i="5"/>
  <c r="CM105" i="5"/>
  <c r="CQ104" i="5"/>
  <c r="CP104" i="5"/>
  <c r="CO104" i="5"/>
  <c r="CN104" i="5"/>
  <c r="CM104" i="5"/>
  <c r="CQ103" i="5"/>
  <c r="CP103" i="5"/>
  <c r="CO103" i="5"/>
  <c r="CN103" i="5"/>
  <c r="CM103" i="5"/>
  <c r="CQ102" i="5"/>
  <c r="CP102" i="5"/>
  <c r="CO102" i="5"/>
  <c r="CN102" i="5"/>
  <c r="CM102" i="5"/>
  <c r="CQ101" i="5"/>
  <c r="CP101" i="5"/>
  <c r="CO101" i="5"/>
  <c r="CN101" i="5"/>
  <c r="CM101" i="5"/>
  <c r="CQ100" i="5"/>
  <c r="CP100" i="5"/>
  <c r="CO100" i="5"/>
  <c r="CN100" i="5"/>
  <c r="CM100" i="5"/>
  <c r="CQ99" i="5"/>
  <c r="CP99" i="5"/>
  <c r="CO99" i="5"/>
  <c r="CN99" i="5"/>
  <c r="CM99" i="5"/>
  <c r="CQ98" i="5"/>
  <c r="CP98" i="5"/>
  <c r="CO98" i="5"/>
  <c r="CN98" i="5"/>
  <c r="CM98" i="5"/>
  <c r="CQ97" i="5"/>
  <c r="CP97" i="5"/>
  <c r="CO97" i="5"/>
  <c r="CN97" i="5"/>
  <c r="CM97" i="5"/>
  <c r="CQ96" i="5"/>
  <c r="CP96" i="5"/>
  <c r="CO96" i="5"/>
  <c r="CN96" i="5"/>
  <c r="CM96" i="5"/>
  <c r="CQ95" i="5"/>
  <c r="CP95" i="5"/>
  <c r="CO95" i="5"/>
  <c r="CN95" i="5"/>
  <c r="CM95" i="5"/>
  <c r="CQ94" i="5"/>
  <c r="CP94" i="5"/>
  <c r="CO94" i="5"/>
  <c r="CN94" i="5"/>
  <c r="CM94" i="5"/>
  <c r="CQ93" i="5"/>
  <c r="CP93" i="5"/>
  <c r="CO93" i="5"/>
  <c r="CN93" i="5"/>
  <c r="CM93" i="5"/>
  <c r="CQ92" i="5"/>
  <c r="CP92" i="5"/>
  <c r="CO92" i="5"/>
  <c r="CN92" i="5"/>
  <c r="CM92" i="5"/>
  <c r="CQ91" i="5"/>
  <c r="CP91" i="5"/>
  <c r="CO91" i="5"/>
  <c r="CN91" i="5"/>
  <c r="CM91" i="5"/>
  <c r="CQ90" i="5"/>
  <c r="CP90" i="5"/>
  <c r="CO90" i="5"/>
  <c r="CN90" i="5"/>
  <c r="CM90" i="5"/>
  <c r="CQ89" i="5"/>
  <c r="CP89" i="5"/>
  <c r="CO89" i="5"/>
  <c r="CN89" i="5"/>
  <c r="CM89" i="5"/>
  <c r="CQ88" i="5"/>
  <c r="CP88" i="5"/>
  <c r="CO88" i="5"/>
  <c r="CN88" i="5"/>
  <c r="CM88" i="5"/>
  <c r="CQ87" i="5"/>
  <c r="CP87" i="5"/>
  <c r="CO87" i="5"/>
  <c r="CN87" i="5"/>
  <c r="CM87" i="5"/>
  <c r="CQ86" i="5"/>
  <c r="CP86" i="5"/>
  <c r="CO86" i="5"/>
  <c r="CN86" i="5"/>
  <c r="CM86" i="5"/>
  <c r="CQ85" i="5"/>
  <c r="CP85" i="5"/>
  <c r="CO85" i="5"/>
  <c r="CN85" i="5"/>
  <c r="CM85" i="5"/>
  <c r="CQ84" i="5"/>
  <c r="CP84" i="5"/>
  <c r="CO84" i="5"/>
  <c r="CN84" i="5"/>
  <c r="CM84" i="5"/>
  <c r="CQ83" i="5"/>
  <c r="CP83" i="5"/>
  <c r="CO83" i="5"/>
  <c r="CN83" i="5"/>
  <c r="CM83" i="5"/>
  <c r="CQ82" i="5"/>
  <c r="CP82" i="5"/>
  <c r="CO82" i="5"/>
  <c r="CN82" i="5"/>
  <c r="CM82" i="5"/>
  <c r="CQ81" i="5"/>
  <c r="CP81" i="5"/>
  <c r="CO81" i="5"/>
  <c r="CN81" i="5"/>
  <c r="CM81" i="5"/>
  <c r="CQ80" i="5"/>
  <c r="CP80" i="5"/>
  <c r="CO80" i="5"/>
  <c r="CN80" i="5"/>
  <c r="CM80" i="5"/>
  <c r="CQ79" i="5"/>
  <c r="CP79" i="5"/>
  <c r="CO79" i="5"/>
  <c r="CN79" i="5"/>
  <c r="CM79" i="5"/>
  <c r="CQ78" i="5"/>
  <c r="CP78" i="5"/>
  <c r="CO78" i="5"/>
  <c r="CN78" i="5"/>
  <c r="CM78" i="5"/>
  <c r="CQ77" i="5"/>
  <c r="CP77" i="5"/>
  <c r="CO77" i="5"/>
  <c r="CN77" i="5"/>
  <c r="CM77" i="5"/>
  <c r="CQ76" i="5"/>
  <c r="CP76" i="5"/>
  <c r="CO76" i="5"/>
  <c r="CN76" i="5"/>
  <c r="CM76" i="5"/>
  <c r="CQ75" i="5"/>
  <c r="CP75" i="5"/>
  <c r="CO75" i="5"/>
  <c r="CN75" i="5"/>
  <c r="CM75" i="5"/>
  <c r="CQ74" i="5"/>
  <c r="CP74" i="5"/>
  <c r="CO74" i="5"/>
  <c r="CN74" i="5"/>
  <c r="CM74" i="5"/>
  <c r="CQ73" i="5"/>
  <c r="CP73" i="5"/>
  <c r="CO73" i="5"/>
  <c r="CN73" i="5"/>
  <c r="CM73" i="5"/>
  <c r="CQ72" i="5"/>
  <c r="CP72" i="5"/>
  <c r="CO72" i="5"/>
  <c r="CN72" i="5"/>
  <c r="CM72" i="5"/>
  <c r="CQ71" i="5"/>
  <c r="CP71" i="5"/>
  <c r="CO71" i="5"/>
  <c r="CN71" i="5"/>
  <c r="CM71" i="5"/>
  <c r="CQ70" i="5"/>
  <c r="CP70" i="5"/>
  <c r="CO70" i="5"/>
  <c r="CN70" i="5"/>
  <c r="CM70" i="5"/>
  <c r="CQ69" i="5"/>
  <c r="CP69" i="5"/>
  <c r="CO69" i="5"/>
  <c r="CN69" i="5"/>
  <c r="CM69" i="5"/>
  <c r="CQ68" i="5"/>
  <c r="CP68" i="5"/>
  <c r="CO68" i="5"/>
  <c r="CN68" i="5"/>
  <c r="CM68" i="5"/>
  <c r="CQ67" i="5"/>
  <c r="CP67" i="5"/>
  <c r="CO67" i="5"/>
  <c r="CN67" i="5"/>
  <c r="CM67" i="5"/>
  <c r="CQ66" i="5"/>
  <c r="CP66" i="5"/>
  <c r="CO66" i="5"/>
  <c r="CN66" i="5"/>
  <c r="CM66" i="5"/>
  <c r="CQ65" i="5"/>
  <c r="CP65" i="5"/>
  <c r="CO65" i="5"/>
  <c r="CN65" i="5"/>
  <c r="CM65" i="5"/>
  <c r="CQ64" i="5"/>
  <c r="CP64" i="5"/>
  <c r="CO64" i="5"/>
  <c r="CN64" i="5"/>
  <c r="CM64" i="5"/>
  <c r="CQ63" i="5"/>
  <c r="CP63" i="5"/>
  <c r="CO63" i="5"/>
  <c r="CN63" i="5"/>
  <c r="CM63" i="5"/>
  <c r="CQ62" i="5"/>
  <c r="CP62" i="5"/>
  <c r="CO62" i="5"/>
  <c r="CN62" i="5"/>
  <c r="CM62" i="5"/>
  <c r="CQ61" i="5"/>
  <c r="CP61" i="5"/>
  <c r="CO61" i="5"/>
  <c r="CN61" i="5"/>
  <c r="CM61" i="5"/>
  <c r="CQ60" i="5"/>
  <c r="CP60" i="5"/>
  <c r="CO60" i="5"/>
  <c r="CN60" i="5"/>
  <c r="CM60" i="5"/>
  <c r="CP59" i="5"/>
  <c r="CO59" i="5"/>
  <c r="CN59" i="5"/>
  <c r="CM59" i="5"/>
  <c r="CP58" i="5"/>
  <c r="CO58" i="5"/>
  <c r="CN58" i="5"/>
  <c r="CM58" i="5"/>
  <c r="CP57" i="5"/>
  <c r="CO57" i="5"/>
  <c r="CN57" i="5"/>
  <c r="CM57" i="5"/>
  <c r="CP56" i="5"/>
  <c r="CO56" i="5"/>
  <c r="CN56" i="5"/>
  <c r="CM56" i="5"/>
  <c r="CP55" i="5"/>
  <c r="CO55" i="5"/>
  <c r="CN55" i="5"/>
  <c r="CM55" i="5"/>
  <c r="CP54" i="5"/>
  <c r="CO54" i="5"/>
  <c r="CN54" i="5"/>
  <c r="CM54" i="5"/>
  <c r="CP53" i="5"/>
  <c r="CO53" i="5"/>
  <c r="CN53" i="5"/>
  <c r="CM53" i="5"/>
  <c r="CP52" i="5"/>
  <c r="CO52" i="5"/>
  <c r="CN52" i="5"/>
  <c r="CM52" i="5"/>
  <c r="CP51" i="5"/>
  <c r="CO51" i="5"/>
  <c r="CN51" i="5"/>
  <c r="CM51" i="5"/>
  <c r="CP50" i="5"/>
  <c r="CO50" i="5"/>
  <c r="CN50" i="5"/>
  <c r="CM50" i="5"/>
  <c r="CP49" i="5"/>
  <c r="CO49" i="5"/>
  <c r="CN49" i="5"/>
  <c r="CM49" i="5"/>
  <c r="CP48" i="5"/>
  <c r="CO48" i="5"/>
  <c r="CN48" i="5"/>
  <c r="CM48" i="5"/>
  <c r="CQ47" i="5"/>
  <c r="CP47" i="5"/>
  <c r="CO47" i="5"/>
  <c r="CN47" i="5"/>
  <c r="CM47" i="5"/>
  <c r="CQ46" i="5"/>
  <c r="CP46" i="5"/>
  <c r="CO46" i="5"/>
  <c r="CN46" i="5"/>
  <c r="CM46" i="5"/>
  <c r="CQ45" i="5"/>
  <c r="CP45" i="5"/>
  <c r="CO45" i="5"/>
  <c r="CN45" i="5"/>
  <c r="CM45" i="5"/>
  <c r="CQ44" i="5"/>
  <c r="CP44" i="5"/>
  <c r="CO44" i="5"/>
  <c r="CN44" i="5"/>
  <c r="CM44" i="5"/>
  <c r="CQ43" i="5"/>
  <c r="CP43" i="5"/>
  <c r="CO43" i="5"/>
  <c r="CN43" i="5"/>
  <c r="CM43" i="5"/>
  <c r="CQ42" i="5"/>
  <c r="CP42" i="5"/>
  <c r="CO42" i="5"/>
  <c r="CN42" i="5"/>
  <c r="CM42" i="5"/>
  <c r="CQ41" i="5"/>
  <c r="CP41" i="5"/>
  <c r="CO41" i="5"/>
  <c r="CN41" i="5"/>
  <c r="CM41" i="5"/>
  <c r="CQ40" i="5"/>
  <c r="CP40" i="5"/>
  <c r="CO40" i="5"/>
  <c r="CN40" i="5"/>
  <c r="CM40" i="5"/>
  <c r="CQ39" i="5"/>
  <c r="CP39" i="5"/>
  <c r="CO39" i="5"/>
  <c r="CN39" i="5"/>
  <c r="CM39" i="5"/>
  <c r="CQ38" i="5"/>
  <c r="CP38" i="5"/>
  <c r="CO38" i="5"/>
  <c r="CN38" i="5"/>
  <c r="CM38" i="5"/>
  <c r="CQ37" i="5"/>
  <c r="CP37" i="5"/>
  <c r="CO37" i="5"/>
  <c r="CN37" i="5"/>
  <c r="CM37" i="5"/>
  <c r="CQ36" i="5"/>
  <c r="CP36" i="5"/>
  <c r="CO36" i="5"/>
  <c r="CN36" i="5"/>
  <c r="CM36" i="5"/>
  <c r="CQ35" i="5"/>
  <c r="CP35" i="5"/>
  <c r="CO35" i="5"/>
  <c r="CN35" i="5"/>
  <c r="CM35" i="5"/>
  <c r="CQ34" i="5"/>
  <c r="CP34" i="5"/>
  <c r="CO34" i="5"/>
  <c r="CN34" i="5"/>
  <c r="CM34" i="5"/>
  <c r="CQ33" i="5"/>
  <c r="CP33" i="5"/>
  <c r="CO33" i="5"/>
  <c r="CN33" i="5"/>
  <c r="CM33" i="5"/>
  <c r="CQ32" i="5"/>
  <c r="CP32" i="5"/>
  <c r="CO32" i="5"/>
  <c r="CN32" i="5"/>
  <c r="CM32" i="5"/>
  <c r="CQ31" i="5"/>
  <c r="CP31" i="5"/>
  <c r="CO31" i="5"/>
  <c r="CN31" i="5"/>
  <c r="CM31" i="5"/>
  <c r="CQ30" i="5"/>
  <c r="CP30" i="5"/>
  <c r="CO30" i="5"/>
  <c r="CN30" i="5"/>
  <c r="CM30" i="5"/>
  <c r="CQ29" i="5"/>
  <c r="CP29" i="5"/>
  <c r="CO29" i="5"/>
  <c r="CN29" i="5"/>
  <c r="CM29" i="5"/>
  <c r="CQ28" i="5"/>
  <c r="CP28" i="5"/>
  <c r="CO28" i="5"/>
  <c r="CN28" i="5"/>
  <c r="CM28" i="5"/>
  <c r="CQ27" i="5"/>
  <c r="CP27" i="5"/>
  <c r="CO27" i="5"/>
  <c r="CN27" i="5"/>
  <c r="CM27" i="5"/>
  <c r="CQ26" i="5"/>
  <c r="CP26" i="5"/>
  <c r="CO26" i="5"/>
  <c r="CN26" i="5"/>
  <c r="CM26" i="5"/>
  <c r="CQ25" i="5"/>
  <c r="CP25" i="5"/>
  <c r="CO25" i="5"/>
  <c r="CN25" i="5"/>
  <c r="CM25" i="5"/>
  <c r="CQ24" i="5"/>
  <c r="CP24" i="5"/>
  <c r="CO24" i="5"/>
  <c r="CN24" i="5"/>
  <c r="CM24" i="5"/>
  <c r="CQ23" i="5"/>
  <c r="CP23" i="5"/>
  <c r="CO23" i="5"/>
  <c r="CN23" i="5"/>
  <c r="CM23" i="5"/>
  <c r="CP22" i="5"/>
  <c r="CO22" i="5"/>
  <c r="CN22" i="5"/>
  <c r="CM22" i="5"/>
  <c r="CP21" i="5"/>
  <c r="CO21" i="5"/>
  <c r="CN21" i="5"/>
  <c r="CM21" i="5"/>
  <c r="CP20" i="5"/>
  <c r="CO20" i="5"/>
  <c r="CN20" i="5"/>
  <c r="CM20" i="5"/>
  <c r="CP19" i="5"/>
  <c r="CO19" i="5"/>
  <c r="CN19" i="5"/>
  <c r="CM19" i="5"/>
  <c r="AZ160" i="5"/>
  <c r="AX160" i="5"/>
  <c r="AW160" i="5"/>
  <c r="AZ159" i="5"/>
  <c r="AX159" i="5"/>
  <c r="AW159" i="5"/>
  <c r="AZ158" i="5"/>
  <c r="AX158" i="5"/>
  <c r="AW158" i="5"/>
  <c r="AZ157" i="5"/>
  <c r="AX157" i="5"/>
  <c r="AW157" i="5"/>
  <c r="AZ156" i="5"/>
  <c r="AX156" i="5"/>
  <c r="AW156" i="5"/>
  <c r="AZ155" i="5"/>
  <c r="AX155" i="5"/>
  <c r="AW155" i="5"/>
  <c r="AZ154" i="5"/>
  <c r="AY154" i="5"/>
  <c r="AX154" i="5"/>
  <c r="AW154" i="5"/>
  <c r="AZ153" i="5"/>
  <c r="AY153" i="5"/>
  <c r="AX153" i="5"/>
  <c r="AW153" i="5"/>
  <c r="AZ152" i="5"/>
  <c r="AY152" i="5"/>
  <c r="AX152" i="5"/>
  <c r="AW152" i="5"/>
  <c r="AZ151" i="5"/>
  <c r="AY151" i="5"/>
  <c r="AX151" i="5"/>
  <c r="AW151" i="5"/>
  <c r="AZ150" i="5"/>
  <c r="AY150" i="5"/>
  <c r="AX150" i="5"/>
  <c r="AW150" i="5"/>
  <c r="AZ149" i="5"/>
  <c r="AY149" i="5"/>
  <c r="AX149" i="5"/>
  <c r="AW149" i="5"/>
  <c r="AZ148" i="5"/>
  <c r="AY148" i="5"/>
  <c r="AX148" i="5"/>
  <c r="AW148" i="5"/>
  <c r="AZ147" i="5"/>
  <c r="AY147" i="5"/>
  <c r="AX147" i="5"/>
  <c r="AW147" i="5"/>
  <c r="AZ146" i="5"/>
  <c r="AY146" i="5"/>
  <c r="AX146" i="5"/>
  <c r="AW146" i="5"/>
  <c r="AZ145" i="5"/>
  <c r="AY145" i="5"/>
  <c r="AX145" i="5"/>
  <c r="AW145" i="5"/>
  <c r="AZ144" i="5"/>
  <c r="AY144" i="5"/>
  <c r="AX144" i="5"/>
  <c r="AW144" i="5"/>
  <c r="AZ143" i="5"/>
  <c r="AY143" i="5"/>
  <c r="AX143" i="5"/>
  <c r="AW143" i="5"/>
  <c r="AZ142" i="5"/>
  <c r="AY142" i="5"/>
  <c r="AX142" i="5"/>
  <c r="AW142" i="5"/>
  <c r="AZ141" i="5"/>
  <c r="AY141" i="5"/>
  <c r="AX141" i="5"/>
  <c r="AW141" i="5"/>
  <c r="AZ140" i="5"/>
  <c r="AY140" i="5"/>
  <c r="AX140" i="5"/>
  <c r="AW140" i="5"/>
  <c r="AZ139" i="5"/>
  <c r="AY139" i="5"/>
  <c r="AX139" i="5"/>
  <c r="AW139" i="5"/>
  <c r="AZ138" i="5"/>
  <c r="AY138" i="5"/>
  <c r="AX138" i="5"/>
  <c r="AW138" i="5"/>
  <c r="AZ137" i="5"/>
  <c r="AY137" i="5"/>
  <c r="AX137" i="5"/>
  <c r="AW137" i="5"/>
  <c r="AZ136" i="5"/>
  <c r="AY136" i="5"/>
  <c r="AX136" i="5"/>
  <c r="AW136" i="5"/>
  <c r="BA135" i="5"/>
  <c r="AZ135" i="5"/>
  <c r="AY135" i="5"/>
  <c r="AX135" i="5"/>
  <c r="AW135" i="5"/>
  <c r="BA134" i="5"/>
  <c r="AZ134" i="5"/>
  <c r="AY134" i="5"/>
  <c r="AX134" i="5"/>
  <c r="AW134" i="5"/>
  <c r="BA133" i="5"/>
  <c r="AZ133" i="5"/>
  <c r="AY133" i="5"/>
  <c r="AX133" i="5"/>
  <c r="AW133" i="5"/>
  <c r="BA132" i="5"/>
  <c r="AZ132" i="5"/>
  <c r="AY132" i="5"/>
  <c r="AX132" i="5"/>
  <c r="AW132" i="5"/>
  <c r="BA131" i="5"/>
  <c r="AZ131" i="5"/>
  <c r="AY131" i="5"/>
  <c r="AX131" i="5"/>
  <c r="AW131" i="5"/>
  <c r="BA130" i="5"/>
  <c r="AZ130" i="5"/>
  <c r="AY130" i="5"/>
  <c r="AX130" i="5"/>
  <c r="AW130" i="5"/>
  <c r="BA129" i="5"/>
  <c r="AZ129" i="5"/>
  <c r="AY129" i="5"/>
  <c r="AX129" i="5"/>
  <c r="AW129" i="5"/>
  <c r="BA128" i="5"/>
  <c r="AZ128" i="5"/>
  <c r="AY128" i="5"/>
  <c r="AX128" i="5"/>
  <c r="AW128" i="5"/>
  <c r="BA127" i="5"/>
  <c r="AZ127" i="5"/>
  <c r="AY127" i="5"/>
  <c r="AX127" i="5"/>
  <c r="AW127" i="5"/>
  <c r="BA126" i="5"/>
  <c r="AZ126" i="5"/>
  <c r="AY126" i="5"/>
  <c r="AX126" i="5"/>
  <c r="AW126" i="5"/>
  <c r="BA125" i="5"/>
  <c r="AZ125" i="5"/>
  <c r="AY125" i="5"/>
  <c r="AX125" i="5"/>
  <c r="AW125" i="5"/>
  <c r="BA124" i="5"/>
  <c r="AZ124" i="5"/>
  <c r="AY124" i="5"/>
  <c r="AX124" i="5"/>
  <c r="AW124" i="5"/>
  <c r="BA123" i="5"/>
  <c r="AZ123" i="5"/>
  <c r="AY123" i="5"/>
  <c r="AX123" i="5"/>
  <c r="AW123" i="5"/>
  <c r="BA122" i="5"/>
  <c r="AZ122" i="5"/>
  <c r="AY122" i="5"/>
  <c r="AX122" i="5"/>
  <c r="AW122" i="5"/>
  <c r="BA121" i="5"/>
  <c r="AZ121" i="5"/>
  <c r="AY121" i="5"/>
  <c r="AX121" i="5"/>
  <c r="AW121" i="5"/>
  <c r="BA120" i="5"/>
  <c r="AZ120" i="5"/>
  <c r="AY120" i="5"/>
  <c r="AX120" i="5"/>
  <c r="AW120" i="5"/>
  <c r="BA119" i="5"/>
  <c r="AZ119" i="5"/>
  <c r="AY119" i="5"/>
  <c r="AX119" i="5"/>
  <c r="AW119" i="5"/>
  <c r="BA118" i="5"/>
  <c r="AZ118" i="5"/>
  <c r="AY118" i="5"/>
  <c r="AX118" i="5"/>
  <c r="AW118" i="5"/>
  <c r="BA117" i="5"/>
  <c r="AZ117" i="5"/>
  <c r="AY117" i="5"/>
  <c r="AX117" i="5"/>
  <c r="AW117" i="5"/>
  <c r="BA116" i="5"/>
  <c r="AZ116" i="5"/>
  <c r="AY116" i="5"/>
  <c r="AX116" i="5"/>
  <c r="AW116" i="5"/>
  <c r="BA115" i="5"/>
  <c r="AZ115" i="5"/>
  <c r="AY115" i="5"/>
  <c r="AX115" i="5"/>
  <c r="AW115" i="5"/>
  <c r="BA114" i="5"/>
  <c r="AZ114" i="5"/>
  <c r="AY114" i="5"/>
  <c r="AX114" i="5"/>
  <c r="AW114" i="5"/>
  <c r="BA113" i="5"/>
  <c r="AZ113" i="5"/>
  <c r="AY113" i="5"/>
  <c r="AX113" i="5"/>
  <c r="AW113" i="5"/>
  <c r="BA112" i="5"/>
  <c r="AZ112" i="5"/>
  <c r="AY112" i="5"/>
  <c r="AX112" i="5"/>
  <c r="AW112" i="5"/>
  <c r="BA111" i="5"/>
  <c r="AZ111" i="5"/>
  <c r="AY111" i="5"/>
  <c r="AX111" i="5"/>
  <c r="AW111" i="5"/>
  <c r="BA110" i="5"/>
  <c r="AZ110" i="5"/>
  <c r="AY110" i="5"/>
  <c r="AX110" i="5"/>
  <c r="AW110" i="5"/>
  <c r="BA109" i="5"/>
  <c r="AZ109" i="5"/>
  <c r="AY109" i="5"/>
  <c r="AX109" i="5"/>
  <c r="AW109" i="5"/>
  <c r="BA108" i="5"/>
  <c r="AZ108" i="5"/>
  <c r="AY108" i="5"/>
  <c r="AX108" i="5"/>
  <c r="AW108" i="5"/>
  <c r="BA107" i="5"/>
  <c r="AZ107" i="5"/>
  <c r="AY107" i="5"/>
  <c r="AX107" i="5"/>
  <c r="AW107" i="5"/>
  <c r="BA106" i="5"/>
  <c r="AZ106" i="5"/>
  <c r="AY106" i="5"/>
  <c r="AX106" i="5"/>
  <c r="AW106" i="5"/>
  <c r="BA105" i="5"/>
  <c r="AZ105" i="5"/>
  <c r="AY105" i="5"/>
  <c r="AX105" i="5"/>
  <c r="AW105" i="5"/>
  <c r="BA104" i="5"/>
  <c r="AZ104" i="5"/>
  <c r="AY104" i="5"/>
  <c r="AX104" i="5"/>
  <c r="AW104" i="5"/>
  <c r="BA103" i="5"/>
  <c r="AZ103" i="5"/>
  <c r="AY103" i="5"/>
  <c r="AX103" i="5"/>
  <c r="AW103" i="5"/>
  <c r="BA102" i="5"/>
  <c r="AZ102" i="5"/>
  <c r="AY102" i="5"/>
  <c r="AX102" i="5"/>
  <c r="AW102" i="5"/>
  <c r="BA101" i="5"/>
  <c r="AZ101" i="5"/>
  <c r="AY101" i="5"/>
  <c r="AX101" i="5"/>
  <c r="AW101" i="5"/>
  <c r="BA100" i="5"/>
  <c r="AZ100" i="5"/>
  <c r="AY100" i="5"/>
  <c r="AX100" i="5"/>
  <c r="AW100" i="5"/>
  <c r="BA99" i="5"/>
  <c r="AZ99" i="5"/>
  <c r="AY99" i="5"/>
  <c r="AX99" i="5"/>
  <c r="AW99" i="5"/>
  <c r="BA98" i="5"/>
  <c r="AZ98" i="5"/>
  <c r="AY98" i="5"/>
  <c r="AX98" i="5"/>
  <c r="AW98" i="5"/>
  <c r="BA97" i="5"/>
  <c r="AZ97" i="5"/>
  <c r="AY97" i="5"/>
  <c r="AX97" i="5"/>
  <c r="AW97" i="5"/>
  <c r="BA96" i="5"/>
  <c r="AZ96" i="5"/>
  <c r="AY96" i="5"/>
  <c r="AX96" i="5"/>
  <c r="AW96" i="5"/>
  <c r="BA95" i="5"/>
  <c r="AZ95" i="5"/>
  <c r="AY95" i="5"/>
  <c r="AX95" i="5"/>
  <c r="AW95" i="5"/>
  <c r="BA94" i="5"/>
  <c r="AZ94" i="5"/>
  <c r="AY94" i="5"/>
  <c r="AX94" i="5"/>
  <c r="AW94" i="5"/>
  <c r="BA93" i="5"/>
  <c r="AZ93" i="5"/>
  <c r="AY93" i="5"/>
  <c r="AX93" i="5"/>
  <c r="AW93" i="5"/>
  <c r="BA92" i="5"/>
  <c r="AZ92" i="5"/>
  <c r="AY92" i="5"/>
  <c r="AX92" i="5"/>
  <c r="AW92" i="5"/>
  <c r="BA91" i="5"/>
  <c r="AZ91" i="5"/>
  <c r="AY91" i="5"/>
  <c r="AX91" i="5"/>
  <c r="AW91" i="5"/>
  <c r="BA90" i="5"/>
  <c r="AZ90" i="5"/>
  <c r="AY90" i="5"/>
  <c r="AX90" i="5"/>
  <c r="AW90" i="5"/>
  <c r="BA89" i="5"/>
  <c r="AZ89" i="5"/>
  <c r="AY89" i="5"/>
  <c r="AX89" i="5"/>
  <c r="AW89" i="5"/>
  <c r="BA88" i="5"/>
  <c r="AZ88" i="5"/>
  <c r="AY88" i="5"/>
  <c r="AX88" i="5"/>
  <c r="AW88" i="5"/>
  <c r="BA87" i="5"/>
  <c r="AZ87" i="5"/>
  <c r="AY87" i="5"/>
  <c r="AX87" i="5"/>
  <c r="AW87" i="5"/>
  <c r="BA86" i="5"/>
  <c r="AZ86" i="5"/>
  <c r="AY86" i="5"/>
  <c r="AX86" i="5"/>
  <c r="AW86" i="5"/>
  <c r="BA85" i="5"/>
  <c r="AZ85" i="5"/>
  <c r="AY85" i="5"/>
  <c r="AX85" i="5"/>
  <c r="AW85" i="5"/>
  <c r="BA84" i="5"/>
  <c r="AZ84" i="5"/>
  <c r="AY84" i="5"/>
  <c r="AX84" i="5"/>
  <c r="AW84" i="5"/>
  <c r="BA83" i="5"/>
  <c r="AZ83" i="5"/>
  <c r="AY83" i="5"/>
  <c r="AX83" i="5"/>
  <c r="AW83" i="5"/>
  <c r="BA82" i="5"/>
  <c r="AZ82" i="5"/>
  <c r="AY82" i="5"/>
  <c r="AX82" i="5"/>
  <c r="AW82" i="5"/>
  <c r="BA81" i="5"/>
  <c r="AZ81" i="5"/>
  <c r="AY81" i="5"/>
  <c r="AX81" i="5"/>
  <c r="AW81" i="5"/>
  <c r="BA80" i="5"/>
  <c r="AZ80" i="5"/>
  <c r="AY80" i="5"/>
  <c r="AX80" i="5"/>
  <c r="AW80" i="5"/>
  <c r="BA79" i="5"/>
  <c r="AZ79" i="5"/>
  <c r="AY79" i="5"/>
  <c r="AX79" i="5"/>
  <c r="AW79" i="5"/>
  <c r="BA78" i="5"/>
  <c r="AZ78" i="5"/>
  <c r="AY78" i="5"/>
  <c r="AX78" i="5"/>
  <c r="AW78" i="5"/>
  <c r="BA77" i="5"/>
  <c r="AZ77" i="5"/>
  <c r="AY77" i="5"/>
  <c r="AX77" i="5"/>
  <c r="AW77" i="5"/>
  <c r="BA76" i="5"/>
  <c r="AZ76" i="5"/>
  <c r="AY76" i="5"/>
  <c r="AX76" i="5"/>
  <c r="AW76" i="5"/>
  <c r="BA75" i="5"/>
  <c r="AZ75" i="5"/>
  <c r="AY75" i="5"/>
  <c r="AX75" i="5"/>
  <c r="AW75" i="5"/>
  <c r="BA74" i="5"/>
  <c r="AZ74" i="5"/>
  <c r="AY74" i="5"/>
  <c r="AX74" i="5"/>
  <c r="AW74" i="5"/>
  <c r="BA73" i="5"/>
  <c r="AZ73" i="5"/>
  <c r="AY73" i="5"/>
  <c r="AX73" i="5"/>
  <c r="AW73" i="5"/>
  <c r="BA72" i="5"/>
  <c r="AZ72" i="5"/>
  <c r="AY72" i="5"/>
  <c r="AX72" i="5"/>
  <c r="AW72" i="5"/>
  <c r="BA71" i="5"/>
  <c r="AZ71" i="5"/>
  <c r="AY71" i="5"/>
  <c r="AX71" i="5"/>
  <c r="AW71" i="5"/>
  <c r="BA70" i="5"/>
  <c r="AZ70" i="5"/>
  <c r="AY70" i="5"/>
  <c r="AX70" i="5"/>
  <c r="AW70" i="5"/>
  <c r="BA69" i="5"/>
  <c r="AZ69" i="5"/>
  <c r="AY69" i="5"/>
  <c r="AX69" i="5"/>
  <c r="AW69" i="5"/>
  <c r="BA68" i="5"/>
  <c r="AZ68" i="5"/>
  <c r="AY68" i="5"/>
  <c r="AX68" i="5"/>
  <c r="AW68" i="5"/>
  <c r="BA67" i="5"/>
  <c r="AZ67" i="5"/>
  <c r="AY67" i="5"/>
  <c r="AX67" i="5"/>
  <c r="AW67" i="5"/>
  <c r="BA66" i="5"/>
  <c r="AZ66" i="5"/>
  <c r="AY66" i="5"/>
  <c r="AX66" i="5"/>
  <c r="AW66" i="5"/>
  <c r="BA65" i="5"/>
  <c r="AZ65" i="5"/>
  <c r="AY65" i="5"/>
  <c r="AX65" i="5"/>
  <c r="AW65" i="5"/>
  <c r="BA64" i="5"/>
  <c r="AZ64" i="5"/>
  <c r="AY64" i="5"/>
  <c r="AX64" i="5"/>
  <c r="AW64" i="5"/>
  <c r="BA63" i="5"/>
  <c r="AZ63" i="5"/>
  <c r="AY63" i="5"/>
  <c r="AX63" i="5"/>
  <c r="AW63" i="5"/>
  <c r="BA62" i="5"/>
  <c r="AZ62" i="5"/>
  <c r="AY62" i="5"/>
  <c r="AX62" i="5"/>
  <c r="AW62" i="5"/>
  <c r="BA61" i="5"/>
  <c r="AZ61" i="5"/>
  <c r="AY61" i="5"/>
  <c r="AX61" i="5"/>
  <c r="AW61" i="5"/>
  <c r="BA60" i="5"/>
  <c r="AZ60" i="5"/>
  <c r="AY60" i="5"/>
  <c r="AX60" i="5"/>
  <c r="AW60" i="5"/>
  <c r="AZ59" i="5"/>
  <c r="AY59" i="5"/>
  <c r="AX59" i="5"/>
  <c r="AW59" i="5"/>
  <c r="AZ58" i="5"/>
  <c r="AY58" i="5"/>
  <c r="AX58" i="5"/>
  <c r="AW58" i="5"/>
  <c r="AZ57" i="5"/>
  <c r="AY57" i="5"/>
  <c r="AX57" i="5"/>
  <c r="AW57" i="5"/>
  <c r="AZ56" i="5"/>
  <c r="AY56" i="5"/>
  <c r="AX56" i="5"/>
  <c r="AW56" i="5"/>
  <c r="AZ55" i="5"/>
  <c r="AY55" i="5"/>
  <c r="AX55" i="5"/>
  <c r="AW55" i="5"/>
  <c r="AZ54" i="5"/>
  <c r="AY54" i="5"/>
  <c r="AX54" i="5"/>
  <c r="AW54" i="5"/>
  <c r="AZ53" i="5"/>
  <c r="AY53" i="5"/>
  <c r="AX53" i="5"/>
  <c r="AW53" i="5"/>
  <c r="AZ52" i="5"/>
  <c r="AY52" i="5"/>
  <c r="AX52" i="5"/>
  <c r="AW52" i="5"/>
  <c r="AZ51" i="5"/>
  <c r="AY51" i="5"/>
  <c r="AX51" i="5"/>
  <c r="AW51" i="5"/>
  <c r="AZ50" i="5"/>
  <c r="AY50" i="5"/>
  <c r="AX50" i="5"/>
  <c r="AW50" i="5"/>
  <c r="AZ49" i="5"/>
  <c r="AY49" i="5"/>
  <c r="AX49" i="5"/>
  <c r="AW49" i="5"/>
  <c r="AZ48" i="5"/>
  <c r="AY48" i="5"/>
  <c r="AX48" i="5"/>
  <c r="AW48" i="5"/>
  <c r="BA47" i="5"/>
  <c r="AZ47" i="5"/>
  <c r="AY47" i="5"/>
  <c r="AX47" i="5"/>
  <c r="AW47" i="5"/>
  <c r="BA46" i="5"/>
  <c r="AZ46" i="5"/>
  <c r="AY46" i="5"/>
  <c r="AX46" i="5"/>
  <c r="AW46" i="5"/>
  <c r="BA45" i="5"/>
  <c r="AZ45" i="5"/>
  <c r="AY45" i="5"/>
  <c r="AX45" i="5"/>
  <c r="AW45" i="5"/>
  <c r="BA44" i="5"/>
  <c r="AZ44" i="5"/>
  <c r="AY44" i="5"/>
  <c r="AX44" i="5"/>
  <c r="AW44" i="5"/>
  <c r="BA43" i="5"/>
  <c r="AZ43" i="5"/>
  <c r="AY43" i="5"/>
  <c r="AX43" i="5"/>
  <c r="AW43" i="5"/>
  <c r="BA42" i="5"/>
  <c r="AZ42" i="5"/>
  <c r="AY42" i="5"/>
  <c r="AX42" i="5"/>
  <c r="AW42" i="5"/>
  <c r="BA41" i="5"/>
  <c r="AZ41" i="5"/>
  <c r="AY41" i="5"/>
  <c r="AX41" i="5"/>
  <c r="AW41" i="5"/>
  <c r="BA40" i="5"/>
  <c r="AZ40" i="5"/>
  <c r="AY40" i="5"/>
  <c r="AX40" i="5"/>
  <c r="AW40" i="5"/>
  <c r="BA39" i="5"/>
  <c r="AZ39" i="5"/>
  <c r="AY39" i="5"/>
  <c r="AX39" i="5"/>
  <c r="AW39" i="5"/>
  <c r="BA38" i="5"/>
  <c r="AZ38" i="5"/>
  <c r="AY38" i="5"/>
  <c r="AX38" i="5"/>
  <c r="AW38" i="5"/>
  <c r="BA37" i="5"/>
  <c r="AZ37" i="5"/>
  <c r="AY37" i="5"/>
  <c r="AX37" i="5"/>
  <c r="AW37" i="5"/>
  <c r="BA36" i="5"/>
  <c r="AZ36" i="5"/>
  <c r="AY36" i="5"/>
  <c r="AX36" i="5"/>
  <c r="AW36" i="5"/>
  <c r="BA35" i="5"/>
  <c r="AZ35" i="5"/>
  <c r="AY35" i="5"/>
  <c r="AX35" i="5"/>
  <c r="AW35" i="5"/>
  <c r="BA34" i="5"/>
  <c r="AZ34" i="5"/>
  <c r="AY34" i="5"/>
  <c r="AX34" i="5"/>
  <c r="AW34" i="5"/>
  <c r="BA33" i="5"/>
  <c r="AZ33" i="5"/>
  <c r="AY33" i="5"/>
  <c r="AX33" i="5"/>
  <c r="AW33" i="5"/>
  <c r="BA32" i="5"/>
  <c r="AZ32" i="5"/>
  <c r="AY32" i="5"/>
  <c r="AX32" i="5"/>
  <c r="AW32" i="5"/>
  <c r="BA31" i="5"/>
  <c r="AZ31" i="5"/>
  <c r="AY31" i="5"/>
  <c r="AX31" i="5"/>
  <c r="AW31" i="5"/>
  <c r="BA30" i="5"/>
  <c r="AZ30" i="5"/>
  <c r="AY30" i="5"/>
  <c r="AX30" i="5"/>
  <c r="AW30" i="5"/>
  <c r="BA29" i="5"/>
  <c r="AZ29" i="5"/>
  <c r="AY29" i="5"/>
  <c r="AX29" i="5"/>
  <c r="AW29" i="5"/>
  <c r="BA28" i="5"/>
  <c r="AZ28" i="5"/>
  <c r="AY28" i="5"/>
  <c r="AX28" i="5"/>
  <c r="AW28" i="5"/>
  <c r="BA27" i="5"/>
  <c r="AZ27" i="5"/>
  <c r="AY27" i="5"/>
  <c r="AX27" i="5"/>
  <c r="AW27" i="5"/>
  <c r="BA26" i="5"/>
  <c r="AZ26" i="5"/>
  <c r="AY26" i="5"/>
  <c r="AX26" i="5"/>
  <c r="AW26" i="5"/>
  <c r="BA25" i="5"/>
  <c r="AZ25" i="5"/>
  <c r="AY25" i="5"/>
  <c r="AX25" i="5"/>
  <c r="AW25" i="5"/>
  <c r="BA24" i="5"/>
  <c r="AZ24" i="5"/>
  <c r="AY24" i="5"/>
  <c r="AX24" i="5"/>
  <c r="AW24" i="5"/>
  <c r="BA23" i="5"/>
  <c r="AZ23" i="5"/>
  <c r="AY23" i="5"/>
  <c r="AX23" i="5"/>
  <c r="AW23" i="5"/>
  <c r="AZ22" i="5"/>
  <c r="AY22" i="5"/>
  <c r="AX22" i="5"/>
  <c r="AW22" i="5"/>
  <c r="AZ21" i="5"/>
  <c r="AY21" i="5"/>
  <c r="AX21" i="5"/>
  <c r="AW21" i="5"/>
  <c r="AZ20" i="5"/>
  <c r="AY20" i="5"/>
  <c r="AX20" i="5"/>
  <c r="AW20" i="5"/>
  <c r="AZ19" i="5"/>
  <c r="AY19" i="5"/>
  <c r="AX19" i="5"/>
  <c r="AW19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19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9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20" i="5"/>
  <c r="H21" i="5"/>
  <c r="H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B7" i="2" l="1"/>
  <c r="I6" i="2"/>
  <c r="I5" i="2"/>
  <c r="I4" i="2"/>
  <c r="C3" i="2"/>
  <c r="C39" i="2"/>
  <c r="C26" i="2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  <c r="N26" i="2"/>
  <c r="N25" i="2"/>
  <c r="N23" i="2"/>
  <c r="K46" i="2" l="1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H22" i="2"/>
  <c r="I22" i="2" s="1"/>
  <c r="J22" i="2" s="1"/>
  <c r="D45" i="2"/>
  <c r="C46" i="2" s="1"/>
  <c r="H46" i="2" s="1"/>
  <c r="I46" i="2" s="1"/>
  <c r="J46" i="2" s="1"/>
  <c r="C45" i="2"/>
  <c r="H45" i="2" s="1"/>
  <c r="I45" i="2" s="1"/>
  <c r="J45" i="2" s="1"/>
  <c r="C44" i="2"/>
  <c r="H44" i="2" s="1"/>
  <c r="I44" i="2" s="1"/>
  <c r="J44" i="2" s="1"/>
  <c r="C43" i="2"/>
  <c r="H43" i="2" s="1"/>
  <c r="I43" i="2" s="1"/>
  <c r="J43" i="2" s="1"/>
  <c r="C42" i="2"/>
  <c r="H42" i="2" s="1"/>
  <c r="I42" i="2" s="1"/>
  <c r="J42" i="2" s="1"/>
  <c r="C41" i="2"/>
  <c r="H41" i="2" s="1"/>
  <c r="I41" i="2" s="1"/>
  <c r="J41" i="2" s="1"/>
  <c r="C40" i="2"/>
  <c r="H40" i="2" s="1"/>
  <c r="I40" i="2" s="1"/>
  <c r="J40" i="2" s="1"/>
  <c r="H39" i="2"/>
  <c r="I39" i="2" s="1"/>
  <c r="J39" i="2" s="1"/>
  <c r="C38" i="2"/>
  <c r="H38" i="2" s="1"/>
  <c r="I38" i="2" s="1"/>
  <c r="J38" i="2" s="1"/>
  <c r="C37" i="2"/>
  <c r="H37" i="2" s="1"/>
  <c r="I37" i="2" s="1"/>
  <c r="J37" i="2" s="1"/>
  <c r="C36" i="2"/>
  <c r="H36" i="2" s="1"/>
  <c r="I36" i="2" s="1"/>
  <c r="J36" i="2" s="1"/>
  <c r="C35" i="2"/>
  <c r="H35" i="2" s="1"/>
  <c r="I35" i="2" s="1"/>
  <c r="J35" i="2" s="1"/>
  <c r="C34" i="2"/>
  <c r="H34" i="2" s="1"/>
  <c r="I34" i="2" s="1"/>
  <c r="J34" i="2" s="1"/>
  <c r="C33" i="2"/>
  <c r="H33" i="2" s="1"/>
  <c r="I33" i="2" s="1"/>
  <c r="J33" i="2" s="1"/>
  <c r="C32" i="2"/>
  <c r="H32" i="2" s="1"/>
  <c r="I32" i="2" s="1"/>
  <c r="J32" i="2" s="1"/>
  <c r="C31" i="2"/>
  <c r="H31" i="2" s="1"/>
  <c r="I31" i="2" s="1"/>
  <c r="J31" i="2" s="1"/>
  <c r="C30" i="2"/>
  <c r="H30" i="2" s="1"/>
  <c r="I30" i="2" s="1"/>
  <c r="J30" i="2" s="1"/>
  <c r="C29" i="2"/>
  <c r="H29" i="2" s="1"/>
  <c r="I29" i="2" s="1"/>
  <c r="J29" i="2" s="1"/>
  <c r="C28" i="2"/>
  <c r="H28" i="2" s="1"/>
  <c r="I28" i="2" s="1"/>
  <c r="J28" i="2" s="1"/>
  <c r="C27" i="2"/>
  <c r="H27" i="2" s="1"/>
  <c r="I27" i="2" s="1"/>
  <c r="J27" i="2" s="1"/>
  <c r="H26" i="2"/>
  <c r="I26" i="2" s="1"/>
  <c r="J26" i="2" s="1"/>
  <c r="C25" i="2"/>
  <c r="H25" i="2" s="1"/>
  <c r="I25" i="2" s="1"/>
  <c r="J25" i="2" s="1"/>
  <c r="C24" i="2"/>
  <c r="H24" i="2" s="1"/>
  <c r="I24" i="2" s="1"/>
  <c r="J24" i="2" s="1"/>
  <c r="C23" i="2"/>
  <c r="H23" i="2" s="1"/>
  <c r="I23" i="2" s="1"/>
  <c r="J23" i="2" s="1"/>
  <c r="D21" i="2"/>
  <c r="C21" i="2"/>
</calcChain>
</file>

<file path=xl/sharedStrings.xml><?xml version="1.0" encoding="utf-8"?>
<sst xmlns="http://schemas.openxmlformats.org/spreadsheetml/2006/main" count="762" uniqueCount="192">
  <si>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</si>
  <si>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</si>
  <si>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</si>
  <si>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</si>
  <si>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</si>
  <si>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</si>
  <si>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</si>
  <si>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</si>
  <si>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</si>
  <si>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</si>
  <si>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</si>
  <si>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</si>
  <si>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</si>
  <si>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</si>
  <si>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</si>
  <si>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</si>
  <si>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</si>
  <si>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MAIN STRUCTURE</t>
  </si>
  <si>
    <t>m</t>
  </si>
  <si>
    <t>APPURTENCES/MARINEGROWTH</t>
  </si>
  <si>
    <t>z top</t>
  </si>
  <si>
    <t>z_bot</t>
  </si>
  <si>
    <t>cd</t>
  </si>
  <si>
    <t>cm</t>
  </si>
  <si>
    <t xml:space="preserve">marine_growth </t>
  </si>
  <si>
    <t>[mLAT]</t>
  </si>
  <si>
    <t>[kg]</t>
  </si>
  <si>
    <t>comment</t>
  </si>
  <si>
    <t>Marine Growth</t>
  </si>
  <si>
    <t>Point Mass</t>
  </si>
  <si>
    <t>Diameter</t>
  </si>
  <si>
    <t>Orienation</t>
  </si>
  <si>
    <t>x-offset</t>
  </si>
  <si>
    <t>Name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</si>
  <si>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</si>
  <si>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</si>
  <si>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</si>
  <si>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</si>
  <si>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</si>
  <si>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</si>
  <si>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</si>
  <si>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</si>
  <si>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</si>
  <si>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</si>
  <si>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</si>
  <si>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</si>
  <si>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</si>
  <si>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</si>
  <si>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</si>
  <si>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</si>
  <si>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</si>
  <si>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</si>
  <si>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</si>
  <si>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</si>
  <si>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</si>
  <si>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</si>
  <si>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</si>
  <si>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</si>
  <si>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</si>
  <si>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>Upper ladder</t>
  </si>
  <si>
    <t xml:space="preserve">Output Structure (read only) </t>
  </si>
  <si>
    <t>&lt;&lt;&lt;&lt;&lt;&lt;&lt;&lt;</t>
  </si>
  <si>
    <t>Plots</t>
  </si>
  <si>
    <t>[deg]</t>
  </si>
  <si>
    <t>Model Name:</t>
  </si>
  <si>
    <t>Turbine Data</t>
  </si>
  <si>
    <t>Type</t>
  </si>
  <si>
    <t>GE-13.0-210</t>
  </si>
  <si>
    <t>Grouted connection</t>
  </si>
  <si>
    <t>Mass RNA [t]</t>
  </si>
  <si>
    <t>Material</t>
  </si>
  <si>
    <t>E-Module [N/m^2]</t>
  </si>
  <si>
    <t>Density [kg/m^3]</t>
  </si>
  <si>
    <t>Shear Module [N/m^2]</t>
  </si>
  <si>
    <t>Dimensional tolerance for node generating [m] :</t>
  </si>
  <si>
    <t>Inertia RNA [kgm^2]</t>
  </si>
  <si>
    <t>Steel</t>
  </si>
  <si>
    <t>Water level :</t>
  </si>
  <si>
    <t>LAT</t>
  </si>
  <si>
    <t>Offset TT_COG [m]</t>
  </si>
  <si>
    <t>Grout</t>
  </si>
  <si>
    <t>Steel Tower</t>
  </si>
  <si>
    <t>Tower Data</t>
  </si>
  <si>
    <t>DROPDOWN</t>
  </si>
  <si>
    <t>Offset</t>
  </si>
  <si>
    <t>…</t>
  </si>
  <si>
    <t>Output Structure</t>
  </si>
  <si>
    <t>ODER</t>
  </si>
  <si>
    <t>Cd Cm</t>
  </si>
  <si>
    <t>Point Masses</t>
  </si>
  <si>
    <t xml:space="preserve">Zusätzliche Eingaben 2 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</si>
  <si>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</si>
  <si>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</si>
  <si>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</si>
  <si>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</si>
  <si>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</si>
  <si>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</si>
  <si>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</si>
  <si>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</si>
  <si>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</si>
  <si>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</si>
  <si>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</si>
  <si>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</si>
  <si>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</si>
  <si>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</si>
  <si>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</si>
  <si>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</si>
  <si>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</si>
  <si>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</si>
  <si>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</si>
  <si>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</si>
  <si>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</si>
  <si>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</si>
  <si>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</si>
  <si>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</si>
  <si>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</si>
  <si>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</si>
  <si>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</si>
  <si>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</si>
  <si>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(edits change db entry when saved!!)</t>
  </si>
  <si>
    <t>TOWER</t>
  </si>
  <si>
    <t>Phase</t>
  </si>
  <si>
    <t>waterdepth</t>
  </si>
  <si>
    <t>Identifier</t>
  </si>
  <si>
    <t>Project ID</t>
  </si>
  <si>
    <t>Structure ID</t>
  </si>
  <si>
    <t>comments</t>
  </si>
  <si>
    <t>24A535_FEED_DP-A1_L0_G0_S0</t>
  </si>
  <si>
    <t>24A535</t>
  </si>
  <si>
    <t>FEED</t>
  </si>
  <si>
    <t>DP-A1_L0_G0_S0</t>
  </si>
  <si>
    <t>-</t>
  </si>
  <si>
    <t>24A535_FEED_DP-A1_L0_G1_S1</t>
  </si>
  <si>
    <t>24A536</t>
  </si>
  <si>
    <t>DP-A1_L0_G1_S1</t>
  </si>
  <si>
    <t>ID</t>
  </si>
  <si>
    <t>Description</t>
  </si>
  <si>
    <t>Elevation [mLAT]</t>
  </si>
  <si>
    <t>SCF [mm]</t>
  </si>
  <si>
    <t>Location</t>
  </si>
  <si>
    <t>Opening factor</t>
  </si>
  <si>
    <t>I</t>
  </si>
  <si>
    <t>g</t>
  </si>
  <si>
    <t>O</t>
  </si>
  <si>
    <t>o</t>
  </si>
  <si>
    <t>n</t>
  </si>
  <si>
    <t>Top [mLAT]</t>
  </si>
  <si>
    <t>Bottom [mLAT]</t>
  </si>
  <si>
    <t>D, top [m]</t>
  </si>
  <si>
    <t>D, bottom [m]</t>
  </si>
  <si>
    <t>t [mm]</t>
  </si>
  <si>
    <t xml:space="preserve">TP  </t>
  </si>
  <si>
    <t>TP1-01</t>
  </si>
  <si>
    <t>MAP support</t>
  </si>
  <si>
    <t xml:space="preserve"> Cable opening </t>
  </si>
  <si>
    <t xml:space="preserve"> Ventilation Opening </t>
  </si>
  <si>
    <t>TP4-01</t>
  </si>
  <si>
    <t xml:space="preserve"> ICCP Cable opening </t>
  </si>
  <si>
    <t xml:space="preserve"> ICCP Cable pipe support </t>
  </si>
  <si>
    <t>Stud Junction Box Platform</t>
  </si>
  <si>
    <t>C:\Users\aaron.lange\Desktop\Projekte\Geometrie_Converter\GeometrieConverter\databases\TOWER.db</t>
  </si>
  <si>
    <t>C:\Users\aaron.lange\Desktop\Projekte\Geometrie_Converter\GeometrieConverter\databases\MP.db</t>
  </si>
  <si>
    <t>MP1-01-01</t>
  </si>
  <si>
    <t>ATP support ring</t>
  </si>
  <si>
    <t>MP1-01-02</t>
  </si>
  <si>
    <t>ATP support stiffener (bottom)</t>
  </si>
  <si>
    <t>MP6-01</t>
  </si>
  <si>
    <t>Water replenishment hole</t>
  </si>
  <si>
    <t>MP9-01</t>
  </si>
  <si>
    <t>Sonar transponder cable hole</t>
  </si>
  <si>
    <t>MP9-02</t>
  </si>
  <si>
    <t>Sonar transponder stud connector</t>
  </si>
  <si>
    <t>MP12-01</t>
  </si>
  <si>
    <t>MP14-01</t>
  </si>
  <si>
    <t>IAC hole</t>
  </si>
  <si>
    <t>MP3-01-01</t>
  </si>
  <si>
    <t>MP3-01-02</t>
  </si>
  <si>
    <t>MP3-01-03</t>
  </si>
  <si>
    <t>ATP support stiffener (rathole)</t>
  </si>
  <si>
    <t>MP11-01</t>
  </si>
  <si>
    <t>MP11-02</t>
  </si>
  <si>
    <t>MP13-01</t>
  </si>
  <si>
    <t>local Section</t>
  </si>
  <si>
    <t>TP</t>
  </si>
  <si>
    <t>Weight [t]</t>
  </si>
  <si>
    <t>Affiliation</t>
  </si>
  <si>
    <t>TP1-02</t>
  </si>
  <si>
    <t>TP1-03</t>
  </si>
  <si>
    <t>Bolting Platform</t>
  </si>
  <si>
    <t>TP2-01</t>
  </si>
  <si>
    <t>TP3-01</t>
  </si>
  <si>
    <t>TP3-02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</si>
</sst>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8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164" fontId="1" fillId="0" borderId="0"/>
  </cellStyleXfs>
  <cellXfs count="113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164" fontId="2" fillId="2" borderId="4" xfId="1" applyFont="1" applyFill="1" applyBorder="1" applyAlignment="1">
      <alignment horizontal="center" vertical="center"/>
    </xf>
    <xf numFmtId="2" fontId="6" fillId="6" borderId="5" xfId="0" applyNumberFormat="1" applyFont="1" applyFill="1" applyBorder="1" applyAlignment="1" applyProtection="1">
      <alignment horizontal="center" vertical="center"/>
      <protection locked="0"/>
    </xf>
    <xf numFmtId="2" fontId="6" fillId="6" borderId="8" xfId="0" applyNumberFormat="1" applyFont="1" applyFill="1" applyBorder="1" applyAlignment="1" applyProtection="1">
      <alignment horizontal="center" vertical="center"/>
      <protection locked="0"/>
    </xf>
    <xf numFmtId="0" fontId="7" fillId="7" borderId="8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7" xfId="0" applyBorder="1"/>
    <xf numFmtId="0" fontId="0" fillId="0" borderId="15" xfId="0" applyBorder="1"/>
    <xf numFmtId="0" fontId="0" fillId="0" borderId="6" xfId="0" applyBorder="1"/>
    <xf numFmtId="0" fontId="0" fillId="9" borderId="2" xfId="0" applyFill="1" applyBorder="1"/>
    <xf numFmtId="0" fontId="0" fillId="9" borderId="16" xfId="0" applyFill="1" applyBorder="1"/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0" fillId="9" borderId="20" xfId="0" applyFill="1" applyBorder="1"/>
    <xf numFmtId="0" fontId="0" fillId="10" borderId="2" xfId="0" applyFill="1" applyBorder="1"/>
    <xf numFmtId="0" fontId="0" fillId="10" borderId="16" xfId="0" applyFill="1" applyBorder="1"/>
    <xf numFmtId="0" fontId="0" fillId="10" borderId="17" xfId="0" applyFill="1" applyBorder="1"/>
    <xf numFmtId="0" fontId="0" fillId="10" borderId="18" xfId="0" applyFill="1" applyBorder="1"/>
    <xf numFmtId="0" fontId="0" fillId="10" borderId="19" xfId="0" applyFill="1" applyBorder="1"/>
    <xf numFmtId="0" fontId="0" fillId="10" borderId="20" xfId="0" applyFill="1" applyBorder="1"/>
    <xf numFmtId="0" fontId="0" fillId="11" borderId="2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0" xfId="0" applyFill="1" applyBorder="1"/>
    <xf numFmtId="0" fontId="0" fillId="12" borderId="13" xfId="0" applyFill="1" applyBorder="1"/>
    <xf numFmtId="0" fontId="0" fillId="12" borderId="0" xfId="0" applyFill="1"/>
    <xf numFmtId="0" fontId="0" fillId="12" borderId="14" xfId="0" applyFill="1" applyBorder="1"/>
    <xf numFmtId="0" fontId="0" fillId="13" borderId="13" xfId="0" applyFill="1" applyBorder="1"/>
    <xf numFmtId="0" fontId="0" fillId="13" borderId="0" xfId="0" applyFill="1"/>
    <xf numFmtId="0" fontId="0" fillId="13" borderId="14" xfId="0" applyFill="1" applyBorder="1"/>
    <xf numFmtId="0" fontId="0" fillId="14" borderId="13" xfId="0" applyFill="1" applyBorder="1"/>
    <xf numFmtId="0" fontId="0" fillId="14" borderId="0" xfId="0" applyFill="1"/>
    <xf numFmtId="0" fontId="0" fillId="14" borderId="14" xfId="0" applyFill="1" applyBorder="1"/>
    <xf numFmtId="0" fontId="0" fillId="15" borderId="7" xfId="0" applyFill="1" applyBorder="1"/>
    <xf numFmtId="0" fontId="0" fillId="15" borderId="15" xfId="0" applyFill="1" applyBorder="1"/>
    <xf numFmtId="0" fontId="0" fillId="15" borderId="6" xfId="0" applyFill="1" applyBorder="1"/>
    <xf numFmtId="0" fontId="0" fillId="15" borderId="14" xfId="0" applyFill="1" applyBorder="1"/>
    <xf numFmtId="0" fontId="0" fillId="15" borderId="0" xfId="0" applyFill="1"/>
    <xf numFmtId="0" fontId="0" fillId="15" borderId="13" xfId="0" applyFill="1" applyBorder="1"/>
    <xf numFmtId="0" fontId="0" fillId="15" borderId="11" xfId="0" applyFill="1" applyBorder="1"/>
    <xf numFmtId="0" fontId="0" fillId="15" borderId="12" xfId="0" applyFill="1" applyBorder="1"/>
    <xf numFmtId="0" fontId="8" fillId="15" borderId="0" xfId="0" applyFont="1" applyFill="1"/>
    <xf numFmtId="0" fontId="0" fillId="15" borderId="10" xfId="0" applyFill="1" applyBorder="1"/>
    <xf numFmtId="0" fontId="3" fillId="15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167" fontId="1" fillId="4" borderId="2" xfId="1" applyNumberFormat="1" applyFill="1" applyBorder="1" applyAlignment="1">
      <alignment horizontal="center" vertical="center"/>
    </xf>
    <xf numFmtId="0" fontId="8" fillId="16" borderId="0" xfId="0" applyFont="1" applyFill="1"/>
    <xf numFmtId="0" fontId="7" fillId="7" borderId="9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vertical="center"/>
    </xf>
    <xf numFmtId="0" fontId="7" fillId="6" borderId="21" xfId="0" applyFont="1" applyFill="1" applyBorder="1" applyAlignment="1">
      <alignment vertical="center"/>
    </xf>
    <xf numFmtId="0" fontId="7" fillId="7" borderId="22" xfId="0" applyFont="1" applyFill="1" applyBorder="1" applyAlignment="1">
      <alignment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0" fontId="7" fillId="7" borderId="22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left" vertical="center"/>
    </xf>
    <xf numFmtId="2" fontId="6" fillId="6" borderId="2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1" fillId="0" borderId="0" xfId="0" applyFont="1"/>
    <xf numFmtId="0" fontId="0" fillId="0" borderId="0" xfId="0" applyAlignment="1">
      <alignment vertical="center"/>
    </xf>
    <xf numFmtId="0" fontId="3" fillId="0" borderId="0" xfId="0" applyFont="1" applyAlignment="1">
      <alignment horizontal="right"/>
    </xf>
    <xf numFmtId="0" fontId="4" fillId="0" borderId="0" xfId="0" applyFont="1"/>
    <xf numFmtId="0" fontId="0" fillId="0" borderId="0" xfId="0" applyAlignment="1">
      <alignment horizontal="right"/>
    </xf>
    <xf numFmtId="0" fontId="12" fillId="0" borderId="0" xfId="0" applyFont="1"/>
    <xf numFmtId="0" fontId="3" fillId="0" borderId="0" xfId="0" applyFont="1"/>
    <xf numFmtId="168" fontId="0" fillId="0" borderId="0" xfId="0" applyNumberFormat="1"/>
    <xf numFmtId="0" fontId="0" fillId="17" borderId="0" xfId="0" applyFill="1"/>
    <xf numFmtId="0" fontId="12" fillId="17" borderId="0" xfId="0" applyFont="1" applyFill="1"/>
    <xf numFmtId="0" fontId="5" fillId="0" borderId="0" xfId="0" applyFont="1"/>
    <xf numFmtId="0" fontId="3" fillId="12" borderId="10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3" borderId="10" xfId="0" applyFont="1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3" fillId="13" borderId="12" xfId="0" applyFont="1" applyFill="1" applyBorder="1" applyAlignment="1">
      <alignment horizontal="center"/>
    </xf>
    <xf numFmtId="0" fontId="3" fillId="14" borderId="10" xfId="0" applyFont="1" applyFill="1" applyBorder="1" applyAlignment="1">
      <alignment horizontal="center"/>
    </xf>
    <xf numFmtId="0" fontId="3" fillId="14" borderId="11" xfId="0" applyFont="1" applyFill="1" applyBorder="1" applyAlignment="1">
      <alignment horizontal="center"/>
    </xf>
    <xf numFmtId="0" fontId="3" fillId="14" borderId="12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left" vertical="center"/>
    </xf>
    <xf numFmtId="0" fontId="6" fillId="8" borderId="21" xfId="0" applyFont="1" applyFill="1" applyBorder="1" applyAlignment="1">
      <alignment horizontal="left" vertical="center"/>
    </xf>
    <xf numFmtId="0" fontId="6" fillId="8" borderId="22" xfId="0" applyFont="1" applyFill="1" applyBorder="1" applyAlignment="1">
      <alignment horizontal="left" vertical="center"/>
    </xf>
    <xf numFmtId="0" fontId="7" fillId="7" borderId="2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/>
    <xf numFmtId="0" fontId="4" fillId="0" borderId="0" xfId="0" applyFont="1" applyFill="1"/>
  </cellXfs>
  <cellStyles count="2">
    <cellStyle name="Standard" xfId="0" builtinId="0"/>
    <cellStyle name="Standard 4" xfId="1" xr:uid="{7C2E7282-4006-4D40-8AAC-8E6944058B8E}"/>
  </cellStyles>
  <dxfs count="170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2" val="0">
  <itemLst>
    <item val="24A535_FEED_DP-A1_L0_G0_S0"/>
    <item val="24A535_FEED_DP-A1_L0_G1_S1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noThreeD="1" sel="2" val="0">
  <itemLst>
    <item val="24A535_FEED_DP-A1_L0_G0_S0"/>
    <item val="24A535_FEED_DP-A1_L0_G1_S1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Drop" dropStyle="combo" dx="26" noThreeD="1" sel="1" val="0">
  <itemLst>
    <item val="24A535_FEED_DP-A1_L0_G0_S0"/>
    <item val="24A535_FEED_DP-A1_L0_G1_S1"/>
  </itemLst>
</formControlPr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</xdr:row>
          <xdr:rowOff>160020</xdr:rowOff>
        </xdr:from>
        <xdr:to>
          <xdr:col>2</xdr:col>
          <xdr:colOff>678180</xdr:colOff>
          <xdr:row>9</xdr:row>
          <xdr:rowOff>152400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7</xdr:row>
          <xdr:rowOff>30479</xdr:rowOff>
        </xdr:from>
        <xdr:to>
          <xdr:col>1</xdr:col>
          <xdr:colOff>1077686</xdr:colOff>
          <xdr:row>7</xdr:row>
          <xdr:rowOff>272142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11</xdr:row>
          <xdr:rowOff>22860</xdr:rowOff>
        </xdr:from>
        <xdr:to>
          <xdr:col>14</xdr:col>
          <xdr:colOff>1341120</xdr:colOff>
          <xdr:row>15</xdr:row>
          <xdr:rowOff>144780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281940</xdr:colOff>
          <xdr:row>11</xdr:row>
          <xdr:rowOff>30480</xdr:rowOff>
        </xdr:from>
        <xdr:to>
          <xdr:col>9</xdr:col>
          <xdr:colOff>784860</xdr:colOff>
          <xdr:row>15</xdr:row>
          <xdr:rowOff>160020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121920</xdr:rowOff>
        </xdr:from>
        <xdr:to>
          <xdr:col>4</xdr:col>
          <xdr:colOff>137160</xdr:colOff>
          <xdr:row>3</xdr:row>
          <xdr:rowOff>144780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11</xdr:row>
          <xdr:rowOff>22860</xdr:rowOff>
        </xdr:from>
        <xdr:to>
          <xdr:col>12</xdr:col>
          <xdr:colOff>731520</xdr:colOff>
          <xdr:row>15</xdr:row>
          <xdr:rowOff>160020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38100</xdr:colOff>
          <xdr:row>8</xdr:row>
          <xdr:rowOff>160020</xdr:rowOff>
        </xdr:from>
        <xdr:to>
          <xdr:col>44</xdr:col>
          <xdr:colOff>360317</xdr:colOff>
          <xdr:row>9</xdr:row>
          <xdr:rowOff>152400</xdr:rowOff>
        </xdr:to>
        <xdr:sp macro="" textlink="">
          <xdr:nvSpPr>
            <xdr:cNvPr id="4117" name="Dropdown_TP_Structures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30480</xdr:colOff>
          <xdr:row>7</xdr:row>
          <xdr:rowOff>30480</xdr:rowOff>
        </xdr:from>
        <xdr:to>
          <xdr:col>42</xdr:col>
          <xdr:colOff>800100</xdr:colOff>
          <xdr:row>7</xdr:row>
          <xdr:rowOff>259080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38100</xdr:colOff>
          <xdr:row>11</xdr:row>
          <xdr:rowOff>22860</xdr:rowOff>
        </xdr:from>
        <xdr:to>
          <xdr:col>55</xdr:col>
          <xdr:colOff>1341120</xdr:colOff>
          <xdr:row>15</xdr:row>
          <xdr:rowOff>144780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281940</xdr:colOff>
          <xdr:row>11</xdr:row>
          <xdr:rowOff>30480</xdr:rowOff>
        </xdr:from>
        <xdr:to>
          <xdr:col>50</xdr:col>
          <xdr:colOff>784860</xdr:colOff>
          <xdr:row>15</xdr:row>
          <xdr:rowOff>160020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45720</xdr:colOff>
          <xdr:row>11</xdr:row>
          <xdr:rowOff>22860</xdr:rowOff>
        </xdr:from>
        <xdr:to>
          <xdr:col>53</xdr:col>
          <xdr:colOff>731520</xdr:colOff>
          <xdr:row>15</xdr:row>
          <xdr:rowOff>160020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84</xdr:col>
          <xdr:colOff>38100</xdr:colOff>
          <xdr:row>8</xdr:row>
          <xdr:rowOff>160020</xdr:rowOff>
        </xdr:from>
        <xdr:to>
          <xdr:col>86</xdr:col>
          <xdr:colOff>367937</xdr:colOff>
          <xdr:row>9</xdr:row>
          <xdr:rowOff>152400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</xdr:col>
          <xdr:colOff>30480</xdr:colOff>
          <xdr:row>7</xdr:row>
          <xdr:rowOff>30480</xdr:rowOff>
        </xdr:from>
        <xdr:to>
          <xdr:col>84</xdr:col>
          <xdr:colOff>800100</xdr:colOff>
          <xdr:row>7</xdr:row>
          <xdr:rowOff>259080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96</xdr:col>
          <xdr:colOff>38100</xdr:colOff>
          <xdr:row>11</xdr:row>
          <xdr:rowOff>22860</xdr:rowOff>
        </xdr:from>
        <xdr:to>
          <xdr:col>97</xdr:col>
          <xdr:colOff>1341120</xdr:colOff>
          <xdr:row>15</xdr:row>
          <xdr:rowOff>144780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281940</xdr:colOff>
          <xdr:row>11</xdr:row>
          <xdr:rowOff>30480</xdr:rowOff>
        </xdr:from>
        <xdr:to>
          <xdr:col>92</xdr:col>
          <xdr:colOff>784860</xdr:colOff>
          <xdr:row>15</xdr:row>
          <xdr:rowOff>160020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45720</xdr:colOff>
          <xdr:row>11</xdr:row>
          <xdr:rowOff>22860</xdr:rowOff>
        </xdr:from>
        <xdr:to>
          <xdr:col>95</xdr:col>
          <xdr:colOff>731520</xdr:colOff>
          <xdr:row>15</xdr:row>
          <xdr:rowOff>160020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7</xdr:row>
          <xdr:rowOff>41365</xdr:rowOff>
        </xdr:from>
        <xdr:to>
          <xdr:col>2</xdr:col>
          <xdr:colOff>16328</xdr:colOff>
          <xdr:row>7</xdr:row>
          <xdr:rowOff>272142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63DE111D-4E1D-1100-5AE6-7CE5962676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838200</xdr:colOff>
          <xdr:row>7</xdr:row>
          <xdr:rowOff>16328</xdr:rowOff>
        </xdr:from>
        <xdr:to>
          <xdr:col>43</xdr:col>
          <xdr:colOff>0</xdr:colOff>
          <xdr:row>7</xdr:row>
          <xdr:rowOff>250371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940BE558-0DB1-6811-C79C-B5024BA9EE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84</xdr:col>
          <xdr:colOff>812075</xdr:colOff>
          <xdr:row>7</xdr:row>
          <xdr:rowOff>26126</xdr:rowOff>
        </xdr:from>
        <xdr:to>
          <xdr:col>85</xdr:col>
          <xdr:colOff>10885</xdr:colOff>
          <xdr:row>7</xdr:row>
          <xdr:rowOff>261257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E2C7B376-717C-641F-AAC1-FE52526B34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10</xdr:row>
          <xdr:rowOff>0</xdr:rowOff>
        </xdr:from>
        <xdr:to>
          <xdr:col>2</xdr:col>
          <xdr:colOff>99060</xdr:colOff>
          <xdr:row>12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JBOOST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10</xdr:row>
          <xdr:rowOff>22860</xdr:rowOff>
        </xdr:from>
        <xdr:to>
          <xdr:col>3</xdr:col>
          <xdr:colOff>601980</xdr:colOff>
          <xdr:row>12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Bladed Out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ron.lange\Desktop\Projekte\Geometrie_Converter\GeomConv_V1.18.xlsm" TargetMode="External"/><Relationship Id="rId1" Type="http://schemas.openxmlformats.org/officeDocument/2006/relationships/externalLinkPath" Target="/Users/aaron.lange/Desktop/Projekte/Geometrie_Converter/GeomConv_V1.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sion History"/>
      <sheetName val="Geometrie"/>
      <sheetName val="Zusätzliche Eingaben"/>
      <sheetName val="Zusätzliche Eingaben 2"/>
      <sheetName val="JBOOST"/>
      <sheetName val="WLGen"/>
      <sheetName val="Bladed-Modell (WLGen)"/>
      <sheetName val="Bladed"/>
      <sheetName val="Bladed PY Input"/>
      <sheetName val="ACP FDDE Converter"/>
      <sheetName val="Splinter PY Input"/>
      <sheetName val="TurbineData"/>
    </sheetNames>
    <sheetDataSet>
      <sheetData sheetId="0"/>
      <sheetData sheetId="1">
        <row r="36">
          <cell r="D36">
            <v>91.787000000000006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12:G13" totalsRowShown="0" dataDxfId="59">
  <autoFilter ref="B12:G13" xr:uid="{51AF5F9E-A6E5-4BA1-83BE-2546351DAE06}"/>
  <tableColumns count="6">
    <tableColumn id="1" xr3:uid="{8004DE55-01A0-4AB5-A007-D379F8ED184F}" name="Identifier" dataDxfId="65"/>
    <tableColumn id="2" xr3:uid="{73AEE22B-B9CF-4401-B31E-64902257C6A9}" name="Project ID" dataDxfId="64"/>
    <tableColumn id="3" xr3:uid="{6CD7BEF9-707B-4F7D-A334-46DB51B6F454}" name="Phase" dataDxfId="63"/>
    <tableColumn id="4" xr3:uid="{5572AB9F-884A-4001-85E7-5E708A2DFC71}" name="Structure ID" dataDxfId="62"/>
    <tableColumn id="5" xr3:uid="{AFCB5F1D-C5C1-4D21-A7C0-310C0D52F9E4}" name="waterdepth" dataDxfId="61"/>
    <tableColumn id="6" xr3:uid="{149EEBB8-62A5-42C4-97FD-484848DB0825}" name="comments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15:G16" totalsRowShown="0" dataDxfId="169">
  <autoFilter ref="B15:G16" xr:uid="{58117B73-5FCA-4002-A528-31B3F83BDE75}"/>
  <tableColumns count="6">
    <tableColumn id="1" xr3:uid="{5C484AAB-AA0F-4FBD-9543-28D80EB7F84D}" name="Identifier" dataDxfId="168"/>
    <tableColumn id="2" xr3:uid="{87603448-795E-499B-8754-D6455D5FF52F}" name="Project ID" dataDxfId="167"/>
    <tableColumn id="3" xr3:uid="{51EA6487-4EF3-43A9-B440-34893EEEEAB2}" name="Phase" dataDxfId="166"/>
    <tableColumn id="4" xr3:uid="{4AC48BB5-6D2E-492F-89B1-5662010991A8}" name="Structure ID" dataDxfId="165"/>
    <tableColumn id="5" xr3:uid="{2AE3ED2D-7CAB-45B8-AA43-6197A5DBB9C2}" name="waterdepth" dataDxfId="164"/>
    <tableColumn id="6" xr3:uid="{BC0E3E2E-DE67-4FD9-94E9-5C112B52D3FD}" name="comments" dataDxfId="1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18:G43" totalsRowShown="0" headerRowDxfId="162" dataDxfId="52">
  <autoFilter ref="B18:G43" xr:uid="{C9C31EE9-6B44-4D67-9597-BD108F88B355}"/>
  <sortState xmlns:xlrd2="http://schemas.microsoft.com/office/spreadsheetml/2017/richdata2" ref="B19:L43">
    <sortCondition ref="B18:B43"/>
  </sortState>
  <tableColumns count="6">
    <tableColumn id="1" xr3:uid="{15F53C56-04A7-4EA4-A64D-A2A5A78E2AA2}" name="Section" dataDxfId="58"/>
    <tableColumn id="2" xr3:uid="{01B5124C-F6E1-40D2-9236-F2D6BE941DD3}" name="Top [mLAT]" dataDxfId="57"/>
    <tableColumn id="3" xr3:uid="{0537C90E-D320-4AC4-8392-2A7C45CE31A1}" name="Bottom [mLAT]" dataDxfId="56"/>
    <tableColumn id="4" xr3:uid="{3F0DC3DB-26F8-4D70-A358-70EF5E1596F5}" name="D, top [m]" dataDxfId="55"/>
    <tableColumn id="5" xr3:uid="{25F6B1D8-AC49-468F-BDCD-72AC07BB3CD0}" name="D, bottom [m]" dataDxfId="54"/>
    <tableColumn id="6" xr3:uid="{3ED99EE5-BCA8-4244-A3E5-81C6F22A9AB2}" name="t [mm]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U12:Z13" totalsRowShown="0">
  <autoFilter ref="U12:Z13" xr:uid="{F46B677D-4D25-4464-BE0D-6A1E644518C5}"/>
  <tableColumns count="6">
    <tableColumn id="1" xr3:uid="{ECD0389F-015D-412B-9FF1-D5BEAAD27FC1}" name="Identifier" dataDxfId="161"/>
    <tableColumn id="2" xr3:uid="{90794316-AE1E-4D40-A728-B5B995A9CF65}" name="Project ID"/>
    <tableColumn id="3" xr3:uid="{B8C9242D-AC32-4E57-A861-DB7E615D6A1C}" name="Phase"/>
    <tableColumn id="4" xr3:uid="{1EEB510B-3010-431D-B8C6-870D9180A629}" name="Structure ID"/>
    <tableColumn id="5" xr3:uid="{B6F5C20C-83C1-4B16-B4D3-933D066BB6A0}" name="waterdepth"/>
    <tableColumn id="6" xr3:uid="{26EA3A2D-14E0-4809-9795-74592B4984AD}" name="com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J12:AO14" totalsRowShown="0" dataDxfId="160">
  <autoFilter ref="AJ12:AO14" xr:uid="{46FD7C67-BF9C-41F4-B134-682EDE7A007C}"/>
  <sortState xmlns:xlrd2="http://schemas.microsoft.com/office/spreadsheetml/2017/richdata2" ref="AJ13:AN14">
    <sortCondition descending="1" ref="AL12:AL14"/>
  </sortState>
  <tableColumns count="6">
    <tableColumn id="1" xr3:uid="{43AB1C43-FBC5-42AE-8DFA-4651B77C56A0}" name="Identifier" dataDxfId="159"/>
    <tableColumn id="2" xr3:uid="{75FB6F15-9784-4F9D-9947-41C8E7DD1CC9}" name="Project ID" dataDxfId="158"/>
    <tableColumn id="3" xr3:uid="{DF3379D9-9371-4EDE-B715-A6A40C072275}" name="Phase" dataDxfId="157"/>
    <tableColumn id="4" xr3:uid="{B2F66CA1-64D8-49D4-A1DA-28FD14EC75C2}" name="Structure ID" dataDxfId="156"/>
    <tableColumn id="5" xr3:uid="{E0EC4989-22E7-49A3-8DAC-034A87568E19}" name="waterdepth" dataDxfId="155"/>
    <tableColumn id="6" xr3:uid="{9873A46F-D488-4AA7-BC64-C1E65C65D808}" name="comments" dataDxfId="15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U18:Z43" totalsRowShown="0" headerRowDxfId="153" dataDxfId="152">
  <autoFilter ref="U18:Z43" xr:uid="{186CFF05-2CD9-405C-829A-5AD7B62A8ACE}"/>
  <sortState xmlns:xlrd2="http://schemas.microsoft.com/office/spreadsheetml/2017/richdata2" ref="U19:AE43">
    <sortCondition ref="U18:U43"/>
  </sortState>
  <tableColumns count="6">
    <tableColumn id="1" xr3:uid="{66D6C4E1-74CA-4A30-A085-277EA5E62B3C}" name="Section" dataDxfId="151"/>
    <tableColumn id="2" xr3:uid="{D0F6ECD2-6414-48B2-9B47-1C3B8BAC860B}" name="Top [mLAT]" dataDxfId="150"/>
    <tableColumn id="3" xr3:uid="{575FC20A-0259-4081-83F8-71040557AEA8}" name="Bottom [mLAT]" dataDxfId="149"/>
    <tableColumn id="4" xr3:uid="{529E5CD0-69F2-4E59-86A7-A3E6F1B39E96}" name="D, top [m]" dataDxfId="148"/>
    <tableColumn id="5" xr3:uid="{7F90AAFA-52D7-47DB-A99D-3E3E0AEE6541}" name="D, bottom [m]" dataDxfId="147"/>
    <tableColumn id="6" xr3:uid="{1B01547B-4485-4B79-8DB3-FCEA1C806B60}" name="t [mm]" dataDxfId="14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18:S25" totalsRowShown="0" dataDxfId="44">
  <autoFilter ref="M18:S25" xr:uid="{C2F2D263-B298-4967-B7BA-2043D2636A28}"/>
  <tableColumns count="7">
    <tableColumn id="1" xr3:uid="{65DB47FC-7B67-4F61-A4D3-B371F6C262EB}" name="ID" dataDxfId="51"/>
    <tableColumn id="2" xr3:uid="{365B74CD-D14D-4F75-ABA6-B5CBD126E6F2}" name="Description" dataDxfId="50"/>
    <tableColumn id="3" xr3:uid="{29EF80FE-079C-4A10-9ADB-03D595E35311}" name="Elevation [mLAT]" dataDxfId="49"/>
    <tableColumn id="4" xr3:uid="{84FE043F-760B-4C1A-B11C-FAAA573C0B1E}" name="SCF [mm]" dataDxfId="48"/>
    <tableColumn id="5" xr3:uid="{6864BB2B-1D26-4A82-A522-509ED744097D}" name="Location" dataDxfId="47"/>
    <tableColumn id="6" xr3:uid="{FE957CEE-1B74-4447-AEA7-3FCE5B5DB9EC}" name="Type" dataDxfId="46"/>
    <tableColumn id="7" xr3:uid="{4A69F950-39AA-4B45-A305-54DA59D04B71}" name="Opening factor" dataDxfId="4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AB18:AH25" totalsRowShown="0">
  <autoFilter ref="AB18:AH25" xr:uid="{4D5B4094-2520-4C0E-83CB-05269AAFC062}"/>
  <tableColumns count="7">
    <tableColumn id="1" xr3:uid="{C2D9CE8B-C220-46E5-BFE0-3791AC870182}" name="ID"/>
    <tableColumn id="2" xr3:uid="{1DE92BEA-EA77-4A06-9EE3-C4BCA53FA4BA}" name="Description"/>
    <tableColumn id="3" xr3:uid="{6F0C1064-8277-4D7C-890E-7B7872EA90CF}" name="Elevation [mLAT]"/>
    <tableColumn id="4" xr3:uid="{9149F43F-59DC-4016-A433-42D973B6CCB2}" name="SCF [mm]"/>
    <tableColumn id="5" xr3:uid="{22238EB5-A3AB-4C7D-B2F1-E48284A703A1}" name="Location"/>
    <tableColumn id="6" xr3:uid="{0D2800F8-15EB-4280-AA2E-703AE0795750}" name="Type"/>
    <tableColumn id="7" xr3:uid="{4120BE71-DAC9-47D5-A8D8-49791D816D2E}" name="Opening factor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Q12:AV13" totalsRowShown="0" dataDxfId="37">
  <autoFilter ref="AQ12:AV13" xr:uid="{0B04AF76-1113-4DD9-A88C-A478EB316C6E}"/>
  <tableColumns count="6">
    <tableColumn id="1" xr3:uid="{58455F34-16BF-4A81-8A57-F2B2E3E28892}" name="Identifier" dataDxfId="43"/>
    <tableColumn id="2" xr3:uid="{BDC511B7-0336-49CC-A0D7-40D96154D38D}" name="Project ID" dataDxfId="42"/>
    <tableColumn id="3" xr3:uid="{2D75BE55-2BF9-456C-AE5A-2A1218318BAA}" name="Phase" dataDxfId="41"/>
    <tableColumn id="4" xr3:uid="{2B0B47A1-6AA2-4D55-8DF5-A88A949DEAB3}" name="Structure ID" dataDxfId="40"/>
    <tableColumn id="5" xr3:uid="{24994B91-D518-4335-8AFB-5B728F5B9A9A}" name="waterdepth" dataDxfId="39"/>
    <tableColumn id="6" xr3:uid="{BC674145-8AD9-4667-B204-310C7780D8BD}" name="comments" dataDxfId="3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Q15:AV16" totalsRowShown="0" dataDxfId="145">
  <autoFilter ref="AQ15:AV16" xr:uid="{05DB58A4-E4A6-44E9-9800-F1D5AD7D9AA7}"/>
  <tableColumns count="6">
    <tableColumn id="1" xr3:uid="{2E834674-089F-43C8-8D07-2A374229A7BC}" name="Identifier" dataDxfId="144"/>
    <tableColumn id="2" xr3:uid="{6BEA972F-3506-4C48-AEB4-7F07A56A7185}" name="Project ID" dataDxfId="143"/>
    <tableColumn id="3" xr3:uid="{4E216AD3-8A97-4909-B2FD-78BAAFF0AD26}" name="Phase" dataDxfId="142"/>
    <tableColumn id="4" xr3:uid="{787011D0-F0FA-4EDD-881B-22121DF4902E}" name="Structure ID" dataDxfId="141"/>
    <tableColumn id="5" xr3:uid="{2067DA19-30E8-4DC2-9605-F5989A843C96}" name="waterdepth" dataDxfId="140"/>
    <tableColumn id="6" xr3:uid="{E1008977-49E5-479B-9DB3-40A483860F73}" name="comments" dataDxfId="13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Q18:AV22" totalsRowShown="0" headerRowDxfId="138" dataDxfId="30">
  <autoFilter ref="AQ18:AV22" xr:uid="{463505FA-4645-4E01-B220-9A826ACB16FB}"/>
  <sortState xmlns:xlrd2="http://schemas.microsoft.com/office/spreadsheetml/2017/richdata2" ref="AQ19:BA43">
    <sortCondition ref="AQ18:AQ43"/>
  </sortState>
  <tableColumns count="6">
    <tableColumn id="1" xr3:uid="{B63189BD-DBD1-4507-A787-F69DD84B759C}" name="Section" dataDxfId="36"/>
    <tableColumn id="2" xr3:uid="{20DD1485-D982-4D84-8836-A1F004AD90A8}" name="Top [mLAT]" dataDxfId="35"/>
    <tableColumn id="3" xr3:uid="{A05F4E1F-5C83-413A-B9BE-2BBE3AB13A3B}" name="Bottom [mLAT]" dataDxfId="34"/>
    <tableColumn id="4" xr3:uid="{EBAC8D31-17F8-4535-9E03-9B656FFD2B81}" name="D, top [m]" dataDxfId="33"/>
    <tableColumn id="5" xr3:uid="{A4A3D92C-C993-453F-AF5C-E4B75CB27682}" name="D, bottom [m]" dataDxfId="32"/>
    <tableColumn id="6" xr3:uid="{32AD350F-83E6-4938-BC67-33A5C8B767FF}" name="t [mm]" dataDxfId="3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BJ12:BO13" totalsRowShown="0">
  <autoFilter ref="BJ12:BO13" xr:uid="{6ED14D31-21E8-495C-899A-C1BE36AC7D57}"/>
  <tableColumns count="6">
    <tableColumn id="1" xr3:uid="{DA9D700C-EEF5-42F6-A311-BAEEF88B1BB7}" name="Identifier" dataDxfId="137"/>
    <tableColumn id="2" xr3:uid="{F3154507-C41A-47B8-8944-C5C95FFA02DB}" name="Project ID"/>
    <tableColumn id="3" xr3:uid="{80771C1F-325D-4BE1-93EC-AEBADAEF8C45}" name="Phase"/>
    <tableColumn id="4" xr3:uid="{58EF9147-D484-4AD2-85BC-FC61A3DF1B06}" name="Structure ID"/>
    <tableColumn id="5" xr3:uid="{08D6C2E1-6DB9-491C-8175-4D57250F03F8}" name="waterdepth"/>
    <tableColumn id="6" xr3:uid="{6D129076-7D09-47E2-9F0F-2301ACE416A2}" name="comment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Y12:CD14" totalsRowShown="0" dataDxfId="136">
  <autoFilter ref="BY12:CD14" xr:uid="{C3895FE4-33B0-49A8-99F6-25EAD4C42C05}"/>
  <sortState xmlns:xlrd2="http://schemas.microsoft.com/office/spreadsheetml/2017/richdata2" ref="BY13:CC14">
    <sortCondition descending="1" ref="CA12:CA14"/>
  </sortState>
  <tableColumns count="6">
    <tableColumn id="1" xr3:uid="{39574F94-1416-4BF2-B8F9-333B3F24B77C}" name="Identifier" dataDxfId="135"/>
    <tableColumn id="2" xr3:uid="{10221FF0-6669-415E-A4C9-1A925A636E0E}" name="Project ID" dataDxfId="134"/>
    <tableColumn id="3" xr3:uid="{51ED7DEE-637C-4EB3-BD51-712CBF1C3A3F}" name="Phase" dataDxfId="133"/>
    <tableColumn id="4" xr3:uid="{1FA8653A-38E1-49B7-812A-65D83A87164E}" name="Structure ID" dataDxfId="132"/>
    <tableColumn id="5" xr3:uid="{6C9EA130-8028-4AEB-8FB2-AF4D80F48270}" name="waterdepth" dataDxfId="131"/>
    <tableColumn id="6" xr3:uid="{83CD3E29-C555-4D73-9F88-767BB7CFEAA2}" name="comments" dataDxfId="13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BJ18:BO22" totalsRowShown="0" headerRowDxfId="129" dataDxfId="128">
  <autoFilter ref="BJ18:BO22" xr:uid="{62A1D9C7-47A9-4F63-8343-1C661E8816F7}"/>
  <sortState xmlns:xlrd2="http://schemas.microsoft.com/office/spreadsheetml/2017/richdata2" ref="BJ19:BT43">
    <sortCondition ref="BJ18:BJ43"/>
  </sortState>
  <tableColumns count="6">
    <tableColumn id="1" xr3:uid="{E243C011-FF5E-4AF1-A1B3-9F3C7CF7C9AA}" name="Section" dataDxfId="127"/>
    <tableColumn id="2" xr3:uid="{00F60C63-2770-42C2-B48C-5D66D3C52BC7}" name="Top [mLAT]" dataDxfId="126"/>
    <tableColumn id="3" xr3:uid="{B0C70BDD-2B8F-4EF1-9287-C431F103B9ED}" name="Bottom [mLAT]" dataDxfId="125"/>
    <tableColumn id="4" xr3:uid="{5762D413-3034-4D8C-93B6-FD4630B02B90}" name="D, top [m]" dataDxfId="124"/>
    <tableColumn id="5" xr3:uid="{14D973BE-EA8A-4E59-909A-5E1466E24A50}" name="D, bottom [m]" dataDxfId="123"/>
    <tableColumn id="6" xr3:uid="{7BFD2029-1F5C-43ED-A6F8-296E86962F79}" name="t [mm]" dataDxfId="12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BB18:BH26" totalsRowShown="0" dataDxfId="22">
  <autoFilter ref="BB18:BH26" xr:uid="{EF6AB3BF-A5B9-4898-A2AA-B1E2D904FCE0}"/>
  <tableColumns count="7">
    <tableColumn id="1" xr3:uid="{1A53106D-E4B7-4076-A33D-6CE63AD9AC29}" name="ID" dataDxfId="29"/>
    <tableColumn id="2" xr3:uid="{9D7DAE9F-A86B-4D74-801F-55226E9F4D94}" name="Description" dataDxfId="28"/>
    <tableColumn id="3" xr3:uid="{3FD5DC94-754D-4B55-A30B-0CF2D12CDE7F}" name="Elevation [mLAT]" dataDxfId="27"/>
    <tableColumn id="4" xr3:uid="{57564348-D2FF-417F-AE7A-333C7E4F350A}" name="SCF [mm]" dataDxfId="26"/>
    <tableColumn id="5" xr3:uid="{FB22768C-3853-4DB2-B9DA-613D92842786}" name="Location" dataDxfId="25"/>
    <tableColumn id="6" xr3:uid="{0E3A1071-1E3E-4DCD-BDCF-A9C1C4536538}" name="Type" dataDxfId="24"/>
    <tableColumn id="7" xr3:uid="{48F04314-945A-4DAD-A9CF-F7C1D2F993E4}" name="Opening factor" dataDxfId="2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90E545-CB48-44A3-A5CA-9A97C610D06A}" name="TP_MASSES_TRUE" displayName="TP_MASSES_TRUE" ref="BQ18:BW26" totalsRowShown="0">
  <autoFilter ref="BQ18:BW26" xr:uid="{6190E545-CB48-44A3-A5CA-9A97C610D06A}"/>
  <tableColumns count="7">
    <tableColumn id="1" xr3:uid="{1CD0DD89-8DB0-4FF9-B740-5D74EB586B63}" name="ID"/>
    <tableColumn id="2" xr3:uid="{229F8007-E6CC-45A8-B672-6374F80B1923}" name="Description"/>
    <tableColumn id="3" xr3:uid="{23823EA6-A689-44B2-958B-8A7D00EFF106}" name="Elevation [mLAT]"/>
    <tableColumn id="4" xr3:uid="{15C01C80-29FA-4A1A-88F0-20FB8883A007}" name="SCF [mm]"/>
    <tableColumn id="5" xr3:uid="{E0636A47-2639-462C-A05E-DE7C27E75B52}" name="Location"/>
    <tableColumn id="6" xr3:uid="{459B16F6-ACCA-4B6E-8786-87A8536680DF}" name="Type"/>
    <tableColumn id="7" xr3:uid="{562CA817-586E-4A61-B6E8-FAF87D8B1962}" name="Opening factor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CG12:CL13" totalsRowShown="0" dataDxfId="15">
  <autoFilter ref="CG12:CL13" xr:uid="{570D3808-2D33-45AA-AE67-BB82CAED07EC}"/>
  <tableColumns count="6">
    <tableColumn id="1" xr3:uid="{CCDDEDAF-7D35-44BE-9711-5BB94A7933B5}" name="Identifier" dataDxfId="21"/>
    <tableColumn id="2" xr3:uid="{A6622A20-5B2E-4695-A263-CDE9418E44CF}" name="Project ID" dataDxfId="20"/>
    <tableColumn id="3" xr3:uid="{352D7C0A-3620-4627-BAFA-7328A9D0D37D}" name="Phase" dataDxfId="19"/>
    <tableColumn id="4" xr3:uid="{B321ED1F-34C0-412F-A702-8500F62ECCC6}" name="Structure ID" dataDxfId="18"/>
    <tableColumn id="5" xr3:uid="{80D47030-3591-4982-92EF-BACC66E1FE86}" name="waterdepth" dataDxfId="17"/>
    <tableColumn id="6" xr3:uid="{EF78C918-5D9E-4AE9-872B-673153622FEA}" name="comments" dataDxfId="1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CG15:CL16" totalsRowShown="0" dataDxfId="121">
  <autoFilter ref="CG15:CL16" xr:uid="{35A6DD8B-1B03-4405-8692-950A70C42223}"/>
  <tableColumns count="6">
    <tableColumn id="1" xr3:uid="{1E986C31-3F41-4D2E-A5B3-1F241849BF8F}" name="Identifier" dataDxfId="120"/>
    <tableColumn id="2" xr3:uid="{BFA6A302-1312-44A9-9D24-00404B96F93D}" name="Project ID" dataDxfId="119"/>
    <tableColumn id="3" xr3:uid="{6FC4FB3D-D4AD-4191-B505-D0037CFE0AE6}" name="Phase" dataDxfId="118"/>
    <tableColumn id="4" xr3:uid="{869514EC-8FC7-48A8-9C17-94321EE95FF7}" name="Structure ID" dataDxfId="117"/>
    <tableColumn id="5" xr3:uid="{863DC3E8-E570-4145-B742-09AB28340D03}" name="waterdepth" dataDxfId="116"/>
    <tableColumn id="6" xr3:uid="{9DF4DE17-029C-4704-967A-33C81C46070E}" name="comments" dataDxfId="11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CG18:CL43" totalsRowShown="0" headerRowDxfId="114" dataDxfId="8">
  <autoFilter ref="CG18:CL43" xr:uid="{6CCFBE8E-EBFA-4AA0-A18D-3AB7BDB6B464}"/>
  <sortState xmlns:xlrd2="http://schemas.microsoft.com/office/spreadsheetml/2017/richdata2" ref="CG19:CQ43">
    <sortCondition ref="CG18:CG43"/>
  </sortState>
  <tableColumns count="6">
    <tableColumn id="1" xr3:uid="{85C28FF3-9287-4D46-8CEF-6A66D92B23F6}" name="Section" dataDxfId="14"/>
    <tableColumn id="2" xr3:uid="{BC63B096-D7B8-47B5-B5E9-FC896BC9868B}" name="Top [mLAT]" dataDxfId="13"/>
    <tableColumn id="3" xr3:uid="{B9C7376D-FAD6-493B-8287-40DCA419DD50}" name="Bottom [mLAT]" dataDxfId="12"/>
    <tableColumn id="4" xr3:uid="{6DC756E0-08B6-443E-9B2C-8D790BB94B8D}" name="D, top [m]" dataDxfId="11"/>
    <tableColumn id="5" xr3:uid="{BBD13E2B-0AEF-41AA-A565-50855C7E6296}" name="D, bottom [m]" dataDxfId="10"/>
    <tableColumn id="6" xr3:uid="{123F9676-EB92-4044-A35A-E032C3EBF8E7}" name="t [mm]" dataDxfId="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CZ12:DE13" totalsRowShown="0">
  <autoFilter ref="CZ12:DE13" xr:uid="{BC714A6A-8D53-444B-883B-7E7991C4738D}"/>
  <tableColumns count="6">
    <tableColumn id="1" xr3:uid="{2851D88E-C4FF-4F89-9EC3-EAFBEA54B71F}" name="Identifier" dataDxfId="113"/>
    <tableColumn id="2" xr3:uid="{02792EA3-7910-49BB-A8F1-6C715F3370FC}" name="Project ID"/>
    <tableColumn id="3" xr3:uid="{E61B3620-9AD6-47D6-B636-C8C2AD063634}" name="Phase"/>
    <tableColumn id="4" xr3:uid="{605E5017-0F2F-4443-A933-4E5CD08A4C23}" name="Structure ID"/>
    <tableColumn id="5" xr3:uid="{BDF5F12B-CA8B-48E8-87A7-7D0364DE2FB2}" name="waterdepth"/>
    <tableColumn id="6" xr3:uid="{EE01736A-C2DC-472E-BB17-6D42BEB50FD3}" name="comment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DO12:DT14" totalsRowShown="0" dataDxfId="112">
  <autoFilter ref="DO12:DT14" xr:uid="{B4707D43-E248-4B9D-AB58-3D0829DFBB4F}"/>
  <sortState xmlns:xlrd2="http://schemas.microsoft.com/office/spreadsheetml/2017/richdata2" ref="DO13:DS14">
    <sortCondition descending="1" ref="DQ12:DQ14"/>
  </sortState>
  <tableColumns count="6">
    <tableColumn id="1" xr3:uid="{7672BA03-0DF7-4E41-B249-02049D4F4A5C}" name="Identifier" dataDxfId="111"/>
    <tableColumn id="2" xr3:uid="{BCD09FD8-ED15-428C-A59B-CFD0BF079641}" name="Project ID" dataDxfId="110"/>
    <tableColumn id="3" xr3:uid="{76AFB3BE-3FC3-4189-A098-6A9EA54A5EC9}" name="Phase" dataDxfId="109"/>
    <tableColumn id="4" xr3:uid="{33378BDF-E99D-44A7-8811-811CD7F1395F}" name="Structure ID" dataDxfId="108"/>
    <tableColumn id="5" xr3:uid="{DE6D6C26-BA61-4AFF-8E06-02AD273B29E8}" name="waterdepth" dataDxfId="107"/>
    <tableColumn id="6" xr3:uid="{B865CAD0-836B-45FC-8185-9945C6562913}" name="comments" dataDxfId="10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CZ18:DE43" totalsRowShown="0" headerRowDxfId="105" dataDxfId="104">
  <autoFilter ref="CZ18:DE43" xr:uid="{DE222362-04CC-46F7-A72F-CA8E23DD0237}"/>
  <sortState xmlns:xlrd2="http://schemas.microsoft.com/office/spreadsheetml/2017/richdata2" ref="CZ19:DJ43">
    <sortCondition ref="CZ18:CZ43"/>
  </sortState>
  <tableColumns count="6">
    <tableColumn id="1" xr3:uid="{A9C701CB-47B4-48F4-AFAB-2A8641408C96}" name="Section" dataDxfId="103"/>
    <tableColumn id="2" xr3:uid="{B6685CB3-8DE6-43F6-B6B6-9EE349AFDB7E}" name="Top [mLAT]" dataDxfId="102"/>
    <tableColumn id="3" xr3:uid="{DF0BDC05-BDC5-4912-B19E-FE92634C630E}" name="Bottom [mLAT]" dataDxfId="101"/>
    <tableColumn id="4" xr3:uid="{FE62A509-C225-4EE7-9E1A-92FB7B34D915}" name="D, top [m]" dataDxfId="100"/>
    <tableColumn id="5" xr3:uid="{40198B9A-CE5F-48D3-B6CF-9F426B6E0187}" name="D, bottom [m]" dataDxfId="99"/>
    <tableColumn id="6" xr3:uid="{9098A7F1-A089-4645-9946-FA698633501A}" name="t [mm]" dataDxfId="9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CR18:CX26" totalsRowShown="0" dataDxfId="0">
  <autoFilter ref="CR18:CX26" xr:uid="{E785A247-6678-47FD-8A48-16CD1A0703D0}"/>
  <tableColumns count="7">
    <tableColumn id="1" xr3:uid="{D015FF14-679F-4C4B-AD11-FD169A799F7D}" name="ID" dataDxfId="7"/>
    <tableColumn id="2" xr3:uid="{F6B0D10D-7C44-41C3-9301-C37A6304C787}" name="Description" dataDxfId="6"/>
    <tableColumn id="3" xr3:uid="{F049C52E-CCD6-4E67-9C8C-52FA82F691D9}" name="Elevation [mLAT]" dataDxfId="5"/>
    <tableColumn id="4" xr3:uid="{B9B59CAD-5A6D-4DF3-B2C8-E15AC82C2F85}" name="SCF [mm]" dataDxfId="4"/>
    <tableColumn id="5" xr3:uid="{C96B386D-E079-49B1-9162-56EAC063EA95}" name="Location" dataDxfId="3"/>
    <tableColumn id="6" xr3:uid="{262067FC-2B59-42EE-9454-0E9073C3105B}" name="Type" dataDxfId="2"/>
    <tableColumn id="7" xr3:uid="{4315A331-5FFD-4500-839C-4AD5ED0C46FE}" name="Opening factor" dataDxfId="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664A08-9F40-4B2F-8151-7F221D68F245}" name="TOWER_MASSES_TRUE" displayName="TOWER_MASSES_TRUE" ref="DG18:DM26" totalsRowShown="0">
  <autoFilter ref="DG18:DM26" xr:uid="{3F664A08-9F40-4B2F-8151-7F221D68F245}"/>
  <tableColumns count="7">
    <tableColumn id="1" xr3:uid="{D4114F81-D70E-4B19-A7AB-C51B4DC07220}" name="ID"/>
    <tableColumn id="2" xr3:uid="{55470CA8-68EE-4770-B151-4A1CCF576822}" name="Description"/>
    <tableColumn id="3" xr3:uid="{78453B6F-A529-4D07-BA22-75B01F2D871E}" name="Elevation [mLAT]"/>
    <tableColumn id="4" xr3:uid="{B93BD48C-1B24-4F04-B448-3FFE2850A43E}" name="SCF [mm]"/>
    <tableColumn id="5" xr3:uid="{D7C3ED3E-89FA-4047-919A-5E281A55798A}" name="Location"/>
    <tableColumn id="6" xr3:uid="{629B14B0-5302-438C-B842-3D2AA9CAD2A4}" name="Type"/>
    <tableColumn id="7" xr3:uid="{8CED3B24-410F-4920-AE67-B3A15EEA382C}" name="Opening factor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3:J57" totalsRowShown="0" headerRowDxfId="88" dataDxfId="87">
  <autoFilter ref="B3:J57" xr:uid="{6964430C-2D65-45C4-817F-08653037EDFC}"/>
  <tableColumns count="9">
    <tableColumn id="1" xr3:uid="{1C924510-54DB-4186-8521-598E5FD7BF93}" name="Section" dataDxfId="97"/>
    <tableColumn id="2" xr3:uid="{29F8F207-72DF-4027-A39E-C3D956F79382}" name="Affiliation" dataDxfId="96"/>
    <tableColumn id="3" xr3:uid="{F1A86E12-282B-4FE8-A989-9056549BE251}" name="local Section" dataDxfId="95"/>
    <tableColumn id="4" xr3:uid="{1F0B5480-90D3-4DBF-AAEC-010EB8A46507}" name="Top [mLAT]" dataDxfId="94"/>
    <tableColumn id="5" xr3:uid="{2F9EEEB1-AE18-4058-A215-9A6EAD23E6F0}" name="Bottom [mLAT]" dataDxfId="93"/>
    <tableColumn id="6" xr3:uid="{CAF3E9FD-22BF-4C53-97D3-15DEA70C9DE2}" name="D, top [m]" dataDxfId="92"/>
    <tableColumn id="7" xr3:uid="{EE4449DD-273C-4967-8180-25E33E65F937}" name="D, bottom [m]" dataDxfId="91"/>
    <tableColumn id="8" xr3:uid="{0EE8182A-58FD-432D-A87C-9A474A081C7F}" name="t [mm]" dataDxfId="90"/>
    <tableColumn id="10" xr3:uid="{157438D7-9FE9-4304-9CD4-A54D323B4602}" name="Weight [t]" dataDxfId="89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3:V26" totalsRowShown="0" headerRowDxfId="82" dataDxfId="81">
  <autoFilter ref="O3:V26" xr:uid="{99775F4D-8879-4247-BCBB-9E55004F5FE5}"/>
  <tableColumns count="8">
    <tableColumn id="8" xr3:uid="{4222E379-EA2F-436F-A27E-F66347A2B7A2}" name="Affiliation" dataDxfId="80"/>
    <tableColumn id="1" xr3:uid="{00244646-90F3-4DDD-AB6B-0373781AFF60}" name="ID" dataDxfId="79"/>
    <tableColumn id="2" xr3:uid="{6305BA78-EC7F-4D5E-A143-DF4E3CB9A56C}" name="Description" dataDxfId="77"/>
    <tableColumn id="3" xr3:uid="{156C5A02-52CD-48BE-87D5-E9BF8F935E99}" name="Elevation [mLAT]" dataDxfId="78"/>
    <tableColumn id="4" xr3:uid="{0CBCA44E-F57A-4753-9389-19793B2C01D4}" name="SCF [mm]" dataDxfId="86"/>
    <tableColumn id="5" xr3:uid="{EEC4D495-A649-4C80-B39D-105FBF6BAE14}" name="Location" dataDxfId="85"/>
    <tableColumn id="6" xr3:uid="{08C88C7C-2BE7-4693-9DCD-10E5C5B3939A}" name="Type" dataDxfId="84"/>
    <tableColumn id="7" xr3:uid="{4F42FC03-B8EC-4FAF-87BF-B4839E95AD28}" name="Opening factor" dataDxfId="8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table" Target="../tables/table4.xml"/><Relationship Id="rId39" Type="http://schemas.openxmlformats.org/officeDocument/2006/relationships/table" Target="../tables/table17.xml"/><Relationship Id="rId21" Type="http://schemas.openxmlformats.org/officeDocument/2006/relationships/ctrlProp" Target="../ctrlProps/ctrlProp22.xml"/><Relationship Id="rId34" Type="http://schemas.openxmlformats.org/officeDocument/2006/relationships/table" Target="../tables/table12.xml"/><Relationship Id="rId42" Type="http://schemas.openxmlformats.org/officeDocument/2006/relationships/table" Target="../tables/table20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9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24" Type="http://schemas.openxmlformats.org/officeDocument/2006/relationships/table" Target="../tables/table2.xml"/><Relationship Id="rId32" Type="http://schemas.openxmlformats.org/officeDocument/2006/relationships/table" Target="../tables/table10.xml"/><Relationship Id="rId37" Type="http://schemas.openxmlformats.org/officeDocument/2006/relationships/table" Target="../tables/table15.xml"/><Relationship Id="rId40" Type="http://schemas.openxmlformats.org/officeDocument/2006/relationships/table" Target="../tables/table18.xml"/><Relationship Id="rId45" Type="http://schemas.openxmlformats.org/officeDocument/2006/relationships/table" Target="../tables/table23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23" Type="http://schemas.openxmlformats.org/officeDocument/2006/relationships/table" Target="../tables/table1.xml"/><Relationship Id="rId28" Type="http://schemas.openxmlformats.org/officeDocument/2006/relationships/table" Target="../tables/table6.xml"/><Relationship Id="rId36" Type="http://schemas.openxmlformats.org/officeDocument/2006/relationships/table" Target="../tables/table14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31" Type="http://schemas.openxmlformats.org/officeDocument/2006/relationships/table" Target="../tables/table9.xml"/><Relationship Id="rId44" Type="http://schemas.openxmlformats.org/officeDocument/2006/relationships/table" Target="../tables/table22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table" Target="../tables/table5.xml"/><Relationship Id="rId30" Type="http://schemas.openxmlformats.org/officeDocument/2006/relationships/table" Target="../tables/table8.xml"/><Relationship Id="rId35" Type="http://schemas.openxmlformats.org/officeDocument/2006/relationships/table" Target="../tables/table13.xml"/><Relationship Id="rId43" Type="http://schemas.openxmlformats.org/officeDocument/2006/relationships/table" Target="../tables/table21.xml"/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table" Target="../tables/table3.xml"/><Relationship Id="rId33" Type="http://schemas.openxmlformats.org/officeDocument/2006/relationships/table" Target="../tables/table11.xml"/><Relationship Id="rId38" Type="http://schemas.openxmlformats.org/officeDocument/2006/relationships/table" Target="../tables/table16.xml"/><Relationship Id="rId46" Type="http://schemas.openxmlformats.org/officeDocument/2006/relationships/table" Target="../tables/table24.xml"/><Relationship Id="rId20" Type="http://schemas.openxmlformats.org/officeDocument/2006/relationships/ctrlProp" Target="../ctrlProps/ctrlProp21.xml"/><Relationship Id="rId41" Type="http://schemas.openxmlformats.org/officeDocument/2006/relationships/table" Target="../tables/table1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G30" sqref="G30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57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7"/>
      <c r="P1" s="54"/>
      <c r="Q1" s="54"/>
      <c r="R1" s="55"/>
    </row>
    <row r="2" spans="1:24" ht="15.6" x14ac:dyDescent="0.3">
      <c r="A2" s="53"/>
      <c r="B2" s="56" t="s">
        <v>58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3"/>
      <c r="P2" s="58" t="s">
        <v>16</v>
      </c>
      <c r="Q2" s="52"/>
      <c r="R2" s="51"/>
    </row>
    <row r="3" spans="1:24" ht="15" thickBot="1" x14ac:dyDescent="0.35">
      <c r="A3" s="53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3"/>
      <c r="P3" s="52"/>
      <c r="Q3" s="52"/>
      <c r="R3" s="51"/>
    </row>
    <row r="4" spans="1:24" x14ac:dyDescent="0.3">
      <c r="A4" s="53"/>
      <c r="B4" s="89" t="s">
        <v>55</v>
      </c>
      <c r="C4" s="90"/>
      <c r="D4" s="91"/>
      <c r="E4" s="52"/>
      <c r="F4" s="92" t="s">
        <v>39</v>
      </c>
      <c r="G4" s="93"/>
      <c r="H4" s="93"/>
      <c r="I4" s="94"/>
      <c r="J4" s="52"/>
      <c r="K4" s="95" t="s">
        <v>56</v>
      </c>
      <c r="L4" s="96"/>
      <c r="M4" s="97"/>
      <c r="N4" s="52"/>
      <c r="O4" s="53"/>
      <c r="P4" s="52"/>
      <c r="Q4" s="52"/>
      <c r="R4" s="51"/>
    </row>
    <row r="5" spans="1:24" x14ac:dyDescent="0.3">
      <c r="A5" s="53"/>
      <c r="B5" s="39"/>
      <c r="C5" s="40"/>
      <c r="D5" s="41"/>
      <c r="E5" s="52"/>
      <c r="F5" s="42"/>
      <c r="G5" s="43"/>
      <c r="H5" s="43"/>
      <c r="I5" s="44"/>
      <c r="J5" s="52"/>
      <c r="K5" s="45"/>
      <c r="L5" s="46"/>
      <c r="M5" s="47"/>
      <c r="N5" s="52"/>
      <c r="O5" s="53"/>
      <c r="P5" s="52"/>
      <c r="Q5" s="52"/>
      <c r="R5" s="51"/>
    </row>
    <row r="6" spans="1:24" x14ac:dyDescent="0.3">
      <c r="A6" s="53"/>
      <c r="B6" s="22" t="s">
        <v>0</v>
      </c>
      <c r="C6" s="21" t="s">
        <v>49</v>
      </c>
      <c r="D6" s="23" t="s">
        <v>57</v>
      </c>
      <c r="E6" s="52"/>
      <c r="F6" s="28" t="s">
        <v>40</v>
      </c>
      <c r="G6" s="27" t="s">
        <v>41</v>
      </c>
      <c r="H6" s="27" t="s">
        <v>42</v>
      </c>
      <c r="I6" s="29" t="s">
        <v>57</v>
      </c>
      <c r="J6" s="52"/>
      <c r="K6" s="34" t="s">
        <v>40</v>
      </c>
      <c r="L6" s="33" t="s">
        <v>49</v>
      </c>
      <c r="M6" s="35" t="s">
        <v>57</v>
      </c>
      <c r="N6" s="52"/>
      <c r="O6" s="53"/>
      <c r="P6" s="52"/>
      <c r="Q6" s="52"/>
      <c r="R6" s="51"/>
    </row>
    <row r="7" spans="1:24" x14ac:dyDescent="0.3">
      <c r="A7" s="53"/>
      <c r="B7" s="22" t="s">
        <v>34</v>
      </c>
      <c r="C7" s="21"/>
      <c r="D7" s="23"/>
      <c r="E7" s="52"/>
      <c r="F7" s="28" t="s">
        <v>43</v>
      </c>
      <c r="G7" s="27"/>
      <c r="H7" s="27"/>
      <c r="I7" s="29"/>
      <c r="J7" s="52"/>
      <c r="K7" s="34" t="s">
        <v>50</v>
      </c>
      <c r="L7" s="33"/>
      <c r="M7" s="35"/>
      <c r="N7" s="52"/>
      <c r="O7" s="53"/>
      <c r="P7" s="52"/>
      <c r="Q7" s="52"/>
      <c r="R7" s="51"/>
    </row>
    <row r="8" spans="1:24" x14ac:dyDescent="0.3">
      <c r="A8" s="53"/>
      <c r="B8" s="22" t="s">
        <v>35</v>
      </c>
      <c r="C8" s="21"/>
      <c r="D8" s="23"/>
      <c r="E8" s="52"/>
      <c r="F8" s="28" t="s">
        <v>44</v>
      </c>
      <c r="G8" s="27"/>
      <c r="H8" s="27"/>
      <c r="I8" s="29"/>
      <c r="J8" s="52"/>
      <c r="K8" s="34" t="s">
        <v>51</v>
      </c>
      <c r="L8" s="33"/>
      <c r="M8" s="35"/>
      <c r="N8" s="52"/>
      <c r="O8" s="53"/>
      <c r="P8" s="52"/>
      <c r="Q8" s="52"/>
      <c r="R8" s="51"/>
    </row>
    <row r="9" spans="1:24" x14ac:dyDescent="0.3">
      <c r="A9" s="53"/>
      <c r="B9" s="22" t="s">
        <v>36</v>
      </c>
      <c r="C9" s="21"/>
      <c r="D9" s="23"/>
      <c r="E9" s="52"/>
      <c r="F9" s="28" t="s">
        <v>45</v>
      </c>
      <c r="G9" s="27"/>
      <c r="H9" s="27"/>
      <c r="I9" s="29"/>
      <c r="J9" s="52"/>
      <c r="K9" s="34" t="s">
        <v>52</v>
      </c>
      <c r="L9" s="33"/>
      <c r="M9" s="35"/>
      <c r="N9" s="52"/>
      <c r="O9" s="53"/>
      <c r="P9" s="52"/>
      <c r="Q9" s="52"/>
      <c r="R9" s="51"/>
    </row>
    <row r="10" spans="1:24" x14ac:dyDescent="0.3">
      <c r="A10" s="53"/>
      <c r="B10" s="22" t="s">
        <v>37</v>
      </c>
      <c r="C10" s="21"/>
      <c r="D10" s="23"/>
      <c r="E10" s="52"/>
      <c r="F10" s="28" t="s">
        <v>46</v>
      </c>
      <c r="G10" s="27"/>
      <c r="H10" s="27"/>
      <c r="I10" s="29"/>
      <c r="J10" s="52"/>
      <c r="K10" s="34" t="s">
        <v>53</v>
      </c>
      <c r="L10" s="33"/>
      <c r="M10" s="35"/>
      <c r="N10" s="52"/>
      <c r="O10" s="53"/>
      <c r="P10" s="52"/>
      <c r="Q10" s="52"/>
      <c r="R10" s="51"/>
    </row>
    <row r="11" spans="1:24" x14ac:dyDescent="0.3">
      <c r="A11" s="53"/>
      <c r="B11" s="22" t="s">
        <v>38</v>
      </c>
      <c r="C11" s="21"/>
      <c r="D11" s="23"/>
      <c r="E11" s="52"/>
      <c r="F11" s="28" t="s">
        <v>47</v>
      </c>
      <c r="G11" s="27"/>
      <c r="H11" s="27"/>
      <c r="I11" s="29"/>
      <c r="J11" s="52"/>
      <c r="K11" s="34" t="s">
        <v>54</v>
      </c>
      <c r="L11" s="33"/>
      <c r="M11" s="35"/>
      <c r="N11" s="52"/>
      <c r="O11" s="53"/>
      <c r="P11" s="52"/>
      <c r="Q11" s="52"/>
      <c r="R11" s="51"/>
    </row>
    <row r="12" spans="1:24" ht="15" thickBot="1" x14ac:dyDescent="0.35">
      <c r="A12" s="53"/>
      <c r="B12" s="24"/>
      <c r="C12" s="25"/>
      <c r="D12" s="26"/>
      <c r="E12" s="52"/>
      <c r="F12" s="30" t="s">
        <v>48</v>
      </c>
      <c r="G12" s="31"/>
      <c r="H12" s="31"/>
      <c r="I12" s="32"/>
      <c r="J12" s="52"/>
      <c r="K12" s="36"/>
      <c r="L12" s="37"/>
      <c r="M12" s="38"/>
      <c r="N12" s="52"/>
      <c r="O12" s="53"/>
      <c r="P12" s="52"/>
      <c r="Q12" s="52"/>
      <c r="R12" s="51"/>
    </row>
    <row r="13" spans="1:24" ht="15" thickBot="1" x14ac:dyDescent="0.35">
      <c r="A13" s="53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3"/>
      <c r="P13" s="52"/>
      <c r="Q13" s="52"/>
      <c r="R13" s="51"/>
    </row>
    <row r="14" spans="1:24" x14ac:dyDescent="0.3">
      <c r="A14" s="57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3"/>
      <c r="P14" s="52"/>
      <c r="Q14" s="52"/>
      <c r="R14" s="51"/>
    </row>
    <row r="15" spans="1:24" x14ac:dyDescent="0.3">
      <c r="A15" s="53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1"/>
      <c r="O15" s="53"/>
      <c r="P15" s="52"/>
      <c r="Q15" s="52"/>
      <c r="R15" s="51"/>
      <c r="X15" t="s">
        <v>61</v>
      </c>
    </row>
    <row r="16" spans="1:24" x14ac:dyDescent="0.3">
      <c r="A16" s="53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1"/>
      <c r="O16" s="53"/>
      <c r="P16" s="52"/>
      <c r="Q16" s="52"/>
      <c r="R16" s="51"/>
    </row>
    <row r="17" spans="1:22" ht="15" thickBot="1" x14ac:dyDescent="0.35">
      <c r="A17" s="48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50"/>
      <c r="O17" s="53"/>
      <c r="P17" s="52"/>
      <c r="Q17" s="52"/>
      <c r="R17" s="51"/>
    </row>
    <row r="18" spans="1:22" x14ac:dyDescent="0.3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7"/>
      <c r="N18" s="54"/>
      <c r="O18" s="54"/>
      <c r="P18" s="54"/>
      <c r="Q18" s="54"/>
      <c r="R18" s="54"/>
      <c r="S18" s="54"/>
      <c r="T18" s="54"/>
      <c r="U18" s="54"/>
      <c r="V18" s="55"/>
    </row>
    <row r="19" spans="1:22" ht="15" customHeight="1" x14ac:dyDescent="0.3">
      <c r="A19" s="53"/>
      <c r="B19" s="56" t="s">
        <v>60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3"/>
      <c r="N19" s="56" t="s">
        <v>62</v>
      </c>
      <c r="O19" s="52"/>
      <c r="P19" s="52"/>
      <c r="Q19" s="52"/>
      <c r="R19" s="52"/>
      <c r="S19" s="52"/>
      <c r="T19" s="52"/>
      <c r="U19" s="52"/>
      <c r="V19" s="51"/>
    </row>
    <row r="20" spans="1:22" x14ac:dyDescent="0.3">
      <c r="A20" s="53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3"/>
      <c r="N20" s="52"/>
      <c r="O20" s="52"/>
      <c r="P20" s="52"/>
      <c r="Q20" s="52"/>
      <c r="R20" s="52"/>
      <c r="S20" s="52"/>
      <c r="T20" s="52"/>
      <c r="U20" s="52"/>
      <c r="V20" s="51"/>
    </row>
    <row r="21" spans="1:22" x14ac:dyDescent="0.3">
      <c r="A21" s="53"/>
      <c r="B21" s="59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52"/>
      <c r="M21" s="53"/>
      <c r="N21" s="52"/>
      <c r="O21" s="52"/>
      <c r="P21" s="52"/>
      <c r="Q21" s="52"/>
      <c r="R21" s="52"/>
      <c r="S21" s="52"/>
      <c r="T21" s="52"/>
      <c r="U21" s="52"/>
      <c r="V21" s="51"/>
    </row>
    <row r="22" spans="1:22" x14ac:dyDescent="0.3">
      <c r="A22" s="53"/>
      <c r="B22" s="60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52"/>
      <c r="M22" s="53"/>
      <c r="N22" s="52"/>
      <c r="O22" s="52"/>
      <c r="P22" s="52"/>
      <c r="Q22" s="52"/>
      <c r="R22" s="52"/>
      <c r="S22" s="52"/>
      <c r="T22" s="52"/>
      <c r="U22" s="52"/>
      <c r="V22" s="51"/>
    </row>
    <row r="23" spans="1:22" x14ac:dyDescent="0.3">
      <c r="A23" s="53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52"/>
      <c r="M23" s="53"/>
      <c r="N23" s="52"/>
      <c r="O23" s="52"/>
      <c r="P23" s="52"/>
      <c r="Q23" s="52"/>
      <c r="R23" s="52"/>
      <c r="S23" s="52"/>
      <c r="T23" s="52"/>
      <c r="U23" s="52"/>
      <c r="V23" s="51"/>
    </row>
    <row r="24" spans="1:22" x14ac:dyDescent="0.3">
      <c r="A24" s="53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52"/>
      <c r="M24" s="53"/>
      <c r="N24" s="52"/>
      <c r="O24" s="52"/>
      <c r="P24" s="52"/>
      <c r="Q24" s="52"/>
      <c r="R24" s="52"/>
      <c r="S24" s="52"/>
      <c r="T24" s="52"/>
      <c r="U24" s="52"/>
      <c r="V24" s="51"/>
    </row>
    <row r="25" spans="1:22" x14ac:dyDescent="0.3">
      <c r="A25" s="53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52"/>
      <c r="M25" s="53"/>
      <c r="N25" s="52"/>
      <c r="O25" s="52"/>
      <c r="P25" s="52"/>
      <c r="Q25" s="52"/>
      <c r="R25" s="52"/>
      <c r="S25" s="52"/>
      <c r="T25" s="52"/>
      <c r="U25" s="52"/>
      <c r="V25" s="51"/>
    </row>
    <row r="26" spans="1:22" x14ac:dyDescent="0.3">
      <c r="A26" s="53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52"/>
      <c r="M26" s="53"/>
      <c r="N26" s="52"/>
      <c r="O26" s="52"/>
      <c r="P26" s="52"/>
      <c r="Q26" s="52"/>
      <c r="R26" s="52"/>
      <c r="S26" s="52"/>
      <c r="T26" s="52"/>
      <c r="U26" s="52"/>
      <c r="V26" s="51"/>
    </row>
    <row r="27" spans="1:22" x14ac:dyDescent="0.3">
      <c r="A27" s="53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52"/>
      <c r="M27" s="53"/>
      <c r="N27" s="52"/>
      <c r="O27" s="52"/>
      <c r="P27" s="52"/>
      <c r="Q27" s="52"/>
      <c r="R27" s="52"/>
      <c r="S27" s="52"/>
      <c r="T27" s="52"/>
      <c r="U27" s="52"/>
      <c r="V27" s="51"/>
    </row>
    <row r="28" spans="1:22" x14ac:dyDescent="0.3">
      <c r="A28" s="53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52"/>
      <c r="M28" s="53"/>
      <c r="N28" s="52"/>
      <c r="O28" s="52"/>
      <c r="P28" s="52"/>
      <c r="Q28" s="52"/>
      <c r="R28" s="52"/>
      <c r="S28" s="52"/>
      <c r="T28" s="52"/>
      <c r="U28" s="52"/>
      <c r="V28" s="51"/>
    </row>
    <row r="29" spans="1:22" x14ac:dyDescent="0.3">
      <c r="A29" s="53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52"/>
      <c r="M29" s="53"/>
      <c r="N29" s="52"/>
      <c r="O29" s="52"/>
      <c r="P29" s="52"/>
      <c r="Q29" s="52"/>
      <c r="R29" s="52"/>
      <c r="S29" s="52"/>
      <c r="T29" s="52"/>
      <c r="U29" s="52"/>
      <c r="V29" s="51"/>
    </row>
    <row r="30" spans="1:22" x14ac:dyDescent="0.3">
      <c r="A30" s="53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52"/>
      <c r="M30" s="53"/>
      <c r="N30" s="52"/>
      <c r="O30" s="52"/>
      <c r="P30" s="52"/>
      <c r="Q30" s="52"/>
      <c r="R30" s="52"/>
      <c r="S30" s="52"/>
      <c r="T30" s="52"/>
      <c r="U30" s="52"/>
      <c r="V30" s="51"/>
    </row>
    <row r="31" spans="1:22" x14ac:dyDescent="0.3">
      <c r="A31" s="53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52"/>
      <c r="M31" s="53"/>
      <c r="N31" s="52"/>
      <c r="O31" s="52"/>
      <c r="P31" s="52"/>
      <c r="Q31" s="52"/>
      <c r="R31" s="52"/>
      <c r="S31" s="52"/>
      <c r="T31" s="52"/>
      <c r="U31" s="52"/>
      <c r="V31" s="51"/>
    </row>
    <row r="32" spans="1:22" x14ac:dyDescent="0.3">
      <c r="A32" s="53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52"/>
      <c r="M32" s="53"/>
      <c r="N32" s="52"/>
      <c r="O32" s="52"/>
      <c r="P32" s="52"/>
      <c r="Q32" s="52"/>
      <c r="R32" s="52"/>
      <c r="S32" s="52"/>
      <c r="T32" s="52"/>
      <c r="U32" s="52"/>
      <c r="V32" s="51"/>
    </row>
    <row r="33" spans="1:22" x14ac:dyDescent="0.3">
      <c r="A33" s="53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52"/>
      <c r="M33" s="53"/>
      <c r="N33" s="52"/>
      <c r="O33" s="52"/>
      <c r="P33" s="52"/>
      <c r="Q33" s="52"/>
      <c r="R33" s="52"/>
      <c r="S33" s="52"/>
      <c r="T33" s="52"/>
      <c r="U33" s="52"/>
      <c r="V33" s="51"/>
    </row>
    <row r="34" spans="1:22" x14ac:dyDescent="0.3">
      <c r="A34" s="53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52"/>
      <c r="M34" s="53"/>
      <c r="N34" s="52"/>
      <c r="O34" s="52"/>
      <c r="P34" s="52"/>
      <c r="Q34" s="52"/>
      <c r="R34" s="52"/>
      <c r="S34" s="52"/>
      <c r="T34" s="52"/>
      <c r="U34" s="52"/>
      <c r="V34" s="51"/>
    </row>
    <row r="35" spans="1:22" x14ac:dyDescent="0.3">
      <c r="A35" s="53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52"/>
      <c r="M35" s="53"/>
      <c r="N35" s="52"/>
      <c r="O35" s="52"/>
      <c r="P35" s="52"/>
      <c r="Q35" s="52"/>
      <c r="R35" s="52"/>
      <c r="S35" s="52"/>
      <c r="T35" s="52"/>
      <c r="U35" s="52"/>
      <c r="V35" s="51"/>
    </row>
    <row r="36" spans="1:22" x14ac:dyDescent="0.3">
      <c r="A36" s="53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52"/>
      <c r="M36" s="53"/>
      <c r="N36" s="52"/>
      <c r="O36" s="52"/>
      <c r="P36" s="52"/>
      <c r="Q36" s="52"/>
      <c r="R36" s="52"/>
      <c r="S36" s="52"/>
      <c r="T36" s="52"/>
      <c r="U36" s="52"/>
      <c r="V36" s="51"/>
    </row>
    <row r="37" spans="1:22" x14ac:dyDescent="0.3">
      <c r="A37" s="53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52"/>
      <c r="M37" s="53"/>
      <c r="N37" s="52"/>
      <c r="O37" s="52"/>
      <c r="P37" s="52"/>
      <c r="Q37" s="52"/>
      <c r="R37" s="52"/>
      <c r="S37" s="52"/>
      <c r="T37" s="52"/>
      <c r="U37" s="52"/>
      <c r="V37" s="51"/>
    </row>
    <row r="38" spans="1:22" x14ac:dyDescent="0.3">
      <c r="A38" s="53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52"/>
      <c r="M38" s="53"/>
      <c r="N38" s="52"/>
      <c r="O38" s="52"/>
      <c r="P38" s="52"/>
      <c r="Q38" s="52"/>
      <c r="R38" s="52"/>
      <c r="S38" s="52"/>
      <c r="T38" s="52"/>
      <c r="U38" s="52"/>
      <c r="V38" s="51"/>
    </row>
    <row r="39" spans="1:22" x14ac:dyDescent="0.3">
      <c r="A39" s="53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52"/>
      <c r="M39" s="53"/>
      <c r="N39" s="52"/>
      <c r="O39" s="52"/>
      <c r="P39" s="52"/>
      <c r="Q39" s="52"/>
      <c r="R39" s="52"/>
      <c r="S39" s="52"/>
      <c r="T39" s="52"/>
      <c r="U39" s="52"/>
      <c r="V39" s="51"/>
    </row>
    <row r="40" spans="1:22" x14ac:dyDescent="0.3">
      <c r="A40" s="53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52"/>
      <c r="M40" s="53"/>
      <c r="N40" s="52"/>
      <c r="O40" s="52"/>
      <c r="P40" s="52"/>
      <c r="Q40" s="52"/>
      <c r="R40" s="52"/>
      <c r="S40" s="52"/>
      <c r="T40" s="52"/>
      <c r="U40" s="52"/>
      <c r="V40" s="51"/>
    </row>
    <row r="41" spans="1:22" x14ac:dyDescent="0.3">
      <c r="A41" s="53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52"/>
      <c r="M41" s="53"/>
      <c r="N41" s="52"/>
      <c r="O41" s="52"/>
      <c r="P41" s="52"/>
      <c r="Q41" s="52"/>
      <c r="R41" s="52"/>
      <c r="S41" s="52"/>
      <c r="T41" s="52"/>
      <c r="U41" s="52"/>
      <c r="V41" s="51"/>
    </row>
    <row r="42" spans="1:22" x14ac:dyDescent="0.3">
      <c r="A42" s="53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52"/>
      <c r="M42" s="53"/>
      <c r="N42" s="52"/>
      <c r="O42" s="52"/>
      <c r="P42" s="52"/>
      <c r="Q42" s="52"/>
      <c r="R42" s="52"/>
      <c r="S42" s="52"/>
      <c r="T42" s="52"/>
      <c r="U42" s="52"/>
      <c r="V42" s="51"/>
    </row>
    <row r="43" spans="1:22" x14ac:dyDescent="0.3">
      <c r="A43" s="53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52"/>
      <c r="M43" s="53"/>
      <c r="N43" s="52"/>
      <c r="O43" s="52"/>
      <c r="P43" s="52"/>
      <c r="Q43" s="52"/>
      <c r="R43" s="52"/>
      <c r="S43" s="52"/>
      <c r="T43" s="52"/>
      <c r="U43" s="52"/>
      <c r="V43" s="51"/>
    </row>
    <row r="44" spans="1:22" x14ac:dyDescent="0.3">
      <c r="A44" s="53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52"/>
      <c r="M44" s="53"/>
      <c r="N44" s="52"/>
      <c r="O44" s="52"/>
      <c r="P44" s="52"/>
      <c r="Q44" s="52"/>
      <c r="R44" s="52"/>
      <c r="S44" s="52"/>
      <c r="T44" s="52"/>
      <c r="U44" s="52"/>
      <c r="V44" s="51"/>
    </row>
    <row r="45" spans="1:22" x14ac:dyDescent="0.3">
      <c r="A45" s="53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52"/>
      <c r="M45" s="53"/>
      <c r="N45" s="52"/>
      <c r="O45" s="52"/>
      <c r="P45" s="52"/>
      <c r="Q45" s="52"/>
      <c r="R45" s="52"/>
      <c r="S45" s="52"/>
      <c r="T45" s="52"/>
      <c r="U45" s="52"/>
      <c r="V45" s="51"/>
    </row>
    <row r="46" spans="1:22" x14ac:dyDescent="0.3">
      <c r="A46" s="53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52"/>
      <c r="M46" s="53"/>
      <c r="N46" s="52"/>
      <c r="O46" s="52"/>
      <c r="P46" s="52"/>
      <c r="Q46" s="52"/>
      <c r="R46" s="52"/>
      <c r="S46" s="52"/>
      <c r="T46" s="52"/>
      <c r="U46" s="52"/>
      <c r="V46" s="51"/>
    </row>
    <row r="47" spans="1:22" x14ac:dyDescent="0.3">
      <c r="A47" s="53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52"/>
      <c r="M47" s="53"/>
      <c r="N47" s="52"/>
      <c r="O47" s="52"/>
      <c r="P47" s="52"/>
      <c r="Q47" s="52"/>
      <c r="R47" s="52"/>
      <c r="S47" s="52"/>
      <c r="T47" s="52"/>
      <c r="U47" s="52"/>
      <c r="V47" s="51"/>
    </row>
    <row r="48" spans="1:22" x14ac:dyDescent="0.3">
      <c r="A48" s="53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3"/>
      <c r="N48" s="52"/>
      <c r="O48" s="52"/>
      <c r="P48" s="52"/>
      <c r="Q48" s="52"/>
      <c r="R48" s="52"/>
      <c r="S48" s="52"/>
      <c r="T48" s="52"/>
      <c r="U48" s="52"/>
      <c r="V48" s="51"/>
    </row>
    <row r="49" spans="1:22" x14ac:dyDescent="0.3">
      <c r="A49" s="53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3"/>
      <c r="N49" s="52"/>
      <c r="O49" s="52"/>
      <c r="P49" s="52"/>
      <c r="Q49" s="52"/>
      <c r="R49" s="52"/>
      <c r="S49" s="52"/>
      <c r="T49" s="52"/>
      <c r="U49" s="52"/>
      <c r="V49" s="51"/>
    </row>
    <row r="50" spans="1:22" x14ac:dyDescent="0.3">
      <c r="A50" s="53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3"/>
      <c r="N50" s="52"/>
      <c r="O50" s="52"/>
      <c r="P50" s="52"/>
      <c r="Q50" s="52"/>
      <c r="R50" s="52"/>
      <c r="S50" s="52"/>
      <c r="T50" s="52"/>
      <c r="U50" s="52"/>
      <c r="V50" s="51"/>
    </row>
    <row r="51" spans="1:22" x14ac:dyDescent="0.3">
      <c r="A51" s="53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3"/>
      <c r="N51" s="52"/>
      <c r="O51" s="52"/>
      <c r="P51" s="52"/>
      <c r="Q51" s="52"/>
      <c r="R51" s="52"/>
      <c r="S51" s="52"/>
      <c r="T51" s="52"/>
      <c r="U51" s="52"/>
      <c r="V51" s="51"/>
    </row>
    <row r="52" spans="1:22" x14ac:dyDescent="0.3">
      <c r="A52" s="53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3"/>
      <c r="N52" s="52"/>
      <c r="O52" s="52"/>
      <c r="P52" s="52"/>
      <c r="Q52" s="52"/>
      <c r="R52" s="52"/>
      <c r="S52" s="52"/>
      <c r="T52" s="52"/>
      <c r="U52" s="52"/>
      <c r="V52" s="51"/>
    </row>
    <row r="53" spans="1:22" x14ac:dyDescent="0.3">
      <c r="A53" s="53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3"/>
      <c r="N53" s="52"/>
      <c r="O53" s="52"/>
      <c r="P53" s="52"/>
      <c r="Q53" s="52"/>
      <c r="R53" s="52"/>
      <c r="S53" s="52"/>
      <c r="T53" s="52"/>
      <c r="U53" s="52"/>
      <c r="V53" s="51"/>
    </row>
    <row r="54" spans="1:22" x14ac:dyDescent="0.3">
      <c r="A54" s="53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3"/>
      <c r="N54" s="52"/>
      <c r="O54" s="52"/>
      <c r="P54" s="52"/>
      <c r="Q54" s="52"/>
      <c r="R54" s="52"/>
      <c r="S54" s="52"/>
      <c r="T54" s="52"/>
      <c r="U54" s="52"/>
      <c r="V54" s="51"/>
    </row>
    <row r="55" spans="1:22" x14ac:dyDescent="0.3">
      <c r="A55" s="53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3"/>
      <c r="N55" s="52"/>
      <c r="O55" s="52"/>
      <c r="P55" s="52"/>
      <c r="Q55" s="52"/>
      <c r="R55" s="52"/>
      <c r="S55" s="52"/>
      <c r="T55" s="52"/>
      <c r="U55" s="52"/>
      <c r="V55" s="51"/>
    </row>
    <row r="56" spans="1:22" x14ac:dyDescent="0.3">
      <c r="A56" s="53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3"/>
      <c r="N56" s="52"/>
      <c r="O56" s="52"/>
      <c r="P56" s="52"/>
      <c r="Q56" s="52"/>
      <c r="R56" s="52"/>
      <c r="S56" s="52"/>
      <c r="T56" s="52"/>
      <c r="U56" s="52"/>
      <c r="V56" s="51"/>
    </row>
    <row r="57" spans="1:22" x14ac:dyDescent="0.3">
      <c r="A57" s="53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3"/>
      <c r="N57" s="52"/>
      <c r="O57" s="52"/>
      <c r="P57" s="52"/>
      <c r="Q57" s="52"/>
      <c r="R57" s="52"/>
      <c r="S57" s="52"/>
      <c r="T57" s="52"/>
      <c r="U57" s="52"/>
      <c r="V57" s="51"/>
    </row>
    <row r="58" spans="1:22" x14ac:dyDescent="0.3">
      <c r="A58" s="53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3"/>
      <c r="N58" s="52"/>
      <c r="O58" s="52"/>
      <c r="P58" s="52"/>
      <c r="Q58" s="52"/>
      <c r="R58" s="52"/>
      <c r="S58" s="52"/>
      <c r="T58" s="52"/>
      <c r="U58" s="52"/>
      <c r="V58" s="51"/>
    </row>
    <row r="59" spans="1:22" x14ac:dyDescent="0.3">
      <c r="A59" s="53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3"/>
      <c r="N59" s="52"/>
      <c r="O59" s="52"/>
      <c r="P59" s="52"/>
      <c r="Q59" s="52"/>
      <c r="R59" s="52"/>
      <c r="S59" s="52"/>
      <c r="T59" s="52"/>
      <c r="U59" s="52"/>
      <c r="V59" s="51"/>
    </row>
    <row r="60" spans="1:22" x14ac:dyDescent="0.3">
      <c r="A60" s="53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3"/>
      <c r="N60" s="52"/>
      <c r="O60" s="52"/>
      <c r="P60" s="52"/>
      <c r="Q60" s="52"/>
      <c r="R60" s="52"/>
      <c r="S60" s="52"/>
      <c r="T60" s="52"/>
      <c r="U60" s="52"/>
      <c r="V60" s="51"/>
    </row>
    <row r="61" spans="1:22" x14ac:dyDescent="0.3">
      <c r="A61" s="53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3"/>
      <c r="N61" s="52"/>
      <c r="O61" s="52"/>
      <c r="P61" s="52"/>
      <c r="Q61" s="52"/>
      <c r="R61" s="52"/>
      <c r="S61" s="52"/>
      <c r="T61" s="52"/>
      <c r="U61" s="52"/>
      <c r="V61" s="51"/>
    </row>
    <row r="62" spans="1:22" x14ac:dyDescent="0.3">
      <c r="A62" s="53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3"/>
      <c r="N62" s="52"/>
      <c r="O62" s="52"/>
      <c r="P62" s="52"/>
      <c r="Q62" s="52"/>
      <c r="R62" s="52"/>
      <c r="S62" s="52"/>
      <c r="T62" s="52"/>
      <c r="U62" s="52"/>
      <c r="V62" s="51"/>
    </row>
    <row r="63" spans="1:22" x14ac:dyDescent="0.3">
      <c r="A63" s="53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3"/>
      <c r="N63" s="52"/>
      <c r="O63" s="52"/>
      <c r="P63" s="52"/>
      <c r="Q63" s="52"/>
      <c r="R63" s="52"/>
      <c r="S63" s="52"/>
      <c r="T63" s="52"/>
      <c r="U63" s="52"/>
      <c r="V63" s="51"/>
    </row>
    <row r="64" spans="1:22" x14ac:dyDescent="0.3">
      <c r="A64" s="53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3"/>
      <c r="N64" s="52"/>
      <c r="O64" s="52"/>
      <c r="P64" s="52"/>
      <c r="Q64" s="52"/>
      <c r="R64" s="52"/>
      <c r="S64" s="52"/>
      <c r="T64" s="52"/>
      <c r="U64" s="52"/>
      <c r="V64" s="51"/>
    </row>
    <row r="65" spans="1:22" x14ac:dyDescent="0.3">
      <c r="A65" s="53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3"/>
      <c r="N65" s="52"/>
      <c r="O65" s="52"/>
      <c r="P65" s="52"/>
      <c r="Q65" s="52"/>
      <c r="R65" s="52"/>
      <c r="S65" s="52"/>
      <c r="T65" s="52"/>
      <c r="U65" s="52"/>
      <c r="V65" s="51"/>
    </row>
    <row r="66" spans="1:22" x14ac:dyDescent="0.3">
      <c r="A66" s="53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3"/>
      <c r="N66" s="52"/>
      <c r="O66" s="52"/>
      <c r="P66" s="52"/>
      <c r="Q66" s="52"/>
      <c r="R66" s="52"/>
      <c r="S66" s="52"/>
      <c r="T66" s="52"/>
      <c r="U66" s="52"/>
      <c r="V66" s="51"/>
    </row>
    <row r="67" spans="1:22" ht="15" thickBot="1" x14ac:dyDescent="0.35">
      <c r="A67" s="53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48"/>
      <c r="N67" s="49"/>
      <c r="O67" s="49"/>
      <c r="P67" s="49"/>
      <c r="Q67" s="49"/>
      <c r="R67" s="49"/>
      <c r="S67" s="49"/>
      <c r="T67" s="49"/>
      <c r="U67" s="49"/>
      <c r="V67" s="50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6:DT162"/>
  <sheetViews>
    <sheetView zoomScale="70" zoomScaleNormal="70" workbookViewId="0">
      <selection activeCell="K3" sqref="K3"/>
    </sheetView>
  </sheetViews>
  <sheetFormatPr baseColWidth="10" defaultColWidth="11.33203125" defaultRowHeight="14.4" outlineLevelCol="1" x14ac:dyDescent="0.3"/>
  <cols>
    <col min="1" max="1" width="43.33203125" customWidth="1"/>
    <col min="2" max="2" width="30.33203125" customWidth="1"/>
    <col min="3" max="3" width="12.6640625" customWidth="1"/>
    <col min="5" max="5" width="14.5546875" customWidth="1"/>
    <col min="6" max="10" width="11.33203125" customWidth="1"/>
    <col min="11" max="11" width="11.88671875" customWidth="1"/>
    <col min="12" max="12" width="12.33203125" customWidth="1"/>
    <col min="13" max="13" width="11.33203125" customWidth="1"/>
    <col min="14" max="14" width="16.33203125" customWidth="1"/>
    <col min="15" max="15" width="22.44140625" customWidth="1"/>
    <col min="16" max="16" width="14.109375" customWidth="1"/>
    <col min="17" max="17" width="13.44140625" customWidth="1"/>
    <col min="19" max="19" width="20.44140625" customWidth="1"/>
    <col min="21" max="21" width="11.33203125" hidden="1" customWidth="1" outlineLevel="1"/>
    <col min="22" max="22" width="12.6640625" hidden="1" customWidth="1" outlineLevel="1"/>
    <col min="23" max="23" width="11.33203125" hidden="1" customWidth="1" outlineLevel="1"/>
    <col min="24" max="24" width="14.5546875" hidden="1" customWidth="1" outlineLevel="1"/>
    <col min="25" max="34" width="11.33203125" hidden="1" customWidth="1" outlineLevel="1"/>
    <col min="35" max="35" width="11.33203125" collapsed="1"/>
    <col min="36" max="36" width="28.33203125" customWidth="1"/>
    <col min="41" max="42" width="15.44140625" customWidth="1"/>
    <col min="43" max="43" width="23.109375" customWidth="1"/>
    <col min="62" max="75" width="11.33203125" hidden="1" customWidth="1" outlineLevel="1"/>
    <col min="76" max="76" width="11.33203125" collapsed="1"/>
    <col min="80" max="83" width="11.33203125" customWidth="1"/>
    <col min="85" max="85" width="23.109375" customWidth="1"/>
    <col min="104" max="117" width="0" hidden="1" customWidth="1" outlineLevel="1"/>
    <col min="118" max="118" width="11.33203125" collapsed="1"/>
  </cols>
  <sheetData>
    <row r="6" spans="1:124" ht="18" x14ac:dyDescent="0.35">
      <c r="B6" s="78" t="s">
        <v>111</v>
      </c>
      <c r="T6" t="s">
        <v>117</v>
      </c>
      <c r="AQ6" s="78" t="s">
        <v>151</v>
      </c>
      <c r="BI6" t="s">
        <v>117</v>
      </c>
      <c r="CG6" s="78" t="s">
        <v>120</v>
      </c>
      <c r="CY6" t="s">
        <v>117</v>
      </c>
    </row>
    <row r="8" spans="1:124" ht="23.4" customHeight="1" x14ac:dyDescent="0.3">
      <c r="C8" s="79" t="s">
        <v>161</v>
      </c>
      <c r="AR8" s="79" t="s">
        <v>112</v>
      </c>
      <c r="CH8" s="79" t="s">
        <v>160</v>
      </c>
    </row>
    <row r="9" spans="1:124" ht="21.6" customHeight="1" x14ac:dyDescent="0.3"/>
    <row r="12" spans="1:124" x14ac:dyDescent="0.3">
      <c r="A12" s="80" t="s">
        <v>113</v>
      </c>
      <c r="B12" t="s">
        <v>123</v>
      </c>
      <c r="C12" t="s">
        <v>124</v>
      </c>
      <c r="D12" t="s">
        <v>121</v>
      </c>
      <c r="E12" t="s">
        <v>125</v>
      </c>
      <c r="F12" t="s">
        <v>122</v>
      </c>
      <c r="G12" t="s">
        <v>126</v>
      </c>
      <c r="H12" s="81"/>
      <c r="U12" t="s">
        <v>123</v>
      </c>
      <c r="V12" t="s">
        <v>124</v>
      </c>
      <c r="W12" t="s">
        <v>121</v>
      </c>
      <c r="X12" t="s">
        <v>125</v>
      </c>
      <c r="Y12" t="s">
        <v>122</v>
      </c>
      <c r="Z12" t="s">
        <v>126</v>
      </c>
      <c r="AJ12" t="s">
        <v>123</v>
      </c>
      <c r="AK12" t="s">
        <v>124</v>
      </c>
      <c r="AL12" t="s">
        <v>121</v>
      </c>
      <c r="AM12" t="s">
        <v>125</v>
      </c>
      <c r="AN12" t="s">
        <v>122</v>
      </c>
      <c r="AO12" t="s">
        <v>126</v>
      </c>
      <c r="AQ12" t="s">
        <v>123</v>
      </c>
      <c r="AR12" t="s">
        <v>124</v>
      </c>
      <c r="AS12" t="s">
        <v>121</v>
      </c>
      <c r="AT12" t="s">
        <v>125</v>
      </c>
      <c r="AU12" t="s">
        <v>122</v>
      </c>
      <c r="AV12" t="s">
        <v>126</v>
      </c>
      <c r="AW12" s="81"/>
      <c r="BJ12" t="s">
        <v>123</v>
      </c>
      <c r="BK12" t="s">
        <v>124</v>
      </c>
      <c r="BL12" t="s">
        <v>121</v>
      </c>
      <c r="BM12" t="s">
        <v>125</v>
      </c>
      <c r="BN12" t="s">
        <v>122</v>
      </c>
      <c r="BO12" t="s">
        <v>126</v>
      </c>
      <c r="BY12" t="s">
        <v>123</v>
      </c>
      <c r="BZ12" t="s">
        <v>124</v>
      </c>
      <c r="CA12" t="s">
        <v>121</v>
      </c>
      <c r="CB12" t="s">
        <v>125</v>
      </c>
      <c r="CC12" t="s">
        <v>122</v>
      </c>
      <c r="CD12" t="s">
        <v>126</v>
      </c>
      <c r="CE12" s="88"/>
      <c r="CG12" t="s">
        <v>123</v>
      </c>
      <c r="CH12" t="s">
        <v>124</v>
      </c>
      <c r="CI12" t="s">
        <v>121</v>
      </c>
      <c r="CJ12" t="s">
        <v>125</v>
      </c>
      <c r="CK12" t="s">
        <v>122</v>
      </c>
      <c r="CL12" t="s">
        <v>126</v>
      </c>
      <c r="CM12" s="81"/>
      <c r="CZ12" t="s">
        <v>123</v>
      </c>
      <c r="DA12" t="s">
        <v>124</v>
      </c>
      <c r="DB12" t="s">
        <v>121</v>
      </c>
      <c r="DC12" t="s">
        <v>125</v>
      </c>
      <c r="DD12" t="s">
        <v>122</v>
      </c>
      <c r="DE12" t="s">
        <v>126</v>
      </c>
      <c r="DO12" t="s">
        <v>123</v>
      </c>
      <c r="DP12" t="s">
        <v>124</v>
      </c>
      <c r="DQ12" t="s">
        <v>121</v>
      </c>
      <c r="DR12" t="s">
        <v>125</v>
      </c>
      <c r="DS12" t="s">
        <v>122</v>
      </c>
      <c r="DT12" t="s">
        <v>126</v>
      </c>
    </row>
    <row r="13" spans="1:124" x14ac:dyDescent="0.3">
      <c r="A13" s="82" t="s">
        <v>119</v>
      </c>
      <c r="B13" s="111" t="s">
        <v>132</v>
      </c>
      <c r="C13" s="111" t="s">
        <v>133</v>
      </c>
      <c r="D13" s="111" t="s">
        <v>129</v>
      </c>
      <c r="E13" s="111" t="s">
        <v>134</v>
      </c>
      <c r="F13" s="111">
        <v>39.799999999999997</v>
      </c>
      <c r="G13" s="112" t="s">
        <v>131</v>
      </c>
      <c r="H13" s="81" t="s">
        <v>131</v>
      </c>
      <c r="U13" t="s">
        <v>132</v>
      </c>
      <c r="V13" t="s">
        <v>133</v>
      </c>
      <c r="W13" t="s">
        <v>129</v>
      </c>
      <c r="X13" t="s">
        <v>134</v>
      </c>
      <c r="Y13">
        <v>39.799999999999997</v>
      </c>
      <c r="Z13" t="s">
        <v>131</v>
      </c>
      <c r="AJ13" t="s">
        <v>127</v>
      </c>
      <c r="AK13" t="s">
        <v>128</v>
      </c>
      <c r="AL13" t="s">
        <v>129</v>
      </c>
      <c r="AM13" t="s">
        <v>130</v>
      </c>
      <c r="AN13">
        <v>39.799999999999997</v>
      </c>
      <c r="AO13" t="s">
        <v>131</v>
      </c>
      <c r="AQ13" s="111" t="s">
        <v>132</v>
      </c>
      <c r="AR13" s="111" t="s">
        <v>133</v>
      </c>
      <c r="AS13" s="111" t="s">
        <v>129</v>
      </c>
      <c r="AT13" s="111" t="s">
        <v>134</v>
      </c>
      <c r="AU13" s="111">
        <v>39.799999999999997</v>
      </c>
      <c r="AV13" s="112" t="s">
        <v>131</v>
      </c>
      <c r="AW13" s="81" t="s">
        <v>131</v>
      </c>
      <c r="BJ13" t="s">
        <v>132</v>
      </c>
      <c r="BK13" t="s">
        <v>133</v>
      </c>
      <c r="BL13" t="s">
        <v>129</v>
      </c>
      <c r="BM13" t="s">
        <v>134</v>
      </c>
      <c r="BN13">
        <v>39.799999999999997</v>
      </c>
      <c r="BO13" t="s">
        <v>131</v>
      </c>
      <c r="BY13" t="s">
        <v>127</v>
      </c>
      <c r="BZ13" t="s">
        <v>128</v>
      </c>
      <c r="CA13" t="s">
        <v>129</v>
      </c>
      <c r="CB13" t="s">
        <v>130</v>
      </c>
      <c r="CC13">
        <v>39.799999999999997</v>
      </c>
      <c r="CD13" t="s">
        <v>131</v>
      </c>
      <c r="CG13" s="111" t="s">
        <v>127</v>
      </c>
      <c r="CH13" s="111" t="s">
        <v>128</v>
      </c>
      <c r="CI13" s="111" t="s">
        <v>129</v>
      </c>
      <c r="CJ13" s="111" t="s">
        <v>130</v>
      </c>
      <c r="CK13" s="111">
        <v>39.799999999999997</v>
      </c>
      <c r="CL13" s="112" t="s">
        <v>131</v>
      </c>
      <c r="CM13" s="81" t="s">
        <v>131</v>
      </c>
      <c r="CZ13" t="s">
        <v>127</v>
      </c>
      <c r="DA13" t="s">
        <v>128</v>
      </c>
      <c r="DB13" t="s">
        <v>129</v>
      </c>
      <c r="DC13" t="s">
        <v>130</v>
      </c>
      <c r="DD13">
        <v>39.799999999999997</v>
      </c>
      <c r="DE13" t="s">
        <v>131</v>
      </c>
      <c r="DO13" t="s">
        <v>127</v>
      </c>
      <c r="DP13" t="s">
        <v>128</v>
      </c>
      <c r="DQ13" t="s">
        <v>129</v>
      </c>
      <c r="DR13" t="s">
        <v>130</v>
      </c>
      <c r="DS13">
        <v>39.799999999999997</v>
      </c>
      <c r="DT13" t="s">
        <v>131</v>
      </c>
    </row>
    <row r="14" spans="1:124" x14ac:dyDescent="0.3">
      <c r="A14" s="82"/>
      <c r="B14" s="83"/>
      <c r="G14" s="81"/>
      <c r="U14" s="87"/>
      <c r="V14" s="86"/>
      <c r="W14" s="86"/>
      <c r="X14" s="86"/>
      <c r="Y14" s="86"/>
      <c r="AJ14" t="s">
        <v>132</v>
      </c>
      <c r="AK14" t="s">
        <v>133</v>
      </c>
      <c r="AL14" t="s">
        <v>129</v>
      </c>
      <c r="AM14" t="s">
        <v>134</v>
      </c>
      <c r="AN14">
        <v>39.799999999999997</v>
      </c>
      <c r="AO14" t="s">
        <v>131</v>
      </c>
      <c r="AQ14" s="83"/>
      <c r="AV14" s="81"/>
      <c r="BJ14" s="87"/>
      <c r="BK14" s="86"/>
      <c r="BL14" s="86"/>
      <c r="BM14" s="86"/>
      <c r="BN14" s="86"/>
      <c r="BY14" t="s">
        <v>132</v>
      </c>
      <c r="BZ14" t="s">
        <v>133</v>
      </c>
      <c r="CA14" t="s">
        <v>129</v>
      </c>
      <c r="CB14" t="s">
        <v>134</v>
      </c>
      <c r="CC14">
        <v>39.799999999999997</v>
      </c>
      <c r="CD14" t="s">
        <v>131</v>
      </c>
      <c r="CG14" s="83"/>
      <c r="CL14" s="81"/>
      <c r="CZ14" s="87"/>
      <c r="DA14" s="86"/>
      <c r="DB14" s="86"/>
      <c r="DC14" s="86"/>
      <c r="DD14" s="86"/>
      <c r="DO14" t="s">
        <v>132</v>
      </c>
      <c r="DP14" t="s">
        <v>133</v>
      </c>
      <c r="DQ14" t="s">
        <v>129</v>
      </c>
      <c r="DR14" t="s">
        <v>134</v>
      </c>
      <c r="DS14">
        <v>39.799999999999997</v>
      </c>
      <c r="DT14" t="s">
        <v>131</v>
      </c>
    </row>
    <row r="15" spans="1:124" x14ac:dyDescent="0.3">
      <c r="A15" s="80" t="s">
        <v>114</v>
      </c>
      <c r="B15" t="s">
        <v>123</v>
      </c>
      <c r="C15" t="s">
        <v>124</v>
      </c>
      <c r="D15" t="s">
        <v>121</v>
      </c>
      <c r="E15" t="s">
        <v>125</v>
      </c>
      <c r="F15" t="s">
        <v>122</v>
      </c>
      <c r="G15" t="s">
        <v>126</v>
      </c>
      <c r="AQ15" t="s">
        <v>123</v>
      </c>
      <c r="AR15" t="s">
        <v>124</v>
      </c>
      <c r="AS15" t="s">
        <v>121</v>
      </c>
      <c r="AT15" t="s">
        <v>125</v>
      </c>
      <c r="AU15" t="s">
        <v>122</v>
      </c>
      <c r="AV15" t="s">
        <v>126</v>
      </c>
      <c r="CG15" t="s">
        <v>123</v>
      </c>
      <c r="CH15" t="s">
        <v>124</v>
      </c>
      <c r="CI15" t="s">
        <v>121</v>
      </c>
      <c r="CJ15" t="s">
        <v>125</v>
      </c>
      <c r="CK15" t="s">
        <v>122</v>
      </c>
      <c r="CL15" t="s">
        <v>126</v>
      </c>
    </row>
    <row r="16" spans="1:124" x14ac:dyDescent="0.3">
      <c r="A16" s="82" t="s">
        <v>115</v>
      </c>
      <c r="G16" s="81"/>
      <c r="U16" s="84" t="s">
        <v>118</v>
      </c>
      <c r="AV16" s="81"/>
      <c r="BJ16" s="84" t="s">
        <v>118</v>
      </c>
      <c r="CL16" s="81"/>
      <c r="CZ16" s="84" t="s">
        <v>118</v>
      </c>
    </row>
    <row r="17" spans="1:117" x14ac:dyDescent="0.3">
      <c r="A17" s="82"/>
      <c r="B17" s="83"/>
      <c r="AQ17" s="83"/>
      <c r="CG17" s="83"/>
    </row>
    <row r="18" spans="1:117" x14ac:dyDescent="0.3">
      <c r="A18" s="82" t="s">
        <v>116</v>
      </c>
      <c r="B18" t="s">
        <v>1</v>
      </c>
      <c r="C18" t="s">
        <v>146</v>
      </c>
      <c r="D18" t="s">
        <v>147</v>
      </c>
      <c r="E18" t="s">
        <v>148</v>
      </c>
      <c r="F18" t="s">
        <v>149</v>
      </c>
      <c r="G18" t="s">
        <v>150</v>
      </c>
      <c r="H18" t="s">
        <v>9</v>
      </c>
      <c r="I18" t="s">
        <v>10</v>
      </c>
      <c r="J18" t="s">
        <v>11</v>
      </c>
      <c r="K18" t="s">
        <v>12</v>
      </c>
      <c r="M18" t="s">
        <v>135</v>
      </c>
      <c r="N18" t="s">
        <v>136</v>
      </c>
      <c r="O18" t="s">
        <v>137</v>
      </c>
      <c r="P18" t="s">
        <v>138</v>
      </c>
      <c r="Q18" t="s">
        <v>139</v>
      </c>
      <c r="R18" t="s">
        <v>66</v>
      </c>
      <c r="S18" t="s">
        <v>140</v>
      </c>
      <c r="U18" t="s">
        <v>1</v>
      </c>
      <c r="V18" t="s">
        <v>146</v>
      </c>
      <c r="W18" t="s">
        <v>147</v>
      </c>
      <c r="X18" t="s">
        <v>148</v>
      </c>
      <c r="Y18" t="s">
        <v>149</v>
      </c>
      <c r="Z18" t="s">
        <v>150</v>
      </c>
      <c r="AB18" t="s">
        <v>135</v>
      </c>
      <c r="AC18" t="s">
        <v>136</v>
      </c>
      <c r="AD18" t="s">
        <v>137</v>
      </c>
      <c r="AE18" t="s">
        <v>138</v>
      </c>
      <c r="AF18" t="s">
        <v>139</v>
      </c>
      <c r="AG18" t="s">
        <v>66</v>
      </c>
      <c r="AH18" t="s">
        <v>140</v>
      </c>
      <c r="AQ18" t="s">
        <v>1</v>
      </c>
      <c r="AR18" t="s">
        <v>146</v>
      </c>
      <c r="AS18" t="s">
        <v>147</v>
      </c>
      <c r="AT18" t="s">
        <v>148</v>
      </c>
      <c r="AU18" t="s">
        <v>149</v>
      </c>
      <c r="AV18" t="s">
        <v>150</v>
      </c>
      <c r="AW18" t="s">
        <v>9</v>
      </c>
      <c r="AX18" t="s">
        <v>10</v>
      </c>
      <c r="AY18" t="s">
        <v>11</v>
      </c>
      <c r="AZ18" t="s">
        <v>12</v>
      </c>
      <c r="BB18" t="s">
        <v>135</v>
      </c>
      <c r="BC18" t="s">
        <v>136</v>
      </c>
      <c r="BD18" t="s">
        <v>137</v>
      </c>
      <c r="BE18" t="s">
        <v>138</v>
      </c>
      <c r="BF18" t="s">
        <v>139</v>
      </c>
      <c r="BG18" t="s">
        <v>66</v>
      </c>
      <c r="BH18" t="s">
        <v>140</v>
      </c>
      <c r="BJ18" t="s">
        <v>1</v>
      </c>
      <c r="BK18" t="s">
        <v>146</v>
      </c>
      <c r="BL18" t="s">
        <v>147</v>
      </c>
      <c r="BM18" t="s">
        <v>148</v>
      </c>
      <c r="BN18" t="s">
        <v>149</v>
      </c>
      <c r="BO18" t="s">
        <v>150</v>
      </c>
      <c r="BQ18" t="s">
        <v>135</v>
      </c>
      <c r="BR18" t="s">
        <v>136</v>
      </c>
      <c r="BS18" t="s">
        <v>137</v>
      </c>
      <c r="BT18" t="s">
        <v>138</v>
      </c>
      <c r="BU18" t="s">
        <v>139</v>
      </c>
      <c r="BV18" t="s">
        <v>66</v>
      </c>
      <c r="BW18" t="s">
        <v>140</v>
      </c>
      <c r="CE18" s="88"/>
      <c r="CG18" t="s">
        <v>1</v>
      </c>
      <c r="CH18" t="s">
        <v>146</v>
      </c>
      <c r="CI18" t="s">
        <v>147</v>
      </c>
      <c r="CJ18" t="s">
        <v>148</v>
      </c>
      <c r="CK18" t="s">
        <v>149</v>
      </c>
      <c r="CL18" t="s">
        <v>150</v>
      </c>
      <c r="CM18" t="s">
        <v>9</v>
      </c>
      <c r="CN18" t="s">
        <v>10</v>
      </c>
      <c r="CO18" t="s">
        <v>11</v>
      </c>
      <c r="CP18" t="s">
        <v>12</v>
      </c>
      <c r="CR18" t="s">
        <v>135</v>
      </c>
      <c r="CS18" t="s">
        <v>136</v>
      </c>
      <c r="CT18" t="s">
        <v>137</v>
      </c>
      <c r="CU18" t="s">
        <v>138</v>
      </c>
      <c r="CV18" t="s">
        <v>139</v>
      </c>
      <c r="CW18" t="s">
        <v>66</v>
      </c>
      <c r="CX18" t="s">
        <v>140</v>
      </c>
      <c r="CZ18" t="s">
        <v>1</v>
      </c>
      <c r="DA18" t="s">
        <v>146</v>
      </c>
      <c r="DB18" t="s">
        <v>147</v>
      </c>
      <c r="DC18" t="s">
        <v>148</v>
      </c>
      <c r="DD18" t="s">
        <v>149</v>
      </c>
      <c r="DE18" t="s">
        <v>150</v>
      </c>
      <c r="DG18" t="s">
        <v>135</v>
      </c>
      <c r="DH18" t="s">
        <v>136</v>
      </c>
      <c r="DI18" t="s">
        <v>137</v>
      </c>
      <c r="DJ18" t="s">
        <v>138</v>
      </c>
      <c r="DK18" t="s">
        <v>139</v>
      </c>
      <c r="DL18" t="s">
        <v>66</v>
      </c>
      <c r="DM18" t="s">
        <v>140</v>
      </c>
    </row>
    <row r="19" spans="1:117" x14ac:dyDescent="0.3">
      <c r="B19" s="111">
        <v>1</v>
      </c>
      <c r="C19" s="111">
        <v>5.8</v>
      </c>
      <c r="D19" s="111">
        <v>2.6</v>
      </c>
      <c r="E19" s="111">
        <v>8</v>
      </c>
      <c r="F19" s="111">
        <v>8</v>
      </c>
      <c r="G19" s="111">
        <v>125</v>
      </c>
      <c r="H19" s="85">
        <f>IFERROR(MP_DATA[[#This Row],[Bottom '[mLAT']]]-MP_DATA[[#This Row],[D, top '[m']]], "")</f>
        <v>-5.4</v>
      </c>
      <c r="I19" s="85">
        <f>IFERROR(-(MP_DATA[[#This Row],[D, bottom '[m']]]-MP_DATA[[#This Row],[D, top '[m']]])/(MP_DATA[[#This Row],[Bottom '[mLAT']]]-MP_DATA[[#This Row],[Top '[mLAT']]]),"")</f>
        <v>0</v>
      </c>
      <c r="J19" s="85">
        <f t="shared" ref="J19:J50" si="0">IF(7850/1000*(1/3)*PI()*ABS(C19-D19)*((E19/2)^2+(E19/2)*(F19/2)+(F19/2)^2-(E19/2-G19/1000)^2-(E19/2-G19/1000)*(F19/2-G19/1000)-(F19/2-G19/1000)^2)=0,"",7850/1000*(1/3)*PI()*ABS(C19-D19)*((E19/2)^2+(E19/2)*(F19/2)+(F19/2)^2-(E19/2-G19/1000)^2-(E19/2-G19/1000)*(F19/2-G19/1000)-(F19/2-G19/1000)^2))</f>
        <v>77.683732341641587</v>
      </c>
      <c r="K19" s="85">
        <f>IFERROR((MP_DATA[[#This Row],[D, bottom '[m']]]+MP_DATA[[#This Row],[D, top '[m']]])/(2*MP_DATA[[#This Row],[t '[mm']]]/1000),"")</f>
        <v>64</v>
      </c>
      <c r="M19" s="111" t="s">
        <v>162</v>
      </c>
      <c r="N19" s="111" t="s">
        <v>163</v>
      </c>
      <c r="O19" s="111">
        <v>4.5999999999999996</v>
      </c>
      <c r="P19" s="111">
        <v>1.1000000000000001</v>
      </c>
      <c r="Q19" s="111" t="s">
        <v>141</v>
      </c>
      <c r="R19" s="111" t="s">
        <v>142</v>
      </c>
      <c r="S19" s="111"/>
      <c r="U19" s="86">
        <v>1</v>
      </c>
      <c r="V19" s="86">
        <v>5.8</v>
      </c>
      <c r="W19" s="86">
        <v>2.6</v>
      </c>
      <c r="X19">
        <v>8</v>
      </c>
      <c r="Y19" s="86">
        <v>8</v>
      </c>
      <c r="Z19">
        <v>125</v>
      </c>
      <c r="AB19" t="s">
        <v>162</v>
      </c>
      <c r="AC19" t="s">
        <v>163</v>
      </c>
      <c r="AD19">
        <v>4.5999999999999996</v>
      </c>
      <c r="AE19">
        <v>1.1000000000000001</v>
      </c>
      <c r="AF19" t="s">
        <v>141</v>
      </c>
      <c r="AG19" t="s">
        <v>142</v>
      </c>
      <c r="AQ19" s="111">
        <v>1</v>
      </c>
      <c r="AR19" s="111">
        <v>21.47</v>
      </c>
      <c r="AS19" s="111">
        <v>17.5</v>
      </c>
      <c r="AT19" s="111">
        <v>8</v>
      </c>
      <c r="AU19" s="111">
        <v>8</v>
      </c>
      <c r="AV19" s="111">
        <v>117</v>
      </c>
      <c r="AW19" s="85">
        <f>IFERROR(TP_DATA[[#This Row],[Bottom '[mLAT']]]-TP_DATA[[#This Row],[D, top '[m']]], "")</f>
        <v>9.5</v>
      </c>
      <c r="AX19" s="85">
        <f>IFERROR(-(TP_DATA[[#This Row],[D, bottom '[m']]]-TP_DATA[[#This Row],[D, top '[m']]])/(TP_DATA[[#This Row],[Bottom '[mLAT']]]-TP_DATA[[#This Row],[Top '[mLAT']]]),"")</f>
        <v>0</v>
      </c>
      <c r="AY19" s="85">
        <f t="shared" ref="AY19:AY82" si="1">IF(7850/1000*(1/3)*PI()*ABS(AR19-AS19)*((AT19/2)^2+(AT19/2)*(AU19/2)+(AU19/2)^2-(AT19/2-AV19/1000)^2-(AT19/2-AV19/1000)*(AU19/2-AV19/1000)-(AU19/2-AV19/1000)^2)=0,"",7850/1000*(1/3)*PI()*ABS(AR19-AS19)*((AT19/2)^2+(AT19/2)*(AU19/2)+(AU19/2)^2-(AT19/2-AV19/1000)^2-(AT19/2-AV19/1000)*(AU19/2-AV19/1000)-(AU19/2-AV19/1000)^2))</f>
        <v>90.299932258163409</v>
      </c>
      <c r="AZ19" s="85">
        <f>IFERROR((TP_DATA[[#This Row],[D, bottom '[m']]]+TP_DATA[[#This Row],[D, top '[m']]])/(2*TP_DATA[[#This Row],[t '[mm']]]/1000),"")</f>
        <v>68.376068376068375</v>
      </c>
      <c r="BB19" s="111" t="s">
        <v>152</v>
      </c>
      <c r="BC19" s="111" t="s">
        <v>153</v>
      </c>
      <c r="BD19" s="111">
        <v>20</v>
      </c>
      <c r="BE19" s="111">
        <v>1.2</v>
      </c>
      <c r="BF19" s="111" t="s">
        <v>143</v>
      </c>
      <c r="BG19" s="111" t="s">
        <v>142</v>
      </c>
      <c r="BH19" s="111"/>
      <c r="BJ19" s="86">
        <v>1</v>
      </c>
      <c r="BK19" s="86">
        <v>21.47</v>
      </c>
      <c r="BL19" s="86">
        <v>17.5</v>
      </c>
      <c r="BM19">
        <v>8</v>
      </c>
      <c r="BN19" s="86">
        <v>8</v>
      </c>
      <c r="BO19">
        <v>117</v>
      </c>
      <c r="BQ19" t="s">
        <v>152</v>
      </c>
      <c r="BR19" t="s">
        <v>153</v>
      </c>
      <c r="BS19">
        <v>20</v>
      </c>
      <c r="BT19">
        <v>1.2</v>
      </c>
      <c r="BU19" t="s">
        <v>143</v>
      </c>
      <c r="BV19" t="s">
        <v>142</v>
      </c>
      <c r="CG19" s="111">
        <v>1</v>
      </c>
      <c r="CH19" s="111">
        <v>5.8</v>
      </c>
      <c r="CI19" s="111">
        <v>2.6</v>
      </c>
      <c r="CJ19" s="111">
        <v>8</v>
      </c>
      <c r="CK19" s="111">
        <v>8</v>
      </c>
      <c r="CL19" s="111">
        <v>115</v>
      </c>
      <c r="CM19" s="85">
        <f>IFERROR(TOWER_DATA[[#This Row],[Bottom '[mLAT']]]-TOWER_DATA[[#This Row],[D, top '[m']]], "")</f>
        <v>-5.4</v>
      </c>
      <c r="CN19" s="85">
        <f>IFERROR(-(TOWER_DATA[[#This Row],[D, bottom '[m']]]-TOWER_DATA[[#This Row],[D, top '[m']]])/(TOWER_DATA[[#This Row],[Bottom '[mLAT']]]-TOWER_DATA[[#This Row],[Top '[mLAT']]]),"")</f>
        <v>0</v>
      </c>
      <c r="CO19" s="85">
        <f t="shared" ref="CO19:CO82" si="2">IF(7850/1000*(1/3)*PI()*ABS(CH19-CI19)*((CJ19/2)^2+(CJ19/2)*(CK19/2)+(CK19/2)^2-(CJ19/2-CL19/1000)^2-(CJ19/2-CL19/1000)*(CK19/2-CL19/1000)-(CK19/2-CL19/1000)^2)=0,"",7850/1000*(1/3)*PI()*ABS(CH19-CI19)*((CJ19/2)^2+(CJ19/2)*(CK19/2)+(CK19/2)^2-(CJ19/2-CL19/1000)^2-(CJ19/2-CL19/1000)*(CK19/2-CL19/1000)-(CK19/2-CL19/1000)^2))</f>
        <v>71.55978808288738</v>
      </c>
      <c r="CP19" s="85">
        <f>IFERROR((TOWER_DATA[[#This Row],[D, bottom '[m']]]+TOWER_DATA[[#This Row],[D, top '[m']]])/(2*TOWER_DATA[[#This Row],[t '[mm']]]/1000),"")</f>
        <v>69.565217391304344</v>
      </c>
      <c r="CR19" s="111" t="s">
        <v>175</v>
      </c>
      <c r="CS19" s="111" t="s">
        <v>163</v>
      </c>
      <c r="CT19" s="111">
        <v>4.5999999999999996</v>
      </c>
      <c r="CU19" s="111">
        <v>1.1000000000000001</v>
      </c>
      <c r="CV19" s="111" t="s">
        <v>141</v>
      </c>
      <c r="CW19" s="111" t="s">
        <v>145</v>
      </c>
      <c r="CX19" s="111"/>
      <c r="CZ19" s="86">
        <v>1</v>
      </c>
      <c r="DA19" s="86">
        <v>5.8</v>
      </c>
      <c r="DB19" s="86">
        <v>2.6</v>
      </c>
      <c r="DC19">
        <v>8</v>
      </c>
      <c r="DD19" s="86">
        <v>8</v>
      </c>
      <c r="DE19">
        <v>115</v>
      </c>
      <c r="DG19" t="s">
        <v>175</v>
      </c>
      <c r="DH19" t="s">
        <v>163</v>
      </c>
      <c r="DI19">
        <v>4.5999999999999996</v>
      </c>
      <c r="DJ19">
        <v>1.1000000000000001</v>
      </c>
      <c r="DK19" t="s">
        <v>141</v>
      </c>
      <c r="DL19" t="s">
        <v>145</v>
      </c>
    </row>
    <row r="20" spans="1:117" x14ac:dyDescent="0.3">
      <c r="B20" s="111">
        <v>2</v>
      </c>
      <c r="C20" s="111">
        <v>2.6</v>
      </c>
      <c r="D20" s="111">
        <v>-0.6</v>
      </c>
      <c r="E20" s="111">
        <v>8</v>
      </c>
      <c r="F20" s="111">
        <v>8</v>
      </c>
      <c r="G20" s="111">
        <v>116</v>
      </c>
      <c r="H20" s="85">
        <f>IFERROR(MP_DATA[[#This Row],[Bottom '[mLAT']]]-MP_DATA[[#This Row],[D, top '[m']]], "")</f>
        <v>-8.6</v>
      </c>
      <c r="I20" s="85">
        <f>IFERROR(-(MP_DATA[[#This Row],[D, bottom '[m']]]-MP_DATA[[#This Row],[D, top '[m']]])/(MP_DATA[[#This Row],[Bottom '[mLAT']]]-MP_DATA[[#This Row],[Top '[mLAT']]]),"")</f>
        <v>0</v>
      </c>
      <c r="J20" s="85">
        <f t="shared" si="0"/>
        <v>72.17289276002974</v>
      </c>
      <c r="K20" s="85">
        <f>IFERROR((MP_DATA[[#This Row],[D, bottom '[m']]]+MP_DATA[[#This Row],[D, top '[m']]])/(2*MP_DATA[[#This Row],[t '[mm']]]/1000),"")</f>
        <v>68.965517241379303</v>
      </c>
      <c r="M20" s="111" t="s">
        <v>164</v>
      </c>
      <c r="N20" s="111" t="s">
        <v>165</v>
      </c>
      <c r="O20" s="111">
        <v>3.1</v>
      </c>
      <c r="P20" s="111">
        <v>1.25</v>
      </c>
      <c r="Q20" s="111" t="s">
        <v>141</v>
      </c>
      <c r="R20" s="111" t="s">
        <v>142</v>
      </c>
      <c r="S20" s="111"/>
      <c r="U20" s="86">
        <v>2</v>
      </c>
      <c r="V20" s="86">
        <v>2.6</v>
      </c>
      <c r="W20" s="86">
        <v>-0.6</v>
      </c>
      <c r="X20">
        <v>8</v>
      </c>
      <c r="Y20" s="86">
        <v>8</v>
      </c>
      <c r="Z20">
        <v>116</v>
      </c>
      <c r="AB20" t="s">
        <v>164</v>
      </c>
      <c r="AC20" t="s">
        <v>165</v>
      </c>
      <c r="AD20">
        <v>3.1</v>
      </c>
      <c r="AE20">
        <v>1.25</v>
      </c>
      <c r="AF20" t="s">
        <v>141</v>
      </c>
      <c r="AG20" t="s">
        <v>142</v>
      </c>
      <c r="AQ20" s="111">
        <v>2</v>
      </c>
      <c r="AR20" s="111">
        <v>17.5</v>
      </c>
      <c r="AS20" s="111">
        <v>13.5</v>
      </c>
      <c r="AT20" s="111">
        <v>8</v>
      </c>
      <c r="AU20" s="111">
        <v>8</v>
      </c>
      <c r="AV20" s="111">
        <v>117</v>
      </c>
      <c r="AW20" s="85">
        <f>IFERROR(TP_DATA[[#This Row],[Bottom '[mLAT']]]-TP_DATA[[#This Row],[D, top '[m']]], "")</f>
        <v>5.5</v>
      </c>
      <c r="AX20" s="85">
        <f>IFERROR(-(TP_DATA[[#This Row],[D, bottom '[m']]]-TP_DATA[[#This Row],[D, top '[m']]])/(TP_DATA[[#This Row],[Bottom '[mLAT']]]-TP_DATA[[#This Row],[Top '[mLAT']]]),"")</f>
        <v>0</v>
      </c>
      <c r="AY20" s="85">
        <f t="shared" si="1"/>
        <v>90.982299504446786</v>
      </c>
      <c r="AZ20" s="85">
        <f>IFERROR((TP_DATA[[#This Row],[D, bottom '[m']]]+TP_DATA[[#This Row],[D, top '[m']]])/(2*TP_DATA[[#This Row],[t '[mm']]]/1000),"")</f>
        <v>68.376068376068375</v>
      </c>
      <c r="BB20" s="111" t="s">
        <v>186</v>
      </c>
      <c r="BC20" s="111" t="s">
        <v>154</v>
      </c>
      <c r="BD20" s="111">
        <v>19.5</v>
      </c>
      <c r="BE20" s="111">
        <v>2</v>
      </c>
      <c r="BF20" s="111" t="s">
        <v>143</v>
      </c>
      <c r="BG20" s="111" t="s">
        <v>144</v>
      </c>
      <c r="BH20" s="111">
        <v>0.85</v>
      </c>
      <c r="BJ20" s="86">
        <v>2</v>
      </c>
      <c r="BK20" s="86">
        <v>17.5</v>
      </c>
      <c r="BL20" s="86">
        <v>13.5</v>
      </c>
      <c r="BM20">
        <v>8</v>
      </c>
      <c r="BN20" s="86">
        <v>8</v>
      </c>
      <c r="BO20">
        <v>117</v>
      </c>
      <c r="BQ20" t="s">
        <v>186</v>
      </c>
      <c r="BR20" t="s">
        <v>154</v>
      </c>
      <c r="BS20">
        <v>19.5</v>
      </c>
      <c r="BT20">
        <v>2</v>
      </c>
      <c r="BU20" t="s">
        <v>143</v>
      </c>
      <c r="BV20" t="s">
        <v>144</v>
      </c>
      <c r="BW20">
        <v>0.85</v>
      </c>
      <c r="CG20" s="111">
        <v>2</v>
      </c>
      <c r="CH20" s="111">
        <v>2.6</v>
      </c>
      <c r="CI20" s="111">
        <v>-0.6</v>
      </c>
      <c r="CJ20" s="111">
        <v>8</v>
      </c>
      <c r="CK20" s="111">
        <v>8</v>
      </c>
      <c r="CL20" s="111">
        <v>115</v>
      </c>
      <c r="CM20" s="85">
        <f>IFERROR(TOWER_DATA[[#This Row],[Bottom '[mLAT']]]-TOWER_DATA[[#This Row],[D, top '[m']]], "")</f>
        <v>-8.6</v>
      </c>
      <c r="CN20" s="85">
        <f>IFERROR(-(TOWER_DATA[[#This Row],[D, bottom '[m']]]-TOWER_DATA[[#This Row],[D, top '[m']]])/(TOWER_DATA[[#This Row],[Bottom '[mLAT']]]-TOWER_DATA[[#This Row],[Top '[mLAT']]]),"")</f>
        <v>0</v>
      </c>
      <c r="CO20" s="85">
        <f t="shared" si="2"/>
        <v>71.55978808288738</v>
      </c>
      <c r="CP20" s="85">
        <f>IFERROR((TOWER_DATA[[#This Row],[D, bottom '[m']]]+TOWER_DATA[[#This Row],[D, top '[m']]])/(2*TOWER_DATA[[#This Row],[t '[mm']]]/1000),"")</f>
        <v>69.565217391304344</v>
      </c>
      <c r="CR20" s="111" t="s">
        <v>176</v>
      </c>
      <c r="CS20" s="111" t="s">
        <v>165</v>
      </c>
      <c r="CT20" s="111">
        <v>3.6</v>
      </c>
      <c r="CU20" s="111">
        <v>1.45</v>
      </c>
      <c r="CV20" s="111" t="s">
        <v>141</v>
      </c>
      <c r="CW20" s="111" t="s">
        <v>142</v>
      </c>
      <c r="CX20" s="111"/>
      <c r="CZ20" s="86">
        <v>2</v>
      </c>
      <c r="DA20" s="86">
        <v>2.6</v>
      </c>
      <c r="DB20" s="86">
        <v>-0.6</v>
      </c>
      <c r="DC20">
        <v>8</v>
      </c>
      <c r="DD20" s="86">
        <v>8</v>
      </c>
      <c r="DE20">
        <v>115</v>
      </c>
      <c r="DG20" t="s">
        <v>176</v>
      </c>
      <c r="DH20" t="s">
        <v>165</v>
      </c>
      <c r="DI20">
        <v>3.6</v>
      </c>
      <c r="DJ20">
        <v>1.45</v>
      </c>
      <c r="DK20" t="s">
        <v>141</v>
      </c>
      <c r="DL20" t="s">
        <v>142</v>
      </c>
    </row>
    <row r="21" spans="1:117" x14ac:dyDescent="0.3">
      <c r="B21" s="111">
        <v>3</v>
      </c>
      <c r="C21" s="111">
        <v>-0.6</v>
      </c>
      <c r="D21" s="111">
        <v>-3.8</v>
      </c>
      <c r="E21" s="111">
        <v>8</v>
      </c>
      <c r="F21" s="111">
        <v>8</v>
      </c>
      <c r="G21" s="111">
        <v>125</v>
      </c>
      <c r="H21" s="85">
        <f>IFERROR(MP_DATA[[#This Row],[Bottom '[mLAT']]]-MP_DATA[[#This Row],[D, top '[m']]], "")</f>
        <v>-11.8</v>
      </c>
      <c r="I21" s="85">
        <f>IFERROR(-(MP_DATA[[#This Row],[D, bottom '[m']]]-MP_DATA[[#This Row],[D, top '[m']]])/(MP_DATA[[#This Row],[Bottom '[mLAT']]]-MP_DATA[[#This Row],[Top '[mLAT']]]),"")</f>
        <v>0</v>
      </c>
      <c r="J21" s="85">
        <f t="shared" si="0"/>
        <v>77.683732341641587</v>
      </c>
      <c r="K21" s="85">
        <f>IFERROR((MP_DATA[[#This Row],[D, bottom '[m']]]+MP_DATA[[#This Row],[D, top '[m']]])/(2*MP_DATA[[#This Row],[t '[mm']]]/1000),"")</f>
        <v>64</v>
      </c>
      <c r="M21" s="111" t="s">
        <v>166</v>
      </c>
      <c r="N21" s="111" t="s">
        <v>167</v>
      </c>
      <c r="O21" s="111">
        <v>-12.36</v>
      </c>
      <c r="P21" s="111">
        <v>2</v>
      </c>
      <c r="Q21" s="111" t="s">
        <v>143</v>
      </c>
      <c r="R21" s="111" t="s">
        <v>144</v>
      </c>
      <c r="S21" s="111">
        <v>0.85199999999999998</v>
      </c>
      <c r="U21" s="86">
        <v>3</v>
      </c>
      <c r="V21" s="86">
        <v>-0.6</v>
      </c>
      <c r="W21" s="86">
        <v>-3.8</v>
      </c>
      <c r="X21">
        <v>8</v>
      </c>
      <c r="Y21" s="86">
        <v>8</v>
      </c>
      <c r="Z21">
        <v>125</v>
      </c>
      <c r="AB21" t="s">
        <v>166</v>
      </c>
      <c r="AC21" t="s">
        <v>167</v>
      </c>
      <c r="AD21">
        <v>-12.36</v>
      </c>
      <c r="AE21">
        <v>2</v>
      </c>
      <c r="AF21" t="s">
        <v>143</v>
      </c>
      <c r="AG21" t="s">
        <v>144</v>
      </c>
      <c r="AH21">
        <v>0.85199999999999998</v>
      </c>
      <c r="AQ21" s="111">
        <v>3</v>
      </c>
      <c r="AR21" s="111">
        <v>13.5</v>
      </c>
      <c r="AS21" s="111">
        <v>9.5</v>
      </c>
      <c r="AT21" s="111">
        <v>8</v>
      </c>
      <c r="AU21" s="111">
        <v>8</v>
      </c>
      <c r="AV21" s="111">
        <v>124</v>
      </c>
      <c r="AW21" s="85">
        <f>IFERROR(TP_DATA[[#This Row],[Bottom '[mLAT']]]-TP_DATA[[#This Row],[D, top '[m']]], "")</f>
        <v>1.5</v>
      </c>
      <c r="AX21" s="85">
        <f>IFERROR(-(TP_DATA[[#This Row],[D, bottom '[m']]]-TP_DATA[[#This Row],[D, top '[m']]])/(TP_DATA[[#This Row],[Bottom '[mLAT']]]-TP_DATA[[#This Row],[Top '[mLAT']]]),"")</f>
        <v>0</v>
      </c>
      <c r="AY21" s="85">
        <f t="shared" si="1"/>
        <v>96.340060208791698</v>
      </c>
      <c r="AZ21" s="85">
        <f>IFERROR((TP_DATA[[#This Row],[D, bottom '[m']]]+TP_DATA[[#This Row],[D, top '[m']]])/(2*TP_DATA[[#This Row],[t '[mm']]]/1000),"")</f>
        <v>64.516129032258064</v>
      </c>
      <c r="BB21" s="111" t="s">
        <v>187</v>
      </c>
      <c r="BC21" s="111" t="s">
        <v>188</v>
      </c>
      <c r="BD21" s="111">
        <v>20</v>
      </c>
      <c r="BE21" s="111">
        <v>1.25</v>
      </c>
      <c r="BF21" s="111" t="s">
        <v>141</v>
      </c>
      <c r="BG21" s="111" t="s">
        <v>142</v>
      </c>
      <c r="BH21" s="111"/>
      <c r="BJ21" s="86">
        <v>3</v>
      </c>
      <c r="BK21" s="86">
        <v>13.5</v>
      </c>
      <c r="BL21" s="86">
        <v>9.5</v>
      </c>
      <c r="BM21">
        <v>8</v>
      </c>
      <c r="BN21" s="86">
        <v>8</v>
      </c>
      <c r="BO21">
        <v>124</v>
      </c>
      <c r="BQ21" t="s">
        <v>187</v>
      </c>
      <c r="BR21" t="s">
        <v>188</v>
      </c>
      <c r="BS21">
        <v>20</v>
      </c>
      <c r="BT21">
        <v>1.25</v>
      </c>
      <c r="BU21" t="s">
        <v>141</v>
      </c>
      <c r="BV21" t="s">
        <v>142</v>
      </c>
      <c r="CG21" s="111">
        <v>3</v>
      </c>
      <c r="CH21" s="111">
        <v>-0.6</v>
      </c>
      <c r="CI21" s="111">
        <v>-3.8</v>
      </c>
      <c r="CJ21" s="111">
        <v>8</v>
      </c>
      <c r="CK21" s="111">
        <v>8</v>
      </c>
      <c r="CL21" s="111">
        <v>125</v>
      </c>
      <c r="CM21" s="85">
        <f>IFERROR(TOWER_DATA[[#This Row],[Bottom '[mLAT']]]-TOWER_DATA[[#This Row],[D, top '[m']]], "")</f>
        <v>-11.8</v>
      </c>
      <c r="CN21" s="85">
        <f>IFERROR(-(TOWER_DATA[[#This Row],[D, bottom '[m']]]-TOWER_DATA[[#This Row],[D, top '[m']]])/(TOWER_DATA[[#This Row],[Bottom '[mLAT']]]-TOWER_DATA[[#This Row],[Top '[mLAT']]]),"")</f>
        <v>0</v>
      </c>
      <c r="CO21" s="85">
        <f t="shared" si="2"/>
        <v>77.683732341641587</v>
      </c>
      <c r="CP21" s="85">
        <f>IFERROR((TOWER_DATA[[#This Row],[D, bottom '[m']]]+TOWER_DATA[[#This Row],[D, top '[m']]])/(2*TOWER_DATA[[#This Row],[t '[mm']]]/1000),"")</f>
        <v>64</v>
      </c>
      <c r="CR21" s="111" t="s">
        <v>177</v>
      </c>
      <c r="CS21" s="111" t="s">
        <v>178</v>
      </c>
      <c r="CT21" s="111">
        <v>4.5</v>
      </c>
      <c r="CU21" s="111">
        <v>1.1499999999999999</v>
      </c>
      <c r="CV21" s="111" t="s">
        <v>141</v>
      </c>
      <c r="CW21" s="111" t="s">
        <v>145</v>
      </c>
      <c r="CX21" s="111"/>
      <c r="CZ21" s="86">
        <v>3</v>
      </c>
      <c r="DA21" s="86">
        <v>-0.6</v>
      </c>
      <c r="DB21" s="86">
        <v>-3.8</v>
      </c>
      <c r="DC21">
        <v>8</v>
      </c>
      <c r="DD21" s="86">
        <v>8</v>
      </c>
      <c r="DE21">
        <v>125</v>
      </c>
      <c r="DG21" t="s">
        <v>177</v>
      </c>
      <c r="DH21" t="s">
        <v>178</v>
      </c>
      <c r="DI21">
        <v>4.5</v>
      </c>
      <c r="DJ21">
        <v>1.1499999999999999</v>
      </c>
      <c r="DK21" t="s">
        <v>141</v>
      </c>
      <c r="DL21" t="s">
        <v>145</v>
      </c>
    </row>
    <row r="22" spans="1:117" x14ac:dyDescent="0.3">
      <c r="B22" s="111">
        <v>4</v>
      </c>
      <c r="C22" s="111">
        <v>-3.8</v>
      </c>
      <c r="D22" s="111">
        <v>-7.3</v>
      </c>
      <c r="E22" s="111">
        <v>8</v>
      </c>
      <c r="F22" s="111">
        <v>8.44</v>
      </c>
      <c r="G22" s="111">
        <v>125</v>
      </c>
      <c r="H22" s="85">
        <f>IFERROR(MP_DATA[[#This Row],[Bottom '[mLAT']]]-MP_DATA[[#This Row],[D, top '[m']]], "")</f>
        <v>-15.3</v>
      </c>
      <c r="I22" s="85">
        <f>IFERROR(-(MP_DATA[[#This Row],[D, bottom '[m']]]-MP_DATA[[#This Row],[D, top '[m']]])/(MP_DATA[[#This Row],[Bottom '[mLAT']]]-MP_DATA[[#This Row],[Top '[mLAT']]]),"")</f>
        <v>0.12571428571428558</v>
      </c>
      <c r="J22" s="85">
        <f t="shared" si="0"/>
        <v>87.340251847998317</v>
      </c>
      <c r="K22" s="85">
        <f>IFERROR((MP_DATA[[#This Row],[D, bottom '[m']]]+MP_DATA[[#This Row],[D, top '[m']]])/(2*MP_DATA[[#This Row],[t '[mm']]]/1000),"")</f>
        <v>65.759999999999991</v>
      </c>
      <c r="M22" s="111" t="s">
        <v>168</v>
      </c>
      <c r="N22" s="111" t="s">
        <v>169</v>
      </c>
      <c r="O22" s="111">
        <v>-22.72</v>
      </c>
      <c r="P22" s="111">
        <v>1.6</v>
      </c>
      <c r="Q22" s="111" t="s">
        <v>143</v>
      </c>
      <c r="R22" s="111" t="s">
        <v>144</v>
      </c>
      <c r="S22" s="111"/>
      <c r="U22" s="86">
        <v>4</v>
      </c>
      <c r="V22" s="86">
        <v>-3.8</v>
      </c>
      <c r="W22" s="86">
        <v>-7.3</v>
      </c>
      <c r="X22">
        <v>8</v>
      </c>
      <c r="Y22" s="86">
        <v>8.44</v>
      </c>
      <c r="Z22">
        <v>125</v>
      </c>
      <c r="AB22" t="s">
        <v>168</v>
      </c>
      <c r="AC22" t="s">
        <v>169</v>
      </c>
      <c r="AD22">
        <v>-22.72</v>
      </c>
      <c r="AE22">
        <v>1.6</v>
      </c>
      <c r="AF22" t="s">
        <v>143</v>
      </c>
      <c r="AG22" t="s">
        <v>144</v>
      </c>
      <c r="AQ22" s="111">
        <v>4</v>
      </c>
      <c r="AR22" s="111">
        <v>9.5</v>
      </c>
      <c r="AS22" s="111">
        <v>5.8</v>
      </c>
      <c r="AT22" s="111">
        <v>8</v>
      </c>
      <c r="AU22" s="111">
        <v>8</v>
      </c>
      <c r="AV22" s="111">
        <v>120</v>
      </c>
      <c r="AW22" s="85">
        <f>IFERROR(TP_DATA[[#This Row],[Bottom '[mLAT']]]-TP_DATA[[#This Row],[D, top '[m']]], "")</f>
        <v>-2.2000000000000002</v>
      </c>
      <c r="AX22" s="85">
        <f>IFERROR(-(TP_DATA[[#This Row],[D, bottom '[m']]]-TP_DATA[[#This Row],[D, top '[m']]])/(TP_DATA[[#This Row],[Bottom '[mLAT']]]-TP_DATA[[#This Row],[Top '[mLAT']]]),"")</f>
        <v>0</v>
      </c>
      <c r="AY22" s="85">
        <f t="shared" si="1"/>
        <v>86.283691434396232</v>
      </c>
      <c r="AZ22" s="85">
        <f>IFERROR((TP_DATA[[#This Row],[D, bottom '[m']]]+TP_DATA[[#This Row],[D, top '[m']]])/(2*TP_DATA[[#This Row],[t '[mm']]]/1000),"")</f>
        <v>66.666666666666671</v>
      </c>
      <c r="BB22" s="111" t="s">
        <v>189</v>
      </c>
      <c r="BC22" s="111" t="s">
        <v>159</v>
      </c>
      <c r="BD22" s="111">
        <v>15.73</v>
      </c>
      <c r="BE22" s="111">
        <v>1.25</v>
      </c>
      <c r="BF22" s="111" t="s">
        <v>141</v>
      </c>
      <c r="BG22" s="111" t="s">
        <v>142</v>
      </c>
      <c r="BH22" s="111"/>
      <c r="BJ22" s="86">
        <v>4</v>
      </c>
      <c r="BK22" s="86">
        <v>9.5</v>
      </c>
      <c r="BL22" s="86">
        <v>5.8</v>
      </c>
      <c r="BM22">
        <v>8</v>
      </c>
      <c r="BN22" s="86">
        <v>8</v>
      </c>
      <c r="BO22">
        <v>120</v>
      </c>
      <c r="BQ22" t="s">
        <v>189</v>
      </c>
      <c r="BR22" t="s">
        <v>159</v>
      </c>
      <c r="BS22">
        <v>15.73</v>
      </c>
      <c r="BT22">
        <v>1.25</v>
      </c>
      <c r="BU22" t="s">
        <v>141</v>
      </c>
      <c r="BV22" t="s">
        <v>142</v>
      </c>
      <c r="CG22" s="111">
        <v>4</v>
      </c>
      <c r="CH22" s="111">
        <v>-3.8</v>
      </c>
      <c r="CI22" s="111">
        <v>-7.3</v>
      </c>
      <c r="CJ22" s="111">
        <v>8</v>
      </c>
      <c r="CK22" s="111">
        <v>8.44</v>
      </c>
      <c r="CL22" s="111">
        <v>125</v>
      </c>
      <c r="CM22" s="85">
        <f>IFERROR(TOWER_DATA[[#This Row],[Bottom '[mLAT']]]-TOWER_DATA[[#This Row],[D, top '[m']]], "")</f>
        <v>-15.3</v>
      </c>
      <c r="CN22" s="85">
        <f>IFERROR(-(TOWER_DATA[[#This Row],[D, bottom '[m']]]-TOWER_DATA[[#This Row],[D, top '[m']]])/(TOWER_DATA[[#This Row],[Bottom '[mLAT']]]-TOWER_DATA[[#This Row],[Top '[mLAT']]]),"")</f>
        <v>0.12571428571428558</v>
      </c>
      <c r="CO22" s="85">
        <f t="shared" si="2"/>
        <v>87.340251847998317</v>
      </c>
      <c r="CP22" s="85">
        <f>IFERROR((TOWER_DATA[[#This Row],[D, bottom '[m']]]+TOWER_DATA[[#This Row],[D, top '[m']]])/(2*TOWER_DATA[[#This Row],[t '[mm']]]/1000),"")</f>
        <v>65.759999999999991</v>
      </c>
      <c r="CR22" s="111" t="s">
        <v>168</v>
      </c>
      <c r="CS22" s="111" t="s">
        <v>167</v>
      </c>
      <c r="CT22" s="111">
        <v>-11.88</v>
      </c>
      <c r="CU22" s="111">
        <v>2</v>
      </c>
      <c r="CV22" s="111" t="s">
        <v>143</v>
      </c>
      <c r="CW22" s="111" t="s">
        <v>144</v>
      </c>
      <c r="CX22" s="111">
        <v>0.85199999999999998</v>
      </c>
      <c r="CZ22" s="86">
        <v>4</v>
      </c>
      <c r="DA22" s="86">
        <v>-3.8</v>
      </c>
      <c r="DB22" s="86">
        <v>-7.3</v>
      </c>
      <c r="DC22">
        <v>8</v>
      </c>
      <c r="DD22" s="86">
        <v>8.44</v>
      </c>
      <c r="DE22">
        <v>125</v>
      </c>
      <c r="DG22" t="s">
        <v>168</v>
      </c>
      <c r="DH22" t="s">
        <v>167</v>
      </c>
      <c r="DI22">
        <v>-11.88</v>
      </c>
      <c r="DJ22">
        <v>2</v>
      </c>
      <c r="DK22" t="s">
        <v>143</v>
      </c>
      <c r="DL22" t="s">
        <v>144</v>
      </c>
      <c r="DM22">
        <v>0.85199999999999998</v>
      </c>
    </row>
    <row r="23" spans="1:117" x14ac:dyDescent="0.3">
      <c r="B23" s="111">
        <v>5</v>
      </c>
      <c r="C23" s="111">
        <v>-7.3</v>
      </c>
      <c r="D23" s="111">
        <v>-10.8</v>
      </c>
      <c r="E23" s="111">
        <v>8.44</v>
      </c>
      <c r="F23" s="111">
        <v>8.8800000000000008</v>
      </c>
      <c r="G23" s="111">
        <v>106</v>
      </c>
      <c r="H23" s="85">
        <f>IFERROR(MP_DATA[[#This Row],[Bottom '[mLAT']]]-MP_DATA[[#This Row],[D, top '[m']]], "")</f>
        <v>-19.240000000000002</v>
      </c>
      <c r="I23" s="85">
        <f>IFERROR(-(MP_DATA[[#This Row],[D, bottom '[m']]]-MP_DATA[[#This Row],[D, top '[m']]])/(MP_DATA[[#This Row],[Bottom '[mLAT']]]-MP_DATA[[#This Row],[Top '[mLAT']]]),"")</f>
        <v>0.12571428571428606</v>
      </c>
      <c r="J23" s="85">
        <f t="shared" si="0"/>
        <v>78.26411613749147</v>
      </c>
      <c r="K23" s="85">
        <f>IFERROR((MP_DATA[[#This Row],[D, bottom '[m']]]+MP_DATA[[#This Row],[D, top '[m']]])/(2*MP_DATA[[#This Row],[t '[mm']]]/1000),"")</f>
        <v>81.698113207547181</v>
      </c>
      <c r="L23" s="85" t="str">
        <f>IFERROR((MP_DATA[[#This Row],[D, bottom '[m']]]+#REF!)/(2*#REF!/1000),"")</f>
        <v/>
      </c>
      <c r="M23" s="111" t="s">
        <v>170</v>
      </c>
      <c r="N23" s="111" t="s">
        <v>171</v>
      </c>
      <c r="O23" s="111">
        <v>-23.72</v>
      </c>
      <c r="P23" s="111">
        <v>1.25</v>
      </c>
      <c r="Q23" s="111" t="s">
        <v>143</v>
      </c>
      <c r="R23" s="111" t="s">
        <v>142</v>
      </c>
      <c r="S23" s="111"/>
      <c r="U23" s="86">
        <v>5</v>
      </c>
      <c r="V23" s="86">
        <v>-7.3</v>
      </c>
      <c r="W23" s="86">
        <v>-10.8</v>
      </c>
      <c r="X23" s="86">
        <v>8.44</v>
      </c>
      <c r="Y23" s="86">
        <v>8.8800000000000008</v>
      </c>
      <c r="Z23" s="86">
        <v>106</v>
      </c>
      <c r="AB23" t="s">
        <v>170</v>
      </c>
      <c r="AC23" t="s">
        <v>171</v>
      </c>
      <c r="AD23">
        <v>-23.72</v>
      </c>
      <c r="AE23">
        <v>1.25</v>
      </c>
      <c r="AF23" t="s">
        <v>143</v>
      </c>
      <c r="AG23" t="s">
        <v>142</v>
      </c>
      <c r="AW23" s="85" t="str">
        <f>IFERROR(TP_DATA[[#This Row],[Bottom '[mLAT']]]-TP_DATA[[#This Row],[D, top '[m']]], "")</f>
        <v/>
      </c>
      <c r="AX23" s="85" t="str">
        <f>IFERROR(-(TP_DATA[[#This Row],[D, bottom '[m']]]-TP_DATA[[#This Row],[D, top '[m']]])/(TP_DATA[[#This Row],[Bottom '[mLAT']]]-TP_DATA[[#This Row],[Top '[mLAT']]]),"")</f>
        <v/>
      </c>
      <c r="AY23" s="85" t="str">
        <f t="shared" si="1"/>
        <v/>
      </c>
      <c r="AZ23" s="85" t="str">
        <f>IFERROR((TP_DATA[[#This Row],[D, bottom '[m']]]+TP_DATA[[#This Row],[D, top '[m']]])/(2*TP_DATA[[#This Row],[t '[mm']]]/1000),"")</f>
        <v/>
      </c>
      <c r="BA23" s="85" t="str">
        <f>IFERROR((TP_DATA[[#This Row],[D, bottom '[m']]]+#REF!)/(2*#REF!/1000),"")</f>
        <v/>
      </c>
      <c r="BB23" s="111" t="s">
        <v>190</v>
      </c>
      <c r="BC23" s="111" t="s">
        <v>155</v>
      </c>
      <c r="BD23" s="111">
        <v>12.5</v>
      </c>
      <c r="BE23" s="111">
        <v>2</v>
      </c>
      <c r="BF23" s="111" t="s">
        <v>143</v>
      </c>
      <c r="BG23" s="111" t="s">
        <v>144</v>
      </c>
      <c r="BH23" s="111">
        <v>0.85</v>
      </c>
      <c r="BJ23" s="86"/>
      <c r="BK23" s="86"/>
      <c r="BL23" s="86"/>
      <c r="BM23" s="86"/>
      <c r="BN23" s="86"/>
      <c r="BO23" s="86"/>
      <c r="BQ23" t="s">
        <v>190</v>
      </c>
      <c r="BR23" t="s">
        <v>155</v>
      </c>
      <c r="BS23">
        <v>12.5</v>
      </c>
      <c r="BT23">
        <v>2</v>
      </c>
      <c r="BU23" t="s">
        <v>143</v>
      </c>
      <c r="BV23" t="s">
        <v>144</v>
      </c>
      <c r="BW23">
        <v>0.85</v>
      </c>
      <c r="CG23" s="111">
        <v>5</v>
      </c>
      <c r="CH23" s="111">
        <v>-7.3</v>
      </c>
      <c r="CI23" s="111">
        <v>-10.8</v>
      </c>
      <c r="CJ23" s="111">
        <v>8.44</v>
      </c>
      <c r="CK23" s="111">
        <v>8.8800000000000008</v>
      </c>
      <c r="CL23" s="111">
        <v>106</v>
      </c>
      <c r="CM23" s="85">
        <f>IFERROR(TOWER_DATA[[#This Row],[Bottom '[mLAT']]]-TOWER_DATA[[#This Row],[D, top '[m']]], "")</f>
        <v>-19.240000000000002</v>
      </c>
      <c r="CN23" s="85">
        <f>IFERROR(-(TOWER_DATA[[#This Row],[D, bottom '[m']]]-TOWER_DATA[[#This Row],[D, top '[m']]])/(TOWER_DATA[[#This Row],[Bottom '[mLAT']]]-TOWER_DATA[[#This Row],[Top '[mLAT']]]),"")</f>
        <v>0.12571428571428606</v>
      </c>
      <c r="CO23" s="85">
        <f t="shared" si="2"/>
        <v>78.26411613749147</v>
      </c>
      <c r="CP23" s="85">
        <f>IFERROR((TOWER_DATA[[#This Row],[D, bottom '[m']]]+TOWER_DATA[[#This Row],[D, top '[m']]])/(2*TOWER_DATA[[#This Row],[t '[mm']]]/1000),"")</f>
        <v>81.698113207547181</v>
      </c>
      <c r="CQ23" s="85" t="str">
        <f>IFERROR((TOWER_DATA[[#This Row],[D, bottom '[m']]]+#REF!)/(2*#REF!/1000),"")</f>
        <v/>
      </c>
      <c r="CR23" s="111" t="s">
        <v>179</v>
      </c>
      <c r="CS23" s="111" t="s">
        <v>169</v>
      </c>
      <c r="CT23" s="111">
        <v>-22.75</v>
      </c>
      <c r="CU23" s="111">
        <v>1.56</v>
      </c>
      <c r="CV23" s="111" t="s">
        <v>143</v>
      </c>
      <c r="CW23" s="111" t="s">
        <v>144</v>
      </c>
      <c r="CX23" s="111"/>
      <c r="CZ23" s="86">
        <v>5</v>
      </c>
      <c r="DA23" s="86">
        <v>-7.3</v>
      </c>
      <c r="DB23" s="86">
        <v>-10.8</v>
      </c>
      <c r="DC23" s="86">
        <v>8.44</v>
      </c>
      <c r="DD23" s="86">
        <v>8.8800000000000008</v>
      </c>
      <c r="DE23" s="86">
        <v>106</v>
      </c>
      <c r="DG23" t="s">
        <v>179</v>
      </c>
      <c r="DH23" t="s">
        <v>169</v>
      </c>
      <c r="DI23">
        <v>-22.75</v>
      </c>
      <c r="DJ23">
        <v>1.56</v>
      </c>
      <c r="DK23" t="s">
        <v>143</v>
      </c>
      <c r="DL23" t="s">
        <v>144</v>
      </c>
    </row>
    <row r="24" spans="1:117" x14ac:dyDescent="0.3">
      <c r="B24" s="111">
        <v>6</v>
      </c>
      <c r="C24" s="111">
        <v>-10.8</v>
      </c>
      <c r="D24" s="111">
        <v>-14.3</v>
      </c>
      <c r="E24" s="111">
        <v>8.8800000000000008</v>
      </c>
      <c r="F24" s="111">
        <v>9.31</v>
      </c>
      <c r="G24" s="111">
        <v>116</v>
      </c>
      <c r="H24" s="85">
        <f>IFERROR(MP_DATA[[#This Row],[Bottom '[mLAT']]]-MP_DATA[[#This Row],[D, top '[m']]], "")</f>
        <v>-23.18</v>
      </c>
      <c r="I24" s="85">
        <f>IFERROR(-(MP_DATA[[#This Row],[D, bottom '[m']]]-MP_DATA[[#This Row],[D, top '[m']]])/(MP_DATA[[#This Row],[Bottom '[mLAT']]]-MP_DATA[[#This Row],[Top '[mLAT']]]),"")</f>
        <v>0.12285714285714278</v>
      </c>
      <c r="J24" s="85">
        <f t="shared" si="0"/>
        <v>89.902865547432455</v>
      </c>
      <c r="K24" s="85">
        <f>IFERROR((MP_DATA[[#This Row],[D, bottom '[m']]]+MP_DATA[[#This Row],[D, top '[m']]])/(2*MP_DATA[[#This Row],[t '[mm']]]/1000),"")</f>
        <v>78.40517241379311</v>
      </c>
      <c r="L24" s="85" t="str">
        <f>IFERROR((MP_DATA[[#This Row],[D, bottom '[m']]]+#REF!)/(2*#REF!/1000),"")</f>
        <v/>
      </c>
      <c r="M24" s="111" t="s">
        <v>172</v>
      </c>
      <c r="N24" s="111" t="s">
        <v>167</v>
      </c>
      <c r="O24" s="111">
        <v>-34.07</v>
      </c>
      <c r="P24" s="111">
        <v>2</v>
      </c>
      <c r="Q24" s="111" t="s">
        <v>143</v>
      </c>
      <c r="R24" s="111" t="s">
        <v>144</v>
      </c>
      <c r="S24" s="111">
        <v>0.84599999999999997</v>
      </c>
      <c r="U24" s="86">
        <v>6</v>
      </c>
      <c r="V24" s="86">
        <v>-10.8</v>
      </c>
      <c r="W24" s="86">
        <v>-14.3</v>
      </c>
      <c r="X24" s="86">
        <v>8.8800000000000008</v>
      </c>
      <c r="Y24" s="86">
        <v>9.31</v>
      </c>
      <c r="Z24" s="86">
        <v>116</v>
      </c>
      <c r="AB24" t="s">
        <v>172</v>
      </c>
      <c r="AC24" t="s">
        <v>167</v>
      </c>
      <c r="AD24">
        <v>-34.07</v>
      </c>
      <c r="AE24">
        <v>2</v>
      </c>
      <c r="AF24" t="s">
        <v>143</v>
      </c>
      <c r="AG24" t="s">
        <v>144</v>
      </c>
      <c r="AH24">
        <v>0.84599999999999997</v>
      </c>
      <c r="AW24" s="85" t="str">
        <f>IFERROR(TP_DATA[[#This Row],[Bottom '[mLAT']]]-TP_DATA[[#This Row],[D, top '[m']]], "")</f>
        <v/>
      </c>
      <c r="AX24" s="85" t="str">
        <f>IFERROR(-(TP_DATA[[#This Row],[D, bottom '[m']]]-TP_DATA[[#This Row],[D, top '[m']]])/(TP_DATA[[#This Row],[Bottom '[mLAT']]]-TP_DATA[[#This Row],[Top '[mLAT']]]),"")</f>
        <v/>
      </c>
      <c r="AY24" s="85" t="str">
        <f t="shared" si="1"/>
        <v/>
      </c>
      <c r="AZ24" s="85" t="str">
        <f>IFERROR((TP_DATA[[#This Row],[D, bottom '[m']]]+TP_DATA[[#This Row],[D, top '[m']]])/(2*TP_DATA[[#This Row],[t '[mm']]]/1000),"")</f>
        <v/>
      </c>
      <c r="BA24" s="85" t="str">
        <f>IFERROR((TP_DATA[[#This Row],[D, bottom '[m']]]+#REF!)/(2*#REF!/1000),"")</f>
        <v/>
      </c>
      <c r="BB24" s="111" t="s">
        <v>190</v>
      </c>
      <c r="BC24" s="111" t="s">
        <v>157</v>
      </c>
      <c r="BD24" s="111">
        <v>12.5</v>
      </c>
      <c r="BE24" s="111">
        <v>2</v>
      </c>
      <c r="BF24" s="111" t="s">
        <v>143</v>
      </c>
      <c r="BG24" s="111" t="s">
        <v>144</v>
      </c>
      <c r="BH24" s="111">
        <v>0.85</v>
      </c>
      <c r="BJ24" s="86"/>
      <c r="BK24" s="86"/>
      <c r="BL24" s="86"/>
      <c r="BM24" s="86"/>
      <c r="BN24" s="86"/>
      <c r="BO24" s="86"/>
      <c r="BQ24" t="s">
        <v>190</v>
      </c>
      <c r="BR24" t="s">
        <v>157</v>
      </c>
      <c r="BS24">
        <v>12.5</v>
      </c>
      <c r="BT24">
        <v>2</v>
      </c>
      <c r="BU24" t="s">
        <v>143</v>
      </c>
      <c r="BV24" t="s">
        <v>144</v>
      </c>
      <c r="BW24">
        <v>0.85</v>
      </c>
      <c r="CG24" s="111">
        <v>6</v>
      </c>
      <c r="CH24" s="111">
        <v>-10.8</v>
      </c>
      <c r="CI24" s="111">
        <v>-14.3</v>
      </c>
      <c r="CJ24" s="111">
        <v>8.8800000000000008</v>
      </c>
      <c r="CK24" s="111">
        <v>9.31</v>
      </c>
      <c r="CL24" s="111">
        <v>116</v>
      </c>
      <c r="CM24" s="85">
        <f>IFERROR(TOWER_DATA[[#This Row],[Bottom '[mLAT']]]-TOWER_DATA[[#This Row],[D, top '[m']]], "")</f>
        <v>-23.18</v>
      </c>
      <c r="CN24" s="85">
        <f>IFERROR(-(TOWER_DATA[[#This Row],[D, bottom '[m']]]-TOWER_DATA[[#This Row],[D, top '[m']]])/(TOWER_DATA[[#This Row],[Bottom '[mLAT']]]-TOWER_DATA[[#This Row],[Top '[mLAT']]]),"")</f>
        <v>0.12285714285714278</v>
      </c>
      <c r="CO24" s="85">
        <f t="shared" si="2"/>
        <v>89.902865547432455</v>
      </c>
      <c r="CP24" s="85">
        <f>IFERROR((TOWER_DATA[[#This Row],[D, bottom '[m']]]+TOWER_DATA[[#This Row],[D, top '[m']]])/(2*TOWER_DATA[[#This Row],[t '[mm']]]/1000),"")</f>
        <v>78.40517241379311</v>
      </c>
      <c r="CQ24" s="85" t="str">
        <f>IFERROR((TOWER_DATA[[#This Row],[D, bottom '[m']]]+#REF!)/(2*#REF!/1000),"")</f>
        <v/>
      </c>
      <c r="CR24" s="111" t="s">
        <v>180</v>
      </c>
      <c r="CS24" s="111" t="s">
        <v>171</v>
      </c>
      <c r="CT24" s="111">
        <v>-23.25</v>
      </c>
      <c r="CU24" s="111">
        <v>1.25</v>
      </c>
      <c r="CV24" s="111" t="s">
        <v>143</v>
      </c>
      <c r="CW24" s="111" t="s">
        <v>142</v>
      </c>
      <c r="CX24" s="111"/>
      <c r="CZ24" s="86">
        <v>6</v>
      </c>
      <c r="DA24" s="86">
        <v>-10.8</v>
      </c>
      <c r="DB24" s="86">
        <v>-14.3</v>
      </c>
      <c r="DC24" s="86">
        <v>8.8800000000000008</v>
      </c>
      <c r="DD24" s="86">
        <v>9.31</v>
      </c>
      <c r="DE24" s="86">
        <v>116</v>
      </c>
      <c r="DG24" t="s">
        <v>180</v>
      </c>
      <c r="DH24" t="s">
        <v>171</v>
      </c>
      <c r="DI24">
        <v>-23.25</v>
      </c>
      <c r="DJ24">
        <v>1.25</v>
      </c>
      <c r="DK24" t="s">
        <v>143</v>
      </c>
      <c r="DL24" t="s">
        <v>142</v>
      </c>
    </row>
    <row r="25" spans="1:117" x14ac:dyDescent="0.3">
      <c r="B25" s="111">
        <v>7</v>
      </c>
      <c r="C25" s="111">
        <v>-14.3</v>
      </c>
      <c r="D25" s="111">
        <v>-17.8</v>
      </c>
      <c r="E25" s="111">
        <v>9.31</v>
      </c>
      <c r="F25" s="111">
        <v>9.75</v>
      </c>
      <c r="G25" s="111">
        <v>103</v>
      </c>
      <c r="H25" s="85">
        <f>IFERROR(MP_DATA[[#This Row],[Bottom '[mLAT']]]-MP_DATA[[#This Row],[D, top '[m']]], "")</f>
        <v>-27.11</v>
      </c>
      <c r="I25" s="85">
        <f>IFERROR(-(MP_DATA[[#This Row],[D, bottom '[m']]]-MP_DATA[[#This Row],[D, top '[m']]])/(MP_DATA[[#This Row],[Bottom '[mLAT']]]-MP_DATA[[#This Row],[Top '[mLAT']]]),"")</f>
        <v>0.12571428571428558</v>
      </c>
      <c r="J25" s="85">
        <f t="shared" si="0"/>
        <v>83.810475680910201</v>
      </c>
      <c r="K25" s="85">
        <f>IFERROR((MP_DATA[[#This Row],[D, bottom '[m']]]+MP_DATA[[#This Row],[D, top '[m']]])/(2*MP_DATA[[#This Row],[t '[mm']]]/1000),"")</f>
        <v>92.524271844660205</v>
      </c>
      <c r="L25" s="85" t="str">
        <f>IFERROR((MP_DATA[[#This Row],[D, bottom '[m']]]+#REF!)/(2*#REF!/1000),"")</f>
        <v/>
      </c>
      <c r="M25" s="111" t="s">
        <v>173</v>
      </c>
      <c r="N25" s="111" t="s">
        <v>174</v>
      </c>
      <c r="O25" s="111">
        <v>-40.43</v>
      </c>
      <c r="P25" s="111">
        <v>2.12</v>
      </c>
      <c r="Q25" s="111" t="s">
        <v>143</v>
      </c>
      <c r="R25" s="111" t="s">
        <v>144</v>
      </c>
      <c r="S25" s="111">
        <v>0.84599999999999997</v>
      </c>
      <c r="U25" s="86">
        <v>7</v>
      </c>
      <c r="V25" s="86">
        <v>-14.3</v>
      </c>
      <c r="W25" s="86">
        <v>-17.8</v>
      </c>
      <c r="X25" s="86">
        <v>9.31</v>
      </c>
      <c r="Y25" s="86">
        <v>9.75</v>
      </c>
      <c r="Z25" s="86">
        <v>103</v>
      </c>
      <c r="AB25" t="s">
        <v>173</v>
      </c>
      <c r="AC25" t="s">
        <v>174</v>
      </c>
      <c r="AD25">
        <v>-40.43</v>
      </c>
      <c r="AE25">
        <v>2.12</v>
      </c>
      <c r="AF25" t="s">
        <v>143</v>
      </c>
      <c r="AG25" t="s">
        <v>144</v>
      </c>
      <c r="AH25">
        <v>0.84599999999999997</v>
      </c>
      <c r="AW25" s="85" t="str">
        <f>IFERROR(TP_DATA[[#This Row],[Bottom '[mLAT']]]-TP_DATA[[#This Row],[D, top '[m']]], "")</f>
        <v/>
      </c>
      <c r="AX25" s="85" t="str">
        <f>IFERROR(-(TP_DATA[[#This Row],[D, bottom '[m']]]-TP_DATA[[#This Row],[D, top '[m']]])/(TP_DATA[[#This Row],[Bottom '[mLAT']]]-TP_DATA[[#This Row],[Top '[mLAT']]]),"")</f>
        <v/>
      </c>
      <c r="AY25" s="85" t="str">
        <f t="shared" si="1"/>
        <v/>
      </c>
      <c r="AZ25" s="85" t="str">
        <f>IFERROR((TP_DATA[[#This Row],[D, bottom '[m']]]+TP_DATA[[#This Row],[D, top '[m']]])/(2*TP_DATA[[#This Row],[t '[mm']]]/1000),"")</f>
        <v/>
      </c>
      <c r="BA25" s="85" t="str">
        <f>IFERROR((TP_DATA[[#This Row],[D, bottom '[m']]]+#REF!)/(2*#REF!/1000),"")</f>
        <v/>
      </c>
      <c r="BB25" s="111" t="s">
        <v>191</v>
      </c>
      <c r="BC25" s="111" t="s">
        <v>158</v>
      </c>
      <c r="BD25" s="111">
        <v>12</v>
      </c>
      <c r="BE25" s="111">
        <v>1.02</v>
      </c>
      <c r="BF25" s="111" t="s">
        <v>143</v>
      </c>
      <c r="BG25" s="111" t="s">
        <v>145</v>
      </c>
      <c r="BH25" s="111"/>
      <c r="BJ25" s="86"/>
      <c r="BK25" s="86"/>
      <c r="BL25" s="86"/>
      <c r="BM25" s="86"/>
      <c r="BN25" s="86"/>
      <c r="BO25" s="86"/>
      <c r="BQ25" t="s">
        <v>191</v>
      </c>
      <c r="BR25" t="s">
        <v>158</v>
      </c>
      <c r="BS25">
        <v>12</v>
      </c>
      <c r="BT25">
        <v>1.02</v>
      </c>
      <c r="BU25" t="s">
        <v>143</v>
      </c>
      <c r="BV25" t="s">
        <v>145</v>
      </c>
      <c r="CG25" s="111">
        <v>7</v>
      </c>
      <c r="CH25" s="111">
        <v>-14.3</v>
      </c>
      <c r="CI25" s="111">
        <v>-17.8</v>
      </c>
      <c r="CJ25" s="111">
        <v>9.31</v>
      </c>
      <c r="CK25" s="111">
        <v>9.75</v>
      </c>
      <c r="CL25" s="111">
        <v>103</v>
      </c>
      <c r="CM25" s="85">
        <f>IFERROR(TOWER_DATA[[#This Row],[Bottom '[mLAT']]]-TOWER_DATA[[#This Row],[D, top '[m']]], "")</f>
        <v>-27.11</v>
      </c>
      <c r="CN25" s="85">
        <f>IFERROR(-(TOWER_DATA[[#This Row],[D, bottom '[m']]]-TOWER_DATA[[#This Row],[D, top '[m']]])/(TOWER_DATA[[#This Row],[Bottom '[mLAT']]]-TOWER_DATA[[#This Row],[Top '[mLAT']]]),"")</f>
        <v>0.12571428571428558</v>
      </c>
      <c r="CO25" s="85">
        <f t="shared" si="2"/>
        <v>83.810475680910201</v>
      </c>
      <c r="CP25" s="85">
        <f>IFERROR((TOWER_DATA[[#This Row],[D, bottom '[m']]]+TOWER_DATA[[#This Row],[D, top '[m']]])/(2*TOWER_DATA[[#This Row],[t '[mm']]]/1000),"")</f>
        <v>92.524271844660205</v>
      </c>
      <c r="CQ25" s="85" t="str">
        <f>IFERROR((TOWER_DATA[[#This Row],[D, bottom '[m']]]+#REF!)/(2*#REF!/1000),"")</f>
        <v/>
      </c>
      <c r="CR25" s="111" t="s">
        <v>181</v>
      </c>
      <c r="CS25" s="111" t="s">
        <v>167</v>
      </c>
      <c r="CT25" s="111">
        <v>-33.630000000000003</v>
      </c>
      <c r="CU25" s="111">
        <v>2</v>
      </c>
      <c r="CV25" s="111" t="s">
        <v>143</v>
      </c>
      <c r="CW25" s="111" t="s">
        <v>144</v>
      </c>
      <c r="CX25" s="111">
        <v>0.84599999999999997</v>
      </c>
      <c r="CZ25" s="86">
        <v>7</v>
      </c>
      <c r="DA25" s="86">
        <v>-14.3</v>
      </c>
      <c r="DB25" s="86">
        <v>-17.8</v>
      </c>
      <c r="DC25" s="86">
        <v>9.31</v>
      </c>
      <c r="DD25" s="86">
        <v>9.75</v>
      </c>
      <c r="DE25" s="86">
        <v>103</v>
      </c>
      <c r="DG25" t="s">
        <v>181</v>
      </c>
      <c r="DH25" t="s">
        <v>167</v>
      </c>
      <c r="DI25">
        <v>-33.630000000000003</v>
      </c>
      <c r="DJ25">
        <v>2</v>
      </c>
      <c r="DK25" t="s">
        <v>143</v>
      </c>
      <c r="DL25" t="s">
        <v>144</v>
      </c>
      <c r="DM25">
        <v>0.84599999999999997</v>
      </c>
    </row>
    <row r="26" spans="1:117" x14ac:dyDescent="0.3">
      <c r="B26" s="111">
        <v>8</v>
      </c>
      <c r="C26" s="111">
        <v>-17.8</v>
      </c>
      <c r="D26" s="111">
        <v>-21.3</v>
      </c>
      <c r="E26" s="111">
        <v>9.75</v>
      </c>
      <c r="F26" s="111">
        <v>10.19</v>
      </c>
      <c r="G26" s="111">
        <v>98</v>
      </c>
      <c r="H26" s="85">
        <f>IFERROR(MP_DATA[[#This Row],[Bottom '[mLAT']]]-MP_DATA[[#This Row],[D, top '[m']]], "")</f>
        <v>-31.05</v>
      </c>
      <c r="I26" s="85">
        <f>IFERROR(-(MP_DATA[[#This Row],[D, bottom '[m']]]-MP_DATA[[#This Row],[D, top '[m']]])/(MP_DATA[[#This Row],[Bottom '[mLAT']]]-MP_DATA[[#This Row],[Top '[mLAT']]]),"")</f>
        <v>0.12571428571428558</v>
      </c>
      <c r="J26" s="85">
        <f t="shared" si="0"/>
        <v>83.506214395905459</v>
      </c>
      <c r="K26" s="85">
        <f>IFERROR((MP_DATA[[#This Row],[D, bottom '[m']]]+MP_DATA[[#This Row],[D, top '[m']]])/(2*MP_DATA[[#This Row],[t '[mm']]]/1000),"")</f>
        <v>101.73469387755101</v>
      </c>
      <c r="L26" s="85" t="str">
        <f>IFERROR((MP_DATA[[#This Row],[D, bottom '[m']]]+#REF!)/(2*#REF!/1000),"")</f>
        <v/>
      </c>
      <c r="U26" s="86">
        <v>8</v>
      </c>
      <c r="V26" s="86">
        <v>-17.8</v>
      </c>
      <c r="W26" s="86">
        <v>-21.3</v>
      </c>
      <c r="X26" s="86">
        <v>9.75</v>
      </c>
      <c r="Y26" s="86">
        <v>10.19</v>
      </c>
      <c r="Z26" s="86">
        <v>98</v>
      </c>
      <c r="AB26" s="86"/>
      <c r="AC26" s="86"/>
      <c r="AD26" s="86"/>
      <c r="AE26" s="86"/>
      <c r="AF26" s="86"/>
      <c r="AG26" s="86"/>
      <c r="AH26" s="86"/>
      <c r="AW26" s="85" t="str">
        <f>IFERROR(TP_DATA[[#This Row],[Bottom '[mLAT']]]-TP_DATA[[#This Row],[D, top '[m']]], "")</f>
        <v/>
      </c>
      <c r="AX26" s="85" t="str">
        <f>IFERROR(-(TP_DATA[[#This Row],[D, bottom '[m']]]-TP_DATA[[#This Row],[D, top '[m']]])/(TP_DATA[[#This Row],[Bottom '[mLAT']]]-TP_DATA[[#This Row],[Top '[mLAT']]]),"")</f>
        <v/>
      </c>
      <c r="AY26" s="85" t="str">
        <f t="shared" si="1"/>
        <v/>
      </c>
      <c r="AZ26" s="85" t="str">
        <f>IFERROR((TP_DATA[[#This Row],[D, bottom '[m']]]+TP_DATA[[#This Row],[D, top '[m']]])/(2*TP_DATA[[#This Row],[t '[mm']]]/1000),"")</f>
        <v/>
      </c>
      <c r="BA26" s="85" t="str">
        <f>IFERROR((TP_DATA[[#This Row],[D, bottom '[m']]]+#REF!)/(2*#REF!/1000),"")</f>
        <v/>
      </c>
      <c r="BB26" s="111" t="s">
        <v>156</v>
      </c>
      <c r="BC26" s="111" t="s">
        <v>158</v>
      </c>
      <c r="BD26" s="111">
        <v>8.5</v>
      </c>
      <c r="BE26" s="111">
        <v>1</v>
      </c>
      <c r="BF26" s="111" t="s">
        <v>143</v>
      </c>
      <c r="BG26" s="111" t="s">
        <v>142</v>
      </c>
      <c r="BH26" s="111"/>
      <c r="BJ26" s="86"/>
      <c r="BK26" s="86"/>
      <c r="BL26" s="86"/>
      <c r="BM26" s="86"/>
      <c r="BN26" s="86"/>
      <c r="BO26" s="86"/>
      <c r="BQ26" s="86" t="s">
        <v>156</v>
      </c>
      <c r="BR26" s="86" t="s">
        <v>158</v>
      </c>
      <c r="BS26" s="86">
        <v>8.5</v>
      </c>
      <c r="BT26" s="86">
        <v>1</v>
      </c>
      <c r="BU26" s="86" t="s">
        <v>143</v>
      </c>
      <c r="BV26" s="86" t="s">
        <v>142</v>
      </c>
      <c r="BW26" s="86"/>
      <c r="CG26" s="111">
        <v>8</v>
      </c>
      <c r="CH26" s="111">
        <v>-17.8</v>
      </c>
      <c r="CI26" s="111">
        <v>-21.3</v>
      </c>
      <c r="CJ26" s="111">
        <v>9.75</v>
      </c>
      <c r="CK26" s="111">
        <v>10.19</v>
      </c>
      <c r="CL26" s="111">
        <v>98</v>
      </c>
      <c r="CM26" s="85">
        <f>IFERROR(TOWER_DATA[[#This Row],[Bottom '[mLAT']]]-TOWER_DATA[[#This Row],[D, top '[m']]], "")</f>
        <v>-31.05</v>
      </c>
      <c r="CN26" s="85">
        <f>IFERROR(-(TOWER_DATA[[#This Row],[D, bottom '[m']]]-TOWER_DATA[[#This Row],[D, top '[m']]])/(TOWER_DATA[[#This Row],[Bottom '[mLAT']]]-TOWER_DATA[[#This Row],[Top '[mLAT']]]),"")</f>
        <v>0.12571428571428558</v>
      </c>
      <c r="CO26" s="85">
        <f t="shared" si="2"/>
        <v>83.506214395905459</v>
      </c>
      <c r="CP26" s="85">
        <f>IFERROR((TOWER_DATA[[#This Row],[D, bottom '[m']]]+TOWER_DATA[[#This Row],[D, top '[m']]])/(2*TOWER_DATA[[#This Row],[t '[mm']]]/1000),"")</f>
        <v>101.73469387755101</v>
      </c>
      <c r="CQ26" s="85" t="str">
        <f>IFERROR((TOWER_DATA[[#This Row],[D, bottom '[m']]]+#REF!)/(2*#REF!/1000),"")</f>
        <v/>
      </c>
      <c r="CR26" s="111" t="s">
        <v>173</v>
      </c>
      <c r="CS26" s="111" t="s">
        <v>174</v>
      </c>
      <c r="CT26" s="111">
        <v>-37.299999999999997</v>
      </c>
      <c r="CU26" s="111">
        <v>2.12</v>
      </c>
      <c r="CV26" s="111" t="s">
        <v>143</v>
      </c>
      <c r="CW26" s="111" t="s">
        <v>144</v>
      </c>
      <c r="CX26" s="111">
        <v>0.84599999999999997</v>
      </c>
      <c r="CZ26" s="86">
        <v>8</v>
      </c>
      <c r="DA26" s="86">
        <v>-17.8</v>
      </c>
      <c r="DB26" s="86">
        <v>-21.3</v>
      </c>
      <c r="DC26" s="86">
        <v>9.75</v>
      </c>
      <c r="DD26" s="86">
        <v>10.19</v>
      </c>
      <c r="DE26" s="86">
        <v>98</v>
      </c>
      <c r="DG26" s="86" t="s">
        <v>173</v>
      </c>
      <c r="DH26" s="86" t="s">
        <v>174</v>
      </c>
      <c r="DI26" s="86">
        <v>-37.299999999999997</v>
      </c>
      <c r="DJ26" s="86">
        <v>2.12</v>
      </c>
      <c r="DK26" s="86" t="s">
        <v>143</v>
      </c>
      <c r="DL26" s="86" t="s">
        <v>144</v>
      </c>
      <c r="DM26" s="86">
        <v>0.84599999999999997</v>
      </c>
    </row>
    <row r="27" spans="1:117" x14ac:dyDescent="0.3">
      <c r="B27" s="111">
        <v>9</v>
      </c>
      <c r="C27" s="111">
        <v>-21.3</v>
      </c>
      <c r="D27" s="111">
        <v>-24.8</v>
      </c>
      <c r="E27" s="111">
        <v>10.19</v>
      </c>
      <c r="F27" s="111">
        <v>10.63</v>
      </c>
      <c r="G27" s="111">
        <v>98</v>
      </c>
      <c r="H27" s="85">
        <f>IFERROR(MP_DATA[[#This Row],[Bottom '[mLAT']]]-MP_DATA[[#This Row],[D, top '[m']]], "")</f>
        <v>-34.99</v>
      </c>
      <c r="I27" s="85">
        <f>IFERROR(-(MP_DATA[[#This Row],[D, bottom '[m']]]-MP_DATA[[#This Row],[D, top '[m']]])/(MP_DATA[[#This Row],[Bottom '[mLAT']]]-MP_DATA[[#This Row],[Top '[mLAT']]]),"")</f>
        <v>0.12571428571428608</v>
      </c>
      <c r="J27" s="85">
        <f t="shared" si="0"/>
        <v>87.228128327651717</v>
      </c>
      <c r="K27" s="85">
        <f>IFERROR((MP_DATA[[#This Row],[D, bottom '[m']]]+MP_DATA[[#This Row],[D, top '[m']]])/(2*MP_DATA[[#This Row],[t '[mm']]]/1000),"")</f>
        <v>106.22448979591836</v>
      </c>
      <c r="L27" s="85" t="str">
        <f>IFERROR((MP_DATA[[#This Row],[D, bottom '[m']]]+#REF!)/(2*#REF!/1000),"")</f>
        <v/>
      </c>
      <c r="U27" s="86">
        <v>9</v>
      </c>
      <c r="V27" s="86">
        <v>-21.3</v>
      </c>
      <c r="W27" s="86">
        <v>-24.8</v>
      </c>
      <c r="X27" s="86">
        <v>10.19</v>
      </c>
      <c r="Y27" s="86">
        <v>10.63</v>
      </c>
      <c r="Z27" s="86">
        <v>98</v>
      </c>
      <c r="AB27" s="86"/>
      <c r="AC27" s="86"/>
      <c r="AD27" s="86"/>
      <c r="AE27" s="86"/>
      <c r="AF27" s="86"/>
      <c r="AG27" s="86"/>
      <c r="AW27" s="85" t="str">
        <f>IFERROR(TP_DATA[[#This Row],[Bottom '[mLAT']]]-TP_DATA[[#This Row],[D, top '[m']]], "")</f>
        <v/>
      </c>
      <c r="AX27" s="85" t="str">
        <f>IFERROR(-(TP_DATA[[#This Row],[D, bottom '[m']]]-TP_DATA[[#This Row],[D, top '[m']]])/(TP_DATA[[#This Row],[Bottom '[mLAT']]]-TP_DATA[[#This Row],[Top '[mLAT']]]),"")</f>
        <v/>
      </c>
      <c r="AY27" s="85" t="str">
        <f t="shared" si="1"/>
        <v/>
      </c>
      <c r="AZ27" s="85" t="str">
        <f>IFERROR((TP_DATA[[#This Row],[D, bottom '[m']]]+TP_DATA[[#This Row],[D, top '[m']]])/(2*TP_DATA[[#This Row],[t '[mm']]]/1000),"")</f>
        <v/>
      </c>
      <c r="BA27" s="85" t="str">
        <f>IFERROR((TP_DATA[[#This Row],[D, bottom '[m']]]+#REF!)/(2*#REF!/1000),"")</f>
        <v/>
      </c>
      <c r="BB27" s="111"/>
      <c r="BC27" s="111"/>
      <c r="BD27" s="111"/>
      <c r="BE27" s="111"/>
      <c r="BF27" s="111"/>
      <c r="BG27" s="111"/>
      <c r="BH27" s="111"/>
      <c r="BJ27" s="86"/>
      <c r="BK27" s="86"/>
      <c r="BL27" s="86"/>
      <c r="BM27" s="86"/>
      <c r="BN27" s="86"/>
      <c r="BO27" s="86"/>
      <c r="BQ27" s="86"/>
      <c r="BR27" s="86"/>
      <c r="BS27" s="86"/>
      <c r="BT27" s="86"/>
      <c r="BU27" s="86"/>
      <c r="BV27" s="86"/>
      <c r="CG27" s="111">
        <v>9</v>
      </c>
      <c r="CH27" s="111">
        <v>-21.3</v>
      </c>
      <c r="CI27" s="111">
        <v>-24.8</v>
      </c>
      <c r="CJ27" s="111">
        <v>10.19</v>
      </c>
      <c r="CK27" s="111">
        <v>10.63</v>
      </c>
      <c r="CL27" s="111">
        <v>98</v>
      </c>
      <c r="CM27" s="85">
        <f>IFERROR(TOWER_DATA[[#This Row],[Bottom '[mLAT']]]-TOWER_DATA[[#This Row],[D, top '[m']]], "")</f>
        <v>-34.99</v>
      </c>
      <c r="CN27" s="85">
        <f>IFERROR(-(TOWER_DATA[[#This Row],[D, bottom '[m']]]-TOWER_DATA[[#This Row],[D, top '[m']]])/(TOWER_DATA[[#This Row],[Bottom '[mLAT']]]-TOWER_DATA[[#This Row],[Top '[mLAT']]]),"")</f>
        <v>0.12571428571428608</v>
      </c>
      <c r="CO27" s="85">
        <f t="shared" si="2"/>
        <v>87.228128327651717</v>
      </c>
      <c r="CP27" s="85">
        <f>IFERROR((TOWER_DATA[[#This Row],[D, bottom '[m']]]+TOWER_DATA[[#This Row],[D, top '[m']]])/(2*TOWER_DATA[[#This Row],[t '[mm']]]/1000),"")</f>
        <v>106.22448979591836</v>
      </c>
      <c r="CQ27" s="85" t="str">
        <f>IFERROR((TOWER_DATA[[#This Row],[D, bottom '[m']]]+#REF!)/(2*#REF!/1000),"")</f>
        <v/>
      </c>
      <c r="CZ27" s="86">
        <v>9</v>
      </c>
      <c r="DA27" s="86">
        <v>-21.3</v>
      </c>
      <c r="DB27" s="86">
        <v>-24.8</v>
      </c>
      <c r="DC27" s="86">
        <v>10.19</v>
      </c>
      <c r="DD27" s="86">
        <v>10.63</v>
      </c>
      <c r="DE27" s="86">
        <v>98</v>
      </c>
      <c r="DG27" s="86"/>
      <c r="DH27" s="86"/>
      <c r="DI27" s="86"/>
      <c r="DJ27" s="86"/>
      <c r="DK27" s="86"/>
      <c r="DL27" s="86"/>
    </row>
    <row r="28" spans="1:117" x14ac:dyDescent="0.3">
      <c r="B28" s="111">
        <v>10</v>
      </c>
      <c r="C28" s="111">
        <v>-24.8</v>
      </c>
      <c r="D28" s="111">
        <v>-28.3</v>
      </c>
      <c r="E28" s="111">
        <v>10.63</v>
      </c>
      <c r="F28" s="111">
        <v>11.06</v>
      </c>
      <c r="G28" s="111">
        <v>98</v>
      </c>
      <c r="H28" s="85">
        <f>IFERROR(MP_DATA[[#This Row],[Bottom '[mLAT']]]-MP_DATA[[#This Row],[D, top '[m']]], "")</f>
        <v>-38.93</v>
      </c>
      <c r="I28" s="85">
        <f>IFERROR(-(MP_DATA[[#This Row],[D, bottom '[m']]]-MP_DATA[[#This Row],[D, top '[m']]])/(MP_DATA[[#This Row],[Bottom '[mLAT']]]-MP_DATA[[#This Row],[Top '[mLAT']]]),"")</f>
        <v>0.12285714285714278</v>
      </c>
      <c r="J28" s="85">
        <f t="shared" si="0"/>
        <v>90.907747782900842</v>
      </c>
      <c r="K28" s="85">
        <f>IFERROR((MP_DATA[[#This Row],[D, bottom '[m']]]+MP_DATA[[#This Row],[D, top '[m']]])/(2*MP_DATA[[#This Row],[t '[mm']]]/1000),"")</f>
        <v>110.66326530612245</v>
      </c>
      <c r="L28" s="85" t="str">
        <f>IFERROR((MP_DATA[[#This Row],[D, bottom '[m']]]+#REF!)/(2*#REF!/1000),"")</f>
        <v/>
      </c>
      <c r="U28" s="86">
        <v>10</v>
      </c>
      <c r="V28" s="86">
        <v>-24.8</v>
      </c>
      <c r="W28" s="86">
        <v>-28.3</v>
      </c>
      <c r="X28" s="86">
        <v>10.63</v>
      </c>
      <c r="Y28" s="86">
        <v>11.06</v>
      </c>
      <c r="Z28" s="86">
        <v>98</v>
      </c>
      <c r="AB28" s="86"/>
      <c r="AC28" s="86"/>
      <c r="AD28" s="86"/>
      <c r="AE28" s="86"/>
      <c r="AF28" s="86"/>
      <c r="AG28" s="86"/>
      <c r="AW28" s="85" t="str">
        <f>IFERROR(TP_DATA[[#This Row],[Bottom '[mLAT']]]-TP_DATA[[#This Row],[D, top '[m']]], "")</f>
        <v/>
      </c>
      <c r="AX28" s="85" t="str">
        <f>IFERROR(-(TP_DATA[[#This Row],[D, bottom '[m']]]-TP_DATA[[#This Row],[D, top '[m']]])/(TP_DATA[[#This Row],[Bottom '[mLAT']]]-TP_DATA[[#This Row],[Top '[mLAT']]]),"")</f>
        <v/>
      </c>
      <c r="AY28" s="85" t="str">
        <f t="shared" si="1"/>
        <v/>
      </c>
      <c r="AZ28" s="85" t="str">
        <f>IFERROR((TP_DATA[[#This Row],[D, bottom '[m']]]+TP_DATA[[#This Row],[D, top '[m']]])/(2*TP_DATA[[#This Row],[t '[mm']]]/1000),"")</f>
        <v/>
      </c>
      <c r="BA28" s="85" t="str">
        <f>IFERROR((TP_DATA[[#This Row],[D, bottom '[m']]]+#REF!)/(2*#REF!/1000),"")</f>
        <v/>
      </c>
      <c r="BB28" s="111"/>
      <c r="BC28" s="111"/>
      <c r="BD28" s="111"/>
      <c r="BE28" s="111"/>
      <c r="BF28" s="111"/>
      <c r="BG28" s="111"/>
      <c r="BH28" s="111"/>
      <c r="BJ28" s="86"/>
      <c r="BK28" s="86"/>
      <c r="BL28" s="86"/>
      <c r="BM28" s="86"/>
      <c r="BN28" s="86"/>
      <c r="BO28" s="86"/>
      <c r="BQ28" s="86"/>
      <c r="BR28" s="86"/>
      <c r="BS28" s="86"/>
      <c r="BT28" s="86"/>
      <c r="BU28" s="86"/>
      <c r="BV28" s="86"/>
      <c r="CG28" s="111">
        <v>10</v>
      </c>
      <c r="CH28" s="111">
        <v>-24.8</v>
      </c>
      <c r="CI28" s="111">
        <v>-28.3</v>
      </c>
      <c r="CJ28" s="111">
        <v>10.63</v>
      </c>
      <c r="CK28" s="111">
        <v>11.06</v>
      </c>
      <c r="CL28" s="111">
        <v>98</v>
      </c>
      <c r="CM28" s="85">
        <f>IFERROR(TOWER_DATA[[#This Row],[Bottom '[mLAT']]]-TOWER_DATA[[#This Row],[D, top '[m']]], "")</f>
        <v>-38.93</v>
      </c>
      <c r="CN28" s="85">
        <f>IFERROR(-(TOWER_DATA[[#This Row],[D, bottom '[m']]]-TOWER_DATA[[#This Row],[D, top '[m']]])/(TOWER_DATA[[#This Row],[Bottom '[mLAT']]]-TOWER_DATA[[#This Row],[Top '[mLAT']]]),"")</f>
        <v>0.12285714285714278</v>
      </c>
      <c r="CO28" s="85">
        <f t="shared" si="2"/>
        <v>90.907747782900842</v>
      </c>
      <c r="CP28" s="85">
        <f>IFERROR((TOWER_DATA[[#This Row],[D, bottom '[m']]]+TOWER_DATA[[#This Row],[D, top '[m']]])/(2*TOWER_DATA[[#This Row],[t '[mm']]]/1000),"")</f>
        <v>110.66326530612245</v>
      </c>
      <c r="CQ28" s="85" t="str">
        <f>IFERROR((TOWER_DATA[[#This Row],[D, bottom '[m']]]+#REF!)/(2*#REF!/1000),"")</f>
        <v/>
      </c>
      <c r="CZ28" s="86">
        <v>10</v>
      </c>
      <c r="DA28" s="86">
        <v>-24.8</v>
      </c>
      <c r="DB28" s="86">
        <v>-28.3</v>
      </c>
      <c r="DC28" s="86">
        <v>10.63</v>
      </c>
      <c r="DD28" s="86">
        <v>11.06</v>
      </c>
      <c r="DE28" s="86">
        <v>98</v>
      </c>
      <c r="DG28" s="86"/>
      <c r="DH28" s="86"/>
      <c r="DI28" s="86"/>
      <c r="DJ28" s="86"/>
      <c r="DK28" s="86"/>
      <c r="DL28" s="86"/>
    </row>
    <row r="29" spans="1:117" x14ac:dyDescent="0.3">
      <c r="B29" s="111">
        <v>11</v>
      </c>
      <c r="C29" s="111">
        <v>-28.3</v>
      </c>
      <c r="D29" s="111">
        <v>-31.8</v>
      </c>
      <c r="E29" s="111">
        <v>11.06</v>
      </c>
      <c r="F29" s="111">
        <v>11.5</v>
      </c>
      <c r="G29" s="111">
        <v>98</v>
      </c>
      <c r="H29" s="85">
        <f>IFERROR(MP_DATA[[#This Row],[Bottom '[mLAT']]]-MP_DATA[[#This Row],[D, top '[m']]], "")</f>
        <v>-42.86</v>
      </c>
      <c r="I29" s="85">
        <f>IFERROR(-(MP_DATA[[#This Row],[D, bottom '[m']]]-MP_DATA[[#This Row],[D, top '[m']]])/(MP_DATA[[#This Row],[Bottom '[mLAT']]]-MP_DATA[[#This Row],[Top '[mLAT']]]),"")</f>
        <v>0.12571428571428558</v>
      </c>
      <c r="J29" s="85">
        <f t="shared" si="0"/>
        <v>94.587367238149838</v>
      </c>
      <c r="K29" s="85">
        <f>IFERROR((MP_DATA[[#This Row],[D, bottom '[m']]]+MP_DATA[[#This Row],[D, top '[m']]])/(2*MP_DATA[[#This Row],[t '[mm']]]/1000),"")</f>
        <v>115.10204081632654</v>
      </c>
      <c r="L29" s="85" t="str">
        <f>IFERROR((MP_DATA[[#This Row],[D, bottom '[m']]]+#REF!)/(2*#REF!/1000),"")</f>
        <v/>
      </c>
      <c r="U29" s="86">
        <v>11</v>
      </c>
      <c r="V29" s="86">
        <v>-28.3</v>
      </c>
      <c r="W29" s="86">
        <v>-31.8</v>
      </c>
      <c r="X29" s="86">
        <v>11.06</v>
      </c>
      <c r="Y29" s="86">
        <v>11.5</v>
      </c>
      <c r="Z29" s="86">
        <v>98</v>
      </c>
      <c r="AW29" s="85" t="str">
        <f>IFERROR(TP_DATA[[#This Row],[Bottom '[mLAT']]]-TP_DATA[[#This Row],[D, top '[m']]], "")</f>
        <v/>
      </c>
      <c r="AX29" s="85" t="str">
        <f>IFERROR(-(TP_DATA[[#This Row],[D, bottom '[m']]]-TP_DATA[[#This Row],[D, top '[m']]])/(TP_DATA[[#This Row],[Bottom '[mLAT']]]-TP_DATA[[#This Row],[Top '[mLAT']]]),"")</f>
        <v/>
      </c>
      <c r="AY29" s="85" t="str">
        <f t="shared" si="1"/>
        <v/>
      </c>
      <c r="AZ29" s="85" t="str">
        <f>IFERROR((TP_DATA[[#This Row],[D, bottom '[m']]]+TP_DATA[[#This Row],[D, top '[m']]])/(2*TP_DATA[[#This Row],[t '[mm']]]/1000),"")</f>
        <v/>
      </c>
      <c r="BA29" s="85" t="str">
        <f>IFERROR((TP_DATA[[#This Row],[D, bottom '[m']]]+#REF!)/(2*#REF!/1000),"")</f>
        <v/>
      </c>
      <c r="BJ29" s="86"/>
      <c r="BK29" s="86"/>
      <c r="BL29" s="86"/>
      <c r="BM29" s="86"/>
      <c r="BN29" s="86"/>
      <c r="BO29" s="86"/>
      <c r="CG29" s="111">
        <v>11</v>
      </c>
      <c r="CH29" s="111">
        <v>-28.3</v>
      </c>
      <c r="CI29" s="111">
        <v>-31.8</v>
      </c>
      <c r="CJ29" s="111">
        <v>11.06</v>
      </c>
      <c r="CK29" s="111">
        <v>11.5</v>
      </c>
      <c r="CL29" s="111">
        <v>98</v>
      </c>
      <c r="CM29" s="85">
        <f>IFERROR(TOWER_DATA[[#This Row],[Bottom '[mLAT']]]-TOWER_DATA[[#This Row],[D, top '[m']]], "")</f>
        <v>-42.86</v>
      </c>
      <c r="CN29" s="85">
        <f>IFERROR(-(TOWER_DATA[[#This Row],[D, bottom '[m']]]-TOWER_DATA[[#This Row],[D, top '[m']]])/(TOWER_DATA[[#This Row],[Bottom '[mLAT']]]-TOWER_DATA[[#This Row],[Top '[mLAT']]]),"")</f>
        <v>0.12571428571428558</v>
      </c>
      <c r="CO29" s="85">
        <f t="shared" si="2"/>
        <v>94.587367238149838</v>
      </c>
      <c r="CP29" s="85">
        <f>IFERROR((TOWER_DATA[[#This Row],[D, bottom '[m']]]+TOWER_DATA[[#This Row],[D, top '[m']]])/(2*TOWER_DATA[[#This Row],[t '[mm']]]/1000),"")</f>
        <v>115.10204081632654</v>
      </c>
      <c r="CQ29" s="85" t="str">
        <f>IFERROR((TOWER_DATA[[#This Row],[D, bottom '[m']]]+#REF!)/(2*#REF!/1000),"")</f>
        <v/>
      </c>
      <c r="CZ29" s="86">
        <v>11</v>
      </c>
      <c r="DA29" s="86">
        <v>-28.3</v>
      </c>
      <c r="DB29" s="86">
        <v>-31.8</v>
      </c>
      <c r="DC29" s="86">
        <v>11.06</v>
      </c>
      <c r="DD29" s="86">
        <v>11.5</v>
      </c>
      <c r="DE29" s="86">
        <v>98</v>
      </c>
    </row>
    <row r="30" spans="1:117" x14ac:dyDescent="0.3">
      <c r="B30" s="111">
        <v>12</v>
      </c>
      <c r="C30" s="111">
        <v>-31.8</v>
      </c>
      <c r="D30" s="111">
        <v>-35.299999999999997</v>
      </c>
      <c r="E30" s="111">
        <v>11.5</v>
      </c>
      <c r="F30" s="111">
        <v>11.5</v>
      </c>
      <c r="G30" s="111">
        <v>98</v>
      </c>
      <c r="H30" s="85">
        <f>IFERROR(MP_DATA[[#This Row],[Bottom '[mLAT']]]-MP_DATA[[#This Row],[D, top '[m']]], "")</f>
        <v>-46.8</v>
      </c>
      <c r="I30" s="85">
        <f>IFERROR(-(MP_DATA[[#This Row],[D, bottom '[m']]]-MP_DATA[[#This Row],[D, top '[m']]])/(MP_DATA[[#This Row],[Bottom '[mLAT']]]-MP_DATA[[#This Row],[Top '[mLAT']]]),"")</f>
        <v>0</v>
      </c>
      <c r="J30" s="85">
        <f t="shared" si="0"/>
        <v>96.448324204023137</v>
      </c>
      <c r="K30" s="85">
        <f>IFERROR((MP_DATA[[#This Row],[D, bottom '[m']]]+MP_DATA[[#This Row],[D, top '[m']]])/(2*MP_DATA[[#This Row],[t '[mm']]]/1000),"")</f>
        <v>117.3469387755102</v>
      </c>
      <c r="L30" s="85" t="str">
        <f>IFERROR((MP_DATA[[#This Row],[D, bottom '[m']]]+#REF!)/(2*#REF!/1000),"")</f>
        <v/>
      </c>
      <c r="U30" s="86">
        <v>12</v>
      </c>
      <c r="V30" s="86">
        <v>-31.8</v>
      </c>
      <c r="W30" s="86">
        <v>-35.299999999999997</v>
      </c>
      <c r="X30" s="86">
        <v>11.5</v>
      </c>
      <c r="Y30" s="86">
        <v>11.5</v>
      </c>
      <c r="Z30" s="86">
        <v>98</v>
      </c>
      <c r="AW30" s="85" t="str">
        <f>IFERROR(TP_DATA[[#This Row],[Bottom '[mLAT']]]-TP_DATA[[#This Row],[D, top '[m']]], "")</f>
        <v/>
      </c>
      <c r="AX30" s="85" t="str">
        <f>IFERROR(-(TP_DATA[[#This Row],[D, bottom '[m']]]-TP_DATA[[#This Row],[D, top '[m']]])/(TP_DATA[[#This Row],[Bottom '[mLAT']]]-TP_DATA[[#This Row],[Top '[mLAT']]]),"")</f>
        <v/>
      </c>
      <c r="AY30" s="85" t="str">
        <f t="shared" si="1"/>
        <v/>
      </c>
      <c r="AZ30" s="85" t="str">
        <f>IFERROR((TP_DATA[[#This Row],[D, bottom '[m']]]+TP_DATA[[#This Row],[D, top '[m']]])/(2*TP_DATA[[#This Row],[t '[mm']]]/1000),"")</f>
        <v/>
      </c>
      <c r="BA30" s="85" t="str">
        <f>IFERROR((TP_DATA[[#This Row],[D, bottom '[m']]]+#REF!)/(2*#REF!/1000),"")</f>
        <v/>
      </c>
      <c r="BJ30" s="86"/>
      <c r="BK30" s="86"/>
      <c r="BL30" s="86"/>
      <c r="BM30" s="86"/>
      <c r="BN30" s="86"/>
      <c r="BO30" s="86"/>
      <c r="CG30" s="111">
        <v>12</v>
      </c>
      <c r="CH30" s="111">
        <v>-31.8</v>
      </c>
      <c r="CI30" s="111">
        <v>-35.299999999999997</v>
      </c>
      <c r="CJ30" s="111">
        <v>11.5</v>
      </c>
      <c r="CK30" s="111">
        <v>11.5</v>
      </c>
      <c r="CL30" s="111">
        <v>98</v>
      </c>
      <c r="CM30" s="85">
        <f>IFERROR(TOWER_DATA[[#This Row],[Bottom '[mLAT']]]-TOWER_DATA[[#This Row],[D, top '[m']]], "")</f>
        <v>-46.8</v>
      </c>
      <c r="CN30" s="85">
        <f>IFERROR(-(TOWER_DATA[[#This Row],[D, bottom '[m']]]-TOWER_DATA[[#This Row],[D, top '[m']]])/(TOWER_DATA[[#This Row],[Bottom '[mLAT']]]-TOWER_DATA[[#This Row],[Top '[mLAT']]]),"")</f>
        <v>0</v>
      </c>
      <c r="CO30" s="85">
        <f t="shared" si="2"/>
        <v>96.448324204023137</v>
      </c>
      <c r="CP30" s="85">
        <f>IFERROR((TOWER_DATA[[#This Row],[D, bottom '[m']]]+TOWER_DATA[[#This Row],[D, top '[m']]])/(2*TOWER_DATA[[#This Row],[t '[mm']]]/1000),"")</f>
        <v>117.3469387755102</v>
      </c>
      <c r="CQ30" s="85" t="str">
        <f>IFERROR((TOWER_DATA[[#This Row],[D, bottom '[m']]]+#REF!)/(2*#REF!/1000),"")</f>
        <v/>
      </c>
      <c r="CZ30" s="86">
        <v>12</v>
      </c>
      <c r="DA30" s="86">
        <v>-31.8</v>
      </c>
      <c r="DB30" s="86">
        <v>-35.299999999999997</v>
      </c>
      <c r="DC30" s="86">
        <v>11.5</v>
      </c>
      <c r="DD30" s="86">
        <v>11.5</v>
      </c>
      <c r="DE30" s="86">
        <v>98</v>
      </c>
    </row>
    <row r="31" spans="1:117" x14ac:dyDescent="0.3">
      <c r="B31" s="111">
        <v>13</v>
      </c>
      <c r="C31" s="111">
        <v>-35.299999999999997</v>
      </c>
      <c r="D31" s="111">
        <v>-38.6</v>
      </c>
      <c r="E31" s="111">
        <v>11.5</v>
      </c>
      <c r="F31" s="111">
        <v>11.5</v>
      </c>
      <c r="G31" s="111">
        <v>100</v>
      </c>
      <c r="H31" s="85">
        <f>IFERROR(MP_DATA[[#This Row],[Bottom '[mLAT']]]-MP_DATA[[#This Row],[D, top '[m']]], "")</f>
        <v>-50.1</v>
      </c>
      <c r="I31" s="85">
        <f>IFERROR(-(MP_DATA[[#This Row],[D, bottom '[m']]]-MP_DATA[[#This Row],[D, top '[m']]])/(MP_DATA[[#This Row],[Bottom '[mLAT']]]-MP_DATA[[#This Row],[Top '[mLAT']]]),"")</f>
        <v>0</v>
      </c>
      <c r="J31" s="85">
        <f t="shared" si="0"/>
        <v>92.776571768017746</v>
      </c>
      <c r="K31" s="85">
        <f>IFERROR((MP_DATA[[#This Row],[D, bottom '[m']]]+MP_DATA[[#This Row],[D, top '[m']]])/(2*MP_DATA[[#This Row],[t '[mm']]]/1000),"")</f>
        <v>115</v>
      </c>
      <c r="L31" s="85" t="str">
        <f>IFERROR((MP_DATA[[#This Row],[D, bottom '[m']]]+#REF!)/(2*#REF!/1000),"")</f>
        <v/>
      </c>
      <c r="U31" s="86">
        <v>13</v>
      </c>
      <c r="V31" s="86">
        <v>-35.299999999999997</v>
      </c>
      <c r="W31" s="86">
        <v>-38.6</v>
      </c>
      <c r="X31" s="86">
        <v>11.5</v>
      </c>
      <c r="Y31" s="86">
        <v>11.5</v>
      </c>
      <c r="Z31" s="86">
        <v>100</v>
      </c>
      <c r="AW31" s="85" t="str">
        <f>IFERROR(TP_DATA[[#This Row],[Bottom '[mLAT']]]-TP_DATA[[#This Row],[D, top '[m']]], "")</f>
        <v/>
      </c>
      <c r="AX31" s="85" t="str">
        <f>IFERROR(-(TP_DATA[[#This Row],[D, bottom '[m']]]-TP_DATA[[#This Row],[D, top '[m']]])/(TP_DATA[[#This Row],[Bottom '[mLAT']]]-TP_DATA[[#This Row],[Top '[mLAT']]]),"")</f>
        <v/>
      </c>
      <c r="AY31" s="85" t="str">
        <f t="shared" si="1"/>
        <v/>
      </c>
      <c r="AZ31" s="85" t="str">
        <f>IFERROR((TP_DATA[[#This Row],[D, bottom '[m']]]+TP_DATA[[#This Row],[D, top '[m']]])/(2*TP_DATA[[#This Row],[t '[mm']]]/1000),"")</f>
        <v/>
      </c>
      <c r="BA31" s="85" t="str">
        <f>IFERROR((TP_DATA[[#This Row],[D, bottom '[m']]]+#REF!)/(2*#REF!/1000),"")</f>
        <v/>
      </c>
      <c r="BJ31" s="86"/>
      <c r="BK31" s="86"/>
      <c r="BL31" s="86"/>
      <c r="BM31" s="86"/>
      <c r="BN31" s="86"/>
      <c r="BO31" s="86"/>
      <c r="CG31" s="111">
        <v>13</v>
      </c>
      <c r="CH31" s="111">
        <v>-35.299999999999997</v>
      </c>
      <c r="CI31" s="111">
        <v>-38.6</v>
      </c>
      <c r="CJ31" s="111">
        <v>11.5</v>
      </c>
      <c r="CK31" s="111">
        <v>11.5</v>
      </c>
      <c r="CL31" s="111">
        <v>100</v>
      </c>
      <c r="CM31" s="85">
        <f>IFERROR(TOWER_DATA[[#This Row],[Bottom '[mLAT']]]-TOWER_DATA[[#This Row],[D, top '[m']]], "")</f>
        <v>-50.1</v>
      </c>
      <c r="CN31" s="85">
        <f>IFERROR(-(TOWER_DATA[[#This Row],[D, bottom '[m']]]-TOWER_DATA[[#This Row],[D, top '[m']]])/(TOWER_DATA[[#This Row],[Bottom '[mLAT']]]-TOWER_DATA[[#This Row],[Top '[mLAT']]]),"")</f>
        <v>0</v>
      </c>
      <c r="CO31" s="85">
        <f t="shared" si="2"/>
        <v>92.776571768017746</v>
      </c>
      <c r="CP31" s="85">
        <f>IFERROR((TOWER_DATA[[#This Row],[D, bottom '[m']]]+TOWER_DATA[[#This Row],[D, top '[m']]])/(2*TOWER_DATA[[#This Row],[t '[mm']]]/1000),"")</f>
        <v>115</v>
      </c>
      <c r="CQ31" s="85" t="str">
        <f>IFERROR((TOWER_DATA[[#This Row],[D, bottom '[m']]]+#REF!)/(2*#REF!/1000),"")</f>
        <v/>
      </c>
      <c r="CZ31" s="86">
        <v>13</v>
      </c>
      <c r="DA31" s="86">
        <v>-35.299999999999997</v>
      </c>
      <c r="DB31" s="86">
        <v>-38.6</v>
      </c>
      <c r="DC31" s="86">
        <v>11.5</v>
      </c>
      <c r="DD31" s="86">
        <v>11.5</v>
      </c>
      <c r="DE31" s="86">
        <v>100</v>
      </c>
    </row>
    <row r="32" spans="1:117" x14ac:dyDescent="0.3">
      <c r="B32" s="111">
        <v>14</v>
      </c>
      <c r="C32" s="111">
        <v>-38.6</v>
      </c>
      <c r="D32" s="111">
        <v>-41.9</v>
      </c>
      <c r="E32" s="111">
        <v>11.5</v>
      </c>
      <c r="F32" s="111">
        <v>11.5</v>
      </c>
      <c r="G32" s="111">
        <v>98</v>
      </c>
      <c r="H32" s="85">
        <f>IFERROR(MP_DATA[[#This Row],[Bottom '[mLAT']]]-MP_DATA[[#This Row],[D, top '[m']]], "")</f>
        <v>-53.4</v>
      </c>
      <c r="I32" s="85">
        <f>IFERROR(-(MP_DATA[[#This Row],[D, bottom '[m']]]-MP_DATA[[#This Row],[D, top '[m']]])/(MP_DATA[[#This Row],[Bottom '[mLAT']]]-MP_DATA[[#This Row],[Top '[mLAT']]]),"")</f>
        <v>0</v>
      </c>
      <c r="J32" s="85">
        <f t="shared" si="0"/>
        <v>90.936991392364675</v>
      </c>
      <c r="K32" s="85">
        <f>IFERROR((MP_DATA[[#This Row],[D, bottom '[m']]]+MP_DATA[[#This Row],[D, top '[m']]])/(2*MP_DATA[[#This Row],[t '[mm']]]/1000),"")</f>
        <v>117.3469387755102</v>
      </c>
      <c r="L32" s="85" t="str">
        <f>IFERROR((MP_DATA[[#This Row],[D, bottom '[m']]]+#REF!)/(2*#REF!/1000),"")</f>
        <v/>
      </c>
      <c r="U32" s="86">
        <v>14</v>
      </c>
      <c r="V32" s="86">
        <v>-38.6</v>
      </c>
      <c r="W32" s="86">
        <v>-41.9</v>
      </c>
      <c r="X32" s="86">
        <v>11.5</v>
      </c>
      <c r="Y32" s="86">
        <v>11.5</v>
      </c>
      <c r="Z32" s="86">
        <v>98</v>
      </c>
      <c r="AW32" s="85" t="str">
        <f>IFERROR(TP_DATA[[#This Row],[Bottom '[mLAT']]]-TP_DATA[[#This Row],[D, top '[m']]], "")</f>
        <v/>
      </c>
      <c r="AX32" s="85" t="str">
        <f>IFERROR(-(TP_DATA[[#This Row],[D, bottom '[m']]]-TP_DATA[[#This Row],[D, top '[m']]])/(TP_DATA[[#This Row],[Bottom '[mLAT']]]-TP_DATA[[#This Row],[Top '[mLAT']]]),"")</f>
        <v/>
      </c>
      <c r="AY32" s="85" t="str">
        <f t="shared" si="1"/>
        <v/>
      </c>
      <c r="AZ32" s="85" t="str">
        <f>IFERROR((TP_DATA[[#This Row],[D, bottom '[m']]]+TP_DATA[[#This Row],[D, top '[m']]])/(2*TP_DATA[[#This Row],[t '[mm']]]/1000),"")</f>
        <v/>
      </c>
      <c r="BA32" s="85" t="str">
        <f>IFERROR((TP_DATA[[#This Row],[D, bottom '[m']]]+#REF!)/(2*#REF!/1000),"")</f>
        <v/>
      </c>
      <c r="BJ32" s="86"/>
      <c r="BK32" s="86"/>
      <c r="BL32" s="86"/>
      <c r="BM32" s="86"/>
      <c r="BN32" s="86"/>
      <c r="BO32" s="86"/>
      <c r="CG32" s="111">
        <v>14</v>
      </c>
      <c r="CH32" s="111">
        <v>-38.6</v>
      </c>
      <c r="CI32" s="111">
        <v>-41.9</v>
      </c>
      <c r="CJ32" s="111">
        <v>11.5</v>
      </c>
      <c r="CK32" s="111">
        <v>11.5</v>
      </c>
      <c r="CL32" s="111">
        <v>98</v>
      </c>
      <c r="CM32" s="85">
        <f>IFERROR(TOWER_DATA[[#This Row],[Bottom '[mLAT']]]-TOWER_DATA[[#This Row],[D, top '[m']]], "")</f>
        <v>-53.4</v>
      </c>
      <c r="CN32" s="85">
        <f>IFERROR(-(TOWER_DATA[[#This Row],[D, bottom '[m']]]-TOWER_DATA[[#This Row],[D, top '[m']]])/(TOWER_DATA[[#This Row],[Bottom '[mLAT']]]-TOWER_DATA[[#This Row],[Top '[mLAT']]]),"")</f>
        <v>0</v>
      </c>
      <c r="CO32" s="85">
        <f t="shared" si="2"/>
        <v>90.936991392364675</v>
      </c>
      <c r="CP32" s="85">
        <f>IFERROR((TOWER_DATA[[#This Row],[D, bottom '[m']]]+TOWER_DATA[[#This Row],[D, top '[m']]])/(2*TOWER_DATA[[#This Row],[t '[mm']]]/1000),"")</f>
        <v>117.3469387755102</v>
      </c>
      <c r="CQ32" s="85" t="str">
        <f>IFERROR((TOWER_DATA[[#This Row],[D, bottom '[m']]]+#REF!)/(2*#REF!/1000),"")</f>
        <v/>
      </c>
      <c r="CZ32" s="86">
        <v>14</v>
      </c>
      <c r="DA32" s="86">
        <v>-38.6</v>
      </c>
      <c r="DB32" s="86">
        <v>-41.9</v>
      </c>
      <c r="DC32" s="86">
        <v>11.5</v>
      </c>
      <c r="DD32" s="86">
        <v>11.5</v>
      </c>
      <c r="DE32" s="86">
        <v>98</v>
      </c>
    </row>
    <row r="33" spans="2:109" x14ac:dyDescent="0.3">
      <c r="B33" s="111">
        <v>15</v>
      </c>
      <c r="C33" s="111">
        <v>-41.9</v>
      </c>
      <c r="D33" s="111">
        <v>-45.2</v>
      </c>
      <c r="E33" s="111">
        <v>11.5</v>
      </c>
      <c r="F33" s="111">
        <v>11.5</v>
      </c>
      <c r="G33" s="111">
        <v>95</v>
      </c>
      <c r="H33" s="85">
        <f>IFERROR(MP_DATA[[#This Row],[Bottom '[mLAT']]]-MP_DATA[[#This Row],[D, top '[m']]], "")</f>
        <v>-56.7</v>
      </c>
      <c r="I33" s="85">
        <f>IFERROR(-(MP_DATA[[#This Row],[D, bottom '[m']]]-MP_DATA[[#This Row],[D, top '[m']]])/(MP_DATA[[#This Row],[Bottom '[mLAT']]]-MP_DATA[[#This Row],[Top '[mLAT']]]),"")</f>
        <v>0</v>
      </c>
      <c r="J33" s="85">
        <f t="shared" si="0"/>
        <v>88.17640008451977</v>
      </c>
      <c r="K33" s="85">
        <f>IFERROR((MP_DATA[[#This Row],[D, bottom '[m']]]+MP_DATA[[#This Row],[D, top '[m']]])/(2*MP_DATA[[#This Row],[t '[mm']]]/1000),"")</f>
        <v>121.05263157894737</v>
      </c>
      <c r="L33" s="85" t="str">
        <f>IFERROR((MP_DATA[[#This Row],[D, bottom '[m']]]+#REF!)/(2*#REF!/1000),"")</f>
        <v/>
      </c>
      <c r="U33" s="86">
        <v>15</v>
      </c>
      <c r="V33" s="86">
        <v>-41.9</v>
      </c>
      <c r="W33" s="86">
        <v>-45.2</v>
      </c>
      <c r="X33" s="86">
        <v>11.5</v>
      </c>
      <c r="Y33" s="86">
        <v>11.5</v>
      </c>
      <c r="Z33" s="86">
        <v>95</v>
      </c>
      <c r="AW33" s="85" t="str">
        <f>IFERROR(TP_DATA[[#This Row],[Bottom '[mLAT']]]-TP_DATA[[#This Row],[D, top '[m']]], "")</f>
        <v/>
      </c>
      <c r="AX33" s="85" t="str">
        <f>IFERROR(-(TP_DATA[[#This Row],[D, bottom '[m']]]-TP_DATA[[#This Row],[D, top '[m']]])/(TP_DATA[[#This Row],[Bottom '[mLAT']]]-TP_DATA[[#This Row],[Top '[mLAT']]]),"")</f>
        <v/>
      </c>
      <c r="AY33" s="85" t="str">
        <f t="shared" si="1"/>
        <v/>
      </c>
      <c r="AZ33" s="85" t="str">
        <f>IFERROR((TP_DATA[[#This Row],[D, bottom '[m']]]+TP_DATA[[#This Row],[D, top '[m']]])/(2*TP_DATA[[#This Row],[t '[mm']]]/1000),"")</f>
        <v/>
      </c>
      <c r="BA33" s="85" t="str">
        <f>IFERROR((TP_DATA[[#This Row],[D, bottom '[m']]]+#REF!)/(2*#REF!/1000),"")</f>
        <v/>
      </c>
      <c r="BJ33" s="86"/>
      <c r="BK33" s="86"/>
      <c r="BL33" s="86"/>
      <c r="BM33" s="86"/>
      <c r="BN33" s="86"/>
      <c r="BO33" s="86"/>
      <c r="CG33" s="111">
        <v>15</v>
      </c>
      <c r="CH33" s="111">
        <v>-41.9</v>
      </c>
      <c r="CI33" s="111">
        <v>-45.2</v>
      </c>
      <c r="CJ33" s="111">
        <v>11.5</v>
      </c>
      <c r="CK33" s="111">
        <v>11.5</v>
      </c>
      <c r="CL33" s="111">
        <v>95</v>
      </c>
      <c r="CM33" s="85">
        <f>IFERROR(TOWER_DATA[[#This Row],[Bottom '[mLAT']]]-TOWER_DATA[[#This Row],[D, top '[m']]], "")</f>
        <v>-56.7</v>
      </c>
      <c r="CN33" s="85">
        <f>IFERROR(-(TOWER_DATA[[#This Row],[D, bottom '[m']]]-TOWER_DATA[[#This Row],[D, top '[m']]])/(TOWER_DATA[[#This Row],[Bottom '[mLAT']]]-TOWER_DATA[[#This Row],[Top '[mLAT']]]),"")</f>
        <v>0</v>
      </c>
      <c r="CO33" s="85">
        <f t="shared" si="2"/>
        <v>88.17640008451977</v>
      </c>
      <c r="CP33" s="85">
        <f>IFERROR((TOWER_DATA[[#This Row],[D, bottom '[m']]]+TOWER_DATA[[#This Row],[D, top '[m']]])/(2*TOWER_DATA[[#This Row],[t '[mm']]]/1000),"")</f>
        <v>121.05263157894737</v>
      </c>
      <c r="CQ33" s="85" t="str">
        <f>IFERROR((TOWER_DATA[[#This Row],[D, bottom '[m']]]+#REF!)/(2*#REF!/1000),"")</f>
        <v/>
      </c>
      <c r="CZ33" s="86">
        <v>15</v>
      </c>
      <c r="DA33" s="86">
        <v>-41.9</v>
      </c>
      <c r="DB33" s="86">
        <v>-45.2</v>
      </c>
      <c r="DC33" s="86">
        <v>11.5</v>
      </c>
      <c r="DD33" s="86">
        <v>11.5</v>
      </c>
      <c r="DE33" s="86">
        <v>95</v>
      </c>
    </row>
    <row r="34" spans="2:109" x14ac:dyDescent="0.3">
      <c r="B34" s="111">
        <v>16</v>
      </c>
      <c r="C34" s="111">
        <v>-45.2</v>
      </c>
      <c r="D34" s="111">
        <v>-48.5</v>
      </c>
      <c r="E34" s="111">
        <v>11.5</v>
      </c>
      <c r="F34" s="111">
        <v>11.5</v>
      </c>
      <c r="G34" s="111">
        <v>95</v>
      </c>
      <c r="H34" s="85">
        <f>IFERROR(MP_DATA[[#This Row],[Bottom '[mLAT']]]-MP_DATA[[#This Row],[D, top '[m']]], "")</f>
        <v>-60</v>
      </c>
      <c r="I34" s="85">
        <f>IFERROR(-(MP_DATA[[#This Row],[D, bottom '[m']]]-MP_DATA[[#This Row],[D, top '[m']]])/(MP_DATA[[#This Row],[Bottom '[mLAT']]]-MP_DATA[[#This Row],[Top '[mLAT']]]),"")</f>
        <v>0</v>
      </c>
      <c r="J34" s="85">
        <f t="shared" si="0"/>
        <v>88.176400084519571</v>
      </c>
      <c r="K34" s="85">
        <f>IFERROR((MP_DATA[[#This Row],[D, bottom '[m']]]+MP_DATA[[#This Row],[D, top '[m']]])/(2*MP_DATA[[#This Row],[t '[mm']]]/1000),"")</f>
        <v>121.05263157894737</v>
      </c>
      <c r="L34" s="85" t="str">
        <f>IFERROR((MP_DATA[[#This Row],[D, bottom '[m']]]+#REF!)/(2*#REF!/1000),"")</f>
        <v/>
      </c>
      <c r="U34" s="86">
        <v>16</v>
      </c>
      <c r="V34" s="86">
        <v>-45.2</v>
      </c>
      <c r="W34" s="86">
        <v>-48.5</v>
      </c>
      <c r="X34" s="86">
        <v>11.5</v>
      </c>
      <c r="Y34" s="86">
        <v>11.5</v>
      </c>
      <c r="Z34" s="86">
        <v>95</v>
      </c>
      <c r="AW34" s="85" t="str">
        <f>IFERROR(TP_DATA[[#This Row],[Bottom '[mLAT']]]-TP_DATA[[#This Row],[D, top '[m']]], "")</f>
        <v/>
      </c>
      <c r="AX34" s="85" t="str">
        <f>IFERROR(-(TP_DATA[[#This Row],[D, bottom '[m']]]-TP_DATA[[#This Row],[D, top '[m']]])/(TP_DATA[[#This Row],[Bottom '[mLAT']]]-TP_DATA[[#This Row],[Top '[mLAT']]]),"")</f>
        <v/>
      </c>
      <c r="AY34" s="85" t="str">
        <f t="shared" si="1"/>
        <v/>
      </c>
      <c r="AZ34" s="85" t="str">
        <f>IFERROR((TP_DATA[[#This Row],[D, bottom '[m']]]+TP_DATA[[#This Row],[D, top '[m']]])/(2*TP_DATA[[#This Row],[t '[mm']]]/1000),"")</f>
        <v/>
      </c>
      <c r="BA34" s="85" t="str">
        <f>IFERROR((TP_DATA[[#This Row],[D, bottom '[m']]]+#REF!)/(2*#REF!/1000),"")</f>
        <v/>
      </c>
      <c r="BJ34" s="86"/>
      <c r="BK34" s="86"/>
      <c r="BL34" s="86"/>
      <c r="BM34" s="86"/>
      <c r="BN34" s="86"/>
      <c r="BO34" s="86"/>
      <c r="CG34" s="111">
        <v>16</v>
      </c>
      <c r="CH34" s="111">
        <v>-45.2</v>
      </c>
      <c r="CI34" s="111">
        <v>-48.5</v>
      </c>
      <c r="CJ34" s="111">
        <v>11.5</v>
      </c>
      <c r="CK34" s="111">
        <v>11.5</v>
      </c>
      <c r="CL34" s="111">
        <v>95</v>
      </c>
      <c r="CM34" s="85">
        <f>IFERROR(TOWER_DATA[[#This Row],[Bottom '[mLAT']]]-TOWER_DATA[[#This Row],[D, top '[m']]], "")</f>
        <v>-60</v>
      </c>
      <c r="CN34" s="85">
        <f>IFERROR(-(TOWER_DATA[[#This Row],[D, bottom '[m']]]-TOWER_DATA[[#This Row],[D, top '[m']]])/(TOWER_DATA[[#This Row],[Bottom '[mLAT']]]-TOWER_DATA[[#This Row],[Top '[mLAT']]]),"")</f>
        <v>0</v>
      </c>
      <c r="CO34" s="85">
        <f t="shared" si="2"/>
        <v>88.176400084519571</v>
      </c>
      <c r="CP34" s="85">
        <f>IFERROR((TOWER_DATA[[#This Row],[D, bottom '[m']]]+TOWER_DATA[[#This Row],[D, top '[m']]])/(2*TOWER_DATA[[#This Row],[t '[mm']]]/1000),"")</f>
        <v>121.05263157894737</v>
      </c>
      <c r="CQ34" s="85" t="str">
        <f>IFERROR((TOWER_DATA[[#This Row],[D, bottom '[m']]]+#REF!)/(2*#REF!/1000),"")</f>
        <v/>
      </c>
      <c r="CZ34" s="86">
        <v>16</v>
      </c>
      <c r="DA34" s="86">
        <v>-45.2</v>
      </c>
      <c r="DB34" s="86">
        <v>-48.5</v>
      </c>
      <c r="DC34" s="86">
        <v>11.5</v>
      </c>
      <c r="DD34" s="86">
        <v>11.5</v>
      </c>
      <c r="DE34" s="86">
        <v>95</v>
      </c>
    </row>
    <row r="35" spans="2:109" x14ac:dyDescent="0.3">
      <c r="B35" s="111">
        <v>17</v>
      </c>
      <c r="C35" s="111">
        <v>-48.5</v>
      </c>
      <c r="D35" s="111">
        <v>-51.7</v>
      </c>
      <c r="E35" s="111">
        <v>11.5</v>
      </c>
      <c r="F35" s="111">
        <v>11.5</v>
      </c>
      <c r="G35" s="111">
        <v>95</v>
      </c>
      <c r="H35" s="85">
        <f>IFERROR(MP_DATA[[#This Row],[Bottom '[mLAT']]]-MP_DATA[[#This Row],[D, top '[m']]], "")</f>
        <v>-63.2</v>
      </c>
      <c r="I35" s="85">
        <f>IFERROR(-(MP_DATA[[#This Row],[D, bottom '[m']]]-MP_DATA[[#This Row],[D, top '[m']]])/(MP_DATA[[#This Row],[Bottom '[mLAT']]]-MP_DATA[[#This Row],[Top '[mLAT']]]),"")</f>
        <v>0</v>
      </c>
      <c r="J35" s="85">
        <f t="shared" si="0"/>
        <v>85.504387960746399</v>
      </c>
      <c r="K35" s="85">
        <f>IFERROR((MP_DATA[[#This Row],[D, bottom '[m']]]+MP_DATA[[#This Row],[D, top '[m']]])/(2*MP_DATA[[#This Row],[t '[mm']]]/1000),"")</f>
        <v>121.05263157894737</v>
      </c>
      <c r="L35" s="85" t="str">
        <f>IFERROR((MP_DATA[[#This Row],[D, bottom '[m']]]+#REF!)/(2*#REF!/1000),"")</f>
        <v/>
      </c>
      <c r="U35" s="86">
        <v>17</v>
      </c>
      <c r="V35" s="86">
        <v>-48.5</v>
      </c>
      <c r="W35" s="86">
        <v>-51.7</v>
      </c>
      <c r="X35" s="86">
        <v>11.5</v>
      </c>
      <c r="Y35" s="86">
        <v>11.5</v>
      </c>
      <c r="Z35" s="86">
        <v>95</v>
      </c>
      <c r="AW35" s="85" t="str">
        <f>IFERROR(TP_DATA[[#This Row],[Bottom '[mLAT']]]-TP_DATA[[#This Row],[D, top '[m']]], "")</f>
        <v/>
      </c>
      <c r="AX35" s="85" t="str">
        <f>IFERROR(-(TP_DATA[[#This Row],[D, bottom '[m']]]-TP_DATA[[#This Row],[D, top '[m']]])/(TP_DATA[[#This Row],[Bottom '[mLAT']]]-TP_DATA[[#This Row],[Top '[mLAT']]]),"")</f>
        <v/>
      </c>
      <c r="AY35" s="85" t="str">
        <f t="shared" si="1"/>
        <v/>
      </c>
      <c r="AZ35" s="85" t="str">
        <f>IFERROR((TP_DATA[[#This Row],[D, bottom '[m']]]+TP_DATA[[#This Row],[D, top '[m']]])/(2*TP_DATA[[#This Row],[t '[mm']]]/1000),"")</f>
        <v/>
      </c>
      <c r="BA35" s="85" t="str">
        <f>IFERROR((TP_DATA[[#This Row],[D, bottom '[m']]]+#REF!)/(2*#REF!/1000),"")</f>
        <v/>
      </c>
      <c r="BJ35" s="86"/>
      <c r="BK35" s="86"/>
      <c r="BL35" s="86"/>
      <c r="BM35" s="86"/>
      <c r="BN35" s="86"/>
      <c r="BO35" s="86"/>
      <c r="CG35" s="111">
        <v>17</v>
      </c>
      <c r="CH35" s="111">
        <v>-48.5</v>
      </c>
      <c r="CI35" s="111">
        <v>-51.7</v>
      </c>
      <c r="CJ35" s="111">
        <v>11.5</v>
      </c>
      <c r="CK35" s="111">
        <v>11.5</v>
      </c>
      <c r="CL35" s="111">
        <v>95</v>
      </c>
      <c r="CM35" s="85">
        <f>IFERROR(TOWER_DATA[[#This Row],[Bottom '[mLAT']]]-TOWER_DATA[[#This Row],[D, top '[m']]], "")</f>
        <v>-63.2</v>
      </c>
      <c r="CN35" s="85">
        <f>IFERROR(-(TOWER_DATA[[#This Row],[D, bottom '[m']]]-TOWER_DATA[[#This Row],[D, top '[m']]])/(TOWER_DATA[[#This Row],[Bottom '[mLAT']]]-TOWER_DATA[[#This Row],[Top '[mLAT']]]),"")</f>
        <v>0</v>
      </c>
      <c r="CO35" s="85">
        <f t="shared" si="2"/>
        <v>85.504387960746399</v>
      </c>
      <c r="CP35" s="85">
        <f>IFERROR((TOWER_DATA[[#This Row],[D, bottom '[m']]]+TOWER_DATA[[#This Row],[D, top '[m']]])/(2*TOWER_DATA[[#This Row],[t '[mm']]]/1000),"")</f>
        <v>121.05263157894737</v>
      </c>
      <c r="CQ35" s="85" t="str">
        <f>IFERROR((TOWER_DATA[[#This Row],[D, bottom '[m']]]+#REF!)/(2*#REF!/1000),"")</f>
        <v/>
      </c>
      <c r="CZ35" s="86">
        <v>17</v>
      </c>
      <c r="DA35" s="86">
        <v>-48.5</v>
      </c>
      <c r="DB35" s="86">
        <v>-51.7</v>
      </c>
      <c r="DC35" s="86">
        <v>11.5</v>
      </c>
      <c r="DD35" s="86">
        <v>11.5</v>
      </c>
      <c r="DE35" s="86">
        <v>95</v>
      </c>
    </row>
    <row r="36" spans="2:109" x14ac:dyDescent="0.3">
      <c r="B36" s="111">
        <v>18</v>
      </c>
      <c r="C36" s="111">
        <v>-51.7</v>
      </c>
      <c r="D36" s="111">
        <v>-55.3</v>
      </c>
      <c r="E36" s="111">
        <v>11.5</v>
      </c>
      <c r="F36" s="111">
        <v>11.5</v>
      </c>
      <c r="G36" s="111">
        <v>93</v>
      </c>
      <c r="H36" s="85">
        <f>IFERROR(MP_DATA[[#This Row],[Bottom '[mLAT']]]-MP_DATA[[#This Row],[D, top '[m']]], "")</f>
        <v>-66.8</v>
      </c>
      <c r="I36" s="85">
        <f>IFERROR(-(MP_DATA[[#This Row],[D, bottom '[m']]]-MP_DATA[[#This Row],[D, top '[m']]])/(MP_DATA[[#This Row],[Bottom '[mLAT']]]-MP_DATA[[#This Row],[Top '[mLAT']]]),"")</f>
        <v>0</v>
      </c>
      <c r="J36" s="85">
        <f t="shared" si="0"/>
        <v>94.183845872414466</v>
      </c>
      <c r="K36" s="85">
        <f>IFERROR((MP_DATA[[#This Row],[D, bottom '[m']]]+MP_DATA[[#This Row],[D, top '[m']]])/(2*MP_DATA[[#This Row],[t '[mm']]]/1000),"")</f>
        <v>123.65591397849462</v>
      </c>
      <c r="L36" s="85" t="str">
        <f>IFERROR((MP_DATA[[#This Row],[D, bottom '[m']]]+#REF!)/(2*#REF!/1000),"")</f>
        <v/>
      </c>
      <c r="U36" s="86">
        <v>18</v>
      </c>
      <c r="V36" s="86">
        <v>-51.7</v>
      </c>
      <c r="W36" s="86">
        <v>-55.3</v>
      </c>
      <c r="X36" s="86">
        <v>11.5</v>
      </c>
      <c r="Y36" s="86">
        <v>11.5</v>
      </c>
      <c r="Z36" s="86">
        <v>93</v>
      </c>
      <c r="AW36" s="85" t="str">
        <f>IFERROR(TP_DATA[[#This Row],[Bottom '[mLAT']]]-TP_DATA[[#This Row],[D, top '[m']]], "")</f>
        <v/>
      </c>
      <c r="AX36" s="85" t="str">
        <f>IFERROR(-(TP_DATA[[#This Row],[D, bottom '[m']]]-TP_DATA[[#This Row],[D, top '[m']]])/(TP_DATA[[#This Row],[Bottom '[mLAT']]]-TP_DATA[[#This Row],[Top '[mLAT']]]),"")</f>
        <v/>
      </c>
      <c r="AY36" s="85" t="str">
        <f t="shared" si="1"/>
        <v/>
      </c>
      <c r="AZ36" s="85" t="str">
        <f>IFERROR((TP_DATA[[#This Row],[D, bottom '[m']]]+TP_DATA[[#This Row],[D, top '[m']]])/(2*TP_DATA[[#This Row],[t '[mm']]]/1000),"")</f>
        <v/>
      </c>
      <c r="BA36" s="85" t="str">
        <f>IFERROR((TP_DATA[[#This Row],[D, bottom '[m']]]+#REF!)/(2*#REF!/1000),"")</f>
        <v/>
      </c>
      <c r="BJ36" s="86"/>
      <c r="BK36" s="86"/>
      <c r="BL36" s="86"/>
      <c r="BM36" s="86"/>
      <c r="BN36" s="86"/>
      <c r="BO36" s="86"/>
      <c r="CG36" s="111">
        <v>18</v>
      </c>
      <c r="CH36" s="111">
        <v>-51.7</v>
      </c>
      <c r="CI36" s="111">
        <v>-55.3</v>
      </c>
      <c r="CJ36" s="111">
        <v>11.5</v>
      </c>
      <c r="CK36" s="111">
        <v>11.5</v>
      </c>
      <c r="CL36" s="111">
        <v>93</v>
      </c>
      <c r="CM36" s="85">
        <f>IFERROR(TOWER_DATA[[#This Row],[Bottom '[mLAT']]]-TOWER_DATA[[#This Row],[D, top '[m']]], "")</f>
        <v>-66.8</v>
      </c>
      <c r="CN36" s="85">
        <f>IFERROR(-(TOWER_DATA[[#This Row],[D, bottom '[m']]]-TOWER_DATA[[#This Row],[D, top '[m']]])/(TOWER_DATA[[#This Row],[Bottom '[mLAT']]]-TOWER_DATA[[#This Row],[Top '[mLAT']]]),"")</f>
        <v>0</v>
      </c>
      <c r="CO36" s="85">
        <f t="shared" si="2"/>
        <v>94.183845872414466</v>
      </c>
      <c r="CP36" s="85">
        <f>IFERROR((TOWER_DATA[[#This Row],[D, bottom '[m']]]+TOWER_DATA[[#This Row],[D, top '[m']]])/(2*TOWER_DATA[[#This Row],[t '[mm']]]/1000),"")</f>
        <v>123.65591397849462</v>
      </c>
      <c r="CQ36" s="85" t="str">
        <f>IFERROR((TOWER_DATA[[#This Row],[D, bottom '[m']]]+#REF!)/(2*#REF!/1000),"")</f>
        <v/>
      </c>
      <c r="CZ36" s="86">
        <v>18</v>
      </c>
      <c r="DA36" s="86">
        <v>-51.7</v>
      </c>
      <c r="DB36" s="86">
        <v>-55.3</v>
      </c>
      <c r="DC36" s="86">
        <v>11.5</v>
      </c>
      <c r="DD36" s="86">
        <v>11.5</v>
      </c>
      <c r="DE36" s="86">
        <v>93</v>
      </c>
    </row>
    <row r="37" spans="2:109" x14ac:dyDescent="0.3">
      <c r="B37" s="111">
        <v>19</v>
      </c>
      <c r="C37" s="111">
        <v>-55.3</v>
      </c>
      <c r="D37" s="111">
        <v>-59.3</v>
      </c>
      <c r="E37" s="111">
        <v>11.5</v>
      </c>
      <c r="F37" s="111">
        <v>11.5</v>
      </c>
      <c r="G37" s="111">
        <v>93</v>
      </c>
      <c r="H37" s="85">
        <f>IFERROR(MP_DATA[[#This Row],[Bottom '[mLAT']]]-MP_DATA[[#This Row],[D, top '[m']]], "")</f>
        <v>-70.8</v>
      </c>
      <c r="I37" s="85">
        <f>IFERROR(-(MP_DATA[[#This Row],[D, bottom '[m']]]-MP_DATA[[#This Row],[D, top '[m']]])/(MP_DATA[[#This Row],[Bottom '[mLAT']]]-MP_DATA[[#This Row],[Top '[mLAT']]]),"")</f>
        <v>0</v>
      </c>
      <c r="J37" s="85">
        <f t="shared" si="0"/>
        <v>104.64871763601624</v>
      </c>
      <c r="K37" s="85">
        <f>IFERROR((MP_DATA[[#This Row],[D, bottom '[m']]]+MP_DATA[[#This Row],[D, top '[m']]])/(2*MP_DATA[[#This Row],[t '[mm']]]/1000),"")</f>
        <v>123.65591397849462</v>
      </c>
      <c r="L37" s="85" t="str">
        <f>IFERROR((MP_DATA[[#This Row],[D, bottom '[m']]]+#REF!)/(2*#REF!/1000),"")</f>
        <v/>
      </c>
      <c r="U37" s="86">
        <v>19</v>
      </c>
      <c r="V37" s="86">
        <v>-55.3</v>
      </c>
      <c r="W37" s="86">
        <v>-59.3</v>
      </c>
      <c r="X37" s="86">
        <v>11.5</v>
      </c>
      <c r="Y37" s="86">
        <v>11.5</v>
      </c>
      <c r="Z37" s="86">
        <v>93</v>
      </c>
      <c r="AW37" s="85" t="str">
        <f>IFERROR(TP_DATA[[#This Row],[Bottom '[mLAT']]]-TP_DATA[[#This Row],[D, top '[m']]], "")</f>
        <v/>
      </c>
      <c r="AX37" s="85" t="str">
        <f>IFERROR(-(TP_DATA[[#This Row],[D, bottom '[m']]]-TP_DATA[[#This Row],[D, top '[m']]])/(TP_DATA[[#This Row],[Bottom '[mLAT']]]-TP_DATA[[#This Row],[Top '[mLAT']]]),"")</f>
        <v/>
      </c>
      <c r="AY37" s="85" t="str">
        <f t="shared" si="1"/>
        <v/>
      </c>
      <c r="AZ37" s="85" t="str">
        <f>IFERROR((TP_DATA[[#This Row],[D, bottom '[m']]]+TP_DATA[[#This Row],[D, top '[m']]])/(2*TP_DATA[[#This Row],[t '[mm']]]/1000),"")</f>
        <v/>
      </c>
      <c r="BA37" s="85" t="str">
        <f>IFERROR((TP_DATA[[#This Row],[D, bottom '[m']]]+#REF!)/(2*#REF!/1000),"")</f>
        <v/>
      </c>
      <c r="BJ37" s="86"/>
      <c r="BK37" s="86"/>
      <c r="BL37" s="86"/>
      <c r="BM37" s="86"/>
      <c r="BN37" s="86"/>
      <c r="BO37" s="86"/>
      <c r="CG37" s="111">
        <v>19</v>
      </c>
      <c r="CH37" s="111">
        <v>-55.3</v>
      </c>
      <c r="CI37" s="111">
        <v>-59.3</v>
      </c>
      <c r="CJ37" s="111">
        <v>11.5</v>
      </c>
      <c r="CK37" s="111">
        <v>11.5</v>
      </c>
      <c r="CL37" s="111">
        <v>93</v>
      </c>
      <c r="CM37" s="85">
        <f>IFERROR(TOWER_DATA[[#This Row],[Bottom '[mLAT']]]-TOWER_DATA[[#This Row],[D, top '[m']]], "")</f>
        <v>-70.8</v>
      </c>
      <c r="CN37" s="85">
        <f>IFERROR(-(TOWER_DATA[[#This Row],[D, bottom '[m']]]-TOWER_DATA[[#This Row],[D, top '[m']]])/(TOWER_DATA[[#This Row],[Bottom '[mLAT']]]-TOWER_DATA[[#This Row],[Top '[mLAT']]]),"")</f>
        <v>0</v>
      </c>
      <c r="CO37" s="85">
        <f t="shared" si="2"/>
        <v>104.64871763601624</v>
      </c>
      <c r="CP37" s="85">
        <f>IFERROR((TOWER_DATA[[#This Row],[D, bottom '[m']]]+TOWER_DATA[[#This Row],[D, top '[m']]])/(2*TOWER_DATA[[#This Row],[t '[mm']]]/1000),"")</f>
        <v>123.65591397849462</v>
      </c>
      <c r="CQ37" s="85" t="str">
        <f>IFERROR((TOWER_DATA[[#This Row],[D, bottom '[m']]]+#REF!)/(2*#REF!/1000),"")</f>
        <v/>
      </c>
      <c r="CZ37" s="86">
        <v>19</v>
      </c>
      <c r="DA37" s="86">
        <v>-55.3</v>
      </c>
      <c r="DB37" s="86">
        <v>-59.3</v>
      </c>
      <c r="DC37" s="86">
        <v>11.5</v>
      </c>
      <c r="DD37" s="86">
        <v>11.5</v>
      </c>
      <c r="DE37" s="86">
        <v>93</v>
      </c>
    </row>
    <row r="38" spans="2:109" x14ac:dyDescent="0.3">
      <c r="B38" s="111">
        <v>20</v>
      </c>
      <c r="C38" s="111">
        <v>-59.3</v>
      </c>
      <c r="D38" s="111">
        <v>-63.3</v>
      </c>
      <c r="E38" s="111">
        <v>11.5</v>
      </c>
      <c r="F38" s="111">
        <v>11.5</v>
      </c>
      <c r="G38" s="111">
        <v>93</v>
      </c>
      <c r="H38" s="85">
        <f>IFERROR(MP_DATA[[#This Row],[Bottom '[mLAT']]]-MP_DATA[[#This Row],[D, top '[m']]], "")</f>
        <v>-74.8</v>
      </c>
      <c r="I38" s="85">
        <f>IFERROR(-(MP_DATA[[#This Row],[D, bottom '[m']]]-MP_DATA[[#This Row],[D, top '[m']]])/(MP_DATA[[#This Row],[Bottom '[mLAT']]]-MP_DATA[[#This Row],[Top '[mLAT']]]),"")</f>
        <v>0</v>
      </c>
      <c r="J38" s="85">
        <f t="shared" si="0"/>
        <v>104.64871763601624</v>
      </c>
      <c r="K38" s="85">
        <f>IFERROR((MP_DATA[[#This Row],[D, bottom '[m']]]+MP_DATA[[#This Row],[D, top '[m']]])/(2*MP_DATA[[#This Row],[t '[mm']]]/1000),"")</f>
        <v>123.65591397849462</v>
      </c>
      <c r="L38" s="85" t="str">
        <f>IFERROR((MP_DATA[[#This Row],[D, bottom '[m']]]+#REF!)/(2*#REF!/1000),"")</f>
        <v/>
      </c>
      <c r="U38" s="86">
        <v>20</v>
      </c>
      <c r="V38" s="86">
        <v>-59.3</v>
      </c>
      <c r="W38" s="86">
        <v>-63.3</v>
      </c>
      <c r="X38" s="86">
        <v>11.5</v>
      </c>
      <c r="Y38" s="86">
        <v>11.5</v>
      </c>
      <c r="Z38" s="86">
        <v>93</v>
      </c>
      <c r="AW38" s="85" t="str">
        <f>IFERROR(TP_DATA[[#This Row],[Bottom '[mLAT']]]-TP_DATA[[#This Row],[D, top '[m']]], "")</f>
        <v/>
      </c>
      <c r="AX38" s="85" t="str">
        <f>IFERROR(-(TP_DATA[[#This Row],[D, bottom '[m']]]-TP_DATA[[#This Row],[D, top '[m']]])/(TP_DATA[[#This Row],[Bottom '[mLAT']]]-TP_DATA[[#This Row],[Top '[mLAT']]]),"")</f>
        <v/>
      </c>
      <c r="AY38" s="85" t="str">
        <f t="shared" si="1"/>
        <v/>
      </c>
      <c r="AZ38" s="85" t="str">
        <f>IFERROR((TP_DATA[[#This Row],[D, bottom '[m']]]+TP_DATA[[#This Row],[D, top '[m']]])/(2*TP_DATA[[#This Row],[t '[mm']]]/1000),"")</f>
        <v/>
      </c>
      <c r="BA38" s="85" t="str">
        <f>IFERROR((TP_DATA[[#This Row],[D, bottom '[m']]]+#REF!)/(2*#REF!/1000),"")</f>
        <v/>
      </c>
      <c r="BJ38" s="86"/>
      <c r="BK38" s="86"/>
      <c r="BL38" s="86"/>
      <c r="BM38" s="86"/>
      <c r="BN38" s="86"/>
      <c r="BO38" s="86"/>
      <c r="CG38" s="111">
        <v>20</v>
      </c>
      <c r="CH38" s="111">
        <v>-59.3</v>
      </c>
      <c r="CI38" s="111">
        <v>-63.3</v>
      </c>
      <c r="CJ38" s="111">
        <v>11.5</v>
      </c>
      <c r="CK38" s="111">
        <v>11.5</v>
      </c>
      <c r="CL38" s="111">
        <v>93</v>
      </c>
      <c r="CM38" s="85">
        <f>IFERROR(TOWER_DATA[[#This Row],[Bottom '[mLAT']]]-TOWER_DATA[[#This Row],[D, top '[m']]], "")</f>
        <v>-74.8</v>
      </c>
      <c r="CN38" s="85">
        <f>IFERROR(-(TOWER_DATA[[#This Row],[D, bottom '[m']]]-TOWER_DATA[[#This Row],[D, top '[m']]])/(TOWER_DATA[[#This Row],[Bottom '[mLAT']]]-TOWER_DATA[[#This Row],[Top '[mLAT']]]),"")</f>
        <v>0</v>
      </c>
      <c r="CO38" s="85">
        <f t="shared" si="2"/>
        <v>104.64871763601624</v>
      </c>
      <c r="CP38" s="85">
        <f>IFERROR((TOWER_DATA[[#This Row],[D, bottom '[m']]]+TOWER_DATA[[#This Row],[D, top '[m']]])/(2*TOWER_DATA[[#This Row],[t '[mm']]]/1000),"")</f>
        <v>123.65591397849462</v>
      </c>
      <c r="CQ38" s="85" t="str">
        <f>IFERROR((TOWER_DATA[[#This Row],[D, bottom '[m']]]+#REF!)/(2*#REF!/1000),"")</f>
        <v/>
      </c>
      <c r="CZ38" s="86">
        <v>20</v>
      </c>
      <c r="DA38" s="86">
        <v>-59.3</v>
      </c>
      <c r="DB38" s="86">
        <v>-63.3</v>
      </c>
      <c r="DC38" s="86">
        <v>11.5</v>
      </c>
      <c r="DD38" s="86">
        <v>11.5</v>
      </c>
      <c r="DE38" s="86">
        <v>93</v>
      </c>
    </row>
    <row r="39" spans="2:109" x14ac:dyDescent="0.3">
      <c r="B39" s="111">
        <v>21</v>
      </c>
      <c r="C39" s="111">
        <v>-63.3</v>
      </c>
      <c r="D39" s="111">
        <v>-67.3</v>
      </c>
      <c r="E39" s="111">
        <v>11.5</v>
      </c>
      <c r="F39" s="111">
        <v>11.5</v>
      </c>
      <c r="G39" s="111">
        <v>93</v>
      </c>
      <c r="H39" s="85">
        <f>IFERROR(MP_DATA[[#This Row],[Bottom '[mLAT']]]-MP_DATA[[#This Row],[D, top '[m']]], "")</f>
        <v>-78.8</v>
      </c>
      <c r="I39" s="85">
        <f>IFERROR(-(MP_DATA[[#This Row],[D, bottom '[m']]]-MP_DATA[[#This Row],[D, top '[m']]])/(MP_DATA[[#This Row],[Bottom '[mLAT']]]-MP_DATA[[#This Row],[Top '[mLAT']]]),"")</f>
        <v>0</v>
      </c>
      <c r="J39" s="85">
        <f t="shared" si="0"/>
        <v>104.64871763601624</v>
      </c>
      <c r="K39" s="85">
        <f>IFERROR((MP_DATA[[#This Row],[D, bottom '[m']]]+MP_DATA[[#This Row],[D, top '[m']]])/(2*MP_DATA[[#This Row],[t '[mm']]]/1000),"")</f>
        <v>123.65591397849462</v>
      </c>
      <c r="L39" s="85" t="str">
        <f>IFERROR((MP_DATA[[#This Row],[D, bottom '[m']]]+#REF!)/(2*#REF!/1000),"")</f>
        <v/>
      </c>
      <c r="U39" s="86">
        <v>21</v>
      </c>
      <c r="V39" s="86">
        <v>-63.3</v>
      </c>
      <c r="W39" s="86">
        <v>-67.3</v>
      </c>
      <c r="X39" s="86">
        <v>11.5</v>
      </c>
      <c r="Y39" s="86">
        <v>11.5</v>
      </c>
      <c r="Z39" s="86">
        <v>93</v>
      </c>
      <c r="AW39" s="85" t="str">
        <f>IFERROR(TP_DATA[[#This Row],[Bottom '[mLAT']]]-TP_DATA[[#This Row],[D, top '[m']]], "")</f>
        <v/>
      </c>
      <c r="AX39" s="85" t="str">
        <f>IFERROR(-(TP_DATA[[#This Row],[D, bottom '[m']]]-TP_DATA[[#This Row],[D, top '[m']]])/(TP_DATA[[#This Row],[Bottom '[mLAT']]]-TP_DATA[[#This Row],[Top '[mLAT']]]),"")</f>
        <v/>
      </c>
      <c r="AY39" s="85" t="str">
        <f t="shared" si="1"/>
        <v/>
      </c>
      <c r="AZ39" s="85" t="str">
        <f>IFERROR((TP_DATA[[#This Row],[D, bottom '[m']]]+TP_DATA[[#This Row],[D, top '[m']]])/(2*TP_DATA[[#This Row],[t '[mm']]]/1000),"")</f>
        <v/>
      </c>
      <c r="BA39" s="85" t="str">
        <f>IFERROR((TP_DATA[[#This Row],[D, bottom '[m']]]+#REF!)/(2*#REF!/1000),"")</f>
        <v/>
      </c>
      <c r="BJ39" s="86"/>
      <c r="BK39" s="86"/>
      <c r="BL39" s="86"/>
      <c r="BM39" s="86"/>
      <c r="BN39" s="86"/>
      <c r="BO39" s="86"/>
      <c r="CG39" s="111">
        <v>21</v>
      </c>
      <c r="CH39" s="111">
        <v>-63.3</v>
      </c>
      <c r="CI39" s="111">
        <v>-67.3</v>
      </c>
      <c r="CJ39" s="111">
        <v>11.5</v>
      </c>
      <c r="CK39" s="111">
        <v>11.5</v>
      </c>
      <c r="CL39" s="111">
        <v>93</v>
      </c>
      <c r="CM39" s="85">
        <f>IFERROR(TOWER_DATA[[#This Row],[Bottom '[mLAT']]]-TOWER_DATA[[#This Row],[D, top '[m']]], "")</f>
        <v>-78.8</v>
      </c>
      <c r="CN39" s="85">
        <f>IFERROR(-(TOWER_DATA[[#This Row],[D, bottom '[m']]]-TOWER_DATA[[#This Row],[D, top '[m']]])/(TOWER_DATA[[#This Row],[Bottom '[mLAT']]]-TOWER_DATA[[#This Row],[Top '[mLAT']]]),"")</f>
        <v>0</v>
      </c>
      <c r="CO39" s="85">
        <f t="shared" si="2"/>
        <v>104.64871763601624</v>
      </c>
      <c r="CP39" s="85">
        <f>IFERROR((TOWER_DATA[[#This Row],[D, bottom '[m']]]+TOWER_DATA[[#This Row],[D, top '[m']]])/(2*TOWER_DATA[[#This Row],[t '[mm']]]/1000),"")</f>
        <v>123.65591397849462</v>
      </c>
      <c r="CQ39" s="85" t="str">
        <f>IFERROR((TOWER_DATA[[#This Row],[D, bottom '[m']]]+#REF!)/(2*#REF!/1000),"")</f>
        <v/>
      </c>
      <c r="CZ39" s="86">
        <v>21</v>
      </c>
      <c r="DA39" s="86">
        <v>-63.3</v>
      </c>
      <c r="DB39" s="86">
        <v>-67.3</v>
      </c>
      <c r="DC39" s="86">
        <v>11.5</v>
      </c>
      <c r="DD39" s="86">
        <v>11.5</v>
      </c>
      <c r="DE39" s="86">
        <v>93</v>
      </c>
    </row>
    <row r="40" spans="2:109" x14ac:dyDescent="0.3">
      <c r="B40" s="111">
        <v>22</v>
      </c>
      <c r="C40" s="111">
        <v>-67.3</v>
      </c>
      <c r="D40" s="111">
        <v>-71</v>
      </c>
      <c r="E40" s="111">
        <v>11.5</v>
      </c>
      <c r="F40" s="111">
        <v>11.5</v>
      </c>
      <c r="G40" s="111">
        <v>96</v>
      </c>
      <c r="H40" s="85">
        <f>IFERROR(MP_DATA[[#This Row],[Bottom '[mLAT']]]-MP_DATA[[#This Row],[D, top '[m']]], "")</f>
        <v>-82.5</v>
      </c>
      <c r="I40" s="85">
        <f>IFERROR(-(MP_DATA[[#This Row],[D, bottom '[m']]]-MP_DATA[[#This Row],[D, top '[m']]])/(MP_DATA[[#This Row],[Bottom '[mLAT']]]-MP_DATA[[#This Row],[Top '[mLAT']]]),"")</f>
        <v>0</v>
      </c>
      <c r="J40" s="85">
        <f t="shared" si="0"/>
        <v>99.896367220087171</v>
      </c>
      <c r="K40" s="85">
        <f>IFERROR((MP_DATA[[#This Row],[D, bottom '[m']]]+MP_DATA[[#This Row],[D, top '[m']]])/(2*MP_DATA[[#This Row],[t '[mm']]]/1000),"")</f>
        <v>119.79166666666666</v>
      </c>
      <c r="L40" s="85" t="str">
        <f>IFERROR((MP_DATA[[#This Row],[D, bottom '[m']]]+#REF!)/(2*#REF!/1000),"")</f>
        <v/>
      </c>
      <c r="U40" s="86">
        <v>22</v>
      </c>
      <c r="V40" s="86">
        <v>-67.3</v>
      </c>
      <c r="W40" s="86">
        <v>-71</v>
      </c>
      <c r="X40" s="86">
        <v>11.5</v>
      </c>
      <c r="Y40" s="86">
        <v>11.5</v>
      </c>
      <c r="Z40" s="86">
        <v>96</v>
      </c>
      <c r="AW40" s="85" t="str">
        <f>IFERROR(TP_DATA[[#This Row],[Bottom '[mLAT']]]-TP_DATA[[#This Row],[D, top '[m']]], "")</f>
        <v/>
      </c>
      <c r="AX40" s="85" t="str">
        <f>IFERROR(-(TP_DATA[[#This Row],[D, bottom '[m']]]-TP_DATA[[#This Row],[D, top '[m']]])/(TP_DATA[[#This Row],[Bottom '[mLAT']]]-TP_DATA[[#This Row],[Top '[mLAT']]]),"")</f>
        <v/>
      </c>
      <c r="AY40" s="85" t="str">
        <f t="shared" si="1"/>
        <v/>
      </c>
      <c r="AZ40" s="85" t="str">
        <f>IFERROR((TP_DATA[[#This Row],[D, bottom '[m']]]+TP_DATA[[#This Row],[D, top '[m']]])/(2*TP_DATA[[#This Row],[t '[mm']]]/1000),"")</f>
        <v/>
      </c>
      <c r="BA40" s="85" t="str">
        <f>IFERROR((TP_DATA[[#This Row],[D, bottom '[m']]]+#REF!)/(2*#REF!/1000),"")</f>
        <v/>
      </c>
      <c r="BJ40" s="86"/>
      <c r="BK40" s="86"/>
      <c r="BL40" s="86"/>
      <c r="BM40" s="86"/>
      <c r="BN40" s="86"/>
      <c r="BO40" s="86"/>
      <c r="CG40" s="111">
        <v>22</v>
      </c>
      <c r="CH40" s="111">
        <v>-67.3</v>
      </c>
      <c r="CI40" s="111">
        <v>-71</v>
      </c>
      <c r="CJ40" s="111">
        <v>11.5</v>
      </c>
      <c r="CK40" s="111">
        <v>11.5</v>
      </c>
      <c r="CL40" s="111">
        <v>96</v>
      </c>
      <c r="CM40" s="85">
        <f>IFERROR(TOWER_DATA[[#This Row],[Bottom '[mLAT']]]-TOWER_DATA[[#This Row],[D, top '[m']]], "")</f>
        <v>-82.5</v>
      </c>
      <c r="CN40" s="85">
        <f>IFERROR(-(TOWER_DATA[[#This Row],[D, bottom '[m']]]-TOWER_DATA[[#This Row],[D, top '[m']]])/(TOWER_DATA[[#This Row],[Bottom '[mLAT']]]-TOWER_DATA[[#This Row],[Top '[mLAT']]]),"")</f>
        <v>0</v>
      </c>
      <c r="CO40" s="85">
        <f t="shared" si="2"/>
        <v>99.896367220087171</v>
      </c>
      <c r="CP40" s="85">
        <f>IFERROR((TOWER_DATA[[#This Row],[D, bottom '[m']]]+TOWER_DATA[[#This Row],[D, top '[m']]])/(2*TOWER_DATA[[#This Row],[t '[mm']]]/1000),"")</f>
        <v>119.79166666666666</v>
      </c>
      <c r="CQ40" s="85" t="str">
        <f>IFERROR((TOWER_DATA[[#This Row],[D, bottom '[m']]]+#REF!)/(2*#REF!/1000),"")</f>
        <v/>
      </c>
      <c r="CZ40" s="86">
        <v>22</v>
      </c>
      <c r="DA40" s="86">
        <v>-67.3</v>
      </c>
      <c r="DB40" s="86">
        <v>-71</v>
      </c>
      <c r="DC40" s="86">
        <v>11.5</v>
      </c>
      <c r="DD40" s="86">
        <v>11.5</v>
      </c>
      <c r="DE40" s="86">
        <v>96</v>
      </c>
    </row>
    <row r="41" spans="2:109" x14ac:dyDescent="0.3">
      <c r="B41" s="111">
        <v>23</v>
      </c>
      <c r="C41" s="111">
        <v>-71</v>
      </c>
      <c r="D41" s="111">
        <v>-74.3</v>
      </c>
      <c r="E41" s="111">
        <v>11.5</v>
      </c>
      <c r="F41" s="111">
        <v>11.5</v>
      </c>
      <c r="G41" s="111">
        <v>100</v>
      </c>
      <c r="H41" s="85">
        <f>IFERROR(MP_DATA[[#This Row],[Bottom '[mLAT']]]-MP_DATA[[#This Row],[D, top '[m']]], "")</f>
        <v>-85.8</v>
      </c>
      <c r="I41" s="85">
        <f>IFERROR(-(MP_DATA[[#This Row],[D, bottom '[m']]]-MP_DATA[[#This Row],[D, top '[m']]])/(MP_DATA[[#This Row],[Bottom '[mLAT']]]-MP_DATA[[#This Row],[Top '[mLAT']]]),"")</f>
        <v>0</v>
      </c>
      <c r="J41" s="85">
        <f t="shared" si="0"/>
        <v>92.776571768017547</v>
      </c>
      <c r="K41" s="85">
        <f>IFERROR((MP_DATA[[#This Row],[D, bottom '[m']]]+MP_DATA[[#This Row],[D, top '[m']]])/(2*MP_DATA[[#This Row],[t '[mm']]]/1000),"")</f>
        <v>115</v>
      </c>
      <c r="L41" s="85" t="str">
        <f>IFERROR((MP_DATA[[#This Row],[D, bottom '[m']]]+#REF!)/(2*#REF!/1000),"")</f>
        <v/>
      </c>
      <c r="U41" s="86">
        <v>23</v>
      </c>
      <c r="V41" s="86">
        <v>-71</v>
      </c>
      <c r="W41" s="86">
        <v>-74.3</v>
      </c>
      <c r="X41" s="86">
        <v>11.5</v>
      </c>
      <c r="Y41" s="86">
        <v>11.5</v>
      </c>
      <c r="Z41" s="86">
        <v>100</v>
      </c>
      <c r="AW41" s="85" t="str">
        <f>IFERROR(TP_DATA[[#This Row],[Bottom '[mLAT']]]-TP_DATA[[#This Row],[D, top '[m']]], "")</f>
        <v/>
      </c>
      <c r="AX41" s="85" t="str">
        <f>IFERROR(-(TP_DATA[[#This Row],[D, bottom '[m']]]-TP_DATA[[#This Row],[D, top '[m']]])/(TP_DATA[[#This Row],[Bottom '[mLAT']]]-TP_DATA[[#This Row],[Top '[mLAT']]]),"")</f>
        <v/>
      </c>
      <c r="AY41" s="85" t="str">
        <f t="shared" si="1"/>
        <v/>
      </c>
      <c r="AZ41" s="85" t="str">
        <f>IFERROR((TP_DATA[[#This Row],[D, bottom '[m']]]+TP_DATA[[#This Row],[D, top '[m']]])/(2*TP_DATA[[#This Row],[t '[mm']]]/1000),"")</f>
        <v/>
      </c>
      <c r="BA41" s="85" t="str">
        <f>IFERROR((TP_DATA[[#This Row],[D, bottom '[m']]]+#REF!)/(2*#REF!/1000),"")</f>
        <v/>
      </c>
      <c r="BJ41" s="86"/>
      <c r="BK41" s="86"/>
      <c r="BL41" s="86"/>
      <c r="BM41" s="86"/>
      <c r="BN41" s="86"/>
      <c r="BO41" s="86"/>
      <c r="CG41" s="111">
        <v>23</v>
      </c>
      <c r="CH41" s="111">
        <v>-71</v>
      </c>
      <c r="CI41" s="111">
        <v>-74.3</v>
      </c>
      <c r="CJ41" s="111">
        <v>11.5</v>
      </c>
      <c r="CK41" s="111">
        <v>11.5</v>
      </c>
      <c r="CL41" s="111">
        <v>96</v>
      </c>
      <c r="CM41" s="85">
        <f>IFERROR(TOWER_DATA[[#This Row],[Bottom '[mLAT']]]-TOWER_DATA[[#This Row],[D, top '[m']]], "")</f>
        <v>-85.8</v>
      </c>
      <c r="CN41" s="85">
        <f>IFERROR(-(TOWER_DATA[[#This Row],[D, bottom '[m']]]-TOWER_DATA[[#This Row],[D, top '[m']]])/(TOWER_DATA[[#This Row],[Bottom '[mLAT']]]-TOWER_DATA[[#This Row],[Top '[mLAT']]]),"")</f>
        <v>0</v>
      </c>
      <c r="CO41" s="85">
        <f t="shared" si="2"/>
        <v>89.096759953050565</v>
      </c>
      <c r="CP41" s="85">
        <f>IFERROR((TOWER_DATA[[#This Row],[D, bottom '[m']]]+TOWER_DATA[[#This Row],[D, top '[m']]])/(2*TOWER_DATA[[#This Row],[t '[mm']]]/1000),"")</f>
        <v>119.79166666666666</v>
      </c>
      <c r="CQ41" s="85" t="str">
        <f>IFERROR((TOWER_DATA[[#This Row],[D, bottom '[m']]]+#REF!)/(2*#REF!/1000),"")</f>
        <v/>
      </c>
      <c r="CZ41" s="86">
        <v>23</v>
      </c>
      <c r="DA41" s="86">
        <v>-71</v>
      </c>
      <c r="DB41" s="86">
        <v>-74.3</v>
      </c>
      <c r="DC41" s="86">
        <v>11.5</v>
      </c>
      <c r="DD41" s="86">
        <v>11.5</v>
      </c>
      <c r="DE41" s="86">
        <v>96</v>
      </c>
    </row>
    <row r="42" spans="2:109" x14ac:dyDescent="0.3">
      <c r="B42" s="111">
        <v>24</v>
      </c>
      <c r="C42" s="111">
        <v>-74.3</v>
      </c>
      <c r="D42" s="111">
        <v>-77.430000000000007</v>
      </c>
      <c r="E42" s="111">
        <v>11.5</v>
      </c>
      <c r="F42" s="111">
        <v>11.5</v>
      </c>
      <c r="G42" s="111">
        <v>110</v>
      </c>
      <c r="H42" s="85">
        <f>IFERROR(MP_DATA[[#This Row],[Bottom '[mLAT']]]-MP_DATA[[#This Row],[D, top '[m']]], "")</f>
        <v>-88.93</v>
      </c>
      <c r="I42" s="85">
        <f>IFERROR(-(MP_DATA[[#This Row],[D, bottom '[m']]]-MP_DATA[[#This Row],[D, top '[m']]])/(MP_DATA[[#This Row],[Bottom '[mLAT']]]-MP_DATA[[#This Row],[Top '[mLAT']]]),"")</f>
        <v>0</v>
      </c>
      <c r="J42" s="85">
        <f t="shared" si="0"/>
        <v>96.71198032544136</v>
      </c>
      <c r="K42" s="85">
        <f>IFERROR((MP_DATA[[#This Row],[D, bottom '[m']]]+MP_DATA[[#This Row],[D, top '[m']]])/(2*MP_DATA[[#This Row],[t '[mm']]]/1000),"")</f>
        <v>104.54545454545455</v>
      </c>
      <c r="L42" s="85" t="str">
        <f>IFERROR((MP_DATA[[#This Row],[D, bottom '[m']]]+#REF!)/(2*#REF!/1000),"")</f>
        <v/>
      </c>
      <c r="U42" s="86">
        <v>24</v>
      </c>
      <c r="V42" s="86">
        <v>-74.3</v>
      </c>
      <c r="W42" s="86">
        <v>-77.430000000000007</v>
      </c>
      <c r="X42" s="86">
        <v>11.5</v>
      </c>
      <c r="Y42" s="86">
        <v>11.5</v>
      </c>
      <c r="Z42" s="86">
        <v>110</v>
      </c>
      <c r="AW42" s="85" t="str">
        <f>IFERROR(TP_DATA[[#This Row],[Bottom '[mLAT']]]-TP_DATA[[#This Row],[D, top '[m']]], "")</f>
        <v/>
      </c>
      <c r="AX42" s="85" t="str">
        <f>IFERROR(-(TP_DATA[[#This Row],[D, bottom '[m']]]-TP_DATA[[#This Row],[D, top '[m']]])/(TP_DATA[[#This Row],[Bottom '[mLAT']]]-TP_DATA[[#This Row],[Top '[mLAT']]]),"")</f>
        <v/>
      </c>
      <c r="AY42" s="85" t="str">
        <f t="shared" si="1"/>
        <v/>
      </c>
      <c r="AZ42" s="85" t="str">
        <f>IFERROR((TP_DATA[[#This Row],[D, bottom '[m']]]+TP_DATA[[#This Row],[D, top '[m']]])/(2*TP_DATA[[#This Row],[t '[mm']]]/1000),"")</f>
        <v/>
      </c>
      <c r="BA42" s="85" t="str">
        <f>IFERROR((TP_DATA[[#This Row],[D, bottom '[m']]]+#REF!)/(2*#REF!/1000),"")</f>
        <v/>
      </c>
      <c r="BJ42" s="86"/>
      <c r="BK42" s="86"/>
      <c r="BL42" s="86"/>
      <c r="BM42" s="86"/>
      <c r="BN42" s="86"/>
      <c r="BO42" s="86"/>
      <c r="CG42" s="111">
        <v>24</v>
      </c>
      <c r="CH42" s="111">
        <v>-74.3</v>
      </c>
      <c r="CI42" s="111">
        <v>-77.44</v>
      </c>
      <c r="CJ42" s="111">
        <v>11.5</v>
      </c>
      <c r="CK42" s="111">
        <v>11.5</v>
      </c>
      <c r="CL42" s="111">
        <v>100</v>
      </c>
      <c r="CM42" s="85">
        <f>IFERROR(TOWER_DATA[[#This Row],[Bottom '[mLAT']]]-TOWER_DATA[[#This Row],[D, top '[m']]], "")</f>
        <v>-88.94</v>
      </c>
      <c r="CN42" s="85">
        <f>IFERROR(-(TOWER_DATA[[#This Row],[D, bottom '[m']]]-TOWER_DATA[[#This Row],[D, top '[m']]])/(TOWER_DATA[[#This Row],[Bottom '[mLAT']]]-TOWER_DATA[[#This Row],[Top '[mLAT']]]),"")</f>
        <v>0</v>
      </c>
      <c r="CO42" s="85">
        <f t="shared" si="2"/>
        <v>88.278313742901631</v>
      </c>
      <c r="CP42" s="85">
        <f>IFERROR((TOWER_DATA[[#This Row],[D, bottom '[m']]]+TOWER_DATA[[#This Row],[D, top '[m']]])/(2*TOWER_DATA[[#This Row],[t '[mm']]]/1000),"")</f>
        <v>115</v>
      </c>
      <c r="CQ42" s="85" t="str">
        <f>IFERROR((TOWER_DATA[[#This Row],[D, bottom '[m']]]+#REF!)/(2*#REF!/1000),"")</f>
        <v/>
      </c>
      <c r="CZ42" s="86">
        <v>24</v>
      </c>
      <c r="DA42" s="86">
        <v>-74.3</v>
      </c>
      <c r="DB42" s="86">
        <v>-77.44</v>
      </c>
      <c r="DC42" s="86">
        <v>11.5</v>
      </c>
      <c r="DD42" s="86">
        <v>11.5</v>
      </c>
      <c r="DE42" s="86">
        <v>100</v>
      </c>
    </row>
    <row r="43" spans="2:109" x14ac:dyDescent="0.3">
      <c r="B43" s="111">
        <v>25</v>
      </c>
      <c r="C43" s="111">
        <v>-77.430000000000007</v>
      </c>
      <c r="D43" s="111">
        <v>-80.430000000000007</v>
      </c>
      <c r="E43" s="111">
        <v>11.5</v>
      </c>
      <c r="F43" s="111">
        <v>11.5</v>
      </c>
      <c r="G43" s="111">
        <v>122</v>
      </c>
      <c r="H43" s="85">
        <f>IFERROR(MP_DATA[[#This Row],[Bottom '[mLAT']]]-MP_DATA[[#This Row],[D, top '[m']]], "")</f>
        <v>-91.93</v>
      </c>
      <c r="I43" s="85">
        <f>IFERROR(-(MP_DATA[[#This Row],[D, bottom '[m']]]-MP_DATA[[#This Row],[D, top '[m']]])/(MP_DATA[[#This Row],[Bottom '[mLAT']]]-MP_DATA[[#This Row],[Top '[mLAT']]]),"")</f>
        <v>0</v>
      </c>
      <c r="J43" s="85">
        <f t="shared" si="0"/>
        <v>102.6990779077619</v>
      </c>
      <c r="K43" s="85">
        <f>IFERROR((MP_DATA[[#This Row],[D, bottom '[m']]]+MP_DATA[[#This Row],[D, top '[m']]])/(2*MP_DATA[[#This Row],[t '[mm']]]/1000),"")</f>
        <v>94.26229508196721</v>
      </c>
      <c r="L43" s="85" t="str">
        <f>IFERROR((MP_DATA[[#This Row],[D, bottom '[m']]]+#REF!)/(2*#REF!/1000),"")</f>
        <v/>
      </c>
      <c r="U43" s="86">
        <v>25</v>
      </c>
      <c r="V43" s="86">
        <v>-77.430000000000007</v>
      </c>
      <c r="W43" s="86">
        <v>-80.430000000000007</v>
      </c>
      <c r="X43" s="86">
        <v>11.5</v>
      </c>
      <c r="Y43" s="86">
        <v>11.5</v>
      </c>
      <c r="Z43" s="86">
        <v>122</v>
      </c>
      <c r="AW43" s="85" t="str">
        <f>IFERROR(TP_DATA[[#This Row],[Bottom '[mLAT']]]-TP_DATA[[#This Row],[D, top '[m']]], "")</f>
        <v/>
      </c>
      <c r="AX43" s="85" t="str">
        <f>IFERROR(-(TP_DATA[[#This Row],[D, bottom '[m']]]-TP_DATA[[#This Row],[D, top '[m']]])/(TP_DATA[[#This Row],[Bottom '[mLAT']]]-TP_DATA[[#This Row],[Top '[mLAT']]]),"")</f>
        <v/>
      </c>
      <c r="AY43" s="85" t="str">
        <f t="shared" si="1"/>
        <v/>
      </c>
      <c r="AZ43" s="85" t="str">
        <f>IFERROR((TP_DATA[[#This Row],[D, bottom '[m']]]+TP_DATA[[#This Row],[D, top '[m']]])/(2*TP_DATA[[#This Row],[t '[mm']]]/1000),"")</f>
        <v/>
      </c>
      <c r="BA43" s="85" t="str">
        <f>IFERROR((TP_DATA[[#This Row],[D, bottom '[m']]]+#REF!)/(2*#REF!/1000),"")</f>
        <v/>
      </c>
      <c r="BJ43" s="86"/>
      <c r="BK43" s="86"/>
      <c r="BL43" s="86"/>
      <c r="BM43" s="86"/>
      <c r="BN43" s="86"/>
      <c r="BO43" s="86"/>
      <c r="CG43" s="111">
        <v>25</v>
      </c>
      <c r="CH43" s="111">
        <v>-77.44</v>
      </c>
      <c r="CI43" s="111">
        <v>-80.44</v>
      </c>
      <c r="CJ43" s="111">
        <v>11.5</v>
      </c>
      <c r="CK43" s="111">
        <v>11.5</v>
      </c>
      <c r="CL43" s="111">
        <v>105</v>
      </c>
      <c r="CM43" s="85">
        <f>IFERROR(TOWER_DATA[[#This Row],[Bottom '[mLAT']]]-TOWER_DATA[[#This Row],[D, top '[m']]], "")</f>
        <v>-91.94</v>
      </c>
      <c r="CN43" s="85">
        <f>IFERROR(-(TOWER_DATA[[#This Row],[D, bottom '[m']]]-TOWER_DATA[[#This Row],[D, top '[m']]])/(TOWER_DATA[[#This Row],[Bottom '[mLAT']]]-TOWER_DATA[[#This Row],[Top '[mLAT']]]),"")</f>
        <v>0</v>
      </c>
      <c r="CO43" s="85">
        <f t="shared" si="2"/>
        <v>88.520613003301008</v>
      </c>
      <c r="CP43" s="85">
        <f>IFERROR((TOWER_DATA[[#This Row],[D, bottom '[m']]]+TOWER_DATA[[#This Row],[D, top '[m']]])/(2*TOWER_DATA[[#This Row],[t '[mm']]]/1000),"")</f>
        <v>109.52380952380953</v>
      </c>
      <c r="CQ43" s="85" t="str">
        <f>IFERROR((TOWER_DATA[[#This Row],[D, bottom '[m']]]+#REF!)/(2*#REF!/1000),"")</f>
        <v/>
      </c>
      <c r="CZ43" s="86">
        <v>25</v>
      </c>
      <c r="DA43" s="86">
        <v>-77.44</v>
      </c>
      <c r="DB43" s="86">
        <v>-80.44</v>
      </c>
      <c r="DC43" s="86">
        <v>11.5</v>
      </c>
      <c r="DD43" s="86">
        <v>11.5</v>
      </c>
      <c r="DE43" s="86">
        <v>105</v>
      </c>
    </row>
    <row r="44" spans="2:109" x14ac:dyDescent="0.3">
      <c r="H44" s="85" t="str">
        <f>IFERROR(MP_DATA[[#This Row],[Bottom '[mLAT']]]-MP_DATA[[#This Row],[D, top '[m']]], "")</f>
        <v/>
      </c>
      <c r="I44" s="85" t="str">
        <f>IFERROR(-(MP_DATA[[#This Row],[D, bottom '[m']]]-MP_DATA[[#This Row],[D, top '[m']]])/(MP_DATA[[#This Row],[Bottom '[mLAT']]]-MP_DATA[[#This Row],[Top '[mLAT']]]),"")</f>
        <v/>
      </c>
      <c r="J44" s="85" t="str">
        <f t="shared" si="0"/>
        <v/>
      </c>
      <c r="K44" s="85" t="str">
        <f>IFERROR((MP_DATA[[#This Row],[D, bottom '[m']]]+MP_DATA[[#This Row],[D, top '[m']]])/(2*MP_DATA[[#This Row],[t '[mm']]]/1000),"")</f>
        <v/>
      </c>
      <c r="L44" s="85" t="str">
        <f>IFERROR((MP_DATA[[#This Row],[D, bottom '[m']]]+#REF!)/(2*#REF!/1000),"")</f>
        <v/>
      </c>
      <c r="AW44" s="85" t="str">
        <f>IFERROR(TP_DATA[[#This Row],[Bottom '[mLAT']]]-TP_DATA[[#This Row],[D, top '[m']]], "")</f>
        <v/>
      </c>
      <c r="AX44" s="85" t="str">
        <f>IFERROR(-(TP_DATA[[#This Row],[D, bottom '[m']]]-TP_DATA[[#This Row],[D, top '[m']]])/(TP_DATA[[#This Row],[Bottom '[mLAT']]]-TP_DATA[[#This Row],[Top '[mLAT']]]),"")</f>
        <v/>
      </c>
      <c r="AY44" s="85" t="str">
        <f t="shared" si="1"/>
        <v/>
      </c>
      <c r="AZ44" s="85" t="str">
        <f>IFERROR((TP_DATA[[#This Row],[D, bottom '[m']]]+TP_DATA[[#This Row],[D, top '[m']]])/(2*TP_DATA[[#This Row],[t '[mm']]]/1000),"")</f>
        <v/>
      </c>
      <c r="BA44" s="85" t="str">
        <f>IFERROR((TP_DATA[[#This Row],[D, bottom '[m']]]+#REF!)/(2*#REF!/1000),"")</f>
        <v/>
      </c>
      <c r="CM44" s="85" t="str">
        <f>IFERROR(TOWER_DATA[[#This Row],[Bottom '[mLAT']]]-TOWER_DATA[[#This Row],[D, top '[m']]], "")</f>
        <v/>
      </c>
      <c r="CN44" s="85" t="str">
        <f>IFERROR(-(TOWER_DATA[[#This Row],[D, bottom '[m']]]-TOWER_DATA[[#This Row],[D, top '[m']]])/(TOWER_DATA[[#This Row],[Bottom '[mLAT']]]-TOWER_DATA[[#This Row],[Top '[mLAT']]]),"")</f>
        <v/>
      </c>
      <c r="CO44" s="85" t="str">
        <f t="shared" si="2"/>
        <v/>
      </c>
      <c r="CP44" s="85" t="str">
        <f>IFERROR((TOWER_DATA[[#This Row],[D, bottom '[m']]]+TOWER_DATA[[#This Row],[D, top '[m']]])/(2*TOWER_DATA[[#This Row],[t '[mm']]]/1000),"")</f>
        <v/>
      </c>
      <c r="CQ44" s="85" t="str">
        <f>IFERROR((TOWER_DATA[[#This Row],[D, bottom '[m']]]+#REF!)/(2*#REF!/1000),"")</f>
        <v/>
      </c>
    </row>
    <row r="45" spans="2:109" x14ac:dyDescent="0.3">
      <c r="H45" s="85" t="str">
        <f>IFERROR(MP_DATA[[#This Row],[Bottom '[mLAT']]]-MP_DATA[[#This Row],[D, top '[m']]], "")</f>
        <v/>
      </c>
      <c r="I45" s="85" t="str">
        <f>IFERROR(-(MP_DATA[[#This Row],[D, bottom '[m']]]-MP_DATA[[#This Row],[D, top '[m']]])/(MP_DATA[[#This Row],[Bottom '[mLAT']]]-MP_DATA[[#This Row],[Top '[mLAT']]]),"")</f>
        <v/>
      </c>
      <c r="J45" s="85" t="str">
        <f t="shared" si="0"/>
        <v/>
      </c>
      <c r="K45" s="85" t="str">
        <f>IFERROR((MP_DATA[[#This Row],[D, bottom '[m']]]+MP_DATA[[#This Row],[D, top '[m']]])/(2*MP_DATA[[#This Row],[t '[mm']]]/1000),"")</f>
        <v/>
      </c>
      <c r="L45" s="85" t="str">
        <f>IFERROR((MP_DATA[[#This Row],[D, bottom '[m']]]+#REF!)/(2*#REF!/1000),"")</f>
        <v/>
      </c>
      <c r="AW45" s="85" t="str">
        <f>IFERROR(TP_DATA[[#This Row],[Bottom '[mLAT']]]-TP_DATA[[#This Row],[D, top '[m']]], "")</f>
        <v/>
      </c>
      <c r="AX45" s="85" t="str">
        <f>IFERROR(-(TP_DATA[[#This Row],[D, bottom '[m']]]-TP_DATA[[#This Row],[D, top '[m']]])/(TP_DATA[[#This Row],[Bottom '[mLAT']]]-TP_DATA[[#This Row],[Top '[mLAT']]]),"")</f>
        <v/>
      </c>
      <c r="AY45" s="85" t="str">
        <f t="shared" si="1"/>
        <v/>
      </c>
      <c r="AZ45" s="85" t="str">
        <f>IFERROR((TP_DATA[[#This Row],[D, bottom '[m']]]+TP_DATA[[#This Row],[D, top '[m']]])/(2*TP_DATA[[#This Row],[t '[mm']]]/1000),"")</f>
        <v/>
      </c>
      <c r="BA45" s="85" t="str">
        <f>IFERROR((TP_DATA[[#This Row],[D, bottom '[m']]]+#REF!)/(2*#REF!/1000),"")</f>
        <v/>
      </c>
      <c r="CM45" s="85" t="str">
        <f>IFERROR(TOWER_DATA[[#This Row],[Bottom '[mLAT']]]-TOWER_DATA[[#This Row],[D, top '[m']]], "")</f>
        <v/>
      </c>
      <c r="CN45" s="85" t="str">
        <f>IFERROR(-(TOWER_DATA[[#This Row],[D, bottom '[m']]]-TOWER_DATA[[#This Row],[D, top '[m']]])/(TOWER_DATA[[#This Row],[Bottom '[mLAT']]]-TOWER_DATA[[#This Row],[Top '[mLAT']]]),"")</f>
        <v/>
      </c>
      <c r="CO45" s="85" t="str">
        <f t="shared" si="2"/>
        <v/>
      </c>
      <c r="CP45" s="85" t="str">
        <f>IFERROR((TOWER_DATA[[#This Row],[D, bottom '[m']]]+TOWER_DATA[[#This Row],[D, top '[m']]])/(2*TOWER_DATA[[#This Row],[t '[mm']]]/1000),"")</f>
        <v/>
      </c>
      <c r="CQ45" s="85" t="str">
        <f>IFERROR((TOWER_DATA[[#This Row],[D, bottom '[m']]]+#REF!)/(2*#REF!/1000),"")</f>
        <v/>
      </c>
    </row>
    <row r="46" spans="2:109" x14ac:dyDescent="0.3">
      <c r="H46" s="85" t="str">
        <f>IFERROR(MP_DATA[[#This Row],[Bottom '[mLAT']]]-MP_DATA[[#This Row],[D, top '[m']]], "")</f>
        <v/>
      </c>
      <c r="I46" s="85" t="str">
        <f>IFERROR(-(MP_DATA[[#This Row],[D, bottom '[m']]]-MP_DATA[[#This Row],[D, top '[m']]])/(MP_DATA[[#This Row],[Bottom '[mLAT']]]-MP_DATA[[#This Row],[Top '[mLAT']]]),"")</f>
        <v/>
      </c>
      <c r="J46" s="85" t="str">
        <f t="shared" si="0"/>
        <v/>
      </c>
      <c r="K46" s="85" t="str">
        <f>IFERROR((MP_DATA[[#This Row],[D, bottom '[m']]]+MP_DATA[[#This Row],[D, top '[m']]])/(2*MP_DATA[[#This Row],[t '[mm']]]/1000),"")</f>
        <v/>
      </c>
      <c r="L46" s="85" t="str">
        <f>IFERROR((MP_DATA[[#This Row],[D, bottom '[m']]]+#REF!)/(2*#REF!/1000),"")</f>
        <v/>
      </c>
      <c r="AW46" s="85" t="str">
        <f>IFERROR(TP_DATA[[#This Row],[Bottom '[mLAT']]]-TP_DATA[[#This Row],[D, top '[m']]], "")</f>
        <v/>
      </c>
      <c r="AX46" s="85" t="str">
        <f>IFERROR(-(TP_DATA[[#This Row],[D, bottom '[m']]]-TP_DATA[[#This Row],[D, top '[m']]])/(TP_DATA[[#This Row],[Bottom '[mLAT']]]-TP_DATA[[#This Row],[Top '[mLAT']]]),"")</f>
        <v/>
      </c>
      <c r="AY46" s="85" t="str">
        <f t="shared" si="1"/>
        <v/>
      </c>
      <c r="AZ46" s="85" t="str">
        <f>IFERROR((TP_DATA[[#This Row],[D, bottom '[m']]]+TP_DATA[[#This Row],[D, top '[m']]])/(2*TP_DATA[[#This Row],[t '[mm']]]/1000),"")</f>
        <v/>
      </c>
      <c r="BA46" s="85" t="str">
        <f>IFERROR((TP_DATA[[#This Row],[D, bottom '[m']]]+#REF!)/(2*#REF!/1000),"")</f>
        <v/>
      </c>
      <c r="CM46" s="85" t="str">
        <f>IFERROR(TOWER_DATA[[#This Row],[Bottom '[mLAT']]]-TOWER_DATA[[#This Row],[D, top '[m']]], "")</f>
        <v/>
      </c>
      <c r="CN46" s="85" t="str">
        <f>IFERROR(-(TOWER_DATA[[#This Row],[D, bottom '[m']]]-TOWER_DATA[[#This Row],[D, top '[m']]])/(TOWER_DATA[[#This Row],[Bottom '[mLAT']]]-TOWER_DATA[[#This Row],[Top '[mLAT']]]),"")</f>
        <v/>
      </c>
      <c r="CO46" s="85" t="str">
        <f t="shared" si="2"/>
        <v/>
      </c>
      <c r="CP46" s="85" t="str">
        <f>IFERROR((TOWER_DATA[[#This Row],[D, bottom '[m']]]+TOWER_DATA[[#This Row],[D, top '[m']]])/(2*TOWER_DATA[[#This Row],[t '[mm']]]/1000),"")</f>
        <v/>
      </c>
      <c r="CQ46" s="85" t="str">
        <f>IFERROR((TOWER_DATA[[#This Row],[D, bottom '[m']]]+#REF!)/(2*#REF!/1000),"")</f>
        <v/>
      </c>
    </row>
    <row r="47" spans="2:109" x14ac:dyDescent="0.3">
      <c r="H47" s="85" t="str">
        <f>IFERROR(MP_DATA[[#This Row],[Bottom '[mLAT']]]-MP_DATA[[#This Row],[D, top '[m']]], "")</f>
        <v/>
      </c>
      <c r="I47" s="85" t="str">
        <f>IFERROR(-(MP_DATA[[#This Row],[D, bottom '[m']]]-MP_DATA[[#This Row],[D, top '[m']]])/(MP_DATA[[#This Row],[Bottom '[mLAT']]]-MP_DATA[[#This Row],[Top '[mLAT']]]),"")</f>
        <v/>
      </c>
      <c r="J47" s="85" t="str">
        <f t="shared" si="0"/>
        <v/>
      </c>
      <c r="K47" s="85" t="str">
        <f>IFERROR((MP_DATA[[#This Row],[D, bottom '[m']]]+MP_DATA[[#This Row],[D, top '[m']]])/(2*MP_DATA[[#This Row],[t '[mm']]]/1000),"")</f>
        <v/>
      </c>
      <c r="L47" s="85" t="str">
        <f>IFERROR((MP_DATA[[#This Row],[D, bottom '[m']]]+#REF!)/(2*#REF!/1000),"")</f>
        <v/>
      </c>
      <c r="AW47" s="85" t="str">
        <f>IFERROR(TP_DATA[[#This Row],[Bottom '[mLAT']]]-TP_DATA[[#This Row],[D, top '[m']]], "")</f>
        <v/>
      </c>
      <c r="AX47" s="85" t="str">
        <f>IFERROR(-(TP_DATA[[#This Row],[D, bottom '[m']]]-TP_DATA[[#This Row],[D, top '[m']]])/(TP_DATA[[#This Row],[Bottom '[mLAT']]]-TP_DATA[[#This Row],[Top '[mLAT']]]),"")</f>
        <v/>
      </c>
      <c r="AY47" s="85" t="str">
        <f t="shared" si="1"/>
        <v/>
      </c>
      <c r="AZ47" s="85" t="str">
        <f>IFERROR((TP_DATA[[#This Row],[D, bottom '[m']]]+TP_DATA[[#This Row],[D, top '[m']]])/(2*TP_DATA[[#This Row],[t '[mm']]]/1000),"")</f>
        <v/>
      </c>
      <c r="BA47" s="85" t="str">
        <f>IFERROR((TP_DATA[[#This Row],[D, bottom '[m']]]+#REF!)/(2*#REF!/1000),"")</f>
        <v/>
      </c>
      <c r="CM47" s="85" t="str">
        <f>IFERROR(TOWER_DATA[[#This Row],[Bottom '[mLAT']]]-TOWER_DATA[[#This Row],[D, top '[m']]], "")</f>
        <v/>
      </c>
      <c r="CN47" s="85" t="str">
        <f>IFERROR(-(TOWER_DATA[[#This Row],[D, bottom '[m']]]-TOWER_DATA[[#This Row],[D, top '[m']]])/(TOWER_DATA[[#This Row],[Bottom '[mLAT']]]-TOWER_DATA[[#This Row],[Top '[mLAT']]]),"")</f>
        <v/>
      </c>
      <c r="CO47" s="85" t="str">
        <f t="shared" si="2"/>
        <v/>
      </c>
      <c r="CP47" s="85" t="str">
        <f>IFERROR((TOWER_DATA[[#This Row],[D, bottom '[m']]]+TOWER_DATA[[#This Row],[D, top '[m']]])/(2*TOWER_DATA[[#This Row],[t '[mm']]]/1000),"")</f>
        <v/>
      </c>
      <c r="CQ47" s="85" t="str">
        <f>IFERROR((TOWER_DATA[[#This Row],[D, bottom '[m']]]+#REF!)/(2*#REF!/1000),"")</f>
        <v/>
      </c>
    </row>
    <row r="48" spans="2:109" x14ac:dyDescent="0.3">
      <c r="H48" s="85" t="str">
        <f>IFERROR(MP_DATA[[#This Row],[Bottom '[mLAT']]]-MP_DATA[[#This Row],[D, top '[m']]], "")</f>
        <v/>
      </c>
      <c r="I48" s="85" t="str">
        <f>IFERROR(-(MP_DATA[[#This Row],[D, bottom '[m']]]-MP_DATA[[#This Row],[D, top '[m']]])/(MP_DATA[[#This Row],[Bottom '[mLAT']]]-MP_DATA[[#This Row],[Top '[mLAT']]]),"")</f>
        <v/>
      </c>
      <c r="J48" s="85" t="str">
        <f t="shared" si="0"/>
        <v/>
      </c>
      <c r="K48" s="85" t="str">
        <f>IFERROR((MP_DATA[[#This Row],[D, bottom '[m']]]+MP_DATA[[#This Row],[D, top '[m']]])/(2*MP_DATA[[#This Row],[t '[mm']]]/1000),"")</f>
        <v/>
      </c>
      <c r="L48" s="85"/>
      <c r="AW48" s="85" t="str">
        <f>IFERROR(TP_DATA[[#This Row],[Bottom '[mLAT']]]-TP_DATA[[#This Row],[D, top '[m']]], "")</f>
        <v/>
      </c>
      <c r="AX48" s="85" t="str">
        <f>IFERROR(-(TP_DATA[[#This Row],[D, bottom '[m']]]-TP_DATA[[#This Row],[D, top '[m']]])/(TP_DATA[[#This Row],[Bottom '[mLAT']]]-TP_DATA[[#This Row],[Top '[mLAT']]]),"")</f>
        <v/>
      </c>
      <c r="AY48" s="85" t="str">
        <f t="shared" si="1"/>
        <v/>
      </c>
      <c r="AZ48" s="85" t="str">
        <f>IFERROR((TP_DATA[[#This Row],[D, bottom '[m']]]+TP_DATA[[#This Row],[D, top '[m']]])/(2*TP_DATA[[#This Row],[t '[mm']]]/1000),"")</f>
        <v/>
      </c>
      <c r="BA48" s="85"/>
      <c r="CM48" s="85" t="str">
        <f>IFERROR(TOWER_DATA[[#This Row],[Bottom '[mLAT']]]-TOWER_DATA[[#This Row],[D, top '[m']]], "")</f>
        <v/>
      </c>
      <c r="CN48" s="85" t="str">
        <f>IFERROR(-(TOWER_DATA[[#This Row],[D, bottom '[m']]]-TOWER_DATA[[#This Row],[D, top '[m']]])/(TOWER_DATA[[#This Row],[Bottom '[mLAT']]]-TOWER_DATA[[#This Row],[Top '[mLAT']]]),"")</f>
        <v/>
      </c>
      <c r="CO48" s="85" t="str">
        <f t="shared" si="2"/>
        <v/>
      </c>
      <c r="CP48" s="85" t="str">
        <f>IFERROR((TOWER_DATA[[#This Row],[D, bottom '[m']]]+TOWER_DATA[[#This Row],[D, top '[m']]])/(2*TOWER_DATA[[#This Row],[t '[mm']]]/1000),"")</f>
        <v/>
      </c>
      <c r="CQ48" s="85"/>
    </row>
    <row r="49" spans="8:95" x14ac:dyDescent="0.3">
      <c r="H49" s="85" t="str">
        <f>IFERROR(MP_DATA[[#This Row],[Bottom '[mLAT']]]-MP_DATA[[#This Row],[D, top '[m']]], "")</f>
        <v/>
      </c>
      <c r="I49" s="85" t="str">
        <f>IFERROR(-(MP_DATA[[#This Row],[D, bottom '[m']]]-MP_DATA[[#This Row],[D, top '[m']]])/(MP_DATA[[#This Row],[Bottom '[mLAT']]]-MP_DATA[[#This Row],[Top '[mLAT']]]),"")</f>
        <v/>
      </c>
      <c r="J49" s="85" t="str">
        <f t="shared" si="0"/>
        <v/>
      </c>
      <c r="K49" s="85" t="str">
        <f>IFERROR((MP_DATA[[#This Row],[D, bottom '[m']]]+MP_DATA[[#This Row],[D, top '[m']]])/(2*MP_DATA[[#This Row],[t '[mm']]]/1000),"")</f>
        <v/>
      </c>
      <c r="L49" s="85"/>
      <c r="AW49" s="85" t="str">
        <f>IFERROR(TP_DATA[[#This Row],[Bottom '[mLAT']]]-TP_DATA[[#This Row],[D, top '[m']]], "")</f>
        <v/>
      </c>
      <c r="AX49" s="85" t="str">
        <f>IFERROR(-(TP_DATA[[#This Row],[D, bottom '[m']]]-TP_DATA[[#This Row],[D, top '[m']]])/(TP_DATA[[#This Row],[Bottom '[mLAT']]]-TP_DATA[[#This Row],[Top '[mLAT']]]),"")</f>
        <v/>
      </c>
      <c r="AY49" s="85" t="str">
        <f t="shared" si="1"/>
        <v/>
      </c>
      <c r="AZ49" s="85" t="str">
        <f>IFERROR((TP_DATA[[#This Row],[D, bottom '[m']]]+TP_DATA[[#This Row],[D, top '[m']]])/(2*TP_DATA[[#This Row],[t '[mm']]]/1000),"")</f>
        <v/>
      </c>
      <c r="BA49" s="85"/>
      <c r="CM49" s="85" t="str">
        <f>IFERROR(TOWER_DATA[[#This Row],[Bottom '[mLAT']]]-TOWER_DATA[[#This Row],[D, top '[m']]], "")</f>
        <v/>
      </c>
      <c r="CN49" s="85" t="str">
        <f>IFERROR(-(TOWER_DATA[[#This Row],[D, bottom '[m']]]-TOWER_DATA[[#This Row],[D, top '[m']]])/(TOWER_DATA[[#This Row],[Bottom '[mLAT']]]-TOWER_DATA[[#This Row],[Top '[mLAT']]]),"")</f>
        <v/>
      </c>
      <c r="CO49" s="85" t="str">
        <f t="shared" si="2"/>
        <v/>
      </c>
      <c r="CP49" s="85" t="str">
        <f>IFERROR((TOWER_DATA[[#This Row],[D, bottom '[m']]]+TOWER_DATA[[#This Row],[D, top '[m']]])/(2*TOWER_DATA[[#This Row],[t '[mm']]]/1000),"")</f>
        <v/>
      </c>
      <c r="CQ49" s="85"/>
    </row>
    <row r="50" spans="8:95" x14ac:dyDescent="0.3">
      <c r="H50" s="85" t="str">
        <f>IFERROR(MP_DATA[[#This Row],[Bottom '[mLAT']]]-MP_DATA[[#This Row],[D, top '[m']]], "")</f>
        <v/>
      </c>
      <c r="I50" s="85" t="str">
        <f>IFERROR(-(MP_DATA[[#This Row],[D, bottom '[m']]]-MP_DATA[[#This Row],[D, top '[m']]])/(MP_DATA[[#This Row],[Bottom '[mLAT']]]-MP_DATA[[#This Row],[Top '[mLAT']]]),"")</f>
        <v/>
      </c>
      <c r="J50" s="85" t="str">
        <f t="shared" si="0"/>
        <v/>
      </c>
      <c r="K50" s="85" t="str">
        <f>IFERROR((MP_DATA[[#This Row],[D, bottom '[m']]]+MP_DATA[[#This Row],[D, top '[m']]])/(2*MP_DATA[[#This Row],[t '[mm']]]/1000),"")</f>
        <v/>
      </c>
      <c r="L50" s="85"/>
      <c r="AW50" s="85" t="str">
        <f>IFERROR(TP_DATA[[#This Row],[Bottom '[mLAT']]]-TP_DATA[[#This Row],[D, top '[m']]], "")</f>
        <v/>
      </c>
      <c r="AX50" s="85" t="str">
        <f>IFERROR(-(TP_DATA[[#This Row],[D, bottom '[m']]]-TP_DATA[[#This Row],[D, top '[m']]])/(TP_DATA[[#This Row],[Bottom '[mLAT']]]-TP_DATA[[#This Row],[Top '[mLAT']]]),"")</f>
        <v/>
      </c>
      <c r="AY50" s="85" t="str">
        <f t="shared" si="1"/>
        <v/>
      </c>
      <c r="AZ50" s="85" t="str">
        <f>IFERROR((TP_DATA[[#This Row],[D, bottom '[m']]]+TP_DATA[[#This Row],[D, top '[m']]])/(2*TP_DATA[[#This Row],[t '[mm']]]/1000),"")</f>
        <v/>
      </c>
      <c r="BA50" s="85"/>
      <c r="CM50" s="85" t="str">
        <f>IFERROR(TOWER_DATA[[#This Row],[Bottom '[mLAT']]]-TOWER_DATA[[#This Row],[D, top '[m']]], "")</f>
        <v/>
      </c>
      <c r="CN50" s="85" t="str">
        <f>IFERROR(-(TOWER_DATA[[#This Row],[D, bottom '[m']]]-TOWER_DATA[[#This Row],[D, top '[m']]])/(TOWER_DATA[[#This Row],[Bottom '[mLAT']]]-TOWER_DATA[[#This Row],[Top '[mLAT']]]),"")</f>
        <v/>
      </c>
      <c r="CO50" s="85" t="str">
        <f t="shared" si="2"/>
        <v/>
      </c>
      <c r="CP50" s="85" t="str">
        <f>IFERROR((TOWER_DATA[[#This Row],[D, bottom '[m']]]+TOWER_DATA[[#This Row],[D, top '[m']]])/(2*TOWER_DATA[[#This Row],[t '[mm']]]/1000),"")</f>
        <v/>
      </c>
      <c r="CQ50" s="85"/>
    </row>
    <row r="51" spans="8:95" x14ac:dyDescent="0.3">
      <c r="H51" s="85" t="str">
        <f>IFERROR(MP_DATA[[#This Row],[Bottom '[mLAT']]]-MP_DATA[[#This Row],[D, top '[m']]], "")</f>
        <v/>
      </c>
      <c r="I51" s="85" t="str">
        <f>IFERROR(-(MP_DATA[[#This Row],[D, bottom '[m']]]-MP_DATA[[#This Row],[D, top '[m']]])/(MP_DATA[[#This Row],[Bottom '[mLAT']]]-MP_DATA[[#This Row],[Top '[mLAT']]]),"")</f>
        <v/>
      </c>
      <c r="J51" s="85" t="str">
        <f t="shared" ref="J51:J83" si="3">IF(7850/1000*(1/3)*PI()*ABS(C51-D51)*((E51/2)^2+(E51/2)*(F51/2)+(F51/2)^2-(E51/2-G51/1000)^2-(E51/2-G51/1000)*(F51/2-G51/1000)-(F51/2-G51/1000)^2)=0,"",7850/1000*(1/3)*PI()*ABS(C51-D51)*((E51/2)^2+(E51/2)*(F51/2)+(F51/2)^2-(E51/2-G51/1000)^2-(E51/2-G51/1000)*(F51/2-G51/1000)-(F51/2-G51/1000)^2))</f>
        <v/>
      </c>
      <c r="K51" s="85" t="str">
        <f>IFERROR((MP_DATA[[#This Row],[D, bottom '[m']]]+MP_DATA[[#This Row],[D, top '[m']]])/(2*MP_DATA[[#This Row],[t '[mm']]]/1000),"")</f>
        <v/>
      </c>
      <c r="L51" s="85"/>
      <c r="AW51" s="85" t="str">
        <f>IFERROR(TP_DATA[[#This Row],[Bottom '[mLAT']]]-TP_DATA[[#This Row],[D, top '[m']]], "")</f>
        <v/>
      </c>
      <c r="AX51" s="85" t="str">
        <f>IFERROR(-(TP_DATA[[#This Row],[D, bottom '[m']]]-TP_DATA[[#This Row],[D, top '[m']]])/(TP_DATA[[#This Row],[Bottom '[mLAT']]]-TP_DATA[[#This Row],[Top '[mLAT']]]),"")</f>
        <v/>
      </c>
      <c r="AY51" s="85" t="str">
        <f t="shared" si="1"/>
        <v/>
      </c>
      <c r="AZ51" s="85" t="str">
        <f>IFERROR((TP_DATA[[#This Row],[D, bottom '[m']]]+TP_DATA[[#This Row],[D, top '[m']]])/(2*TP_DATA[[#This Row],[t '[mm']]]/1000),"")</f>
        <v/>
      </c>
      <c r="BA51" s="85"/>
      <c r="CM51" s="85" t="str">
        <f>IFERROR(TOWER_DATA[[#This Row],[Bottom '[mLAT']]]-TOWER_DATA[[#This Row],[D, top '[m']]], "")</f>
        <v/>
      </c>
      <c r="CN51" s="85" t="str">
        <f>IFERROR(-(TOWER_DATA[[#This Row],[D, bottom '[m']]]-TOWER_DATA[[#This Row],[D, top '[m']]])/(TOWER_DATA[[#This Row],[Bottom '[mLAT']]]-TOWER_DATA[[#This Row],[Top '[mLAT']]]),"")</f>
        <v/>
      </c>
      <c r="CO51" s="85" t="str">
        <f t="shared" si="2"/>
        <v/>
      </c>
      <c r="CP51" s="85" t="str">
        <f>IFERROR((TOWER_DATA[[#This Row],[D, bottom '[m']]]+TOWER_DATA[[#This Row],[D, top '[m']]])/(2*TOWER_DATA[[#This Row],[t '[mm']]]/1000),"")</f>
        <v/>
      </c>
      <c r="CQ51" s="85"/>
    </row>
    <row r="52" spans="8:95" x14ac:dyDescent="0.3">
      <c r="H52" s="85" t="str">
        <f>IFERROR(MP_DATA[[#This Row],[Bottom '[mLAT']]]-MP_DATA[[#This Row],[D, top '[m']]], "")</f>
        <v/>
      </c>
      <c r="I52" s="85" t="str">
        <f>IFERROR(-(MP_DATA[[#This Row],[D, bottom '[m']]]-MP_DATA[[#This Row],[D, top '[m']]])/(MP_DATA[[#This Row],[Bottom '[mLAT']]]-MP_DATA[[#This Row],[Top '[mLAT']]]),"")</f>
        <v/>
      </c>
      <c r="J52" s="85" t="str">
        <f t="shared" si="3"/>
        <v/>
      </c>
      <c r="K52" s="85" t="str">
        <f>IFERROR((MP_DATA[[#This Row],[D, bottom '[m']]]+MP_DATA[[#This Row],[D, top '[m']]])/(2*MP_DATA[[#This Row],[t '[mm']]]/1000),"")</f>
        <v/>
      </c>
      <c r="L52" s="85"/>
      <c r="AW52" s="85" t="str">
        <f>IFERROR(TP_DATA[[#This Row],[Bottom '[mLAT']]]-TP_DATA[[#This Row],[D, top '[m']]], "")</f>
        <v/>
      </c>
      <c r="AX52" s="85" t="str">
        <f>IFERROR(-(TP_DATA[[#This Row],[D, bottom '[m']]]-TP_DATA[[#This Row],[D, top '[m']]])/(TP_DATA[[#This Row],[Bottom '[mLAT']]]-TP_DATA[[#This Row],[Top '[mLAT']]]),"")</f>
        <v/>
      </c>
      <c r="AY52" s="85" t="str">
        <f t="shared" si="1"/>
        <v/>
      </c>
      <c r="AZ52" s="85" t="str">
        <f>IFERROR((TP_DATA[[#This Row],[D, bottom '[m']]]+TP_DATA[[#This Row],[D, top '[m']]])/(2*TP_DATA[[#This Row],[t '[mm']]]/1000),"")</f>
        <v/>
      </c>
      <c r="BA52" s="85"/>
      <c r="CM52" s="85" t="str">
        <f>IFERROR(TOWER_DATA[[#This Row],[Bottom '[mLAT']]]-TOWER_DATA[[#This Row],[D, top '[m']]], "")</f>
        <v/>
      </c>
      <c r="CN52" s="85" t="str">
        <f>IFERROR(-(TOWER_DATA[[#This Row],[D, bottom '[m']]]-TOWER_DATA[[#This Row],[D, top '[m']]])/(TOWER_DATA[[#This Row],[Bottom '[mLAT']]]-TOWER_DATA[[#This Row],[Top '[mLAT']]]),"")</f>
        <v/>
      </c>
      <c r="CO52" s="85" t="str">
        <f t="shared" si="2"/>
        <v/>
      </c>
      <c r="CP52" s="85" t="str">
        <f>IFERROR((TOWER_DATA[[#This Row],[D, bottom '[m']]]+TOWER_DATA[[#This Row],[D, top '[m']]])/(2*TOWER_DATA[[#This Row],[t '[mm']]]/1000),"")</f>
        <v/>
      </c>
      <c r="CQ52" s="85"/>
    </row>
    <row r="53" spans="8:95" x14ac:dyDescent="0.3">
      <c r="H53" s="85" t="str">
        <f>IFERROR(MP_DATA[[#This Row],[Bottom '[mLAT']]]-MP_DATA[[#This Row],[D, top '[m']]], "")</f>
        <v/>
      </c>
      <c r="I53" s="85" t="str">
        <f>IFERROR(-(MP_DATA[[#This Row],[D, bottom '[m']]]-MP_DATA[[#This Row],[D, top '[m']]])/(MP_DATA[[#This Row],[Bottom '[mLAT']]]-MP_DATA[[#This Row],[Top '[mLAT']]]),"")</f>
        <v/>
      </c>
      <c r="J53" s="85" t="str">
        <f t="shared" si="3"/>
        <v/>
      </c>
      <c r="K53" s="85" t="str">
        <f>IFERROR((MP_DATA[[#This Row],[D, bottom '[m']]]+MP_DATA[[#This Row],[D, top '[m']]])/(2*MP_DATA[[#This Row],[t '[mm']]]/1000),"")</f>
        <v/>
      </c>
      <c r="L53" s="85"/>
      <c r="AW53" s="85" t="str">
        <f>IFERROR(TP_DATA[[#This Row],[Bottom '[mLAT']]]-TP_DATA[[#This Row],[D, top '[m']]], "")</f>
        <v/>
      </c>
      <c r="AX53" s="85" t="str">
        <f>IFERROR(-(TP_DATA[[#This Row],[D, bottom '[m']]]-TP_DATA[[#This Row],[D, top '[m']]])/(TP_DATA[[#This Row],[Bottom '[mLAT']]]-TP_DATA[[#This Row],[Top '[mLAT']]]),"")</f>
        <v/>
      </c>
      <c r="AY53" s="85" t="str">
        <f t="shared" si="1"/>
        <v/>
      </c>
      <c r="AZ53" s="85" t="str">
        <f>IFERROR((TP_DATA[[#This Row],[D, bottom '[m']]]+TP_DATA[[#This Row],[D, top '[m']]])/(2*TP_DATA[[#This Row],[t '[mm']]]/1000),"")</f>
        <v/>
      </c>
      <c r="BA53" s="85"/>
      <c r="CM53" s="85" t="str">
        <f>IFERROR(TOWER_DATA[[#This Row],[Bottom '[mLAT']]]-TOWER_DATA[[#This Row],[D, top '[m']]], "")</f>
        <v/>
      </c>
      <c r="CN53" s="85" t="str">
        <f>IFERROR(-(TOWER_DATA[[#This Row],[D, bottom '[m']]]-TOWER_DATA[[#This Row],[D, top '[m']]])/(TOWER_DATA[[#This Row],[Bottom '[mLAT']]]-TOWER_DATA[[#This Row],[Top '[mLAT']]]),"")</f>
        <v/>
      </c>
      <c r="CO53" s="85" t="str">
        <f t="shared" si="2"/>
        <v/>
      </c>
      <c r="CP53" s="85" t="str">
        <f>IFERROR((TOWER_DATA[[#This Row],[D, bottom '[m']]]+TOWER_DATA[[#This Row],[D, top '[m']]])/(2*TOWER_DATA[[#This Row],[t '[mm']]]/1000),"")</f>
        <v/>
      </c>
      <c r="CQ53" s="85"/>
    </row>
    <row r="54" spans="8:95" x14ac:dyDescent="0.3">
      <c r="H54" s="85" t="str">
        <f>IFERROR(MP_DATA[[#This Row],[Bottom '[mLAT']]]-MP_DATA[[#This Row],[D, top '[m']]], "")</f>
        <v/>
      </c>
      <c r="I54" s="85" t="str">
        <f>IFERROR(-(MP_DATA[[#This Row],[D, bottom '[m']]]-MP_DATA[[#This Row],[D, top '[m']]])/(MP_DATA[[#This Row],[Bottom '[mLAT']]]-MP_DATA[[#This Row],[Top '[mLAT']]]),"")</f>
        <v/>
      </c>
      <c r="J54" s="85" t="str">
        <f t="shared" si="3"/>
        <v/>
      </c>
      <c r="K54" s="85" t="str">
        <f>IFERROR((MP_DATA[[#This Row],[D, bottom '[m']]]+MP_DATA[[#This Row],[D, top '[m']]])/(2*MP_DATA[[#This Row],[t '[mm']]]/1000),"")</f>
        <v/>
      </c>
      <c r="L54" s="85"/>
      <c r="AW54" s="85" t="str">
        <f>IFERROR(TP_DATA[[#This Row],[Bottom '[mLAT']]]-TP_DATA[[#This Row],[D, top '[m']]], "")</f>
        <v/>
      </c>
      <c r="AX54" s="85" t="str">
        <f>IFERROR(-(TP_DATA[[#This Row],[D, bottom '[m']]]-TP_DATA[[#This Row],[D, top '[m']]])/(TP_DATA[[#This Row],[Bottom '[mLAT']]]-TP_DATA[[#This Row],[Top '[mLAT']]]),"")</f>
        <v/>
      </c>
      <c r="AY54" s="85" t="str">
        <f t="shared" si="1"/>
        <v/>
      </c>
      <c r="AZ54" s="85" t="str">
        <f>IFERROR((TP_DATA[[#This Row],[D, bottom '[m']]]+TP_DATA[[#This Row],[D, top '[m']]])/(2*TP_DATA[[#This Row],[t '[mm']]]/1000),"")</f>
        <v/>
      </c>
      <c r="BA54" s="85"/>
      <c r="CM54" s="85" t="str">
        <f>IFERROR(TOWER_DATA[[#This Row],[Bottom '[mLAT']]]-TOWER_DATA[[#This Row],[D, top '[m']]], "")</f>
        <v/>
      </c>
      <c r="CN54" s="85" t="str">
        <f>IFERROR(-(TOWER_DATA[[#This Row],[D, bottom '[m']]]-TOWER_DATA[[#This Row],[D, top '[m']]])/(TOWER_DATA[[#This Row],[Bottom '[mLAT']]]-TOWER_DATA[[#This Row],[Top '[mLAT']]]),"")</f>
        <v/>
      </c>
      <c r="CO54" s="85" t="str">
        <f t="shared" si="2"/>
        <v/>
      </c>
      <c r="CP54" s="85" t="str">
        <f>IFERROR((TOWER_DATA[[#This Row],[D, bottom '[m']]]+TOWER_DATA[[#This Row],[D, top '[m']]])/(2*TOWER_DATA[[#This Row],[t '[mm']]]/1000),"")</f>
        <v/>
      </c>
      <c r="CQ54" s="85"/>
    </row>
    <row r="55" spans="8:95" x14ac:dyDescent="0.3">
      <c r="H55" s="85" t="str">
        <f>IFERROR(MP_DATA[[#This Row],[Bottom '[mLAT']]]-MP_DATA[[#This Row],[D, top '[m']]], "")</f>
        <v/>
      </c>
      <c r="I55" s="85" t="str">
        <f>IFERROR(-(MP_DATA[[#This Row],[D, bottom '[m']]]-MP_DATA[[#This Row],[D, top '[m']]])/(MP_DATA[[#This Row],[Bottom '[mLAT']]]-MP_DATA[[#This Row],[Top '[mLAT']]]),"")</f>
        <v/>
      </c>
      <c r="J55" s="85" t="str">
        <f t="shared" si="3"/>
        <v/>
      </c>
      <c r="K55" s="85" t="str">
        <f>IFERROR((MP_DATA[[#This Row],[D, bottom '[m']]]+MP_DATA[[#This Row],[D, top '[m']]])/(2*MP_DATA[[#This Row],[t '[mm']]]/1000),"")</f>
        <v/>
      </c>
      <c r="L55" s="85"/>
      <c r="AW55" s="85" t="str">
        <f>IFERROR(TP_DATA[[#This Row],[Bottom '[mLAT']]]-TP_DATA[[#This Row],[D, top '[m']]], "")</f>
        <v/>
      </c>
      <c r="AX55" s="85" t="str">
        <f>IFERROR(-(TP_DATA[[#This Row],[D, bottom '[m']]]-TP_DATA[[#This Row],[D, top '[m']]])/(TP_DATA[[#This Row],[Bottom '[mLAT']]]-TP_DATA[[#This Row],[Top '[mLAT']]]),"")</f>
        <v/>
      </c>
      <c r="AY55" s="85" t="str">
        <f t="shared" si="1"/>
        <v/>
      </c>
      <c r="AZ55" s="85" t="str">
        <f>IFERROR((TP_DATA[[#This Row],[D, bottom '[m']]]+TP_DATA[[#This Row],[D, top '[m']]])/(2*TP_DATA[[#This Row],[t '[mm']]]/1000),"")</f>
        <v/>
      </c>
      <c r="BA55" s="85"/>
      <c r="CM55" s="85" t="str">
        <f>IFERROR(TOWER_DATA[[#This Row],[Bottom '[mLAT']]]-TOWER_DATA[[#This Row],[D, top '[m']]], "")</f>
        <v/>
      </c>
      <c r="CN55" s="85" t="str">
        <f>IFERROR(-(TOWER_DATA[[#This Row],[D, bottom '[m']]]-TOWER_DATA[[#This Row],[D, top '[m']]])/(TOWER_DATA[[#This Row],[Bottom '[mLAT']]]-TOWER_DATA[[#This Row],[Top '[mLAT']]]),"")</f>
        <v/>
      </c>
      <c r="CO55" s="85" t="str">
        <f t="shared" si="2"/>
        <v/>
      </c>
      <c r="CP55" s="85" t="str">
        <f>IFERROR((TOWER_DATA[[#This Row],[D, bottom '[m']]]+TOWER_DATA[[#This Row],[D, top '[m']]])/(2*TOWER_DATA[[#This Row],[t '[mm']]]/1000),"")</f>
        <v/>
      </c>
      <c r="CQ55" s="85"/>
    </row>
    <row r="56" spans="8:95" x14ac:dyDescent="0.3">
      <c r="H56" s="85" t="str">
        <f>IFERROR(MP_DATA[[#This Row],[Bottom '[mLAT']]]-MP_DATA[[#This Row],[D, top '[m']]], "")</f>
        <v/>
      </c>
      <c r="I56" s="85" t="str">
        <f>IFERROR(-(MP_DATA[[#This Row],[D, bottom '[m']]]-MP_DATA[[#This Row],[D, top '[m']]])/(MP_DATA[[#This Row],[Bottom '[mLAT']]]-MP_DATA[[#This Row],[Top '[mLAT']]]),"")</f>
        <v/>
      </c>
      <c r="J56" s="85" t="str">
        <f t="shared" si="3"/>
        <v/>
      </c>
      <c r="K56" s="85" t="str">
        <f>IFERROR((MP_DATA[[#This Row],[D, bottom '[m']]]+MP_DATA[[#This Row],[D, top '[m']]])/(2*MP_DATA[[#This Row],[t '[mm']]]/1000),"")</f>
        <v/>
      </c>
      <c r="L56" s="85"/>
      <c r="AW56" s="85" t="str">
        <f>IFERROR(TP_DATA[[#This Row],[Bottom '[mLAT']]]-TP_DATA[[#This Row],[D, top '[m']]], "")</f>
        <v/>
      </c>
      <c r="AX56" s="85" t="str">
        <f>IFERROR(-(TP_DATA[[#This Row],[D, bottom '[m']]]-TP_DATA[[#This Row],[D, top '[m']]])/(TP_DATA[[#This Row],[Bottom '[mLAT']]]-TP_DATA[[#This Row],[Top '[mLAT']]]),"")</f>
        <v/>
      </c>
      <c r="AY56" s="85" t="str">
        <f t="shared" si="1"/>
        <v/>
      </c>
      <c r="AZ56" s="85" t="str">
        <f>IFERROR((TP_DATA[[#This Row],[D, bottom '[m']]]+TP_DATA[[#This Row],[D, top '[m']]])/(2*TP_DATA[[#This Row],[t '[mm']]]/1000),"")</f>
        <v/>
      </c>
      <c r="BA56" s="85"/>
      <c r="CM56" s="85" t="str">
        <f>IFERROR(TOWER_DATA[[#This Row],[Bottom '[mLAT']]]-TOWER_DATA[[#This Row],[D, top '[m']]], "")</f>
        <v/>
      </c>
      <c r="CN56" s="85" t="str">
        <f>IFERROR(-(TOWER_DATA[[#This Row],[D, bottom '[m']]]-TOWER_DATA[[#This Row],[D, top '[m']]])/(TOWER_DATA[[#This Row],[Bottom '[mLAT']]]-TOWER_DATA[[#This Row],[Top '[mLAT']]]),"")</f>
        <v/>
      </c>
      <c r="CO56" s="85" t="str">
        <f t="shared" si="2"/>
        <v/>
      </c>
      <c r="CP56" s="85" t="str">
        <f>IFERROR((TOWER_DATA[[#This Row],[D, bottom '[m']]]+TOWER_DATA[[#This Row],[D, top '[m']]])/(2*TOWER_DATA[[#This Row],[t '[mm']]]/1000),"")</f>
        <v/>
      </c>
      <c r="CQ56" s="85"/>
    </row>
    <row r="57" spans="8:95" x14ac:dyDescent="0.3">
      <c r="H57" s="85" t="str">
        <f>IFERROR(MP_DATA[[#This Row],[Bottom '[mLAT']]]-MP_DATA[[#This Row],[D, top '[m']]], "")</f>
        <v/>
      </c>
      <c r="I57" s="85" t="str">
        <f>IFERROR(-(MP_DATA[[#This Row],[D, bottom '[m']]]-MP_DATA[[#This Row],[D, top '[m']]])/(MP_DATA[[#This Row],[Bottom '[mLAT']]]-MP_DATA[[#This Row],[Top '[mLAT']]]),"")</f>
        <v/>
      </c>
      <c r="J57" s="85" t="str">
        <f t="shared" si="3"/>
        <v/>
      </c>
      <c r="K57" s="85" t="str">
        <f>IFERROR((MP_DATA[[#This Row],[D, bottom '[m']]]+MP_DATA[[#This Row],[D, top '[m']]])/(2*MP_DATA[[#This Row],[t '[mm']]]/1000),"")</f>
        <v/>
      </c>
      <c r="L57" s="85"/>
      <c r="AW57" s="85" t="str">
        <f>IFERROR(TP_DATA[[#This Row],[Bottom '[mLAT']]]-TP_DATA[[#This Row],[D, top '[m']]], "")</f>
        <v/>
      </c>
      <c r="AX57" s="85" t="str">
        <f>IFERROR(-(TP_DATA[[#This Row],[D, bottom '[m']]]-TP_DATA[[#This Row],[D, top '[m']]])/(TP_DATA[[#This Row],[Bottom '[mLAT']]]-TP_DATA[[#This Row],[Top '[mLAT']]]),"")</f>
        <v/>
      </c>
      <c r="AY57" s="85" t="str">
        <f t="shared" si="1"/>
        <v/>
      </c>
      <c r="AZ57" s="85" t="str">
        <f>IFERROR((TP_DATA[[#This Row],[D, bottom '[m']]]+TP_DATA[[#This Row],[D, top '[m']]])/(2*TP_DATA[[#This Row],[t '[mm']]]/1000),"")</f>
        <v/>
      </c>
      <c r="BA57" s="85"/>
      <c r="CM57" s="85" t="str">
        <f>IFERROR(TOWER_DATA[[#This Row],[Bottom '[mLAT']]]-TOWER_DATA[[#This Row],[D, top '[m']]], "")</f>
        <v/>
      </c>
      <c r="CN57" s="85" t="str">
        <f>IFERROR(-(TOWER_DATA[[#This Row],[D, bottom '[m']]]-TOWER_DATA[[#This Row],[D, top '[m']]])/(TOWER_DATA[[#This Row],[Bottom '[mLAT']]]-TOWER_DATA[[#This Row],[Top '[mLAT']]]),"")</f>
        <v/>
      </c>
      <c r="CO57" s="85" t="str">
        <f t="shared" si="2"/>
        <v/>
      </c>
      <c r="CP57" s="85" t="str">
        <f>IFERROR((TOWER_DATA[[#This Row],[D, bottom '[m']]]+TOWER_DATA[[#This Row],[D, top '[m']]])/(2*TOWER_DATA[[#This Row],[t '[mm']]]/1000),"")</f>
        <v/>
      </c>
      <c r="CQ57" s="85"/>
    </row>
    <row r="58" spans="8:95" x14ac:dyDescent="0.3">
      <c r="H58" s="85" t="str">
        <f>IFERROR(MP_DATA[[#This Row],[Bottom '[mLAT']]]-MP_DATA[[#This Row],[D, top '[m']]], "")</f>
        <v/>
      </c>
      <c r="I58" s="85" t="str">
        <f>IFERROR(-(MP_DATA[[#This Row],[D, bottom '[m']]]-MP_DATA[[#This Row],[D, top '[m']]])/(MP_DATA[[#This Row],[Bottom '[mLAT']]]-MP_DATA[[#This Row],[Top '[mLAT']]]),"")</f>
        <v/>
      </c>
      <c r="J58" s="85" t="str">
        <f t="shared" si="3"/>
        <v/>
      </c>
      <c r="K58" s="85" t="str">
        <f>IFERROR((MP_DATA[[#This Row],[D, bottom '[m']]]+MP_DATA[[#This Row],[D, top '[m']]])/(2*MP_DATA[[#This Row],[t '[mm']]]/1000),"")</f>
        <v/>
      </c>
      <c r="L58" s="85"/>
      <c r="AW58" s="85" t="str">
        <f>IFERROR(TP_DATA[[#This Row],[Bottom '[mLAT']]]-TP_DATA[[#This Row],[D, top '[m']]], "")</f>
        <v/>
      </c>
      <c r="AX58" s="85" t="str">
        <f>IFERROR(-(TP_DATA[[#This Row],[D, bottom '[m']]]-TP_DATA[[#This Row],[D, top '[m']]])/(TP_DATA[[#This Row],[Bottom '[mLAT']]]-TP_DATA[[#This Row],[Top '[mLAT']]]),"")</f>
        <v/>
      </c>
      <c r="AY58" s="85" t="str">
        <f t="shared" si="1"/>
        <v/>
      </c>
      <c r="AZ58" s="85" t="str">
        <f>IFERROR((TP_DATA[[#This Row],[D, bottom '[m']]]+TP_DATA[[#This Row],[D, top '[m']]])/(2*TP_DATA[[#This Row],[t '[mm']]]/1000),"")</f>
        <v/>
      </c>
      <c r="BA58" s="85"/>
      <c r="CM58" s="85" t="str">
        <f>IFERROR(TOWER_DATA[[#This Row],[Bottom '[mLAT']]]-TOWER_DATA[[#This Row],[D, top '[m']]], "")</f>
        <v/>
      </c>
      <c r="CN58" s="85" t="str">
        <f>IFERROR(-(TOWER_DATA[[#This Row],[D, bottom '[m']]]-TOWER_DATA[[#This Row],[D, top '[m']]])/(TOWER_DATA[[#This Row],[Bottom '[mLAT']]]-TOWER_DATA[[#This Row],[Top '[mLAT']]]),"")</f>
        <v/>
      </c>
      <c r="CO58" s="85" t="str">
        <f t="shared" si="2"/>
        <v/>
      </c>
      <c r="CP58" s="85" t="str">
        <f>IFERROR((TOWER_DATA[[#This Row],[D, bottom '[m']]]+TOWER_DATA[[#This Row],[D, top '[m']]])/(2*TOWER_DATA[[#This Row],[t '[mm']]]/1000),"")</f>
        <v/>
      </c>
      <c r="CQ58" s="85"/>
    </row>
    <row r="59" spans="8:95" x14ac:dyDescent="0.3">
      <c r="H59" s="85" t="str">
        <f>IFERROR(MP_DATA[[#This Row],[Bottom '[mLAT']]]-MP_DATA[[#This Row],[D, top '[m']]], "")</f>
        <v/>
      </c>
      <c r="I59" s="85" t="str">
        <f>IFERROR(-(MP_DATA[[#This Row],[D, bottom '[m']]]-MP_DATA[[#This Row],[D, top '[m']]])/(MP_DATA[[#This Row],[Bottom '[mLAT']]]-MP_DATA[[#This Row],[Top '[mLAT']]]),"")</f>
        <v/>
      </c>
      <c r="J59" s="85" t="str">
        <f t="shared" si="3"/>
        <v/>
      </c>
      <c r="K59" s="85" t="str">
        <f>IFERROR((MP_DATA[[#This Row],[D, bottom '[m']]]+MP_DATA[[#This Row],[D, top '[m']]])/(2*MP_DATA[[#This Row],[t '[mm']]]/1000),"")</f>
        <v/>
      </c>
      <c r="L59" s="85"/>
      <c r="AW59" s="85" t="str">
        <f>IFERROR(TP_DATA[[#This Row],[Bottom '[mLAT']]]-TP_DATA[[#This Row],[D, top '[m']]], "")</f>
        <v/>
      </c>
      <c r="AX59" s="85" t="str">
        <f>IFERROR(-(TP_DATA[[#This Row],[D, bottom '[m']]]-TP_DATA[[#This Row],[D, top '[m']]])/(TP_DATA[[#This Row],[Bottom '[mLAT']]]-TP_DATA[[#This Row],[Top '[mLAT']]]),"")</f>
        <v/>
      </c>
      <c r="AY59" s="85" t="str">
        <f t="shared" si="1"/>
        <v/>
      </c>
      <c r="AZ59" s="85" t="str">
        <f>IFERROR((TP_DATA[[#This Row],[D, bottom '[m']]]+TP_DATA[[#This Row],[D, top '[m']]])/(2*TP_DATA[[#This Row],[t '[mm']]]/1000),"")</f>
        <v/>
      </c>
      <c r="BA59" s="85"/>
      <c r="CM59" s="85" t="str">
        <f>IFERROR(TOWER_DATA[[#This Row],[Bottom '[mLAT']]]-TOWER_DATA[[#This Row],[D, top '[m']]], "")</f>
        <v/>
      </c>
      <c r="CN59" s="85" t="str">
        <f>IFERROR(-(TOWER_DATA[[#This Row],[D, bottom '[m']]]-TOWER_DATA[[#This Row],[D, top '[m']]])/(TOWER_DATA[[#This Row],[Bottom '[mLAT']]]-TOWER_DATA[[#This Row],[Top '[mLAT']]]),"")</f>
        <v/>
      </c>
      <c r="CO59" s="85" t="str">
        <f t="shared" si="2"/>
        <v/>
      </c>
      <c r="CP59" s="85" t="str">
        <f>IFERROR((TOWER_DATA[[#This Row],[D, bottom '[m']]]+TOWER_DATA[[#This Row],[D, top '[m']]])/(2*TOWER_DATA[[#This Row],[t '[mm']]]/1000),"")</f>
        <v/>
      </c>
      <c r="CQ59" s="85"/>
    </row>
    <row r="60" spans="8:95" x14ac:dyDescent="0.3">
      <c r="H60" s="85" t="str">
        <f>IFERROR(MP_DATA[[#This Row],[Bottom '[mLAT']]]-MP_DATA[[#This Row],[D, top '[m']]], "")</f>
        <v/>
      </c>
      <c r="I60" s="85" t="str">
        <f>IFERROR(-(MP_DATA[[#This Row],[D, bottom '[m']]]-MP_DATA[[#This Row],[D, top '[m']]])/(MP_DATA[[#This Row],[Bottom '[mLAT']]]-MP_DATA[[#This Row],[Top '[mLAT']]]),"")</f>
        <v/>
      </c>
      <c r="J60" s="85" t="str">
        <f t="shared" si="3"/>
        <v/>
      </c>
      <c r="K60" s="85" t="str">
        <f>IFERROR((MP_DATA[[#This Row],[D, bottom '[m']]]+MP_DATA[[#This Row],[D, top '[m']]])/(2*MP_DATA[[#This Row],[t '[mm']]]/1000),"")</f>
        <v/>
      </c>
      <c r="L60" s="85" t="str">
        <f>IFERROR((MP_DATA[[#This Row],[D, bottom '[m']]]+#REF!)/(2*#REF!/1000),"")</f>
        <v/>
      </c>
      <c r="AW60" s="85" t="str">
        <f>IFERROR(TP_DATA[[#This Row],[Bottom '[mLAT']]]-TP_DATA[[#This Row],[D, top '[m']]], "")</f>
        <v/>
      </c>
      <c r="AX60" s="85" t="str">
        <f>IFERROR(-(TP_DATA[[#This Row],[D, bottom '[m']]]-TP_DATA[[#This Row],[D, top '[m']]])/(TP_DATA[[#This Row],[Bottom '[mLAT']]]-TP_DATA[[#This Row],[Top '[mLAT']]]),"")</f>
        <v/>
      </c>
      <c r="AY60" s="85" t="str">
        <f t="shared" si="1"/>
        <v/>
      </c>
      <c r="AZ60" s="85" t="str">
        <f>IFERROR((TP_DATA[[#This Row],[D, bottom '[m']]]+TP_DATA[[#This Row],[D, top '[m']]])/(2*TP_DATA[[#This Row],[t '[mm']]]/1000),"")</f>
        <v/>
      </c>
      <c r="BA60" s="85" t="str">
        <f>IFERROR((TP_DATA[[#This Row],[D, bottom '[m']]]+#REF!)/(2*#REF!/1000),"")</f>
        <v/>
      </c>
      <c r="CM60" s="85" t="str">
        <f>IFERROR(TOWER_DATA[[#This Row],[Bottom '[mLAT']]]-TOWER_DATA[[#This Row],[D, top '[m']]], "")</f>
        <v/>
      </c>
      <c r="CN60" s="85" t="str">
        <f>IFERROR(-(TOWER_DATA[[#This Row],[D, bottom '[m']]]-TOWER_DATA[[#This Row],[D, top '[m']]])/(TOWER_DATA[[#This Row],[Bottom '[mLAT']]]-TOWER_DATA[[#This Row],[Top '[mLAT']]]),"")</f>
        <v/>
      </c>
      <c r="CO60" s="85" t="str">
        <f t="shared" si="2"/>
        <v/>
      </c>
      <c r="CP60" s="85" t="str">
        <f>IFERROR((TOWER_DATA[[#This Row],[D, bottom '[m']]]+TOWER_DATA[[#This Row],[D, top '[m']]])/(2*TOWER_DATA[[#This Row],[t '[mm']]]/1000),"")</f>
        <v/>
      </c>
      <c r="CQ60" s="85" t="str">
        <f>IFERROR((TOWER_DATA[[#This Row],[D, bottom '[m']]]+#REF!)/(2*#REF!/1000),"")</f>
        <v/>
      </c>
    </row>
    <row r="61" spans="8:95" x14ac:dyDescent="0.3">
      <c r="H61" s="85" t="str">
        <f>IFERROR(MP_DATA[[#This Row],[Bottom '[mLAT']]]-MP_DATA[[#This Row],[D, top '[m']]], "")</f>
        <v/>
      </c>
      <c r="I61" s="85" t="str">
        <f>IFERROR(-(MP_DATA[[#This Row],[D, bottom '[m']]]-MP_DATA[[#This Row],[D, top '[m']]])/(MP_DATA[[#This Row],[Bottom '[mLAT']]]-MP_DATA[[#This Row],[Top '[mLAT']]]),"")</f>
        <v/>
      </c>
      <c r="J61" s="85" t="str">
        <f t="shared" si="3"/>
        <v/>
      </c>
      <c r="K61" s="85" t="str">
        <f>IFERROR((MP_DATA[[#This Row],[D, bottom '[m']]]+MP_DATA[[#This Row],[D, top '[m']]])/(2*MP_DATA[[#This Row],[t '[mm']]]/1000),"")</f>
        <v/>
      </c>
      <c r="L61" s="85" t="str">
        <f>IFERROR((MP_DATA[[#This Row],[D, bottom '[m']]]+#REF!)/(2*#REF!/1000),"")</f>
        <v/>
      </c>
      <c r="AW61" s="85" t="str">
        <f>IFERROR(TP_DATA[[#This Row],[Bottom '[mLAT']]]-TP_DATA[[#This Row],[D, top '[m']]], "")</f>
        <v/>
      </c>
      <c r="AX61" s="85" t="str">
        <f>IFERROR(-(TP_DATA[[#This Row],[D, bottom '[m']]]-TP_DATA[[#This Row],[D, top '[m']]])/(TP_DATA[[#This Row],[Bottom '[mLAT']]]-TP_DATA[[#This Row],[Top '[mLAT']]]),"")</f>
        <v/>
      </c>
      <c r="AY61" s="85" t="str">
        <f t="shared" si="1"/>
        <v/>
      </c>
      <c r="AZ61" s="85" t="str">
        <f>IFERROR((TP_DATA[[#This Row],[D, bottom '[m']]]+TP_DATA[[#This Row],[D, top '[m']]])/(2*TP_DATA[[#This Row],[t '[mm']]]/1000),"")</f>
        <v/>
      </c>
      <c r="BA61" s="85" t="str">
        <f>IFERROR((TP_DATA[[#This Row],[D, bottom '[m']]]+#REF!)/(2*#REF!/1000),"")</f>
        <v/>
      </c>
      <c r="CM61" s="85" t="str">
        <f>IFERROR(TOWER_DATA[[#This Row],[Bottom '[mLAT']]]-TOWER_DATA[[#This Row],[D, top '[m']]], "")</f>
        <v/>
      </c>
      <c r="CN61" s="85" t="str">
        <f>IFERROR(-(TOWER_DATA[[#This Row],[D, bottom '[m']]]-TOWER_DATA[[#This Row],[D, top '[m']]])/(TOWER_DATA[[#This Row],[Bottom '[mLAT']]]-TOWER_DATA[[#This Row],[Top '[mLAT']]]),"")</f>
        <v/>
      </c>
      <c r="CO61" s="85" t="str">
        <f t="shared" si="2"/>
        <v/>
      </c>
      <c r="CP61" s="85" t="str">
        <f>IFERROR((TOWER_DATA[[#This Row],[D, bottom '[m']]]+TOWER_DATA[[#This Row],[D, top '[m']]])/(2*TOWER_DATA[[#This Row],[t '[mm']]]/1000),"")</f>
        <v/>
      </c>
      <c r="CQ61" s="85" t="str">
        <f>IFERROR((TOWER_DATA[[#This Row],[D, bottom '[m']]]+#REF!)/(2*#REF!/1000),"")</f>
        <v/>
      </c>
    </row>
    <row r="62" spans="8:95" x14ac:dyDescent="0.3">
      <c r="H62" s="85" t="str">
        <f>IFERROR(MP_DATA[[#This Row],[Bottom '[mLAT']]]-MP_DATA[[#This Row],[D, top '[m']]], "")</f>
        <v/>
      </c>
      <c r="I62" s="85" t="str">
        <f>IFERROR(-(MP_DATA[[#This Row],[D, bottom '[m']]]-MP_DATA[[#This Row],[D, top '[m']]])/(MP_DATA[[#This Row],[Bottom '[mLAT']]]-MP_DATA[[#This Row],[Top '[mLAT']]]),"")</f>
        <v/>
      </c>
      <c r="J62" s="85" t="str">
        <f t="shared" si="3"/>
        <v/>
      </c>
      <c r="K62" s="85" t="str">
        <f>IFERROR((MP_DATA[[#This Row],[D, bottom '[m']]]+MP_DATA[[#This Row],[D, top '[m']]])/(2*MP_DATA[[#This Row],[t '[mm']]]/1000),"")</f>
        <v/>
      </c>
      <c r="L62" s="85" t="str">
        <f>IFERROR((MP_DATA[[#This Row],[D, bottom '[m']]]+#REF!)/(2*#REF!/1000),"")</f>
        <v/>
      </c>
      <c r="AW62" s="85" t="str">
        <f>IFERROR(TP_DATA[[#This Row],[Bottom '[mLAT']]]-TP_DATA[[#This Row],[D, top '[m']]], "")</f>
        <v/>
      </c>
      <c r="AX62" s="85" t="str">
        <f>IFERROR(-(TP_DATA[[#This Row],[D, bottom '[m']]]-TP_DATA[[#This Row],[D, top '[m']]])/(TP_DATA[[#This Row],[Bottom '[mLAT']]]-TP_DATA[[#This Row],[Top '[mLAT']]]),"")</f>
        <v/>
      </c>
      <c r="AY62" s="85" t="str">
        <f t="shared" si="1"/>
        <v/>
      </c>
      <c r="AZ62" s="85" t="str">
        <f>IFERROR((TP_DATA[[#This Row],[D, bottom '[m']]]+TP_DATA[[#This Row],[D, top '[m']]])/(2*TP_DATA[[#This Row],[t '[mm']]]/1000),"")</f>
        <v/>
      </c>
      <c r="BA62" s="85" t="str">
        <f>IFERROR((TP_DATA[[#This Row],[D, bottom '[m']]]+#REF!)/(2*#REF!/1000),"")</f>
        <v/>
      </c>
      <c r="CM62" s="85" t="str">
        <f>IFERROR(TOWER_DATA[[#This Row],[Bottom '[mLAT']]]-TOWER_DATA[[#This Row],[D, top '[m']]], "")</f>
        <v/>
      </c>
      <c r="CN62" s="85" t="str">
        <f>IFERROR(-(TOWER_DATA[[#This Row],[D, bottom '[m']]]-TOWER_DATA[[#This Row],[D, top '[m']]])/(TOWER_DATA[[#This Row],[Bottom '[mLAT']]]-TOWER_DATA[[#This Row],[Top '[mLAT']]]),"")</f>
        <v/>
      </c>
      <c r="CO62" s="85" t="str">
        <f t="shared" si="2"/>
        <v/>
      </c>
      <c r="CP62" s="85" t="str">
        <f>IFERROR((TOWER_DATA[[#This Row],[D, bottom '[m']]]+TOWER_DATA[[#This Row],[D, top '[m']]])/(2*TOWER_DATA[[#This Row],[t '[mm']]]/1000),"")</f>
        <v/>
      </c>
      <c r="CQ62" s="85" t="str">
        <f>IFERROR((TOWER_DATA[[#This Row],[D, bottom '[m']]]+#REF!)/(2*#REF!/1000),"")</f>
        <v/>
      </c>
    </row>
    <row r="63" spans="8:95" x14ac:dyDescent="0.3">
      <c r="H63" s="85" t="str">
        <f>IFERROR(MP_DATA[[#This Row],[Bottom '[mLAT']]]-MP_DATA[[#This Row],[D, top '[m']]], "")</f>
        <v/>
      </c>
      <c r="I63" s="85" t="str">
        <f>IFERROR(-(MP_DATA[[#This Row],[D, bottom '[m']]]-MP_DATA[[#This Row],[D, top '[m']]])/(MP_DATA[[#This Row],[Bottom '[mLAT']]]-MP_DATA[[#This Row],[Top '[mLAT']]]),"")</f>
        <v/>
      </c>
      <c r="J63" s="85" t="str">
        <f t="shared" si="3"/>
        <v/>
      </c>
      <c r="K63" s="85" t="str">
        <f>IFERROR((MP_DATA[[#This Row],[D, bottom '[m']]]+MP_DATA[[#This Row],[D, top '[m']]])/(2*MP_DATA[[#This Row],[t '[mm']]]/1000),"")</f>
        <v/>
      </c>
      <c r="L63" s="85" t="str">
        <f>IFERROR((MP_DATA[[#This Row],[D, bottom '[m']]]+#REF!)/(2*#REF!/1000),"")</f>
        <v/>
      </c>
      <c r="AW63" s="85" t="str">
        <f>IFERROR(TP_DATA[[#This Row],[Bottom '[mLAT']]]-TP_DATA[[#This Row],[D, top '[m']]], "")</f>
        <v/>
      </c>
      <c r="AX63" s="85" t="str">
        <f>IFERROR(-(TP_DATA[[#This Row],[D, bottom '[m']]]-TP_DATA[[#This Row],[D, top '[m']]])/(TP_DATA[[#This Row],[Bottom '[mLAT']]]-TP_DATA[[#This Row],[Top '[mLAT']]]),"")</f>
        <v/>
      </c>
      <c r="AY63" s="85" t="str">
        <f t="shared" si="1"/>
        <v/>
      </c>
      <c r="AZ63" s="85" t="str">
        <f>IFERROR((TP_DATA[[#This Row],[D, bottom '[m']]]+TP_DATA[[#This Row],[D, top '[m']]])/(2*TP_DATA[[#This Row],[t '[mm']]]/1000),"")</f>
        <v/>
      </c>
      <c r="BA63" s="85" t="str">
        <f>IFERROR((TP_DATA[[#This Row],[D, bottom '[m']]]+#REF!)/(2*#REF!/1000),"")</f>
        <v/>
      </c>
      <c r="CM63" s="85" t="str">
        <f>IFERROR(TOWER_DATA[[#This Row],[Bottom '[mLAT']]]-TOWER_DATA[[#This Row],[D, top '[m']]], "")</f>
        <v/>
      </c>
      <c r="CN63" s="85" t="str">
        <f>IFERROR(-(TOWER_DATA[[#This Row],[D, bottom '[m']]]-TOWER_DATA[[#This Row],[D, top '[m']]])/(TOWER_DATA[[#This Row],[Bottom '[mLAT']]]-TOWER_DATA[[#This Row],[Top '[mLAT']]]),"")</f>
        <v/>
      </c>
      <c r="CO63" s="85" t="str">
        <f t="shared" si="2"/>
        <v/>
      </c>
      <c r="CP63" s="85" t="str">
        <f>IFERROR((TOWER_DATA[[#This Row],[D, bottom '[m']]]+TOWER_DATA[[#This Row],[D, top '[m']]])/(2*TOWER_DATA[[#This Row],[t '[mm']]]/1000),"")</f>
        <v/>
      </c>
      <c r="CQ63" s="85" t="str">
        <f>IFERROR((TOWER_DATA[[#This Row],[D, bottom '[m']]]+#REF!)/(2*#REF!/1000),"")</f>
        <v/>
      </c>
    </row>
    <row r="64" spans="8:95" x14ac:dyDescent="0.3">
      <c r="H64" s="85" t="str">
        <f>IFERROR(MP_DATA[[#This Row],[Bottom '[mLAT']]]-MP_DATA[[#This Row],[D, top '[m']]], "")</f>
        <v/>
      </c>
      <c r="I64" s="85" t="str">
        <f>IFERROR(-(MP_DATA[[#This Row],[D, bottom '[m']]]-MP_DATA[[#This Row],[D, top '[m']]])/(MP_DATA[[#This Row],[Bottom '[mLAT']]]-MP_DATA[[#This Row],[Top '[mLAT']]]),"")</f>
        <v/>
      </c>
      <c r="J64" s="85" t="str">
        <f t="shared" si="3"/>
        <v/>
      </c>
      <c r="K64" s="85" t="str">
        <f>IFERROR((MP_DATA[[#This Row],[D, bottom '[m']]]+MP_DATA[[#This Row],[D, top '[m']]])/(2*MP_DATA[[#This Row],[t '[mm']]]/1000),"")</f>
        <v/>
      </c>
      <c r="L64" s="85" t="str">
        <f>IFERROR((MP_DATA[[#This Row],[D, bottom '[m']]]+#REF!)/(2*#REF!/1000),"")</f>
        <v/>
      </c>
      <c r="AW64" s="85" t="str">
        <f>IFERROR(TP_DATA[[#This Row],[Bottom '[mLAT']]]-TP_DATA[[#This Row],[D, top '[m']]], "")</f>
        <v/>
      </c>
      <c r="AX64" s="85" t="str">
        <f>IFERROR(-(TP_DATA[[#This Row],[D, bottom '[m']]]-TP_DATA[[#This Row],[D, top '[m']]])/(TP_DATA[[#This Row],[Bottom '[mLAT']]]-TP_DATA[[#This Row],[Top '[mLAT']]]),"")</f>
        <v/>
      </c>
      <c r="AY64" s="85" t="str">
        <f t="shared" si="1"/>
        <v/>
      </c>
      <c r="AZ64" s="85" t="str">
        <f>IFERROR((TP_DATA[[#This Row],[D, bottom '[m']]]+TP_DATA[[#This Row],[D, top '[m']]])/(2*TP_DATA[[#This Row],[t '[mm']]]/1000),"")</f>
        <v/>
      </c>
      <c r="BA64" s="85" t="str">
        <f>IFERROR((TP_DATA[[#This Row],[D, bottom '[m']]]+#REF!)/(2*#REF!/1000),"")</f>
        <v/>
      </c>
      <c r="CM64" s="85" t="str">
        <f>IFERROR(TOWER_DATA[[#This Row],[Bottom '[mLAT']]]-TOWER_DATA[[#This Row],[D, top '[m']]], "")</f>
        <v/>
      </c>
      <c r="CN64" s="85" t="str">
        <f>IFERROR(-(TOWER_DATA[[#This Row],[D, bottom '[m']]]-TOWER_DATA[[#This Row],[D, top '[m']]])/(TOWER_DATA[[#This Row],[Bottom '[mLAT']]]-TOWER_DATA[[#This Row],[Top '[mLAT']]]),"")</f>
        <v/>
      </c>
      <c r="CO64" s="85" t="str">
        <f t="shared" si="2"/>
        <v/>
      </c>
      <c r="CP64" s="85" t="str">
        <f>IFERROR((TOWER_DATA[[#This Row],[D, bottom '[m']]]+TOWER_DATA[[#This Row],[D, top '[m']]])/(2*TOWER_DATA[[#This Row],[t '[mm']]]/1000),"")</f>
        <v/>
      </c>
      <c r="CQ64" s="85" t="str">
        <f>IFERROR((TOWER_DATA[[#This Row],[D, bottom '[m']]]+#REF!)/(2*#REF!/1000),"")</f>
        <v/>
      </c>
    </row>
    <row r="65" spans="8:95" x14ac:dyDescent="0.3">
      <c r="H65" s="85" t="str">
        <f>IFERROR(MP_DATA[[#This Row],[Bottom '[mLAT']]]-MP_DATA[[#This Row],[D, top '[m']]], "")</f>
        <v/>
      </c>
      <c r="I65" s="85" t="str">
        <f>IFERROR(-(MP_DATA[[#This Row],[D, bottom '[m']]]-MP_DATA[[#This Row],[D, top '[m']]])/(MP_DATA[[#This Row],[Bottom '[mLAT']]]-MP_DATA[[#This Row],[Top '[mLAT']]]),"")</f>
        <v/>
      </c>
      <c r="J65" s="85" t="str">
        <f t="shared" si="3"/>
        <v/>
      </c>
      <c r="K65" s="85" t="str">
        <f>IFERROR((MP_DATA[[#This Row],[D, bottom '[m']]]+MP_DATA[[#This Row],[D, top '[m']]])/(2*MP_DATA[[#This Row],[t '[mm']]]/1000),"")</f>
        <v/>
      </c>
      <c r="L65" s="85" t="str">
        <f>IFERROR((MP_DATA[[#This Row],[D, bottom '[m']]]+#REF!)/(2*#REF!/1000),"")</f>
        <v/>
      </c>
      <c r="AW65" s="85" t="str">
        <f>IFERROR(TP_DATA[[#This Row],[Bottom '[mLAT']]]-TP_DATA[[#This Row],[D, top '[m']]], "")</f>
        <v/>
      </c>
      <c r="AX65" s="85" t="str">
        <f>IFERROR(-(TP_DATA[[#This Row],[D, bottom '[m']]]-TP_DATA[[#This Row],[D, top '[m']]])/(TP_DATA[[#This Row],[Bottom '[mLAT']]]-TP_DATA[[#This Row],[Top '[mLAT']]]),"")</f>
        <v/>
      </c>
      <c r="AY65" s="85" t="str">
        <f t="shared" si="1"/>
        <v/>
      </c>
      <c r="AZ65" s="85" t="str">
        <f>IFERROR((TP_DATA[[#This Row],[D, bottom '[m']]]+TP_DATA[[#This Row],[D, top '[m']]])/(2*TP_DATA[[#This Row],[t '[mm']]]/1000),"")</f>
        <v/>
      </c>
      <c r="BA65" s="85" t="str">
        <f>IFERROR((TP_DATA[[#This Row],[D, bottom '[m']]]+#REF!)/(2*#REF!/1000),"")</f>
        <v/>
      </c>
      <c r="CM65" s="85" t="str">
        <f>IFERROR(TOWER_DATA[[#This Row],[Bottom '[mLAT']]]-TOWER_DATA[[#This Row],[D, top '[m']]], "")</f>
        <v/>
      </c>
      <c r="CN65" s="85" t="str">
        <f>IFERROR(-(TOWER_DATA[[#This Row],[D, bottom '[m']]]-TOWER_DATA[[#This Row],[D, top '[m']]])/(TOWER_DATA[[#This Row],[Bottom '[mLAT']]]-TOWER_DATA[[#This Row],[Top '[mLAT']]]),"")</f>
        <v/>
      </c>
      <c r="CO65" s="85" t="str">
        <f t="shared" si="2"/>
        <v/>
      </c>
      <c r="CP65" s="85" t="str">
        <f>IFERROR((TOWER_DATA[[#This Row],[D, bottom '[m']]]+TOWER_DATA[[#This Row],[D, top '[m']]])/(2*TOWER_DATA[[#This Row],[t '[mm']]]/1000),"")</f>
        <v/>
      </c>
      <c r="CQ65" s="85" t="str">
        <f>IFERROR((TOWER_DATA[[#This Row],[D, bottom '[m']]]+#REF!)/(2*#REF!/1000),"")</f>
        <v/>
      </c>
    </row>
    <row r="66" spans="8:95" x14ac:dyDescent="0.3">
      <c r="H66" s="85" t="str">
        <f>IFERROR(MP_DATA[[#This Row],[Bottom '[mLAT']]]-MP_DATA[[#This Row],[D, top '[m']]], "")</f>
        <v/>
      </c>
      <c r="I66" s="85" t="str">
        <f>IFERROR(-(MP_DATA[[#This Row],[D, bottom '[m']]]-MP_DATA[[#This Row],[D, top '[m']]])/(MP_DATA[[#This Row],[Bottom '[mLAT']]]-MP_DATA[[#This Row],[Top '[mLAT']]]),"")</f>
        <v/>
      </c>
      <c r="J66" s="85" t="str">
        <f t="shared" si="3"/>
        <v/>
      </c>
      <c r="K66" s="85" t="str">
        <f>IFERROR((MP_DATA[[#This Row],[D, bottom '[m']]]+MP_DATA[[#This Row],[D, top '[m']]])/(2*MP_DATA[[#This Row],[t '[mm']]]/1000),"")</f>
        <v/>
      </c>
      <c r="L66" s="85" t="str">
        <f>IFERROR((MP_DATA[[#This Row],[D, bottom '[m']]]+#REF!)/(2*#REF!/1000),"")</f>
        <v/>
      </c>
      <c r="AW66" s="85" t="str">
        <f>IFERROR(TP_DATA[[#This Row],[Bottom '[mLAT']]]-TP_DATA[[#This Row],[D, top '[m']]], "")</f>
        <v/>
      </c>
      <c r="AX66" s="85" t="str">
        <f>IFERROR(-(TP_DATA[[#This Row],[D, bottom '[m']]]-TP_DATA[[#This Row],[D, top '[m']]])/(TP_DATA[[#This Row],[Bottom '[mLAT']]]-TP_DATA[[#This Row],[Top '[mLAT']]]),"")</f>
        <v/>
      </c>
      <c r="AY66" s="85" t="str">
        <f t="shared" si="1"/>
        <v/>
      </c>
      <c r="AZ66" s="85" t="str">
        <f>IFERROR((TP_DATA[[#This Row],[D, bottom '[m']]]+TP_DATA[[#This Row],[D, top '[m']]])/(2*TP_DATA[[#This Row],[t '[mm']]]/1000),"")</f>
        <v/>
      </c>
      <c r="BA66" s="85" t="str">
        <f>IFERROR((TP_DATA[[#This Row],[D, bottom '[m']]]+#REF!)/(2*#REF!/1000),"")</f>
        <v/>
      </c>
      <c r="CM66" s="85" t="str">
        <f>IFERROR(TOWER_DATA[[#This Row],[Bottom '[mLAT']]]-TOWER_DATA[[#This Row],[D, top '[m']]], "")</f>
        <v/>
      </c>
      <c r="CN66" s="85" t="str">
        <f>IFERROR(-(TOWER_DATA[[#This Row],[D, bottom '[m']]]-TOWER_DATA[[#This Row],[D, top '[m']]])/(TOWER_DATA[[#This Row],[Bottom '[mLAT']]]-TOWER_DATA[[#This Row],[Top '[mLAT']]]),"")</f>
        <v/>
      </c>
      <c r="CO66" s="85" t="str">
        <f t="shared" si="2"/>
        <v/>
      </c>
      <c r="CP66" s="85" t="str">
        <f>IFERROR((TOWER_DATA[[#This Row],[D, bottom '[m']]]+TOWER_DATA[[#This Row],[D, top '[m']]])/(2*TOWER_DATA[[#This Row],[t '[mm']]]/1000),"")</f>
        <v/>
      </c>
      <c r="CQ66" s="85" t="str">
        <f>IFERROR((TOWER_DATA[[#This Row],[D, bottom '[m']]]+#REF!)/(2*#REF!/1000),"")</f>
        <v/>
      </c>
    </row>
    <row r="67" spans="8:95" x14ac:dyDescent="0.3">
      <c r="H67" s="85" t="str">
        <f>IFERROR(MP_DATA[[#This Row],[Bottom '[mLAT']]]-MP_DATA[[#This Row],[D, top '[m']]], "")</f>
        <v/>
      </c>
      <c r="I67" s="85" t="str">
        <f>IFERROR(-(MP_DATA[[#This Row],[D, bottom '[m']]]-MP_DATA[[#This Row],[D, top '[m']]])/(MP_DATA[[#This Row],[Bottom '[mLAT']]]-MP_DATA[[#This Row],[Top '[mLAT']]]),"")</f>
        <v/>
      </c>
      <c r="J67" s="85" t="str">
        <f t="shared" si="3"/>
        <v/>
      </c>
      <c r="K67" s="85" t="str">
        <f>IFERROR((MP_DATA[[#This Row],[D, bottom '[m']]]+MP_DATA[[#This Row],[D, top '[m']]])/(2*MP_DATA[[#This Row],[t '[mm']]]/1000),"")</f>
        <v/>
      </c>
      <c r="L67" s="85" t="str">
        <f>IFERROR((MP_DATA[[#This Row],[D, bottom '[m']]]+#REF!)/(2*#REF!/1000),"")</f>
        <v/>
      </c>
      <c r="AW67" s="85" t="str">
        <f>IFERROR(TP_DATA[[#This Row],[Bottom '[mLAT']]]-TP_DATA[[#This Row],[D, top '[m']]], "")</f>
        <v/>
      </c>
      <c r="AX67" s="85" t="str">
        <f>IFERROR(-(TP_DATA[[#This Row],[D, bottom '[m']]]-TP_DATA[[#This Row],[D, top '[m']]])/(TP_DATA[[#This Row],[Bottom '[mLAT']]]-TP_DATA[[#This Row],[Top '[mLAT']]]),"")</f>
        <v/>
      </c>
      <c r="AY67" s="85" t="str">
        <f t="shared" si="1"/>
        <v/>
      </c>
      <c r="AZ67" s="85" t="str">
        <f>IFERROR((TP_DATA[[#This Row],[D, bottom '[m']]]+TP_DATA[[#This Row],[D, top '[m']]])/(2*TP_DATA[[#This Row],[t '[mm']]]/1000),"")</f>
        <v/>
      </c>
      <c r="BA67" s="85" t="str">
        <f>IFERROR((TP_DATA[[#This Row],[D, bottom '[m']]]+#REF!)/(2*#REF!/1000),"")</f>
        <v/>
      </c>
      <c r="CM67" s="85" t="str">
        <f>IFERROR(TOWER_DATA[[#This Row],[Bottom '[mLAT']]]-TOWER_DATA[[#This Row],[D, top '[m']]], "")</f>
        <v/>
      </c>
      <c r="CN67" s="85" t="str">
        <f>IFERROR(-(TOWER_DATA[[#This Row],[D, bottom '[m']]]-TOWER_DATA[[#This Row],[D, top '[m']]])/(TOWER_DATA[[#This Row],[Bottom '[mLAT']]]-TOWER_DATA[[#This Row],[Top '[mLAT']]]),"")</f>
        <v/>
      </c>
      <c r="CO67" s="85" t="str">
        <f t="shared" si="2"/>
        <v/>
      </c>
      <c r="CP67" s="85" t="str">
        <f>IFERROR((TOWER_DATA[[#This Row],[D, bottom '[m']]]+TOWER_DATA[[#This Row],[D, top '[m']]])/(2*TOWER_DATA[[#This Row],[t '[mm']]]/1000),"")</f>
        <v/>
      </c>
      <c r="CQ67" s="85" t="str">
        <f>IFERROR((TOWER_DATA[[#This Row],[D, bottom '[m']]]+#REF!)/(2*#REF!/1000),"")</f>
        <v/>
      </c>
    </row>
    <row r="68" spans="8:95" x14ac:dyDescent="0.3">
      <c r="H68" s="85" t="str">
        <f>IFERROR(MP_DATA[[#This Row],[Bottom '[mLAT']]]-MP_DATA[[#This Row],[D, top '[m']]], "")</f>
        <v/>
      </c>
      <c r="I68" s="85" t="str">
        <f>IFERROR(-(MP_DATA[[#This Row],[D, bottom '[m']]]-MP_DATA[[#This Row],[D, top '[m']]])/(MP_DATA[[#This Row],[Bottom '[mLAT']]]-MP_DATA[[#This Row],[Top '[mLAT']]]),"")</f>
        <v/>
      </c>
      <c r="J68" s="85" t="str">
        <f t="shared" si="3"/>
        <v/>
      </c>
      <c r="K68" s="85" t="str">
        <f>IFERROR((MP_DATA[[#This Row],[D, bottom '[m']]]+MP_DATA[[#This Row],[D, top '[m']]])/(2*MP_DATA[[#This Row],[t '[mm']]]/1000),"")</f>
        <v/>
      </c>
      <c r="L68" s="85" t="str">
        <f>IFERROR((MP_DATA[[#This Row],[D, bottom '[m']]]+#REF!)/(2*#REF!/1000),"")</f>
        <v/>
      </c>
      <c r="AW68" s="85" t="str">
        <f>IFERROR(TP_DATA[[#This Row],[Bottom '[mLAT']]]-TP_DATA[[#This Row],[D, top '[m']]], "")</f>
        <v/>
      </c>
      <c r="AX68" s="85" t="str">
        <f>IFERROR(-(TP_DATA[[#This Row],[D, bottom '[m']]]-TP_DATA[[#This Row],[D, top '[m']]])/(TP_DATA[[#This Row],[Bottom '[mLAT']]]-TP_DATA[[#This Row],[Top '[mLAT']]]),"")</f>
        <v/>
      </c>
      <c r="AY68" s="85" t="str">
        <f t="shared" si="1"/>
        <v/>
      </c>
      <c r="AZ68" s="85" t="str">
        <f>IFERROR((TP_DATA[[#This Row],[D, bottom '[m']]]+TP_DATA[[#This Row],[D, top '[m']]])/(2*TP_DATA[[#This Row],[t '[mm']]]/1000),"")</f>
        <v/>
      </c>
      <c r="BA68" s="85" t="str">
        <f>IFERROR((TP_DATA[[#This Row],[D, bottom '[m']]]+#REF!)/(2*#REF!/1000),"")</f>
        <v/>
      </c>
      <c r="CM68" s="85" t="str">
        <f>IFERROR(TOWER_DATA[[#This Row],[Bottom '[mLAT']]]-TOWER_DATA[[#This Row],[D, top '[m']]], "")</f>
        <v/>
      </c>
      <c r="CN68" s="85" t="str">
        <f>IFERROR(-(TOWER_DATA[[#This Row],[D, bottom '[m']]]-TOWER_DATA[[#This Row],[D, top '[m']]])/(TOWER_DATA[[#This Row],[Bottom '[mLAT']]]-TOWER_DATA[[#This Row],[Top '[mLAT']]]),"")</f>
        <v/>
      </c>
      <c r="CO68" s="85" t="str">
        <f t="shared" si="2"/>
        <v/>
      </c>
      <c r="CP68" s="85" t="str">
        <f>IFERROR((TOWER_DATA[[#This Row],[D, bottom '[m']]]+TOWER_DATA[[#This Row],[D, top '[m']]])/(2*TOWER_DATA[[#This Row],[t '[mm']]]/1000),"")</f>
        <v/>
      </c>
      <c r="CQ68" s="85" t="str">
        <f>IFERROR((TOWER_DATA[[#This Row],[D, bottom '[m']]]+#REF!)/(2*#REF!/1000),"")</f>
        <v/>
      </c>
    </row>
    <row r="69" spans="8:95" x14ac:dyDescent="0.3">
      <c r="H69" s="85" t="str">
        <f>IFERROR(MP_DATA[[#This Row],[Bottom '[mLAT']]]-MP_DATA[[#This Row],[D, top '[m']]], "")</f>
        <v/>
      </c>
      <c r="I69" s="85" t="str">
        <f>IFERROR(-(MP_DATA[[#This Row],[D, bottom '[m']]]-MP_DATA[[#This Row],[D, top '[m']]])/(MP_DATA[[#This Row],[Bottom '[mLAT']]]-MP_DATA[[#This Row],[Top '[mLAT']]]),"")</f>
        <v/>
      </c>
      <c r="J69" s="85" t="str">
        <f t="shared" si="3"/>
        <v/>
      </c>
      <c r="K69" s="85" t="str">
        <f>IFERROR((MP_DATA[[#This Row],[D, bottom '[m']]]+MP_DATA[[#This Row],[D, top '[m']]])/(2*MP_DATA[[#This Row],[t '[mm']]]/1000),"")</f>
        <v/>
      </c>
      <c r="L69" s="85" t="str">
        <f>IFERROR((MP_DATA[[#This Row],[D, bottom '[m']]]+#REF!)/(2*#REF!/1000),"")</f>
        <v/>
      </c>
      <c r="AW69" s="85" t="str">
        <f>IFERROR(TP_DATA[[#This Row],[Bottom '[mLAT']]]-TP_DATA[[#This Row],[D, top '[m']]], "")</f>
        <v/>
      </c>
      <c r="AX69" s="85" t="str">
        <f>IFERROR(-(TP_DATA[[#This Row],[D, bottom '[m']]]-TP_DATA[[#This Row],[D, top '[m']]])/(TP_DATA[[#This Row],[Bottom '[mLAT']]]-TP_DATA[[#This Row],[Top '[mLAT']]]),"")</f>
        <v/>
      </c>
      <c r="AY69" s="85" t="str">
        <f t="shared" si="1"/>
        <v/>
      </c>
      <c r="AZ69" s="85" t="str">
        <f>IFERROR((TP_DATA[[#This Row],[D, bottom '[m']]]+TP_DATA[[#This Row],[D, top '[m']]])/(2*TP_DATA[[#This Row],[t '[mm']]]/1000),"")</f>
        <v/>
      </c>
      <c r="BA69" s="85" t="str">
        <f>IFERROR((TP_DATA[[#This Row],[D, bottom '[m']]]+#REF!)/(2*#REF!/1000),"")</f>
        <v/>
      </c>
      <c r="CM69" s="85" t="str">
        <f>IFERROR(TOWER_DATA[[#This Row],[Bottom '[mLAT']]]-TOWER_DATA[[#This Row],[D, top '[m']]], "")</f>
        <v/>
      </c>
      <c r="CN69" s="85" t="str">
        <f>IFERROR(-(TOWER_DATA[[#This Row],[D, bottom '[m']]]-TOWER_DATA[[#This Row],[D, top '[m']]])/(TOWER_DATA[[#This Row],[Bottom '[mLAT']]]-TOWER_DATA[[#This Row],[Top '[mLAT']]]),"")</f>
        <v/>
      </c>
      <c r="CO69" s="85" t="str">
        <f t="shared" si="2"/>
        <v/>
      </c>
      <c r="CP69" s="85" t="str">
        <f>IFERROR((TOWER_DATA[[#This Row],[D, bottom '[m']]]+TOWER_DATA[[#This Row],[D, top '[m']]])/(2*TOWER_DATA[[#This Row],[t '[mm']]]/1000),"")</f>
        <v/>
      </c>
      <c r="CQ69" s="85" t="str">
        <f>IFERROR((TOWER_DATA[[#This Row],[D, bottom '[m']]]+#REF!)/(2*#REF!/1000),"")</f>
        <v/>
      </c>
    </row>
    <row r="70" spans="8:95" x14ac:dyDescent="0.3">
      <c r="H70" s="85" t="str">
        <f>IFERROR(MP_DATA[[#This Row],[Bottom '[mLAT']]]-MP_DATA[[#This Row],[D, top '[m']]], "")</f>
        <v/>
      </c>
      <c r="I70" s="85" t="str">
        <f>IFERROR(-(MP_DATA[[#This Row],[D, bottom '[m']]]-MP_DATA[[#This Row],[D, top '[m']]])/(MP_DATA[[#This Row],[Bottom '[mLAT']]]-MP_DATA[[#This Row],[Top '[mLAT']]]),"")</f>
        <v/>
      </c>
      <c r="J70" s="85" t="str">
        <f t="shared" si="3"/>
        <v/>
      </c>
      <c r="K70" s="85" t="str">
        <f>IFERROR((MP_DATA[[#This Row],[D, bottom '[m']]]+MP_DATA[[#This Row],[D, top '[m']]])/(2*MP_DATA[[#This Row],[t '[mm']]]/1000),"")</f>
        <v/>
      </c>
      <c r="L70" s="85" t="str">
        <f>IFERROR((MP_DATA[[#This Row],[D, bottom '[m']]]+#REF!)/(2*#REF!/1000),"")</f>
        <v/>
      </c>
      <c r="AW70" s="85" t="str">
        <f>IFERROR(TP_DATA[[#This Row],[Bottom '[mLAT']]]-TP_DATA[[#This Row],[D, top '[m']]], "")</f>
        <v/>
      </c>
      <c r="AX70" s="85" t="str">
        <f>IFERROR(-(TP_DATA[[#This Row],[D, bottom '[m']]]-TP_DATA[[#This Row],[D, top '[m']]])/(TP_DATA[[#This Row],[Bottom '[mLAT']]]-TP_DATA[[#This Row],[Top '[mLAT']]]),"")</f>
        <v/>
      </c>
      <c r="AY70" s="85" t="str">
        <f t="shared" si="1"/>
        <v/>
      </c>
      <c r="AZ70" s="85" t="str">
        <f>IFERROR((TP_DATA[[#This Row],[D, bottom '[m']]]+TP_DATA[[#This Row],[D, top '[m']]])/(2*TP_DATA[[#This Row],[t '[mm']]]/1000),"")</f>
        <v/>
      </c>
      <c r="BA70" s="85" t="str">
        <f>IFERROR((TP_DATA[[#This Row],[D, bottom '[m']]]+#REF!)/(2*#REF!/1000),"")</f>
        <v/>
      </c>
      <c r="CM70" s="85" t="str">
        <f>IFERROR(TOWER_DATA[[#This Row],[Bottom '[mLAT']]]-TOWER_DATA[[#This Row],[D, top '[m']]], "")</f>
        <v/>
      </c>
      <c r="CN70" s="85" t="str">
        <f>IFERROR(-(TOWER_DATA[[#This Row],[D, bottom '[m']]]-TOWER_DATA[[#This Row],[D, top '[m']]])/(TOWER_DATA[[#This Row],[Bottom '[mLAT']]]-TOWER_DATA[[#This Row],[Top '[mLAT']]]),"")</f>
        <v/>
      </c>
      <c r="CO70" s="85" t="str">
        <f t="shared" si="2"/>
        <v/>
      </c>
      <c r="CP70" s="85" t="str">
        <f>IFERROR((TOWER_DATA[[#This Row],[D, bottom '[m']]]+TOWER_DATA[[#This Row],[D, top '[m']]])/(2*TOWER_DATA[[#This Row],[t '[mm']]]/1000),"")</f>
        <v/>
      </c>
      <c r="CQ70" s="85" t="str">
        <f>IFERROR((TOWER_DATA[[#This Row],[D, bottom '[m']]]+#REF!)/(2*#REF!/1000),"")</f>
        <v/>
      </c>
    </row>
    <row r="71" spans="8:95" x14ac:dyDescent="0.3">
      <c r="H71" s="85" t="str">
        <f>IFERROR(MP_DATA[[#This Row],[Bottom '[mLAT']]]-MP_DATA[[#This Row],[D, top '[m']]], "")</f>
        <v/>
      </c>
      <c r="I71" s="85" t="str">
        <f>IFERROR(-(MP_DATA[[#This Row],[D, bottom '[m']]]-MP_DATA[[#This Row],[D, top '[m']]])/(MP_DATA[[#This Row],[Bottom '[mLAT']]]-MP_DATA[[#This Row],[Top '[mLAT']]]),"")</f>
        <v/>
      </c>
      <c r="J71" s="85" t="str">
        <f t="shared" si="3"/>
        <v/>
      </c>
      <c r="K71" s="85" t="str">
        <f>IFERROR((MP_DATA[[#This Row],[D, bottom '[m']]]+MP_DATA[[#This Row],[D, top '[m']]])/(2*MP_DATA[[#This Row],[t '[mm']]]/1000),"")</f>
        <v/>
      </c>
      <c r="L71" s="85" t="str">
        <f>IFERROR((MP_DATA[[#This Row],[D, bottom '[m']]]+#REF!)/(2*#REF!/1000),"")</f>
        <v/>
      </c>
      <c r="AW71" s="85" t="str">
        <f>IFERROR(TP_DATA[[#This Row],[Bottom '[mLAT']]]-TP_DATA[[#This Row],[D, top '[m']]], "")</f>
        <v/>
      </c>
      <c r="AX71" s="85" t="str">
        <f>IFERROR(-(TP_DATA[[#This Row],[D, bottom '[m']]]-TP_DATA[[#This Row],[D, top '[m']]])/(TP_DATA[[#This Row],[Bottom '[mLAT']]]-TP_DATA[[#This Row],[Top '[mLAT']]]),"")</f>
        <v/>
      </c>
      <c r="AY71" s="85" t="str">
        <f t="shared" si="1"/>
        <v/>
      </c>
      <c r="AZ71" s="85" t="str">
        <f>IFERROR((TP_DATA[[#This Row],[D, bottom '[m']]]+TP_DATA[[#This Row],[D, top '[m']]])/(2*TP_DATA[[#This Row],[t '[mm']]]/1000),"")</f>
        <v/>
      </c>
      <c r="BA71" s="85" t="str">
        <f>IFERROR((TP_DATA[[#This Row],[D, bottom '[m']]]+#REF!)/(2*#REF!/1000),"")</f>
        <v/>
      </c>
      <c r="CM71" s="85" t="str">
        <f>IFERROR(TOWER_DATA[[#This Row],[Bottom '[mLAT']]]-TOWER_DATA[[#This Row],[D, top '[m']]], "")</f>
        <v/>
      </c>
      <c r="CN71" s="85" t="str">
        <f>IFERROR(-(TOWER_DATA[[#This Row],[D, bottom '[m']]]-TOWER_DATA[[#This Row],[D, top '[m']]])/(TOWER_DATA[[#This Row],[Bottom '[mLAT']]]-TOWER_DATA[[#This Row],[Top '[mLAT']]]),"")</f>
        <v/>
      </c>
      <c r="CO71" s="85" t="str">
        <f t="shared" si="2"/>
        <v/>
      </c>
      <c r="CP71" s="85" t="str">
        <f>IFERROR((TOWER_DATA[[#This Row],[D, bottom '[m']]]+TOWER_DATA[[#This Row],[D, top '[m']]])/(2*TOWER_DATA[[#This Row],[t '[mm']]]/1000),"")</f>
        <v/>
      </c>
      <c r="CQ71" s="85" t="str">
        <f>IFERROR((TOWER_DATA[[#This Row],[D, bottom '[m']]]+#REF!)/(2*#REF!/1000),"")</f>
        <v/>
      </c>
    </row>
    <row r="72" spans="8:95" x14ac:dyDescent="0.3">
      <c r="H72" s="85" t="str">
        <f>IFERROR(MP_DATA[[#This Row],[Bottom '[mLAT']]]-MP_DATA[[#This Row],[D, top '[m']]], "")</f>
        <v/>
      </c>
      <c r="I72" s="85" t="str">
        <f>IFERROR(-(MP_DATA[[#This Row],[D, bottom '[m']]]-MP_DATA[[#This Row],[D, top '[m']]])/(MP_DATA[[#This Row],[Bottom '[mLAT']]]-MP_DATA[[#This Row],[Top '[mLAT']]]),"")</f>
        <v/>
      </c>
      <c r="J72" s="85" t="str">
        <f t="shared" si="3"/>
        <v/>
      </c>
      <c r="K72" s="85" t="str">
        <f>IFERROR((MP_DATA[[#This Row],[D, bottom '[m']]]+MP_DATA[[#This Row],[D, top '[m']]])/(2*MP_DATA[[#This Row],[t '[mm']]]/1000),"")</f>
        <v/>
      </c>
      <c r="L72" s="85" t="str">
        <f>IFERROR((MP_DATA[[#This Row],[D, bottom '[m']]]+#REF!)/(2*#REF!/1000),"")</f>
        <v/>
      </c>
      <c r="AW72" s="85" t="str">
        <f>IFERROR(TP_DATA[[#This Row],[Bottom '[mLAT']]]-TP_DATA[[#This Row],[D, top '[m']]], "")</f>
        <v/>
      </c>
      <c r="AX72" s="85" t="str">
        <f>IFERROR(-(TP_DATA[[#This Row],[D, bottom '[m']]]-TP_DATA[[#This Row],[D, top '[m']]])/(TP_DATA[[#This Row],[Bottom '[mLAT']]]-TP_DATA[[#This Row],[Top '[mLAT']]]),"")</f>
        <v/>
      </c>
      <c r="AY72" s="85" t="str">
        <f t="shared" si="1"/>
        <v/>
      </c>
      <c r="AZ72" s="85" t="str">
        <f>IFERROR((TP_DATA[[#This Row],[D, bottom '[m']]]+TP_DATA[[#This Row],[D, top '[m']]])/(2*TP_DATA[[#This Row],[t '[mm']]]/1000),"")</f>
        <v/>
      </c>
      <c r="BA72" s="85" t="str">
        <f>IFERROR((TP_DATA[[#This Row],[D, bottom '[m']]]+#REF!)/(2*#REF!/1000),"")</f>
        <v/>
      </c>
      <c r="CM72" s="85" t="str">
        <f>IFERROR(TOWER_DATA[[#This Row],[Bottom '[mLAT']]]-TOWER_DATA[[#This Row],[D, top '[m']]], "")</f>
        <v/>
      </c>
      <c r="CN72" s="85" t="str">
        <f>IFERROR(-(TOWER_DATA[[#This Row],[D, bottom '[m']]]-TOWER_DATA[[#This Row],[D, top '[m']]])/(TOWER_DATA[[#This Row],[Bottom '[mLAT']]]-TOWER_DATA[[#This Row],[Top '[mLAT']]]),"")</f>
        <v/>
      </c>
      <c r="CO72" s="85" t="str">
        <f t="shared" si="2"/>
        <v/>
      </c>
      <c r="CP72" s="85" t="str">
        <f>IFERROR((TOWER_DATA[[#This Row],[D, bottom '[m']]]+TOWER_DATA[[#This Row],[D, top '[m']]])/(2*TOWER_DATA[[#This Row],[t '[mm']]]/1000),"")</f>
        <v/>
      </c>
      <c r="CQ72" s="85" t="str">
        <f>IFERROR((TOWER_DATA[[#This Row],[D, bottom '[m']]]+#REF!)/(2*#REF!/1000),"")</f>
        <v/>
      </c>
    </row>
    <row r="73" spans="8:95" x14ac:dyDescent="0.3">
      <c r="H73" s="85" t="str">
        <f>IFERROR(MP_DATA[[#This Row],[Bottom '[mLAT']]]-MP_DATA[[#This Row],[D, top '[m']]], "")</f>
        <v/>
      </c>
      <c r="I73" s="85" t="str">
        <f>IFERROR(-(MP_DATA[[#This Row],[D, bottom '[m']]]-MP_DATA[[#This Row],[D, top '[m']]])/(MP_DATA[[#This Row],[Bottom '[mLAT']]]-MP_DATA[[#This Row],[Top '[mLAT']]]),"")</f>
        <v/>
      </c>
      <c r="J73" s="85" t="str">
        <f t="shared" si="3"/>
        <v/>
      </c>
      <c r="K73" s="85" t="str">
        <f>IFERROR((MP_DATA[[#This Row],[D, bottom '[m']]]+MP_DATA[[#This Row],[D, top '[m']]])/(2*MP_DATA[[#This Row],[t '[mm']]]/1000),"")</f>
        <v/>
      </c>
      <c r="L73" s="85" t="str">
        <f>IFERROR((MP_DATA[[#This Row],[D, bottom '[m']]]+#REF!)/(2*#REF!/1000),"")</f>
        <v/>
      </c>
      <c r="AW73" s="85" t="str">
        <f>IFERROR(TP_DATA[[#This Row],[Bottom '[mLAT']]]-TP_DATA[[#This Row],[D, top '[m']]], "")</f>
        <v/>
      </c>
      <c r="AX73" s="85" t="str">
        <f>IFERROR(-(TP_DATA[[#This Row],[D, bottom '[m']]]-TP_DATA[[#This Row],[D, top '[m']]])/(TP_DATA[[#This Row],[Bottom '[mLAT']]]-TP_DATA[[#This Row],[Top '[mLAT']]]),"")</f>
        <v/>
      </c>
      <c r="AY73" s="85" t="str">
        <f t="shared" si="1"/>
        <v/>
      </c>
      <c r="AZ73" s="85" t="str">
        <f>IFERROR((TP_DATA[[#This Row],[D, bottom '[m']]]+TP_DATA[[#This Row],[D, top '[m']]])/(2*TP_DATA[[#This Row],[t '[mm']]]/1000),"")</f>
        <v/>
      </c>
      <c r="BA73" s="85" t="str">
        <f>IFERROR((TP_DATA[[#This Row],[D, bottom '[m']]]+#REF!)/(2*#REF!/1000),"")</f>
        <v/>
      </c>
      <c r="CM73" s="85" t="str">
        <f>IFERROR(TOWER_DATA[[#This Row],[Bottom '[mLAT']]]-TOWER_DATA[[#This Row],[D, top '[m']]], "")</f>
        <v/>
      </c>
      <c r="CN73" s="85" t="str">
        <f>IFERROR(-(TOWER_DATA[[#This Row],[D, bottom '[m']]]-TOWER_DATA[[#This Row],[D, top '[m']]])/(TOWER_DATA[[#This Row],[Bottom '[mLAT']]]-TOWER_DATA[[#This Row],[Top '[mLAT']]]),"")</f>
        <v/>
      </c>
      <c r="CO73" s="85" t="str">
        <f t="shared" si="2"/>
        <v/>
      </c>
      <c r="CP73" s="85" t="str">
        <f>IFERROR((TOWER_DATA[[#This Row],[D, bottom '[m']]]+TOWER_DATA[[#This Row],[D, top '[m']]])/(2*TOWER_DATA[[#This Row],[t '[mm']]]/1000),"")</f>
        <v/>
      </c>
      <c r="CQ73" s="85" t="str">
        <f>IFERROR((TOWER_DATA[[#This Row],[D, bottom '[m']]]+#REF!)/(2*#REF!/1000),"")</f>
        <v/>
      </c>
    </row>
    <row r="74" spans="8:95" x14ac:dyDescent="0.3">
      <c r="H74" s="85" t="str">
        <f>IFERROR(MP_DATA[[#This Row],[Bottom '[mLAT']]]-MP_DATA[[#This Row],[D, top '[m']]], "")</f>
        <v/>
      </c>
      <c r="I74" s="85" t="str">
        <f>IFERROR(-(MP_DATA[[#This Row],[D, bottom '[m']]]-MP_DATA[[#This Row],[D, top '[m']]])/(MP_DATA[[#This Row],[Bottom '[mLAT']]]-MP_DATA[[#This Row],[Top '[mLAT']]]),"")</f>
        <v/>
      </c>
      <c r="J74" s="85" t="str">
        <f t="shared" si="3"/>
        <v/>
      </c>
      <c r="K74" s="85" t="str">
        <f>IFERROR((MP_DATA[[#This Row],[D, bottom '[m']]]+MP_DATA[[#This Row],[D, top '[m']]])/(2*MP_DATA[[#This Row],[t '[mm']]]/1000),"")</f>
        <v/>
      </c>
      <c r="L74" s="85" t="str">
        <f>IFERROR((MP_DATA[[#This Row],[D, bottom '[m']]]+#REF!)/(2*#REF!/1000),"")</f>
        <v/>
      </c>
      <c r="AW74" s="85" t="str">
        <f>IFERROR(TP_DATA[[#This Row],[Bottom '[mLAT']]]-TP_DATA[[#This Row],[D, top '[m']]], "")</f>
        <v/>
      </c>
      <c r="AX74" s="85" t="str">
        <f>IFERROR(-(TP_DATA[[#This Row],[D, bottom '[m']]]-TP_DATA[[#This Row],[D, top '[m']]])/(TP_DATA[[#This Row],[Bottom '[mLAT']]]-TP_DATA[[#This Row],[Top '[mLAT']]]),"")</f>
        <v/>
      </c>
      <c r="AY74" s="85" t="str">
        <f t="shared" si="1"/>
        <v/>
      </c>
      <c r="AZ74" s="85" t="str">
        <f>IFERROR((TP_DATA[[#This Row],[D, bottom '[m']]]+TP_DATA[[#This Row],[D, top '[m']]])/(2*TP_DATA[[#This Row],[t '[mm']]]/1000),"")</f>
        <v/>
      </c>
      <c r="BA74" s="85" t="str">
        <f>IFERROR((TP_DATA[[#This Row],[D, bottom '[m']]]+#REF!)/(2*#REF!/1000),"")</f>
        <v/>
      </c>
      <c r="CM74" s="85" t="str">
        <f>IFERROR(TOWER_DATA[[#This Row],[Bottom '[mLAT']]]-TOWER_DATA[[#This Row],[D, top '[m']]], "")</f>
        <v/>
      </c>
      <c r="CN74" s="85" t="str">
        <f>IFERROR(-(TOWER_DATA[[#This Row],[D, bottom '[m']]]-TOWER_DATA[[#This Row],[D, top '[m']]])/(TOWER_DATA[[#This Row],[Bottom '[mLAT']]]-TOWER_DATA[[#This Row],[Top '[mLAT']]]),"")</f>
        <v/>
      </c>
      <c r="CO74" s="85" t="str">
        <f t="shared" si="2"/>
        <v/>
      </c>
      <c r="CP74" s="85" t="str">
        <f>IFERROR((TOWER_DATA[[#This Row],[D, bottom '[m']]]+TOWER_DATA[[#This Row],[D, top '[m']]])/(2*TOWER_DATA[[#This Row],[t '[mm']]]/1000),"")</f>
        <v/>
      </c>
      <c r="CQ74" s="85" t="str">
        <f>IFERROR((TOWER_DATA[[#This Row],[D, bottom '[m']]]+#REF!)/(2*#REF!/1000),"")</f>
        <v/>
      </c>
    </row>
    <row r="75" spans="8:95" x14ac:dyDescent="0.3">
      <c r="H75" s="85" t="str">
        <f>IFERROR(MP_DATA[[#This Row],[Bottom '[mLAT']]]-MP_DATA[[#This Row],[D, top '[m']]], "")</f>
        <v/>
      </c>
      <c r="I75" s="85" t="str">
        <f>IFERROR(-(MP_DATA[[#This Row],[D, bottom '[m']]]-MP_DATA[[#This Row],[D, top '[m']]])/(MP_DATA[[#This Row],[Bottom '[mLAT']]]-MP_DATA[[#This Row],[Top '[mLAT']]]),"")</f>
        <v/>
      </c>
      <c r="J75" s="85" t="str">
        <f t="shared" si="3"/>
        <v/>
      </c>
      <c r="K75" s="85" t="str">
        <f>IFERROR((MP_DATA[[#This Row],[D, bottom '[m']]]+MP_DATA[[#This Row],[D, top '[m']]])/(2*MP_DATA[[#This Row],[t '[mm']]]/1000),"")</f>
        <v/>
      </c>
      <c r="L75" s="85" t="str">
        <f>IFERROR((MP_DATA[[#This Row],[D, bottom '[m']]]+#REF!)/(2*#REF!/1000),"")</f>
        <v/>
      </c>
      <c r="AW75" s="85" t="str">
        <f>IFERROR(TP_DATA[[#This Row],[Bottom '[mLAT']]]-TP_DATA[[#This Row],[D, top '[m']]], "")</f>
        <v/>
      </c>
      <c r="AX75" s="85" t="str">
        <f>IFERROR(-(TP_DATA[[#This Row],[D, bottom '[m']]]-TP_DATA[[#This Row],[D, top '[m']]])/(TP_DATA[[#This Row],[Bottom '[mLAT']]]-TP_DATA[[#This Row],[Top '[mLAT']]]),"")</f>
        <v/>
      </c>
      <c r="AY75" s="85" t="str">
        <f t="shared" si="1"/>
        <v/>
      </c>
      <c r="AZ75" s="85" t="str">
        <f>IFERROR((TP_DATA[[#This Row],[D, bottom '[m']]]+TP_DATA[[#This Row],[D, top '[m']]])/(2*TP_DATA[[#This Row],[t '[mm']]]/1000),"")</f>
        <v/>
      </c>
      <c r="BA75" s="85" t="str">
        <f>IFERROR((TP_DATA[[#This Row],[D, bottom '[m']]]+#REF!)/(2*#REF!/1000),"")</f>
        <v/>
      </c>
      <c r="CM75" s="85" t="str">
        <f>IFERROR(TOWER_DATA[[#This Row],[Bottom '[mLAT']]]-TOWER_DATA[[#This Row],[D, top '[m']]], "")</f>
        <v/>
      </c>
      <c r="CN75" s="85" t="str">
        <f>IFERROR(-(TOWER_DATA[[#This Row],[D, bottom '[m']]]-TOWER_DATA[[#This Row],[D, top '[m']]])/(TOWER_DATA[[#This Row],[Bottom '[mLAT']]]-TOWER_DATA[[#This Row],[Top '[mLAT']]]),"")</f>
        <v/>
      </c>
      <c r="CO75" s="85" t="str">
        <f t="shared" si="2"/>
        <v/>
      </c>
      <c r="CP75" s="85" t="str">
        <f>IFERROR((TOWER_DATA[[#This Row],[D, bottom '[m']]]+TOWER_DATA[[#This Row],[D, top '[m']]])/(2*TOWER_DATA[[#This Row],[t '[mm']]]/1000),"")</f>
        <v/>
      </c>
      <c r="CQ75" s="85" t="str">
        <f>IFERROR((TOWER_DATA[[#This Row],[D, bottom '[m']]]+#REF!)/(2*#REF!/1000),"")</f>
        <v/>
      </c>
    </row>
    <row r="76" spans="8:95" x14ac:dyDescent="0.3">
      <c r="H76" s="85" t="str">
        <f>IFERROR(MP_DATA[[#This Row],[Bottom '[mLAT']]]-MP_DATA[[#This Row],[D, top '[m']]], "")</f>
        <v/>
      </c>
      <c r="I76" s="85" t="str">
        <f>IFERROR(-(MP_DATA[[#This Row],[D, bottom '[m']]]-MP_DATA[[#This Row],[D, top '[m']]])/(MP_DATA[[#This Row],[Bottom '[mLAT']]]-MP_DATA[[#This Row],[Top '[mLAT']]]),"")</f>
        <v/>
      </c>
      <c r="J76" s="85" t="str">
        <f t="shared" si="3"/>
        <v/>
      </c>
      <c r="K76" s="85" t="str">
        <f>IFERROR((MP_DATA[[#This Row],[D, bottom '[m']]]+MP_DATA[[#This Row],[D, top '[m']]])/(2*MP_DATA[[#This Row],[t '[mm']]]/1000),"")</f>
        <v/>
      </c>
      <c r="L76" s="85" t="str">
        <f>IFERROR((MP_DATA[[#This Row],[D, bottom '[m']]]+#REF!)/(2*#REF!/1000),"")</f>
        <v/>
      </c>
      <c r="AW76" s="85" t="str">
        <f>IFERROR(TP_DATA[[#This Row],[Bottom '[mLAT']]]-TP_DATA[[#This Row],[D, top '[m']]], "")</f>
        <v/>
      </c>
      <c r="AX76" s="85" t="str">
        <f>IFERROR(-(TP_DATA[[#This Row],[D, bottom '[m']]]-TP_DATA[[#This Row],[D, top '[m']]])/(TP_DATA[[#This Row],[Bottom '[mLAT']]]-TP_DATA[[#This Row],[Top '[mLAT']]]),"")</f>
        <v/>
      </c>
      <c r="AY76" s="85" t="str">
        <f t="shared" si="1"/>
        <v/>
      </c>
      <c r="AZ76" s="85" t="str">
        <f>IFERROR((TP_DATA[[#This Row],[D, bottom '[m']]]+TP_DATA[[#This Row],[D, top '[m']]])/(2*TP_DATA[[#This Row],[t '[mm']]]/1000),"")</f>
        <v/>
      </c>
      <c r="BA76" s="85" t="str">
        <f>IFERROR((TP_DATA[[#This Row],[D, bottom '[m']]]+#REF!)/(2*#REF!/1000),"")</f>
        <v/>
      </c>
      <c r="CM76" s="85" t="str">
        <f>IFERROR(TOWER_DATA[[#This Row],[Bottom '[mLAT']]]-TOWER_DATA[[#This Row],[D, top '[m']]], "")</f>
        <v/>
      </c>
      <c r="CN76" s="85" t="str">
        <f>IFERROR(-(TOWER_DATA[[#This Row],[D, bottom '[m']]]-TOWER_DATA[[#This Row],[D, top '[m']]])/(TOWER_DATA[[#This Row],[Bottom '[mLAT']]]-TOWER_DATA[[#This Row],[Top '[mLAT']]]),"")</f>
        <v/>
      </c>
      <c r="CO76" s="85" t="str">
        <f t="shared" si="2"/>
        <v/>
      </c>
      <c r="CP76" s="85" t="str">
        <f>IFERROR((TOWER_DATA[[#This Row],[D, bottom '[m']]]+TOWER_DATA[[#This Row],[D, top '[m']]])/(2*TOWER_DATA[[#This Row],[t '[mm']]]/1000),"")</f>
        <v/>
      </c>
      <c r="CQ76" s="85" t="str">
        <f>IFERROR((TOWER_DATA[[#This Row],[D, bottom '[m']]]+#REF!)/(2*#REF!/1000),"")</f>
        <v/>
      </c>
    </row>
    <row r="77" spans="8:95" x14ac:dyDescent="0.3">
      <c r="H77" s="85" t="str">
        <f>IFERROR(MP_DATA[[#This Row],[Bottom '[mLAT']]]-MP_DATA[[#This Row],[D, top '[m']]], "")</f>
        <v/>
      </c>
      <c r="I77" s="85" t="str">
        <f>IFERROR(-(MP_DATA[[#This Row],[D, bottom '[m']]]-MP_DATA[[#This Row],[D, top '[m']]])/(MP_DATA[[#This Row],[Bottom '[mLAT']]]-MP_DATA[[#This Row],[Top '[mLAT']]]),"")</f>
        <v/>
      </c>
      <c r="J77" s="85" t="str">
        <f t="shared" si="3"/>
        <v/>
      </c>
      <c r="K77" s="85" t="str">
        <f>IFERROR((MP_DATA[[#This Row],[D, bottom '[m']]]+MP_DATA[[#This Row],[D, top '[m']]])/(2*MP_DATA[[#This Row],[t '[mm']]]/1000),"")</f>
        <v/>
      </c>
      <c r="L77" s="85" t="str">
        <f>IFERROR((MP_DATA[[#This Row],[D, bottom '[m']]]+#REF!)/(2*#REF!/1000),"")</f>
        <v/>
      </c>
      <c r="AW77" s="85" t="str">
        <f>IFERROR(TP_DATA[[#This Row],[Bottom '[mLAT']]]-TP_DATA[[#This Row],[D, top '[m']]], "")</f>
        <v/>
      </c>
      <c r="AX77" s="85" t="str">
        <f>IFERROR(-(TP_DATA[[#This Row],[D, bottom '[m']]]-TP_DATA[[#This Row],[D, top '[m']]])/(TP_DATA[[#This Row],[Bottom '[mLAT']]]-TP_DATA[[#This Row],[Top '[mLAT']]]),"")</f>
        <v/>
      </c>
      <c r="AY77" s="85" t="str">
        <f t="shared" si="1"/>
        <v/>
      </c>
      <c r="AZ77" s="85" t="str">
        <f>IFERROR((TP_DATA[[#This Row],[D, bottom '[m']]]+TP_DATA[[#This Row],[D, top '[m']]])/(2*TP_DATA[[#This Row],[t '[mm']]]/1000),"")</f>
        <v/>
      </c>
      <c r="BA77" s="85" t="str">
        <f>IFERROR((TP_DATA[[#This Row],[D, bottom '[m']]]+#REF!)/(2*#REF!/1000),"")</f>
        <v/>
      </c>
      <c r="CM77" s="85" t="str">
        <f>IFERROR(TOWER_DATA[[#This Row],[Bottom '[mLAT']]]-TOWER_DATA[[#This Row],[D, top '[m']]], "")</f>
        <v/>
      </c>
      <c r="CN77" s="85" t="str">
        <f>IFERROR(-(TOWER_DATA[[#This Row],[D, bottom '[m']]]-TOWER_DATA[[#This Row],[D, top '[m']]])/(TOWER_DATA[[#This Row],[Bottom '[mLAT']]]-TOWER_DATA[[#This Row],[Top '[mLAT']]]),"")</f>
        <v/>
      </c>
      <c r="CO77" s="85" t="str">
        <f t="shared" si="2"/>
        <v/>
      </c>
      <c r="CP77" s="85" t="str">
        <f>IFERROR((TOWER_DATA[[#This Row],[D, bottom '[m']]]+TOWER_DATA[[#This Row],[D, top '[m']]])/(2*TOWER_DATA[[#This Row],[t '[mm']]]/1000),"")</f>
        <v/>
      </c>
      <c r="CQ77" s="85" t="str">
        <f>IFERROR((TOWER_DATA[[#This Row],[D, bottom '[m']]]+#REF!)/(2*#REF!/1000),"")</f>
        <v/>
      </c>
    </row>
    <row r="78" spans="8:95" x14ac:dyDescent="0.3">
      <c r="H78" s="85" t="str">
        <f>IFERROR(MP_DATA[[#This Row],[Bottom '[mLAT']]]-MP_DATA[[#This Row],[D, top '[m']]], "")</f>
        <v/>
      </c>
      <c r="I78" s="85" t="str">
        <f>IFERROR(-(MP_DATA[[#This Row],[D, bottom '[m']]]-MP_DATA[[#This Row],[D, top '[m']]])/(MP_DATA[[#This Row],[Bottom '[mLAT']]]-MP_DATA[[#This Row],[Top '[mLAT']]]),"")</f>
        <v/>
      </c>
      <c r="J78" s="85" t="str">
        <f t="shared" si="3"/>
        <v/>
      </c>
      <c r="K78" s="85" t="str">
        <f>IFERROR((MP_DATA[[#This Row],[D, bottom '[m']]]+MP_DATA[[#This Row],[D, top '[m']]])/(2*MP_DATA[[#This Row],[t '[mm']]]/1000),"")</f>
        <v/>
      </c>
      <c r="L78" s="85" t="str">
        <f>IFERROR((MP_DATA[[#This Row],[D, bottom '[m']]]+#REF!)/(2*#REF!/1000),"")</f>
        <v/>
      </c>
      <c r="AW78" s="85" t="str">
        <f>IFERROR(TP_DATA[[#This Row],[Bottom '[mLAT']]]-TP_DATA[[#This Row],[D, top '[m']]], "")</f>
        <v/>
      </c>
      <c r="AX78" s="85" t="str">
        <f>IFERROR(-(TP_DATA[[#This Row],[D, bottom '[m']]]-TP_DATA[[#This Row],[D, top '[m']]])/(TP_DATA[[#This Row],[Bottom '[mLAT']]]-TP_DATA[[#This Row],[Top '[mLAT']]]),"")</f>
        <v/>
      </c>
      <c r="AY78" s="85" t="str">
        <f t="shared" si="1"/>
        <v/>
      </c>
      <c r="AZ78" s="85" t="str">
        <f>IFERROR((TP_DATA[[#This Row],[D, bottom '[m']]]+TP_DATA[[#This Row],[D, top '[m']]])/(2*TP_DATA[[#This Row],[t '[mm']]]/1000),"")</f>
        <v/>
      </c>
      <c r="BA78" s="85" t="str">
        <f>IFERROR((TP_DATA[[#This Row],[D, bottom '[m']]]+#REF!)/(2*#REF!/1000),"")</f>
        <v/>
      </c>
      <c r="CM78" s="85" t="str">
        <f>IFERROR(TOWER_DATA[[#This Row],[Bottom '[mLAT']]]-TOWER_DATA[[#This Row],[D, top '[m']]], "")</f>
        <v/>
      </c>
      <c r="CN78" s="85" t="str">
        <f>IFERROR(-(TOWER_DATA[[#This Row],[D, bottom '[m']]]-TOWER_DATA[[#This Row],[D, top '[m']]])/(TOWER_DATA[[#This Row],[Bottom '[mLAT']]]-TOWER_DATA[[#This Row],[Top '[mLAT']]]),"")</f>
        <v/>
      </c>
      <c r="CO78" s="85" t="str">
        <f t="shared" si="2"/>
        <v/>
      </c>
      <c r="CP78" s="85" t="str">
        <f>IFERROR((TOWER_DATA[[#This Row],[D, bottom '[m']]]+TOWER_DATA[[#This Row],[D, top '[m']]])/(2*TOWER_DATA[[#This Row],[t '[mm']]]/1000),"")</f>
        <v/>
      </c>
      <c r="CQ78" s="85" t="str">
        <f>IFERROR((TOWER_DATA[[#This Row],[D, bottom '[m']]]+#REF!)/(2*#REF!/1000),"")</f>
        <v/>
      </c>
    </row>
    <row r="79" spans="8:95" x14ac:dyDescent="0.3">
      <c r="H79" s="85" t="str">
        <f>IFERROR(MP_DATA[[#This Row],[Bottom '[mLAT']]]-MP_DATA[[#This Row],[D, top '[m']]], "")</f>
        <v/>
      </c>
      <c r="I79" s="85" t="str">
        <f>IFERROR(-(MP_DATA[[#This Row],[D, bottom '[m']]]-MP_DATA[[#This Row],[D, top '[m']]])/(MP_DATA[[#This Row],[Bottom '[mLAT']]]-MP_DATA[[#This Row],[Top '[mLAT']]]),"")</f>
        <v/>
      </c>
      <c r="J79" s="85" t="str">
        <f t="shared" si="3"/>
        <v/>
      </c>
      <c r="K79" s="85" t="str">
        <f>IFERROR((MP_DATA[[#This Row],[D, bottom '[m']]]+MP_DATA[[#This Row],[D, top '[m']]])/(2*MP_DATA[[#This Row],[t '[mm']]]/1000),"")</f>
        <v/>
      </c>
      <c r="L79" s="85" t="str">
        <f>IFERROR((MP_DATA[[#This Row],[D, bottom '[m']]]+#REF!)/(2*#REF!/1000),"")</f>
        <v/>
      </c>
      <c r="AW79" s="85" t="str">
        <f>IFERROR(TP_DATA[[#This Row],[Bottom '[mLAT']]]-TP_DATA[[#This Row],[D, top '[m']]], "")</f>
        <v/>
      </c>
      <c r="AX79" s="85" t="str">
        <f>IFERROR(-(TP_DATA[[#This Row],[D, bottom '[m']]]-TP_DATA[[#This Row],[D, top '[m']]])/(TP_DATA[[#This Row],[Bottom '[mLAT']]]-TP_DATA[[#This Row],[Top '[mLAT']]]),"")</f>
        <v/>
      </c>
      <c r="AY79" s="85" t="str">
        <f t="shared" si="1"/>
        <v/>
      </c>
      <c r="AZ79" s="85" t="str">
        <f>IFERROR((TP_DATA[[#This Row],[D, bottom '[m']]]+TP_DATA[[#This Row],[D, top '[m']]])/(2*TP_DATA[[#This Row],[t '[mm']]]/1000),"")</f>
        <v/>
      </c>
      <c r="BA79" s="85" t="str">
        <f>IFERROR((TP_DATA[[#This Row],[D, bottom '[m']]]+#REF!)/(2*#REF!/1000),"")</f>
        <v/>
      </c>
      <c r="CM79" s="85" t="str">
        <f>IFERROR(TOWER_DATA[[#This Row],[Bottom '[mLAT']]]-TOWER_DATA[[#This Row],[D, top '[m']]], "")</f>
        <v/>
      </c>
      <c r="CN79" s="85" t="str">
        <f>IFERROR(-(TOWER_DATA[[#This Row],[D, bottom '[m']]]-TOWER_DATA[[#This Row],[D, top '[m']]])/(TOWER_DATA[[#This Row],[Bottom '[mLAT']]]-TOWER_DATA[[#This Row],[Top '[mLAT']]]),"")</f>
        <v/>
      </c>
      <c r="CO79" s="85" t="str">
        <f t="shared" si="2"/>
        <v/>
      </c>
      <c r="CP79" s="85" t="str">
        <f>IFERROR((TOWER_DATA[[#This Row],[D, bottom '[m']]]+TOWER_DATA[[#This Row],[D, top '[m']]])/(2*TOWER_DATA[[#This Row],[t '[mm']]]/1000),"")</f>
        <v/>
      </c>
      <c r="CQ79" s="85" t="str">
        <f>IFERROR((TOWER_DATA[[#This Row],[D, bottom '[m']]]+#REF!)/(2*#REF!/1000),"")</f>
        <v/>
      </c>
    </row>
    <row r="80" spans="8:95" x14ac:dyDescent="0.3">
      <c r="H80" s="85" t="str">
        <f>IFERROR(MP_DATA[[#This Row],[Bottom '[mLAT']]]-MP_DATA[[#This Row],[D, top '[m']]], "")</f>
        <v/>
      </c>
      <c r="I80" s="85" t="str">
        <f>IFERROR(-(MP_DATA[[#This Row],[D, bottom '[m']]]-MP_DATA[[#This Row],[D, top '[m']]])/(MP_DATA[[#This Row],[Bottom '[mLAT']]]-MP_DATA[[#This Row],[Top '[mLAT']]]),"")</f>
        <v/>
      </c>
      <c r="J80" s="85" t="str">
        <f t="shared" si="3"/>
        <v/>
      </c>
      <c r="K80" s="85" t="str">
        <f>IFERROR((MP_DATA[[#This Row],[D, bottom '[m']]]+MP_DATA[[#This Row],[D, top '[m']]])/(2*MP_DATA[[#This Row],[t '[mm']]]/1000),"")</f>
        <v/>
      </c>
      <c r="L80" s="85" t="str">
        <f>IFERROR((MP_DATA[[#This Row],[D, bottom '[m']]]+#REF!)/(2*#REF!/1000),"")</f>
        <v/>
      </c>
      <c r="AW80" s="85" t="str">
        <f>IFERROR(TP_DATA[[#This Row],[Bottom '[mLAT']]]-TP_DATA[[#This Row],[D, top '[m']]], "")</f>
        <v/>
      </c>
      <c r="AX80" s="85" t="str">
        <f>IFERROR(-(TP_DATA[[#This Row],[D, bottom '[m']]]-TP_DATA[[#This Row],[D, top '[m']]])/(TP_DATA[[#This Row],[Bottom '[mLAT']]]-TP_DATA[[#This Row],[Top '[mLAT']]]),"")</f>
        <v/>
      </c>
      <c r="AY80" s="85" t="str">
        <f t="shared" si="1"/>
        <v/>
      </c>
      <c r="AZ80" s="85" t="str">
        <f>IFERROR((TP_DATA[[#This Row],[D, bottom '[m']]]+TP_DATA[[#This Row],[D, top '[m']]])/(2*TP_DATA[[#This Row],[t '[mm']]]/1000),"")</f>
        <v/>
      </c>
      <c r="BA80" s="85" t="str">
        <f>IFERROR((TP_DATA[[#This Row],[D, bottom '[m']]]+#REF!)/(2*#REF!/1000),"")</f>
        <v/>
      </c>
      <c r="CM80" s="85" t="str">
        <f>IFERROR(TOWER_DATA[[#This Row],[Bottom '[mLAT']]]-TOWER_DATA[[#This Row],[D, top '[m']]], "")</f>
        <v/>
      </c>
      <c r="CN80" s="85" t="str">
        <f>IFERROR(-(TOWER_DATA[[#This Row],[D, bottom '[m']]]-TOWER_DATA[[#This Row],[D, top '[m']]])/(TOWER_DATA[[#This Row],[Bottom '[mLAT']]]-TOWER_DATA[[#This Row],[Top '[mLAT']]]),"")</f>
        <v/>
      </c>
      <c r="CO80" s="85" t="str">
        <f t="shared" si="2"/>
        <v/>
      </c>
      <c r="CP80" s="85" t="str">
        <f>IFERROR((TOWER_DATA[[#This Row],[D, bottom '[m']]]+TOWER_DATA[[#This Row],[D, top '[m']]])/(2*TOWER_DATA[[#This Row],[t '[mm']]]/1000),"")</f>
        <v/>
      </c>
      <c r="CQ80" s="85" t="str">
        <f>IFERROR((TOWER_DATA[[#This Row],[D, bottom '[m']]]+#REF!)/(2*#REF!/1000),"")</f>
        <v/>
      </c>
    </row>
    <row r="81" spans="8:95" x14ac:dyDescent="0.3">
      <c r="H81" s="85" t="str">
        <f>IFERROR(MP_DATA[[#This Row],[Bottom '[mLAT']]]-MP_DATA[[#This Row],[D, top '[m']]], "")</f>
        <v/>
      </c>
      <c r="I81" s="85" t="str">
        <f>IFERROR(-(MP_DATA[[#This Row],[D, bottom '[m']]]-MP_DATA[[#This Row],[D, top '[m']]])/(MP_DATA[[#This Row],[Bottom '[mLAT']]]-MP_DATA[[#This Row],[Top '[mLAT']]]),"")</f>
        <v/>
      </c>
      <c r="J81" s="85" t="str">
        <f t="shared" si="3"/>
        <v/>
      </c>
      <c r="K81" s="85" t="str">
        <f>IFERROR((MP_DATA[[#This Row],[D, bottom '[m']]]+MP_DATA[[#This Row],[D, top '[m']]])/(2*MP_DATA[[#This Row],[t '[mm']]]/1000),"")</f>
        <v/>
      </c>
      <c r="L81" s="85" t="str">
        <f>IFERROR((MP_DATA[[#This Row],[D, bottom '[m']]]+#REF!)/(2*#REF!/1000),"")</f>
        <v/>
      </c>
      <c r="AW81" s="85" t="str">
        <f>IFERROR(TP_DATA[[#This Row],[Bottom '[mLAT']]]-TP_DATA[[#This Row],[D, top '[m']]], "")</f>
        <v/>
      </c>
      <c r="AX81" s="85" t="str">
        <f>IFERROR(-(TP_DATA[[#This Row],[D, bottom '[m']]]-TP_DATA[[#This Row],[D, top '[m']]])/(TP_DATA[[#This Row],[Bottom '[mLAT']]]-TP_DATA[[#This Row],[Top '[mLAT']]]),"")</f>
        <v/>
      </c>
      <c r="AY81" s="85" t="str">
        <f t="shared" si="1"/>
        <v/>
      </c>
      <c r="AZ81" s="85" t="str">
        <f>IFERROR((TP_DATA[[#This Row],[D, bottom '[m']]]+TP_DATA[[#This Row],[D, top '[m']]])/(2*TP_DATA[[#This Row],[t '[mm']]]/1000),"")</f>
        <v/>
      </c>
      <c r="BA81" s="85" t="str">
        <f>IFERROR((TP_DATA[[#This Row],[D, bottom '[m']]]+#REF!)/(2*#REF!/1000),"")</f>
        <v/>
      </c>
      <c r="CM81" s="85" t="str">
        <f>IFERROR(TOWER_DATA[[#This Row],[Bottom '[mLAT']]]-TOWER_DATA[[#This Row],[D, top '[m']]], "")</f>
        <v/>
      </c>
      <c r="CN81" s="85" t="str">
        <f>IFERROR(-(TOWER_DATA[[#This Row],[D, bottom '[m']]]-TOWER_DATA[[#This Row],[D, top '[m']]])/(TOWER_DATA[[#This Row],[Bottom '[mLAT']]]-TOWER_DATA[[#This Row],[Top '[mLAT']]]),"")</f>
        <v/>
      </c>
      <c r="CO81" s="85" t="str">
        <f t="shared" si="2"/>
        <v/>
      </c>
      <c r="CP81" s="85" t="str">
        <f>IFERROR((TOWER_DATA[[#This Row],[D, bottom '[m']]]+TOWER_DATA[[#This Row],[D, top '[m']]])/(2*TOWER_DATA[[#This Row],[t '[mm']]]/1000),"")</f>
        <v/>
      </c>
      <c r="CQ81" s="85" t="str">
        <f>IFERROR((TOWER_DATA[[#This Row],[D, bottom '[m']]]+#REF!)/(2*#REF!/1000),"")</f>
        <v/>
      </c>
    </row>
    <row r="82" spans="8:95" x14ac:dyDescent="0.3">
      <c r="H82" s="85" t="str">
        <f>IFERROR(MP_DATA[[#This Row],[Bottom '[mLAT']]]-MP_DATA[[#This Row],[D, top '[m']]], "")</f>
        <v/>
      </c>
      <c r="I82" s="85" t="str">
        <f>IFERROR(-(MP_DATA[[#This Row],[D, bottom '[m']]]-MP_DATA[[#This Row],[D, top '[m']]])/(MP_DATA[[#This Row],[Bottom '[mLAT']]]-MP_DATA[[#This Row],[Top '[mLAT']]]),"")</f>
        <v/>
      </c>
      <c r="J82" s="85" t="str">
        <f t="shared" si="3"/>
        <v/>
      </c>
      <c r="K82" s="85" t="str">
        <f>IFERROR((MP_DATA[[#This Row],[D, bottom '[m']]]+MP_DATA[[#This Row],[D, top '[m']]])/(2*MP_DATA[[#This Row],[t '[mm']]]/1000),"")</f>
        <v/>
      </c>
      <c r="L82" s="85" t="str">
        <f>IFERROR((MP_DATA[[#This Row],[D, bottom '[m']]]+#REF!)/(2*#REF!/1000),"")</f>
        <v/>
      </c>
      <c r="AW82" s="85" t="str">
        <f>IFERROR(TP_DATA[[#This Row],[Bottom '[mLAT']]]-TP_DATA[[#This Row],[D, top '[m']]], "")</f>
        <v/>
      </c>
      <c r="AX82" s="85" t="str">
        <f>IFERROR(-(TP_DATA[[#This Row],[D, bottom '[m']]]-TP_DATA[[#This Row],[D, top '[m']]])/(TP_DATA[[#This Row],[Bottom '[mLAT']]]-TP_DATA[[#This Row],[Top '[mLAT']]]),"")</f>
        <v/>
      </c>
      <c r="AY82" s="85" t="str">
        <f t="shared" si="1"/>
        <v/>
      </c>
      <c r="AZ82" s="85" t="str">
        <f>IFERROR((TP_DATA[[#This Row],[D, bottom '[m']]]+TP_DATA[[#This Row],[D, top '[m']]])/(2*TP_DATA[[#This Row],[t '[mm']]]/1000),"")</f>
        <v/>
      </c>
      <c r="BA82" s="85" t="str">
        <f>IFERROR((TP_DATA[[#This Row],[D, bottom '[m']]]+#REF!)/(2*#REF!/1000),"")</f>
        <v/>
      </c>
      <c r="CM82" s="85" t="str">
        <f>IFERROR(TOWER_DATA[[#This Row],[Bottom '[mLAT']]]-TOWER_DATA[[#This Row],[D, top '[m']]], "")</f>
        <v/>
      </c>
      <c r="CN82" s="85" t="str">
        <f>IFERROR(-(TOWER_DATA[[#This Row],[D, bottom '[m']]]-TOWER_DATA[[#This Row],[D, top '[m']]])/(TOWER_DATA[[#This Row],[Bottom '[mLAT']]]-TOWER_DATA[[#This Row],[Top '[mLAT']]]),"")</f>
        <v/>
      </c>
      <c r="CO82" s="85" t="str">
        <f t="shared" si="2"/>
        <v/>
      </c>
      <c r="CP82" s="85" t="str">
        <f>IFERROR((TOWER_DATA[[#This Row],[D, bottom '[m']]]+TOWER_DATA[[#This Row],[D, top '[m']]])/(2*TOWER_DATA[[#This Row],[t '[mm']]]/1000),"")</f>
        <v/>
      </c>
      <c r="CQ82" s="85" t="str">
        <f>IFERROR((TOWER_DATA[[#This Row],[D, bottom '[m']]]+#REF!)/(2*#REF!/1000),"")</f>
        <v/>
      </c>
    </row>
    <row r="83" spans="8:95" x14ac:dyDescent="0.3">
      <c r="H83" s="85" t="str">
        <f>IFERROR(MP_DATA[[#This Row],[Bottom '[mLAT']]]-MP_DATA[[#This Row],[D, top '[m']]], "")</f>
        <v/>
      </c>
      <c r="I83" s="85" t="str">
        <f>IFERROR(-(MP_DATA[[#This Row],[D, bottom '[m']]]-MP_DATA[[#This Row],[D, top '[m']]])/(MP_DATA[[#This Row],[Bottom '[mLAT']]]-MP_DATA[[#This Row],[Top '[mLAT']]]),"")</f>
        <v/>
      </c>
      <c r="J83" s="85" t="str">
        <f t="shared" si="3"/>
        <v/>
      </c>
      <c r="K83" s="85" t="str">
        <f>IFERROR((MP_DATA[[#This Row],[D, bottom '[m']]]+MP_DATA[[#This Row],[D, top '[m']]])/(2*MP_DATA[[#This Row],[t '[mm']]]/1000),"")</f>
        <v/>
      </c>
      <c r="L83" s="85" t="str">
        <f>IFERROR((MP_DATA[[#This Row],[D, bottom '[m']]]+#REF!)/(2*#REF!/1000),"")</f>
        <v/>
      </c>
      <c r="AW83" s="85" t="str">
        <f>IFERROR(TP_DATA[[#This Row],[Bottom '[mLAT']]]-TP_DATA[[#This Row],[D, top '[m']]], "")</f>
        <v/>
      </c>
      <c r="AX83" s="85" t="str">
        <f>IFERROR(-(TP_DATA[[#This Row],[D, bottom '[m']]]-TP_DATA[[#This Row],[D, top '[m']]])/(TP_DATA[[#This Row],[Bottom '[mLAT']]]-TP_DATA[[#This Row],[Top '[mLAT']]]),"")</f>
        <v/>
      </c>
      <c r="AY83" s="85" t="str">
        <f t="shared" ref="AY83:AY146" si="4">IF(7850/1000*(1/3)*PI()*ABS(AR83-AS83)*((AT83/2)^2+(AT83/2)*(AU83/2)+(AU83/2)^2-(AT83/2-AV83/1000)^2-(AT83/2-AV83/1000)*(AU83/2-AV83/1000)-(AU83/2-AV83/1000)^2)=0,"",7850/1000*(1/3)*PI()*ABS(AR83-AS83)*((AT83/2)^2+(AT83/2)*(AU83/2)+(AU83/2)^2-(AT83/2-AV83/1000)^2-(AT83/2-AV83/1000)*(AU83/2-AV83/1000)-(AU83/2-AV83/1000)^2))</f>
        <v/>
      </c>
      <c r="AZ83" s="85" t="str">
        <f>IFERROR((TP_DATA[[#This Row],[D, bottom '[m']]]+TP_DATA[[#This Row],[D, top '[m']]])/(2*TP_DATA[[#This Row],[t '[mm']]]/1000),"")</f>
        <v/>
      </c>
      <c r="BA83" s="85" t="str">
        <f>IFERROR((TP_DATA[[#This Row],[D, bottom '[m']]]+#REF!)/(2*#REF!/1000),"")</f>
        <v/>
      </c>
      <c r="CM83" s="85" t="str">
        <f>IFERROR(TOWER_DATA[[#This Row],[Bottom '[mLAT']]]-TOWER_DATA[[#This Row],[D, top '[m']]], "")</f>
        <v/>
      </c>
      <c r="CN83" s="85" t="str">
        <f>IFERROR(-(TOWER_DATA[[#This Row],[D, bottom '[m']]]-TOWER_DATA[[#This Row],[D, top '[m']]])/(TOWER_DATA[[#This Row],[Bottom '[mLAT']]]-TOWER_DATA[[#This Row],[Top '[mLAT']]]),"")</f>
        <v/>
      </c>
      <c r="CO83" s="85" t="str">
        <f t="shared" ref="CO83:CO146" si="5">IF(7850/1000*(1/3)*PI()*ABS(CH83-CI83)*((CJ83/2)^2+(CJ83/2)*(CK83/2)+(CK83/2)^2-(CJ83/2-CL83/1000)^2-(CJ83/2-CL83/1000)*(CK83/2-CL83/1000)-(CK83/2-CL83/1000)^2)=0,"",7850/1000*(1/3)*PI()*ABS(CH83-CI83)*((CJ83/2)^2+(CJ83/2)*(CK83/2)+(CK83/2)^2-(CJ83/2-CL83/1000)^2-(CJ83/2-CL83/1000)*(CK83/2-CL83/1000)-(CK83/2-CL83/1000)^2))</f>
        <v/>
      </c>
      <c r="CP83" s="85" t="str">
        <f>IFERROR((TOWER_DATA[[#This Row],[D, bottom '[m']]]+TOWER_DATA[[#This Row],[D, top '[m']]])/(2*TOWER_DATA[[#This Row],[t '[mm']]]/1000),"")</f>
        <v/>
      </c>
      <c r="CQ83" s="85" t="str">
        <f>IFERROR((TOWER_DATA[[#This Row],[D, bottom '[m']]]+#REF!)/(2*#REF!/1000),"")</f>
        <v/>
      </c>
    </row>
    <row r="84" spans="8:95" x14ac:dyDescent="0.3">
      <c r="H84" s="85" t="str">
        <f>IFERROR(MP_DATA[[#This Row],[Bottom '[mLAT']]]-MP_DATA[[#This Row],[D, top '[m']]], "")</f>
        <v/>
      </c>
      <c r="I84" s="85" t="str">
        <f>IFERROR(-(MP_DATA[[#This Row],[D, bottom '[m']]]-MP_DATA[[#This Row],[D, top '[m']]])/(MP_DATA[[#This Row],[Bottom '[mLAT']]]-MP_DATA[[#This Row],[Top '[mLAT']]]),"")</f>
        <v/>
      </c>
      <c r="J84" s="85" t="str">
        <f t="shared" ref="J84:J147" si="6">IF(7850/1000*(1/3)*PI()*ABS(C84-D84)*((E84/2)^2+(E84/2)*(F84/2)+(F84/2)^2-(E84/2-G84/1000)^2-(E84/2-G84/1000)*(F84/2-G84/1000)-(F84/2-G84/1000)^2)=0,"",7850/1000*(1/3)*PI()*ABS(C84-D84)*((E84/2)^2+(E84/2)*(F84/2)+(F84/2)^2-(E84/2-G84/1000)^2-(E84/2-G84/1000)*(F84/2-G84/1000)-(F84/2-G84/1000)^2))</f>
        <v/>
      </c>
      <c r="K84" s="85" t="str">
        <f>IFERROR((MP_DATA[[#This Row],[D, bottom '[m']]]+MP_DATA[[#This Row],[D, top '[m']]])/(2*MP_DATA[[#This Row],[t '[mm']]]/1000),"")</f>
        <v/>
      </c>
      <c r="L84" s="85" t="str">
        <f>IFERROR((MP_DATA[[#This Row],[D, bottom '[m']]]+#REF!)/(2*#REF!/1000),"")</f>
        <v/>
      </c>
      <c r="AW84" s="85" t="str">
        <f>IFERROR(TP_DATA[[#This Row],[Bottom '[mLAT']]]-TP_DATA[[#This Row],[D, top '[m']]], "")</f>
        <v/>
      </c>
      <c r="AX84" s="85" t="str">
        <f>IFERROR(-(TP_DATA[[#This Row],[D, bottom '[m']]]-TP_DATA[[#This Row],[D, top '[m']]])/(TP_DATA[[#This Row],[Bottom '[mLAT']]]-TP_DATA[[#This Row],[Top '[mLAT']]]),"")</f>
        <v/>
      </c>
      <c r="AY84" s="85" t="str">
        <f t="shared" si="4"/>
        <v/>
      </c>
      <c r="AZ84" s="85" t="str">
        <f>IFERROR((TP_DATA[[#This Row],[D, bottom '[m']]]+TP_DATA[[#This Row],[D, top '[m']]])/(2*TP_DATA[[#This Row],[t '[mm']]]/1000),"")</f>
        <v/>
      </c>
      <c r="BA84" s="85" t="str">
        <f>IFERROR((TP_DATA[[#This Row],[D, bottom '[m']]]+#REF!)/(2*#REF!/1000),"")</f>
        <v/>
      </c>
      <c r="CM84" s="85" t="str">
        <f>IFERROR(TOWER_DATA[[#This Row],[Bottom '[mLAT']]]-TOWER_DATA[[#This Row],[D, top '[m']]], "")</f>
        <v/>
      </c>
      <c r="CN84" s="85" t="str">
        <f>IFERROR(-(TOWER_DATA[[#This Row],[D, bottom '[m']]]-TOWER_DATA[[#This Row],[D, top '[m']]])/(TOWER_DATA[[#This Row],[Bottom '[mLAT']]]-TOWER_DATA[[#This Row],[Top '[mLAT']]]),"")</f>
        <v/>
      </c>
      <c r="CO84" s="85" t="str">
        <f t="shared" si="5"/>
        <v/>
      </c>
      <c r="CP84" s="85" t="str">
        <f>IFERROR((TOWER_DATA[[#This Row],[D, bottom '[m']]]+TOWER_DATA[[#This Row],[D, top '[m']]])/(2*TOWER_DATA[[#This Row],[t '[mm']]]/1000),"")</f>
        <v/>
      </c>
      <c r="CQ84" s="85" t="str">
        <f>IFERROR((TOWER_DATA[[#This Row],[D, bottom '[m']]]+#REF!)/(2*#REF!/1000),"")</f>
        <v/>
      </c>
    </row>
    <row r="85" spans="8:95" x14ac:dyDescent="0.3">
      <c r="H85" s="85" t="str">
        <f>IFERROR(MP_DATA[[#This Row],[Bottom '[mLAT']]]-MP_DATA[[#This Row],[D, top '[m']]], "")</f>
        <v/>
      </c>
      <c r="I85" s="85" t="str">
        <f>IFERROR(-(MP_DATA[[#This Row],[D, bottom '[m']]]-MP_DATA[[#This Row],[D, top '[m']]])/(MP_DATA[[#This Row],[Bottom '[mLAT']]]-MP_DATA[[#This Row],[Top '[mLAT']]]),"")</f>
        <v/>
      </c>
      <c r="J85" s="85" t="str">
        <f t="shared" si="6"/>
        <v/>
      </c>
      <c r="K85" s="85" t="str">
        <f>IFERROR((MP_DATA[[#This Row],[D, bottom '[m']]]+MP_DATA[[#This Row],[D, top '[m']]])/(2*MP_DATA[[#This Row],[t '[mm']]]/1000),"")</f>
        <v/>
      </c>
      <c r="L85" s="85" t="str">
        <f>IFERROR((MP_DATA[[#This Row],[D, bottom '[m']]]+#REF!)/(2*#REF!/1000),"")</f>
        <v/>
      </c>
      <c r="AW85" s="85" t="str">
        <f>IFERROR(TP_DATA[[#This Row],[Bottom '[mLAT']]]-TP_DATA[[#This Row],[D, top '[m']]], "")</f>
        <v/>
      </c>
      <c r="AX85" s="85" t="str">
        <f>IFERROR(-(TP_DATA[[#This Row],[D, bottom '[m']]]-TP_DATA[[#This Row],[D, top '[m']]])/(TP_DATA[[#This Row],[Bottom '[mLAT']]]-TP_DATA[[#This Row],[Top '[mLAT']]]),"")</f>
        <v/>
      </c>
      <c r="AY85" s="85" t="str">
        <f t="shared" si="4"/>
        <v/>
      </c>
      <c r="AZ85" s="85" t="str">
        <f>IFERROR((TP_DATA[[#This Row],[D, bottom '[m']]]+TP_DATA[[#This Row],[D, top '[m']]])/(2*TP_DATA[[#This Row],[t '[mm']]]/1000),"")</f>
        <v/>
      </c>
      <c r="BA85" s="85" t="str">
        <f>IFERROR((TP_DATA[[#This Row],[D, bottom '[m']]]+#REF!)/(2*#REF!/1000),"")</f>
        <v/>
      </c>
      <c r="CM85" s="85" t="str">
        <f>IFERROR(TOWER_DATA[[#This Row],[Bottom '[mLAT']]]-TOWER_DATA[[#This Row],[D, top '[m']]], "")</f>
        <v/>
      </c>
      <c r="CN85" s="85" t="str">
        <f>IFERROR(-(TOWER_DATA[[#This Row],[D, bottom '[m']]]-TOWER_DATA[[#This Row],[D, top '[m']]])/(TOWER_DATA[[#This Row],[Bottom '[mLAT']]]-TOWER_DATA[[#This Row],[Top '[mLAT']]]),"")</f>
        <v/>
      </c>
      <c r="CO85" s="85" t="str">
        <f t="shared" si="5"/>
        <v/>
      </c>
      <c r="CP85" s="85" t="str">
        <f>IFERROR((TOWER_DATA[[#This Row],[D, bottom '[m']]]+TOWER_DATA[[#This Row],[D, top '[m']]])/(2*TOWER_DATA[[#This Row],[t '[mm']]]/1000),"")</f>
        <v/>
      </c>
      <c r="CQ85" s="85" t="str">
        <f>IFERROR((TOWER_DATA[[#This Row],[D, bottom '[m']]]+#REF!)/(2*#REF!/1000),"")</f>
        <v/>
      </c>
    </row>
    <row r="86" spans="8:95" x14ac:dyDescent="0.3">
      <c r="H86" s="85" t="str">
        <f>IFERROR(MP_DATA[[#This Row],[Bottom '[mLAT']]]-MP_DATA[[#This Row],[D, top '[m']]], "")</f>
        <v/>
      </c>
      <c r="I86" s="85" t="str">
        <f>IFERROR(-(MP_DATA[[#This Row],[D, bottom '[m']]]-MP_DATA[[#This Row],[D, top '[m']]])/(MP_DATA[[#This Row],[Bottom '[mLAT']]]-MP_DATA[[#This Row],[Top '[mLAT']]]),"")</f>
        <v/>
      </c>
      <c r="J86" s="85" t="str">
        <f t="shared" si="6"/>
        <v/>
      </c>
      <c r="K86" s="85" t="str">
        <f>IFERROR((MP_DATA[[#This Row],[D, bottom '[m']]]+MP_DATA[[#This Row],[D, top '[m']]])/(2*MP_DATA[[#This Row],[t '[mm']]]/1000),"")</f>
        <v/>
      </c>
      <c r="L86" s="85" t="str">
        <f>IFERROR((MP_DATA[[#This Row],[D, bottom '[m']]]+#REF!)/(2*#REF!/1000),"")</f>
        <v/>
      </c>
      <c r="AW86" s="85" t="str">
        <f>IFERROR(TP_DATA[[#This Row],[Bottom '[mLAT']]]-TP_DATA[[#This Row],[D, top '[m']]], "")</f>
        <v/>
      </c>
      <c r="AX86" s="85" t="str">
        <f>IFERROR(-(TP_DATA[[#This Row],[D, bottom '[m']]]-TP_DATA[[#This Row],[D, top '[m']]])/(TP_DATA[[#This Row],[Bottom '[mLAT']]]-TP_DATA[[#This Row],[Top '[mLAT']]]),"")</f>
        <v/>
      </c>
      <c r="AY86" s="85" t="str">
        <f t="shared" si="4"/>
        <v/>
      </c>
      <c r="AZ86" s="85" t="str">
        <f>IFERROR((TP_DATA[[#This Row],[D, bottom '[m']]]+TP_DATA[[#This Row],[D, top '[m']]])/(2*TP_DATA[[#This Row],[t '[mm']]]/1000),"")</f>
        <v/>
      </c>
      <c r="BA86" s="85" t="str">
        <f>IFERROR((TP_DATA[[#This Row],[D, bottom '[m']]]+#REF!)/(2*#REF!/1000),"")</f>
        <v/>
      </c>
      <c r="CM86" s="85" t="str">
        <f>IFERROR(TOWER_DATA[[#This Row],[Bottom '[mLAT']]]-TOWER_DATA[[#This Row],[D, top '[m']]], "")</f>
        <v/>
      </c>
      <c r="CN86" s="85" t="str">
        <f>IFERROR(-(TOWER_DATA[[#This Row],[D, bottom '[m']]]-TOWER_DATA[[#This Row],[D, top '[m']]])/(TOWER_DATA[[#This Row],[Bottom '[mLAT']]]-TOWER_DATA[[#This Row],[Top '[mLAT']]]),"")</f>
        <v/>
      </c>
      <c r="CO86" s="85" t="str">
        <f t="shared" si="5"/>
        <v/>
      </c>
      <c r="CP86" s="85" t="str">
        <f>IFERROR((TOWER_DATA[[#This Row],[D, bottom '[m']]]+TOWER_DATA[[#This Row],[D, top '[m']]])/(2*TOWER_DATA[[#This Row],[t '[mm']]]/1000),"")</f>
        <v/>
      </c>
      <c r="CQ86" s="85" t="str">
        <f>IFERROR((TOWER_DATA[[#This Row],[D, bottom '[m']]]+#REF!)/(2*#REF!/1000),"")</f>
        <v/>
      </c>
    </row>
    <row r="87" spans="8:95" x14ac:dyDescent="0.3">
      <c r="H87" s="85" t="str">
        <f>IFERROR(MP_DATA[[#This Row],[Bottom '[mLAT']]]-MP_DATA[[#This Row],[D, top '[m']]], "")</f>
        <v/>
      </c>
      <c r="I87" s="85" t="str">
        <f>IFERROR(-(MP_DATA[[#This Row],[D, bottom '[m']]]-MP_DATA[[#This Row],[D, top '[m']]])/(MP_DATA[[#This Row],[Bottom '[mLAT']]]-MP_DATA[[#This Row],[Top '[mLAT']]]),"")</f>
        <v/>
      </c>
      <c r="J87" s="85" t="str">
        <f t="shared" si="6"/>
        <v/>
      </c>
      <c r="K87" s="85" t="str">
        <f>IFERROR((MP_DATA[[#This Row],[D, bottom '[m']]]+MP_DATA[[#This Row],[D, top '[m']]])/(2*MP_DATA[[#This Row],[t '[mm']]]/1000),"")</f>
        <v/>
      </c>
      <c r="L87" s="85" t="str">
        <f>IFERROR((MP_DATA[[#This Row],[D, bottom '[m']]]+#REF!)/(2*#REF!/1000),"")</f>
        <v/>
      </c>
      <c r="AW87" s="85" t="str">
        <f>IFERROR(TP_DATA[[#This Row],[Bottom '[mLAT']]]-TP_DATA[[#This Row],[D, top '[m']]], "")</f>
        <v/>
      </c>
      <c r="AX87" s="85" t="str">
        <f>IFERROR(-(TP_DATA[[#This Row],[D, bottom '[m']]]-TP_DATA[[#This Row],[D, top '[m']]])/(TP_DATA[[#This Row],[Bottom '[mLAT']]]-TP_DATA[[#This Row],[Top '[mLAT']]]),"")</f>
        <v/>
      </c>
      <c r="AY87" s="85" t="str">
        <f t="shared" si="4"/>
        <v/>
      </c>
      <c r="AZ87" s="85" t="str">
        <f>IFERROR((TP_DATA[[#This Row],[D, bottom '[m']]]+TP_DATA[[#This Row],[D, top '[m']]])/(2*TP_DATA[[#This Row],[t '[mm']]]/1000),"")</f>
        <v/>
      </c>
      <c r="BA87" s="85" t="str">
        <f>IFERROR((TP_DATA[[#This Row],[D, bottom '[m']]]+#REF!)/(2*#REF!/1000),"")</f>
        <v/>
      </c>
      <c r="CM87" s="85" t="str">
        <f>IFERROR(TOWER_DATA[[#This Row],[Bottom '[mLAT']]]-TOWER_DATA[[#This Row],[D, top '[m']]], "")</f>
        <v/>
      </c>
      <c r="CN87" s="85" t="str">
        <f>IFERROR(-(TOWER_DATA[[#This Row],[D, bottom '[m']]]-TOWER_DATA[[#This Row],[D, top '[m']]])/(TOWER_DATA[[#This Row],[Bottom '[mLAT']]]-TOWER_DATA[[#This Row],[Top '[mLAT']]]),"")</f>
        <v/>
      </c>
      <c r="CO87" s="85" t="str">
        <f t="shared" si="5"/>
        <v/>
      </c>
      <c r="CP87" s="85" t="str">
        <f>IFERROR((TOWER_DATA[[#This Row],[D, bottom '[m']]]+TOWER_DATA[[#This Row],[D, top '[m']]])/(2*TOWER_DATA[[#This Row],[t '[mm']]]/1000),"")</f>
        <v/>
      </c>
      <c r="CQ87" s="85" t="str">
        <f>IFERROR((TOWER_DATA[[#This Row],[D, bottom '[m']]]+#REF!)/(2*#REF!/1000),"")</f>
        <v/>
      </c>
    </row>
    <row r="88" spans="8:95" x14ac:dyDescent="0.3">
      <c r="H88" s="85" t="str">
        <f>IFERROR(MP_DATA[[#This Row],[Bottom '[mLAT']]]-MP_DATA[[#This Row],[D, top '[m']]], "")</f>
        <v/>
      </c>
      <c r="I88" s="85" t="str">
        <f>IFERROR(-(MP_DATA[[#This Row],[D, bottom '[m']]]-MP_DATA[[#This Row],[D, top '[m']]])/(MP_DATA[[#This Row],[Bottom '[mLAT']]]-MP_DATA[[#This Row],[Top '[mLAT']]]),"")</f>
        <v/>
      </c>
      <c r="J88" s="85" t="str">
        <f t="shared" si="6"/>
        <v/>
      </c>
      <c r="K88" s="85" t="str">
        <f>IFERROR((MP_DATA[[#This Row],[D, bottom '[m']]]+MP_DATA[[#This Row],[D, top '[m']]])/(2*MP_DATA[[#This Row],[t '[mm']]]/1000),"")</f>
        <v/>
      </c>
      <c r="L88" s="85" t="str">
        <f>IFERROR((MP_DATA[[#This Row],[D, bottom '[m']]]+#REF!)/(2*#REF!/1000),"")</f>
        <v/>
      </c>
      <c r="AW88" s="85" t="str">
        <f>IFERROR(TP_DATA[[#This Row],[Bottom '[mLAT']]]-TP_DATA[[#This Row],[D, top '[m']]], "")</f>
        <v/>
      </c>
      <c r="AX88" s="85" t="str">
        <f>IFERROR(-(TP_DATA[[#This Row],[D, bottom '[m']]]-TP_DATA[[#This Row],[D, top '[m']]])/(TP_DATA[[#This Row],[Bottom '[mLAT']]]-TP_DATA[[#This Row],[Top '[mLAT']]]),"")</f>
        <v/>
      </c>
      <c r="AY88" s="85" t="str">
        <f t="shared" si="4"/>
        <v/>
      </c>
      <c r="AZ88" s="85" t="str">
        <f>IFERROR((TP_DATA[[#This Row],[D, bottom '[m']]]+TP_DATA[[#This Row],[D, top '[m']]])/(2*TP_DATA[[#This Row],[t '[mm']]]/1000),"")</f>
        <v/>
      </c>
      <c r="BA88" s="85" t="str">
        <f>IFERROR((TP_DATA[[#This Row],[D, bottom '[m']]]+#REF!)/(2*#REF!/1000),"")</f>
        <v/>
      </c>
      <c r="CM88" s="85" t="str">
        <f>IFERROR(TOWER_DATA[[#This Row],[Bottom '[mLAT']]]-TOWER_DATA[[#This Row],[D, top '[m']]], "")</f>
        <v/>
      </c>
      <c r="CN88" s="85" t="str">
        <f>IFERROR(-(TOWER_DATA[[#This Row],[D, bottom '[m']]]-TOWER_DATA[[#This Row],[D, top '[m']]])/(TOWER_DATA[[#This Row],[Bottom '[mLAT']]]-TOWER_DATA[[#This Row],[Top '[mLAT']]]),"")</f>
        <v/>
      </c>
      <c r="CO88" s="85" t="str">
        <f t="shared" si="5"/>
        <v/>
      </c>
      <c r="CP88" s="85" t="str">
        <f>IFERROR((TOWER_DATA[[#This Row],[D, bottom '[m']]]+TOWER_DATA[[#This Row],[D, top '[m']]])/(2*TOWER_DATA[[#This Row],[t '[mm']]]/1000),"")</f>
        <v/>
      </c>
      <c r="CQ88" s="85" t="str">
        <f>IFERROR((TOWER_DATA[[#This Row],[D, bottom '[m']]]+#REF!)/(2*#REF!/1000),"")</f>
        <v/>
      </c>
    </row>
    <row r="89" spans="8:95" x14ac:dyDescent="0.3">
      <c r="H89" s="85" t="str">
        <f>IFERROR(MP_DATA[[#This Row],[Bottom '[mLAT']]]-MP_DATA[[#This Row],[D, top '[m']]], "")</f>
        <v/>
      </c>
      <c r="I89" s="85" t="str">
        <f>IFERROR(-(MP_DATA[[#This Row],[D, bottom '[m']]]-MP_DATA[[#This Row],[D, top '[m']]])/(MP_DATA[[#This Row],[Bottom '[mLAT']]]-MP_DATA[[#This Row],[Top '[mLAT']]]),"")</f>
        <v/>
      </c>
      <c r="J89" s="85" t="str">
        <f t="shared" si="6"/>
        <v/>
      </c>
      <c r="K89" s="85" t="str">
        <f>IFERROR((MP_DATA[[#This Row],[D, bottom '[m']]]+MP_DATA[[#This Row],[D, top '[m']]])/(2*MP_DATA[[#This Row],[t '[mm']]]/1000),"")</f>
        <v/>
      </c>
      <c r="L89" s="85" t="str">
        <f>IFERROR((MP_DATA[[#This Row],[D, bottom '[m']]]+#REF!)/(2*#REF!/1000),"")</f>
        <v/>
      </c>
      <c r="AW89" s="85" t="str">
        <f>IFERROR(TP_DATA[[#This Row],[Bottom '[mLAT']]]-TP_DATA[[#This Row],[D, top '[m']]], "")</f>
        <v/>
      </c>
      <c r="AX89" s="85" t="str">
        <f>IFERROR(-(TP_DATA[[#This Row],[D, bottom '[m']]]-TP_DATA[[#This Row],[D, top '[m']]])/(TP_DATA[[#This Row],[Bottom '[mLAT']]]-TP_DATA[[#This Row],[Top '[mLAT']]]),"")</f>
        <v/>
      </c>
      <c r="AY89" s="85" t="str">
        <f t="shared" si="4"/>
        <v/>
      </c>
      <c r="AZ89" s="85" t="str">
        <f>IFERROR((TP_DATA[[#This Row],[D, bottom '[m']]]+TP_DATA[[#This Row],[D, top '[m']]])/(2*TP_DATA[[#This Row],[t '[mm']]]/1000),"")</f>
        <v/>
      </c>
      <c r="BA89" s="85" t="str">
        <f>IFERROR((TP_DATA[[#This Row],[D, bottom '[m']]]+#REF!)/(2*#REF!/1000),"")</f>
        <v/>
      </c>
      <c r="CM89" s="85" t="str">
        <f>IFERROR(TOWER_DATA[[#This Row],[Bottom '[mLAT']]]-TOWER_DATA[[#This Row],[D, top '[m']]], "")</f>
        <v/>
      </c>
      <c r="CN89" s="85" t="str">
        <f>IFERROR(-(TOWER_DATA[[#This Row],[D, bottom '[m']]]-TOWER_DATA[[#This Row],[D, top '[m']]])/(TOWER_DATA[[#This Row],[Bottom '[mLAT']]]-TOWER_DATA[[#This Row],[Top '[mLAT']]]),"")</f>
        <v/>
      </c>
      <c r="CO89" s="85" t="str">
        <f t="shared" si="5"/>
        <v/>
      </c>
      <c r="CP89" s="85" t="str">
        <f>IFERROR((TOWER_DATA[[#This Row],[D, bottom '[m']]]+TOWER_DATA[[#This Row],[D, top '[m']]])/(2*TOWER_DATA[[#This Row],[t '[mm']]]/1000),"")</f>
        <v/>
      </c>
      <c r="CQ89" s="85" t="str">
        <f>IFERROR((TOWER_DATA[[#This Row],[D, bottom '[m']]]+#REF!)/(2*#REF!/1000),"")</f>
        <v/>
      </c>
    </row>
    <row r="90" spans="8:95" x14ac:dyDescent="0.3">
      <c r="H90" s="85" t="str">
        <f>IFERROR(MP_DATA[[#This Row],[Bottom '[mLAT']]]-MP_DATA[[#This Row],[D, top '[m']]], "")</f>
        <v/>
      </c>
      <c r="I90" s="85" t="str">
        <f>IFERROR(-(MP_DATA[[#This Row],[D, bottom '[m']]]-MP_DATA[[#This Row],[D, top '[m']]])/(MP_DATA[[#This Row],[Bottom '[mLAT']]]-MP_DATA[[#This Row],[Top '[mLAT']]]),"")</f>
        <v/>
      </c>
      <c r="J90" s="85" t="str">
        <f t="shared" si="6"/>
        <v/>
      </c>
      <c r="K90" s="85" t="str">
        <f>IFERROR((MP_DATA[[#This Row],[D, bottom '[m']]]+MP_DATA[[#This Row],[D, top '[m']]])/(2*MP_DATA[[#This Row],[t '[mm']]]/1000),"")</f>
        <v/>
      </c>
      <c r="L90" s="85" t="str">
        <f>IFERROR((MP_DATA[[#This Row],[D, bottom '[m']]]+#REF!)/(2*#REF!/1000),"")</f>
        <v/>
      </c>
      <c r="AW90" s="85" t="str">
        <f>IFERROR(TP_DATA[[#This Row],[Bottom '[mLAT']]]-TP_DATA[[#This Row],[D, top '[m']]], "")</f>
        <v/>
      </c>
      <c r="AX90" s="85" t="str">
        <f>IFERROR(-(TP_DATA[[#This Row],[D, bottom '[m']]]-TP_DATA[[#This Row],[D, top '[m']]])/(TP_DATA[[#This Row],[Bottom '[mLAT']]]-TP_DATA[[#This Row],[Top '[mLAT']]]),"")</f>
        <v/>
      </c>
      <c r="AY90" s="85" t="str">
        <f t="shared" si="4"/>
        <v/>
      </c>
      <c r="AZ90" s="85" t="str">
        <f>IFERROR((TP_DATA[[#This Row],[D, bottom '[m']]]+TP_DATA[[#This Row],[D, top '[m']]])/(2*TP_DATA[[#This Row],[t '[mm']]]/1000),"")</f>
        <v/>
      </c>
      <c r="BA90" s="85" t="str">
        <f>IFERROR((TP_DATA[[#This Row],[D, bottom '[m']]]+#REF!)/(2*#REF!/1000),"")</f>
        <v/>
      </c>
      <c r="CM90" s="85" t="str">
        <f>IFERROR(TOWER_DATA[[#This Row],[Bottom '[mLAT']]]-TOWER_DATA[[#This Row],[D, top '[m']]], "")</f>
        <v/>
      </c>
      <c r="CN90" s="85" t="str">
        <f>IFERROR(-(TOWER_DATA[[#This Row],[D, bottom '[m']]]-TOWER_DATA[[#This Row],[D, top '[m']]])/(TOWER_DATA[[#This Row],[Bottom '[mLAT']]]-TOWER_DATA[[#This Row],[Top '[mLAT']]]),"")</f>
        <v/>
      </c>
      <c r="CO90" s="85" t="str">
        <f t="shared" si="5"/>
        <v/>
      </c>
      <c r="CP90" s="85" t="str">
        <f>IFERROR((TOWER_DATA[[#This Row],[D, bottom '[m']]]+TOWER_DATA[[#This Row],[D, top '[m']]])/(2*TOWER_DATA[[#This Row],[t '[mm']]]/1000),"")</f>
        <v/>
      </c>
      <c r="CQ90" s="85" t="str">
        <f>IFERROR((TOWER_DATA[[#This Row],[D, bottom '[m']]]+#REF!)/(2*#REF!/1000),"")</f>
        <v/>
      </c>
    </row>
    <row r="91" spans="8:95" x14ac:dyDescent="0.3">
      <c r="H91" s="85" t="str">
        <f>IFERROR(MP_DATA[[#This Row],[Bottom '[mLAT']]]-MP_DATA[[#This Row],[D, top '[m']]], "")</f>
        <v/>
      </c>
      <c r="I91" s="85" t="str">
        <f>IFERROR(-(MP_DATA[[#This Row],[D, bottom '[m']]]-MP_DATA[[#This Row],[D, top '[m']]])/(MP_DATA[[#This Row],[Bottom '[mLAT']]]-MP_DATA[[#This Row],[Top '[mLAT']]]),"")</f>
        <v/>
      </c>
      <c r="J91" s="85" t="str">
        <f t="shared" si="6"/>
        <v/>
      </c>
      <c r="K91" s="85" t="str">
        <f>IFERROR((MP_DATA[[#This Row],[D, bottom '[m']]]+MP_DATA[[#This Row],[D, top '[m']]])/(2*MP_DATA[[#This Row],[t '[mm']]]/1000),"")</f>
        <v/>
      </c>
      <c r="L91" s="85" t="str">
        <f>IFERROR((MP_DATA[[#This Row],[D, bottom '[m']]]+#REF!)/(2*#REF!/1000),"")</f>
        <v/>
      </c>
      <c r="AW91" s="85" t="str">
        <f>IFERROR(TP_DATA[[#This Row],[Bottom '[mLAT']]]-TP_DATA[[#This Row],[D, top '[m']]], "")</f>
        <v/>
      </c>
      <c r="AX91" s="85" t="str">
        <f>IFERROR(-(TP_DATA[[#This Row],[D, bottom '[m']]]-TP_DATA[[#This Row],[D, top '[m']]])/(TP_DATA[[#This Row],[Bottom '[mLAT']]]-TP_DATA[[#This Row],[Top '[mLAT']]]),"")</f>
        <v/>
      </c>
      <c r="AY91" s="85" t="str">
        <f t="shared" si="4"/>
        <v/>
      </c>
      <c r="AZ91" s="85" t="str">
        <f>IFERROR((TP_DATA[[#This Row],[D, bottom '[m']]]+TP_DATA[[#This Row],[D, top '[m']]])/(2*TP_DATA[[#This Row],[t '[mm']]]/1000),"")</f>
        <v/>
      </c>
      <c r="BA91" s="85" t="str">
        <f>IFERROR((TP_DATA[[#This Row],[D, bottom '[m']]]+#REF!)/(2*#REF!/1000),"")</f>
        <v/>
      </c>
      <c r="CM91" s="85" t="str">
        <f>IFERROR(TOWER_DATA[[#This Row],[Bottom '[mLAT']]]-TOWER_DATA[[#This Row],[D, top '[m']]], "")</f>
        <v/>
      </c>
      <c r="CN91" s="85" t="str">
        <f>IFERROR(-(TOWER_DATA[[#This Row],[D, bottom '[m']]]-TOWER_DATA[[#This Row],[D, top '[m']]])/(TOWER_DATA[[#This Row],[Bottom '[mLAT']]]-TOWER_DATA[[#This Row],[Top '[mLAT']]]),"")</f>
        <v/>
      </c>
      <c r="CO91" s="85" t="str">
        <f t="shared" si="5"/>
        <v/>
      </c>
      <c r="CP91" s="85" t="str">
        <f>IFERROR((TOWER_DATA[[#This Row],[D, bottom '[m']]]+TOWER_DATA[[#This Row],[D, top '[m']]])/(2*TOWER_DATA[[#This Row],[t '[mm']]]/1000),"")</f>
        <v/>
      </c>
      <c r="CQ91" s="85" t="str">
        <f>IFERROR((TOWER_DATA[[#This Row],[D, bottom '[m']]]+#REF!)/(2*#REF!/1000),"")</f>
        <v/>
      </c>
    </row>
    <row r="92" spans="8:95" x14ac:dyDescent="0.3">
      <c r="H92" s="85" t="str">
        <f>IFERROR(MP_DATA[[#This Row],[Bottom '[mLAT']]]-MP_DATA[[#This Row],[D, top '[m']]], "")</f>
        <v/>
      </c>
      <c r="I92" s="85" t="str">
        <f>IFERROR(-(MP_DATA[[#This Row],[D, bottom '[m']]]-MP_DATA[[#This Row],[D, top '[m']]])/(MP_DATA[[#This Row],[Bottom '[mLAT']]]-MP_DATA[[#This Row],[Top '[mLAT']]]),"")</f>
        <v/>
      </c>
      <c r="J92" s="85" t="str">
        <f t="shared" si="6"/>
        <v/>
      </c>
      <c r="K92" s="85" t="str">
        <f>IFERROR((MP_DATA[[#This Row],[D, bottom '[m']]]+MP_DATA[[#This Row],[D, top '[m']]])/(2*MP_DATA[[#This Row],[t '[mm']]]/1000),"")</f>
        <v/>
      </c>
      <c r="L92" s="85" t="str">
        <f>IFERROR((MP_DATA[[#This Row],[D, bottom '[m']]]+#REF!)/(2*#REF!/1000),"")</f>
        <v/>
      </c>
      <c r="AW92" s="85" t="str">
        <f>IFERROR(TP_DATA[[#This Row],[Bottom '[mLAT']]]-TP_DATA[[#This Row],[D, top '[m']]], "")</f>
        <v/>
      </c>
      <c r="AX92" s="85" t="str">
        <f>IFERROR(-(TP_DATA[[#This Row],[D, bottom '[m']]]-TP_DATA[[#This Row],[D, top '[m']]])/(TP_DATA[[#This Row],[Bottom '[mLAT']]]-TP_DATA[[#This Row],[Top '[mLAT']]]),"")</f>
        <v/>
      </c>
      <c r="AY92" s="85" t="str">
        <f t="shared" si="4"/>
        <v/>
      </c>
      <c r="AZ92" s="85" t="str">
        <f>IFERROR((TP_DATA[[#This Row],[D, bottom '[m']]]+TP_DATA[[#This Row],[D, top '[m']]])/(2*TP_DATA[[#This Row],[t '[mm']]]/1000),"")</f>
        <v/>
      </c>
      <c r="BA92" s="85" t="str">
        <f>IFERROR((TP_DATA[[#This Row],[D, bottom '[m']]]+#REF!)/(2*#REF!/1000),"")</f>
        <v/>
      </c>
      <c r="CM92" s="85" t="str">
        <f>IFERROR(TOWER_DATA[[#This Row],[Bottom '[mLAT']]]-TOWER_DATA[[#This Row],[D, top '[m']]], "")</f>
        <v/>
      </c>
      <c r="CN92" s="85" t="str">
        <f>IFERROR(-(TOWER_DATA[[#This Row],[D, bottom '[m']]]-TOWER_DATA[[#This Row],[D, top '[m']]])/(TOWER_DATA[[#This Row],[Bottom '[mLAT']]]-TOWER_DATA[[#This Row],[Top '[mLAT']]]),"")</f>
        <v/>
      </c>
      <c r="CO92" s="85" t="str">
        <f t="shared" si="5"/>
        <v/>
      </c>
      <c r="CP92" s="85" t="str">
        <f>IFERROR((TOWER_DATA[[#This Row],[D, bottom '[m']]]+TOWER_DATA[[#This Row],[D, top '[m']]])/(2*TOWER_DATA[[#This Row],[t '[mm']]]/1000),"")</f>
        <v/>
      </c>
      <c r="CQ92" s="85" t="str">
        <f>IFERROR((TOWER_DATA[[#This Row],[D, bottom '[m']]]+#REF!)/(2*#REF!/1000),"")</f>
        <v/>
      </c>
    </row>
    <row r="93" spans="8:95" x14ac:dyDescent="0.3">
      <c r="H93" s="85" t="str">
        <f>IFERROR(MP_DATA[[#This Row],[Bottom '[mLAT']]]-MP_DATA[[#This Row],[D, top '[m']]], "")</f>
        <v/>
      </c>
      <c r="I93" s="85" t="str">
        <f>IFERROR(-(MP_DATA[[#This Row],[D, bottom '[m']]]-MP_DATA[[#This Row],[D, top '[m']]])/(MP_DATA[[#This Row],[Bottom '[mLAT']]]-MP_DATA[[#This Row],[Top '[mLAT']]]),"")</f>
        <v/>
      </c>
      <c r="J93" s="85" t="str">
        <f t="shared" si="6"/>
        <v/>
      </c>
      <c r="K93" s="85" t="str">
        <f>IFERROR((MP_DATA[[#This Row],[D, bottom '[m']]]+MP_DATA[[#This Row],[D, top '[m']]])/(2*MP_DATA[[#This Row],[t '[mm']]]/1000),"")</f>
        <v/>
      </c>
      <c r="L93" s="85" t="str">
        <f>IFERROR((MP_DATA[[#This Row],[D, bottom '[m']]]+#REF!)/(2*#REF!/1000),"")</f>
        <v/>
      </c>
      <c r="AW93" s="85" t="str">
        <f>IFERROR(TP_DATA[[#This Row],[Bottom '[mLAT']]]-TP_DATA[[#This Row],[D, top '[m']]], "")</f>
        <v/>
      </c>
      <c r="AX93" s="85" t="str">
        <f>IFERROR(-(TP_DATA[[#This Row],[D, bottom '[m']]]-TP_DATA[[#This Row],[D, top '[m']]])/(TP_DATA[[#This Row],[Bottom '[mLAT']]]-TP_DATA[[#This Row],[Top '[mLAT']]]),"")</f>
        <v/>
      </c>
      <c r="AY93" s="85" t="str">
        <f t="shared" si="4"/>
        <v/>
      </c>
      <c r="AZ93" s="85" t="str">
        <f>IFERROR((TP_DATA[[#This Row],[D, bottom '[m']]]+TP_DATA[[#This Row],[D, top '[m']]])/(2*TP_DATA[[#This Row],[t '[mm']]]/1000),"")</f>
        <v/>
      </c>
      <c r="BA93" s="85" t="str">
        <f>IFERROR((TP_DATA[[#This Row],[D, bottom '[m']]]+#REF!)/(2*#REF!/1000),"")</f>
        <v/>
      </c>
      <c r="CM93" s="85" t="str">
        <f>IFERROR(TOWER_DATA[[#This Row],[Bottom '[mLAT']]]-TOWER_DATA[[#This Row],[D, top '[m']]], "")</f>
        <v/>
      </c>
      <c r="CN93" s="85" t="str">
        <f>IFERROR(-(TOWER_DATA[[#This Row],[D, bottom '[m']]]-TOWER_DATA[[#This Row],[D, top '[m']]])/(TOWER_DATA[[#This Row],[Bottom '[mLAT']]]-TOWER_DATA[[#This Row],[Top '[mLAT']]]),"")</f>
        <v/>
      </c>
      <c r="CO93" s="85" t="str">
        <f t="shared" si="5"/>
        <v/>
      </c>
      <c r="CP93" s="85" t="str">
        <f>IFERROR((TOWER_DATA[[#This Row],[D, bottom '[m']]]+TOWER_DATA[[#This Row],[D, top '[m']]])/(2*TOWER_DATA[[#This Row],[t '[mm']]]/1000),"")</f>
        <v/>
      </c>
      <c r="CQ93" s="85" t="str">
        <f>IFERROR((TOWER_DATA[[#This Row],[D, bottom '[m']]]+#REF!)/(2*#REF!/1000),"")</f>
        <v/>
      </c>
    </row>
    <row r="94" spans="8:95" x14ac:dyDescent="0.3">
      <c r="H94" s="85" t="str">
        <f>IFERROR(MP_DATA[[#This Row],[Bottom '[mLAT']]]-MP_DATA[[#This Row],[D, top '[m']]], "")</f>
        <v/>
      </c>
      <c r="I94" s="85" t="str">
        <f>IFERROR(-(MP_DATA[[#This Row],[D, bottom '[m']]]-MP_DATA[[#This Row],[D, top '[m']]])/(MP_DATA[[#This Row],[Bottom '[mLAT']]]-MP_DATA[[#This Row],[Top '[mLAT']]]),"")</f>
        <v/>
      </c>
      <c r="J94" s="85" t="str">
        <f t="shared" si="6"/>
        <v/>
      </c>
      <c r="K94" s="85" t="str">
        <f>IFERROR((MP_DATA[[#This Row],[D, bottom '[m']]]+MP_DATA[[#This Row],[D, top '[m']]])/(2*MP_DATA[[#This Row],[t '[mm']]]/1000),"")</f>
        <v/>
      </c>
      <c r="L94" s="85" t="str">
        <f>IFERROR((MP_DATA[[#This Row],[D, bottom '[m']]]+#REF!)/(2*#REF!/1000),"")</f>
        <v/>
      </c>
      <c r="AW94" s="85" t="str">
        <f>IFERROR(TP_DATA[[#This Row],[Bottom '[mLAT']]]-TP_DATA[[#This Row],[D, top '[m']]], "")</f>
        <v/>
      </c>
      <c r="AX94" s="85" t="str">
        <f>IFERROR(-(TP_DATA[[#This Row],[D, bottom '[m']]]-TP_DATA[[#This Row],[D, top '[m']]])/(TP_DATA[[#This Row],[Bottom '[mLAT']]]-TP_DATA[[#This Row],[Top '[mLAT']]]),"")</f>
        <v/>
      </c>
      <c r="AY94" s="85" t="str">
        <f t="shared" si="4"/>
        <v/>
      </c>
      <c r="AZ94" s="85" t="str">
        <f>IFERROR((TP_DATA[[#This Row],[D, bottom '[m']]]+TP_DATA[[#This Row],[D, top '[m']]])/(2*TP_DATA[[#This Row],[t '[mm']]]/1000),"")</f>
        <v/>
      </c>
      <c r="BA94" s="85" t="str">
        <f>IFERROR((TP_DATA[[#This Row],[D, bottom '[m']]]+#REF!)/(2*#REF!/1000),"")</f>
        <v/>
      </c>
      <c r="CM94" s="85" t="str">
        <f>IFERROR(TOWER_DATA[[#This Row],[Bottom '[mLAT']]]-TOWER_DATA[[#This Row],[D, top '[m']]], "")</f>
        <v/>
      </c>
      <c r="CN94" s="85" t="str">
        <f>IFERROR(-(TOWER_DATA[[#This Row],[D, bottom '[m']]]-TOWER_DATA[[#This Row],[D, top '[m']]])/(TOWER_DATA[[#This Row],[Bottom '[mLAT']]]-TOWER_DATA[[#This Row],[Top '[mLAT']]]),"")</f>
        <v/>
      </c>
      <c r="CO94" s="85" t="str">
        <f t="shared" si="5"/>
        <v/>
      </c>
      <c r="CP94" s="85" t="str">
        <f>IFERROR((TOWER_DATA[[#This Row],[D, bottom '[m']]]+TOWER_DATA[[#This Row],[D, top '[m']]])/(2*TOWER_DATA[[#This Row],[t '[mm']]]/1000),"")</f>
        <v/>
      </c>
      <c r="CQ94" s="85" t="str">
        <f>IFERROR((TOWER_DATA[[#This Row],[D, bottom '[m']]]+#REF!)/(2*#REF!/1000),"")</f>
        <v/>
      </c>
    </row>
    <row r="95" spans="8:95" x14ac:dyDescent="0.3">
      <c r="H95" s="85" t="str">
        <f>IFERROR(MP_DATA[[#This Row],[Bottom '[mLAT']]]-MP_DATA[[#This Row],[D, top '[m']]], "")</f>
        <v/>
      </c>
      <c r="I95" s="85" t="str">
        <f>IFERROR(-(MP_DATA[[#This Row],[D, bottom '[m']]]-MP_DATA[[#This Row],[D, top '[m']]])/(MP_DATA[[#This Row],[Bottom '[mLAT']]]-MP_DATA[[#This Row],[Top '[mLAT']]]),"")</f>
        <v/>
      </c>
      <c r="J95" s="85" t="str">
        <f t="shared" si="6"/>
        <v/>
      </c>
      <c r="K95" s="85" t="str">
        <f>IFERROR((MP_DATA[[#This Row],[D, bottom '[m']]]+MP_DATA[[#This Row],[D, top '[m']]])/(2*MP_DATA[[#This Row],[t '[mm']]]/1000),"")</f>
        <v/>
      </c>
      <c r="L95" s="85" t="str">
        <f>IFERROR((MP_DATA[[#This Row],[D, bottom '[m']]]+#REF!)/(2*#REF!/1000),"")</f>
        <v/>
      </c>
      <c r="AW95" s="85" t="str">
        <f>IFERROR(TP_DATA[[#This Row],[Bottom '[mLAT']]]-TP_DATA[[#This Row],[D, top '[m']]], "")</f>
        <v/>
      </c>
      <c r="AX95" s="85" t="str">
        <f>IFERROR(-(TP_DATA[[#This Row],[D, bottom '[m']]]-TP_DATA[[#This Row],[D, top '[m']]])/(TP_DATA[[#This Row],[Bottom '[mLAT']]]-TP_DATA[[#This Row],[Top '[mLAT']]]),"")</f>
        <v/>
      </c>
      <c r="AY95" s="85" t="str">
        <f t="shared" si="4"/>
        <v/>
      </c>
      <c r="AZ95" s="85" t="str">
        <f>IFERROR((TP_DATA[[#This Row],[D, bottom '[m']]]+TP_DATA[[#This Row],[D, top '[m']]])/(2*TP_DATA[[#This Row],[t '[mm']]]/1000),"")</f>
        <v/>
      </c>
      <c r="BA95" s="85" t="str">
        <f>IFERROR((TP_DATA[[#This Row],[D, bottom '[m']]]+#REF!)/(2*#REF!/1000),"")</f>
        <v/>
      </c>
      <c r="CM95" s="85" t="str">
        <f>IFERROR(TOWER_DATA[[#This Row],[Bottom '[mLAT']]]-TOWER_DATA[[#This Row],[D, top '[m']]], "")</f>
        <v/>
      </c>
      <c r="CN95" s="85" t="str">
        <f>IFERROR(-(TOWER_DATA[[#This Row],[D, bottom '[m']]]-TOWER_DATA[[#This Row],[D, top '[m']]])/(TOWER_DATA[[#This Row],[Bottom '[mLAT']]]-TOWER_DATA[[#This Row],[Top '[mLAT']]]),"")</f>
        <v/>
      </c>
      <c r="CO95" s="85" t="str">
        <f t="shared" si="5"/>
        <v/>
      </c>
      <c r="CP95" s="85" t="str">
        <f>IFERROR((TOWER_DATA[[#This Row],[D, bottom '[m']]]+TOWER_DATA[[#This Row],[D, top '[m']]])/(2*TOWER_DATA[[#This Row],[t '[mm']]]/1000),"")</f>
        <v/>
      </c>
      <c r="CQ95" s="85" t="str">
        <f>IFERROR((TOWER_DATA[[#This Row],[D, bottom '[m']]]+#REF!)/(2*#REF!/1000),"")</f>
        <v/>
      </c>
    </row>
    <row r="96" spans="8:95" x14ac:dyDescent="0.3">
      <c r="H96" s="85" t="str">
        <f>IFERROR(MP_DATA[[#This Row],[Bottom '[mLAT']]]-MP_DATA[[#This Row],[D, top '[m']]], "")</f>
        <v/>
      </c>
      <c r="I96" s="85" t="str">
        <f>IFERROR(-(MP_DATA[[#This Row],[D, bottom '[m']]]-MP_DATA[[#This Row],[D, top '[m']]])/(MP_DATA[[#This Row],[Bottom '[mLAT']]]-MP_DATA[[#This Row],[Top '[mLAT']]]),"")</f>
        <v/>
      </c>
      <c r="J96" s="85" t="str">
        <f t="shared" si="6"/>
        <v/>
      </c>
      <c r="K96" s="85" t="str">
        <f>IFERROR((MP_DATA[[#This Row],[D, bottom '[m']]]+MP_DATA[[#This Row],[D, top '[m']]])/(2*MP_DATA[[#This Row],[t '[mm']]]/1000),"")</f>
        <v/>
      </c>
      <c r="L96" s="85" t="str">
        <f>IFERROR((MP_DATA[[#This Row],[D, bottom '[m']]]+#REF!)/(2*#REF!/1000),"")</f>
        <v/>
      </c>
      <c r="AW96" s="85" t="str">
        <f>IFERROR(TP_DATA[[#This Row],[Bottom '[mLAT']]]-TP_DATA[[#This Row],[D, top '[m']]], "")</f>
        <v/>
      </c>
      <c r="AX96" s="85" t="str">
        <f>IFERROR(-(TP_DATA[[#This Row],[D, bottom '[m']]]-TP_DATA[[#This Row],[D, top '[m']]])/(TP_DATA[[#This Row],[Bottom '[mLAT']]]-TP_DATA[[#This Row],[Top '[mLAT']]]),"")</f>
        <v/>
      </c>
      <c r="AY96" s="85" t="str">
        <f t="shared" si="4"/>
        <v/>
      </c>
      <c r="AZ96" s="85" t="str">
        <f>IFERROR((TP_DATA[[#This Row],[D, bottom '[m']]]+TP_DATA[[#This Row],[D, top '[m']]])/(2*TP_DATA[[#This Row],[t '[mm']]]/1000),"")</f>
        <v/>
      </c>
      <c r="BA96" s="85" t="str">
        <f>IFERROR((TP_DATA[[#This Row],[D, bottom '[m']]]+#REF!)/(2*#REF!/1000),"")</f>
        <v/>
      </c>
      <c r="CM96" s="85" t="str">
        <f>IFERROR(TOWER_DATA[[#This Row],[Bottom '[mLAT']]]-TOWER_DATA[[#This Row],[D, top '[m']]], "")</f>
        <v/>
      </c>
      <c r="CN96" s="85" t="str">
        <f>IFERROR(-(TOWER_DATA[[#This Row],[D, bottom '[m']]]-TOWER_DATA[[#This Row],[D, top '[m']]])/(TOWER_DATA[[#This Row],[Bottom '[mLAT']]]-TOWER_DATA[[#This Row],[Top '[mLAT']]]),"")</f>
        <v/>
      </c>
      <c r="CO96" s="85" t="str">
        <f t="shared" si="5"/>
        <v/>
      </c>
      <c r="CP96" s="85" t="str">
        <f>IFERROR((TOWER_DATA[[#This Row],[D, bottom '[m']]]+TOWER_DATA[[#This Row],[D, top '[m']]])/(2*TOWER_DATA[[#This Row],[t '[mm']]]/1000),"")</f>
        <v/>
      </c>
      <c r="CQ96" s="85" t="str">
        <f>IFERROR((TOWER_DATA[[#This Row],[D, bottom '[m']]]+#REF!)/(2*#REF!/1000),"")</f>
        <v/>
      </c>
    </row>
    <row r="97" spans="8:95" x14ac:dyDescent="0.3">
      <c r="H97" s="85" t="str">
        <f>IFERROR(MP_DATA[[#This Row],[Bottom '[mLAT']]]-MP_DATA[[#This Row],[D, top '[m']]], "")</f>
        <v/>
      </c>
      <c r="I97" s="85" t="str">
        <f>IFERROR(-(MP_DATA[[#This Row],[D, bottom '[m']]]-MP_DATA[[#This Row],[D, top '[m']]])/(MP_DATA[[#This Row],[Bottom '[mLAT']]]-MP_DATA[[#This Row],[Top '[mLAT']]]),"")</f>
        <v/>
      </c>
      <c r="J97" s="85" t="str">
        <f t="shared" si="6"/>
        <v/>
      </c>
      <c r="K97" s="85" t="str">
        <f>IFERROR((MP_DATA[[#This Row],[D, bottom '[m']]]+MP_DATA[[#This Row],[D, top '[m']]])/(2*MP_DATA[[#This Row],[t '[mm']]]/1000),"")</f>
        <v/>
      </c>
      <c r="L97" s="85" t="str">
        <f>IFERROR((MP_DATA[[#This Row],[D, bottom '[m']]]+#REF!)/(2*#REF!/1000),"")</f>
        <v/>
      </c>
      <c r="AW97" s="85" t="str">
        <f>IFERROR(TP_DATA[[#This Row],[Bottom '[mLAT']]]-TP_DATA[[#This Row],[D, top '[m']]], "")</f>
        <v/>
      </c>
      <c r="AX97" s="85" t="str">
        <f>IFERROR(-(TP_DATA[[#This Row],[D, bottom '[m']]]-TP_DATA[[#This Row],[D, top '[m']]])/(TP_DATA[[#This Row],[Bottom '[mLAT']]]-TP_DATA[[#This Row],[Top '[mLAT']]]),"")</f>
        <v/>
      </c>
      <c r="AY97" s="85" t="str">
        <f t="shared" si="4"/>
        <v/>
      </c>
      <c r="AZ97" s="85" t="str">
        <f>IFERROR((TP_DATA[[#This Row],[D, bottom '[m']]]+TP_DATA[[#This Row],[D, top '[m']]])/(2*TP_DATA[[#This Row],[t '[mm']]]/1000),"")</f>
        <v/>
      </c>
      <c r="BA97" s="85" t="str">
        <f>IFERROR((TP_DATA[[#This Row],[D, bottom '[m']]]+#REF!)/(2*#REF!/1000),"")</f>
        <v/>
      </c>
      <c r="CM97" s="85" t="str">
        <f>IFERROR(TOWER_DATA[[#This Row],[Bottom '[mLAT']]]-TOWER_DATA[[#This Row],[D, top '[m']]], "")</f>
        <v/>
      </c>
      <c r="CN97" s="85" t="str">
        <f>IFERROR(-(TOWER_DATA[[#This Row],[D, bottom '[m']]]-TOWER_DATA[[#This Row],[D, top '[m']]])/(TOWER_DATA[[#This Row],[Bottom '[mLAT']]]-TOWER_DATA[[#This Row],[Top '[mLAT']]]),"")</f>
        <v/>
      </c>
      <c r="CO97" s="85" t="str">
        <f t="shared" si="5"/>
        <v/>
      </c>
      <c r="CP97" s="85" t="str">
        <f>IFERROR((TOWER_DATA[[#This Row],[D, bottom '[m']]]+TOWER_DATA[[#This Row],[D, top '[m']]])/(2*TOWER_DATA[[#This Row],[t '[mm']]]/1000),"")</f>
        <v/>
      </c>
      <c r="CQ97" s="85" t="str">
        <f>IFERROR((TOWER_DATA[[#This Row],[D, bottom '[m']]]+#REF!)/(2*#REF!/1000),"")</f>
        <v/>
      </c>
    </row>
    <row r="98" spans="8:95" x14ac:dyDescent="0.3">
      <c r="H98" s="85" t="str">
        <f>IFERROR(MP_DATA[[#This Row],[Bottom '[mLAT']]]-MP_DATA[[#This Row],[D, top '[m']]], "")</f>
        <v/>
      </c>
      <c r="I98" s="85" t="str">
        <f>IFERROR(-(MP_DATA[[#This Row],[D, bottom '[m']]]-MP_DATA[[#This Row],[D, top '[m']]])/(MP_DATA[[#This Row],[Bottom '[mLAT']]]-MP_DATA[[#This Row],[Top '[mLAT']]]),"")</f>
        <v/>
      </c>
      <c r="J98" s="85" t="str">
        <f t="shared" si="6"/>
        <v/>
      </c>
      <c r="K98" s="85" t="str">
        <f>IFERROR((MP_DATA[[#This Row],[D, bottom '[m']]]+MP_DATA[[#This Row],[D, top '[m']]])/(2*MP_DATA[[#This Row],[t '[mm']]]/1000),"")</f>
        <v/>
      </c>
      <c r="L98" s="85" t="str">
        <f>IFERROR((MP_DATA[[#This Row],[D, bottom '[m']]]+#REF!)/(2*#REF!/1000),"")</f>
        <v/>
      </c>
      <c r="AW98" s="85" t="str">
        <f>IFERROR(TP_DATA[[#This Row],[Bottom '[mLAT']]]-TP_DATA[[#This Row],[D, top '[m']]], "")</f>
        <v/>
      </c>
      <c r="AX98" s="85" t="str">
        <f>IFERROR(-(TP_DATA[[#This Row],[D, bottom '[m']]]-TP_DATA[[#This Row],[D, top '[m']]])/(TP_DATA[[#This Row],[Bottom '[mLAT']]]-TP_DATA[[#This Row],[Top '[mLAT']]]),"")</f>
        <v/>
      </c>
      <c r="AY98" s="85" t="str">
        <f t="shared" si="4"/>
        <v/>
      </c>
      <c r="AZ98" s="85" t="str">
        <f>IFERROR((TP_DATA[[#This Row],[D, bottom '[m']]]+TP_DATA[[#This Row],[D, top '[m']]])/(2*TP_DATA[[#This Row],[t '[mm']]]/1000),"")</f>
        <v/>
      </c>
      <c r="BA98" s="85" t="str">
        <f>IFERROR((TP_DATA[[#This Row],[D, bottom '[m']]]+#REF!)/(2*#REF!/1000),"")</f>
        <v/>
      </c>
      <c r="CM98" s="85" t="str">
        <f>IFERROR(TOWER_DATA[[#This Row],[Bottom '[mLAT']]]-TOWER_DATA[[#This Row],[D, top '[m']]], "")</f>
        <v/>
      </c>
      <c r="CN98" s="85" t="str">
        <f>IFERROR(-(TOWER_DATA[[#This Row],[D, bottom '[m']]]-TOWER_DATA[[#This Row],[D, top '[m']]])/(TOWER_DATA[[#This Row],[Bottom '[mLAT']]]-TOWER_DATA[[#This Row],[Top '[mLAT']]]),"")</f>
        <v/>
      </c>
      <c r="CO98" s="85" t="str">
        <f t="shared" si="5"/>
        <v/>
      </c>
      <c r="CP98" s="85" t="str">
        <f>IFERROR((TOWER_DATA[[#This Row],[D, bottom '[m']]]+TOWER_DATA[[#This Row],[D, top '[m']]])/(2*TOWER_DATA[[#This Row],[t '[mm']]]/1000),"")</f>
        <v/>
      </c>
      <c r="CQ98" s="85" t="str">
        <f>IFERROR((TOWER_DATA[[#This Row],[D, bottom '[m']]]+#REF!)/(2*#REF!/1000),"")</f>
        <v/>
      </c>
    </row>
    <row r="99" spans="8:95" x14ac:dyDescent="0.3">
      <c r="H99" s="85" t="str">
        <f>IFERROR(MP_DATA[[#This Row],[Bottom '[mLAT']]]-MP_DATA[[#This Row],[D, top '[m']]], "")</f>
        <v/>
      </c>
      <c r="I99" s="85" t="str">
        <f>IFERROR(-(MP_DATA[[#This Row],[D, bottom '[m']]]-MP_DATA[[#This Row],[D, top '[m']]])/(MP_DATA[[#This Row],[Bottom '[mLAT']]]-MP_DATA[[#This Row],[Top '[mLAT']]]),"")</f>
        <v/>
      </c>
      <c r="J99" s="85" t="str">
        <f t="shared" si="6"/>
        <v/>
      </c>
      <c r="K99" s="85" t="str">
        <f>IFERROR((MP_DATA[[#This Row],[D, bottom '[m']]]+MP_DATA[[#This Row],[D, top '[m']]])/(2*MP_DATA[[#This Row],[t '[mm']]]/1000),"")</f>
        <v/>
      </c>
      <c r="L99" s="85" t="str">
        <f>IFERROR((MP_DATA[[#This Row],[D, bottom '[m']]]+#REF!)/(2*#REF!/1000),"")</f>
        <v/>
      </c>
      <c r="AW99" s="85" t="str">
        <f>IFERROR(TP_DATA[[#This Row],[Bottom '[mLAT']]]-TP_DATA[[#This Row],[D, top '[m']]], "")</f>
        <v/>
      </c>
      <c r="AX99" s="85" t="str">
        <f>IFERROR(-(TP_DATA[[#This Row],[D, bottom '[m']]]-TP_DATA[[#This Row],[D, top '[m']]])/(TP_DATA[[#This Row],[Bottom '[mLAT']]]-TP_DATA[[#This Row],[Top '[mLAT']]]),"")</f>
        <v/>
      </c>
      <c r="AY99" s="85" t="str">
        <f t="shared" si="4"/>
        <v/>
      </c>
      <c r="AZ99" s="85" t="str">
        <f>IFERROR((TP_DATA[[#This Row],[D, bottom '[m']]]+TP_DATA[[#This Row],[D, top '[m']]])/(2*TP_DATA[[#This Row],[t '[mm']]]/1000),"")</f>
        <v/>
      </c>
      <c r="BA99" s="85" t="str">
        <f>IFERROR((TP_DATA[[#This Row],[D, bottom '[m']]]+#REF!)/(2*#REF!/1000),"")</f>
        <v/>
      </c>
      <c r="CM99" s="85" t="str">
        <f>IFERROR(TOWER_DATA[[#This Row],[Bottom '[mLAT']]]-TOWER_DATA[[#This Row],[D, top '[m']]], "")</f>
        <v/>
      </c>
      <c r="CN99" s="85" t="str">
        <f>IFERROR(-(TOWER_DATA[[#This Row],[D, bottom '[m']]]-TOWER_DATA[[#This Row],[D, top '[m']]])/(TOWER_DATA[[#This Row],[Bottom '[mLAT']]]-TOWER_DATA[[#This Row],[Top '[mLAT']]]),"")</f>
        <v/>
      </c>
      <c r="CO99" s="85" t="str">
        <f t="shared" si="5"/>
        <v/>
      </c>
      <c r="CP99" s="85" t="str">
        <f>IFERROR((TOWER_DATA[[#This Row],[D, bottom '[m']]]+TOWER_DATA[[#This Row],[D, top '[m']]])/(2*TOWER_DATA[[#This Row],[t '[mm']]]/1000),"")</f>
        <v/>
      </c>
      <c r="CQ99" s="85" t="str">
        <f>IFERROR((TOWER_DATA[[#This Row],[D, bottom '[m']]]+#REF!)/(2*#REF!/1000),"")</f>
        <v/>
      </c>
    </row>
    <row r="100" spans="8:95" x14ac:dyDescent="0.3">
      <c r="H100" s="85" t="str">
        <f>IFERROR(MP_DATA[[#This Row],[Bottom '[mLAT']]]-MP_DATA[[#This Row],[D, top '[m']]], "")</f>
        <v/>
      </c>
      <c r="I100" s="85" t="str">
        <f>IFERROR(-(MP_DATA[[#This Row],[D, bottom '[m']]]-MP_DATA[[#This Row],[D, top '[m']]])/(MP_DATA[[#This Row],[Bottom '[mLAT']]]-MP_DATA[[#This Row],[Top '[mLAT']]]),"")</f>
        <v/>
      </c>
      <c r="J100" s="85" t="str">
        <f t="shared" si="6"/>
        <v/>
      </c>
      <c r="K100" s="85" t="str">
        <f>IFERROR((MP_DATA[[#This Row],[D, bottom '[m']]]+MP_DATA[[#This Row],[D, top '[m']]])/(2*MP_DATA[[#This Row],[t '[mm']]]/1000),"")</f>
        <v/>
      </c>
      <c r="L100" s="85" t="str">
        <f>IFERROR((MP_DATA[[#This Row],[D, bottom '[m']]]+#REF!)/(2*#REF!/1000),"")</f>
        <v/>
      </c>
      <c r="AW100" s="85" t="str">
        <f>IFERROR(TP_DATA[[#This Row],[Bottom '[mLAT']]]-TP_DATA[[#This Row],[D, top '[m']]], "")</f>
        <v/>
      </c>
      <c r="AX100" s="85" t="str">
        <f>IFERROR(-(TP_DATA[[#This Row],[D, bottom '[m']]]-TP_DATA[[#This Row],[D, top '[m']]])/(TP_DATA[[#This Row],[Bottom '[mLAT']]]-TP_DATA[[#This Row],[Top '[mLAT']]]),"")</f>
        <v/>
      </c>
      <c r="AY100" s="85" t="str">
        <f t="shared" si="4"/>
        <v/>
      </c>
      <c r="AZ100" s="85" t="str">
        <f>IFERROR((TP_DATA[[#This Row],[D, bottom '[m']]]+TP_DATA[[#This Row],[D, top '[m']]])/(2*TP_DATA[[#This Row],[t '[mm']]]/1000),"")</f>
        <v/>
      </c>
      <c r="BA100" s="85" t="str">
        <f>IFERROR((TP_DATA[[#This Row],[D, bottom '[m']]]+#REF!)/(2*#REF!/1000),"")</f>
        <v/>
      </c>
      <c r="CM100" s="85" t="str">
        <f>IFERROR(TOWER_DATA[[#This Row],[Bottom '[mLAT']]]-TOWER_DATA[[#This Row],[D, top '[m']]], "")</f>
        <v/>
      </c>
      <c r="CN100" s="85" t="str">
        <f>IFERROR(-(TOWER_DATA[[#This Row],[D, bottom '[m']]]-TOWER_DATA[[#This Row],[D, top '[m']]])/(TOWER_DATA[[#This Row],[Bottom '[mLAT']]]-TOWER_DATA[[#This Row],[Top '[mLAT']]]),"")</f>
        <v/>
      </c>
      <c r="CO100" s="85" t="str">
        <f t="shared" si="5"/>
        <v/>
      </c>
      <c r="CP100" s="85" t="str">
        <f>IFERROR((TOWER_DATA[[#This Row],[D, bottom '[m']]]+TOWER_DATA[[#This Row],[D, top '[m']]])/(2*TOWER_DATA[[#This Row],[t '[mm']]]/1000),"")</f>
        <v/>
      </c>
      <c r="CQ100" s="85" t="str">
        <f>IFERROR((TOWER_DATA[[#This Row],[D, bottom '[m']]]+#REF!)/(2*#REF!/1000),"")</f>
        <v/>
      </c>
    </row>
    <row r="101" spans="8:95" x14ac:dyDescent="0.3">
      <c r="H101" s="85" t="str">
        <f>IFERROR(MP_DATA[[#This Row],[Bottom '[mLAT']]]-MP_DATA[[#This Row],[D, top '[m']]], "")</f>
        <v/>
      </c>
      <c r="I101" s="85" t="str">
        <f>IFERROR(-(MP_DATA[[#This Row],[D, bottom '[m']]]-MP_DATA[[#This Row],[D, top '[m']]])/(MP_DATA[[#This Row],[Bottom '[mLAT']]]-MP_DATA[[#This Row],[Top '[mLAT']]]),"")</f>
        <v/>
      </c>
      <c r="J101" s="85" t="str">
        <f t="shared" si="6"/>
        <v/>
      </c>
      <c r="K101" s="85" t="str">
        <f>IFERROR((MP_DATA[[#This Row],[D, bottom '[m']]]+MP_DATA[[#This Row],[D, top '[m']]])/(2*MP_DATA[[#This Row],[t '[mm']]]/1000),"")</f>
        <v/>
      </c>
      <c r="L101" s="85" t="str">
        <f>IFERROR((MP_DATA[[#This Row],[D, bottom '[m']]]+#REF!)/(2*#REF!/1000),"")</f>
        <v/>
      </c>
      <c r="AW101" s="85" t="str">
        <f>IFERROR(TP_DATA[[#This Row],[Bottom '[mLAT']]]-TP_DATA[[#This Row],[D, top '[m']]], "")</f>
        <v/>
      </c>
      <c r="AX101" s="85" t="str">
        <f>IFERROR(-(TP_DATA[[#This Row],[D, bottom '[m']]]-TP_DATA[[#This Row],[D, top '[m']]])/(TP_DATA[[#This Row],[Bottom '[mLAT']]]-TP_DATA[[#This Row],[Top '[mLAT']]]),"")</f>
        <v/>
      </c>
      <c r="AY101" s="85" t="str">
        <f t="shared" si="4"/>
        <v/>
      </c>
      <c r="AZ101" s="85" t="str">
        <f>IFERROR((TP_DATA[[#This Row],[D, bottom '[m']]]+TP_DATA[[#This Row],[D, top '[m']]])/(2*TP_DATA[[#This Row],[t '[mm']]]/1000),"")</f>
        <v/>
      </c>
      <c r="BA101" s="85" t="str">
        <f>IFERROR((TP_DATA[[#This Row],[D, bottom '[m']]]+#REF!)/(2*#REF!/1000),"")</f>
        <v/>
      </c>
      <c r="CM101" s="85" t="str">
        <f>IFERROR(TOWER_DATA[[#This Row],[Bottom '[mLAT']]]-TOWER_DATA[[#This Row],[D, top '[m']]], "")</f>
        <v/>
      </c>
      <c r="CN101" s="85" t="str">
        <f>IFERROR(-(TOWER_DATA[[#This Row],[D, bottom '[m']]]-TOWER_DATA[[#This Row],[D, top '[m']]])/(TOWER_DATA[[#This Row],[Bottom '[mLAT']]]-TOWER_DATA[[#This Row],[Top '[mLAT']]]),"")</f>
        <v/>
      </c>
      <c r="CO101" s="85" t="str">
        <f t="shared" si="5"/>
        <v/>
      </c>
      <c r="CP101" s="85" t="str">
        <f>IFERROR((TOWER_DATA[[#This Row],[D, bottom '[m']]]+TOWER_DATA[[#This Row],[D, top '[m']]])/(2*TOWER_DATA[[#This Row],[t '[mm']]]/1000),"")</f>
        <v/>
      </c>
      <c r="CQ101" s="85" t="str">
        <f>IFERROR((TOWER_DATA[[#This Row],[D, bottom '[m']]]+#REF!)/(2*#REF!/1000),"")</f>
        <v/>
      </c>
    </row>
    <row r="102" spans="8:95" x14ac:dyDescent="0.3">
      <c r="H102" s="85" t="str">
        <f>IFERROR(MP_DATA[[#This Row],[Bottom '[mLAT']]]-MP_DATA[[#This Row],[D, top '[m']]], "")</f>
        <v/>
      </c>
      <c r="I102" s="85" t="str">
        <f>IFERROR(-(MP_DATA[[#This Row],[D, bottom '[m']]]-MP_DATA[[#This Row],[D, top '[m']]])/(MP_DATA[[#This Row],[Bottom '[mLAT']]]-MP_DATA[[#This Row],[Top '[mLAT']]]),"")</f>
        <v/>
      </c>
      <c r="J102" s="85" t="str">
        <f t="shared" si="6"/>
        <v/>
      </c>
      <c r="K102" s="85" t="str">
        <f>IFERROR((MP_DATA[[#This Row],[D, bottom '[m']]]+MP_DATA[[#This Row],[D, top '[m']]])/(2*MP_DATA[[#This Row],[t '[mm']]]/1000),"")</f>
        <v/>
      </c>
      <c r="L102" s="85" t="str">
        <f>IFERROR((MP_DATA[[#This Row],[D, bottom '[m']]]+#REF!)/(2*#REF!/1000),"")</f>
        <v/>
      </c>
      <c r="AW102" s="85" t="str">
        <f>IFERROR(TP_DATA[[#This Row],[Bottom '[mLAT']]]-TP_DATA[[#This Row],[D, top '[m']]], "")</f>
        <v/>
      </c>
      <c r="AX102" s="85" t="str">
        <f>IFERROR(-(TP_DATA[[#This Row],[D, bottom '[m']]]-TP_DATA[[#This Row],[D, top '[m']]])/(TP_DATA[[#This Row],[Bottom '[mLAT']]]-TP_DATA[[#This Row],[Top '[mLAT']]]),"")</f>
        <v/>
      </c>
      <c r="AY102" s="85" t="str">
        <f t="shared" si="4"/>
        <v/>
      </c>
      <c r="AZ102" s="85" t="str">
        <f>IFERROR((TP_DATA[[#This Row],[D, bottom '[m']]]+TP_DATA[[#This Row],[D, top '[m']]])/(2*TP_DATA[[#This Row],[t '[mm']]]/1000),"")</f>
        <v/>
      </c>
      <c r="BA102" s="85" t="str">
        <f>IFERROR((TP_DATA[[#This Row],[D, bottom '[m']]]+#REF!)/(2*#REF!/1000),"")</f>
        <v/>
      </c>
      <c r="CM102" s="85" t="str">
        <f>IFERROR(TOWER_DATA[[#This Row],[Bottom '[mLAT']]]-TOWER_DATA[[#This Row],[D, top '[m']]], "")</f>
        <v/>
      </c>
      <c r="CN102" s="85" t="str">
        <f>IFERROR(-(TOWER_DATA[[#This Row],[D, bottom '[m']]]-TOWER_DATA[[#This Row],[D, top '[m']]])/(TOWER_DATA[[#This Row],[Bottom '[mLAT']]]-TOWER_DATA[[#This Row],[Top '[mLAT']]]),"")</f>
        <v/>
      </c>
      <c r="CO102" s="85" t="str">
        <f t="shared" si="5"/>
        <v/>
      </c>
      <c r="CP102" s="85" t="str">
        <f>IFERROR((TOWER_DATA[[#This Row],[D, bottom '[m']]]+TOWER_DATA[[#This Row],[D, top '[m']]])/(2*TOWER_DATA[[#This Row],[t '[mm']]]/1000),"")</f>
        <v/>
      </c>
      <c r="CQ102" s="85" t="str">
        <f>IFERROR((TOWER_DATA[[#This Row],[D, bottom '[m']]]+#REF!)/(2*#REF!/1000),"")</f>
        <v/>
      </c>
    </row>
    <row r="103" spans="8:95" x14ac:dyDescent="0.3">
      <c r="H103" s="85" t="str">
        <f>IFERROR(MP_DATA[[#This Row],[Bottom '[mLAT']]]-MP_DATA[[#This Row],[D, top '[m']]], "")</f>
        <v/>
      </c>
      <c r="I103" s="85" t="str">
        <f>IFERROR(-(MP_DATA[[#This Row],[D, bottom '[m']]]-MP_DATA[[#This Row],[D, top '[m']]])/(MP_DATA[[#This Row],[Bottom '[mLAT']]]-MP_DATA[[#This Row],[Top '[mLAT']]]),"")</f>
        <v/>
      </c>
      <c r="J103" s="85" t="str">
        <f t="shared" si="6"/>
        <v/>
      </c>
      <c r="K103" s="85" t="str">
        <f>IFERROR((MP_DATA[[#This Row],[D, bottom '[m']]]+MP_DATA[[#This Row],[D, top '[m']]])/(2*MP_DATA[[#This Row],[t '[mm']]]/1000),"")</f>
        <v/>
      </c>
      <c r="L103" s="85" t="str">
        <f>IFERROR((MP_DATA[[#This Row],[D, bottom '[m']]]+#REF!)/(2*#REF!/1000),"")</f>
        <v/>
      </c>
      <c r="AW103" s="85" t="str">
        <f>IFERROR(TP_DATA[[#This Row],[Bottom '[mLAT']]]-TP_DATA[[#This Row],[D, top '[m']]], "")</f>
        <v/>
      </c>
      <c r="AX103" s="85" t="str">
        <f>IFERROR(-(TP_DATA[[#This Row],[D, bottom '[m']]]-TP_DATA[[#This Row],[D, top '[m']]])/(TP_DATA[[#This Row],[Bottom '[mLAT']]]-TP_DATA[[#This Row],[Top '[mLAT']]]),"")</f>
        <v/>
      </c>
      <c r="AY103" s="85" t="str">
        <f t="shared" si="4"/>
        <v/>
      </c>
      <c r="AZ103" s="85" t="str">
        <f>IFERROR((TP_DATA[[#This Row],[D, bottom '[m']]]+TP_DATA[[#This Row],[D, top '[m']]])/(2*TP_DATA[[#This Row],[t '[mm']]]/1000),"")</f>
        <v/>
      </c>
      <c r="BA103" s="85" t="str">
        <f>IFERROR((TP_DATA[[#This Row],[D, bottom '[m']]]+#REF!)/(2*#REF!/1000),"")</f>
        <v/>
      </c>
      <c r="CM103" s="85" t="str">
        <f>IFERROR(TOWER_DATA[[#This Row],[Bottom '[mLAT']]]-TOWER_DATA[[#This Row],[D, top '[m']]], "")</f>
        <v/>
      </c>
      <c r="CN103" s="85" t="str">
        <f>IFERROR(-(TOWER_DATA[[#This Row],[D, bottom '[m']]]-TOWER_DATA[[#This Row],[D, top '[m']]])/(TOWER_DATA[[#This Row],[Bottom '[mLAT']]]-TOWER_DATA[[#This Row],[Top '[mLAT']]]),"")</f>
        <v/>
      </c>
      <c r="CO103" s="85" t="str">
        <f t="shared" si="5"/>
        <v/>
      </c>
      <c r="CP103" s="85" t="str">
        <f>IFERROR((TOWER_DATA[[#This Row],[D, bottom '[m']]]+TOWER_DATA[[#This Row],[D, top '[m']]])/(2*TOWER_DATA[[#This Row],[t '[mm']]]/1000),"")</f>
        <v/>
      </c>
      <c r="CQ103" s="85" t="str">
        <f>IFERROR((TOWER_DATA[[#This Row],[D, bottom '[m']]]+#REF!)/(2*#REF!/1000),"")</f>
        <v/>
      </c>
    </row>
    <row r="104" spans="8:95" x14ac:dyDescent="0.3">
      <c r="H104" s="85" t="str">
        <f>IFERROR(MP_DATA[[#This Row],[Bottom '[mLAT']]]-MP_DATA[[#This Row],[D, top '[m']]], "")</f>
        <v/>
      </c>
      <c r="I104" s="85" t="str">
        <f>IFERROR(-(MP_DATA[[#This Row],[D, bottom '[m']]]-MP_DATA[[#This Row],[D, top '[m']]])/(MP_DATA[[#This Row],[Bottom '[mLAT']]]-MP_DATA[[#This Row],[Top '[mLAT']]]),"")</f>
        <v/>
      </c>
      <c r="J104" s="85" t="str">
        <f t="shared" si="6"/>
        <v/>
      </c>
      <c r="K104" s="85" t="str">
        <f>IFERROR((MP_DATA[[#This Row],[D, bottom '[m']]]+MP_DATA[[#This Row],[D, top '[m']]])/(2*MP_DATA[[#This Row],[t '[mm']]]/1000),"")</f>
        <v/>
      </c>
      <c r="L104" s="85" t="str">
        <f>IFERROR((MP_DATA[[#This Row],[D, bottom '[m']]]+#REF!)/(2*#REF!/1000),"")</f>
        <v/>
      </c>
      <c r="AW104" s="85" t="str">
        <f>IFERROR(TP_DATA[[#This Row],[Bottom '[mLAT']]]-TP_DATA[[#This Row],[D, top '[m']]], "")</f>
        <v/>
      </c>
      <c r="AX104" s="85" t="str">
        <f>IFERROR(-(TP_DATA[[#This Row],[D, bottom '[m']]]-TP_DATA[[#This Row],[D, top '[m']]])/(TP_DATA[[#This Row],[Bottom '[mLAT']]]-TP_DATA[[#This Row],[Top '[mLAT']]]),"")</f>
        <v/>
      </c>
      <c r="AY104" s="85" t="str">
        <f t="shared" si="4"/>
        <v/>
      </c>
      <c r="AZ104" s="85" t="str">
        <f>IFERROR((TP_DATA[[#This Row],[D, bottom '[m']]]+TP_DATA[[#This Row],[D, top '[m']]])/(2*TP_DATA[[#This Row],[t '[mm']]]/1000),"")</f>
        <v/>
      </c>
      <c r="BA104" s="85" t="str">
        <f>IFERROR((TP_DATA[[#This Row],[D, bottom '[m']]]+#REF!)/(2*#REF!/1000),"")</f>
        <v/>
      </c>
      <c r="CM104" s="85" t="str">
        <f>IFERROR(TOWER_DATA[[#This Row],[Bottom '[mLAT']]]-TOWER_DATA[[#This Row],[D, top '[m']]], "")</f>
        <v/>
      </c>
      <c r="CN104" s="85" t="str">
        <f>IFERROR(-(TOWER_DATA[[#This Row],[D, bottom '[m']]]-TOWER_DATA[[#This Row],[D, top '[m']]])/(TOWER_DATA[[#This Row],[Bottom '[mLAT']]]-TOWER_DATA[[#This Row],[Top '[mLAT']]]),"")</f>
        <v/>
      </c>
      <c r="CO104" s="85" t="str">
        <f t="shared" si="5"/>
        <v/>
      </c>
      <c r="CP104" s="85" t="str">
        <f>IFERROR((TOWER_DATA[[#This Row],[D, bottom '[m']]]+TOWER_DATA[[#This Row],[D, top '[m']]])/(2*TOWER_DATA[[#This Row],[t '[mm']]]/1000),"")</f>
        <v/>
      </c>
      <c r="CQ104" s="85" t="str">
        <f>IFERROR((TOWER_DATA[[#This Row],[D, bottom '[m']]]+#REF!)/(2*#REF!/1000),"")</f>
        <v/>
      </c>
    </row>
    <row r="105" spans="8:95" x14ac:dyDescent="0.3">
      <c r="H105" s="85" t="str">
        <f>IFERROR(MP_DATA[[#This Row],[Bottom '[mLAT']]]-MP_DATA[[#This Row],[D, top '[m']]], "")</f>
        <v/>
      </c>
      <c r="I105" s="85" t="str">
        <f>IFERROR(-(MP_DATA[[#This Row],[D, bottom '[m']]]-MP_DATA[[#This Row],[D, top '[m']]])/(MP_DATA[[#This Row],[Bottom '[mLAT']]]-MP_DATA[[#This Row],[Top '[mLAT']]]),"")</f>
        <v/>
      </c>
      <c r="J105" s="85" t="str">
        <f t="shared" si="6"/>
        <v/>
      </c>
      <c r="K105" s="85" t="str">
        <f>IFERROR((MP_DATA[[#This Row],[D, bottom '[m']]]+MP_DATA[[#This Row],[D, top '[m']]])/(2*MP_DATA[[#This Row],[t '[mm']]]/1000),"")</f>
        <v/>
      </c>
      <c r="L105" s="85" t="str">
        <f>IFERROR((MP_DATA[[#This Row],[D, bottom '[m']]]+#REF!)/(2*#REF!/1000),"")</f>
        <v/>
      </c>
      <c r="AW105" s="85" t="str">
        <f>IFERROR(TP_DATA[[#This Row],[Bottom '[mLAT']]]-TP_DATA[[#This Row],[D, top '[m']]], "")</f>
        <v/>
      </c>
      <c r="AX105" s="85" t="str">
        <f>IFERROR(-(TP_DATA[[#This Row],[D, bottom '[m']]]-TP_DATA[[#This Row],[D, top '[m']]])/(TP_DATA[[#This Row],[Bottom '[mLAT']]]-TP_DATA[[#This Row],[Top '[mLAT']]]),"")</f>
        <v/>
      </c>
      <c r="AY105" s="85" t="str">
        <f t="shared" si="4"/>
        <v/>
      </c>
      <c r="AZ105" s="85" t="str">
        <f>IFERROR((TP_DATA[[#This Row],[D, bottom '[m']]]+TP_DATA[[#This Row],[D, top '[m']]])/(2*TP_DATA[[#This Row],[t '[mm']]]/1000),"")</f>
        <v/>
      </c>
      <c r="BA105" s="85" t="str">
        <f>IFERROR((TP_DATA[[#This Row],[D, bottom '[m']]]+#REF!)/(2*#REF!/1000),"")</f>
        <v/>
      </c>
      <c r="CM105" s="85" t="str">
        <f>IFERROR(TOWER_DATA[[#This Row],[Bottom '[mLAT']]]-TOWER_DATA[[#This Row],[D, top '[m']]], "")</f>
        <v/>
      </c>
      <c r="CN105" s="85" t="str">
        <f>IFERROR(-(TOWER_DATA[[#This Row],[D, bottom '[m']]]-TOWER_DATA[[#This Row],[D, top '[m']]])/(TOWER_DATA[[#This Row],[Bottom '[mLAT']]]-TOWER_DATA[[#This Row],[Top '[mLAT']]]),"")</f>
        <v/>
      </c>
      <c r="CO105" s="85" t="str">
        <f t="shared" si="5"/>
        <v/>
      </c>
      <c r="CP105" s="85" t="str">
        <f>IFERROR((TOWER_DATA[[#This Row],[D, bottom '[m']]]+TOWER_DATA[[#This Row],[D, top '[m']]])/(2*TOWER_DATA[[#This Row],[t '[mm']]]/1000),"")</f>
        <v/>
      </c>
      <c r="CQ105" s="85" t="str">
        <f>IFERROR((TOWER_DATA[[#This Row],[D, bottom '[m']]]+#REF!)/(2*#REF!/1000),"")</f>
        <v/>
      </c>
    </row>
    <row r="106" spans="8:95" x14ac:dyDescent="0.3">
      <c r="H106" s="85" t="str">
        <f>IFERROR(MP_DATA[[#This Row],[Bottom '[mLAT']]]-MP_DATA[[#This Row],[D, top '[m']]], "")</f>
        <v/>
      </c>
      <c r="I106" s="85" t="str">
        <f>IFERROR(-(MP_DATA[[#This Row],[D, bottom '[m']]]-MP_DATA[[#This Row],[D, top '[m']]])/(MP_DATA[[#This Row],[Bottom '[mLAT']]]-MP_DATA[[#This Row],[Top '[mLAT']]]),"")</f>
        <v/>
      </c>
      <c r="J106" s="85" t="str">
        <f t="shared" si="6"/>
        <v/>
      </c>
      <c r="K106" s="85" t="str">
        <f>IFERROR((MP_DATA[[#This Row],[D, bottom '[m']]]+MP_DATA[[#This Row],[D, top '[m']]])/(2*MP_DATA[[#This Row],[t '[mm']]]/1000),"")</f>
        <v/>
      </c>
      <c r="L106" s="85" t="str">
        <f>IFERROR((MP_DATA[[#This Row],[D, bottom '[m']]]+#REF!)/(2*#REF!/1000),"")</f>
        <v/>
      </c>
      <c r="AW106" s="85" t="str">
        <f>IFERROR(TP_DATA[[#This Row],[Bottom '[mLAT']]]-TP_DATA[[#This Row],[D, top '[m']]], "")</f>
        <v/>
      </c>
      <c r="AX106" s="85" t="str">
        <f>IFERROR(-(TP_DATA[[#This Row],[D, bottom '[m']]]-TP_DATA[[#This Row],[D, top '[m']]])/(TP_DATA[[#This Row],[Bottom '[mLAT']]]-TP_DATA[[#This Row],[Top '[mLAT']]]),"")</f>
        <v/>
      </c>
      <c r="AY106" s="85" t="str">
        <f t="shared" si="4"/>
        <v/>
      </c>
      <c r="AZ106" s="85" t="str">
        <f>IFERROR((TP_DATA[[#This Row],[D, bottom '[m']]]+TP_DATA[[#This Row],[D, top '[m']]])/(2*TP_DATA[[#This Row],[t '[mm']]]/1000),"")</f>
        <v/>
      </c>
      <c r="BA106" s="85" t="str">
        <f>IFERROR((TP_DATA[[#This Row],[D, bottom '[m']]]+#REF!)/(2*#REF!/1000),"")</f>
        <v/>
      </c>
      <c r="CM106" s="85" t="str">
        <f>IFERROR(TOWER_DATA[[#This Row],[Bottom '[mLAT']]]-TOWER_DATA[[#This Row],[D, top '[m']]], "")</f>
        <v/>
      </c>
      <c r="CN106" s="85" t="str">
        <f>IFERROR(-(TOWER_DATA[[#This Row],[D, bottom '[m']]]-TOWER_DATA[[#This Row],[D, top '[m']]])/(TOWER_DATA[[#This Row],[Bottom '[mLAT']]]-TOWER_DATA[[#This Row],[Top '[mLAT']]]),"")</f>
        <v/>
      </c>
      <c r="CO106" s="85" t="str">
        <f t="shared" si="5"/>
        <v/>
      </c>
      <c r="CP106" s="85" t="str">
        <f>IFERROR((TOWER_DATA[[#This Row],[D, bottom '[m']]]+TOWER_DATA[[#This Row],[D, top '[m']]])/(2*TOWER_DATA[[#This Row],[t '[mm']]]/1000),"")</f>
        <v/>
      </c>
      <c r="CQ106" s="85" t="str">
        <f>IFERROR((TOWER_DATA[[#This Row],[D, bottom '[m']]]+#REF!)/(2*#REF!/1000),"")</f>
        <v/>
      </c>
    </row>
    <row r="107" spans="8:95" x14ac:dyDescent="0.3">
      <c r="H107" s="85" t="str">
        <f>IFERROR(MP_DATA[[#This Row],[Bottom '[mLAT']]]-MP_DATA[[#This Row],[D, top '[m']]], "")</f>
        <v/>
      </c>
      <c r="I107" s="85" t="str">
        <f>IFERROR(-(MP_DATA[[#This Row],[D, bottom '[m']]]-MP_DATA[[#This Row],[D, top '[m']]])/(MP_DATA[[#This Row],[Bottom '[mLAT']]]-MP_DATA[[#This Row],[Top '[mLAT']]]),"")</f>
        <v/>
      </c>
      <c r="J107" s="85" t="str">
        <f t="shared" si="6"/>
        <v/>
      </c>
      <c r="K107" s="85" t="str">
        <f>IFERROR((MP_DATA[[#This Row],[D, bottom '[m']]]+MP_DATA[[#This Row],[D, top '[m']]])/(2*MP_DATA[[#This Row],[t '[mm']]]/1000),"")</f>
        <v/>
      </c>
      <c r="L107" s="85" t="str">
        <f>IFERROR((MP_DATA[[#This Row],[D, bottom '[m']]]+#REF!)/(2*#REF!/1000),"")</f>
        <v/>
      </c>
      <c r="AW107" s="85" t="str">
        <f>IFERROR(TP_DATA[[#This Row],[Bottom '[mLAT']]]-TP_DATA[[#This Row],[D, top '[m']]], "")</f>
        <v/>
      </c>
      <c r="AX107" s="85" t="str">
        <f>IFERROR(-(TP_DATA[[#This Row],[D, bottom '[m']]]-TP_DATA[[#This Row],[D, top '[m']]])/(TP_DATA[[#This Row],[Bottom '[mLAT']]]-TP_DATA[[#This Row],[Top '[mLAT']]]),"")</f>
        <v/>
      </c>
      <c r="AY107" s="85" t="str">
        <f t="shared" si="4"/>
        <v/>
      </c>
      <c r="AZ107" s="85" t="str">
        <f>IFERROR((TP_DATA[[#This Row],[D, bottom '[m']]]+TP_DATA[[#This Row],[D, top '[m']]])/(2*TP_DATA[[#This Row],[t '[mm']]]/1000),"")</f>
        <v/>
      </c>
      <c r="BA107" s="85" t="str">
        <f>IFERROR((TP_DATA[[#This Row],[D, bottom '[m']]]+#REF!)/(2*#REF!/1000),"")</f>
        <v/>
      </c>
      <c r="CM107" s="85" t="str">
        <f>IFERROR(TOWER_DATA[[#This Row],[Bottom '[mLAT']]]-TOWER_DATA[[#This Row],[D, top '[m']]], "")</f>
        <v/>
      </c>
      <c r="CN107" s="85" t="str">
        <f>IFERROR(-(TOWER_DATA[[#This Row],[D, bottom '[m']]]-TOWER_DATA[[#This Row],[D, top '[m']]])/(TOWER_DATA[[#This Row],[Bottom '[mLAT']]]-TOWER_DATA[[#This Row],[Top '[mLAT']]]),"")</f>
        <v/>
      </c>
      <c r="CO107" s="85" t="str">
        <f t="shared" si="5"/>
        <v/>
      </c>
      <c r="CP107" s="85" t="str">
        <f>IFERROR((TOWER_DATA[[#This Row],[D, bottom '[m']]]+TOWER_DATA[[#This Row],[D, top '[m']]])/(2*TOWER_DATA[[#This Row],[t '[mm']]]/1000),"")</f>
        <v/>
      </c>
      <c r="CQ107" s="85" t="str">
        <f>IFERROR((TOWER_DATA[[#This Row],[D, bottom '[m']]]+#REF!)/(2*#REF!/1000),"")</f>
        <v/>
      </c>
    </row>
    <row r="108" spans="8:95" x14ac:dyDescent="0.3">
      <c r="H108" s="85" t="str">
        <f>IFERROR(MP_DATA[[#This Row],[Bottom '[mLAT']]]-MP_DATA[[#This Row],[D, top '[m']]], "")</f>
        <v/>
      </c>
      <c r="I108" s="85" t="str">
        <f>IFERROR(-(MP_DATA[[#This Row],[D, bottom '[m']]]-MP_DATA[[#This Row],[D, top '[m']]])/(MP_DATA[[#This Row],[Bottom '[mLAT']]]-MP_DATA[[#This Row],[Top '[mLAT']]]),"")</f>
        <v/>
      </c>
      <c r="J108" s="85" t="str">
        <f t="shared" si="6"/>
        <v/>
      </c>
      <c r="K108" s="85" t="str">
        <f>IFERROR((MP_DATA[[#This Row],[D, bottom '[m']]]+MP_DATA[[#This Row],[D, top '[m']]])/(2*MP_DATA[[#This Row],[t '[mm']]]/1000),"")</f>
        <v/>
      </c>
      <c r="L108" s="85" t="str">
        <f>IFERROR((MP_DATA[[#This Row],[D, bottom '[m']]]+#REF!)/(2*#REF!/1000),"")</f>
        <v/>
      </c>
      <c r="AW108" s="85" t="str">
        <f>IFERROR(TP_DATA[[#This Row],[Bottom '[mLAT']]]-TP_DATA[[#This Row],[D, top '[m']]], "")</f>
        <v/>
      </c>
      <c r="AX108" s="85" t="str">
        <f>IFERROR(-(TP_DATA[[#This Row],[D, bottom '[m']]]-TP_DATA[[#This Row],[D, top '[m']]])/(TP_DATA[[#This Row],[Bottom '[mLAT']]]-TP_DATA[[#This Row],[Top '[mLAT']]]),"")</f>
        <v/>
      </c>
      <c r="AY108" s="85" t="str">
        <f t="shared" si="4"/>
        <v/>
      </c>
      <c r="AZ108" s="85" t="str">
        <f>IFERROR((TP_DATA[[#This Row],[D, bottom '[m']]]+TP_DATA[[#This Row],[D, top '[m']]])/(2*TP_DATA[[#This Row],[t '[mm']]]/1000),"")</f>
        <v/>
      </c>
      <c r="BA108" s="85" t="str">
        <f>IFERROR((TP_DATA[[#This Row],[D, bottom '[m']]]+#REF!)/(2*#REF!/1000),"")</f>
        <v/>
      </c>
      <c r="CM108" s="85" t="str">
        <f>IFERROR(TOWER_DATA[[#This Row],[Bottom '[mLAT']]]-TOWER_DATA[[#This Row],[D, top '[m']]], "")</f>
        <v/>
      </c>
      <c r="CN108" s="85" t="str">
        <f>IFERROR(-(TOWER_DATA[[#This Row],[D, bottom '[m']]]-TOWER_DATA[[#This Row],[D, top '[m']]])/(TOWER_DATA[[#This Row],[Bottom '[mLAT']]]-TOWER_DATA[[#This Row],[Top '[mLAT']]]),"")</f>
        <v/>
      </c>
      <c r="CO108" s="85" t="str">
        <f t="shared" si="5"/>
        <v/>
      </c>
      <c r="CP108" s="85" t="str">
        <f>IFERROR((TOWER_DATA[[#This Row],[D, bottom '[m']]]+TOWER_DATA[[#This Row],[D, top '[m']]])/(2*TOWER_DATA[[#This Row],[t '[mm']]]/1000),"")</f>
        <v/>
      </c>
      <c r="CQ108" s="85" t="str">
        <f>IFERROR((TOWER_DATA[[#This Row],[D, bottom '[m']]]+#REF!)/(2*#REF!/1000),"")</f>
        <v/>
      </c>
    </row>
    <row r="109" spans="8:95" x14ac:dyDescent="0.3">
      <c r="H109" s="85" t="str">
        <f>IFERROR(MP_DATA[[#This Row],[Bottom '[mLAT']]]-MP_DATA[[#This Row],[D, top '[m']]], "")</f>
        <v/>
      </c>
      <c r="I109" s="85" t="str">
        <f>IFERROR(-(MP_DATA[[#This Row],[D, bottom '[m']]]-MP_DATA[[#This Row],[D, top '[m']]])/(MP_DATA[[#This Row],[Bottom '[mLAT']]]-MP_DATA[[#This Row],[Top '[mLAT']]]),"")</f>
        <v/>
      </c>
      <c r="J109" s="85" t="str">
        <f t="shared" si="6"/>
        <v/>
      </c>
      <c r="K109" s="85" t="str">
        <f>IFERROR((MP_DATA[[#This Row],[D, bottom '[m']]]+MP_DATA[[#This Row],[D, top '[m']]])/(2*MP_DATA[[#This Row],[t '[mm']]]/1000),"")</f>
        <v/>
      </c>
      <c r="L109" s="85" t="str">
        <f>IFERROR((MP_DATA[[#This Row],[D, bottom '[m']]]+#REF!)/(2*#REF!/1000),"")</f>
        <v/>
      </c>
      <c r="AW109" s="85" t="str">
        <f>IFERROR(TP_DATA[[#This Row],[Bottom '[mLAT']]]-TP_DATA[[#This Row],[D, top '[m']]], "")</f>
        <v/>
      </c>
      <c r="AX109" s="85" t="str">
        <f>IFERROR(-(TP_DATA[[#This Row],[D, bottom '[m']]]-TP_DATA[[#This Row],[D, top '[m']]])/(TP_DATA[[#This Row],[Bottom '[mLAT']]]-TP_DATA[[#This Row],[Top '[mLAT']]]),"")</f>
        <v/>
      </c>
      <c r="AY109" s="85" t="str">
        <f t="shared" si="4"/>
        <v/>
      </c>
      <c r="AZ109" s="85" t="str">
        <f>IFERROR((TP_DATA[[#This Row],[D, bottom '[m']]]+TP_DATA[[#This Row],[D, top '[m']]])/(2*TP_DATA[[#This Row],[t '[mm']]]/1000),"")</f>
        <v/>
      </c>
      <c r="BA109" s="85" t="str">
        <f>IFERROR((TP_DATA[[#This Row],[D, bottom '[m']]]+#REF!)/(2*#REF!/1000),"")</f>
        <v/>
      </c>
      <c r="CM109" s="85" t="str">
        <f>IFERROR(TOWER_DATA[[#This Row],[Bottom '[mLAT']]]-TOWER_DATA[[#This Row],[D, top '[m']]], "")</f>
        <v/>
      </c>
      <c r="CN109" s="85" t="str">
        <f>IFERROR(-(TOWER_DATA[[#This Row],[D, bottom '[m']]]-TOWER_DATA[[#This Row],[D, top '[m']]])/(TOWER_DATA[[#This Row],[Bottom '[mLAT']]]-TOWER_DATA[[#This Row],[Top '[mLAT']]]),"")</f>
        <v/>
      </c>
      <c r="CO109" s="85" t="str">
        <f t="shared" si="5"/>
        <v/>
      </c>
      <c r="CP109" s="85" t="str">
        <f>IFERROR((TOWER_DATA[[#This Row],[D, bottom '[m']]]+TOWER_DATA[[#This Row],[D, top '[m']]])/(2*TOWER_DATA[[#This Row],[t '[mm']]]/1000),"")</f>
        <v/>
      </c>
      <c r="CQ109" s="85" t="str">
        <f>IFERROR((TOWER_DATA[[#This Row],[D, bottom '[m']]]+#REF!)/(2*#REF!/1000),"")</f>
        <v/>
      </c>
    </row>
    <row r="110" spans="8:95" x14ac:dyDescent="0.3">
      <c r="H110" s="85" t="str">
        <f>IFERROR(MP_DATA[[#This Row],[Bottom '[mLAT']]]-MP_DATA[[#This Row],[D, top '[m']]], "")</f>
        <v/>
      </c>
      <c r="I110" s="85" t="str">
        <f>IFERROR(-(MP_DATA[[#This Row],[D, bottom '[m']]]-MP_DATA[[#This Row],[D, top '[m']]])/(MP_DATA[[#This Row],[Bottom '[mLAT']]]-MP_DATA[[#This Row],[Top '[mLAT']]]),"")</f>
        <v/>
      </c>
      <c r="J110" s="85" t="str">
        <f t="shared" si="6"/>
        <v/>
      </c>
      <c r="K110" s="85" t="str">
        <f>IFERROR((MP_DATA[[#This Row],[D, bottom '[m']]]+MP_DATA[[#This Row],[D, top '[m']]])/(2*MP_DATA[[#This Row],[t '[mm']]]/1000),"")</f>
        <v/>
      </c>
      <c r="L110" s="85" t="str">
        <f>IFERROR((MP_DATA[[#This Row],[D, bottom '[m']]]+#REF!)/(2*#REF!/1000),"")</f>
        <v/>
      </c>
      <c r="AW110" s="85" t="str">
        <f>IFERROR(TP_DATA[[#This Row],[Bottom '[mLAT']]]-TP_DATA[[#This Row],[D, top '[m']]], "")</f>
        <v/>
      </c>
      <c r="AX110" s="85" t="str">
        <f>IFERROR(-(TP_DATA[[#This Row],[D, bottom '[m']]]-TP_DATA[[#This Row],[D, top '[m']]])/(TP_DATA[[#This Row],[Bottom '[mLAT']]]-TP_DATA[[#This Row],[Top '[mLAT']]]),"")</f>
        <v/>
      </c>
      <c r="AY110" s="85" t="str">
        <f t="shared" si="4"/>
        <v/>
      </c>
      <c r="AZ110" s="85" t="str">
        <f>IFERROR((TP_DATA[[#This Row],[D, bottom '[m']]]+TP_DATA[[#This Row],[D, top '[m']]])/(2*TP_DATA[[#This Row],[t '[mm']]]/1000),"")</f>
        <v/>
      </c>
      <c r="BA110" s="85" t="str">
        <f>IFERROR((TP_DATA[[#This Row],[D, bottom '[m']]]+#REF!)/(2*#REF!/1000),"")</f>
        <v/>
      </c>
      <c r="CM110" s="85" t="str">
        <f>IFERROR(TOWER_DATA[[#This Row],[Bottom '[mLAT']]]-TOWER_DATA[[#This Row],[D, top '[m']]], "")</f>
        <v/>
      </c>
      <c r="CN110" s="85" t="str">
        <f>IFERROR(-(TOWER_DATA[[#This Row],[D, bottom '[m']]]-TOWER_DATA[[#This Row],[D, top '[m']]])/(TOWER_DATA[[#This Row],[Bottom '[mLAT']]]-TOWER_DATA[[#This Row],[Top '[mLAT']]]),"")</f>
        <v/>
      </c>
      <c r="CO110" s="85" t="str">
        <f t="shared" si="5"/>
        <v/>
      </c>
      <c r="CP110" s="85" t="str">
        <f>IFERROR((TOWER_DATA[[#This Row],[D, bottom '[m']]]+TOWER_DATA[[#This Row],[D, top '[m']]])/(2*TOWER_DATA[[#This Row],[t '[mm']]]/1000),"")</f>
        <v/>
      </c>
      <c r="CQ110" s="85" t="str">
        <f>IFERROR((TOWER_DATA[[#This Row],[D, bottom '[m']]]+#REF!)/(2*#REF!/1000),"")</f>
        <v/>
      </c>
    </row>
    <row r="111" spans="8:95" x14ac:dyDescent="0.3">
      <c r="H111" s="85" t="str">
        <f>IFERROR(MP_DATA[[#This Row],[Bottom '[mLAT']]]-MP_DATA[[#This Row],[D, top '[m']]], "")</f>
        <v/>
      </c>
      <c r="I111" s="85" t="str">
        <f>IFERROR(-(MP_DATA[[#This Row],[D, bottom '[m']]]-MP_DATA[[#This Row],[D, top '[m']]])/(MP_DATA[[#This Row],[Bottom '[mLAT']]]-MP_DATA[[#This Row],[Top '[mLAT']]]),"")</f>
        <v/>
      </c>
      <c r="J111" s="85" t="str">
        <f t="shared" si="6"/>
        <v/>
      </c>
      <c r="K111" s="85" t="str">
        <f>IFERROR((MP_DATA[[#This Row],[D, bottom '[m']]]+MP_DATA[[#This Row],[D, top '[m']]])/(2*MP_DATA[[#This Row],[t '[mm']]]/1000),"")</f>
        <v/>
      </c>
      <c r="L111" s="85" t="str">
        <f>IFERROR((MP_DATA[[#This Row],[D, bottom '[m']]]+#REF!)/(2*#REF!/1000),"")</f>
        <v/>
      </c>
      <c r="AW111" s="85" t="str">
        <f>IFERROR(TP_DATA[[#This Row],[Bottom '[mLAT']]]-TP_DATA[[#This Row],[D, top '[m']]], "")</f>
        <v/>
      </c>
      <c r="AX111" s="85" t="str">
        <f>IFERROR(-(TP_DATA[[#This Row],[D, bottom '[m']]]-TP_DATA[[#This Row],[D, top '[m']]])/(TP_DATA[[#This Row],[Bottom '[mLAT']]]-TP_DATA[[#This Row],[Top '[mLAT']]]),"")</f>
        <v/>
      </c>
      <c r="AY111" s="85" t="str">
        <f t="shared" si="4"/>
        <v/>
      </c>
      <c r="AZ111" s="85" t="str">
        <f>IFERROR((TP_DATA[[#This Row],[D, bottom '[m']]]+TP_DATA[[#This Row],[D, top '[m']]])/(2*TP_DATA[[#This Row],[t '[mm']]]/1000),"")</f>
        <v/>
      </c>
      <c r="BA111" s="85" t="str">
        <f>IFERROR((TP_DATA[[#This Row],[D, bottom '[m']]]+#REF!)/(2*#REF!/1000),"")</f>
        <v/>
      </c>
      <c r="CM111" s="85" t="str">
        <f>IFERROR(TOWER_DATA[[#This Row],[Bottom '[mLAT']]]-TOWER_DATA[[#This Row],[D, top '[m']]], "")</f>
        <v/>
      </c>
      <c r="CN111" s="85" t="str">
        <f>IFERROR(-(TOWER_DATA[[#This Row],[D, bottom '[m']]]-TOWER_DATA[[#This Row],[D, top '[m']]])/(TOWER_DATA[[#This Row],[Bottom '[mLAT']]]-TOWER_DATA[[#This Row],[Top '[mLAT']]]),"")</f>
        <v/>
      </c>
      <c r="CO111" s="85" t="str">
        <f t="shared" si="5"/>
        <v/>
      </c>
      <c r="CP111" s="85" t="str">
        <f>IFERROR((TOWER_DATA[[#This Row],[D, bottom '[m']]]+TOWER_DATA[[#This Row],[D, top '[m']]])/(2*TOWER_DATA[[#This Row],[t '[mm']]]/1000),"")</f>
        <v/>
      </c>
      <c r="CQ111" s="85" t="str">
        <f>IFERROR((TOWER_DATA[[#This Row],[D, bottom '[m']]]+#REF!)/(2*#REF!/1000),"")</f>
        <v/>
      </c>
    </row>
    <row r="112" spans="8:95" x14ac:dyDescent="0.3">
      <c r="H112" s="85" t="str">
        <f>IFERROR(MP_DATA[[#This Row],[Bottom '[mLAT']]]-MP_DATA[[#This Row],[D, top '[m']]], "")</f>
        <v/>
      </c>
      <c r="I112" s="85" t="str">
        <f>IFERROR(-(MP_DATA[[#This Row],[D, bottom '[m']]]-MP_DATA[[#This Row],[D, top '[m']]])/(MP_DATA[[#This Row],[Bottom '[mLAT']]]-MP_DATA[[#This Row],[Top '[mLAT']]]),"")</f>
        <v/>
      </c>
      <c r="J112" s="85" t="str">
        <f t="shared" si="6"/>
        <v/>
      </c>
      <c r="K112" s="85" t="str">
        <f>IFERROR((MP_DATA[[#This Row],[D, bottom '[m']]]+MP_DATA[[#This Row],[D, top '[m']]])/(2*MP_DATA[[#This Row],[t '[mm']]]/1000),"")</f>
        <v/>
      </c>
      <c r="L112" s="85" t="str">
        <f>IFERROR((MP_DATA[[#This Row],[D, bottom '[m']]]+#REF!)/(2*#REF!/1000),"")</f>
        <v/>
      </c>
      <c r="AW112" s="85" t="str">
        <f>IFERROR(TP_DATA[[#This Row],[Bottom '[mLAT']]]-TP_DATA[[#This Row],[D, top '[m']]], "")</f>
        <v/>
      </c>
      <c r="AX112" s="85" t="str">
        <f>IFERROR(-(TP_DATA[[#This Row],[D, bottom '[m']]]-TP_DATA[[#This Row],[D, top '[m']]])/(TP_DATA[[#This Row],[Bottom '[mLAT']]]-TP_DATA[[#This Row],[Top '[mLAT']]]),"")</f>
        <v/>
      </c>
      <c r="AY112" s="85" t="str">
        <f t="shared" si="4"/>
        <v/>
      </c>
      <c r="AZ112" s="85" t="str">
        <f>IFERROR((TP_DATA[[#This Row],[D, bottom '[m']]]+TP_DATA[[#This Row],[D, top '[m']]])/(2*TP_DATA[[#This Row],[t '[mm']]]/1000),"")</f>
        <v/>
      </c>
      <c r="BA112" s="85" t="str">
        <f>IFERROR((TP_DATA[[#This Row],[D, bottom '[m']]]+#REF!)/(2*#REF!/1000),"")</f>
        <v/>
      </c>
      <c r="CM112" s="85" t="str">
        <f>IFERROR(TOWER_DATA[[#This Row],[Bottom '[mLAT']]]-TOWER_DATA[[#This Row],[D, top '[m']]], "")</f>
        <v/>
      </c>
      <c r="CN112" s="85" t="str">
        <f>IFERROR(-(TOWER_DATA[[#This Row],[D, bottom '[m']]]-TOWER_DATA[[#This Row],[D, top '[m']]])/(TOWER_DATA[[#This Row],[Bottom '[mLAT']]]-TOWER_DATA[[#This Row],[Top '[mLAT']]]),"")</f>
        <v/>
      </c>
      <c r="CO112" s="85" t="str">
        <f t="shared" si="5"/>
        <v/>
      </c>
      <c r="CP112" s="85" t="str">
        <f>IFERROR((TOWER_DATA[[#This Row],[D, bottom '[m']]]+TOWER_DATA[[#This Row],[D, top '[m']]])/(2*TOWER_DATA[[#This Row],[t '[mm']]]/1000),"")</f>
        <v/>
      </c>
      <c r="CQ112" s="85" t="str">
        <f>IFERROR((TOWER_DATA[[#This Row],[D, bottom '[m']]]+#REF!)/(2*#REF!/1000),"")</f>
        <v/>
      </c>
    </row>
    <row r="113" spans="8:95" x14ac:dyDescent="0.3">
      <c r="H113" s="85" t="str">
        <f>IFERROR(MP_DATA[[#This Row],[Bottom '[mLAT']]]-MP_DATA[[#This Row],[D, top '[m']]], "")</f>
        <v/>
      </c>
      <c r="I113" s="85" t="str">
        <f>IFERROR(-(MP_DATA[[#This Row],[D, bottom '[m']]]-MP_DATA[[#This Row],[D, top '[m']]])/(MP_DATA[[#This Row],[Bottom '[mLAT']]]-MP_DATA[[#This Row],[Top '[mLAT']]]),"")</f>
        <v/>
      </c>
      <c r="J113" s="85" t="str">
        <f t="shared" si="6"/>
        <v/>
      </c>
      <c r="K113" s="85" t="str">
        <f>IFERROR((MP_DATA[[#This Row],[D, bottom '[m']]]+MP_DATA[[#This Row],[D, top '[m']]])/(2*MP_DATA[[#This Row],[t '[mm']]]/1000),"")</f>
        <v/>
      </c>
      <c r="L113" s="85" t="str">
        <f>IFERROR((MP_DATA[[#This Row],[D, bottom '[m']]]+#REF!)/(2*#REF!/1000),"")</f>
        <v/>
      </c>
      <c r="AW113" s="85" t="str">
        <f>IFERROR(TP_DATA[[#This Row],[Bottom '[mLAT']]]-TP_DATA[[#This Row],[D, top '[m']]], "")</f>
        <v/>
      </c>
      <c r="AX113" s="85" t="str">
        <f>IFERROR(-(TP_DATA[[#This Row],[D, bottom '[m']]]-TP_DATA[[#This Row],[D, top '[m']]])/(TP_DATA[[#This Row],[Bottom '[mLAT']]]-TP_DATA[[#This Row],[Top '[mLAT']]]),"")</f>
        <v/>
      </c>
      <c r="AY113" s="85" t="str">
        <f t="shared" si="4"/>
        <v/>
      </c>
      <c r="AZ113" s="85" t="str">
        <f>IFERROR((TP_DATA[[#This Row],[D, bottom '[m']]]+TP_DATA[[#This Row],[D, top '[m']]])/(2*TP_DATA[[#This Row],[t '[mm']]]/1000),"")</f>
        <v/>
      </c>
      <c r="BA113" s="85" t="str">
        <f>IFERROR((TP_DATA[[#This Row],[D, bottom '[m']]]+#REF!)/(2*#REF!/1000),"")</f>
        <v/>
      </c>
      <c r="CM113" s="85" t="str">
        <f>IFERROR(TOWER_DATA[[#This Row],[Bottom '[mLAT']]]-TOWER_DATA[[#This Row],[D, top '[m']]], "")</f>
        <v/>
      </c>
      <c r="CN113" s="85" t="str">
        <f>IFERROR(-(TOWER_DATA[[#This Row],[D, bottom '[m']]]-TOWER_DATA[[#This Row],[D, top '[m']]])/(TOWER_DATA[[#This Row],[Bottom '[mLAT']]]-TOWER_DATA[[#This Row],[Top '[mLAT']]]),"")</f>
        <v/>
      </c>
      <c r="CO113" s="85" t="str">
        <f t="shared" si="5"/>
        <v/>
      </c>
      <c r="CP113" s="85" t="str">
        <f>IFERROR((TOWER_DATA[[#This Row],[D, bottom '[m']]]+TOWER_DATA[[#This Row],[D, top '[m']]])/(2*TOWER_DATA[[#This Row],[t '[mm']]]/1000),"")</f>
        <v/>
      </c>
      <c r="CQ113" s="85" t="str">
        <f>IFERROR((TOWER_DATA[[#This Row],[D, bottom '[m']]]+#REF!)/(2*#REF!/1000),"")</f>
        <v/>
      </c>
    </row>
    <row r="114" spans="8:95" x14ac:dyDescent="0.3">
      <c r="H114" s="85" t="str">
        <f>IFERROR(MP_DATA[[#This Row],[Bottom '[mLAT']]]-MP_DATA[[#This Row],[D, top '[m']]], "")</f>
        <v/>
      </c>
      <c r="I114" s="85" t="str">
        <f>IFERROR(-(MP_DATA[[#This Row],[D, bottom '[m']]]-MP_DATA[[#This Row],[D, top '[m']]])/(MP_DATA[[#This Row],[Bottom '[mLAT']]]-MP_DATA[[#This Row],[Top '[mLAT']]]),"")</f>
        <v/>
      </c>
      <c r="J114" s="85" t="str">
        <f t="shared" si="6"/>
        <v/>
      </c>
      <c r="K114" s="85" t="str">
        <f>IFERROR((MP_DATA[[#This Row],[D, bottom '[m']]]+MP_DATA[[#This Row],[D, top '[m']]])/(2*MP_DATA[[#This Row],[t '[mm']]]/1000),"")</f>
        <v/>
      </c>
      <c r="L114" s="85" t="str">
        <f>IFERROR((MP_DATA[[#This Row],[D, bottom '[m']]]+#REF!)/(2*#REF!/1000),"")</f>
        <v/>
      </c>
      <c r="AW114" s="85" t="str">
        <f>IFERROR(TP_DATA[[#This Row],[Bottom '[mLAT']]]-TP_DATA[[#This Row],[D, top '[m']]], "")</f>
        <v/>
      </c>
      <c r="AX114" s="85" t="str">
        <f>IFERROR(-(TP_DATA[[#This Row],[D, bottom '[m']]]-TP_DATA[[#This Row],[D, top '[m']]])/(TP_DATA[[#This Row],[Bottom '[mLAT']]]-TP_DATA[[#This Row],[Top '[mLAT']]]),"")</f>
        <v/>
      </c>
      <c r="AY114" s="85" t="str">
        <f t="shared" si="4"/>
        <v/>
      </c>
      <c r="AZ114" s="85" t="str">
        <f>IFERROR((TP_DATA[[#This Row],[D, bottom '[m']]]+TP_DATA[[#This Row],[D, top '[m']]])/(2*TP_DATA[[#This Row],[t '[mm']]]/1000),"")</f>
        <v/>
      </c>
      <c r="BA114" s="85" t="str">
        <f>IFERROR((TP_DATA[[#This Row],[D, bottom '[m']]]+#REF!)/(2*#REF!/1000),"")</f>
        <v/>
      </c>
      <c r="CM114" s="85" t="str">
        <f>IFERROR(TOWER_DATA[[#This Row],[Bottom '[mLAT']]]-TOWER_DATA[[#This Row],[D, top '[m']]], "")</f>
        <v/>
      </c>
      <c r="CN114" s="85" t="str">
        <f>IFERROR(-(TOWER_DATA[[#This Row],[D, bottom '[m']]]-TOWER_DATA[[#This Row],[D, top '[m']]])/(TOWER_DATA[[#This Row],[Bottom '[mLAT']]]-TOWER_DATA[[#This Row],[Top '[mLAT']]]),"")</f>
        <v/>
      </c>
      <c r="CO114" s="85" t="str">
        <f t="shared" si="5"/>
        <v/>
      </c>
      <c r="CP114" s="85" t="str">
        <f>IFERROR((TOWER_DATA[[#This Row],[D, bottom '[m']]]+TOWER_DATA[[#This Row],[D, top '[m']]])/(2*TOWER_DATA[[#This Row],[t '[mm']]]/1000),"")</f>
        <v/>
      </c>
      <c r="CQ114" s="85" t="str">
        <f>IFERROR((TOWER_DATA[[#This Row],[D, bottom '[m']]]+#REF!)/(2*#REF!/1000),"")</f>
        <v/>
      </c>
    </row>
    <row r="115" spans="8:95" x14ac:dyDescent="0.3">
      <c r="H115" s="85" t="str">
        <f>IFERROR(MP_DATA[[#This Row],[Bottom '[mLAT']]]-MP_DATA[[#This Row],[D, top '[m']]], "")</f>
        <v/>
      </c>
      <c r="I115" s="85" t="str">
        <f>IFERROR(-(MP_DATA[[#This Row],[D, bottom '[m']]]-MP_DATA[[#This Row],[D, top '[m']]])/(MP_DATA[[#This Row],[Bottom '[mLAT']]]-MP_DATA[[#This Row],[Top '[mLAT']]]),"")</f>
        <v/>
      </c>
      <c r="J115" s="85" t="str">
        <f t="shared" si="6"/>
        <v/>
      </c>
      <c r="K115" s="85" t="str">
        <f>IFERROR((MP_DATA[[#This Row],[D, bottom '[m']]]+MP_DATA[[#This Row],[D, top '[m']]])/(2*MP_DATA[[#This Row],[t '[mm']]]/1000),"")</f>
        <v/>
      </c>
      <c r="L115" s="85" t="str">
        <f>IFERROR((MP_DATA[[#This Row],[D, bottom '[m']]]+#REF!)/(2*#REF!/1000),"")</f>
        <v/>
      </c>
      <c r="AW115" s="85" t="str">
        <f>IFERROR(TP_DATA[[#This Row],[Bottom '[mLAT']]]-TP_DATA[[#This Row],[D, top '[m']]], "")</f>
        <v/>
      </c>
      <c r="AX115" s="85" t="str">
        <f>IFERROR(-(TP_DATA[[#This Row],[D, bottom '[m']]]-TP_DATA[[#This Row],[D, top '[m']]])/(TP_DATA[[#This Row],[Bottom '[mLAT']]]-TP_DATA[[#This Row],[Top '[mLAT']]]),"")</f>
        <v/>
      </c>
      <c r="AY115" s="85" t="str">
        <f t="shared" si="4"/>
        <v/>
      </c>
      <c r="AZ115" s="85" t="str">
        <f>IFERROR((TP_DATA[[#This Row],[D, bottom '[m']]]+TP_DATA[[#This Row],[D, top '[m']]])/(2*TP_DATA[[#This Row],[t '[mm']]]/1000),"")</f>
        <v/>
      </c>
      <c r="BA115" s="85" t="str">
        <f>IFERROR((TP_DATA[[#This Row],[D, bottom '[m']]]+#REF!)/(2*#REF!/1000),"")</f>
        <v/>
      </c>
      <c r="CM115" s="85" t="str">
        <f>IFERROR(TOWER_DATA[[#This Row],[Bottom '[mLAT']]]-TOWER_DATA[[#This Row],[D, top '[m']]], "")</f>
        <v/>
      </c>
      <c r="CN115" s="85" t="str">
        <f>IFERROR(-(TOWER_DATA[[#This Row],[D, bottom '[m']]]-TOWER_DATA[[#This Row],[D, top '[m']]])/(TOWER_DATA[[#This Row],[Bottom '[mLAT']]]-TOWER_DATA[[#This Row],[Top '[mLAT']]]),"")</f>
        <v/>
      </c>
      <c r="CO115" s="85" t="str">
        <f t="shared" si="5"/>
        <v/>
      </c>
      <c r="CP115" s="85" t="str">
        <f>IFERROR((TOWER_DATA[[#This Row],[D, bottom '[m']]]+TOWER_DATA[[#This Row],[D, top '[m']]])/(2*TOWER_DATA[[#This Row],[t '[mm']]]/1000),"")</f>
        <v/>
      </c>
      <c r="CQ115" s="85" t="str">
        <f>IFERROR((TOWER_DATA[[#This Row],[D, bottom '[m']]]+#REF!)/(2*#REF!/1000),"")</f>
        <v/>
      </c>
    </row>
    <row r="116" spans="8:95" x14ac:dyDescent="0.3">
      <c r="H116" s="85" t="str">
        <f>IFERROR(MP_DATA[[#This Row],[Bottom '[mLAT']]]-MP_DATA[[#This Row],[D, top '[m']]], "")</f>
        <v/>
      </c>
      <c r="I116" s="85" t="str">
        <f>IFERROR(-(MP_DATA[[#This Row],[D, bottom '[m']]]-MP_DATA[[#This Row],[D, top '[m']]])/(MP_DATA[[#This Row],[Bottom '[mLAT']]]-MP_DATA[[#This Row],[Top '[mLAT']]]),"")</f>
        <v/>
      </c>
      <c r="J116" s="85" t="str">
        <f t="shared" si="6"/>
        <v/>
      </c>
      <c r="K116" s="85" t="str">
        <f>IFERROR((MP_DATA[[#This Row],[D, bottom '[m']]]+MP_DATA[[#This Row],[D, top '[m']]])/(2*MP_DATA[[#This Row],[t '[mm']]]/1000),"")</f>
        <v/>
      </c>
      <c r="L116" s="85" t="str">
        <f>IFERROR((MP_DATA[[#This Row],[D, bottom '[m']]]+#REF!)/(2*#REF!/1000),"")</f>
        <v/>
      </c>
      <c r="AW116" s="85" t="str">
        <f>IFERROR(TP_DATA[[#This Row],[Bottom '[mLAT']]]-TP_DATA[[#This Row],[D, top '[m']]], "")</f>
        <v/>
      </c>
      <c r="AX116" s="85" t="str">
        <f>IFERROR(-(TP_DATA[[#This Row],[D, bottom '[m']]]-TP_DATA[[#This Row],[D, top '[m']]])/(TP_DATA[[#This Row],[Bottom '[mLAT']]]-TP_DATA[[#This Row],[Top '[mLAT']]]),"")</f>
        <v/>
      </c>
      <c r="AY116" s="85" t="str">
        <f t="shared" si="4"/>
        <v/>
      </c>
      <c r="AZ116" s="85" t="str">
        <f>IFERROR((TP_DATA[[#This Row],[D, bottom '[m']]]+TP_DATA[[#This Row],[D, top '[m']]])/(2*TP_DATA[[#This Row],[t '[mm']]]/1000),"")</f>
        <v/>
      </c>
      <c r="BA116" s="85" t="str">
        <f>IFERROR((TP_DATA[[#This Row],[D, bottom '[m']]]+#REF!)/(2*#REF!/1000),"")</f>
        <v/>
      </c>
      <c r="CM116" s="85" t="str">
        <f>IFERROR(TOWER_DATA[[#This Row],[Bottom '[mLAT']]]-TOWER_DATA[[#This Row],[D, top '[m']]], "")</f>
        <v/>
      </c>
      <c r="CN116" s="85" t="str">
        <f>IFERROR(-(TOWER_DATA[[#This Row],[D, bottom '[m']]]-TOWER_DATA[[#This Row],[D, top '[m']]])/(TOWER_DATA[[#This Row],[Bottom '[mLAT']]]-TOWER_DATA[[#This Row],[Top '[mLAT']]]),"")</f>
        <v/>
      </c>
      <c r="CO116" s="85" t="str">
        <f t="shared" si="5"/>
        <v/>
      </c>
      <c r="CP116" s="85" t="str">
        <f>IFERROR((TOWER_DATA[[#This Row],[D, bottom '[m']]]+TOWER_DATA[[#This Row],[D, top '[m']]])/(2*TOWER_DATA[[#This Row],[t '[mm']]]/1000),"")</f>
        <v/>
      </c>
      <c r="CQ116" s="85" t="str">
        <f>IFERROR((TOWER_DATA[[#This Row],[D, bottom '[m']]]+#REF!)/(2*#REF!/1000),"")</f>
        <v/>
      </c>
    </row>
    <row r="117" spans="8:95" x14ac:dyDescent="0.3">
      <c r="H117" s="85" t="str">
        <f>IFERROR(MP_DATA[[#This Row],[Bottom '[mLAT']]]-MP_DATA[[#This Row],[D, top '[m']]], "")</f>
        <v/>
      </c>
      <c r="I117" s="85" t="str">
        <f>IFERROR(-(MP_DATA[[#This Row],[D, bottom '[m']]]-MP_DATA[[#This Row],[D, top '[m']]])/(MP_DATA[[#This Row],[Bottom '[mLAT']]]-MP_DATA[[#This Row],[Top '[mLAT']]]),"")</f>
        <v/>
      </c>
      <c r="J117" s="85" t="str">
        <f t="shared" si="6"/>
        <v/>
      </c>
      <c r="K117" s="85" t="str">
        <f>IFERROR((MP_DATA[[#This Row],[D, bottom '[m']]]+MP_DATA[[#This Row],[D, top '[m']]])/(2*MP_DATA[[#This Row],[t '[mm']]]/1000),"")</f>
        <v/>
      </c>
      <c r="L117" s="85" t="str">
        <f>IFERROR((MP_DATA[[#This Row],[D, bottom '[m']]]+#REF!)/(2*#REF!/1000),"")</f>
        <v/>
      </c>
      <c r="AW117" s="85" t="str">
        <f>IFERROR(TP_DATA[[#This Row],[Bottom '[mLAT']]]-TP_DATA[[#This Row],[D, top '[m']]], "")</f>
        <v/>
      </c>
      <c r="AX117" s="85" t="str">
        <f>IFERROR(-(TP_DATA[[#This Row],[D, bottom '[m']]]-TP_DATA[[#This Row],[D, top '[m']]])/(TP_DATA[[#This Row],[Bottom '[mLAT']]]-TP_DATA[[#This Row],[Top '[mLAT']]]),"")</f>
        <v/>
      </c>
      <c r="AY117" s="85" t="str">
        <f t="shared" si="4"/>
        <v/>
      </c>
      <c r="AZ117" s="85" t="str">
        <f>IFERROR((TP_DATA[[#This Row],[D, bottom '[m']]]+TP_DATA[[#This Row],[D, top '[m']]])/(2*TP_DATA[[#This Row],[t '[mm']]]/1000),"")</f>
        <v/>
      </c>
      <c r="BA117" s="85" t="str">
        <f>IFERROR((TP_DATA[[#This Row],[D, bottom '[m']]]+#REF!)/(2*#REF!/1000),"")</f>
        <v/>
      </c>
      <c r="CM117" s="85" t="str">
        <f>IFERROR(TOWER_DATA[[#This Row],[Bottom '[mLAT']]]-TOWER_DATA[[#This Row],[D, top '[m']]], "")</f>
        <v/>
      </c>
      <c r="CN117" s="85" t="str">
        <f>IFERROR(-(TOWER_DATA[[#This Row],[D, bottom '[m']]]-TOWER_DATA[[#This Row],[D, top '[m']]])/(TOWER_DATA[[#This Row],[Bottom '[mLAT']]]-TOWER_DATA[[#This Row],[Top '[mLAT']]]),"")</f>
        <v/>
      </c>
      <c r="CO117" s="85" t="str">
        <f t="shared" si="5"/>
        <v/>
      </c>
      <c r="CP117" s="85" t="str">
        <f>IFERROR((TOWER_DATA[[#This Row],[D, bottom '[m']]]+TOWER_DATA[[#This Row],[D, top '[m']]])/(2*TOWER_DATA[[#This Row],[t '[mm']]]/1000),"")</f>
        <v/>
      </c>
      <c r="CQ117" s="85" t="str">
        <f>IFERROR((TOWER_DATA[[#This Row],[D, bottom '[m']]]+#REF!)/(2*#REF!/1000),"")</f>
        <v/>
      </c>
    </row>
    <row r="118" spans="8:95" x14ac:dyDescent="0.3">
      <c r="H118" s="85" t="str">
        <f>IFERROR(MP_DATA[[#This Row],[Bottom '[mLAT']]]-MP_DATA[[#This Row],[D, top '[m']]], "")</f>
        <v/>
      </c>
      <c r="I118" s="85" t="str">
        <f>IFERROR(-(MP_DATA[[#This Row],[D, bottom '[m']]]-MP_DATA[[#This Row],[D, top '[m']]])/(MP_DATA[[#This Row],[Bottom '[mLAT']]]-MP_DATA[[#This Row],[Top '[mLAT']]]),"")</f>
        <v/>
      </c>
      <c r="J118" s="85" t="str">
        <f t="shared" si="6"/>
        <v/>
      </c>
      <c r="K118" s="85" t="str">
        <f>IFERROR((MP_DATA[[#This Row],[D, bottom '[m']]]+MP_DATA[[#This Row],[D, top '[m']]])/(2*MP_DATA[[#This Row],[t '[mm']]]/1000),"")</f>
        <v/>
      </c>
      <c r="L118" s="85" t="str">
        <f>IFERROR((MP_DATA[[#This Row],[D, bottom '[m']]]+#REF!)/(2*#REF!/1000),"")</f>
        <v/>
      </c>
      <c r="AW118" s="85" t="str">
        <f>IFERROR(TP_DATA[[#This Row],[Bottom '[mLAT']]]-TP_DATA[[#This Row],[D, top '[m']]], "")</f>
        <v/>
      </c>
      <c r="AX118" s="85" t="str">
        <f>IFERROR(-(TP_DATA[[#This Row],[D, bottom '[m']]]-TP_DATA[[#This Row],[D, top '[m']]])/(TP_DATA[[#This Row],[Bottom '[mLAT']]]-TP_DATA[[#This Row],[Top '[mLAT']]]),"")</f>
        <v/>
      </c>
      <c r="AY118" s="85" t="str">
        <f t="shared" si="4"/>
        <v/>
      </c>
      <c r="AZ118" s="85" t="str">
        <f>IFERROR((TP_DATA[[#This Row],[D, bottom '[m']]]+TP_DATA[[#This Row],[D, top '[m']]])/(2*TP_DATA[[#This Row],[t '[mm']]]/1000),"")</f>
        <v/>
      </c>
      <c r="BA118" s="85" t="str">
        <f>IFERROR((TP_DATA[[#This Row],[D, bottom '[m']]]+#REF!)/(2*#REF!/1000),"")</f>
        <v/>
      </c>
      <c r="CM118" s="85" t="str">
        <f>IFERROR(TOWER_DATA[[#This Row],[Bottom '[mLAT']]]-TOWER_DATA[[#This Row],[D, top '[m']]], "")</f>
        <v/>
      </c>
      <c r="CN118" s="85" t="str">
        <f>IFERROR(-(TOWER_DATA[[#This Row],[D, bottom '[m']]]-TOWER_DATA[[#This Row],[D, top '[m']]])/(TOWER_DATA[[#This Row],[Bottom '[mLAT']]]-TOWER_DATA[[#This Row],[Top '[mLAT']]]),"")</f>
        <v/>
      </c>
      <c r="CO118" s="85" t="str">
        <f t="shared" si="5"/>
        <v/>
      </c>
      <c r="CP118" s="85" t="str">
        <f>IFERROR((TOWER_DATA[[#This Row],[D, bottom '[m']]]+TOWER_DATA[[#This Row],[D, top '[m']]])/(2*TOWER_DATA[[#This Row],[t '[mm']]]/1000),"")</f>
        <v/>
      </c>
      <c r="CQ118" s="85" t="str">
        <f>IFERROR((TOWER_DATA[[#This Row],[D, bottom '[m']]]+#REF!)/(2*#REF!/1000),"")</f>
        <v/>
      </c>
    </row>
    <row r="119" spans="8:95" x14ac:dyDescent="0.3">
      <c r="H119" s="85" t="str">
        <f>IFERROR(MP_DATA[[#This Row],[Bottom '[mLAT']]]-MP_DATA[[#This Row],[D, top '[m']]], "")</f>
        <v/>
      </c>
      <c r="I119" s="85" t="str">
        <f>IFERROR(-(MP_DATA[[#This Row],[D, bottom '[m']]]-MP_DATA[[#This Row],[D, top '[m']]])/(MP_DATA[[#This Row],[Bottom '[mLAT']]]-MP_DATA[[#This Row],[Top '[mLAT']]]),"")</f>
        <v/>
      </c>
      <c r="J119" s="85" t="str">
        <f t="shared" si="6"/>
        <v/>
      </c>
      <c r="K119" s="85" t="str">
        <f>IFERROR((MP_DATA[[#This Row],[D, bottom '[m']]]+MP_DATA[[#This Row],[D, top '[m']]])/(2*MP_DATA[[#This Row],[t '[mm']]]/1000),"")</f>
        <v/>
      </c>
      <c r="L119" s="85" t="str">
        <f>IFERROR((MP_DATA[[#This Row],[D, bottom '[m']]]+#REF!)/(2*#REF!/1000),"")</f>
        <v/>
      </c>
      <c r="AW119" s="85" t="str">
        <f>IFERROR(TP_DATA[[#This Row],[Bottom '[mLAT']]]-TP_DATA[[#This Row],[D, top '[m']]], "")</f>
        <v/>
      </c>
      <c r="AX119" s="85" t="str">
        <f>IFERROR(-(TP_DATA[[#This Row],[D, bottom '[m']]]-TP_DATA[[#This Row],[D, top '[m']]])/(TP_DATA[[#This Row],[Bottom '[mLAT']]]-TP_DATA[[#This Row],[Top '[mLAT']]]),"")</f>
        <v/>
      </c>
      <c r="AY119" s="85" t="str">
        <f t="shared" si="4"/>
        <v/>
      </c>
      <c r="AZ119" s="85" t="str">
        <f>IFERROR((TP_DATA[[#This Row],[D, bottom '[m']]]+TP_DATA[[#This Row],[D, top '[m']]])/(2*TP_DATA[[#This Row],[t '[mm']]]/1000),"")</f>
        <v/>
      </c>
      <c r="BA119" s="85" t="str">
        <f>IFERROR((TP_DATA[[#This Row],[D, bottom '[m']]]+#REF!)/(2*#REF!/1000),"")</f>
        <v/>
      </c>
      <c r="CM119" s="85" t="str">
        <f>IFERROR(TOWER_DATA[[#This Row],[Bottom '[mLAT']]]-TOWER_DATA[[#This Row],[D, top '[m']]], "")</f>
        <v/>
      </c>
      <c r="CN119" s="85" t="str">
        <f>IFERROR(-(TOWER_DATA[[#This Row],[D, bottom '[m']]]-TOWER_DATA[[#This Row],[D, top '[m']]])/(TOWER_DATA[[#This Row],[Bottom '[mLAT']]]-TOWER_DATA[[#This Row],[Top '[mLAT']]]),"")</f>
        <v/>
      </c>
      <c r="CO119" s="85" t="str">
        <f t="shared" si="5"/>
        <v/>
      </c>
      <c r="CP119" s="85" t="str">
        <f>IFERROR((TOWER_DATA[[#This Row],[D, bottom '[m']]]+TOWER_DATA[[#This Row],[D, top '[m']]])/(2*TOWER_DATA[[#This Row],[t '[mm']]]/1000),"")</f>
        <v/>
      </c>
      <c r="CQ119" s="85" t="str">
        <f>IFERROR((TOWER_DATA[[#This Row],[D, bottom '[m']]]+#REF!)/(2*#REF!/1000),"")</f>
        <v/>
      </c>
    </row>
    <row r="120" spans="8:95" x14ac:dyDescent="0.3">
      <c r="H120" s="85" t="str">
        <f>IFERROR(MP_DATA[[#This Row],[Bottom '[mLAT']]]-MP_DATA[[#This Row],[D, top '[m']]], "")</f>
        <v/>
      </c>
      <c r="I120" s="85" t="str">
        <f>IFERROR(-(MP_DATA[[#This Row],[D, bottom '[m']]]-MP_DATA[[#This Row],[D, top '[m']]])/(MP_DATA[[#This Row],[Bottom '[mLAT']]]-MP_DATA[[#This Row],[Top '[mLAT']]]),"")</f>
        <v/>
      </c>
      <c r="J120" s="85" t="str">
        <f t="shared" si="6"/>
        <v/>
      </c>
      <c r="K120" s="85" t="str">
        <f>IFERROR((MP_DATA[[#This Row],[D, bottom '[m']]]+MP_DATA[[#This Row],[D, top '[m']]])/(2*MP_DATA[[#This Row],[t '[mm']]]/1000),"")</f>
        <v/>
      </c>
      <c r="L120" s="85" t="str">
        <f>IFERROR((MP_DATA[[#This Row],[D, bottom '[m']]]+#REF!)/(2*#REF!/1000),"")</f>
        <v/>
      </c>
      <c r="AW120" s="85" t="str">
        <f>IFERROR(TP_DATA[[#This Row],[Bottom '[mLAT']]]-TP_DATA[[#This Row],[D, top '[m']]], "")</f>
        <v/>
      </c>
      <c r="AX120" s="85" t="str">
        <f>IFERROR(-(TP_DATA[[#This Row],[D, bottom '[m']]]-TP_DATA[[#This Row],[D, top '[m']]])/(TP_DATA[[#This Row],[Bottom '[mLAT']]]-TP_DATA[[#This Row],[Top '[mLAT']]]),"")</f>
        <v/>
      </c>
      <c r="AY120" s="85" t="str">
        <f t="shared" si="4"/>
        <v/>
      </c>
      <c r="AZ120" s="85" t="str">
        <f>IFERROR((TP_DATA[[#This Row],[D, bottom '[m']]]+TP_DATA[[#This Row],[D, top '[m']]])/(2*TP_DATA[[#This Row],[t '[mm']]]/1000),"")</f>
        <v/>
      </c>
      <c r="BA120" s="85" t="str">
        <f>IFERROR((TP_DATA[[#This Row],[D, bottom '[m']]]+#REF!)/(2*#REF!/1000),"")</f>
        <v/>
      </c>
      <c r="CM120" s="85" t="str">
        <f>IFERROR(TOWER_DATA[[#This Row],[Bottom '[mLAT']]]-TOWER_DATA[[#This Row],[D, top '[m']]], "")</f>
        <v/>
      </c>
      <c r="CN120" s="85" t="str">
        <f>IFERROR(-(TOWER_DATA[[#This Row],[D, bottom '[m']]]-TOWER_DATA[[#This Row],[D, top '[m']]])/(TOWER_DATA[[#This Row],[Bottom '[mLAT']]]-TOWER_DATA[[#This Row],[Top '[mLAT']]]),"")</f>
        <v/>
      </c>
      <c r="CO120" s="85" t="str">
        <f t="shared" si="5"/>
        <v/>
      </c>
      <c r="CP120" s="85" t="str">
        <f>IFERROR((TOWER_DATA[[#This Row],[D, bottom '[m']]]+TOWER_DATA[[#This Row],[D, top '[m']]])/(2*TOWER_DATA[[#This Row],[t '[mm']]]/1000),"")</f>
        <v/>
      </c>
      <c r="CQ120" s="85" t="str">
        <f>IFERROR((TOWER_DATA[[#This Row],[D, bottom '[m']]]+#REF!)/(2*#REF!/1000),"")</f>
        <v/>
      </c>
    </row>
    <row r="121" spans="8:95" x14ac:dyDescent="0.3">
      <c r="H121" s="85" t="str">
        <f>IFERROR(MP_DATA[[#This Row],[Bottom '[mLAT']]]-MP_DATA[[#This Row],[D, top '[m']]], "")</f>
        <v/>
      </c>
      <c r="I121" s="85" t="str">
        <f>IFERROR(-(MP_DATA[[#This Row],[D, bottom '[m']]]-MP_DATA[[#This Row],[D, top '[m']]])/(MP_DATA[[#This Row],[Bottom '[mLAT']]]-MP_DATA[[#This Row],[Top '[mLAT']]]),"")</f>
        <v/>
      </c>
      <c r="J121" s="85" t="str">
        <f t="shared" si="6"/>
        <v/>
      </c>
      <c r="K121" s="85" t="str">
        <f>IFERROR((MP_DATA[[#This Row],[D, bottom '[m']]]+MP_DATA[[#This Row],[D, top '[m']]])/(2*MP_DATA[[#This Row],[t '[mm']]]/1000),"")</f>
        <v/>
      </c>
      <c r="L121" s="85" t="str">
        <f>IFERROR((MP_DATA[[#This Row],[D, bottom '[m']]]+#REF!)/(2*#REF!/1000),"")</f>
        <v/>
      </c>
      <c r="AW121" s="85" t="str">
        <f>IFERROR(TP_DATA[[#This Row],[Bottom '[mLAT']]]-TP_DATA[[#This Row],[D, top '[m']]], "")</f>
        <v/>
      </c>
      <c r="AX121" s="85" t="str">
        <f>IFERROR(-(TP_DATA[[#This Row],[D, bottom '[m']]]-TP_DATA[[#This Row],[D, top '[m']]])/(TP_DATA[[#This Row],[Bottom '[mLAT']]]-TP_DATA[[#This Row],[Top '[mLAT']]]),"")</f>
        <v/>
      </c>
      <c r="AY121" s="85" t="str">
        <f t="shared" si="4"/>
        <v/>
      </c>
      <c r="AZ121" s="85" t="str">
        <f>IFERROR((TP_DATA[[#This Row],[D, bottom '[m']]]+TP_DATA[[#This Row],[D, top '[m']]])/(2*TP_DATA[[#This Row],[t '[mm']]]/1000),"")</f>
        <v/>
      </c>
      <c r="BA121" s="85" t="str">
        <f>IFERROR((TP_DATA[[#This Row],[D, bottom '[m']]]+#REF!)/(2*#REF!/1000),"")</f>
        <v/>
      </c>
      <c r="CM121" s="85" t="str">
        <f>IFERROR(TOWER_DATA[[#This Row],[Bottom '[mLAT']]]-TOWER_DATA[[#This Row],[D, top '[m']]], "")</f>
        <v/>
      </c>
      <c r="CN121" s="85" t="str">
        <f>IFERROR(-(TOWER_DATA[[#This Row],[D, bottom '[m']]]-TOWER_DATA[[#This Row],[D, top '[m']]])/(TOWER_DATA[[#This Row],[Bottom '[mLAT']]]-TOWER_DATA[[#This Row],[Top '[mLAT']]]),"")</f>
        <v/>
      </c>
      <c r="CO121" s="85" t="str">
        <f t="shared" si="5"/>
        <v/>
      </c>
      <c r="CP121" s="85" t="str">
        <f>IFERROR((TOWER_DATA[[#This Row],[D, bottom '[m']]]+TOWER_DATA[[#This Row],[D, top '[m']]])/(2*TOWER_DATA[[#This Row],[t '[mm']]]/1000),"")</f>
        <v/>
      </c>
      <c r="CQ121" s="85" t="str">
        <f>IFERROR((TOWER_DATA[[#This Row],[D, bottom '[m']]]+#REF!)/(2*#REF!/1000),"")</f>
        <v/>
      </c>
    </row>
    <row r="122" spans="8:95" x14ac:dyDescent="0.3">
      <c r="H122" s="85" t="str">
        <f>IFERROR(MP_DATA[[#This Row],[Bottom '[mLAT']]]-MP_DATA[[#This Row],[D, top '[m']]], "")</f>
        <v/>
      </c>
      <c r="I122" s="85" t="str">
        <f>IFERROR(-(MP_DATA[[#This Row],[D, bottom '[m']]]-MP_DATA[[#This Row],[D, top '[m']]])/(MP_DATA[[#This Row],[Bottom '[mLAT']]]-MP_DATA[[#This Row],[Top '[mLAT']]]),"")</f>
        <v/>
      </c>
      <c r="J122" s="85" t="str">
        <f t="shared" si="6"/>
        <v/>
      </c>
      <c r="K122" s="85" t="str">
        <f>IFERROR((MP_DATA[[#This Row],[D, bottom '[m']]]+MP_DATA[[#This Row],[D, top '[m']]])/(2*MP_DATA[[#This Row],[t '[mm']]]/1000),"")</f>
        <v/>
      </c>
      <c r="L122" s="85" t="str">
        <f>IFERROR((MP_DATA[[#This Row],[D, bottom '[m']]]+#REF!)/(2*#REF!/1000),"")</f>
        <v/>
      </c>
      <c r="AW122" s="85" t="str">
        <f>IFERROR(TP_DATA[[#This Row],[Bottom '[mLAT']]]-TP_DATA[[#This Row],[D, top '[m']]], "")</f>
        <v/>
      </c>
      <c r="AX122" s="85" t="str">
        <f>IFERROR(-(TP_DATA[[#This Row],[D, bottom '[m']]]-TP_DATA[[#This Row],[D, top '[m']]])/(TP_DATA[[#This Row],[Bottom '[mLAT']]]-TP_DATA[[#This Row],[Top '[mLAT']]]),"")</f>
        <v/>
      </c>
      <c r="AY122" s="85" t="str">
        <f t="shared" si="4"/>
        <v/>
      </c>
      <c r="AZ122" s="85" t="str">
        <f>IFERROR((TP_DATA[[#This Row],[D, bottom '[m']]]+TP_DATA[[#This Row],[D, top '[m']]])/(2*TP_DATA[[#This Row],[t '[mm']]]/1000),"")</f>
        <v/>
      </c>
      <c r="BA122" s="85" t="str">
        <f>IFERROR((TP_DATA[[#This Row],[D, bottom '[m']]]+#REF!)/(2*#REF!/1000),"")</f>
        <v/>
      </c>
      <c r="CM122" s="85" t="str">
        <f>IFERROR(TOWER_DATA[[#This Row],[Bottom '[mLAT']]]-TOWER_DATA[[#This Row],[D, top '[m']]], "")</f>
        <v/>
      </c>
      <c r="CN122" s="85" t="str">
        <f>IFERROR(-(TOWER_DATA[[#This Row],[D, bottom '[m']]]-TOWER_DATA[[#This Row],[D, top '[m']]])/(TOWER_DATA[[#This Row],[Bottom '[mLAT']]]-TOWER_DATA[[#This Row],[Top '[mLAT']]]),"")</f>
        <v/>
      </c>
      <c r="CO122" s="85" t="str">
        <f t="shared" si="5"/>
        <v/>
      </c>
      <c r="CP122" s="85" t="str">
        <f>IFERROR((TOWER_DATA[[#This Row],[D, bottom '[m']]]+TOWER_DATA[[#This Row],[D, top '[m']]])/(2*TOWER_DATA[[#This Row],[t '[mm']]]/1000),"")</f>
        <v/>
      </c>
      <c r="CQ122" s="85" t="str">
        <f>IFERROR((TOWER_DATA[[#This Row],[D, bottom '[m']]]+#REF!)/(2*#REF!/1000),"")</f>
        <v/>
      </c>
    </row>
    <row r="123" spans="8:95" x14ac:dyDescent="0.3">
      <c r="H123" s="85" t="str">
        <f>IFERROR(MP_DATA[[#This Row],[Bottom '[mLAT']]]-MP_DATA[[#This Row],[D, top '[m']]], "")</f>
        <v/>
      </c>
      <c r="I123" s="85" t="str">
        <f>IFERROR(-(MP_DATA[[#This Row],[D, bottom '[m']]]-MP_DATA[[#This Row],[D, top '[m']]])/(MP_DATA[[#This Row],[Bottom '[mLAT']]]-MP_DATA[[#This Row],[Top '[mLAT']]]),"")</f>
        <v/>
      </c>
      <c r="J123" s="85" t="str">
        <f t="shared" si="6"/>
        <v/>
      </c>
      <c r="K123" s="85" t="str">
        <f>IFERROR((MP_DATA[[#This Row],[D, bottom '[m']]]+MP_DATA[[#This Row],[D, top '[m']]])/(2*MP_DATA[[#This Row],[t '[mm']]]/1000),"")</f>
        <v/>
      </c>
      <c r="L123" s="85" t="str">
        <f>IFERROR((MP_DATA[[#This Row],[D, bottom '[m']]]+#REF!)/(2*#REF!/1000),"")</f>
        <v/>
      </c>
      <c r="AW123" s="85" t="str">
        <f>IFERROR(TP_DATA[[#This Row],[Bottom '[mLAT']]]-TP_DATA[[#This Row],[D, top '[m']]], "")</f>
        <v/>
      </c>
      <c r="AX123" s="85" t="str">
        <f>IFERROR(-(TP_DATA[[#This Row],[D, bottom '[m']]]-TP_DATA[[#This Row],[D, top '[m']]])/(TP_DATA[[#This Row],[Bottom '[mLAT']]]-TP_DATA[[#This Row],[Top '[mLAT']]]),"")</f>
        <v/>
      </c>
      <c r="AY123" s="85" t="str">
        <f t="shared" si="4"/>
        <v/>
      </c>
      <c r="AZ123" s="85" t="str">
        <f>IFERROR((TP_DATA[[#This Row],[D, bottom '[m']]]+TP_DATA[[#This Row],[D, top '[m']]])/(2*TP_DATA[[#This Row],[t '[mm']]]/1000),"")</f>
        <v/>
      </c>
      <c r="BA123" s="85" t="str">
        <f>IFERROR((TP_DATA[[#This Row],[D, bottom '[m']]]+#REF!)/(2*#REF!/1000),"")</f>
        <v/>
      </c>
      <c r="CM123" s="85" t="str">
        <f>IFERROR(TOWER_DATA[[#This Row],[Bottom '[mLAT']]]-TOWER_DATA[[#This Row],[D, top '[m']]], "")</f>
        <v/>
      </c>
      <c r="CN123" s="85" t="str">
        <f>IFERROR(-(TOWER_DATA[[#This Row],[D, bottom '[m']]]-TOWER_DATA[[#This Row],[D, top '[m']]])/(TOWER_DATA[[#This Row],[Bottom '[mLAT']]]-TOWER_DATA[[#This Row],[Top '[mLAT']]]),"")</f>
        <v/>
      </c>
      <c r="CO123" s="85" t="str">
        <f t="shared" si="5"/>
        <v/>
      </c>
      <c r="CP123" s="85" t="str">
        <f>IFERROR((TOWER_DATA[[#This Row],[D, bottom '[m']]]+TOWER_DATA[[#This Row],[D, top '[m']]])/(2*TOWER_DATA[[#This Row],[t '[mm']]]/1000),"")</f>
        <v/>
      </c>
      <c r="CQ123" s="85" t="str">
        <f>IFERROR((TOWER_DATA[[#This Row],[D, bottom '[m']]]+#REF!)/(2*#REF!/1000),"")</f>
        <v/>
      </c>
    </row>
    <row r="124" spans="8:95" x14ac:dyDescent="0.3">
      <c r="H124" s="85" t="str">
        <f>IFERROR(MP_DATA[[#This Row],[Bottom '[mLAT']]]-MP_DATA[[#This Row],[D, top '[m']]], "")</f>
        <v/>
      </c>
      <c r="I124" s="85" t="str">
        <f>IFERROR(-(MP_DATA[[#This Row],[D, bottom '[m']]]-MP_DATA[[#This Row],[D, top '[m']]])/(MP_DATA[[#This Row],[Bottom '[mLAT']]]-MP_DATA[[#This Row],[Top '[mLAT']]]),"")</f>
        <v/>
      </c>
      <c r="J124" s="85" t="str">
        <f t="shared" si="6"/>
        <v/>
      </c>
      <c r="K124" s="85" t="str">
        <f>IFERROR((MP_DATA[[#This Row],[D, bottom '[m']]]+MP_DATA[[#This Row],[D, top '[m']]])/(2*MP_DATA[[#This Row],[t '[mm']]]/1000),"")</f>
        <v/>
      </c>
      <c r="L124" s="85" t="str">
        <f>IFERROR((MP_DATA[[#This Row],[D, bottom '[m']]]+#REF!)/(2*#REF!/1000),"")</f>
        <v/>
      </c>
      <c r="AW124" s="85" t="str">
        <f>IFERROR(TP_DATA[[#This Row],[Bottom '[mLAT']]]-TP_DATA[[#This Row],[D, top '[m']]], "")</f>
        <v/>
      </c>
      <c r="AX124" s="85" t="str">
        <f>IFERROR(-(TP_DATA[[#This Row],[D, bottom '[m']]]-TP_DATA[[#This Row],[D, top '[m']]])/(TP_DATA[[#This Row],[Bottom '[mLAT']]]-TP_DATA[[#This Row],[Top '[mLAT']]]),"")</f>
        <v/>
      </c>
      <c r="AY124" s="85" t="str">
        <f t="shared" si="4"/>
        <v/>
      </c>
      <c r="AZ124" s="85" t="str">
        <f>IFERROR((TP_DATA[[#This Row],[D, bottom '[m']]]+TP_DATA[[#This Row],[D, top '[m']]])/(2*TP_DATA[[#This Row],[t '[mm']]]/1000),"")</f>
        <v/>
      </c>
      <c r="BA124" s="85" t="str">
        <f>IFERROR((TP_DATA[[#This Row],[D, bottom '[m']]]+#REF!)/(2*#REF!/1000),"")</f>
        <v/>
      </c>
      <c r="CM124" s="85" t="str">
        <f>IFERROR(TOWER_DATA[[#This Row],[Bottom '[mLAT']]]-TOWER_DATA[[#This Row],[D, top '[m']]], "")</f>
        <v/>
      </c>
      <c r="CN124" s="85" t="str">
        <f>IFERROR(-(TOWER_DATA[[#This Row],[D, bottom '[m']]]-TOWER_DATA[[#This Row],[D, top '[m']]])/(TOWER_DATA[[#This Row],[Bottom '[mLAT']]]-TOWER_DATA[[#This Row],[Top '[mLAT']]]),"")</f>
        <v/>
      </c>
      <c r="CO124" s="85" t="str">
        <f t="shared" si="5"/>
        <v/>
      </c>
      <c r="CP124" s="85" t="str">
        <f>IFERROR((TOWER_DATA[[#This Row],[D, bottom '[m']]]+TOWER_DATA[[#This Row],[D, top '[m']]])/(2*TOWER_DATA[[#This Row],[t '[mm']]]/1000),"")</f>
        <v/>
      </c>
      <c r="CQ124" s="85" t="str">
        <f>IFERROR((TOWER_DATA[[#This Row],[D, bottom '[m']]]+#REF!)/(2*#REF!/1000),"")</f>
        <v/>
      </c>
    </row>
    <row r="125" spans="8:95" x14ac:dyDescent="0.3">
      <c r="H125" s="85" t="str">
        <f>IFERROR(MP_DATA[[#This Row],[Bottom '[mLAT']]]-MP_DATA[[#This Row],[D, top '[m']]], "")</f>
        <v/>
      </c>
      <c r="I125" s="85" t="str">
        <f>IFERROR(-(MP_DATA[[#This Row],[D, bottom '[m']]]-MP_DATA[[#This Row],[D, top '[m']]])/(MP_DATA[[#This Row],[Bottom '[mLAT']]]-MP_DATA[[#This Row],[Top '[mLAT']]]),"")</f>
        <v/>
      </c>
      <c r="J125" s="85" t="str">
        <f t="shared" si="6"/>
        <v/>
      </c>
      <c r="K125" s="85" t="str">
        <f>IFERROR((MP_DATA[[#This Row],[D, bottom '[m']]]+MP_DATA[[#This Row],[D, top '[m']]])/(2*MP_DATA[[#This Row],[t '[mm']]]/1000),"")</f>
        <v/>
      </c>
      <c r="L125" s="85" t="str">
        <f>IFERROR((MP_DATA[[#This Row],[D, bottom '[m']]]+#REF!)/(2*#REF!/1000),"")</f>
        <v/>
      </c>
      <c r="AW125" s="85" t="str">
        <f>IFERROR(TP_DATA[[#This Row],[Bottom '[mLAT']]]-TP_DATA[[#This Row],[D, top '[m']]], "")</f>
        <v/>
      </c>
      <c r="AX125" s="85" t="str">
        <f>IFERROR(-(TP_DATA[[#This Row],[D, bottom '[m']]]-TP_DATA[[#This Row],[D, top '[m']]])/(TP_DATA[[#This Row],[Bottom '[mLAT']]]-TP_DATA[[#This Row],[Top '[mLAT']]]),"")</f>
        <v/>
      </c>
      <c r="AY125" s="85" t="str">
        <f t="shared" si="4"/>
        <v/>
      </c>
      <c r="AZ125" s="85" t="str">
        <f>IFERROR((TP_DATA[[#This Row],[D, bottom '[m']]]+TP_DATA[[#This Row],[D, top '[m']]])/(2*TP_DATA[[#This Row],[t '[mm']]]/1000),"")</f>
        <v/>
      </c>
      <c r="BA125" s="85" t="str">
        <f>IFERROR((TP_DATA[[#This Row],[D, bottom '[m']]]+#REF!)/(2*#REF!/1000),"")</f>
        <v/>
      </c>
      <c r="CM125" s="85" t="str">
        <f>IFERROR(TOWER_DATA[[#This Row],[Bottom '[mLAT']]]-TOWER_DATA[[#This Row],[D, top '[m']]], "")</f>
        <v/>
      </c>
      <c r="CN125" s="85" t="str">
        <f>IFERROR(-(TOWER_DATA[[#This Row],[D, bottom '[m']]]-TOWER_DATA[[#This Row],[D, top '[m']]])/(TOWER_DATA[[#This Row],[Bottom '[mLAT']]]-TOWER_DATA[[#This Row],[Top '[mLAT']]]),"")</f>
        <v/>
      </c>
      <c r="CO125" s="85" t="str">
        <f t="shared" si="5"/>
        <v/>
      </c>
      <c r="CP125" s="85" t="str">
        <f>IFERROR((TOWER_DATA[[#This Row],[D, bottom '[m']]]+TOWER_DATA[[#This Row],[D, top '[m']]])/(2*TOWER_DATA[[#This Row],[t '[mm']]]/1000),"")</f>
        <v/>
      </c>
      <c r="CQ125" s="85" t="str">
        <f>IFERROR((TOWER_DATA[[#This Row],[D, bottom '[m']]]+#REF!)/(2*#REF!/1000),"")</f>
        <v/>
      </c>
    </row>
    <row r="126" spans="8:95" x14ac:dyDescent="0.3">
      <c r="H126" s="85" t="str">
        <f>IFERROR(MP_DATA[[#This Row],[Bottom '[mLAT']]]-MP_DATA[[#This Row],[D, top '[m']]], "")</f>
        <v/>
      </c>
      <c r="I126" s="85" t="str">
        <f>IFERROR(-(MP_DATA[[#This Row],[D, bottom '[m']]]-MP_DATA[[#This Row],[D, top '[m']]])/(MP_DATA[[#This Row],[Bottom '[mLAT']]]-MP_DATA[[#This Row],[Top '[mLAT']]]),"")</f>
        <v/>
      </c>
      <c r="J126" s="85" t="str">
        <f t="shared" si="6"/>
        <v/>
      </c>
      <c r="K126" s="85" t="str">
        <f>IFERROR((MP_DATA[[#This Row],[D, bottom '[m']]]+MP_DATA[[#This Row],[D, top '[m']]])/(2*MP_DATA[[#This Row],[t '[mm']]]/1000),"")</f>
        <v/>
      </c>
      <c r="L126" s="85" t="str">
        <f>IFERROR((MP_DATA[[#This Row],[D, bottom '[m']]]+#REF!)/(2*#REF!/1000),"")</f>
        <v/>
      </c>
      <c r="AW126" s="85" t="str">
        <f>IFERROR(TP_DATA[[#This Row],[Bottom '[mLAT']]]-TP_DATA[[#This Row],[D, top '[m']]], "")</f>
        <v/>
      </c>
      <c r="AX126" s="85" t="str">
        <f>IFERROR(-(TP_DATA[[#This Row],[D, bottom '[m']]]-TP_DATA[[#This Row],[D, top '[m']]])/(TP_DATA[[#This Row],[Bottom '[mLAT']]]-TP_DATA[[#This Row],[Top '[mLAT']]]),"")</f>
        <v/>
      </c>
      <c r="AY126" s="85" t="str">
        <f t="shared" si="4"/>
        <v/>
      </c>
      <c r="AZ126" s="85" t="str">
        <f>IFERROR((TP_DATA[[#This Row],[D, bottom '[m']]]+TP_DATA[[#This Row],[D, top '[m']]])/(2*TP_DATA[[#This Row],[t '[mm']]]/1000),"")</f>
        <v/>
      </c>
      <c r="BA126" s="85" t="str">
        <f>IFERROR((TP_DATA[[#This Row],[D, bottom '[m']]]+#REF!)/(2*#REF!/1000),"")</f>
        <v/>
      </c>
      <c r="CM126" s="85" t="str">
        <f>IFERROR(TOWER_DATA[[#This Row],[Bottom '[mLAT']]]-TOWER_DATA[[#This Row],[D, top '[m']]], "")</f>
        <v/>
      </c>
      <c r="CN126" s="85" t="str">
        <f>IFERROR(-(TOWER_DATA[[#This Row],[D, bottom '[m']]]-TOWER_DATA[[#This Row],[D, top '[m']]])/(TOWER_DATA[[#This Row],[Bottom '[mLAT']]]-TOWER_DATA[[#This Row],[Top '[mLAT']]]),"")</f>
        <v/>
      </c>
      <c r="CO126" s="85" t="str">
        <f t="shared" si="5"/>
        <v/>
      </c>
      <c r="CP126" s="85" t="str">
        <f>IFERROR((TOWER_DATA[[#This Row],[D, bottom '[m']]]+TOWER_DATA[[#This Row],[D, top '[m']]])/(2*TOWER_DATA[[#This Row],[t '[mm']]]/1000),"")</f>
        <v/>
      </c>
      <c r="CQ126" s="85" t="str">
        <f>IFERROR((TOWER_DATA[[#This Row],[D, bottom '[m']]]+#REF!)/(2*#REF!/1000),"")</f>
        <v/>
      </c>
    </row>
    <row r="127" spans="8:95" x14ac:dyDescent="0.3">
      <c r="H127" s="85" t="str">
        <f>IFERROR(MP_DATA[[#This Row],[Bottom '[mLAT']]]-MP_DATA[[#This Row],[D, top '[m']]], "")</f>
        <v/>
      </c>
      <c r="I127" s="85" t="str">
        <f>IFERROR(-(MP_DATA[[#This Row],[D, bottom '[m']]]-MP_DATA[[#This Row],[D, top '[m']]])/(MP_DATA[[#This Row],[Bottom '[mLAT']]]-MP_DATA[[#This Row],[Top '[mLAT']]]),"")</f>
        <v/>
      </c>
      <c r="J127" s="85" t="str">
        <f t="shared" si="6"/>
        <v/>
      </c>
      <c r="K127" s="85" t="str">
        <f>IFERROR((MP_DATA[[#This Row],[D, bottom '[m']]]+MP_DATA[[#This Row],[D, top '[m']]])/(2*MP_DATA[[#This Row],[t '[mm']]]/1000),"")</f>
        <v/>
      </c>
      <c r="L127" s="85" t="str">
        <f>IFERROR((MP_DATA[[#This Row],[D, bottom '[m']]]+#REF!)/(2*#REF!/1000),"")</f>
        <v/>
      </c>
      <c r="AW127" s="85" t="str">
        <f>IFERROR(TP_DATA[[#This Row],[Bottom '[mLAT']]]-TP_DATA[[#This Row],[D, top '[m']]], "")</f>
        <v/>
      </c>
      <c r="AX127" s="85" t="str">
        <f>IFERROR(-(TP_DATA[[#This Row],[D, bottom '[m']]]-TP_DATA[[#This Row],[D, top '[m']]])/(TP_DATA[[#This Row],[Bottom '[mLAT']]]-TP_DATA[[#This Row],[Top '[mLAT']]]),"")</f>
        <v/>
      </c>
      <c r="AY127" s="85" t="str">
        <f t="shared" si="4"/>
        <v/>
      </c>
      <c r="AZ127" s="85" t="str">
        <f>IFERROR((TP_DATA[[#This Row],[D, bottom '[m']]]+TP_DATA[[#This Row],[D, top '[m']]])/(2*TP_DATA[[#This Row],[t '[mm']]]/1000),"")</f>
        <v/>
      </c>
      <c r="BA127" s="85" t="str">
        <f>IFERROR((TP_DATA[[#This Row],[D, bottom '[m']]]+#REF!)/(2*#REF!/1000),"")</f>
        <v/>
      </c>
      <c r="CM127" s="85" t="str">
        <f>IFERROR(TOWER_DATA[[#This Row],[Bottom '[mLAT']]]-TOWER_DATA[[#This Row],[D, top '[m']]], "")</f>
        <v/>
      </c>
      <c r="CN127" s="85" t="str">
        <f>IFERROR(-(TOWER_DATA[[#This Row],[D, bottom '[m']]]-TOWER_DATA[[#This Row],[D, top '[m']]])/(TOWER_DATA[[#This Row],[Bottom '[mLAT']]]-TOWER_DATA[[#This Row],[Top '[mLAT']]]),"")</f>
        <v/>
      </c>
      <c r="CO127" s="85" t="str">
        <f t="shared" si="5"/>
        <v/>
      </c>
      <c r="CP127" s="85" t="str">
        <f>IFERROR((TOWER_DATA[[#This Row],[D, bottom '[m']]]+TOWER_DATA[[#This Row],[D, top '[m']]])/(2*TOWER_DATA[[#This Row],[t '[mm']]]/1000),"")</f>
        <v/>
      </c>
      <c r="CQ127" s="85" t="str">
        <f>IFERROR((TOWER_DATA[[#This Row],[D, bottom '[m']]]+#REF!)/(2*#REF!/1000),"")</f>
        <v/>
      </c>
    </row>
    <row r="128" spans="8:95" x14ac:dyDescent="0.3">
      <c r="H128" s="85" t="str">
        <f>IFERROR(MP_DATA[[#This Row],[Bottom '[mLAT']]]-MP_DATA[[#This Row],[D, top '[m']]], "")</f>
        <v/>
      </c>
      <c r="I128" s="85" t="str">
        <f>IFERROR(-(MP_DATA[[#This Row],[D, bottom '[m']]]-MP_DATA[[#This Row],[D, top '[m']]])/(MP_DATA[[#This Row],[Bottom '[mLAT']]]-MP_DATA[[#This Row],[Top '[mLAT']]]),"")</f>
        <v/>
      </c>
      <c r="J128" s="85" t="str">
        <f t="shared" si="6"/>
        <v/>
      </c>
      <c r="K128" s="85" t="str">
        <f>IFERROR((MP_DATA[[#This Row],[D, bottom '[m']]]+MP_DATA[[#This Row],[D, top '[m']]])/(2*MP_DATA[[#This Row],[t '[mm']]]/1000),"")</f>
        <v/>
      </c>
      <c r="L128" s="85" t="str">
        <f>IFERROR((MP_DATA[[#This Row],[D, bottom '[m']]]+#REF!)/(2*#REF!/1000),"")</f>
        <v/>
      </c>
      <c r="AW128" s="85" t="str">
        <f>IFERROR(TP_DATA[[#This Row],[Bottom '[mLAT']]]-TP_DATA[[#This Row],[D, top '[m']]], "")</f>
        <v/>
      </c>
      <c r="AX128" s="85" t="str">
        <f>IFERROR(-(TP_DATA[[#This Row],[D, bottom '[m']]]-TP_DATA[[#This Row],[D, top '[m']]])/(TP_DATA[[#This Row],[Bottom '[mLAT']]]-TP_DATA[[#This Row],[Top '[mLAT']]]),"")</f>
        <v/>
      </c>
      <c r="AY128" s="85" t="str">
        <f t="shared" si="4"/>
        <v/>
      </c>
      <c r="AZ128" s="85" t="str">
        <f>IFERROR((TP_DATA[[#This Row],[D, bottom '[m']]]+TP_DATA[[#This Row],[D, top '[m']]])/(2*TP_DATA[[#This Row],[t '[mm']]]/1000),"")</f>
        <v/>
      </c>
      <c r="BA128" s="85" t="str">
        <f>IFERROR((TP_DATA[[#This Row],[D, bottom '[m']]]+#REF!)/(2*#REF!/1000),"")</f>
        <v/>
      </c>
      <c r="CM128" s="85" t="str">
        <f>IFERROR(TOWER_DATA[[#This Row],[Bottom '[mLAT']]]-TOWER_DATA[[#This Row],[D, top '[m']]], "")</f>
        <v/>
      </c>
      <c r="CN128" s="85" t="str">
        <f>IFERROR(-(TOWER_DATA[[#This Row],[D, bottom '[m']]]-TOWER_DATA[[#This Row],[D, top '[m']]])/(TOWER_DATA[[#This Row],[Bottom '[mLAT']]]-TOWER_DATA[[#This Row],[Top '[mLAT']]]),"")</f>
        <v/>
      </c>
      <c r="CO128" s="85" t="str">
        <f t="shared" si="5"/>
        <v/>
      </c>
      <c r="CP128" s="85" t="str">
        <f>IFERROR((TOWER_DATA[[#This Row],[D, bottom '[m']]]+TOWER_DATA[[#This Row],[D, top '[m']]])/(2*TOWER_DATA[[#This Row],[t '[mm']]]/1000),"")</f>
        <v/>
      </c>
      <c r="CQ128" s="85" t="str">
        <f>IFERROR((TOWER_DATA[[#This Row],[D, bottom '[m']]]+#REF!)/(2*#REF!/1000),"")</f>
        <v/>
      </c>
    </row>
    <row r="129" spans="8:95" x14ac:dyDescent="0.3">
      <c r="H129" s="85" t="str">
        <f>IFERROR(MP_DATA[[#This Row],[Bottom '[mLAT']]]-MP_DATA[[#This Row],[D, top '[m']]], "")</f>
        <v/>
      </c>
      <c r="I129" s="85" t="str">
        <f>IFERROR(-(MP_DATA[[#This Row],[D, bottom '[m']]]-MP_DATA[[#This Row],[D, top '[m']]])/(MP_DATA[[#This Row],[Bottom '[mLAT']]]-MP_DATA[[#This Row],[Top '[mLAT']]]),"")</f>
        <v/>
      </c>
      <c r="J129" s="85" t="str">
        <f t="shared" si="6"/>
        <v/>
      </c>
      <c r="K129" s="85" t="str">
        <f>IFERROR((MP_DATA[[#This Row],[D, bottom '[m']]]+MP_DATA[[#This Row],[D, top '[m']]])/(2*MP_DATA[[#This Row],[t '[mm']]]/1000),"")</f>
        <v/>
      </c>
      <c r="L129" s="85" t="str">
        <f>IFERROR((MP_DATA[[#This Row],[D, bottom '[m']]]+#REF!)/(2*#REF!/1000),"")</f>
        <v/>
      </c>
      <c r="AW129" s="85" t="str">
        <f>IFERROR(TP_DATA[[#This Row],[Bottom '[mLAT']]]-TP_DATA[[#This Row],[D, top '[m']]], "")</f>
        <v/>
      </c>
      <c r="AX129" s="85" t="str">
        <f>IFERROR(-(TP_DATA[[#This Row],[D, bottom '[m']]]-TP_DATA[[#This Row],[D, top '[m']]])/(TP_DATA[[#This Row],[Bottom '[mLAT']]]-TP_DATA[[#This Row],[Top '[mLAT']]]),"")</f>
        <v/>
      </c>
      <c r="AY129" s="85" t="str">
        <f t="shared" si="4"/>
        <v/>
      </c>
      <c r="AZ129" s="85" t="str">
        <f>IFERROR((TP_DATA[[#This Row],[D, bottom '[m']]]+TP_DATA[[#This Row],[D, top '[m']]])/(2*TP_DATA[[#This Row],[t '[mm']]]/1000),"")</f>
        <v/>
      </c>
      <c r="BA129" s="85" t="str">
        <f>IFERROR((TP_DATA[[#This Row],[D, bottom '[m']]]+#REF!)/(2*#REF!/1000),"")</f>
        <v/>
      </c>
      <c r="CM129" s="85" t="str">
        <f>IFERROR(TOWER_DATA[[#This Row],[Bottom '[mLAT']]]-TOWER_DATA[[#This Row],[D, top '[m']]], "")</f>
        <v/>
      </c>
      <c r="CN129" s="85" t="str">
        <f>IFERROR(-(TOWER_DATA[[#This Row],[D, bottom '[m']]]-TOWER_DATA[[#This Row],[D, top '[m']]])/(TOWER_DATA[[#This Row],[Bottom '[mLAT']]]-TOWER_DATA[[#This Row],[Top '[mLAT']]]),"")</f>
        <v/>
      </c>
      <c r="CO129" s="85" t="str">
        <f t="shared" si="5"/>
        <v/>
      </c>
      <c r="CP129" s="85" t="str">
        <f>IFERROR((TOWER_DATA[[#This Row],[D, bottom '[m']]]+TOWER_DATA[[#This Row],[D, top '[m']]])/(2*TOWER_DATA[[#This Row],[t '[mm']]]/1000),"")</f>
        <v/>
      </c>
      <c r="CQ129" s="85" t="str">
        <f>IFERROR((TOWER_DATA[[#This Row],[D, bottom '[m']]]+#REF!)/(2*#REF!/1000),"")</f>
        <v/>
      </c>
    </row>
    <row r="130" spans="8:95" x14ac:dyDescent="0.3">
      <c r="H130" s="85" t="str">
        <f>IFERROR(MP_DATA[[#This Row],[Bottom '[mLAT']]]-MP_DATA[[#This Row],[D, top '[m']]], "")</f>
        <v/>
      </c>
      <c r="I130" s="85" t="str">
        <f>IFERROR(-(MP_DATA[[#This Row],[D, bottom '[m']]]-MP_DATA[[#This Row],[D, top '[m']]])/(MP_DATA[[#This Row],[Bottom '[mLAT']]]-MP_DATA[[#This Row],[Top '[mLAT']]]),"")</f>
        <v/>
      </c>
      <c r="J130" s="85" t="str">
        <f t="shared" si="6"/>
        <v/>
      </c>
      <c r="K130" s="85" t="str">
        <f>IFERROR((MP_DATA[[#This Row],[D, bottom '[m']]]+MP_DATA[[#This Row],[D, top '[m']]])/(2*MP_DATA[[#This Row],[t '[mm']]]/1000),"")</f>
        <v/>
      </c>
      <c r="L130" t="str">
        <f>IFERROR((MP_DATA[[#This Row],[D, bottom '[m']]]+#REF!)/(2*#REF!/1000),"")</f>
        <v/>
      </c>
      <c r="AW130" s="85" t="str">
        <f>IFERROR(TP_DATA[[#This Row],[Bottom '[mLAT']]]-TP_DATA[[#This Row],[D, top '[m']]], "")</f>
        <v/>
      </c>
      <c r="AX130" s="85" t="str">
        <f>IFERROR(-(TP_DATA[[#This Row],[D, bottom '[m']]]-TP_DATA[[#This Row],[D, top '[m']]])/(TP_DATA[[#This Row],[Bottom '[mLAT']]]-TP_DATA[[#This Row],[Top '[mLAT']]]),"")</f>
        <v/>
      </c>
      <c r="AY130" s="85" t="str">
        <f t="shared" si="4"/>
        <v/>
      </c>
      <c r="AZ130" s="85" t="str">
        <f>IFERROR((TP_DATA[[#This Row],[D, bottom '[m']]]+TP_DATA[[#This Row],[D, top '[m']]])/(2*TP_DATA[[#This Row],[t '[mm']]]/1000),"")</f>
        <v/>
      </c>
      <c r="BA130" t="str">
        <f>IFERROR((TP_DATA[[#This Row],[D, bottom '[m']]]+#REF!)/(2*#REF!/1000),"")</f>
        <v/>
      </c>
      <c r="CM130" s="85" t="str">
        <f>IFERROR(TOWER_DATA[[#This Row],[Bottom '[mLAT']]]-TOWER_DATA[[#This Row],[D, top '[m']]], "")</f>
        <v/>
      </c>
      <c r="CN130" s="85" t="str">
        <f>IFERROR(-(TOWER_DATA[[#This Row],[D, bottom '[m']]]-TOWER_DATA[[#This Row],[D, top '[m']]])/(TOWER_DATA[[#This Row],[Bottom '[mLAT']]]-TOWER_DATA[[#This Row],[Top '[mLAT']]]),"")</f>
        <v/>
      </c>
      <c r="CO130" s="85" t="str">
        <f t="shared" si="5"/>
        <v/>
      </c>
      <c r="CP130" s="85" t="str">
        <f>IFERROR((TOWER_DATA[[#This Row],[D, bottom '[m']]]+TOWER_DATA[[#This Row],[D, top '[m']]])/(2*TOWER_DATA[[#This Row],[t '[mm']]]/1000),"")</f>
        <v/>
      </c>
      <c r="CQ130" t="str">
        <f>IFERROR((TOWER_DATA[[#This Row],[D, bottom '[m']]]+#REF!)/(2*#REF!/1000),"")</f>
        <v/>
      </c>
    </row>
    <row r="131" spans="8:95" x14ac:dyDescent="0.3">
      <c r="H131" s="85" t="str">
        <f>IFERROR(MP_DATA[[#This Row],[Bottom '[mLAT']]]-MP_DATA[[#This Row],[D, top '[m']]], "")</f>
        <v/>
      </c>
      <c r="I131" s="85" t="str">
        <f>IFERROR(-(MP_DATA[[#This Row],[D, bottom '[m']]]-MP_DATA[[#This Row],[D, top '[m']]])/(MP_DATA[[#This Row],[Bottom '[mLAT']]]-MP_DATA[[#This Row],[Top '[mLAT']]]),"")</f>
        <v/>
      </c>
      <c r="J131" s="85" t="str">
        <f t="shared" si="6"/>
        <v/>
      </c>
      <c r="K131" s="85" t="str">
        <f>IFERROR((MP_DATA[[#This Row],[D, bottom '[m']]]+MP_DATA[[#This Row],[D, top '[m']]])/(2*MP_DATA[[#This Row],[t '[mm']]]/1000),"")</f>
        <v/>
      </c>
      <c r="L131" t="str">
        <f>IFERROR((MP_DATA[[#This Row],[D, bottom '[m']]]+#REF!)/(2*#REF!/1000),"")</f>
        <v/>
      </c>
      <c r="AW131" s="85" t="str">
        <f>IFERROR(TP_DATA[[#This Row],[Bottom '[mLAT']]]-TP_DATA[[#This Row],[D, top '[m']]], "")</f>
        <v/>
      </c>
      <c r="AX131" s="85" t="str">
        <f>IFERROR(-(TP_DATA[[#This Row],[D, bottom '[m']]]-TP_DATA[[#This Row],[D, top '[m']]])/(TP_DATA[[#This Row],[Bottom '[mLAT']]]-TP_DATA[[#This Row],[Top '[mLAT']]]),"")</f>
        <v/>
      </c>
      <c r="AY131" s="85" t="str">
        <f t="shared" si="4"/>
        <v/>
      </c>
      <c r="AZ131" s="85" t="str">
        <f>IFERROR((TP_DATA[[#This Row],[D, bottom '[m']]]+TP_DATA[[#This Row],[D, top '[m']]])/(2*TP_DATA[[#This Row],[t '[mm']]]/1000),"")</f>
        <v/>
      </c>
      <c r="BA131" t="str">
        <f>IFERROR((TP_DATA[[#This Row],[D, bottom '[m']]]+#REF!)/(2*#REF!/1000),"")</f>
        <v/>
      </c>
      <c r="CM131" s="85" t="str">
        <f>IFERROR(TOWER_DATA[[#This Row],[Bottom '[mLAT']]]-TOWER_DATA[[#This Row],[D, top '[m']]], "")</f>
        <v/>
      </c>
      <c r="CN131" s="85" t="str">
        <f>IFERROR(-(TOWER_DATA[[#This Row],[D, bottom '[m']]]-TOWER_DATA[[#This Row],[D, top '[m']]])/(TOWER_DATA[[#This Row],[Bottom '[mLAT']]]-TOWER_DATA[[#This Row],[Top '[mLAT']]]),"")</f>
        <v/>
      </c>
      <c r="CO131" s="85" t="str">
        <f t="shared" si="5"/>
        <v/>
      </c>
      <c r="CP131" s="85" t="str">
        <f>IFERROR((TOWER_DATA[[#This Row],[D, bottom '[m']]]+TOWER_DATA[[#This Row],[D, top '[m']]])/(2*TOWER_DATA[[#This Row],[t '[mm']]]/1000),"")</f>
        <v/>
      </c>
      <c r="CQ131" t="str">
        <f>IFERROR((TOWER_DATA[[#This Row],[D, bottom '[m']]]+#REF!)/(2*#REF!/1000),"")</f>
        <v/>
      </c>
    </row>
    <row r="132" spans="8:95" x14ac:dyDescent="0.3">
      <c r="H132" s="85" t="str">
        <f>IFERROR(MP_DATA[[#This Row],[Bottom '[mLAT']]]-MP_DATA[[#This Row],[D, top '[m']]], "")</f>
        <v/>
      </c>
      <c r="I132" s="85" t="str">
        <f>IFERROR(-(MP_DATA[[#This Row],[D, bottom '[m']]]-MP_DATA[[#This Row],[D, top '[m']]])/(MP_DATA[[#This Row],[Bottom '[mLAT']]]-MP_DATA[[#This Row],[Top '[mLAT']]]),"")</f>
        <v/>
      </c>
      <c r="J132" s="85" t="str">
        <f t="shared" si="6"/>
        <v/>
      </c>
      <c r="K132" s="85" t="str">
        <f>IFERROR((MP_DATA[[#This Row],[D, bottom '[m']]]+MP_DATA[[#This Row],[D, top '[m']]])/(2*MP_DATA[[#This Row],[t '[mm']]]/1000),"")</f>
        <v/>
      </c>
      <c r="L132" t="str">
        <f>IFERROR((MP_DATA[[#This Row],[D, bottom '[m']]]+#REF!)/(2*#REF!/1000),"")</f>
        <v/>
      </c>
      <c r="AW132" s="85" t="str">
        <f>IFERROR(TP_DATA[[#This Row],[Bottom '[mLAT']]]-TP_DATA[[#This Row],[D, top '[m']]], "")</f>
        <v/>
      </c>
      <c r="AX132" s="85" t="str">
        <f>IFERROR(-(TP_DATA[[#This Row],[D, bottom '[m']]]-TP_DATA[[#This Row],[D, top '[m']]])/(TP_DATA[[#This Row],[Bottom '[mLAT']]]-TP_DATA[[#This Row],[Top '[mLAT']]]),"")</f>
        <v/>
      </c>
      <c r="AY132" s="85" t="str">
        <f t="shared" si="4"/>
        <v/>
      </c>
      <c r="AZ132" s="85" t="str">
        <f>IFERROR((TP_DATA[[#This Row],[D, bottom '[m']]]+TP_DATA[[#This Row],[D, top '[m']]])/(2*TP_DATA[[#This Row],[t '[mm']]]/1000),"")</f>
        <v/>
      </c>
      <c r="BA132" t="str">
        <f>IFERROR((TP_DATA[[#This Row],[D, bottom '[m']]]+#REF!)/(2*#REF!/1000),"")</f>
        <v/>
      </c>
      <c r="CM132" s="85" t="str">
        <f>IFERROR(TOWER_DATA[[#This Row],[Bottom '[mLAT']]]-TOWER_DATA[[#This Row],[D, top '[m']]], "")</f>
        <v/>
      </c>
      <c r="CN132" s="85" t="str">
        <f>IFERROR(-(TOWER_DATA[[#This Row],[D, bottom '[m']]]-TOWER_DATA[[#This Row],[D, top '[m']]])/(TOWER_DATA[[#This Row],[Bottom '[mLAT']]]-TOWER_DATA[[#This Row],[Top '[mLAT']]]),"")</f>
        <v/>
      </c>
      <c r="CO132" s="85" t="str">
        <f t="shared" si="5"/>
        <v/>
      </c>
      <c r="CP132" s="85" t="str">
        <f>IFERROR((TOWER_DATA[[#This Row],[D, bottom '[m']]]+TOWER_DATA[[#This Row],[D, top '[m']]])/(2*TOWER_DATA[[#This Row],[t '[mm']]]/1000),"")</f>
        <v/>
      </c>
      <c r="CQ132" t="str">
        <f>IFERROR((TOWER_DATA[[#This Row],[D, bottom '[m']]]+#REF!)/(2*#REF!/1000),"")</f>
        <v/>
      </c>
    </row>
    <row r="133" spans="8:95" x14ac:dyDescent="0.3">
      <c r="H133" s="85" t="str">
        <f>IFERROR(MP_DATA[[#This Row],[Bottom '[mLAT']]]-MP_DATA[[#This Row],[D, top '[m']]], "")</f>
        <v/>
      </c>
      <c r="I133" s="85" t="str">
        <f>IFERROR(-(MP_DATA[[#This Row],[D, bottom '[m']]]-MP_DATA[[#This Row],[D, top '[m']]])/(MP_DATA[[#This Row],[Bottom '[mLAT']]]-MP_DATA[[#This Row],[Top '[mLAT']]]),"")</f>
        <v/>
      </c>
      <c r="J133" s="85" t="str">
        <f t="shared" si="6"/>
        <v/>
      </c>
      <c r="K133" s="85" t="str">
        <f>IFERROR((MP_DATA[[#This Row],[D, bottom '[m']]]+MP_DATA[[#This Row],[D, top '[m']]])/(2*MP_DATA[[#This Row],[t '[mm']]]/1000),"")</f>
        <v/>
      </c>
      <c r="L133" t="str">
        <f>IFERROR((MP_DATA[[#This Row],[D, bottom '[m']]]+#REF!)/(2*#REF!/1000),"")</f>
        <v/>
      </c>
      <c r="AW133" s="85" t="str">
        <f>IFERROR(TP_DATA[[#This Row],[Bottom '[mLAT']]]-TP_DATA[[#This Row],[D, top '[m']]], "")</f>
        <v/>
      </c>
      <c r="AX133" s="85" t="str">
        <f>IFERROR(-(TP_DATA[[#This Row],[D, bottom '[m']]]-TP_DATA[[#This Row],[D, top '[m']]])/(TP_DATA[[#This Row],[Bottom '[mLAT']]]-TP_DATA[[#This Row],[Top '[mLAT']]]),"")</f>
        <v/>
      </c>
      <c r="AY133" s="85" t="str">
        <f t="shared" si="4"/>
        <v/>
      </c>
      <c r="AZ133" s="85" t="str">
        <f>IFERROR((TP_DATA[[#This Row],[D, bottom '[m']]]+TP_DATA[[#This Row],[D, top '[m']]])/(2*TP_DATA[[#This Row],[t '[mm']]]/1000),"")</f>
        <v/>
      </c>
      <c r="BA133" t="str">
        <f>IFERROR((TP_DATA[[#This Row],[D, bottom '[m']]]+#REF!)/(2*#REF!/1000),"")</f>
        <v/>
      </c>
      <c r="CM133" s="85" t="str">
        <f>IFERROR(TOWER_DATA[[#This Row],[Bottom '[mLAT']]]-TOWER_DATA[[#This Row],[D, top '[m']]], "")</f>
        <v/>
      </c>
      <c r="CN133" s="85" t="str">
        <f>IFERROR(-(TOWER_DATA[[#This Row],[D, bottom '[m']]]-TOWER_DATA[[#This Row],[D, top '[m']]])/(TOWER_DATA[[#This Row],[Bottom '[mLAT']]]-TOWER_DATA[[#This Row],[Top '[mLAT']]]),"")</f>
        <v/>
      </c>
      <c r="CO133" s="85" t="str">
        <f t="shared" si="5"/>
        <v/>
      </c>
      <c r="CP133" s="85" t="str">
        <f>IFERROR((TOWER_DATA[[#This Row],[D, bottom '[m']]]+TOWER_DATA[[#This Row],[D, top '[m']]])/(2*TOWER_DATA[[#This Row],[t '[mm']]]/1000),"")</f>
        <v/>
      </c>
      <c r="CQ133" t="str">
        <f>IFERROR((TOWER_DATA[[#This Row],[D, bottom '[m']]]+#REF!)/(2*#REF!/1000),"")</f>
        <v/>
      </c>
    </row>
    <row r="134" spans="8:95" x14ac:dyDescent="0.3">
      <c r="H134" s="85" t="str">
        <f>IFERROR(MP_DATA[[#This Row],[Bottom '[mLAT']]]-MP_DATA[[#This Row],[D, top '[m']]], "")</f>
        <v/>
      </c>
      <c r="I134" s="85" t="str">
        <f>IFERROR(-(MP_DATA[[#This Row],[D, bottom '[m']]]-MP_DATA[[#This Row],[D, top '[m']]])/(MP_DATA[[#This Row],[Bottom '[mLAT']]]-MP_DATA[[#This Row],[Top '[mLAT']]]),"")</f>
        <v/>
      </c>
      <c r="J134" s="85" t="str">
        <f t="shared" si="6"/>
        <v/>
      </c>
      <c r="K134" s="85" t="str">
        <f>IFERROR((MP_DATA[[#This Row],[D, bottom '[m']]]+MP_DATA[[#This Row],[D, top '[m']]])/(2*MP_DATA[[#This Row],[t '[mm']]]/1000),"")</f>
        <v/>
      </c>
      <c r="L134" t="str">
        <f>IFERROR((MP_DATA[[#This Row],[D, bottom '[m']]]+#REF!)/(2*#REF!/1000),"")</f>
        <v/>
      </c>
      <c r="AW134" s="85" t="str">
        <f>IFERROR(TP_DATA[[#This Row],[Bottom '[mLAT']]]-TP_DATA[[#This Row],[D, top '[m']]], "")</f>
        <v/>
      </c>
      <c r="AX134" s="85" t="str">
        <f>IFERROR(-(TP_DATA[[#This Row],[D, bottom '[m']]]-TP_DATA[[#This Row],[D, top '[m']]])/(TP_DATA[[#This Row],[Bottom '[mLAT']]]-TP_DATA[[#This Row],[Top '[mLAT']]]),"")</f>
        <v/>
      </c>
      <c r="AY134" s="85" t="str">
        <f t="shared" si="4"/>
        <v/>
      </c>
      <c r="AZ134" s="85" t="str">
        <f>IFERROR((TP_DATA[[#This Row],[D, bottom '[m']]]+TP_DATA[[#This Row],[D, top '[m']]])/(2*TP_DATA[[#This Row],[t '[mm']]]/1000),"")</f>
        <v/>
      </c>
      <c r="BA134" t="str">
        <f>IFERROR((TP_DATA[[#This Row],[D, bottom '[m']]]+#REF!)/(2*#REF!/1000),"")</f>
        <v/>
      </c>
      <c r="CM134" s="85" t="str">
        <f>IFERROR(TOWER_DATA[[#This Row],[Bottom '[mLAT']]]-TOWER_DATA[[#This Row],[D, top '[m']]], "")</f>
        <v/>
      </c>
      <c r="CN134" s="85" t="str">
        <f>IFERROR(-(TOWER_DATA[[#This Row],[D, bottom '[m']]]-TOWER_DATA[[#This Row],[D, top '[m']]])/(TOWER_DATA[[#This Row],[Bottom '[mLAT']]]-TOWER_DATA[[#This Row],[Top '[mLAT']]]),"")</f>
        <v/>
      </c>
      <c r="CO134" s="85" t="str">
        <f t="shared" si="5"/>
        <v/>
      </c>
      <c r="CP134" s="85" t="str">
        <f>IFERROR((TOWER_DATA[[#This Row],[D, bottom '[m']]]+TOWER_DATA[[#This Row],[D, top '[m']]])/(2*TOWER_DATA[[#This Row],[t '[mm']]]/1000),"")</f>
        <v/>
      </c>
      <c r="CQ134" t="str">
        <f>IFERROR((TOWER_DATA[[#This Row],[D, bottom '[m']]]+#REF!)/(2*#REF!/1000),"")</f>
        <v/>
      </c>
    </row>
    <row r="135" spans="8:95" x14ac:dyDescent="0.3">
      <c r="H135" s="85" t="str">
        <f>IFERROR(MP_DATA[[#This Row],[Bottom '[mLAT']]]-MP_DATA[[#This Row],[D, top '[m']]], "")</f>
        <v/>
      </c>
      <c r="I135" s="85" t="str">
        <f>IFERROR(-(MP_DATA[[#This Row],[D, bottom '[m']]]-MP_DATA[[#This Row],[D, top '[m']]])/(MP_DATA[[#This Row],[Bottom '[mLAT']]]-MP_DATA[[#This Row],[Top '[mLAT']]]),"")</f>
        <v/>
      </c>
      <c r="J135" s="85" t="str">
        <f t="shared" si="6"/>
        <v/>
      </c>
      <c r="K135" s="85" t="str">
        <f>IFERROR((MP_DATA[[#This Row],[D, bottom '[m']]]+MP_DATA[[#This Row],[D, top '[m']]])/(2*MP_DATA[[#This Row],[t '[mm']]]/1000),"")</f>
        <v/>
      </c>
      <c r="L135" t="str">
        <f>IFERROR((MP_DATA[[#This Row],[D, bottom '[m']]]+#REF!)/(2*#REF!/1000),"")</f>
        <v/>
      </c>
      <c r="AW135" s="85" t="str">
        <f>IFERROR(TP_DATA[[#This Row],[Bottom '[mLAT']]]-TP_DATA[[#This Row],[D, top '[m']]], "")</f>
        <v/>
      </c>
      <c r="AX135" s="85" t="str">
        <f>IFERROR(-(TP_DATA[[#This Row],[D, bottom '[m']]]-TP_DATA[[#This Row],[D, top '[m']]])/(TP_DATA[[#This Row],[Bottom '[mLAT']]]-TP_DATA[[#This Row],[Top '[mLAT']]]),"")</f>
        <v/>
      </c>
      <c r="AY135" s="85" t="str">
        <f t="shared" si="4"/>
        <v/>
      </c>
      <c r="AZ135" s="85" t="str">
        <f>IFERROR((TP_DATA[[#This Row],[D, bottom '[m']]]+TP_DATA[[#This Row],[D, top '[m']]])/(2*TP_DATA[[#This Row],[t '[mm']]]/1000),"")</f>
        <v/>
      </c>
      <c r="BA135" t="str">
        <f>IFERROR((TP_DATA[[#This Row],[D, bottom '[m']]]+#REF!)/(2*#REF!/1000),"")</f>
        <v/>
      </c>
      <c r="CM135" s="85" t="str">
        <f>IFERROR(TOWER_DATA[[#This Row],[Bottom '[mLAT']]]-TOWER_DATA[[#This Row],[D, top '[m']]], "")</f>
        <v/>
      </c>
      <c r="CN135" s="85" t="str">
        <f>IFERROR(-(TOWER_DATA[[#This Row],[D, bottom '[m']]]-TOWER_DATA[[#This Row],[D, top '[m']]])/(TOWER_DATA[[#This Row],[Bottom '[mLAT']]]-TOWER_DATA[[#This Row],[Top '[mLAT']]]),"")</f>
        <v/>
      </c>
      <c r="CO135" s="85" t="str">
        <f t="shared" si="5"/>
        <v/>
      </c>
      <c r="CP135" s="85" t="str">
        <f>IFERROR((TOWER_DATA[[#This Row],[D, bottom '[m']]]+TOWER_DATA[[#This Row],[D, top '[m']]])/(2*TOWER_DATA[[#This Row],[t '[mm']]]/1000),"")</f>
        <v/>
      </c>
      <c r="CQ135" t="str">
        <f>IFERROR((TOWER_DATA[[#This Row],[D, bottom '[m']]]+#REF!)/(2*#REF!/1000),"")</f>
        <v/>
      </c>
    </row>
    <row r="136" spans="8:95" x14ac:dyDescent="0.3">
      <c r="H136" s="85" t="str">
        <f>IFERROR(MP_DATA[[#This Row],[Bottom '[mLAT']]]-MP_DATA[[#This Row],[D, top '[m']]], "")</f>
        <v/>
      </c>
      <c r="I136" s="85" t="str">
        <f>IFERROR(-(MP_DATA[[#This Row],[D, bottom '[m']]]-MP_DATA[[#This Row],[D, top '[m']]])/(MP_DATA[[#This Row],[Bottom '[mLAT']]]-MP_DATA[[#This Row],[Top '[mLAT']]]),"")</f>
        <v/>
      </c>
      <c r="J136" s="85" t="str">
        <f t="shared" si="6"/>
        <v/>
      </c>
      <c r="K136" s="85" t="str">
        <f>IFERROR((MP_DATA[[#This Row],[D, bottom '[m']]]+MP_DATA[[#This Row],[D, top '[m']]])/(2*MP_DATA[[#This Row],[t '[mm']]]/1000),"")</f>
        <v/>
      </c>
      <c r="AW136" s="85" t="str">
        <f>IFERROR(TP_DATA[[#This Row],[Bottom '[mLAT']]]-TP_DATA[[#This Row],[D, top '[m']]], "")</f>
        <v/>
      </c>
      <c r="AX136" s="85" t="str">
        <f>IFERROR(-(TP_DATA[[#This Row],[D, bottom '[m']]]-TP_DATA[[#This Row],[D, top '[m']]])/(TP_DATA[[#This Row],[Bottom '[mLAT']]]-TP_DATA[[#This Row],[Top '[mLAT']]]),"")</f>
        <v/>
      </c>
      <c r="AY136" s="85" t="str">
        <f t="shared" si="4"/>
        <v/>
      </c>
      <c r="AZ136" s="85" t="str">
        <f>IFERROR((TP_DATA[[#This Row],[D, bottom '[m']]]+TP_DATA[[#This Row],[D, top '[m']]])/(2*TP_DATA[[#This Row],[t '[mm']]]/1000),"")</f>
        <v/>
      </c>
      <c r="CM136" s="85" t="str">
        <f>IFERROR(TOWER_DATA[[#This Row],[Bottom '[mLAT']]]-TOWER_DATA[[#This Row],[D, top '[m']]], "")</f>
        <v/>
      </c>
      <c r="CN136" s="85" t="str">
        <f>IFERROR(-(TOWER_DATA[[#This Row],[D, bottom '[m']]]-TOWER_DATA[[#This Row],[D, top '[m']]])/(TOWER_DATA[[#This Row],[Bottom '[mLAT']]]-TOWER_DATA[[#This Row],[Top '[mLAT']]]),"")</f>
        <v/>
      </c>
      <c r="CO136" s="85" t="str">
        <f t="shared" si="5"/>
        <v/>
      </c>
      <c r="CP136" s="85" t="str">
        <f>IFERROR((TOWER_DATA[[#This Row],[D, bottom '[m']]]+TOWER_DATA[[#This Row],[D, top '[m']]])/(2*TOWER_DATA[[#This Row],[t '[mm']]]/1000),"")</f>
        <v/>
      </c>
    </row>
    <row r="137" spans="8:95" x14ac:dyDescent="0.3">
      <c r="H137" s="85" t="str">
        <f>IFERROR(MP_DATA[[#This Row],[Bottom '[mLAT']]]-MP_DATA[[#This Row],[D, top '[m']]], "")</f>
        <v/>
      </c>
      <c r="I137" s="85" t="str">
        <f>IFERROR(-(MP_DATA[[#This Row],[D, bottom '[m']]]-MP_DATA[[#This Row],[D, top '[m']]])/(MP_DATA[[#This Row],[Bottom '[mLAT']]]-MP_DATA[[#This Row],[Top '[mLAT']]]),"")</f>
        <v/>
      </c>
      <c r="J137" s="85" t="str">
        <f t="shared" si="6"/>
        <v/>
      </c>
      <c r="K137" s="85" t="str">
        <f>IFERROR((MP_DATA[[#This Row],[D, bottom '[m']]]+MP_DATA[[#This Row],[D, top '[m']]])/(2*MP_DATA[[#This Row],[t '[mm']]]/1000),"")</f>
        <v/>
      </c>
      <c r="AW137" s="85" t="str">
        <f>IFERROR(TP_DATA[[#This Row],[Bottom '[mLAT']]]-TP_DATA[[#This Row],[D, top '[m']]], "")</f>
        <v/>
      </c>
      <c r="AX137" s="85" t="str">
        <f>IFERROR(-(TP_DATA[[#This Row],[D, bottom '[m']]]-TP_DATA[[#This Row],[D, top '[m']]])/(TP_DATA[[#This Row],[Bottom '[mLAT']]]-TP_DATA[[#This Row],[Top '[mLAT']]]),"")</f>
        <v/>
      </c>
      <c r="AY137" s="85" t="str">
        <f t="shared" si="4"/>
        <v/>
      </c>
      <c r="AZ137" s="85" t="str">
        <f>IFERROR((TP_DATA[[#This Row],[D, bottom '[m']]]+TP_DATA[[#This Row],[D, top '[m']]])/(2*TP_DATA[[#This Row],[t '[mm']]]/1000),"")</f>
        <v/>
      </c>
      <c r="CM137" s="85" t="str">
        <f>IFERROR(TOWER_DATA[[#This Row],[Bottom '[mLAT']]]-TOWER_DATA[[#This Row],[D, top '[m']]], "")</f>
        <v/>
      </c>
      <c r="CN137" s="85" t="str">
        <f>IFERROR(-(TOWER_DATA[[#This Row],[D, bottom '[m']]]-TOWER_DATA[[#This Row],[D, top '[m']]])/(TOWER_DATA[[#This Row],[Bottom '[mLAT']]]-TOWER_DATA[[#This Row],[Top '[mLAT']]]),"")</f>
        <v/>
      </c>
      <c r="CO137" s="85" t="str">
        <f t="shared" si="5"/>
        <v/>
      </c>
      <c r="CP137" s="85" t="str">
        <f>IFERROR((TOWER_DATA[[#This Row],[D, bottom '[m']]]+TOWER_DATA[[#This Row],[D, top '[m']]])/(2*TOWER_DATA[[#This Row],[t '[mm']]]/1000),"")</f>
        <v/>
      </c>
    </row>
    <row r="138" spans="8:95" x14ac:dyDescent="0.3">
      <c r="H138" s="85" t="str">
        <f>IFERROR(MP_DATA[[#This Row],[Bottom '[mLAT']]]-MP_DATA[[#This Row],[D, top '[m']]], "")</f>
        <v/>
      </c>
      <c r="I138" s="85" t="str">
        <f>IFERROR(-(MP_DATA[[#This Row],[D, bottom '[m']]]-MP_DATA[[#This Row],[D, top '[m']]])/(MP_DATA[[#This Row],[Bottom '[mLAT']]]-MP_DATA[[#This Row],[Top '[mLAT']]]),"")</f>
        <v/>
      </c>
      <c r="J138" s="85" t="str">
        <f t="shared" si="6"/>
        <v/>
      </c>
      <c r="K138" s="85" t="str">
        <f>IFERROR((MP_DATA[[#This Row],[D, bottom '[m']]]+MP_DATA[[#This Row],[D, top '[m']]])/(2*MP_DATA[[#This Row],[t '[mm']]]/1000),"")</f>
        <v/>
      </c>
      <c r="AW138" s="85" t="str">
        <f>IFERROR(TP_DATA[[#This Row],[Bottom '[mLAT']]]-TP_DATA[[#This Row],[D, top '[m']]], "")</f>
        <v/>
      </c>
      <c r="AX138" s="85" t="str">
        <f>IFERROR(-(TP_DATA[[#This Row],[D, bottom '[m']]]-TP_DATA[[#This Row],[D, top '[m']]])/(TP_DATA[[#This Row],[Bottom '[mLAT']]]-TP_DATA[[#This Row],[Top '[mLAT']]]),"")</f>
        <v/>
      </c>
      <c r="AY138" s="85" t="str">
        <f t="shared" si="4"/>
        <v/>
      </c>
      <c r="AZ138" s="85" t="str">
        <f>IFERROR((TP_DATA[[#This Row],[D, bottom '[m']]]+TP_DATA[[#This Row],[D, top '[m']]])/(2*TP_DATA[[#This Row],[t '[mm']]]/1000),"")</f>
        <v/>
      </c>
      <c r="CM138" s="85" t="str">
        <f>IFERROR(TOWER_DATA[[#This Row],[Bottom '[mLAT']]]-TOWER_DATA[[#This Row],[D, top '[m']]], "")</f>
        <v/>
      </c>
      <c r="CN138" s="85" t="str">
        <f>IFERROR(-(TOWER_DATA[[#This Row],[D, bottom '[m']]]-TOWER_DATA[[#This Row],[D, top '[m']]])/(TOWER_DATA[[#This Row],[Bottom '[mLAT']]]-TOWER_DATA[[#This Row],[Top '[mLAT']]]),"")</f>
        <v/>
      </c>
      <c r="CO138" s="85" t="str">
        <f t="shared" si="5"/>
        <v/>
      </c>
      <c r="CP138" s="85" t="str">
        <f>IFERROR((TOWER_DATA[[#This Row],[D, bottom '[m']]]+TOWER_DATA[[#This Row],[D, top '[m']]])/(2*TOWER_DATA[[#This Row],[t '[mm']]]/1000),"")</f>
        <v/>
      </c>
    </row>
    <row r="139" spans="8:95" x14ac:dyDescent="0.3">
      <c r="H139" s="85" t="str">
        <f>IFERROR(MP_DATA[[#This Row],[Bottom '[mLAT']]]-MP_DATA[[#This Row],[D, top '[m']]], "")</f>
        <v/>
      </c>
      <c r="I139" s="85" t="str">
        <f>IFERROR(-(MP_DATA[[#This Row],[D, bottom '[m']]]-MP_DATA[[#This Row],[D, top '[m']]])/(MP_DATA[[#This Row],[Bottom '[mLAT']]]-MP_DATA[[#This Row],[Top '[mLAT']]]),"")</f>
        <v/>
      </c>
      <c r="J139" s="85" t="str">
        <f t="shared" si="6"/>
        <v/>
      </c>
      <c r="K139" s="85" t="str">
        <f>IFERROR((MP_DATA[[#This Row],[D, bottom '[m']]]+MP_DATA[[#This Row],[D, top '[m']]])/(2*MP_DATA[[#This Row],[t '[mm']]]/1000),"")</f>
        <v/>
      </c>
      <c r="AW139" s="85" t="str">
        <f>IFERROR(TP_DATA[[#This Row],[Bottom '[mLAT']]]-TP_DATA[[#This Row],[D, top '[m']]], "")</f>
        <v/>
      </c>
      <c r="AX139" s="85" t="str">
        <f>IFERROR(-(TP_DATA[[#This Row],[D, bottom '[m']]]-TP_DATA[[#This Row],[D, top '[m']]])/(TP_DATA[[#This Row],[Bottom '[mLAT']]]-TP_DATA[[#This Row],[Top '[mLAT']]]),"")</f>
        <v/>
      </c>
      <c r="AY139" s="85" t="str">
        <f t="shared" si="4"/>
        <v/>
      </c>
      <c r="AZ139" s="85" t="str">
        <f>IFERROR((TP_DATA[[#This Row],[D, bottom '[m']]]+TP_DATA[[#This Row],[D, top '[m']]])/(2*TP_DATA[[#This Row],[t '[mm']]]/1000),"")</f>
        <v/>
      </c>
      <c r="CM139" s="85" t="str">
        <f>IFERROR(TOWER_DATA[[#This Row],[Bottom '[mLAT']]]-TOWER_DATA[[#This Row],[D, top '[m']]], "")</f>
        <v/>
      </c>
      <c r="CN139" s="85" t="str">
        <f>IFERROR(-(TOWER_DATA[[#This Row],[D, bottom '[m']]]-TOWER_DATA[[#This Row],[D, top '[m']]])/(TOWER_DATA[[#This Row],[Bottom '[mLAT']]]-TOWER_DATA[[#This Row],[Top '[mLAT']]]),"")</f>
        <v/>
      </c>
      <c r="CO139" s="85" t="str">
        <f t="shared" si="5"/>
        <v/>
      </c>
      <c r="CP139" s="85" t="str">
        <f>IFERROR((TOWER_DATA[[#This Row],[D, bottom '[m']]]+TOWER_DATA[[#This Row],[D, top '[m']]])/(2*TOWER_DATA[[#This Row],[t '[mm']]]/1000),"")</f>
        <v/>
      </c>
    </row>
    <row r="140" spans="8:95" x14ac:dyDescent="0.3">
      <c r="H140" s="85" t="str">
        <f>IFERROR(MP_DATA[[#This Row],[Bottom '[mLAT']]]-MP_DATA[[#This Row],[D, top '[m']]], "")</f>
        <v/>
      </c>
      <c r="I140" s="85" t="str">
        <f>IFERROR(-(MP_DATA[[#This Row],[D, bottom '[m']]]-MP_DATA[[#This Row],[D, top '[m']]])/(MP_DATA[[#This Row],[Bottom '[mLAT']]]-MP_DATA[[#This Row],[Top '[mLAT']]]),"")</f>
        <v/>
      </c>
      <c r="J140" s="85" t="str">
        <f t="shared" si="6"/>
        <v/>
      </c>
      <c r="K140" s="85" t="str">
        <f>IFERROR((MP_DATA[[#This Row],[D, bottom '[m']]]+MP_DATA[[#This Row],[D, top '[m']]])/(2*MP_DATA[[#This Row],[t '[mm']]]/1000),"")</f>
        <v/>
      </c>
      <c r="AW140" s="85" t="str">
        <f>IFERROR(TP_DATA[[#This Row],[Bottom '[mLAT']]]-TP_DATA[[#This Row],[D, top '[m']]], "")</f>
        <v/>
      </c>
      <c r="AX140" s="85" t="str">
        <f>IFERROR(-(TP_DATA[[#This Row],[D, bottom '[m']]]-TP_DATA[[#This Row],[D, top '[m']]])/(TP_DATA[[#This Row],[Bottom '[mLAT']]]-TP_DATA[[#This Row],[Top '[mLAT']]]),"")</f>
        <v/>
      </c>
      <c r="AY140" s="85" t="str">
        <f t="shared" si="4"/>
        <v/>
      </c>
      <c r="AZ140" s="85" t="str">
        <f>IFERROR((TP_DATA[[#This Row],[D, bottom '[m']]]+TP_DATA[[#This Row],[D, top '[m']]])/(2*TP_DATA[[#This Row],[t '[mm']]]/1000),"")</f>
        <v/>
      </c>
      <c r="CM140" s="85" t="str">
        <f>IFERROR(TOWER_DATA[[#This Row],[Bottom '[mLAT']]]-TOWER_DATA[[#This Row],[D, top '[m']]], "")</f>
        <v/>
      </c>
      <c r="CN140" s="85" t="str">
        <f>IFERROR(-(TOWER_DATA[[#This Row],[D, bottom '[m']]]-TOWER_DATA[[#This Row],[D, top '[m']]])/(TOWER_DATA[[#This Row],[Bottom '[mLAT']]]-TOWER_DATA[[#This Row],[Top '[mLAT']]]),"")</f>
        <v/>
      </c>
      <c r="CO140" s="85" t="str">
        <f t="shared" si="5"/>
        <v/>
      </c>
      <c r="CP140" s="85" t="str">
        <f>IFERROR((TOWER_DATA[[#This Row],[D, bottom '[m']]]+TOWER_DATA[[#This Row],[D, top '[m']]])/(2*TOWER_DATA[[#This Row],[t '[mm']]]/1000),"")</f>
        <v/>
      </c>
    </row>
    <row r="141" spans="8:95" x14ac:dyDescent="0.3">
      <c r="H141" s="85" t="str">
        <f>IFERROR(MP_DATA[[#This Row],[Bottom '[mLAT']]]-MP_DATA[[#This Row],[D, top '[m']]], "")</f>
        <v/>
      </c>
      <c r="I141" s="85" t="str">
        <f>IFERROR(-(MP_DATA[[#This Row],[D, bottom '[m']]]-MP_DATA[[#This Row],[D, top '[m']]])/(MP_DATA[[#This Row],[Bottom '[mLAT']]]-MP_DATA[[#This Row],[Top '[mLAT']]]),"")</f>
        <v/>
      </c>
      <c r="J141" s="85" t="str">
        <f t="shared" si="6"/>
        <v/>
      </c>
      <c r="K141" s="85" t="str">
        <f>IFERROR((MP_DATA[[#This Row],[D, bottom '[m']]]+MP_DATA[[#This Row],[D, top '[m']]])/(2*MP_DATA[[#This Row],[t '[mm']]]/1000),"")</f>
        <v/>
      </c>
      <c r="AW141" s="85" t="str">
        <f>IFERROR(TP_DATA[[#This Row],[Bottom '[mLAT']]]-TP_DATA[[#This Row],[D, top '[m']]], "")</f>
        <v/>
      </c>
      <c r="AX141" s="85" t="str">
        <f>IFERROR(-(TP_DATA[[#This Row],[D, bottom '[m']]]-TP_DATA[[#This Row],[D, top '[m']]])/(TP_DATA[[#This Row],[Bottom '[mLAT']]]-TP_DATA[[#This Row],[Top '[mLAT']]]),"")</f>
        <v/>
      </c>
      <c r="AY141" s="85" t="str">
        <f t="shared" si="4"/>
        <v/>
      </c>
      <c r="AZ141" s="85" t="str">
        <f>IFERROR((TP_DATA[[#This Row],[D, bottom '[m']]]+TP_DATA[[#This Row],[D, top '[m']]])/(2*TP_DATA[[#This Row],[t '[mm']]]/1000),"")</f>
        <v/>
      </c>
      <c r="CM141" s="85" t="str">
        <f>IFERROR(TOWER_DATA[[#This Row],[Bottom '[mLAT']]]-TOWER_DATA[[#This Row],[D, top '[m']]], "")</f>
        <v/>
      </c>
      <c r="CN141" s="85" t="str">
        <f>IFERROR(-(TOWER_DATA[[#This Row],[D, bottom '[m']]]-TOWER_DATA[[#This Row],[D, top '[m']]])/(TOWER_DATA[[#This Row],[Bottom '[mLAT']]]-TOWER_DATA[[#This Row],[Top '[mLAT']]]),"")</f>
        <v/>
      </c>
      <c r="CO141" s="85" t="str">
        <f t="shared" si="5"/>
        <v/>
      </c>
      <c r="CP141" s="85" t="str">
        <f>IFERROR((TOWER_DATA[[#This Row],[D, bottom '[m']]]+TOWER_DATA[[#This Row],[D, top '[m']]])/(2*TOWER_DATA[[#This Row],[t '[mm']]]/1000),"")</f>
        <v/>
      </c>
    </row>
    <row r="142" spans="8:95" x14ac:dyDescent="0.3">
      <c r="H142" s="85" t="str">
        <f>IFERROR(MP_DATA[[#This Row],[Bottom '[mLAT']]]-MP_DATA[[#This Row],[D, top '[m']]], "")</f>
        <v/>
      </c>
      <c r="I142" s="85" t="str">
        <f>IFERROR(-(MP_DATA[[#This Row],[D, bottom '[m']]]-MP_DATA[[#This Row],[D, top '[m']]])/(MP_DATA[[#This Row],[Bottom '[mLAT']]]-MP_DATA[[#This Row],[Top '[mLAT']]]),"")</f>
        <v/>
      </c>
      <c r="J142" s="85" t="str">
        <f t="shared" si="6"/>
        <v/>
      </c>
      <c r="K142" s="85" t="str">
        <f>IFERROR((MP_DATA[[#This Row],[D, bottom '[m']]]+MP_DATA[[#This Row],[D, top '[m']]])/(2*MP_DATA[[#This Row],[t '[mm']]]/1000),"")</f>
        <v/>
      </c>
      <c r="AW142" s="85" t="str">
        <f>IFERROR(TP_DATA[[#This Row],[Bottom '[mLAT']]]-TP_DATA[[#This Row],[D, top '[m']]], "")</f>
        <v/>
      </c>
      <c r="AX142" s="85" t="str">
        <f>IFERROR(-(TP_DATA[[#This Row],[D, bottom '[m']]]-TP_DATA[[#This Row],[D, top '[m']]])/(TP_DATA[[#This Row],[Bottom '[mLAT']]]-TP_DATA[[#This Row],[Top '[mLAT']]]),"")</f>
        <v/>
      </c>
      <c r="AY142" s="85" t="str">
        <f t="shared" si="4"/>
        <v/>
      </c>
      <c r="AZ142" s="85" t="str">
        <f>IFERROR((TP_DATA[[#This Row],[D, bottom '[m']]]+TP_DATA[[#This Row],[D, top '[m']]])/(2*TP_DATA[[#This Row],[t '[mm']]]/1000),"")</f>
        <v/>
      </c>
      <c r="CM142" s="85" t="str">
        <f>IFERROR(TOWER_DATA[[#This Row],[Bottom '[mLAT']]]-TOWER_DATA[[#This Row],[D, top '[m']]], "")</f>
        <v/>
      </c>
      <c r="CN142" s="85" t="str">
        <f>IFERROR(-(TOWER_DATA[[#This Row],[D, bottom '[m']]]-TOWER_DATA[[#This Row],[D, top '[m']]])/(TOWER_DATA[[#This Row],[Bottom '[mLAT']]]-TOWER_DATA[[#This Row],[Top '[mLAT']]]),"")</f>
        <v/>
      </c>
      <c r="CO142" s="85" t="str">
        <f t="shared" si="5"/>
        <v/>
      </c>
      <c r="CP142" s="85" t="str">
        <f>IFERROR((TOWER_DATA[[#This Row],[D, bottom '[m']]]+TOWER_DATA[[#This Row],[D, top '[m']]])/(2*TOWER_DATA[[#This Row],[t '[mm']]]/1000),"")</f>
        <v/>
      </c>
    </row>
    <row r="143" spans="8:95" x14ac:dyDescent="0.3">
      <c r="H143" s="85" t="str">
        <f>IFERROR(MP_DATA[[#This Row],[Bottom '[mLAT']]]-MP_DATA[[#This Row],[D, top '[m']]], "")</f>
        <v/>
      </c>
      <c r="I143" s="85" t="str">
        <f>IFERROR(-(MP_DATA[[#This Row],[D, bottom '[m']]]-MP_DATA[[#This Row],[D, top '[m']]])/(MP_DATA[[#This Row],[Bottom '[mLAT']]]-MP_DATA[[#This Row],[Top '[mLAT']]]),"")</f>
        <v/>
      </c>
      <c r="J143" s="85" t="str">
        <f t="shared" si="6"/>
        <v/>
      </c>
      <c r="K143" s="85" t="str">
        <f>IFERROR((MP_DATA[[#This Row],[D, bottom '[m']]]+MP_DATA[[#This Row],[D, top '[m']]])/(2*MP_DATA[[#This Row],[t '[mm']]]/1000),"")</f>
        <v/>
      </c>
      <c r="AW143" s="85" t="str">
        <f>IFERROR(TP_DATA[[#This Row],[Bottom '[mLAT']]]-TP_DATA[[#This Row],[D, top '[m']]], "")</f>
        <v/>
      </c>
      <c r="AX143" s="85" t="str">
        <f>IFERROR(-(TP_DATA[[#This Row],[D, bottom '[m']]]-TP_DATA[[#This Row],[D, top '[m']]])/(TP_DATA[[#This Row],[Bottom '[mLAT']]]-TP_DATA[[#This Row],[Top '[mLAT']]]),"")</f>
        <v/>
      </c>
      <c r="AY143" s="85" t="str">
        <f t="shared" si="4"/>
        <v/>
      </c>
      <c r="AZ143" s="85" t="str">
        <f>IFERROR((TP_DATA[[#This Row],[D, bottom '[m']]]+TP_DATA[[#This Row],[D, top '[m']]])/(2*TP_DATA[[#This Row],[t '[mm']]]/1000),"")</f>
        <v/>
      </c>
      <c r="CM143" s="85" t="str">
        <f>IFERROR(TOWER_DATA[[#This Row],[Bottom '[mLAT']]]-TOWER_DATA[[#This Row],[D, top '[m']]], "")</f>
        <v/>
      </c>
      <c r="CN143" s="85" t="str">
        <f>IFERROR(-(TOWER_DATA[[#This Row],[D, bottom '[m']]]-TOWER_DATA[[#This Row],[D, top '[m']]])/(TOWER_DATA[[#This Row],[Bottom '[mLAT']]]-TOWER_DATA[[#This Row],[Top '[mLAT']]]),"")</f>
        <v/>
      </c>
      <c r="CO143" s="85" t="str">
        <f t="shared" si="5"/>
        <v/>
      </c>
      <c r="CP143" s="85" t="str">
        <f>IFERROR((TOWER_DATA[[#This Row],[D, bottom '[m']]]+TOWER_DATA[[#This Row],[D, top '[m']]])/(2*TOWER_DATA[[#This Row],[t '[mm']]]/1000),"")</f>
        <v/>
      </c>
    </row>
    <row r="144" spans="8:95" x14ac:dyDescent="0.3">
      <c r="H144" s="85" t="str">
        <f>IFERROR(MP_DATA[[#This Row],[Bottom '[mLAT']]]-MP_DATA[[#This Row],[D, top '[m']]], "")</f>
        <v/>
      </c>
      <c r="I144" s="85" t="str">
        <f>IFERROR(-(MP_DATA[[#This Row],[D, bottom '[m']]]-MP_DATA[[#This Row],[D, top '[m']]])/(MP_DATA[[#This Row],[Bottom '[mLAT']]]-MP_DATA[[#This Row],[Top '[mLAT']]]),"")</f>
        <v/>
      </c>
      <c r="J144" s="85" t="str">
        <f t="shared" si="6"/>
        <v/>
      </c>
      <c r="K144" s="85" t="str">
        <f>IFERROR((MP_DATA[[#This Row],[D, bottom '[m']]]+MP_DATA[[#This Row],[D, top '[m']]])/(2*MP_DATA[[#This Row],[t '[mm']]]/1000),"")</f>
        <v/>
      </c>
      <c r="AW144" s="85" t="str">
        <f>IFERROR(TP_DATA[[#This Row],[Bottom '[mLAT']]]-TP_DATA[[#This Row],[D, top '[m']]], "")</f>
        <v/>
      </c>
      <c r="AX144" s="85" t="str">
        <f>IFERROR(-(TP_DATA[[#This Row],[D, bottom '[m']]]-TP_DATA[[#This Row],[D, top '[m']]])/(TP_DATA[[#This Row],[Bottom '[mLAT']]]-TP_DATA[[#This Row],[Top '[mLAT']]]),"")</f>
        <v/>
      </c>
      <c r="AY144" s="85" t="str">
        <f t="shared" si="4"/>
        <v/>
      </c>
      <c r="AZ144" s="85" t="str">
        <f>IFERROR((TP_DATA[[#This Row],[D, bottom '[m']]]+TP_DATA[[#This Row],[D, top '[m']]])/(2*TP_DATA[[#This Row],[t '[mm']]]/1000),"")</f>
        <v/>
      </c>
      <c r="CM144" s="85" t="str">
        <f>IFERROR(TOWER_DATA[[#This Row],[Bottom '[mLAT']]]-TOWER_DATA[[#This Row],[D, top '[m']]], "")</f>
        <v/>
      </c>
      <c r="CN144" s="85" t="str">
        <f>IFERROR(-(TOWER_DATA[[#This Row],[D, bottom '[m']]]-TOWER_DATA[[#This Row],[D, top '[m']]])/(TOWER_DATA[[#This Row],[Bottom '[mLAT']]]-TOWER_DATA[[#This Row],[Top '[mLAT']]]),"")</f>
        <v/>
      </c>
      <c r="CO144" s="85" t="str">
        <f t="shared" si="5"/>
        <v/>
      </c>
      <c r="CP144" s="85" t="str">
        <f>IFERROR((TOWER_DATA[[#This Row],[D, bottom '[m']]]+TOWER_DATA[[#This Row],[D, top '[m']]])/(2*TOWER_DATA[[#This Row],[t '[mm']]]/1000),"")</f>
        <v/>
      </c>
    </row>
    <row r="145" spans="8:94" x14ac:dyDescent="0.3">
      <c r="H145" s="85" t="str">
        <f>IFERROR(MP_DATA[[#This Row],[Bottom '[mLAT']]]-MP_DATA[[#This Row],[D, top '[m']]], "")</f>
        <v/>
      </c>
      <c r="I145" s="85" t="str">
        <f>IFERROR(-(MP_DATA[[#This Row],[D, bottom '[m']]]-MP_DATA[[#This Row],[D, top '[m']]])/(MP_DATA[[#This Row],[Bottom '[mLAT']]]-MP_DATA[[#This Row],[Top '[mLAT']]]),"")</f>
        <v/>
      </c>
      <c r="J145" s="85" t="str">
        <f t="shared" si="6"/>
        <v/>
      </c>
      <c r="K145" s="85" t="str">
        <f>IFERROR((MP_DATA[[#This Row],[D, bottom '[m']]]+MP_DATA[[#This Row],[D, top '[m']]])/(2*MP_DATA[[#This Row],[t '[mm']]]/1000),"")</f>
        <v/>
      </c>
      <c r="AW145" s="85" t="str">
        <f>IFERROR(TP_DATA[[#This Row],[Bottom '[mLAT']]]-TP_DATA[[#This Row],[D, top '[m']]], "")</f>
        <v/>
      </c>
      <c r="AX145" s="85" t="str">
        <f>IFERROR(-(TP_DATA[[#This Row],[D, bottom '[m']]]-TP_DATA[[#This Row],[D, top '[m']]])/(TP_DATA[[#This Row],[Bottom '[mLAT']]]-TP_DATA[[#This Row],[Top '[mLAT']]]),"")</f>
        <v/>
      </c>
      <c r="AY145" s="85" t="str">
        <f t="shared" si="4"/>
        <v/>
      </c>
      <c r="AZ145" s="85" t="str">
        <f>IFERROR((TP_DATA[[#This Row],[D, bottom '[m']]]+TP_DATA[[#This Row],[D, top '[m']]])/(2*TP_DATA[[#This Row],[t '[mm']]]/1000),"")</f>
        <v/>
      </c>
      <c r="CM145" s="85" t="str">
        <f>IFERROR(TOWER_DATA[[#This Row],[Bottom '[mLAT']]]-TOWER_DATA[[#This Row],[D, top '[m']]], "")</f>
        <v/>
      </c>
      <c r="CN145" s="85" t="str">
        <f>IFERROR(-(TOWER_DATA[[#This Row],[D, bottom '[m']]]-TOWER_DATA[[#This Row],[D, top '[m']]])/(TOWER_DATA[[#This Row],[Bottom '[mLAT']]]-TOWER_DATA[[#This Row],[Top '[mLAT']]]),"")</f>
        <v/>
      </c>
      <c r="CO145" s="85" t="str">
        <f t="shared" si="5"/>
        <v/>
      </c>
      <c r="CP145" s="85" t="str">
        <f>IFERROR((TOWER_DATA[[#This Row],[D, bottom '[m']]]+TOWER_DATA[[#This Row],[D, top '[m']]])/(2*TOWER_DATA[[#This Row],[t '[mm']]]/1000),"")</f>
        <v/>
      </c>
    </row>
    <row r="146" spans="8:94" x14ac:dyDescent="0.3">
      <c r="H146" s="85" t="str">
        <f>IFERROR(MP_DATA[[#This Row],[Bottom '[mLAT']]]-MP_DATA[[#This Row],[D, top '[m']]], "")</f>
        <v/>
      </c>
      <c r="I146" s="85" t="str">
        <f>IFERROR(-(MP_DATA[[#This Row],[D, bottom '[m']]]-MP_DATA[[#This Row],[D, top '[m']]])/(MP_DATA[[#This Row],[Bottom '[mLAT']]]-MP_DATA[[#This Row],[Top '[mLAT']]]),"")</f>
        <v/>
      </c>
      <c r="J146" s="85" t="str">
        <f t="shared" si="6"/>
        <v/>
      </c>
      <c r="K146" s="85" t="str">
        <f>IFERROR((MP_DATA[[#This Row],[D, bottom '[m']]]+MP_DATA[[#This Row],[D, top '[m']]])/(2*MP_DATA[[#This Row],[t '[mm']]]/1000),"")</f>
        <v/>
      </c>
      <c r="AW146" s="85" t="str">
        <f>IFERROR(TP_DATA[[#This Row],[Bottom '[mLAT']]]-TP_DATA[[#This Row],[D, top '[m']]], "")</f>
        <v/>
      </c>
      <c r="AX146" s="85" t="str">
        <f>IFERROR(-(TP_DATA[[#This Row],[D, bottom '[m']]]-TP_DATA[[#This Row],[D, top '[m']]])/(TP_DATA[[#This Row],[Bottom '[mLAT']]]-TP_DATA[[#This Row],[Top '[mLAT']]]),"")</f>
        <v/>
      </c>
      <c r="AY146" s="85" t="str">
        <f t="shared" si="4"/>
        <v/>
      </c>
      <c r="AZ146" s="85" t="str">
        <f>IFERROR((TP_DATA[[#This Row],[D, bottom '[m']]]+TP_DATA[[#This Row],[D, top '[m']]])/(2*TP_DATA[[#This Row],[t '[mm']]]/1000),"")</f>
        <v/>
      </c>
      <c r="CM146" s="85" t="str">
        <f>IFERROR(TOWER_DATA[[#This Row],[Bottom '[mLAT']]]-TOWER_DATA[[#This Row],[D, top '[m']]], "")</f>
        <v/>
      </c>
      <c r="CN146" s="85" t="str">
        <f>IFERROR(-(TOWER_DATA[[#This Row],[D, bottom '[m']]]-TOWER_DATA[[#This Row],[D, top '[m']]])/(TOWER_DATA[[#This Row],[Bottom '[mLAT']]]-TOWER_DATA[[#This Row],[Top '[mLAT']]]),"")</f>
        <v/>
      </c>
      <c r="CO146" s="85" t="str">
        <f t="shared" si="5"/>
        <v/>
      </c>
      <c r="CP146" s="85" t="str">
        <f>IFERROR((TOWER_DATA[[#This Row],[D, bottom '[m']]]+TOWER_DATA[[#This Row],[D, top '[m']]])/(2*TOWER_DATA[[#This Row],[t '[mm']]]/1000),"")</f>
        <v/>
      </c>
    </row>
    <row r="147" spans="8:94" x14ac:dyDescent="0.3">
      <c r="H147" s="85" t="str">
        <f>IFERROR(MP_DATA[[#This Row],[Bottom '[mLAT']]]-MP_DATA[[#This Row],[D, top '[m']]], "")</f>
        <v/>
      </c>
      <c r="I147" s="85" t="str">
        <f>IFERROR(-(MP_DATA[[#This Row],[D, bottom '[m']]]-MP_DATA[[#This Row],[D, top '[m']]])/(MP_DATA[[#This Row],[Bottom '[mLAT']]]-MP_DATA[[#This Row],[Top '[mLAT']]]),"")</f>
        <v/>
      </c>
      <c r="J147" s="85" t="str">
        <f t="shared" si="6"/>
        <v/>
      </c>
      <c r="K147" s="85" t="str">
        <f>IFERROR((MP_DATA[[#This Row],[D, bottom '[m']]]+MP_DATA[[#This Row],[D, top '[m']]])/(2*MP_DATA[[#This Row],[t '[mm']]]/1000),"")</f>
        <v/>
      </c>
      <c r="AW147" s="85" t="str">
        <f>IFERROR(TP_DATA[[#This Row],[Bottom '[mLAT']]]-TP_DATA[[#This Row],[D, top '[m']]], "")</f>
        <v/>
      </c>
      <c r="AX147" s="85" t="str">
        <f>IFERROR(-(TP_DATA[[#This Row],[D, bottom '[m']]]-TP_DATA[[#This Row],[D, top '[m']]])/(TP_DATA[[#This Row],[Bottom '[mLAT']]]-TP_DATA[[#This Row],[Top '[mLAT']]]),"")</f>
        <v/>
      </c>
      <c r="AY147" s="85" t="str">
        <f t="shared" ref="AY147:AY154" si="7">IF(7850/1000*(1/3)*PI()*ABS(AR147-AS147)*((AT147/2)^2+(AT147/2)*(AU147/2)+(AU147/2)^2-(AT147/2-AV147/1000)^2-(AT147/2-AV147/1000)*(AU147/2-AV147/1000)-(AU147/2-AV147/1000)^2)=0,"",7850/1000*(1/3)*PI()*ABS(AR147-AS147)*((AT147/2)^2+(AT147/2)*(AU147/2)+(AU147/2)^2-(AT147/2-AV147/1000)^2-(AT147/2-AV147/1000)*(AU147/2-AV147/1000)-(AU147/2-AV147/1000)^2))</f>
        <v/>
      </c>
      <c r="AZ147" s="85" t="str">
        <f>IFERROR((TP_DATA[[#This Row],[D, bottom '[m']]]+TP_DATA[[#This Row],[D, top '[m']]])/(2*TP_DATA[[#This Row],[t '[mm']]]/1000),"")</f>
        <v/>
      </c>
      <c r="CM147" s="85" t="str">
        <f>IFERROR(TOWER_DATA[[#This Row],[Bottom '[mLAT']]]-TOWER_DATA[[#This Row],[D, top '[m']]], "")</f>
        <v/>
      </c>
      <c r="CN147" s="85" t="str">
        <f>IFERROR(-(TOWER_DATA[[#This Row],[D, bottom '[m']]]-TOWER_DATA[[#This Row],[D, top '[m']]])/(TOWER_DATA[[#This Row],[Bottom '[mLAT']]]-TOWER_DATA[[#This Row],[Top '[mLAT']]]),"")</f>
        <v/>
      </c>
      <c r="CO147" s="85" t="str">
        <f t="shared" ref="CO147:CO154" si="8">IF(7850/1000*(1/3)*PI()*ABS(CH147-CI147)*((CJ147/2)^2+(CJ147/2)*(CK147/2)+(CK147/2)^2-(CJ147/2-CL147/1000)^2-(CJ147/2-CL147/1000)*(CK147/2-CL147/1000)-(CK147/2-CL147/1000)^2)=0,"",7850/1000*(1/3)*PI()*ABS(CH147-CI147)*((CJ147/2)^2+(CJ147/2)*(CK147/2)+(CK147/2)^2-(CJ147/2-CL147/1000)^2-(CJ147/2-CL147/1000)*(CK147/2-CL147/1000)-(CK147/2-CL147/1000)^2))</f>
        <v/>
      </c>
      <c r="CP147" s="85" t="str">
        <f>IFERROR((TOWER_DATA[[#This Row],[D, bottom '[m']]]+TOWER_DATA[[#This Row],[D, top '[m']]])/(2*TOWER_DATA[[#This Row],[t '[mm']]]/1000),"")</f>
        <v/>
      </c>
    </row>
    <row r="148" spans="8:94" x14ac:dyDescent="0.3">
      <c r="H148" s="85" t="str">
        <f>IFERROR(MP_DATA[[#This Row],[Bottom '[mLAT']]]-MP_DATA[[#This Row],[D, top '[m']]], "")</f>
        <v/>
      </c>
      <c r="I148" s="85" t="str">
        <f>IFERROR(-(MP_DATA[[#This Row],[D, bottom '[m']]]-MP_DATA[[#This Row],[D, top '[m']]])/(MP_DATA[[#This Row],[Bottom '[mLAT']]]-MP_DATA[[#This Row],[Top '[mLAT']]]),"")</f>
        <v/>
      </c>
      <c r="J148" s="85" t="str">
        <f t="shared" ref="J148:J154" si="9">IF(7850/1000*(1/3)*PI()*ABS(C148-D148)*((E148/2)^2+(E148/2)*(F148/2)+(F148/2)^2-(E148/2-G148/1000)^2-(E148/2-G148/1000)*(F148/2-G148/1000)-(F148/2-G148/1000)^2)=0,"",7850/1000*(1/3)*PI()*ABS(C148-D148)*((E148/2)^2+(E148/2)*(F148/2)+(F148/2)^2-(E148/2-G148/1000)^2-(E148/2-G148/1000)*(F148/2-G148/1000)-(F148/2-G148/1000)^2))</f>
        <v/>
      </c>
      <c r="K148" s="85" t="str">
        <f>IFERROR((MP_DATA[[#This Row],[D, bottom '[m']]]+MP_DATA[[#This Row],[D, top '[m']]])/(2*MP_DATA[[#This Row],[t '[mm']]]/1000),"")</f>
        <v/>
      </c>
      <c r="AW148" s="85" t="str">
        <f>IFERROR(TP_DATA[[#This Row],[Bottom '[mLAT']]]-TP_DATA[[#This Row],[D, top '[m']]], "")</f>
        <v/>
      </c>
      <c r="AX148" s="85" t="str">
        <f>IFERROR(-(TP_DATA[[#This Row],[D, bottom '[m']]]-TP_DATA[[#This Row],[D, top '[m']]])/(TP_DATA[[#This Row],[Bottom '[mLAT']]]-TP_DATA[[#This Row],[Top '[mLAT']]]),"")</f>
        <v/>
      </c>
      <c r="AY148" s="85" t="str">
        <f t="shared" si="7"/>
        <v/>
      </c>
      <c r="AZ148" s="85" t="str">
        <f>IFERROR((TP_DATA[[#This Row],[D, bottom '[m']]]+TP_DATA[[#This Row],[D, top '[m']]])/(2*TP_DATA[[#This Row],[t '[mm']]]/1000),"")</f>
        <v/>
      </c>
      <c r="CM148" s="85" t="str">
        <f>IFERROR(TOWER_DATA[[#This Row],[Bottom '[mLAT']]]-TOWER_DATA[[#This Row],[D, top '[m']]], "")</f>
        <v/>
      </c>
      <c r="CN148" s="85" t="str">
        <f>IFERROR(-(TOWER_DATA[[#This Row],[D, bottom '[m']]]-TOWER_DATA[[#This Row],[D, top '[m']]])/(TOWER_DATA[[#This Row],[Bottom '[mLAT']]]-TOWER_DATA[[#This Row],[Top '[mLAT']]]),"")</f>
        <v/>
      </c>
      <c r="CO148" s="85" t="str">
        <f t="shared" si="8"/>
        <v/>
      </c>
      <c r="CP148" s="85" t="str">
        <f>IFERROR((TOWER_DATA[[#This Row],[D, bottom '[m']]]+TOWER_DATA[[#This Row],[D, top '[m']]])/(2*TOWER_DATA[[#This Row],[t '[mm']]]/1000),"")</f>
        <v/>
      </c>
    </row>
    <row r="149" spans="8:94" x14ac:dyDescent="0.3">
      <c r="H149" s="85" t="str">
        <f>IFERROR(MP_DATA[[#This Row],[Bottom '[mLAT']]]-MP_DATA[[#This Row],[D, top '[m']]], "")</f>
        <v/>
      </c>
      <c r="I149" s="85" t="str">
        <f>IFERROR(-(MP_DATA[[#This Row],[D, bottom '[m']]]-MP_DATA[[#This Row],[D, top '[m']]])/(MP_DATA[[#This Row],[Bottom '[mLAT']]]-MP_DATA[[#This Row],[Top '[mLAT']]]),"")</f>
        <v/>
      </c>
      <c r="J149" s="85" t="str">
        <f t="shared" si="9"/>
        <v/>
      </c>
      <c r="K149" s="85" t="str">
        <f>IFERROR((MP_DATA[[#This Row],[D, bottom '[m']]]+MP_DATA[[#This Row],[D, top '[m']]])/(2*MP_DATA[[#This Row],[t '[mm']]]/1000),"")</f>
        <v/>
      </c>
      <c r="AW149" s="85" t="str">
        <f>IFERROR(TP_DATA[[#This Row],[Bottom '[mLAT']]]-TP_DATA[[#This Row],[D, top '[m']]], "")</f>
        <v/>
      </c>
      <c r="AX149" s="85" t="str">
        <f>IFERROR(-(TP_DATA[[#This Row],[D, bottom '[m']]]-TP_DATA[[#This Row],[D, top '[m']]])/(TP_DATA[[#This Row],[Bottom '[mLAT']]]-TP_DATA[[#This Row],[Top '[mLAT']]]),"")</f>
        <v/>
      </c>
      <c r="AY149" s="85" t="str">
        <f t="shared" si="7"/>
        <v/>
      </c>
      <c r="AZ149" s="85" t="str">
        <f>IFERROR((TP_DATA[[#This Row],[D, bottom '[m']]]+TP_DATA[[#This Row],[D, top '[m']]])/(2*TP_DATA[[#This Row],[t '[mm']]]/1000),"")</f>
        <v/>
      </c>
      <c r="CM149" s="85" t="str">
        <f>IFERROR(TOWER_DATA[[#This Row],[Bottom '[mLAT']]]-TOWER_DATA[[#This Row],[D, top '[m']]], "")</f>
        <v/>
      </c>
      <c r="CN149" s="85" t="str">
        <f>IFERROR(-(TOWER_DATA[[#This Row],[D, bottom '[m']]]-TOWER_DATA[[#This Row],[D, top '[m']]])/(TOWER_DATA[[#This Row],[Bottom '[mLAT']]]-TOWER_DATA[[#This Row],[Top '[mLAT']]]),"")</f>
        <v/>
      </c>
      <c r="CO149" s="85" t="str">
        <f t="shared" si="8"/>
        <v/>
      </c>
      <c r="CP149" s="85" t="str">
        <f>IFERROR((TOWER_DATA[[#This Row],[D, bottom '[m']]]+TOWER_DATA[[#This Row],[D, top '[m']]])/(2*TOWER_DATA[[#This Row],[t '[mm']]]/1000),"")</f>
        <v/>
      </c>
    </row>
    <row r="150" spans="8:94" x14ac:dyDescent="0.3">
      <c r="H150" s="85" t="str">
        <f>IFERROR(MP_DATA[[#This Row],[Bottom '[mLAT']]]-MP_DATA[[#This Row],[D, top '[m']]], "")</f>
        <v/>
      </c>
      <c r="I150" s="85" t="str">
        <f>IFERROR(-(MP_DATA[[#This Row],[D, bottom '[m']]]-MP_DATA[[#This Row],[D, top '[m']]])/(MP_DATA[[#This Row],[Bottom '[mLAT']]]-MP_DATA[[#This Row],[Top '[mLAT']]]),"")</f>
        <v/>
      </c>
      <c r="J150" s="85" t="str">
        <f t="shared" si="9"/>
        <v/>
      </c>
      <c r="K150" s="85" t="str">
        <f>IFERROR((MP_DATA[[#This Row],[D, bottom '[m']]]+MP_DATA[[#This Row],[D, top '[m']]])/(2*MP_DATA[[#This Row],[t '[mm']]]/1000),"")</f>
        <v/>
      </c>
      <c r="AW150" s="85" t="str">
        <f>IFERROR(TP_DATA[[#This Row],[Bottom '[mLAT']]]-TP_DATA[[#This Row],[D, top '[m']]], "")</f>
        <v/>
      </c>
      <c r="AX150" s="85" t="str">
        <f>IFERROR(-(TP_DATA[[#This Row],[D, bottom '[m']]]-TP_DATA[[#This Row],[D, top '[m']]])/(TP_DATA[[#This Row],[Bottom '[mLAT']]]-TP_DATA[[#This Row],[Top '[mLAT']]]),"")</f>
        <v/>
      </c>
      <c r="AY150" s="85" t="str">
        <f t="shared" si="7"/>
        <v/>
      </c>
      <c r="AZ150" s="85" t="str">
        <f>IFERROR((TP_DATA[[#This Row],[D, bottom '[m']]]+TP_DATA[[#This Row],[D, top '[m']]])/(2*TP_DATA[[#This Row],[t '[mm']]]/1000),"")</f>
        <v/>
      </c>
      <c r="CM150" s="85" t="str">
        <f>IFERROR(TOWER_DATA[[#This Row],[Bottom '[mLAT']]]-TOWER_DATA[[#This Row],[D, top '[m']]], "")</f>
        <v/>
      </c>
      <c r="CN150" s="85" t="str">
        <f>IFERROR(-(TOWER_DATA[[#This Row],[D, bottom '[m']]]-TOWER_DATA[[#This Row],[D, top '[m']]])/(TOWER_DATA[[#This Row],[Bottom '[mLAT']]]-TOWER_DATA[[#This Row],[Top '[mLAT']]]),"")</f>
        <v/>
      </c>
      <c r="CO150" s="85" t="str">
        <f t="shared" si="8"/>
        <v/>
      </c>
      <c r="CP150" s="85" t="str">
        <f>IFERROR((TOWER_DATA[[#This Row],[D, bottom '[m']]]+TOWER_DATA[[#This Row],[D, top '[m']]])/(2*TOWER_DATA[[#This Row],[t '[mm']]]/1000),"")</f>
        <v/>
      </c>
    </row>
    <row r="151" spans="8:94" x14ac:dyDescent="0.3">
      <c r="H151" s="85" t="str">
        <f>IFERROR(MP_DATA[[#This Row],[Bottom '[mLAT']]]-MP_DATA[[#This Row],[D, top '[m']]], "")</f>
        <v/>
      </c>
      <c r="I151" s="85" t="str">
        <f>IFERROR(-(MP_DATA[[#This Row],[D, bottom '[m']]]-MP_DATA[[#This Row],[D, top '[m']]])/(MP_DATA[[#This Row],[Bottom '[mLAT']]]-MP_DATA[[#This Row],[Top '[mLAT']]]),"")</f>
        <v/>
      </c>
      <c r="J151" s="85" t="str">
        <f t="shared" si="9"/>
        <v/>
      </c>
      <c r="K151" s="85" t="str">
        <f>IFERROR((MP_DATA[[#This Row],[D, bottom '[m']]]+MP_DATA[[#This Row],[D, top '[m']]])/(2*MP_DATA[[#This Row],[t '[mm']]]/1000),"")</f>
        <v/>
      </c>
      <c r="AW151" s="85" t="str">
        <f>IFERROR(TP_DATA[[#This Row],[Bottom '[mLAT']]]-TP_DATA[[#This Row],[D, top '[m']]], "")</f>
        <v/>
      </c>
      <c r="AX151" s="85" t="str">
        <f>IFERROR(-(TP_DATA[[#This Row],[D, bottom '[m']]]-TP_DATA[[#This Row],[D, top '[m']]])/(TP_DATA[[#This Row],[Bottom '[mLAT']]]-TP_DATA[[#This Row],[Top '[mLAT']]]),"")</f>
        <v/>
      </c>
      <c r="AY151" s="85" t="str">
        <f t="shared" si="7"/>
        <v/>
      </c>
      <c r="AZ151" s="85" t="str">
        <f>IFERROR((TP_DATA[[#This Row],[D, bottom '[m']]]+TP_DATA[[#This Row],[D, top '[m']]])/(2*TP_DATA[[#This Row],[t '[mm']]]/1000),"")</f>
        <v/>
      </c>
      <c r="CM151" s="85" t="str">
        <f>IFERROR(TOWER_DATA[[#This Row],[Bottom '[mLAT']]]-TOWER_DATA[[#This Row],[D, top '[m']]], "")</f>
        <v/>
      </c>
      <c r="CN151" s="85" t="str">
        <f>IFERROR(-(TOWER_DATA[[#This Row],[D, bottom '[m']]]-TOWER_DATA[[#This Row],[D, top '[m']]])/(TOWER_DATA[[#This Row],[Bottom '[mLAT']]]-TOWER_DATA[[#This Row],[Top '[mLAT']]]),"")</f>
        <v/>
      </c>
      <c r="CO151" s="85" t="str">
        <f t="shared" si="8"/>
        <v/>
      </c>
      <c r="CP151" s="85" t="str">
        <f>IFERROR((TOWER_DATA[[#This Row],[D, bottom '[m']]]+TOWER_DATA[[#This Row],[D, top '[m']]])/(2*TOWER_DATA[[#This Row],[t '[mm']]]/1000),"")</f>
        <v/>
      </c>
    </row>
    <row r="152" spans="8:94" x14ac:dyDescent="0.3">
      <c r="H152" s="85" t="str">
        <f>IFERROR(MP_DATA[[#This Row],[Bottom '[mLAT']]]-MP_DATA[[#This Row],[D, top '[m']]], "")</f>
        <v/>
      </c>
      <c r="I152" s="85" t="str">
        <f>IFERROR(-(MP_DATA[[#This Row],[D, bottom '[m']]]-MP_DATA[[#This Row],[D, top '[m']]])/(MP_DATA[[#This Row],[Bottom '[mLAT']]]-MP_DATA[[#This Row],[Top '[mLAT']]]),"")</f>
        <v/>
      </c>
      <c r="J152" s="85" t="str">
        <f t="shared" si="9"/>
        <v/>
      </c>
      <c r="K152" s="85" t="str">
        <f>IFERROR((MP_DATA[[#This Row],[D, bottom '[m']]]+MP_DATA[[#This Row],[D, top '[m']]])/(2*MP_DATA[[#This Row],[t '[mm']]]/1000),"")</f>
        <v/>
      </c>
      <c r="AW152" s="85" t="str">
        <f>IFERROR(TP_DATA[[#This Row],[Bottom '[mLAT']]]-TP_DATA[[#This Row],[D, top '[m']]], "")</f>
        <v/>
      </c>
      <c r="AX152" s="85" t="str">
        <f>IFERROR(-(TP_DATA[[#This Row],[D, bottom '[m']]]-TP_DATA[[#This Row],[D, top '[m']]])/(TP_DATA[[#This Row],[Bottom '[mLAT']]]-TP_DATA[[#This Row],[Top '[mLAT']]]),"")</f>
        <v/>
      </c>
      <c r="AY152" s="85" t="str">
        <f t="shared" si="7"/>
        <v/>
      </c>
      <c r="AZ152" s="85" t="str">
        <f>IFERROR((TP_DATA[[#This Row],[D, bottom '[m']]]+TP_DATA[[#This Row],[D, top '[m']]])/(2*TP_DATA[[#This Row],[t '[mm']]]/1000),"")</f>
        <v/>
      </c>
      <c r="CM152" s="85" t="str">
        <f>IFERROR(TOWER_DATA[[#This Row],[Bottom '[mLAT']]]-TOWER_DATA[[#This Row],[D, top '[m']]], "")</f>
        <v/>
      </c>
      <c r="CN152" s="85" t="str">
        <f>IFERROR(-(TOWER_DATA[[#This Row],[D, bottom '[m']]]-TOWER_DATA[[#This Row],[D, top '[m']]])/(TOWER_DATA[[#This Row],[Bottom '[mLAT']]]-TOWER_DATA[[#This Row],[Top '[mLAT']]]),"")</f>
        <v/>
      </c>
      <c r="CO152" s="85" t="str">
        <f t="shared" si="8"/>
        <v/>
      </c>
      <c r="CP152" s="85" t="str">
        <f>IFERROR((TOWER_DATA[[#This Row],[D, bottom '[m']]]+TOWER_DATA[[#This Row],[D, top '[m']]])/(2*TOWER_DATA[[#This Row],[t '[mm']]]/1000),"")</f>
        <v/>
      </c>
    </row>
    <row r="153" spans="8:94" x14ac:dyDescent="0.3">
      <c r="H153" s="85" t="str">
        <f>IFERROR(MP_DATA[[#This Row],[Bottom '[mLAT']]]-MP_DATA[[#This Row],[D, top '[m']]], "")</f>
        <v/>
      </c>
      <c r="I153" s="85" t="str">
        <f>IFERROR(-(MP_DATA[[#This Row],[D, bottom '[m']]]-MP_DATA[[#This Row],[D, top '[m']]])/(MP_DATA[[#This Row],[Bottom '[mLAT']]]-MP_DATA[[#This Row],[Top '[mLAT']]]),"")</f>
        <v/>
      </c>
      <c r="J153" s="85" t="str">
        <f t="shared" si="9"/>
        <v/>
      </c>
      <c r="K153" s="85" t="str">
        <f>IFERROR((MP_DATA[[#This Row],[D, bottom '[m']]]+MP_DATA[[#This Row],[D, top '[m']]])/(2*MP_DATA[[#This Row],[t '[mm']]]/1000),"")</f>
        <v/>
      </c>
      <c r="AW153" s="85" t="str">
        <f>IFERROR(TP_DATA[[#This Row],[Bottom '[mLAT']]]-TP_DATA[[#This Row],[D, top '[m']]], "")</f>
        <v/>
      </c>
      <c r="AX153" s="85" t="str">
        <f>IFERROR(-(TP_DATA[[#This Row],[D, bottom '[m']]]-TP_DATA[[#This Row],[D, top '[m']]])/(TP_DATA[[#This Row],[Bottom '[mLAT']]]-TP_DATA[[#This Row],[Top '[mLAT']]]),"")</f>
        <v/>
      </c>
      <c r="AY153" s="85" t="str">
        <f t="shared" si="7"/>
        <v/>
      </c>
      <c r="AZ153" s="85" t="str">
        <f>IFERROR((TP_DATA[[#This Row],[D, bottom '[m']]]+TP_DATA[[#This Row],[D, top '[m']]])/(2*TP_DATA[[#This Row],[t '[mm']]]/1000),"")</f>
        <v/>
      </c>
      <c r="CM153" s="85" t="str">
        <f>IFERROR(TOWER_DATA[[#This Row],[Bottom '[mLAT']]]-TOWER_DATA[[#This Row],[D, top '[m']]], "")</f>
        <v/>
      </c>
      <c r="CN153" s="85" t="str">
        <f>IFERROR(-(TOWER_DATA[[#This Row],[D, bottom '[m']]]-TOWER_DATA[[#This Row],[D, top '[m']]])/(TOWER_DATA[[#This Row],[Bottom '[mLAT']]]-TOWER_DATA[[#This Row],[Top '[mLAT']]]),"")</f>
        <v/>
      </c>
      <c r="CO153" s="85" t="str">
        <f t="shared" si="8"/>
        <v/>
      </c>
      <c r="CP153" s="85" t="str">
        <f>IFERROR((TOWER_DATA[[#This Row],[D, bottom '[m']]]+TOWER_DATA[[#This Row],[D, top '[m']]])/(2*TOWER_DATA[[#This Row],[t '[mm']]]/1000),"")</f>
        <v/>
      </c>
    </row>
    <row r="154" spans="8:94" x14ac:dyDescent="0.3">
      <c r="H154" s="85" t="str">
        <f>IFERROR(MP_DATA[[#This Row],[Bottom '[mLAT']]]-MP_DATA[[#This Row],[D, top '[m']]], "")</f>
        <v/>
      </c>
      <c r="I154" s="85" t="str">
        <f>IFERROR(-(MP_DATA[[#This Row],[D, bottom '[m']]]-MP_DATA[[#This Row],[D, top '[m']]])/(MP_DATA[[#This Row],[Bottom '[mLAT']]]-MP_DATA[[#This Row],[Top '[mLAT']]]),"")</f>
        <v/>
      </c>
      <c r="J154" s="85" t="str">
        <f t="shared" si="9"/>
        <v/>
      </c>
      <c r="K154" s="85" t="str">
        <f>IFERROR((MP_DATA[[#This Row],[D, bottom '[m']]]+MP_DATA[[#This Row],[D, top '[m']]])/(2*MP_DATA[[#This Row],[t '[mm']]]/1000),"")</f>
        <v/>
      </c>
      <c r="AW154" s="85" t="str">
        <f>IFERROR(TP_DATA[[#This Row],[Bottom '[mLAT']]]-TP_DATA[[#This Row],[D, top '[m']]], "")</f>
        <v/>
      </c>
      <c r="AX154" s="85" t="str">
        <f>IFERROR(-(TP_DATA[[#This Row],[D, bottom '[m']]]-TP_DATA[[#This Row],[D, top '[m']]])/(TP_DATA[[#This Row],[Bottom '[mLAT']]]-TP_DATA[[#This Row],[Top '[mLAT']]]),"")</f>
        <v/>
      </c>
      <c r="AY154" s="85" t="str">
        <f t="shared" si="7"/>
        <v/>
      </c>
      <c r="AZ154" s="85" t="str">
        <f>IFERROR((TP_DATA[[#This Row],[D, bottom '[m']]]+TP_DATA[[#This Row],[D, top '[m']]])/(2*TP_DATA[[#This Row],[t '[mm']]]/1000),"")</f>
        <v/>
      </c>
      <c r="CM154" s="85" t="str">
        <f>IFERROR(TOWER_DATA[[#This Row],[Bottom '[mLAT']]]-TOWER_DATA[[#This Row],[D, top '[m']]], "")</f>
        <v/>
      </c>
      <c r="CN154" s="85" t="str">
        <f>IFERROR(-(TOWER_DATA[[#This Row],[D, bottom '[m']]]-TOWER_DATA[[#This Row],[D, top '[m']]])/(TOWER_DATA[[#This Row],[Bottom '[mLAT']]]-TOWER_DATA[[#This Row],[Top '[mLAT']]]),"")</f>
        <v/>
      </c>
      <c r="CO154" s="85" t="str">
        <f t="shared" si="8"/>
        <v/>
      </c>
      <c r="CP154" s="85" t="str">
        <f>IFERROR((TOWER_DATA[[#This Row],[D, bottom '[m']]]+TOWER_DATA[[#This Row],[D, top '[m']]])/(2*TOWER_DATA[[#This Row],[t '[mm']]]/1000),"")</f>
        <v/>
      </c>
    </row>
    <row r="155" spans="8:94" x14ac:dyDescent="0.3">
      <c r="H155" s="85" t="str">
        <f>IFERROR(MP_DATA[[#This Row],[Bottom '[mLAT']]]-MP_DATA[[#This Row],[D, top '[m']]], "")</f>
        <v/>
      </c>
      <c r="I155" s="85" t="str">
        <f>IFERROR(-(MP_DATA[[#This Row],[D, bottom '[m']]]-MP_DATA[[#This Row],[D, top '[m']]])/(MP_DATA[[#This Row],[Bottom '[mLAT']]]-MP_DATA[[#This Row],[Top '[mLAT']]]),"")</f>
        <v/>
      </c>
      <c r="K155" s="85" t="str">
        <f>IFERROR((MP_DATA[[#This Row],[D, bottom '[m']]]+MP_DATA[[#This Row],[D, top '[m']]])/(2*MP_DATA[[#This Row],[t '[mm']]]/1000),"")</f>
        <v/>
      </c>
      <c r="AW155" s="85" t="str">
        <f>IFERROR(TP_DATA[[#This Row],[Bottom '[mLAT']]]-TP_DATA[[#This Row],[D, top '[m']]], "")</f>
        <v/>
      </c>
      <c r="AX155" s="85" t="str">
        <f>IFERROR(-(TP_DATA[[#This Row],[D, bottom '[m']]]-TP_DATA[[#This Row],[D, top '[m']]])/(TP_DATA[[#This Row],[Bottom '[mLAT']]]-TP_DATA[[#This Row],[Top '[mLAT']]]),"")</f>
        <v/>
      </c>
      <c r="AZ155" s="85" t="str">
        <f>IFERROR((TP_DATA[[#This Row],[D, bottom '[m']]]+TP_DATA[[#This Row],[D, top '[m']]])/(2*TP_DATA[[#This Row],[t '[mm']]]/1000),"")</f>
        <v/>
      </c>
      <c r="CM155" s="85" t="str">
        <f>IFERROR(TOWER_DATA[[#This Row],[Bottom '[mLAT']]]-TOWER_DATA[[#This Row],[D, top '[m']]], "")</f>
        <v/>
      </c>
      <c r="CN155" s="85" t="str">
        <f>IFERROR(-(TOWER_DATA[[#This Row],[D, bottom '[m']]]-TOWER_DATA[[#This Row],[D, top '[m']]])/(TOWER_DATA[[#This Row],[Bottom '[mLAT']]]-TOWER_DATA[[#This Row],[Top '[mLAT']]]),"")</f>
        <v/>
      </c>
      <c r="CP155" s="85" t="str">
        <f>IFERROR((TOWER_DATA[[#This Row],[D, bottom '[m']]]+TOWER_DATA[[#This Row],[D, top '[m']]])/(2*TOWER_DATA[[#This Row],[t '[mm']]]/1000),"")</f>
        <v/>
      </c>
    </row>
    <row r="156" spans="8:94" x14ac:dyDescent="0.3">
      <c r="H156" s="85" t="str">
        <f>IFERROR(MP_DATA[[#This Row],[Bottom '[mLAT']]]-MP_DATA[[#This Row],[D, top '[m']]], "")</f>
        <v/>
      </c>
      <c r="I156" s="85" t="str">
        <f>IFERROR(-(MP_DATA[[#This Row],[D, bottom '[m']]]-MP_DATA[[#This Row],[D, top '[m']]])/(MP_DATA[[#This Row],[Bottom '[mLAT']]]-MP_DATA[[#This Row],[Top '[mLAT']]]),"")</f>
        <v/>
      </c>
      <c r="K156" s="85" t="str">
        <f>IFERROR((MP_DATA[[#This Row],[D, bottom '[m']]]+MP_DATA[[#This Row],[D, top '[m']]])/(2*MP_DATA[[#This Row],[t '[mm']]]/1000),"")</f>
        <v/>
      </c>
      <c r="AW156" s="85" t="str">
        <f>IFERROR(TP_DATA[[#This Row],[Bottom '[mLAT']]]-TP_DATA[[#This Row],[D, top '[m']]], "")</f>
        <v/>
      </c>
      <c r="AX156" s="85" t="str">
        <f>IFERROR(-(TP_DATA[[#This Row],[D, bottom '[m']]]-TP_DATA[[#This Row],[D, top '[m']]])/(TP_DATA[[#This Row],[Bottom '[mLAT']]]-TP_DATA[[#This Row],[Top '[mLAT']]]),"")</f>
        <v/>
      </c>
      <c r="AZ156" s="85" t="str">
        <f>IFERROR((TP_DATA[[#This Row],[D, bottom '[m']]]+TP_DATA[[#This Row],[D, top '[m']]])/(2*TP_DATA[[#This Row],[t '[mm']]]/1000),"")</f>
        <v/>
      </c>
      <c r="CM156" s="85" t="str">
        <f>IFERROR(TOWER_DATA[[#This Row],[Bottom '[mLAT']]]-TOWER_DATA[[#This Row],[D, top '[m']]], "")</f>
        <v/>
      </c>
      <c r="CN156" s="85" t="str">
        <f>IFERROR(-(TOWER_DATA[[#This Row],[D, bottom '[m']]]-TOWER_DATA[[#This Row],[D, top '[m']]])/(TOWER_DATA[[#This Row],[Bottom '[mLAT']]]-TOWER_DATA[[#This Row],[Top '[mLAT']]]),"")</f>
        <v/>
      </c>
      <c r="CP156" s="85" t="str">
        <f>IFERROR((TOWER_DATA[[#This Row],[D, bottom '[m']]]+TOWER_DATA[[#This Row],[D, top '[m']]])/(2*TOWER_DATA[[#This Row],[t '[mm']]]/1000),"")</f>
        <v/>
      </c>
    </row>
    <row r="157" spans="8:94" x14ac:dyDescent="0.3">
      <c r="H157" s="85" t="str">
        <f>IFERROR(MP_DATA[[#This Row],[Bottom '[mLAT']]]-MP_DATA[[#This Row],[D, top '[m']]], "")</f>
        <v/>
      </c>
      <c r="I157" s="85" t="str">
        <f>IFERROR(-(MP_DATA[[#This Row],[D, bottom '[m']]]-MP_DATA[[#This Row],[D, top '[m']]])/(MP_DATA[[#This Row],[Bottom '[mLAT']]]-MP_DATA[[#This Row],[Top '[mLAT']]]),"")</f>
        <v/>
      </c>
      <c r="K157" s="85" t="str">
        <f>IFERROR((MP_DATA[[#This Row],[D, bottom '[m']]]+MP_DATA[[#This Row],[D, top '[m']]])/(2*MP_DATA[[#This Row],[t '[mm']]]/1000),"")</f>
        <v/>
      </c>
      <c r="AW157" s="85" t="str">
        <f>IFERROR(TP_DATA[[#This Row],[Bottom '[mLAT']]]-TP_DATA[[#This Row],[D, top '[m']]], "")</f>
        <v/>
      </c>
      <c r="AX157" s="85" t="str">
        <f>IFERROR(-(TP_DATA[[#This Row],[D, bottom '[m']]]-TP_DATA[[#This Row],[D, top '[m']]])/(TP_DATA[[#This Row],[Bottom '[mLAT']]]-TP_DATA[[#This Row],[Top '[mLAT']]]),"")</f>
        <v/>
      </c>
      <c r="AZ157" s="85" t="str">
        <f>IFERROR((TP_DATA[[#This Row],[D, bottom '[m']]]+TP_DATA[[#This Row],[D, top '[m']]])/(2*TP_DATA[[#This Row],[t '[mm']]]/1000),"")</f>
        <v/>
      </c>
      <c r="CM157" s="85" t="str">
        <f>IFERROR(TOWER_DATA[[#This Row],[Bottom '[mLAT']]]-TOWER_DATA[[#This Row],[D, top '[m']]], "")</f>
        <v/>
      </c>
      <c r="CN157" s="85" t="str">
        <f>IFERROR(-(TOWER_DATA[[#This Row],[D, bottom '[m']]]-TOWER_DATA[[#This Row],[D, top '[m']]])/(TOWER_DATA[[#This Row],[Bottom '[mLAT']]]-TOWER_DATA[[#This Row],[Top '[mLAT']]]),"")</f>
        <v/>
      </c>
      <c r="CP157" s="85" t="str">
        <f>IFERROR((TOWER_DATA[[#This Row],[D, bottom '[m']]]+TOWER_DATA[[#This Row],[D, top '[m']]])/(2*TOWER_DATA[[#This Row],[t '[mm']]]/1000),"")</f>
        <v/>
      </c>
    </row>
    <row r="158" spans="8:94" x14ac:dyDescent="0.3">
      <c r="H158" s="85" t="str">
        <f>IFERROR(MP_DATA[[#This Row],[Bottom '[mLAT']]]-MP_DATA[[#This Row],[D, top '[m']]], "")</f>
        <v/>
      </c>
      <c r="I158" s="85" t="str">
        <f>IFERROR(-(MP_DATA[[#This Row],[D, bottom '[m']]]-MP_DATA[[#This Row],[D, top '[m']]])/(MP_DATA[[#This Row],[Bottom '[mLAT']]]-MP_DATA[[#This Row],[Top '[mLAT']]]),"")</f>
        <v/>
      </c>
      <c r="K158" s="85" t="str">
        <f>IFERROR((MP_DATA[[#This Row],[D, bottom '[m']]]+MP_DATA[[#This Row],[D, top '[m']]])/(2*MP_DATA[[#This Row],[t '[mm']]]/1000),"")</f>
        <v/>
      </c>
      <c r="AW158" s="85" t="str">
        <f>IFERROR(TP_DATA[[#This Row],[Bottom '[mLAT']]]-TP_DATA[[#This Row],[D, top '[m']]], "")</f>
        <v/>
      </c>
      <c r="AX158" s="85" t="str">
        <f>IFERROR(-(TP_DATA[[#This Row],[D, bottom '[m']]]-TP_DATA[[#This Row],[D, top '[m']]])/(TP_DATA[[#This Row],[Bottom '[mLAT']]]-TP_DATA[[#This Row],[Top '[mLAT']]]),"")</f>
        <v/>
      </c>
      <c r="AZ158" s="85" t="str">
        <f>IFERROR((TP_DATA[[#This Row],[D, bottom '[m']]]+TP_DATA[[#This Row],[D, top '[m']]])/(2*TP_DATA[[#This Row],[t '[mm']]]/1000),"")</f>
        <v/>
      </c>
      <c r="CM158" s="85" t="str">
        <f>IFERROR(TOWER_DATA[[#This Row],[Bottom '[mLAT']]]-TOWER_DATA[[#This Row],[D, top '[m']]], "")</f>
        <v/>
      </c>
      <c r="CN158" s="85" t="str">
        <f>IFERROR(-(TOWER_DATA[[#This Row],[D, bottom '[m']]]-TOWER_DATA[[#This Row],[D, top '[m']]])/(TOWER_DATA[[#This Row],[Bottom '[mLAT']]]-TOWER_DATA[[#This Row],[Top '[mLAT']]]),"")</f>
        <v/>
      </c>
      <c r="CP158" s="85" t="str">
        <f>IFERROR((TOWER_DATA[[#This Row],[D, bottom '[m']]]+TOWER_DATA[[#This Row],[D, top '[m']]])/(2*TOWER_DATA[[#This Row],[t '[mm']]]/1000),"")</f>
        <v/>
      </c>
    </row>
    <row r="159" spans="8:94" x14ac:dyDescent="0.3">
      <c r="H159" s="85" t="str">
        <f>IFERROR(MP_DATA[[#This Row],[Bottom '[mLAT']]]-MP_DATA[[#This Row],[D, top '[m']]], "")</f>
        <v/>
      </c>
      <c r="I159" s="85" t="str">
        <f>IFERROR(-(MP_DATA[[#This Row],[D, bottom '[m']]]-MP_DATA[[#This Row],[D, top '[m']]])/(MP_DATA[[#This Row],[Bottom '[mLAT']]]-MP_DATA[[#This Row],[Top '[mLAT']]]),"")</f>
        <v/>
      </c>
      <c r="K159" s="85" t="str">
        <f>IFERROR((MP_DATA[[#This Row],[D, bottom '[m']]]+MP_DATA[[#This Row],[D, top '[m']]])/(2*MP_DATA[[#This Row],[t '[mm']]]/1000),"")</f>
        <v/>
      </c>
      <c r="AW159" s="85" t="str">
        <f>IFERROR(TP_DATA[[#This Row],[Bottom '[mLAT']]]-TP_DATA[[#This Row],[D, top '[m']]], "")</f>
        <v/>
      </c>
      <c r="AX159" s="85" t="str">
        <f>IFERROR(-(TP_DATA[[#This Row],[D, bottom '[m']]]-TP_DATA[[#This Row],[D, top '[m']]])/(TP_DATA[[#This Row],[Bottom '[mLAT']]]-TP_DATA[[#This Row],[Top '[mLAT']]]),"")</f>
        <v/>
      </c>
      <c r="AZ159" s="85" t="str">
        <f>IFERROR((TP_DATA[[#This Row],[D, bottom '[m']]]+TP_DATA[[#This Row],[D, top '[m']]])/(2*TP_DATA[[#This Row],[t '[mm']]]/1000),"")</f>
        <v/>
      </c>
      <c r="CM159" s="85" t="str">
        <f>IFERROR(TOWER_DATA[[#This Row],[Bottom '[mLAT']]]-TOWER_DATA[[#This Row],[D, top '[m']]], "")</f>
        <v/>
      </c>
      <c r="CN159" s="85" t="str">
        <f>IFERROR(-(TOWER_DATA[[#This Row],[D, bottom '[m']]]-TOWER_DATA[[#This Row],[D, top '[m']]])/(TOWER_DATA[[#This Row],[Bottom '[mLAT']]]-TOWER_DATA[[#This Row],[Top '[mLAT']]]),"")</f>
        <v/>
      </c>
      <c r="CP159" s="85" t="str">
        <f>IFERROR((TOWER_DATA[[#This Row],[D, bottom '[m']]]+TOWER_DATA[[#This Row],[D, top '[m']]])/(2*TOWER_DATA[[#This Row],[t '[mm']]]/1000),"")</f>
        <v/>
      </c>
    </row>
    <row r="160" spans="8:94" x14ac:dyDescent="0.3">
      <c r="H160" s="85" t="str">
        <f>IFERROR(MP_DATA[[#This Row],[Bottom '[mLAT']]]-MP_DATA[[#This Row],[D, top '[m']]], "")</f>
        <v/>
      </c>
      <c r="I160" s="85" t="str">
        <f>IFERROR(-(MP_DATA[[#This Row],[D, bottom '[m']]]-MP_DATA[[#This Row],[D, top '[m']]])/(MP_DATA[[#This Row],[Bottom '[mLAT']]]-MP_DATA[[#This Row],[Top '[mLAT']]]),"")</f>
        <v/>
      </c>
      <c r="K160" s="85" t="str">
        <f>IFERROR((MP_DATA[[#This Row],[D, bottom '[m']]]+MP_DATA[[#This Row],[D, top '[m']]])/(2*MP_DATA[[#This Row],[t '[mm']]]/1000),"")</f>
        <v/>
      </c>
      <c r="AW160" s="85" t="str">
        <f>IFERROR(TP_DATA[[#This Row],[Bottom '[mLAT']]]-TP_DATA[[#This Row],[D, top '[m']]], "")</f>
        <v/>
      </c>
      <c r="AX160" s="85" t="str">
        <f>IFERROR(-(TP_DATA[[#This Row],[D, bottom '[m']]]-TP_DATA[[#This Row],[D, top '[m']]])/(TP_DATA[[#This Row],[Bottom '[mLAT']]]-TP_DATA[[#This Row],[Top '[mLAT']]]),"")</f>
        <v/>
      </c>
      <c r="AZ160" s="85" t="str">
        <f>IFERROR((TP_DATA[[#This Row],[D, bottom '[m']]]+TP_DATA[[#This Row],[D, top '[m']]])/(2*TP_DATA[[#This Row],[t '[mm']]]/1000),"")</f>
        <v/>
      </c>
      <c r="CM160" s="85" t="str">
        <f>IFERROR(TOWER_DATA[[#This Row],[Bottom '[mLAT']]]-TOWER_DATA[[#This Row],[D, top '[m']]], "")</f>
        <v/>
      </c>
      <c r="CN160" s="85" t="str">
        <f>IFERROR(-(TOWER_DATA[[#This Row],[D, bottom '[m']]]-TOWER_DATA[[#This Row],[D, top '[m']]])/(TOWER_DATA[[#This Row],[Bottom '[mLAT']]]-TOWER_DATA[[#This Row],[Top '[mLAT']]]),"")</f>
        <v/>
      </c>
      <c r="CP160" s="85" t="str">
        <f>IFERROR((TOWER_DATA[[#This Row],[D, bottom '[m']]]+TOWER_DATA[[#This Row],[D, top '[m']]])/(2*TOWER_DATA[[#This Row],[t '[mm']]]/1000),"")</f>
        <v/>
      </c>
    </row>
    <row r="161" spans="8:79" x14ac:dyDescent="0.3">
      <c r="H161" s="85" t="str">
        <f>IFERROR(MP_DATA[[#This Row],[Bottom '[mLAT']]]-MP_DATA[[#This Row],[D, top '[m']]], "")</f>
        <v/>
      </c>
      <c r="K161" s="85" t="str">
        <f>IFERROR((MP_DATA[[#This Row],[D, bottom '[m']]]+MP_DATA[[#This Row],[D, top '[m']]])/(2*MP_DATA[[#This Row],[t '[mm']]]/1000),"")</f>
        <v/>
      </c>
      <c r="BX161" s="85"/>
      <c r="BY161" s="85"/>
      <c r="BZ161" s="85"/>
      <c r="CA161" s="85"/>
    </row>
    <row r="162" spans="8:79" x14ac:dyDescent="0.3">
      <c r="BX162" s="85"/>
      <c r="BY162" s="85"/>
      <c r="BZ162" s="85"/>
      <c r="CA162" s="85"/>
    </row>
  </sheetData>
  <dataConsolidate/>
  <phoneticPr fontId="13" type="noConversion"/>
  <conditionalFormatting sqref="B1960">
    <cfRule type="expression" dxfId="76" priority="12">
      <formula>B1959&lt;&gt;_xludf.INDIRECT("B" &amp; _xludf.ROW() + 200)</formula>
    </cfRule>
  </conditionalFormatting>
  <conditionalFormatting sqref="B162:L185 B50:G161 I161:J161 J155:J160 L138:L161">
    <cfRule type="expression" dxfId="75" priority="14">
      <formula>#REF!&lt;&gt;_xludf.INDIRECT(_xludf.ADDRESS(_xludf.ROW()-200,_xludf.COLUMN()))</formula>
    </cfRule>
  </conditionalFormatting>
  <conditionalFormatting sqref="H200">
    <cfRule type="expression" dxfId="74" priority="16">
      <formula>#REF!&lt;&gt;_xludf.INDIRECT(_xludf.ADDRESS(_xludf.ROW()-200,_xludf.COLUMN()))</formula>
    </cfRule>
  </conditionalFormatting>
  <conditionalFormatting sqref="D187">
    <cfRule type="expression" dxfId="73" priority="19">
      <formula>#REF!&lt;&gt;_xludf.INDIRECT(_xludf.ADDRESS(_xludf.ROW()-200,_xludf.COLUMN()))</formula>
    </cfRule>
  </conditionalFormatting>
  <conditionalFormatting sqref="G202:G208 H201:H208 G191:G200 B191:F208 H191:H199 I191:L208">
    <cfRule type="expression" dxfId="72" priority="20">
      <formula>B23&lt;&gt;_xludf.INDIRECT(_xludf.ADDRESS(_xludf.ROW()-200,_xludf.COLUMN()))</formula>
    </cfRule>
  </conditionalFormatting>
  <conditionalFormatting sqref="G201">
    <cfRule type="expression" dxfId="71" priority="29">
      <formula>H32&lt;&gt;_xludf.INDIRECT(_xludf.ADDRESS(_xludf.ROW()-200,_xludf.COLUMN()))</formula>
    </cfRule>
  </conditionalFormatting>
  <conditionalFormatting sqref="F187:G190 C187:C190 D188:E190 C186:G186 I186:L190">
    <cfRule type="expression" dxfId="70" priority="30">
      <formula>B18&lt;&gt;_xludf.INDIRECT(_xludf.ADDRESS(_xludf.ROW()-200,_xludf.COLUMN()))</formula>
    </cfRule>
  </conditionalFormatting>
  <conditionalFormatting sqref="B186:B190 H186:H190">
    <cfRule type="expression" dxfId="69" priority="37">
      <formula>#REF!&lt;&gt;_xludf.INDIRECT(_xludf.ADDRESS(_xludf.ROW()-200,_xludf.COLUMN()))</formula>
    </cfRule>
  </conditionalFormatting>
  <conditionalFormatting sqref="E187">
    <cfRule type="expression" dxfId="68" priority="40">
      <formula>C19&lt;&gt;_xludf.INDIRECT(_xludf.ADDRESS(_xludf.ROW()-200,_xludf.COLUMN()))</formula>
    </cfRule>
  </conditionalFormatting>
  <conditionalFormatting sqref="AQ50:AV160 AY155:AY160 BA138:BA160">
    <cfRule type="expression" dxfId="67" priority="2">
      <formula>#REF!&lt;&gt;_xludf.INDIRECT(_xludf.ADDRESS(_xludf.ROW()-200,_xludf.COLUMN()))</formula>
    </cfRule>
  </conditionalFormatting>
  <conditionalFormatting sqref="CG50:CL160 CO155:CO160 CQ138:CQ160">
    <cfRule type="expression" dxfId="66" priority="1">
      <formula>#REF!&lt;&gt;_xludf.INDIRECT(_xludf.ADDRESS(_xludf.ROW()-200,_xludf.COLUMN()))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1</xdr:col>
                    <xdr:colOff>7620</xdr:colOff>
                    <xdr:row>0</xdr:row>
                    <xdr:rowOff>121920</xdr:rowOff>
                  </from>
                  <to>
                    <xdr:col>4</xdr:col>
                    <xdr:colOff>137160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8</xdr:row>
                    <xdr:rowOff>160020</xdr:rowOff>
                  </from>
                  <to>
                    <xdr:col>2</xdr:col>
                    <xdr:colOff>678180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1</xdr:col>
                    <xdr:colOff>30480</xdr:colOff>
                    <xdr:row>7</xdr:row>
                    <xdr:rowOff>30480</xdr:rowOff>
                  </from>
                  <to>
                    <xdr:col>1</xdr:col>
                    <xdr:colOff>1074420</xdr:colOff>
                    <xdr:row>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13</xdr:col>
                    <xdr:colOff>38100</xdr:colOff>
                    <xdr:row>11</xdr:row>
                    <xdr:rowOff>22860</xdr:rowOff>
                  </from>
                  <to>
                    <xdr:col>14</xdr:col>
                    <xdr:colOff>1341120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7</xdr:col>
                    <xdr:colOff>281940</xdr:colOff>
                    <xdr:row>11</xdr:row>
                    <xdr:rowOff>30480</xdr:rowOff>
                  </from>
                  <to>
                    <xdr:col>9</xdr:col>
                    <xdr:colOff>784860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save_MP_Data">
                <anchor moveWithCells="1" sizeWithCells="1">
                  <from>
                    <xdr:col>10</xdr:col>
                    <xdr:colOff>45720</xdr:colOff>
                    <xdr:row>11</xdr:row>
                    <xdr:rowOff>22860</xdr:rowOff>
                  </from>
                  <to>
                    <xdr:col>12</xdr:col>
                    <xdr:colOff>731520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down_TP_Structures">
              <controlPr defaultSize="0" autoLine="0" autoPict="0" macro="[0]!load_TP_Data">
                <anchor moveWithCells="1">
                  <from>
                    <xdr:col>42</xdr:col>
                    <xdr:colOff>38100</xdr:colOff>
                    <xdr:row>8</xdr:row>
                    <xdr:rowOff>160020</xdr:rowOff>
                  </from>
                  <to>
                    <xdr:col>44</xdr:col>
                    <xdr:colOff>373380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load_TP_DB">
                <anchor moveWithCells="1" sizeWithCells="1">
                  <from>
                    <xdr:col>42</xdr:col>
                    <xdr:colOff>30480</xdr:colOff>
                    <xdr:row>7</xdr:row>
                    <xdr:rowOff>30480</xdr:rowOff>
                  </from>
                  <to>
                    <xdr:col>42</xdr:col>
                    <xdr:colOff>800100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Button 23">
              <controlPr defaultSize="0" print="0" autoFill="0" autoPict="0" macro="[0]!save_TP_Data">
                <anchor moveWithCells="1" sizeWithCells="1">
                  <from>
                    <xdr:col>54</xdr:col>
                    <xdr:colOff>38100</xdr:colOff>
                    <xdr:row>11</xdr:row>
                    <xdr:rowOff>22860</xdr:rowOff>
                  </from>
                  <to>
                    <xdr:col>55</xdr:col>
                    <xdr:colOff>1341120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Button 24">
              <controlPr defaultSize="0" print="0" autoFill="0" autoPict="0" macro="[0]!delete_TP_Data">
                <anchor moveWithCells="1" sizeWithCells="1">
                  <from>
                    <xdr:col>48</xdr:col>
                    <xdr:colOff>281940</xdr:colOff>
                    <xdr:row>11</xdr:row>
                    <xdr:rowOff>30480</xdr:rowOff>
                  </from>
                  <to>
                    <xdr:col>50</xdr:col>
                    <xdr:colOff>784860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4" name="Button 25">
              <controlPr defaultSize="0" print="0" autoFill="0" autoPict="0" macro="[0]!save_MP_Data">
                <anchor moveWithCells="1" sizeWithCells="1">
                  <from>
                    <xdr:col>51</xdr:col>
                    <xdr:colOff>45720</xdr:colOff>
                    <xdr:row>11</xdr:row>
                    <xdr:rowOff>22860</xdr:rowOff>
                  </from>
                  <to>
                    <xdr:col>53</xdr:col>
                    <xdr:colOff>731520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5" name="Dropdown_TOWER_Structures">
              <controlPr defaultSize="0" autoLine="0" autoPict="0" macro="[0]!load_TOWER_Data">
                <anchor moveWithCells="1">
                  <from>
                    <xdr:col>84</xdr:col>
                    <xdr:colOff>38100</xdr:colOff>
                    <xdr:row>8</xdr:row>
                    <xdr:rowOff>160020</xdr:rowOff>
                  </from>
                  <to>
                    <xdr:col>86</xdr:col>
                    <xdr:colOff>381000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6" name="Button 27">
              <controlPr defaultSize="0" print="0" autoFill="0" autoPict="0" macro="[0]!load_TOWER_DB">
                <anchor moveWithCells="1" sizeWithCells="1">
                  <from>
                    <xdr:col>83</xdr:col>
                    <xdr:colOff>30480</xdr:colOff>
                    <xdr:row>7</xdr:row>
                    <xdr:rowOff>30480</xdr:rowOff>
                  </from>
                  <to>
                    <xdr:col>83</xdr:col>
                    <xdr:colOff>800100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7" name="Button 28">
              <controlPr defaultSize="0" print="0" autoFill="0" autoPict="0" macro="[0]!save_TOWER_Data">
                <anchor moveWithCells="1" sizeWithCells="1">
                  <from>
                    <xdr:col>96</xdr:col>
                    <xdr:colOff>38100</xdr:colOff>
                    <xdr:row>11</xdr:row>
                    <xdr:rowOff>22860</xdr:rowOff>
                  </from>
                  <to>
                    <xdr:col>97</xdr:col>
                    <xdr:colOff>1341120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8" name="Button 29">
              <controlPr defaultSize="0" print="0" autoFill="0" autoPict="0" macro="[0]!delete_TOWER_Data">
                <anchor moveWithCells="1" sizeWithCells="1">
                  <from>
                    <xdr:col>90</xdr:col>
                    <xdr:colOff>281940</xdr:colOff>
                    <xdr:row>11</xdr:row>
                    <xdr:rowOff>30480</xdr:rowOff>
                  </from>
                  <to>
                    <xdr:col>92</xdr:col>
                    <xdr:colOff>784860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19" name="Button 30">
              <controlPr defaultSize="0" print="0" autoFill="0" autoPict="0" macro="[0]!save_TOWER_Data">
                <anchor moveWithCells="1" sizeWithCells="1">
                  <from>
                    <xdr:col>93</xdr:col>
                    <xdr:colOff>45720</xdr:colOff>
                    <xdr:row>11</xdr:row>
                    <xdr:rowOff>22860</xdr:rowOff>
                  </from>
                  <to>
                    <xdr:col>95</xdr:col>
                    <xdr:colOff>731520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0" name="Button 31">
              <controlPr defaultSize="0" print="0" autoFill="0" autoPict="0" macro="[0]!reload_MP_DB">
                <anchor moveWithCells="1" sizeWithCells="1">
                  <from>
                    <xdr:col>1</xdr:col>
                    <xdr:colOff>1143000</xdr:colOff>
                    <xdr:row>7</xdr:row>
                    <xdr:rowOff>38100</xdr:rowOff>
                  </from>
                  <to>
                    <xdr:col>2</xdr:col>
                    <xdr:colOff>15240</xdr:colOff>
                    <xdr:row>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1" name="Button 32">
              <controlPr defaultSize="0" print="0" autoFill="0" autoPict="0" macro="[0]!reload_TP_DB">
                <anchor moveWithCells="1" sizeWithCells="1">
                  <from>
                    <xdr:col>42</xdr:col>
                    <xdr:colOff>838200</xdr:colOff>
                    <xdr:row>7</xdr:row>
                    <xdr:rowOff>15240</xdr:rowOff>
                  </from>
                  <to>
                    <xdr:col>43</xdr:col>
                    <xdr:colOff>0</xdr:colOff>
                    <xdr:row>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2" name="Button 33">
              <controlPr defaultSize="0" print="0" autoFill="0" autoPict="0" macro="[0]!reload_TOWER_DB">
                <anchor moveWithCells="1" sizeWithCells="1">
                  <from>
                    <xdr:col>84</xdr:col>
                    <xdr:colOff>815340</xdr:colOff>
                    <xdr:row>7</xdr:row>
                    <xdr:rowOff>22860</xdr:rowOff>
                  </from>
                  <to>
                    <xdr:col>85</xdr:col>
                    <xdr:colOff>7620</xdr:colOff>
                    <xdr:row>7</xdr:row>
                    <xdr:rowOff>259080</xdr:rowOff>
                  </to>
                </anchor>
              </controlPr>
            </control>
          </mc:Choice>
        </mc:AlternateContent>
      </controls>
    </mc:Choice>
  </mc:AlternateContent>
  <tableParts count="24"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3:V443"/>
  <sheetViews>
    <sheetView tabSelected="1" topLeftCell="D1" workbookViewId="0">
      <selection activeCell="K10" sqref="K10"/>
    </sheetView>
  </sheetViews>
  <sheetFormatPr baseColWidth="10" defaultColWidth="14.44140625" defaultRowHeight="14.4" x14ac:dyDescent="0.3"/>
  <cols>
    <col min="1" max="14" width="14.44140625" style="104"/>
    <col min="15" max="15" width="17.77734375" style="109" customWidth="1"/>
    <col min="16" max="16" width="14.5546875" style="109" customWidth="1"/>
    <col min="17" max="17" width="32.33203125" style="109" customWidth="1"/>
    <col min="18" max="18" width="13.5546875" style="104" customWidth="1"/>
    <col min="19" max="19" width="13" style="104" customWidth="1"/>
    <col min="20" max="20" width="14.44140625" style="104" customWidth="1"/>
    <col min="21" max="21" width="11.5546875" style="104" customWidth="1"/>
    <col min="22" max="22" width="17.77734375" style="104" customWidth="1"/>
    <col min="23" max="16384" width="14.44140625" style="104"/>
  </cols>
  <sheetData>
    <row r="3" spans="2:22" x14ac:dyDescent="0.3">
      <c r="B3" s="104" t="s">
        <v>1</v>
      </c>
      <c r="C3" s="104" t="s">
        <v>185</v>
      </c>
      <c r="D3" s="104" t="s">
        <v>182</v>
      </c>
      <c r="E3" s="104" t="s">
        <v>146</v>
      </c>
      <c r="F3" s="104" t="s">
        <v>147</v>
      </c>
      <c r="G3" s="104" t="s">
        <v>148</v>
      </c>
      <c r="H3" s="104" t="s">
        <v>149</v>
      </c>
      <c r="I3" s="104" t="s">
        <v>150</v>
      </c>
      <c r="J3" s="104" t="s">
        <v>184</v>
      </c>
      <c r="K3" s="104" t="s">
        <v>9</v>
      </c>
      <c r="L3" s="104" t="s">
        <v>10</v>
      </c>
      <c r="M3" s="104" t="s">
        <v>12</v>
      </c>
      <c r="O3" s="109" t="s">
        <v>185</v>
      </c>
      <c r="P3" s="109" t="s">
        <v>135</v>
      </c>
      <c r="Q3" s="109" t="s">
        <v>136</v>
      </c>
      <c r="R3" s="104" t="s">
        <v>137</v>
      </c>
      <c r="S3" s="104" t="s">
        <v>138</v>
      </c>
      <c r="T3" s="104" t="s">
        <v>139</v>
      </c>
      <c r="U3" s="104" t="s">
        <v>66</v>
      </c>
      <c r="V3" s="104" t="s">
        <v>140</v>
      </c>
    </row>
    <row r="4" spans="2:22" x14ac:dyDescent="0.3">
      <c r="B4" s="104">
        <v>1</v>
      </c>
      <c r="C4" s="104" t="s">
        <v>120</v>
      </c>
      <c r="D4" s="104">
        <v>1</v>
      </c>
      <c r="E4" s="104">
        <v>107.71</v>
      </c>
      <c r="F4" s="104">
        <v>104.50999999999999</v>
      </c>
      <c r="G4" s="104">
        <v>8</v>
      </c>
      <c r="H4" s="104">
        <v>8</v>
      </c>
      <c r="I4" s="104">
        <v>115</v>
      </c>
      <c r="J4" s="105">
        <v>71.650947048598056</v>
      </c>
      <c r="K4" s="106">
        <f>IFERROR(WHOLE_STRUCTURE[[#This Row],[Bottom '[mLAT']]]-WHOLE_STRUCTURE[[#This Row],[D, top '[m']]], "")</f>
        <v>96.509999999999991</v>
      </c>
      <c r="L4" s="107">
        <f>IFERROR(-(WHOLE_STRUCTURE[[#This Row],[D, bottom '[m']]]-WHOLE_STRUCTURE[[#This Row],[D, top '[m']]])/(WHOLE_STRUCTURE[[#This Row],[Bottom '[mLAT']]]-WHOLE_STRUCTURE[[#This Row],[Top '[mLAT']]]),"")</f>
        <v>0</v>
      </c>
      <c r="M4" s="105">
        <f>IFERROR((WHOLE_STRUCTURE[[#This Row],[D, bottom '[m']]]+WHOLE_STRUCTURE[[#This Row],[D, top '[m']]])/(2*WHOLE_STRUCTURE[[#This Row],[t '[mm']]]/1000),"")</f>
        <v>69.565217391304344</v>
      </c>
      <c r="O4" s="110" t="s">
        <v>120</v>
      </c>
      <c r="P4" s="109" t="s">
        <v>175</v>
      </c>
      <c r="Q4" s="109" t="s">
        <v>163</v>
      </c>
      <c r="R4" s="104">
        <v>106.50999999999999</v>
      </c>
      <c r="S4" s="104">
        <v>1.1000000000000001</v>
      </c>
      <c r="T4" s="104" t="s">
        <v>141</v>
      </c>
      <c r="U4" s="104" t="s">
        <v>145</v>
      </c>
    </row>
    <row r="5" spans="2:22" x14ac:dyDescent="0.3">
      <c r="B5" s="104">
        <v>2</v>
      </c>
      <c r="C5" s="104" t="s">
        <v>120</v>
      </c>
      <c r="D5" s="104">
        <v>2</v>
      </c>
      <c r="E5" s="104">
        <v>104.50999999999999</v>
      </c>
      <c r="F5" s="104">
        <v>101.31</v>
      </c>
      <c r="G5" s="104">
        <v>8</v>
      </c>
      <c r="H5" s="104">
        <v>8</v>
      </c>
      <c r="I5" s="104">
        <v>115</v>
      </c>
      <c r="J5" s="105">
        <v>71.65094704859807</v>
      </c>
      <c r="K5" s="106">
        <f>IFERROR(WHOLE_STRUCTURE[[#This Row],[Bottom '[mLAT']]]-WHOLE_STRUCTURE[[#This Row],[D, top '[m']]], "")</f>
        <v>93.31</v>
      </c>
      <c r="L5" s="107">
        <f>IFERROR(-(WHOLE_STRUCTURE[[#This Row],[D, bottom '[m']]]-WHOLE_STRUCTURE[[#This Row],[D, top '[m']]])/(WHOLE_STRUCTURE[[#This Row],[Bottom '[mLAT']]]-WHOLE_STRUCTURE[[#This Row],[Top '[mLAT']]]),"")</f>
        <v>0</v>
      </c>
      <c r="M5" s="105">
        <f>IFERROR((WHOLE_STRUCTURE[[#This Row],[D, bottom '[m']]]+WHOLE_STRUCTURE[[#This Row],[D, top '[m']]])/(2*WHOLE_STRUCTURE[[#This Row],[t '[mm']]]/1000),"")</f>
        <v>69.565217391304344</v>
      </c>
      <c r="O5" s="110" t="s">
        <v>120</v>
      </c>
      <c r="P5" s="109" t="s">
        <v>177</v>
      </c>
      <c r="Q5" s="109" t="s">
        <v>178</v>
      </c>
      <c r="R5" s="104">
        <v>106.41</v>
      </c>
      <c r="S5" s="104">
        <v>1.1499999999999999</v>
      </c>
      <c r="T5" s="104" t="s">
        <v>141</v>
      </c>
      <c r="U5" s="104" t="s">
        <v>145</v>
      </c>
    </row>
    <row r="6" spans="2:22" x14ac:dyDescent="0.3">
      <c r="B6" s="104">
        <v>3</v>
      </c>
      <c r="C6" s="104" t="s">
        <v>120</v>
      </c>
      <c r="D6" s="104">
        <v>3</v>
      </c>
      <c r="E6" s="104">
        <v>101.31</v>
      </c>
      <c r="F6" s="104">
        <v>98.11</v>
      </c>
      <c r="G6" s="104">
        <v>8</v>
      </c>
      <c r="H6" s="104">
        <v>8</v>
      </c>
      <c r="I6" s="104">
        <v>125</v>
      </c>
      <c r="J6" s="105">
        <v>77.78269251022968</v>
      </c>
      <c r="K6" s="106">
        <f>IFERROR(WHOLE_STRUCTURE[[#This Row],[Bottom '[mLAT']]]-WHOLE_STRUCTURE[[#This Row],[D, top '[m']]], "")</f>
        <v>90.11</v>
      </c>
      <c r="L6" s="107">
        <f>IFERROR(-(WHOLE_STRUCTURE[[#This Row],[D, bottom '[m']]]-WHOLE_STRUCTURE[[#This Row],[D, top '[m']]])/(WHOLE_STRUCTURE[[#This Row],[Bottom '[mLAT']]]-WHOLE_STRUCTURE[[#This Row],[Top '[mLAT']]]),"")</f>
        <v>0</v>
      </c>
      <c r="M6" s="105">
        <f>IFERROR((WHOLE_STRUCTURE[[#This Row],[D, bottom '[m']]]+WHOLE_STRUCTURE[[#This Row],[D, top '[m']]])/(2*WHOLE_STRUCTURE[[#This Row],[t '[mm']]]/1000),"")</f>
        <v>64</v>
      </c>
      <c r="O6" s="110" t="s">
        <v>120</v>
      </c>
      <c r="P6" s="109" t="s">
        <v>176</v>
      </c>
      <c r="Q6" s="109" t="s">
        <v>165</v>
      </c>
      <c r="R6" s="104">
        <v>105.50999999999999</v>
      </c>
      <c r="S6" s="104">
        <v>1.45</v>
      </c>
      <c r="T6" s="104" t="s">
        <v>141</v>
      </c>
      <c r="U6" s="104" t="s">
        <v>142</v>
      </c>
    </row>
    <row r="7" spans="2:22" x14ac:dyDescent="0.3">
      <c r="B7" s="104">
        <v>4</v>
      </c>
      <c r="C7" s="104" t="s">
        <v>120</v>
      </c>
      <c r="D7" s="104">
        <v>4</v>
      </c>
      <c r="E7" s="104">
        <v>98.11</v>
      </c>
      <c r="F7" s="104">
        <v>94.61</v>
      </c>
      <c r="G7" s="104">
        <v>8</v>
      </c>
      <c r="H7" s="104">
        <v>8.44</v>
      </c>
      <c r="I7" s="104">
        <v>125</v>
      </c>
      <c r="J7" s="105">
        <v>87.451513315320625</v>
      </c>
      <c r="K7" s="106">
        <f>IFERROR(WHOLE_STRUCTURE[[#This Row],[Bottom '[mLAT']]]-WHOLE_STRUCTURE[[#This Row],[D, top '[m']]], "")</f>
        <v>86.61</v>
      </c>
      <c r="L7" s="107">
        <f>IFERROR(-(WHOLE_STRUCTURE[[#This Row],[D, bottom '[m']]]-WHOLE_STRUCTURE[[#This Row],[D, top '[m']]])/(WHOLE_STRUCTURE[[#This Row],[Bottom '[mLAT']]]-WHOLE_STRUCTURE[[#This Row],[Top '[mLAT']]]),"")</f>
        <v>0.12571428571428558</v>
      </c>
      <c r="M7" s="105">
        <f>IFERROR((WHOLE_STRUCTURE[[#This Row],[D, bottom '[m']]]+WHOLE_STRUCTURE[[#This Row],[D, top '[m']]])/(2*WHOLE_STRUCTURE[[#This Row],[t '[mm']]]/1000),"")</f>
        <v>65.759999999999991</v>
      </c>
      <c r="O7" s="110" t="s">
        <v>120</v>
      </c>
      <c r="P7" s="109" t="s">
        <v>168</v>
      </c>
      <c r="Q7" s="109" t="s">
        <v>167</v>
      </c>
      <c r="R7" s="104">
        <v>90.03</v>
      </c>
      <c r="S7" s="104">
        <v>2</v>
      </c>
      <c r="T7" s="104" t="s">
        <v>143</v>
      </c>
      <c r="U7" s="104" t="s">
        <v>144</v>
      </c>
      <c r="V7" s="104">
        <v>0.85199999999999998</v>
      </c>
    </row>
    <row r="8" spans="2:22" x14ac:dyDescent="0.3">
      <c r="B8" s="104">
        <v>5</v>
      </c>
      <c r="C8" s="104" t="s">
        <v>120</v>
      </c>
      <c r="D8" s="104">
        <v>5</v>
      </c>
      <c r="E8" s="104">
        <v>94.61</v>
      </c>
      <c r="F8" s="104">
        <v>91.11</v>
      </c>
      <c r="G8" s="104">
        <v>8.44</v>
      </c>
      <c r="H8" s="104">
        <v>8.8800000000000008</v>
      </c>
      <c r="I8" s="104">
        <v>106</v>
      </c>
      <c r="J8" s="105">
        <v>78.363815648494651</v>
      </c>
      <c r="K8" s="106">
        <f>IFERROR(WHOLE_STRUCTURE[[#This Row],[Bottom '[mLAT']]]-WHOLE_STRUCTURE[[#This Row],[D, top '[m']]], "")</f>
        <v>82.67</v>
      </c>
      <c r="L8" s="107">
        <f>IFERROR(-(WHOLE_STRUCTURE[[#This Row],[D, bottom '[m']]]-WHOLE_STRUCTURE[[#This Row],[D, top '[m']]])/(WHOLE_STRUCTURE[[#This Row],[Bottom '[mLAT']]]-WHOLE_STRUCTURE[[#This Row],[Top '[mLAT']]]),"")</f>
        <v>0.12571428571428608</v>
      </c>
      <c r="M8" s="105">
        <f>IFERROR((WHOLE_STRUCTURE[[#This Row],[D, bottom '[m']]]+WHOLE_STRUCTURE[[#This Row],[D, top '[m']]])/(2*WHOLE_STRUCTURE[[#This Row],[t '[mm']]]/1000),"")</f>
        <v>81.698113207547181</v>
      </c>
      <c r="O8" s="110" t="s">
        <v>120</v>
      </c>
      <c r="P8" s="109" t="s">
        <v>179</v>
      </c>
      <c r="Q8" s="109" t="s">
        <v>169</v>
      </c>
      <c r="R8" s="104">
        <v>79.16</v>
      </c>
      <c r="S8" s="104">
        <v>1.56</v>
      </c>
      <c r="T8" s="104" t="s">
        <v>143</v>
      </c>
      <c r="U8" s="104" t="s">
        <v>144</v>
      </c>
    </row>
    <row r="9" spans="2:22" x14ac:dyDescent="0.3">
      <c r="B9" s="104">
        <v>6</v>
      </c>
      <c r="C9" s="104" t="s">
        <v>120</v>
      </c>
      <c r="D9" s="104">
        <v>6</v>
      </c>
      <c r="E9" s="104">
        <v>91.11</v>
      </c>
      <c r="F9" s="104">
        <v>87.61</v>
      </c>
      <c r="G9" s="104">
        <v>8.8800000000000008</v>
      </c>
      <c r="H9" s="104">
        <v>9.31</v>
      </c>
      <c r="I9" s="104">
        <v>116</v>
      </c>
      <c r="J9" s="105">
        <v>90.017391490804997</v>
      </c>
      <c r="K9" s="106">
        <f>IFERROR(WHOLE_STRUCTURE[[#This Row],[Bottom '[mLAT']]]-WHOLE_STRUCTURE[[#This Row],[D, top '[m']]], "")</f>
        <v>78.73</v>
      </c>
      <c r="L9" s="107">
        <f>IFERROR(-(WHOLE_STRUCTURE[[#This Row],[D, bottom '[m']]]-WHOLE_STRUCTURE[[#This Row],[D, top '[m']]])/(WHOLE_STRUCTURE[[#This Row],[Bottom '[mLAT']]]-WHOLE_STRUCTURE[[#This Row],[Top '[mLAT']]]),"")</f>
        <v>0.12285714285714278</v>
      </c>
      <c r="M9" s="105">
        <f>IFERROR((WHOLE_STRUCTURE[[#This Row],[D, bottom '[m']]]+WHOLE_STRUCTURE[[#This Row],[D, top '[m']]])/(2*WHOLE_STRUCTURE[[#This Row],[t '[mm']]]/1000),"")</f>
        <v>78.40517241379311</v>
      </c>
      <c r="O9" s="110" t="s">
        <v>120</v>
      </c>
      <c r="P9" s="109" t="s">
        <v>180</v>
      </c>
      <c r="Q9" s="109" t="s">
        <v>171</v>
      </c>
      <c r="R9" s="104">
        <v>78.66</v>
      </c>
      <c r="S9" s="104">
        <v>1.25</v>
      </c>
      <c r="T9" s="104" t="s">
        <v>143</v>
      </c>
      <c r="U9" s="104" t="s">
        <v>142</v>
      </c>
    </row>
    <row r="10" spans="2:22" x14ac:dyDescent="0.3">
      <c r="B10" s="104">
        <v>7</v>
      </c>
      <c r="C10" s="104" t="s">
        <v>120</v>
      </c>
      <c r="D10" s="104">
        <v>7</v>
      </c>
      <c r="E10" s="104">
        <v>87.61</v>
      </c>
      <c r="F10" s="104">
        <v>84.11</v>
      </c>
      <c r="G10" s="104">
        <v>9.31</v>
      </c>
      <c r="H10" s="104">
        <v>9.75</v>
      </c>
      <c r="I10" s="104">
        <v>103</v>
      </c>
      <c r="J10" s="105">
        <v>83.917240618083355</v>
      </c>
      <c r="K10" s="106">
        <f>IFERROR(WHOLE_STRUCTURE[[#This Row],[Bottom '[mLAT']]]-WHOLE_STRUCTURE[[#This Row],[D, top '[m']]], "")</f>
        <v>74.8</v>
      </c>
      <c r="L10" s="107">
        <f>IFERROR(-(WHOLE_STRUCTURE[[#This Row],[D, bottom '[m']]]-WHOLE_STRUCTURE[[#This Row],[D, top '[m']]])/(WHOLE_STRUCTURE[[#This Row],[Bottom '[mLAT']]]-WHOLE_STRUCTURE[[#This Row],[Top '[mLAT']]]),"")</f>
        <v>0.12571428571428558</v>
      </c>
      <c r="M10" s="105">
        <f>IFERROR((WHOLE_STRUCTURE[[#This Row],[D, bottom '[m']]]+WHOLE_STRUCTURE[[#This Row],[D, top '[m']]])/(2*WHOLE_STRUCTURE[[#This Row],[t '[mm']]]/1000),"")</f>
        <v>92.524271844660205</v>
      </c>
      <c r="O10" s="110" t="s">
        <v>120</v>
      </c>
      <c r="P10" s="109" t="s">
        <v>181</v>
      </c>
      <c r="Q10" s="109" t="s">
        <v>167</v>
      </c>
      <c r="R10" s="104">
        <v>68.28</v>
      </c>
      <c r="S10" s="104">
        <v>2</v>
      </c>
      <c r="T10" s="104" t="s">
        <v>143</v>
      </c>
      <c r="U10" s="104" t="s">
        <v>144</v>
      </c>
      <c r="V10" s="104">
        <v>0.84599999999999997</v>
      </c>
    </row>
    <row r="11" spans="2:22" x14ac:dyDescent="0.3">
      <c r="B11" s="104">
        <v>8</v>
      </c>
      <c r="C11" s="104" t="s">
        <v>120</v>
      </c>
      <c r="D11" s="104">
        <v>8</v>
      </c>
      <c r="E11" s="104">
        <v>84.11</v>
      </c>
      <c r="F11" s="104">
        <v>80.61</v>
      </c>
      <c r="G11" s="104">
        <v>9.75</v>
      </c>
      <c r="H11" s="104">
        <v>10.19</v>
      </c>
      <c r="I11" s="104">
        <v>98</v>
      </c>
      <c r="J11" s="105">
        <v>83.612591739084962</v>
      </c>
      <c r="K11" s="106">
        <f>IFERROR(WHOLE_STRUCTURE[[#This Row],[Bottom '[mLAT']]]-WHOLE_STRUCTURE[[#This Row],[D, top '[m']]], "")</f>
        <v>70.86</v>
      </c>
      <c r="L11" s="107">
        <f>IFERROR(-(WHOLE_STRUCTURE[[#This Row],[D, bottom '[m']]]-WHOLE_STRUCTURE[[#This Row],[D, top '[m']]])/(WHOLE_STRUCTURE[[#This Row],[Bottom '[mLAT']]]-WHOLE_STRUCTURE[[#This Row],[Top '[mLAT']]]),"")</f>
        <v>0.12571428571428558</v>
      </c>
      <c r="M11" s="105">
        <f>IFERROR((WHOLE_STRUCTURE[[#This Row],[D, bottom '[m']]]+WHOLE_STRUCTURE[[#This Row],[D, top '[m']]])/(2*WHOLE_STRUCTURE[[#This Row],[t '[mm']]]/1000),"")</f>
        <v>101.73469387755101</v>
      </c>
      <c r="O11" s="110" t="s">
        <v>120</v>
      </c>
      <c r="P11" s="109" t="s">
        <v>173</v>
      </c>
      <c r="Q11" s="109" t="s">
        <v>174</v>
      </c>
      <c r="R11" s="104">
        <v>64.61</v>
      </c>
      <c r="S11" s="104">
        <v>2.12</v>
      </c>
      <c r="T11" s="104" t="s">
        <v>143</v>
      </c>
      <c r="U11" s="104" t="s">
        <v>144</v>
      </c>
      <c r="V11" s="104">
        <v>0.84599999999999997</v>
      </c>
    </row>
    <row r="12" spans="2:22" x14ac:dyDescent="0.3">
      <c r="B12" s="104">
        <v>9</v>
      </c>
      <c r="C12" s="104" t="s">
        <v>120</v>
      </c>
      <c r="D12" s="104">
        <v>9</v>
      </c>
      <c r="E12" s="104">
        <v>80.61</v>
      </c>
      <c r="F12" s="104">
        <v>77.11</v>
      </c>
      <c r="G12" s="104">
        <v>10.19</v>
      </c>
      <c r="H12" s="104">
        <v>10.63</v>
      </c>
      <c r="I12" s="104">
        <v>98</v>
      </c>
      <c r="J12" s="105">
        <v>87.339246962464017</v>
      </c>
      <c r="K12" s="106">
        <f>IFERROR(WHOLE_STRUCTURE[[#This Row],[Bottom '[mLAT']]]-WHOLE_STRUCTURE[[#This Row],[D, top '[m']]], "")</f>
        <v>66.92</v>
      </c>
      <c r="L12" s="107">
        <f>IFERROR(-(WHOLE_STRUCTURE[[#This Row],[D, bottom '[m']]]-WHOLE_STRUCTURE[[#This Row],[D, top '[m']]])/(WHOLE_STRUCTURE[[#This Row],[Bottom '[mLAT']]]-WHOLE_STRUCTURE[[#This Row],[Top '[mLAT']]]),"")</f>
        <v>0.12571428571428608</v>
      </c>
      <c r="M12" s="105">
        <f>IFERROR((WHOLE_STRUCTURE[[#This Row],[D, bottom '[m']]]+WHOLE_STRUCTURE[[#This Row],[D, top '[m']]])/(2*WHOLE_STRUCTURE[[#This Row],[t '[mm']]]/1000),"")</f>
        <v>106.22448979591836</v>
      </c>
      <c r="O12" s="110" t="s">
        <v>183</v>
      </c>
      <c r="P12" s="110" t="s">
        <v>152</v>
      </c>
      <c r="Q12" s="110" t="s">
        <v>153</v>
      </c>
      <c r="R12" s="108">
        <v>20</v>
      </c>
      <c r="S12" s="108">
        <v>1.2</v>
      </c>
      <c r="T12" s="108" t="s">
        <v>143</v>
      </c>
      <c r="U12" s="108" t="s">
        <v>142</v>
      </c>
      <c r="V12" s="108"/>
    </row>
    <row r="13" spans="2:22" x14ac:dyDescent="0.3">
      <c r="B13" s="104">
        <v>10</v>
      </c>
      <c r="C13" s="104" t="s">
        <v>120</v>
      </c>
      <c r="D13" s="104">
        <v>10</v>
      </c>
      <c r="E13" s="104">
        <v>77.11</v>
      </c>
      <c r="F13" s="104">
        <v>73.61</v>
      </c>
      <c r="G13" s="104">
        <v>10.63</v>
      </c>
      <c r="H13" s="104">
        <v>11.06</v>
      </c>
      <c r="I13" s="104">
        <v>98</v>
      </c>
      <c r="J13" s="105">
        <v>91.023553831031933</v>
      </c>
      <c r="K13" s="106">
        <f>IFERROR(WHOLE_STRUCTURE[[#This Row],[Bottom '[mLAT']]]-WHOLE_STRUCTURE[[#This Row],[D, top '[m']]], "")</f>
        <v>62.98</v>
      </c>
      <c r="L13" s="107">
        <f>IFERROR(-(WHOLE_STRUCTURE[[#This Row],[D, bottom '[m']]]-WHOLE_STRUCTURE[[#This Row],[D, top '[m']]])/(WHOLE_STRUCTURE[[#This Row],[Bottom '[mLAT']]]-WHOLE_STRUCTURE[[#This Row],[Top '[mLAT']]]),"")</f>
        <v>0.12285714285714278</v>
      </c>
      <c r="M13" s="105">
        <f>IFERROR((WHOLE_STRUCTURE[[#This Row],[D, bottom '[m']]]+WHOLE_STRUCTURE[[#This Row],[D, top '[m']]])/(2*WHOLE_STRUCTURE[[#This Row],[t '[mm']]]/1000),"")</f>
        <v>110.66326530612245</v>
      </c>
      <c r="O13" s="110" t="s">
        <v>183</v>
      </c>
      <c r="P13" s="110" t="s">
        <v>187</v>
      </c>
      <c r="Q13" s="110" t="s">
        <v>188</v>
      </c>
      <c r="R13" s="108">
        <v>20</v>
      </c>
      <c r="S13" s="108">
        <v>1.25</v>
      </c>
      <c r="T13" s="108" t="s">
        <v>141</v>
      </c>
      <c r="U13" s="108" t="s">
        <v>142</v>
      </c>
      <c r="V13" s="108"/>
    </row>
    <row r="14" spans="2:22" x14ac:dyDescent="0.3">
      <c r="B14" s="104">
        <v>11</v>
      </c>
      <c r="C14" s="104" t="s">
        <v>120</v>
      </c>
      <c r="D14" s="104">
        <v>11</v>
      </c>
      <c r="E14" s="104">
        <v>73.61</v>
      </c>
      <c r="F14" s="104">
        <v>70.11</v>
      </c>
      <c r="G14" s="104">
        <v>11.06</v>
      </c>
      <c r="H14" s="104">
        <v>11.5</v>
      </c>
      <c r="I14" s="104">
        <v>98</v>
      </c>
      <c r="J14" s="105">
        <v>94.707860699599735</v>
      </c>
      <c r="K14" s="106">
        <f>IFERROR(WHOLE_STRUCTURE[[#This Row],[Bottom '[mLAT']]]-WHOLE_STRUCTURE[[#This Row],[D, top '[m']]], "")</f>
        <v>59.05</v>
      </c>
      <c r="L14" s="107">
        <f>IFERROR(-(WHOLE_STRUCTURE[[#This Row],[D, bottom '[m']]]-WHOLE_STRUCTURE[[#This Row],[D, top '[m']]])/(WHOLE_STRUCTURE[[#This Row],[Bottom '[mLAT']]]-WHOLE_STRUCTURE[[#This Row],[Top '[mLAT']]]),"")</f>
        <v>0.12571428571428558</v>
      </c>
      <c r="M14" s="105">
        <f>IFERROR((WHOLE_STRUCTURE[[#This Row],[D, bottom '[m']]]+WHOLE_STRUCTURE[[#This Row],[D, top '[m']]])/(2*WHOLE_STRUCTURE[[#This Row],[t '[mm']]]/1000),"")</f>
        <v>115.10204081632654</v>
      </c>
      <c r="O14" s="110" t="s">
        <v>183</v>
      </c>
      <c r="P14" s="110" t="s">
        <v>186</v>
      </c>
      <c r="Q14" s="110" t="s">
        <v>154</v>
      </c>
      <c r="R14" s="108">
        <v>19.5</v>
      </c>
      <c r="S14" s="108">
        <v>2</v>
      </c>
      <c r="T14" s="108" t="s">
        <v>143</v>
      </c>
      <c r="U14" s="108" t="s">
        <v>144</v>
      </c>
      <c r="V14" s="108">
        <v>0.85</v>
      </c>
    </row>
    <row r="15" spans="2:22" x14ac:dyDescent="0.3">
      <c r="B15" s="104">
        <v>12</v>
      </c>
      <c r="C15" s="104" t="s">
        <v>120</v>
      </c>
      <c r="D15" s="104">
        <v>12</v>
      </c>
      <c r="E15" s="104">
        <v>70.11</v>
      </c>
      <c r="F15" s="104">
        <v>66.61</v>
      </c>
      <c r="G15" s="104">
        <v>11.5</v>
      </c>
      <c r="H15" s="104">
        <v>11.5</v>
      </c>
      <c r="I15" s="104">
        <v>98</v>
      </c>
      <c r="J15" s="105">
        <v>96.571188311289418</v>
      </c>
      <c r="K15" s="106">
        <f>IFERROR(WHOLE_STRUCTURE[[#This Row],[Bottom '[mLAT']]]-WHOLE_STRUCTURE[[#This Row],[D, top '[m']]], "")</f>
        <v>55.11</v>
      </c>
      <c r="L15" s="107">
        <f>IFERROR(-(WHOLE_STRUCTURE[[#This Row],[D, bottom '[m']]]-WHOLE_STRUCTURE[[#This Row],[D, top '[m']]])/(WHOLE_STRUCTURE[[#This Row],[Bottom '[mLAT']]]-WHOLE_STRUCTURE[[#This Row],[Top '[mLAT']]]),"")</f>
        <v>0</v>
      </c>
      <c r="M15" s="105">
        <f>IFERROR((WHOLE_STRUCTURE[[#This Row],[D, bottom '[m']]]+WHOLE_STRUCTURE[[#This Row],[D, top '[m']]])/(2*WHOLE_STRUCTURE[[#This Row],[t '[mm']]]/1000),"")</f>
        <v>117.3469387755102</v>
      </c>
      <c r="O15" s="110" t="s">
        <v>183</v>
      </c>
      <c r="P15" s="110" t="s">
        <v>189</v>
      </c>
      <c r="Q15" s="110" t="s">
        <v>159</v>
      </c>
      <c r="R15" s="108">
        <v>15.73</v>
      </c>
      <c r="S15" s="108">
        <v>1.25</v>
      </c>
      <c r="T15" s="108" t="s">
        <v>141</v>
      </c>
      <c r="U15" s="108" t="s">
        <v>142</v>
      </c>
      <c r="V15" s="108"/>
    </row>
    <row r="16" spans="2:22" x14ac:dyDescent="0.3">
      <c r="B16" s="104">
        <v>13</v>
      </c>
      <c r="C16" s="104" t="s">
        <v>120</v>
      </c>
      <c r="D16" s="104">
        <v>13</v>
      </c>
      <c r="E16" s="104">
        <v>66.61</v>
      </c>
      <c r="F16" s="104">
        <v>63.309999999999995</v>
      </c>
      <c r="G16" s="104">
        <v>11.5</v>
      </c>
      <c r="H16" s="104">
        <v>11.5</v>
      </c>
      <c r="I16" s="104">
        <v>100</v>
      </c>
      <c r="J16" s="105">
        <v>92.894758483645816</v>
      </c>
      <c r="K16" s="106">
        <f>IFERROR(WHOLE_STRUCTURE[[#This Row],[Bottom '[mLAT']]]-WHOLE_STRUCTURE[[#This Row],[D, top '[m']]], "")</f>
        <v>51.809999999999995</v>
      </c>
      <c r="L16" s="107">
        <f>IFERROR(-(WHOLE_STRUCTURE[[#This Row],[D, bottom '[m']]]-WHOLE_STRUCTURE[[#This Row],[D, top '[m']]])/(WHOLE_STRUCTURE[[#This Row],[Bottom '[mLAT']]]-WHOLE_STRUCTURE[[#This Row],[Top '[mLAT']]]),"")</f>
        <v>0</v>
      </c>
      <c r="M16" s="105">
        <f>IFERROR((WHOLE_STRUCTURE[[#This Row],[D, bottom '[m']]]+WHOLE_STRUCTURE[[#This Row],[D, top '[m']]])/(2*WHOLE_STRUCTURE[[#This Row],[t '[mm']]]/1000),"")</f>
        <v>115</v>
      </c>
      <c r="O16" s="110" t="s">
        <v>183</v>
      </c>
      <c r="P16" s="110" t="s">
        <v>190</v>
      </c>
      <c r="Q16" s="110" t="s">
        <v>155</v>
      </c>
      <c r="R16" s="108">
        <v>12.5</v>
      </c>
      <c r="S16" s="108">
        <v>2</v>
      </c>
      <c r="T16" s="108" t="s">
        <v>143</v>
      </c>
      <c r="U16" s="108" t="s">
        <v>144</v>
      </c>
      <c r="V16" s="108">
        <v>0.85</v>
      </c>
    </row>
    <row r="17" spans="2:22" x14ac:dyDescent="0.3">
      <c r="B17" s="104">
        <v>14</v>
      </c>
      <c r="C17" s="104" t="s">
        <v>120</v>
      </c>
      <c r="D17" s="104">
        <v>14</v>
      </c>
      <c r="E17" s="104">
        <v>63.309999999999995</v>
      </c>
      <c r="F17" s="104">
        <v>60.01</v>
      </c>
      <c r="G17" s="104">
        <v>11.5</v>
      </c>
      <c r="H17" s="104">
        <v>11.5</v>
      </c>
      <c r="I17" s="104">
        <v>98</v>
      </c>
      <c r="J17" s="105">
        <v>91.052834693501453</v>
      </c>
      <c r="K17" s="106">
        <f>IFERROR(WHOLE_STRUCTURE[[#This Row],[Bottom '[mLAT']]]-WHOLE_STRUCTURE[[#This Row],[D, top '[m']]], "")</f>
        <v>48.51</v>
      </c>
      <c r="L17" s="107">
        <f>IFERROR(-(WHOLE_STRUCTURE[[#This Row],[D, bottom '[m']]]-WHOLE_STRUCTURE[[#This Row],[D, top '[m']]])/(WHOLE_STRUCTURE[[#This Row],[Bottom '[mLAT']]]-WHOLE_STRUCTURE[[#This Row],[Top '[mLAT']]]),"")</f>
        <v>0</v>
      </c>
      <c r="M17" s="105">
        <f>IFERROR((WHOLE_STRUCTURE[[#This Row],[D, bottom '[m']]]+WHOLE_STRUCTURE[[#This Row],[D, top '[m']]])/(2*WHOLE_STRUCTURE[[#This Row],[t '[mm']]]/1000),"")</f>
        <v>117.3469387755102</v>
      </c>
      <c r="O17" s="110" t="s">
        <v>183</v>
      </c>
      <c r="P17" s="110" t="s">
        <v>190</v>
      </c>
      <c r="Q17" s="110" t="s">
        <v>157</v>
      </c>
      <c r="R17" s="108">
        <v>12.5</v>
      </c>
      <c r="S17" s="108">
        <v>2</v>
      </c>
      <c r="T17" s="108" t="s">
        <v>143</v>
      </c>
      <c r="U17" s="108" t="s">
        <v>144</v>
      </c>
      <c r="V17" s="108">
        <v>0.85</v>
      </c>
    </row>
    <row r="18" spans="2:22" x14ac:dyDescent="0.3">
      <c r="B18" s="104">
        <v>15</v>
      </c>
      <c r="C18" s="104" t="s">
        <v>120</v>
      </c>
      <c r="D18" s="104">
        <v>15</v>
      </c>
      <c r="E18" s="104">
        <v>60.01</v>
      </c>
      <c r="F18" s="104">
        <v>56.709999999999994</v>
      </c>
      <c r="G18" s="104">
        <v>11.5</v>
      </c>
      <c r="H18" s="104">
        <v>11.5</v>
      </c>
      <c r="I18" s="104">
        <v>95</v>
      </c>
      <c r="J18" s="105">
        <v>88.288726708831263</v>
      </c>
      <c r="K18" s="106">
        <f>IFERROR(WHOLE_STRUCTURE[[#This Row],[Bottom '[mLAT']]]-WHOLE_STRUCTURE[[#This Row],[D, top '[m']]], "")</f>
        <v>45.209999999999994</v>
      </c>
      <c r="L18" s="107">
        <f>IFERROR(-(WHOLE_STRUCTURE[[#This Row],[D, bottom '[m']]]-WHOLE_STRUCTURE[[#This Row],[D, top '[m']]])/(WHOLE_STRUCTURE[[#This Row],[Bottom '[mLAT']]]-WHOLE_STRUCTURE[[#This Row],[Top '[mLAT']]]),"")</f>
        <v>0</v>
      </c>
      <c r="M18" s="105">
        <f>IFERROR((WHOLE_STRUCTURE[[#This Row],[D, bottom '[m']]]+WHOLE_STRUCTURE[[#This Row],[D, top '[m']]])/(2*WHOLE_STRUCTURE[[#This Row],[t '[mm']]]/1000),"")</f>
        <v>121.05263157894737</v>
      </c>
      <c r="O18" s="110" t="s">
        <v>183</v>
      </c>
      <c r="P18" s="110" t="s">
        <v>191</v>
      </c>
      <c r="Q18" s="110" t="s">
        <v>158</v>
      </c>
      <c r="R18" s="108">
        <v>12</v>
      </c>
      <c r="S18" s="108">
        <v>1.02</v>
      </c>
      <c r="T18" s="108" t="s">
        <v>143</v>
      </c>
      <c r="U18" s="108" t="s">
        <v>145</v>
      </c>
      <c r="V18" s="108"/>
    </row>
    <row r="19" spans="2:22" x14ac:dyDescent="0.3">
      <c r="B19" s="104">
        <v>16</v>
      </c>
      <c r="C19" s="104" t="s">
        <v>120</v>
      </c>
      <c r="D19" s="104">
        <v>16</v>
      </c>
      <c r="E19" s="104">
        <v>56.709999999999994</v>
      </c>
      <c r="F19" s="104">
        <v>53.41</v>
      </c>
      <c r="G19" s="104">
        <v>11.5</v>
      </c>
      <c r="H19" s="104">
        <v>11.5</v>
      </c>
      <c r="I19" s="104">
        <v>95</v>
      </c>
      <c r="J19" s="105">
        <v>88.288726708831078</v>
      </c>
      <c r="K19" s="106">
        <f>IFERROR(WHOLE_STRUCTURE[[#This Row],[Bottom '[mLAT']]]-WHOLE_STRUCTURE[[#This Row],[D, top '[m']]], "")</f>
        <v>41.91</v>
      </c>
      <c r="L19" s="107">
        <f>IFERROR(-(WHOLE_STRUCTURE[[#This Row],[D, bottom '[m']]]-WHOLE_STRUCTURE[[#This Row],[D, top '[m']]])/(WHOLE_STRUCTURE[[#This Row],[Bottom '[mLAT']]]-WHOLE_STRUCTURE[[#This Row],[Top '[mLAT']]]),"")</f>
        <v>0</v>
      </c>
      <c r="M19" s="105">
        <f>IFERROR((WHOLE_STRUCTURE[[#This Row],[D, bottom '[m']]]+WHOLE_STRUCTURE[[#This Row],[D, top '[m']]])/(2*WHOLE_STRUCTURE[[#This Row],[t '[mm']]]/1000),"")</f>
        <v>121.05263157894737</v>
      </c>
      <c r="O19" s="110" t="s">
        <v>183</v>
      </c>
      <c r="P19" s="110" t="s">
        <v>156</v>
      </c>
      <c r="Q19" s="110" t="s">
        <v>158</v>
      </c>
      <c r="R19" s="108">
        <v>8.5</v>
      </c>
      <c r="S19" s="108">
        <v>1</v>
      </c>
      <c r="T19" s="108" t="s">
        <v>143</v>
      </c>
      <c r="U19" s="108" t="s">
        <v>142</v>
      </c>
      <c r="V19" s="108"/>
    </row>
    <row r="20" spans="2:22" x14ac:dyDescent="0.3">
      <c r="B20" s="104">
        <v>17</v>
      </c>
      <c r="C20" s="104" t="s">
        <v>120</v>
      </c>
      <c r="D20" s="104">
        <v>17</v>
      </c>
      <c r="E20" s="104">
        <v>53.41</v>
      </c>
      <c r="F20" s="104">
        <v>50.209999999999994</v>
      </c>
      <c r="G20" s="104">
        <v>11.5</v>
      </c>
      <c r="H20" s="104">
        <v>11.5</v>
      </c>
      <c r="I20" s="104">
        <v>95</v>
      </c>
      <c r="J20" s="105">
        <v>85.613310747957556</v>
      </c>
      <c r="K20" s="106">
        <f>IFERROR(WHOLE_STRUCTURE[[#This Row],[Bottom '[mLAT']]]-WHOLE_STRUCTURE[[#This Row],[D, top '[m']]], "")</f>
        <v>38.709999999999994</v>
      </c>
      <c r="L20" s="107">
        <f>IFERROR(-(WHOLE_STRUCTURE[[#This Row],[D, bottom '[m']]]-WHOLE_STRUCTURE[[#This Row],[D, top '[m']]])/(WHOLE_STRUCTURE[[#This Row],[Bottom '[mLAT']]]-WHOLE_STRUCTURE[[#This Row],[Top '[mLAT']]]),"")</f>
        <v>0</v>
      </c>
      <c r="M20" s="105">
        <f>IFERROR((WHOLE_STRUCTURE[[#This Row],[D, bottom '[m']]]+WHOLE_STRUCTURE[[#This Row],[D, top '[m']]])/(2*WHOLE_STRUCTURE[[#This Row],[t '[mm']]]/1000),"")</f>
        <v>121.05263157894737</v>
      </c>
      <c r="O20" s="110" t="s">
        <v>111</v>
      </c>
      <c r="P20" s="110" t="s">
        <v>162</v>
      </c>
      <c r="Q20" s="110" t="s">
        <v>163</v>
      </c>
      <c r="R20" s="108">
        <v>4.5999999999999996</v>
      </c>
      <c r="S20" s="108">
        <v>1.1000000000000001</v>
      </c>
      <c r="T20" s="108" t="s">
        <v>141</v>
      </c>
      <c r="U20" s="108" t="s">
        <v>142</v>
      </c>
      <c r="V20" s="108"/>
    </row>
    <row r="21" spans="2:22" x14ac:dyDescent="0.3">
      <c r="B21" s="104">
        <v>18</v>
      </c>
      <c r="C21" s="104" t="s">
        <v>120</v>
      </c>
      <c r="D21" s="104">
        <v>18</v>
      </c>
      <c r="E21" s="104">
        <v>50.209999999999994</v>
      </c>
      <c r="F21" s="104">
        <v>46.61</v>
      </c>
      <c r="G21" s="104">
        <v>11.5</v>
      </c>
      <c r="H21" s="104">
        <v>11.5</v>
      </c>
      <c r="I21" s="104">
        <v>93</v>
      </c>
      <c r="J21" s="105">
        <v>94.303825293907991</v>
      </c>
      <c r="K21" s="106">
        <f>IFERROR(WHOLE_STRUCTURE[[#This Row],[Bottom '[mLAT']]]-WHOLE_STRUCTURE[[#This Row],[D, top '[m']]], "")</f>
        <v>35.11</v>
      </c>
      <c r="L21" s="107">
        <f>IFERROR(-(WHOLE_STRUCTURE[[#This Row],[D, bottom '[m']]]-WHOLE_STRUCTURE[[#This Row],[D, top '[m']]])/(WHOLE_STRUCTURE[[#This Row],[Bottom '[mLAT']]]-WHOLE_STRUCTURE[[#This Row],[Top '[mLAT']]]),"")</f>
        <v>0</v>
      </c>
      <c r="M21" s="105">
        <f>IFERROR((WHOLE_STRUCTURE[[#This Row],[D, bottom '[m']]]+WHOLE_STRUCTURE[[#This Row],[D, top '[m']]])/(2*WHOLE_STRUCTURE[[#This Row],[t '[mm']]]/1000),"")</f>
        <v>123.65591397849462</v>
      </c>
      <c r="O21" s="110" t="s">
        <v>111</v>
      </c>
      <c r="P21" s="110" t="s">
        <v>164</v>
      </c>
      <c r="Q21" s="110" t="s">
        <v>165</v>
      </c>
      <c r="R21" s="108">
        <v>3.1</v>
      </c>
      <c r="S21" s="108">
        <v>1.25</v>
      </c>
      <c r="T21" s="108" t="s">
        <v>141</v>
      </c>
      <c r="U21" s="108" t="s">
        <v>142</v>
      </c>
      <c r="V21" s="108"/>
    </row>
    <row r="22" spans="2:22" x14ac:dyDescent="0.3">
      <c r="B22" s="104">
        <v>19</v>
      </c>
      <c r="C22" s="104" t="s">
        <v>120</v>
      </c>
      <c r="D22" s="104">
        <v>19</v>
      </c>
      <c r="E22" s="104">
        <v>46.61</v>
      </c>
      <c r="F22" s="104">
        <v>42.61</v>
      </c>
      <c r="G22" s="104">
        <v>11.5</v>
      </c>
      <c r="H22" s="104">
        <v>11.5</v>
      </c>
      <c r="I22" s="104">
        <v>93</v>
      </c>
      <c r="J22" s="105">
        <v>104.78202810434239</v>
      </c>
      <c r="K22" s="106">
        <f>IFERROR(WHOLE_STRUCTURE[[#This Row],[Bottom '[mLAT']]]-WHOLE_STRUCTURE[[#This Row],[D, top '[m']]], "")</f>
        <v>31.11</v>
      </c>
      <c r="L22" s="107">
        <f>IFERROR(-(WHOLE_STRUCTURE[[#This Row],[D, bottom '[m']]]-WHOLE_STRUCTURE[[#This Row],[D, top '[m']]])/(WHOLE_STRUCTURE[[#This Row],[Bottom '[mLAT']]]-WHOLE_STRUCTURE[[#This Row],[Top '[mLAT']]]),"")</f>
        <v>0</v>
      </c>
      <c r="M22" s="105">
        <f>IFERROR((WHOLE_STRUCTURE[[#This Row],[D, bottom '[m']]]+WHOLE_STRUCTURE[[#This Row],[D, top '[m']]])/(2*WHOLE_STRUCTURE[[#This Row],[t '[mm']]]/1000),"")</f>
        <v>123.65591397849462</v>
      </c>
      <c r="O22" s="110" t="s">
        <v>111</v>
      </c>
      <c r="P22" s="110" t="s">
        <v>166</v>
      </c>
      <c r="Q22" s="110" t="s">
        <v>167</v>
      </c>
      <c r="R22" s="108">
        <v>-12.36</v>
      </c>
      <c r="S22" s="108">
        <v>2</v>
      </c>
      <c r="T22" s="108" t="s">
        <v>143</v>
      </c>
      <c r="U22" s="108" t="s">
        <v>144</v>
      </c>
      <c r="V22" s="108">
        <v>0.85199999999999998</v>
      </c>
    </row>
    <row r="23" spans="2:22" x14ac:dyDescent="0.3">
      <c r="B23" s="104">
        <v>20</v>
      </c>
      <c r="C23" s="104" t="s">
        <v>120</v>
      </c>
      <c r="D23" s="104">
        <v>20</v>
      </c>
      <c r="E23" s="104">
        <v>42.61</v>
      </c>
      <c r="F23" s="104">
        <v>38.61</v>
      </c>
      <c r="G23" s="104">
        <v>11.5</v>
      </c>
      <c r="H23" s="104">
        <v>11.5</v>
      </c>
      <c r="I23" s="104">
        <v>93</v>
      </c>
      <c r="J23" s="105">
        <v>104.78202810434239</v>
      </c>
      <c r="K23" s="106">
        <f>IFERROR(WHOLE_STRUCTURE[[#This Row],[Bottom '[mLAT']]]-WHOLE_STRUCTURE[[#This Row],[D, top '[m']]], "")</f>
        <v>27.11</v>
      </c>
      <c r="L23" s="107">
        <f>IFERROR(-(WHOLE_STRUCTURE[[#This Row],[D, bottom '[m']]]-WHOLE_STRUCTURE[[#This Row],[D, top '[m']]])/(WHOLE_STRUCTURE[[#This Row],[Bottom '[mLAT']]]-WHOLE_STRUCTURE[[#This Row],[Top '[mLAT']]]),"")</f>
        <v>0</v>
      </c>
      <c r="M23" s="105">
        <f>IFERROR((WHOLE_STRUCTURE[[#This Row],[D, bottom '[m']]]+WHOLE_STRUCTURE[[#This Row],[D, top '[m']]])/(2*WHOLE_STRUCTURE[[#This Row],[t '[mm']]]/1000),"")</f>
        <v>123.65591397849462</v>
      </c>
      <c r="O23" s="110" t="s">
        <v>111</v>
      </c>
      <c r="P23" s="110" t="s">
        <v>168</v>
      </c>
      <c r="Q23" s="110" t="s">
        <v>169</v>
      </c>
      <c r="R23" s="108">
        <v>-22.72</v>
      </c>
      <c r="S23" s="108">
        <v>1.6</v>
      </c>
      <c r="T23" s="108" t="s">
        <v>143</v>
      </c>
      <c r="U23" s="108" t="s">
        <v>144</v>
      </c>
      <c r="V23" s="108"/>
    </row>
    <row r="24" spans="2:22" x14ac:dyDescent="0.3">
      <c r="B24" s="104">
        <v>21</v>
      </c>
      <c r="C24" s="104" t="s">
        <v>120</v>
      </c>
      <c r="D24" s="104">
        <v>21</v>
      </c>
      <c r="E24" s="104">
        <v>38.61</v>
      </c>
      <c r="F24" s="104">
        <v>34.61</v>
      </c>
      <c r="G24" s="104">
        <v>11.5</v>
      </c>
      <c r="H24" s="104">
        <v>11.5</v>
      </c>
      <c r="I24" s="104">
        <v>93</v>
      </c>
      <c r="J24" s="105">
        <v>104.78202810434239</v>
      </c>
      <c r="K24" s="106">
        <f>IFERROR(WHOLE_STRUCTURE[[#This Row],[Bottom '[mLAT']]]-WHOLE_STRUCTURE[[#This Row],[D, top '[m']]], "")</f>
        <v>23.11</v>
      </c>
      <c r="L24" s="107">
        <f>IFERROR(-(WHOLE_STRUCTURE[[#This Row],[D, bottom '[m']]]-WHOLE_STRUCTURE[[#This Row],[D, top '[m']]])/(WHOLE_STRUCTURE[[#This Row],[Bottom '[mLAT']]]-WHOLE_STRUCTURE[[#This Row],[Top '[mLAT']]]),"")</f>
        <v>0</v>
      </c>
      <c r="M24" s="105">
        <f>IFERROR((WHOLE_STRUCTURE[[#This Row],[D, bottom '[m']]]+WHOLE_STRUCTURE[[#This Row],[D, top '[m']]])/(2*WHOLE_STRUCTURE[[#This Row],[t '[mm']]]/1000),"")</f>
        <v>123.65591397849462</v>
      </c>
      <c r="O24" s="110" t="s">
        <v>111</v>
      </c>
      <c r="P24" s="110" t="s">
        <v>170</v>
      </c>
      <c r="Q24" s="110" t="s">
        <v>171</v>
      </c>
      <c r="R24" s="108">
        <v>-23.72</v>
      </c>
      <c r="S24" s="108">
        <v>1.25</v>
      </c>
      <c r="T24" s="108" t="s">
        <v>143</v>
      </c>
      <c r="U24" s="108" t="s">
        <v>142</v>
      </c>
      <c r="V24" s="108"/>
    </row>
    <row r="25" spans="2:22" x14ac:dyDescent="0.3">
      <c r="B25" s="104">
        <v>22</v>
      </c>
      <c r="C25" s="104" t="s">
        <v>120</v>
      </c>
      <c r="D25" s="104">
        <v>22</v>
      </c>
      <c r="E25" s="104">
        <v>34.61</v>
      </c>
      <c r="F25" s="104">
        <v>30.909999999999997</v>
      </c>
      <c r="G25" s="104">
        <v>11.5</v>
      </c>
      <c r="H25" s="104">
        <v>11.5</v>
      </c>
      <c r="I25" s="104">
        <v>96</v>
      </c>
      <c r="J25" s="105">
        <v>100.02362373883889</v>
      </c>
      <c r="K25" s="106">
        <f>IFERROR(WHOLE_STRUCTURE[[#This Row],[Bottom '[mLAT']]]-WHOLE_STRUCTURE[[#This Row],[D, top '[m']]], "")</f>
        <v>19.409999999999997</v>
      </c>
      <c r="L25" s="107">
        <f>IFERROR(-(WHOLE_STRUCTURE[[#This Row],[D, bottom '[m']]]-WHOLE_STRUCTURE[[#This Row],[D, top '[m']]])/(WHOLE_STRUCTURE[[#This Row],[Bottom '[mLAT']]]-WHOLE_STRUCTURE[[#This Row],[Top '[mLAT']]]),"")</f>
        <v>0</v>
      </c>
      <c r="M25" s="105">
        <f>IFERROR((WHOLE_STRUCTURE[[#This Row],[D, bottom '[m']]]+WHOLE_STRUCTURE[[#This Row],[D, top '[m']]])/(2*WHOLE_STRUCTURE[[#This Row],[t '[mm']]]/1000),"")</f>
        <v>119.79166666666666</v>
      </c>
      <c r="O25" s="110" t="s">
        <v>111</v>
      </c>
      <c r="P25" s="110" t="s">
        <v>172</v>
      </c>
      <c r="Q25" s="110" t="s">
        <v>167</v>
      </c>
      <c r="R25" s="108">
        <v>-34.07</v>
      </c>
      <c r="S25" s="108">
        <v>2</v>
      </c>
      <c r="T25" s="108" t="s">
        <v>143</v>
      </c>
      <c r="U25" s="108" t="s">
        <v>144</v>
      </c>
      <c r="V25" s="108">
        <v>0.84599999999999997</v>
      </c>
    </row>
    <row r="26" spans="2:22" x14ac:dyDescent="0.3">
      <c r="B26" s="104">
        <v>23</v>
      </c>
      <c r="C26" s="104" t="s">
        <v>120</v>
      </c>
      <c r="D26" s="104">
        <v>23</v>
      </c>
      <c r="E26" s="104">
        <v>30.909999999999997</v>
      </c>
      <c r="F26" s="104">
        <v>27.61</v>
      </c>
      <c r="G26" s="104">
        <v>11.5</v>
      </c>
      <c r="H26" s="104">
        <v>11.5</v>
      </c>
      <c r="I26" s="104">
        <v>96</v>
      </c>
      <c r="J26" s="105">
        <v>89.21025901031561</v>
      </c>
      <c r="K26" s="106">
        <f>IFERROR(WHOLE_STRUCTURE[[#This Row],[Bottom '[mLAT']]]-WHOLE_STRUCTURE[[#This Row],[D, top '[m']]], "")</f>
        <v>16.11</v>
      </c>
      <c r="L26" s="107">
        <f>IFERROR(-(WHOLE_STRUCTURE[[#This Row],[D, bottom '[m']]]-WHOLE_STRUCTURE[[#This Row],[D, top '[m']]])/(WHOLE_STRUCTURE[[#This Row],[Bottom '[mLAT']]]-WHOLE_STRUCTURE[[#This Row],[Top '[mLAT']]]),"")</f>
        <v>0</v>
      </c>
      <c r="M26" s="105">
        <f>IFERROR((WHOLE_STRUCTURE[[#This Row],[D, bottom '[m']]]+WHOLE_STRUCTURE[[#This Row],[D, top '[m']]])/(2*WHOLE_STRUCTURE[[#This Row],[t '[mm']]]/1000),"")</f>
        <v>119.79166666666666</v>
      </c>
      <c r="O26" s="110" t="s">
        <v>111</v>
      </c>
      <c r="P26" s="110" t="s">
        <v>173</v>
      </c>
      <c r="Q26" s="110" t="s">
        <v>174</v>
      </c>
      <c r="R26" s="108">
        <v>-40.43</v>
      </c>
      <c r="S26" s="108">
        <v>2.12</v>
      </c>
      <c r="T26" s="108" t="s">
        <v>143</v>
      </c>
      <c r="U26" s="108" t="s">
        <v>144</v>
      </c>
      <c r="V26" s="108">
        <v>0.84599999999999997</v>
      </c>
    </row>
    <row r="27" spans="2:22" x14ac:dyDescent="0.3">
      <c r="B27" s="104">
        <v>24</v>
      </c>
      <c r="C27" s="104" t="s">
        <v>120</v>
      </c>
      <c r="D27" s="104">
        <v>24</v>
      </c>
      <c r="E27" s="104">
        <v>27.61</v>
      </c>
      <c r="F27" s="104">
        <v>24.47</v>
      </c>
      <c r="G27" s="104">
        <v>11.5</v>
      </c>
      <c r="H27" s="104">
        <v>11.5</v>
      </c>
      <c r="I27" s="104">
        <v>100</v>
      </c>
      <c r="J27" s="105">
        <v>88.390770193529548</v>
      </c>
      <c r="K27" s="106">
        <f>IFERROR(WHOLE_STRUCTURE[[#This Row],[Bottom '[mLAT']]]-WHOLE_STRUCTURE[[#This Row],[D, top '[m']]], "")</f>
        <v>12.969999999999999</v>
      </c>
      <c r="L27" s="107">
        <f>IFERROR(-(WHOLE_STRUCTURE[[#This Row],[D, bottom '[m']]]-WHOLE_STRUCTURE[[#This Row],[D, top '[m']]])/(WHOLE_STRUCTURE[[#This Row],[Bottom '[mLAT']]]-WHOLE_STRUCTURE[[#This Row],[Top '[mLAT']]]),"")</f>
        <v>0</v>
      </c>
      <c r="M27" s="105">
        <f>IFERROR((WHOLE_STRUCTURE[[#This Row],[D, bottom '[m']]]+WHOLE_STRUCTURE[[#This Row],[D, top '[m']]])/(2*WHOLE_STRUCTURE[[#This Row],[t '[mm']]]/1000),"")</f>
        <v>115</v>
      </c>
      <c r="O27" s="110"/>
      <c r="P27" s="110"/>
      <c r="Q27" s="110"/>
      <c r="R27" s="108"/>
      <c r="S27" s="108"/>
      <c r="T27" s="108"/>
      <c r="U27" s="108"/>
      <c r="V27" s="108"/>
    </row>
    <row r="28" spans="2:22" x14ac:dyDescent="0.3">
      <c r="B28" s="104">
        <v>25</v>
      </c>
      <c r="C28" s="104" t="s">
        <v>120</v>
      </c>
      <c r="D28" s="104">
        <v>25</v>
      </c>
      <c r="E28" s="104">
        <v>24.47</v>
      </c>
      <c r="F28" s="104">
        <v>21.47</v>
      </c>
      <c r="G28" s="104">
        <v>11.5</v>
      </c>
      <c r="H28" s="104">
        <v>11.5</v>
      </c>
      <c r="I28" s="104">
        <v>105</v>
      </c>
      <c r="J28" s="105">
        <v>88.633378115407126</v>
      </c>
      <c r="K28" s="106">
        <f>IFERROR(WHOLE_STRUCTURE[[#This Row],[Bottom '[mLAT']]]-WHOLE_STRUCTURE[[#This Row],[D, top '[m']]], "")</f>
        <v>9.9699999999999989</v>
      </c>
      <c r="L28" s="107">
        <f>IFERROR(-(WHOLE_STRUCTURE[[#This Row],[D, bottom '[m']]]-WHOLE_STRUCTURE[[#This Row],[D, top '[m']]])/(WHOLE_STRUCTURE[[#This Row],[Bottom '[mLAT']]]-WHOLE_STRUCTURE[[#This Row],[Top '[mLAT']]]),"")</f>
        <v>0</v>
      </c>
      <c r="M28" s="105">
        <f>IFERROR((WHOLE_STRUCTURE[[#This Row],[D, bottom '[m']]]+WHOLE_STRUCTURE[[#This Row],[D, top '[m']]])/(2*WHOLE_STRUCTURE[[#This Row],[t '[mm']]]/1000),"")</f>
        <v>109.52380952380953</v>
      </c>
      <c r="O28" s="110"/>
      <c r="P28" s="110"/>
      <c r="Q28" s="110"/>
      <c r="R28" s="108"/>
      <c r="S28" s="108"/>
      <c r="T28" s="108"/>
      <c r="U28" s="108"/>
      <c r="V28" s="108"/>
    </row>
    <row r="29" spans="2:22" x14ac:dyDescent="0.3">
      <c r="B29" s="104">
        <v>26</v>
      </c>
      <c r="C29" s="104" t="s">
        <v>183</v>
      </c>
      <c r="D29" s="104">
        <v>1</v>
      </c>
      <c r="E29" s="104">
        <v>21.47</v>
      </c>
      <c r="F29" s="104">
        <v>17.5</v>
      </c>
      <c r="G29" s="104">
        <v>8</v>
      </c>
      <c r="H29" s="104">
        <v>8</v>
      </c>
      <c r="I29" s="104">
        <v>117</v>
      </c>
      <c r="J29" s="105">
        <v>90.414964019001843</v>
      </c>
      <c r="K29" s="106">
        <f>IFERROR(WHOLE_STRUCTURE[[#This Row],[Bottom '[mLAT']]]-WHOLE_STRUCTURE[[#This Row],[D, top '[m']]], "")</f>
        <v>9.5</v>
      </c>
      <c r="L29" s="107">
        <f>IFERROR(-(WHOLE_STRUCTURE[[#This Row],[D, bottom '[m']]]-WHOLE_STRUCTURE[[#This Row],[D, top '[m']]])/(WHOLE_STRUCTURE[[#This Row],[Bottom '[mLAT']]]-WHOLE_STRUCTURE[[#This Row],[Top '[mLAT']]]),"")</f>
        <v>0</v>
      </c>
      <c r="M29" s="105">
        <f>IFERROR((WHOLE_STRUCTURE[[#This Row],[D, bottom '[m']]]+WHOLE_STRUCTURE[[#This Row],[D, top '[m']]])/(2*WHOLE_STRUCTURE[[#This Row],[t '[mm']]]/1000),"")</f>
        <v>68.376068376068375</v>
      </c>
    </row>
    <row r="30" spans="2:22" x14ac:dyDescent="0.3">
      <c r="B30" s="104">
        <v>27</v>
      </c>
      <c r="C30" s="104" t="s">
        <v>183</v>
      </c>
      <c r="D30" s="104">
        <v>2</v>
      </c>
      <c r="E30" s="104">
        <v>17.5</v>
      </c>
      <c r="F30" s="104">
        <v>13.5</v>
      </c>
      <c r="G30" s="104">
        <v>8</v>
      </c>
      <c r="H30" s="104">
        <v>8</v>
      </c>
      <c r="I30" s="104">
        <v>117</v>
      </c>
      <c r="J30" s="105">
        <v>91.098200522923804</v>
      </c>
      <c r="K30" s="106">
        <f>IFERROR(WHOLE_STRUCTURE[[#This Row],[Bottom '[mLAT']]]-WHOLE_STRUCTURE[[#This Row],[D, top '[m']]], "")</f>
        <v>5.5</v>
      </c>
      <c r="L30" s="107">
        <f>IFERROR(-(WHOLE_STRUCTURE[[#This Row],[D, bottom '[m']]]-WHOLE_STRUCTURE[[#This Row],[D, top '[m']]])/(WHOLE_STRUCTURE[[#This Row],[Bottom '[mLAT']]]-WHOLE_STRUCTURE[[#This Row],[Top '[mLAT']]]),"")</f>
        <v>0</v>
      </c>
      <c r="M30" s="105">
        <f>IFERROR((WHOLE_STRUCTURE[[#This Row],[D, bottom '[m']]]+WHOLE_STRUCTURE[[#This Row],[D, top '[m']]])/(2*WHOLE_STRUCTURE[[#This Row],[t '[mm']]]/1000),"")</f>
        <v>68.376068376068375</v>
      </c>
    </row>
    <row r="31" spans="2:22" x14ac:dyDescent="0.3">
      <c r="B31" s="104">
        <v>28</v>
      </c>
      <c r="C31" s="104" t="s">
        <v>183</v>
      </c>
      <c r="D31" s="104">
        <v>3</v>
      </c>
      <c r="E31" s="104">
        <v>13.5</v>
      </c>
      <c r="F31" s="104">
        <v>9.5</v>
      </c>
      <c r="G31" s="104">
        <v>8</v>
      </c>
      <c r="H31" s="104">
        <v>8</v>
      </c>
      <c r="I31" s="104">
        <v>124</v>
      </c>
      <c r="J31" s="105">
        <v>96.462786400140487</v>
      </c>
      <c r="K31" s="106">
        <f>IFERROR(WHOLE_STRUCTURE[[#This Row],[Bottom '[mLAT']]]-WHOLE_STRUCTURE[[#This Row],[D, top '[m']]], "")</f>
        <v>1.5</v>
      </c>
      <c r="L31" s="107">
        <f>IFERROR(-(WHOLE_STRUCTURE[[#This Row],[D, bottom '[m']]]-WHOLE_STRUCTURE[[#This Row],[D, top '[m']]])/(WHOLE_STRUCTURE[[#This Row],[Bottom '[mLAT']]]-WHOLE_STRUCTURE[[#This Row],[Top '[mLAT']]]),"")</f>
        <v>0</v>
      </c>
      <c r="M31" s="105">
        <f>IFERROR((WHOLE_STRUCTURE[[#This Row],[D, bottom '[m']]]+WHOLE_STRUCTURE[[#This Row],[D, top '[m']]])/(2*WHOLE_STRUCTURE[[#This Row],[t '[mm']]]/1000),"")</f>
        <v>64.516129032258064</v>
      </c>
    </row>
    <row r="32" spans="2:22" x14ac:dyDescent="0.3">
      <c r="B32" s="104">
        <v>29</v>
      </c>
      <c r="C32" s="104" t="s">
        <v>183</v>
      </c>
      <c r="D32" s="104">
        <v>4</v>
      </c>
      <c r="E32" s="104">
        <v>9.5</v>
      </c>
      <c r="F32" s="104">
        <v>5.8</v>
      </c>
      <c r="G32" s="104">
        <v>8</v>
      </c>
      <c r="H32" s="104">
        <v>8</v>
      </c>
      <c r="I32" s="104">
        <v>120</v>
      </c>
      <c r="J32" s="105">
        <v>86.393606964885919</v>
      </c>
      <c r="K32" s="106">
        <f>IFERROR(WHOLE_STRUCTURE[[#This Row],[Bottom '[mLAT']]]-WHOLE_STRUCTURE[[#This Row],[D, top '[m']]], "")</f>
        <v>-2.2000000000000002</v>
      </c>
      <c r="L32" s="107">
        <f>IFERROR(-(WHOLE_STRUCTURE[[#This Row],[D, bottom '[m']]]-WHOLE_STRUCTURE[[#This Row],[D, top '[m']]])/(WHOLE_STRUCTURE[[#This Row],[Bottom '[mLAT']]]-WHOLE_STRUCTURE[[#This Row],[Top '[mLAT']]]),"")</f>
        <v>0</v>
      </c>
      <c r="M32" s="105">
        <f>IFERROR((WHOLE_STRUCTURE[[#This Row],[D, bottom '[m']]]+WHOLE_STRUCTURE[[#This Row],[D, top '[m']]])/(2*WHOLE_STRUCTURE[[#This Row],[t '[mm']]]/1000),"")</f>
        <v>66.666666666666671</v>
      </c>
    </row>
    <row r="33" spans="2:13" x14ac:dyDescent="0.3">
      <c r="B33" s="104">
        <v>30</v>
      </c>
      <c r="C33" s="104" t="s">
        <v>111</v>
      </c>
      <c r="D33" s="104">
        <v>1</v>
      </c>
      <c r="E33" s="104">
        <v>5.8</v>
      </c>
      <c r="F33" s="104">
        <v>2.6</v>
      </c>
      <c r="G33" s="104">
        <v>8</v>
      </c>
      <c r="H33" s="104">
        <v>8</v>
      </c>
      <c r="I33" s="104">
        <v>125</v>
      </c>
      <c r="J33" s="105">
        <v>77.78269251022968</v>
      </c>
      <c r="K33" s="106">
        <f>IFERROR(WHOLE_STRUCTURE[[#This Row],[Bottom '[mLAT']]]-WHOLE_STRUCTURE[[#This Row],[D, top '[m']]], "")</f>
        <v>-5.4</v>
      </c>
      <c r="L33" s="107">
        <f>IFERROR(-(WHOLE_STRUCTURE[[#This Row],[D, bottom '[m']]]-WHOLE_STRUCTURE[[#This Row],[D, top '[m']]])/(WHOLE_STRUCTURE[[#This Row],[Bottom '[mLAT']]]-WHOLE_STRUCTURE[[#This Row],[Top '[mLAT']]]),"")</f>
        <v>0</v>
      </c>
      <c r="M33" s="105">
        <f>IFERROR((WHOLE_STRUCTURE[[#This Row],[D, bottom '[m']]]+WHOLE_STRUCTURE[[#This Row],[D, top '[m']]])/(2*WHOLE_STRUCTURE[[#This Row],[t '[mm']]]/1000),"")</f>
        <v>64</v>
      </c>
    </row>
    <row r="34" spans="2:13" x14ac:dyDescent="0.3">
      <c r="B34" s="104">
        <v>31</v>
      </c>
      <c r="C34" s="104" t="s">
        <v>111</v>
      </c>
      <c r="D34" s="104">
        <v>2</v>
      </c>
      <c r="E34" s="104">
        <v>2.6</v>
      </c>
      <c r="F34" s="104">
        <v>-0.6</v>
      </c>
      <c r="G34" s="104">
        <v>8</v>
      </c>
      <c r="H34" s="104">
        <v>8</v>
      </c>
      <c r="I34" s="104">
        <v>116</v>
      </c>
      <c r="J34" s="105">
        <v>72.26483275080686</v>
      </c>
      <c r="K34" s="106">
        <f>IFERROR(WHOLE_STRUCTURE[[#This Row],[Bottom '[mLAT']]]-WHOLE_STRUCTURE[[#This Row],[D, top '[m']]], "")</f>
        <v>-8.6</v>
      </c>
      <c r="L34" s="107">
        <f>IFERROR(-(WHOLE_STRUCTURE[[#This Row],[D, bottom '[m']]]-WHOLE_STRUCTURE[[#This Row],[D, top '[m']]])/(WHOLE_STRUCTURE[[#This Row],[Bottom '[mLAT']]]-WHOLE_STRUCTURE[[#This Row],[Top '[mLAT']]]),"")</f>
        <v>0</v>
      </c>
      <c r="M34" s="105">
        <f>IFERROR((WHOLE_STRUCTURE[[#This Row],[D, bottom '[m']]]+WHOLE_STRUCTURE[[#This Row],[D, top '[m']]])/(2*WHOLE_STRUCTURE[[#This Row],[t '[mm']]]/1000),"")</f>
        <v>68.965517241379303</v>
      </c>
    </row>
    <row r="35" spans="2:13" x14ac:dyDescent="0.3">
      <c r="B35" s="104">
        <v>32</v>
      </c>
      <c r="C35" s="104" t="s">
        <v>111</v>
      </c>
      <c r="D35" s="104">
        <v>3</v>
      </c>
      <c r="E35" s="104">
        <v>-0.6</v>
      </c>
      <c r="F35" s="104">
        <v>-3.8</v>
      </c>
      <c r="G35" s="104">
        <v>8</v>
      </c>
      <c r="H35" s="104">
        <v>8</v>
      </c>
      <c r="I35" s="104">
        <v>125</v>
      </c>
      <c r="J35" s="105">
        <v>77.78269251022968</v>
      </c>
      <c r="K35" s="106">
        <f>IFERROR(WHOLE_STRUCTURE[[#This Row],[Bottom '[mLAT']]]-WHOLE_STRUCTURE[[#This Row],[D, top '[m']]], "")</f>
        <v>-11.8</v>
      </c>
      <c r="L35" s="107">
        <f>IFERROR(-(WHOLE_STRUCTURE[[#This Row],[D, bottom '[m']]]-WHOLE_STRUCTURE[[#This Row],[D, top '[m']]])/(WHOLE_STRUCTURE[[#This Row],[Bottom '[mLAT']]]-WHOLE_STRUCTURE[[#This Row],[Top '[mLAT']]]),"")</f>
        <v>0</v>
      </c>
      <c r="M35" s="105">
        <f>IFERROR((WHOLE_STRUCTURE[[#This Row],[D, bottom '[m']]]+WHOLE_STRUCTURE[[#This Row],[D, top '[m']]])/(2*WHOLE_STRUCTURE[[#This Row],[t '[mm']]]/1000),"")</f>
        <v>64</v>
      </c>
    </row>
    <row r="36" spans="2:13" x14ac:dyDescent="0.3">
      <c r="B36" s="104">
        <v>33</v>
      </c>
      <c r="C36" s="104" t="s">
        <v>111</v>
      </c>
      <c r="D36" s="104">
        <v>4</v>
      </c>
      <c r="E36" s="104">
        <v>-3.8</v>
      </c>
      <c r="F36" s="104">
        <v>-7.3</v>
      </c>
      <c r="G36" s="104">
        <v>8</v>
      </c>
      <c r="H36" s="104">
        <v>8.44</v>
      </c>
      <c r="I36" s="104">
        <v>125</v>
      </c>
      <c r="J36" s="105">
        <v>87.451513315320625</v>
      </c>
      <c r="K36" s="106">
        <f>IFERROR(WHOLE_STRUCTURE[[#This Row],[Bottom '[mLAT']]]-WHOLE_STRUCTURE[[#This Row],[D, top '[m']]], "")</f>
        <v>-15.3</v>
      </c>
      <c r="L36" s="107">
        <f>IFERROR(-(WHOLE_STRUCTURE[[#This Row],[D, bottom '[m']]]-WHOLE_STRUCTURE[[#This Row],[D, top '[m']]])/(WHOLE_STRUCTURE[[#This Row],[Bottom '[mLAT']]]-WHOLE_STRUCTURE[[#This Row],[Top '[mLAT']]]),"")</f>
        <v>0.12571428571428558</v>
      </c>
      <c r="M36" s="105">
        <f>IFERROR((WHOLE_STRUCTURE[[#This Row],[D, bottom '[m']]]+WHOLE_STRUCTURE[[#This Row],[D, top '[m']]])/(2*WHOLE_STRUCTURE[[#This Row],[t '[mm']]]/1000),"")</f>
        <v>65.759999999999991</v>
      </c>
    </row>
    <row r="37" spans="2:13" x14ac:dyDescent="0.3">
      <c r="B37" s="104">
        <v>34</v>
      </c>
      <c r="C37" s="104" t="s">
        <v>111</v>
      </c>
      <c r="D37" s="104">
        <v>5</v>
      </c>
      <c r="E37" s="104">
        <v>-7.3</v>
      </c>
      <c r="F37" s="104">
        <v>-10.8</v>
      </c>
      <c r="G37" s="104">
        <v>8.44</v>
      </c>
      <c r="H37" s="104">
        <v>8.8800000000000008</v>
      </c>
      <c r="I37" s="104">
        <v>106</v>
      </c>
      <c r="J37" s="105">
        <v>78.363815648494651</v>
      </c>
      <c r="K37" s="106">
        <f>IFERROR(WHOLE_STRUCTURE[[#This Row],[Bottom '[mLAT']]]-WHOLE_STRUCTURE[[#This Row],[D, top '[m']]], "")</f>
        <v>-19.240000000000002</v>
      </c>
      <c r="L37" s="107">
        <f>IFERROR(-(WHOLE_STRUCTURE[[#This Row],[D, bottom '[m']]]-WHOLE_STRUCTURE[[#This Row],[D, top '[m']]])/(WHOLE_STRUCTURE[[#This Row],[Bottom '[mLAT']]]-WHOLE_STRUCTURE[[#This Row],[Top '[mLAT']]]),"")</f>
        <v>0.12571428571428606</v>
      </c>
      <c r="M37" s="105">
        <f>IFERROR((WHOLE_STRUCTURE[[#This Row],[D, bottom '[m']]]+WHOLE_STRUCTURE[[#This Row],[D, top '[m']]])/(2*WHOLE_STRUCTURE[[#This Row],[t '[mm']]]/1000),"")</f>
        <v>81.698113207547181</v>
      </c>
    </row>
    <row r="38" spans="2:13" x14ac:dyDescent="0.3">
      <c r="B38" s="104">
        <v>35</v>
      </c>
      <c r="C38" s="104" t="s">
        <v>111</v>
      </c>
      <c r="D38" s="104">
        <v>6</v>
      </c>
      <c r="E38" s="104">
        <v>-10.8</v>
      </c>
      <c r="F38" s="104">
        <v>-14.3</v>
      </c>
      <c r="G38" s="104">
        <v>8.8800000000000008</v>
      </c>
      <c r="H38" s="104">
        <v>9.31</v>
      </c>
      <c r="I38" s="104">
        <v>116</v>
      </c>
      <c r="J38" s="105">
        <v>90.017391490804997</v>
      </c>
      <c r="K38" s="106">
        <f>IFERROR(WHOLE_STRUCTURE[[#This Row],[Bottom '[mLAT']]]-WHOLE_STRUCTURE[[#This Row],[D, top '[m']]], "")</f>
        <v>-23.18</v>
      </c>
      <c r="L38" s="107">
        <f>IFERROR(-(WHOLE_STRUCTURE[[#This Row],[D, bottom '[m']]]-WHOLE_STRUCTURE[[#This Row],[D, top '[m']]])/(WHOLE_STRUCTURE[[#This Row],[Bottom '[mLAT']]]-WHOLE_STRUCTURE[[#This Row],[Top '[mLAT']]]),"")</f>
        <v>0.12285714285714278</v>
      </c>
      <c r="M38" s="105">
        <f>IFERROR((WHOLE_STRUCTURE[[#This Row],[D, bottom '[m']]]+WHOLE_STRUCTURE[[#This Row],[D, top '[m']]])/(2*WHOLE_STRUCTURE[[#This Row],[t '[mm']]]/1000),"")</f>
        <v>78.40517241379311</v>
      </c>
    </row>
    <row r="39" spans="2:13" x14ac:dyDescent="0.3">
      <c r="B39" s="104">
        <v>36</v>
      </c>
      <c r="C39" s="104" t="s">
        <v>111</v>
      </c>
      <c r="D39" s="104">
        <v>7</v>
      </c>
      <c r="E39" s="104">
        <v>-14.3</v>
      </c>
      <c r="F39" s="104">
        <v>-17.8</v>
      </c>
      <c r="G39" s="104">
        <v>9.31</v>
      </c>
      <c r="H39" s="104">
        <v>9.75</v>
      </c>
      <c r="I39" s="104">
        <v>103</v>
      </c>
      <c r="J39" s="105">
        <v>83.917240618083355</v>
      </c>
      <c r="K39" s="106">
        <f>IFERROR(WHOLE_STRUCTURE[[#This Row],[Bottom '[mLAT']]]-WHOLE_STRUCTURE[[#This Row],[D, top '[m']]], "")</f>
        <v>-27.11</v>
      </c>
      <c r="L39" s="107">
        <f>IFERROR(-(WHOLE_STRUCTURE[[#This Row],[D, bottom '[m']]]-WHOLE_STRUCTURE[[#This Row],[D, top '[m']]])/(WHOLE_STRUCTURE[[#This Row],[Bottom '[mLAT']]]-WHOLE_STRUCTURE[[#This Row],[Top '[mLAT']]]),"")</f>
        <v>0.12571428571428558</v>
      </c>
      <c r="M39" s="105">
        <f>IFERROR((WHOLE_STRUCTURE[[#This Row],[D, bottom '[m']]]+WHOLE_STRUCTURE[[#This Row],[D, top '[m']]])/(2*WHOLE_STRUCTURE[[#This Row],[t '[mm']]]/1000),"")</f>
        <v>92.524271844660205</v>
      </c>
    </row>
    <row r="40" spans="2:13" x14ac:dyDescent="0.3">
      <c r="B40" s="104">
        <v>37</v>
      </c>
      <c r="C40" s="104" t="s">
        <v>111</v>
      </c>
      <c r="D40" s="104">
        <v>8</v>
      </c>
      <c r="E40" s="104">
        <v>-17.8</v>
      </c>
      <c r="F40" s="104">
        <v>-21.3</v>
      </c>
      <c r="G40" s="104">
        <v>9.75</v>
      </c>
      <c r="H40" s="104">
        <v>10.19</v>
      </c>
      <c r="I40" s="104">
        <v>98</v>
      </c>
      <c r="J40" s="105">
        <v>83.612591739084962</v>
      </c>
      <c r="K40" s="106">
        <f>IFERROR(WHOLE_STRUCTURE[[#This Row],[Bottom '[mLAT']]]-WHOLE_STRUCTURE[[#This Row],[D, top '[m']]], "")</f>
        <v>-31.05</v>
      </c>
      <c r="L40" s="107">
        <f>IFERROR(-(WHOLE_STRUCTURE[[#This Row],[D, bottom '[m']]]-WHOLE_STRUCTURE[[#This Row],[D, top '[m']]])/(WHOLE_STRUCTURE[[#This Row],[Bottom '[mLAT']]]-WHOLE_STRUCTURE[[#This Row],[Top '[mLAT']]]),"")</f>
        <v>0.12571428571428558</v>
      </c>
      <c r="M40" s="105">
        <f>IFERROR((WHOLE_STRUCTURE[[#This Row],[D, bottom '[m']]]+WHOLE_STRUCTURE[[#This Row],[D, top '[m']]])/(2*WHOLE_STRUCTURE[[#This Row],[t '[mm']]]/1000),"")</f>
        <v>101.73469387755101</v>
      </c>
    </row>
    <row r="41" spans="2:13" x14ac:dyDescent="0.3">
      <c r="B41" s="104">
        <v>38</v>
      </c>
      <c r="C41" s="104" t="s">
        <v>111</v>
      </c>
      <c r="D41" s="104">
        <v>9</v>
      </c>
      <c r="E41" s="104">
        <v>-21.3</v>
      </c>
      <c r="F41" s="104">
        <v>-24.8</v>
      </c>
      <c r="G41" s="104">
        <v>10.19</v>
      </c>
      <c r="H41" s="104">
        <v>10.63</v>
      </c>
      <c r="I41" s="104">
        <v>98</v>
      </c>
      <c r="J41" s="105">
        <v>87.339246962464017</v>
      </c>
      <c r="K41" s="106">
        <f>IFERROR(WHOLE_STRUCTURE[[#This Row],[Bottom '[mLAT']]]-WHOLE_STRUCTURE[[#This Row],[D, top '[m']]], "")</f>
        <v>-34.99</v>
      </c>
      <c r="L41" s="107">
        <f>IFERROR(-(WHOLE_STRUCTURE[[#This Row],[D, bottom '[m']]]-WHOLE_STRUCTURE[[#This Row],[D, top '[m']]])/(WHOLE_STRUCTURE[[#This Row],[Bottom '[mLAT']]]-WHOLE_STRUCTURE[[#This Row],[Top '[mLAT']]]),"")</f>
        <v>0.12571428571428608</v>
      </c>
      <c r="M41" s="105">
        <f>IFERROR((WHOLE_STRUCTURE[[#This Row],[D, bottom '[m']]]+WHOLE_STRUCTURE[[#This Row],[D, top '[m']]])/(2*WHOLE_STRUCTURE[[#This Row],[t '[mm']]]/1000),"")</f>
        <v>106.22448979591836</v>
      </c>
    </row>
    <row r="42" spans="2:13" x14ac:dyDescent="0.3">
      <c r="B42" s="104">
        <v>39</v>
      </c>
      <c r="C42" s="104" t="s">
        <v>111</v>
      </c>
      <c r="D42" s="104">
        <v>10</v>
      </c>
      <c r="E42" s="104">
        <v>-24.8</v>
      </c>
      <c r="F42" s="104">
        <v>-28.3</v>
      </c>
      <c r="G42" s="104">
        <v>10.63</v>
      </c>
      <c r="H42" s="104">
        <v>11.06</v>
      </c>
      <c r="I42" s="104">
        <v>98</v>
      </c>
      <c r="J42" s="105">
        <v>91.023553831031933</v>
      </c>
      <c r="K42" s="106">
        <f>IFERROR(WHOLE_STRUCTURE[[#This Row],[Bottom '[mLAT']]]-WHOLE_STRUCTURE[[#This Row],[D, top '[m']]], "")</f>
        <v>-38.93</v>
      </c>
      <c r="L42" s="107">
        <f>IFERROR(-(WHOLE_STRUCTURE[[#This Row],[D, bottom '[m']]]-WHOLE_STRUCTURE[[#This Row],[D, top '[m']]])/(WHOLE_STRUCTURE[[#This Row],[Bottom '[mLAT']]]-WHOLE_STRUCTURE[[#This Row],[Top '[mLAT']]]),"")</f>
        <v>0.12285714285714278</v>
      </c>
      <c r="M42" s="105">
        <f>IFERROR((WHOLE_STRUCTURE[[#This Row],[D, bottom '[m']]]+WHOLE_STRUCTURE[[#This Row],[D, top '[m']]])/(2*WHOLE_STRUCTURE[[#This Row],[t '[mm']]]/1000),"")</f>
        <v>110.66326530612245</v>
      </c>
    </row>
    <row r="43" spans="2:13" x14ac:dyDescent="0.3">
      <c r="B43" s="104">
        <v>40</v>
      </c>
      <c r="C43" s="104" t="s">
        <v>111</v>
      </c>
      <c r="D43" s="104">
        <v>11</v>
      </c>
      <c r="E43" s="104">
        <v>-28.3</v>
      </c>
      <c r="F43" s="104">
        <v>-31.8</v>
      </c>
      <c r="G43" s="104">
        <v>11.06</v>
      </c>
      <c r="H43" s="104">
        <v>11.5</v>
      </c>
      <c r="I43" s="104">
        <v>98</v>
      </c>
      <c r="J43" s="105">
        <v>94.707860699599735</v>
      </c>
      <c r="K43" s="106">
        <f>IFERROR(WHOLE_STRUCTURE[[#This Row],[Bottom '[mLAT']]]-WHOLE_STRUCTURE[[#This Row],[D, top '[m']]], "")</f>
        <v>-42.86</v>
      </c>
      <c r="L43" s="107">
        <f>IFERROR(-(WHOLE_STRUCTURE[[#This Row],[D, bottom '[m']]]-WHOLE_STRUCTURE[[#This Row],[D, top '[m']]])/(WHOLE_STRUCTURE[[#This Row],[Bottom '[mLAT']]]-WHOLE_STRUCTURE[[#This Row],[Top '[mLAT']]]),"")</f>
        <v>0.12571428571428558</v>
      </c>
      <c r="M43" s="105">
        <f>IFERROR((WHOLE_STRUCTURE[[#This Row],[D, bottom '[m']]]+WHOLE_STRUCTURE[[#This Row],[D, top '[m']]])/(2*WHOLE_STRUCTURE[[#This Row],[t '[mm']]]/1000),"")</f>
        <v>115.10204081632654</v>
      </c>
    </row>
    <row r="44" spans="2:13" x14ac:dyDescent="0.3">
      <c r="B44" s="104">
        <v>41</v>
      </c>
      <c r="C44" s="104" t="s">
        <v>111</v>
      </c>
      <c r="D44" s="104">
        <v>12</v>
      </c>
      <c r="E44" s="104">
        <v>-31.8</v>
      </c>
      <c r="F44" s="104">
        <v>-35.299999999999997</v>
      </c>
      <c r="G44" s="104">
        <v>11.5</v>
      </c>
      <c r="H44" s="104">
        <v>11.5</v>
      </c>
      <c r="I44" s="104">
        <v>98</v>
      </c>
      <c r="J44" s="105">
        <v>96.571188311289418</v>
      </c>
      <c r="K44" s="106">
        <f>IFERROR(WHOLE_STRUCTURE[[#This Row],[Bottom '[mLAT']]]-WHOLE_STRUCTURE[[#This Row],[D, top '[m']]], "")</f>
        <v>-46.8</v>
      </c>
      <c r="L44" s="107">
        <f>IFERROR(-(WHOLE_STRUCTURE[[#This Row],[D, bottom '[m']]]-WHOLE_STRUCTURE[[#This Row],[D, top '[m']]])/(WHOLE_STRUCTURE[[#This Row],[Bottom '[mLAT']]]-WHOLE_STRUCTURE[[#This Row],[Top '[mLAT']]]),"")</f>
        <v>0</v>
      </c>
      <c r="M44" s="105">
        <f>IFERROR((WHOLE_STRUCTURE[[#This Row],[D, bottom '[m']]]+WHOLE_STRUCTURE[[#This Row],[D, top '[m']]])/(2*WHOLE_STRUCTURE[[#This Row],[t '[mm']]]/1000),"")</f>
        <v>117.3469387755102</v>
      </c>
    </row>
    <row r="45" spans="2:13" x14ac:dyDescent="0.3">
      <c r="B45" s="104">
        <v>42</v>
      </c>
      <c r="C45" s="104" t="s">
        <v>111</v>
      </c>
      <c r="D45" s="104">
        <v>13</v>
      </c>
      <c r="E45" s="104">
        <v>-35.299999999999997</v>
      </c>
      <c r="F45" s="104">
        <v>-38.6</v>
      </c>
      <c r="G45" s="104">
        <v>11.5</v>
      </c>
      <c r="H45" s="104">
        <v>11.5</v>
      </c>
      <c r="I45" s="104">
        <v>100</v>
      </c>
      <c r="J45" s="105">
        <v>92.894758483645816</v>
      </c>
      <c r="K45" s="106">
        <f>IFERROR(WHOLE_STRUCTURE[[#This Row],[Bottom '[mLAT']]]-WHOLE_STRUCTURE[[#This Row],[D, top '[m']]], "")</f>
        <v>-50.1</v>
      </c>
      <c r="L45" s="107">
        <f>IFERROR(-(WHOLE_STRUCTURE[[#This Row],[D, bottom '[m']]]-WHOLE_STRUCTURE[[#This Row],[D, top '[m']]])/(WHOLE_STRUCTURE[[#This Row],[Bottom '[mLAT']]]-WHOLE_STRUCTURE[[#This Row],[Top '[mLAT']]]),"")</f>
        <v>0</v>
      </c>
      <c r="M45" s="105">
        <f>IFERROR((WHOLE_STRUCTURE[[#This Row],[D, bottom '[m']]]+WHOLE_STRUCTURE[[#This Row],[D, top '[m']]])/(2*WHOLE_STRUCTURE[[#This Row],[t '[mm']]]/1000),"")</f>
        <v>115</v>
      </c>
    </row>
    <row r="46" spans="2:13" x14ac:dyDescent="0.3">
      <c r="B46" s="104">
        <v>43</v>
      </c>
      <c r="C46" s="104" t="s">
        <v>111</v>
      </c>
      <c r="D46" s="104">
        <v>14</v>
      </c>
      <c r="E46" s="104">
        <v>-38.6</v>
      </c>
      <c r="F46" s="104">
        <v>-41.9</v>
      </c>
      <c r="G46" s="104">
        <v>11.5</v>
      </c>
      <c r="H46" s="104">
        <v>11.5</v>
      </c>
      <c r="I46" s="104">
        <v>98</v>
      </c>
      <c r="J46" s="105">
        <v>91.052834693501453</v>
      </c>
      <c r="K46" s="106">
        <f>IFERROR(WHOLE_STRUCTURE[[#This Row],[Bottom '[mLAT']]]-WHOLE_STRUCTURE[[#This Row],[D, top '[m']]], "")</f>
        <v>-53.4</v>
      </c>
      <c r="L46" s="107">
        <f>IFERROR(-(WHOLE_STRUCTURE[[#This Row],[D, bottom '[m']]]-WHOLE_STRUCTURE[[#This Row],[D, top '[m']]])/(WHOLE_STRUCTURE[[#This Row],[Bottom '[mLAT']]]-WHOLE_STRUCTURE[[#This Row],[Top '[mLAT']]]),"")</f>
        <v>0</v>
      </c>
      <c r="M46" s="105">
        <f>IFERROR((WHOLE_STRUCTURE[[#This Row],[D, bottom '[m']]]+WHOLE_STRUCTURE[[#This Row],[D, top '[m']]])/(2*WHOLE_STRUCTURE[[#This Row],[t '[mm']]]/1000),"")</f>
        <v>117.3469387755102</v>
      </c>
    </row>
    <row r="47" spans="2:13" x14ac:dyDescent="0.3">
      <c r="B47" s="104">
        <v>44</v>
      </c>
      <c r="C47" s="104" t="s">
        <v>111</v>
      </c>
      <c r="D47" s="104">
        <v>15</v>
      </c>
      <c r="E47" s="104">
        <v>-41.9</v>
      </c>
      <c r="F47" s="104">
        <v>-45.2</v>
      </c>
      <c r="G47" s="104">
        <v>11.5</v>
      </c>
      <c r="H47" s="104">
        <v>11.5</v>
      </c>
      <c r="I47" s="104">
        <v>95</v>
      </c>
      <c r="J47" s="105">
        <v>88.288726708831263</v>
      </c>
      <c r="K47" s="106">
        <f>IFERROR(WHOLE_STRUCTURE[[#This Row],[Bottom '[mLAT']]]-WHOLE_STRUCTURE[[#This Row],[D, top '[m']]], "")</f>
        <v>-56.7</v>
      </c>
      <c r="L47" s="107">
        <f>IFERROR(-(WHOLE_STRUCTURE[[#This Row],[D, bottom '[m']]]-WHOLE_STRUCTURE[[#This Row],[D, top '[m']]])/(WHOLE_STRUCTURE[[#This Row],[Bottom '[mLAT']]]-WHOLE_STRUCTURE[[#This Row],[Top '[mLAT']]]),"")</f>
        <v>0</v>
      </c>
      <c r="M47" s="105">
        <f>IFERROR((WHOLE_STRUCTURE[[#This Row],[D, bottom '[m']]]+WHOLE_STRUCTURE[[#This Row],[D, top '[m']]])/(2*WHOLE_STRUCTURE[[#This Row],[t '[mm']]]/1000),"")</f>
        <v>121.05263157894737</v>
      </c>
    </row>
    <row r="48" spans="2:13" x14ac:dyDescent="0.3">
      <c r="B48" s="104">
        <v>45</v>
      </c>
      <c r="C48" s="104" t="s">
        <v>111</v>
      </c>
      <c r="D48" s="104">
        <v>16</v>
      </c>
      <c r="E48" s="104">
        <v>-45.2</v>
      </c>
      <c r="F48" s="104">
        <v>-48.5</v>
      </c>
      <c r="G48" s="104">
        <v>11.5</v>
      </c>
      <c r="H48" s="104">
        <v>11.5</v>
      </c>
      <c r="I48" s="104">
        <v>95</v>
      </c>
      <c r="J48" s="105">
        <v>88.288726708831078</v>
      </c>
      <c r="K48" s="106">
        <f>IFERROR(WHOLE_STRUCTURE[[#This Row],[Bottom '[mLAT']]]-WHOLE_STRUCTURE[[#This Row],[D, top '[m']]], "")</f>
        <v>-60</v>
      </c>
      <c r="L48" s="107">
        <f>IFERROR(-(WHOLE_STRUCTURE[[#This Row],[D, bottom '[m']]]-WHOLE_STRUCTURE[[#This Row],[D, top '[m']]])/(WHOLE_STRUCTURE[[#This Row],[Bottom '[mLAT']]]-WHOLE_STRUCTURE[[#This Row],[Top '[mLAT']]]),"")</f>
        <v>0</v>
      </c>
      <c r="M48" s="105">
        <f>IFERROR((WHOLE_STRUCTURE[[#This Row],[D, bottom '[m']]]+WHOLE_STRUCTURE[[#This Row],[D, top '[m']]])/(2*WHOLE_STRUCTURE[[#This Row],[t '[mm']]]/1000),"")</f>
        <v>121.05263157894737</v>
      </c>
    </row>
    <row r="49" spans="2:13" x14ac:dyDescent="0.3">
      <c r="B49" s="104">
        <v>46</v>
      </c>
      <c r="C49" s="104" t="s">
        <v>111</v>
      </c>
      <c r="D49" s="104">
        <v>17</v>
      </c>
      <c r="E49" s="104">
        <v>-48.5</v>
      </c>
      <c r="F49" s="104">
        <v>-51.7</v>
      </c>
      <c r="G49" s="104">
        <v>11.5</v>
      </c>
      <c r="H49" s="104">
        <v>11.5</v>
      </c>
      <c r="I49" s="104">
        <v>95</v>
      </c>
      <c r="J49" s="105">
        <v>85.613310747957556</v>
      </c>
      <c r="K49" s="106">
        <f>IFERROR(WHOLE_STRUCTURE[[#This Row],[Bottom '[mLAT']]]-WHOLE_STRUCTURE[[#This Row],[D, top '[m']]], "")</f>
        <v>-63.2</v>
      </c>
      <c r="L49" s="107">
        <f>IFERROR(-(WHOLE_STRUCTURE[[#This Row],[D, bottom '[m']]]-WHOLE_STRUCTURE[[#This Row],[D, top '[m']]])/(WHOLE_STRUCTURE[[#This Row],[Bottom '[mLAT']]]-WHOLE_STRUCTURE[[#This Row],[Top '[mLAT']]]),"")</f>
        <v>0</v>
      </c>
      <c r="M49" s="105">
        <f>IFERROR((WHOLE_STRUCTURE[[#This Row],[D, bottom '[m']]]+WHOLE_STRUCTURE[[#This Row],[D, top '[m']]])/(2*WHOLE_STRUCTURE[[#This Row],[t '[mm']]]/1000),"")</f>
        <v>121.05263157894737</v>
      </c>
    </row>
    <row r="50" spans="2:13" x14ac:dyDescent="0.3">
      <c r="B50" s="104">
        <v>47</v>
      </c>
      <c r="C50" s="104" t="s">
        <v>111</v>
      </c>
      <c r="D50" s="104">
        <v>18</v>
      </c>
      <c r="E50" s="104">
        <v>-51.7</v>
      </c>
      <c r="F50" s="104">
        <v>-55.3</v>
      </c>
      <c r="G50" s="104">
        <v>11.5</v>
      </c>
      <c r="H50" s="104">
        <v>11.5</v>
      </c>
      <c r="I50" s="104">
        <v>93</v>
      </c>
      <c r="J50" s="105">
        <v>94.303825293907991</v>
      </c>
      <c r="K50" s="106">
        <f>IFERROR(WHOLE_STRUCTURE[[#This Row],[Bottom '[mLAT']]]-WHOLE_STRUCTURE[[#This Row],[D, top '[m']]], "")</f>
        <v>-66.8</v>
      </c>
      <c r="L50" s="107">
        <f>IFERROR(-(WHOLE_STRUCTURE[[#This Row],[D, bottom '[m']]]-WHOLE_STRUCTURE[[#This Row],[D, top '[m']]])/(WHOLE_STRUCTURE[[#This Row],[Bottom '[mLAT']]]-WHOLE_STRUCTURE[[#This Row],[Top '[mLAT']]]),"")</f>
        <v>0</v>
      </c>
      <c r="M50" s="105">
        <f>IFERROR((WHOLE_STRUCTURE[[#This Row],[D, bottom '[m']]]+WHOLE_STRUCTURE[[#This Row],[D, top '[m']]])/(2*WHOLE_STRUCTURE[[#This Row],[t '[mm']]]/1000),"")</f>
        <v>123.65591397849462</v>
      </c>
    </row>
    <row r="51" spans="2:13" x14ac:dyDescent="0.3">
      <c r="B51" s="104">
        <v>48</v>
      </c>
      <c r="C51" s="104" t="s">
        <v>111</v>
      </c>
      <c r="D51" s="104">
        <v>19</v>
      </c>
      <c r="E51" s="104">
        <v>-55.3</v>
      </c>
      <c r="F51" s="104">
        <v>-59.3</v>
      </c>
      <c r="G51" s="104">
        <v>11.5</v>
      </c>
      <c r="H51" s="104">
        <v>11.5</v>
      </c>
      <c r="I51" s="104">
        <v>93</v>
      </c>
      <c r="J51" s="105">
        <v>104.78202810434239</v>
      </c>
      <c r="K51" s="106">
        <f>IFERROR(WHOLE_STRUCTURE[[#This Row],[Bottom '[mLAT']]]-WHOLE_STRUCTURE[[#This Row],[D, top '[m']]], "")</f>
        <v>-70.8</v>
      </c>
      <c r="L51" s="107">
        <f>IFERROR(-(WHOLE_STRUCTURE[[#This Row],[D, bottom '[m']]]-WHOLE_STRUCTURE[[#This Row],[D, top '[m']]])/(WHOLE_STRUCTURE[[#This Row],[Bottom '[mLAT']]]-WHOLE_STRUCTURE[[#This Row],[Top '[mLAT']]]),"")</f>
        <v>0</v>
      </c>
      <c r="M51" s="105">
        <f>IFERROR((WHOLE_STRUCTURE[[#This Row],[D, bottom '[m']]]+WHOLE_STRUCTURE[[#This Row],[D, top '[m']]])/(2*WHOLE_STRUCTURE[[#This Row],[t '[mm']]]/1000),"")</f>
        <v>123.65591397849462</v>
      </c>
    </row>
    <row r="52" spans="2:13" x14ac:dyDescent="0.3">
      <c r="B52" s="104">
        <v>49</v>
      </c>
      <c r="C52" s="104" t="s">
        <v>111</v>
      </c>
      <c r="D52" s="104">
        <v>20</v>
      </c>
      <c r="E52" s="104">
        <v>-59.3</v>
      </c>
      <c r="F52" s="104">
        <v>-63.3</v>
      </c>
      <c r="G52" s="104">
        <v>11.5</v>
      </c>
      <c r="H52" s="104">
        <v>11.5</v>
      </c>
      <c r="I52" s="104">
        <v>93</v>
      </c>
      <c r="J52" s="105">
        <v>104.78202810434239</v>
      </c>
      <c r="K52" s="106">
        <f>IFERROR(WHOLE_STRUCTURE[[#This Row],[Bottom '[mLAT']]]-WHOLE_STRUCTURE[[#This Row],[D, top '[m']]], "")</f>
        <v>-74.8</v>
      </c>
      <c r="L52" s="107">
        <f>IFERROR(-(WHOLE_STRUCTURE[[#This Row],[D, bottom '[m']]]-WHOLE_STRUCTURE[[#This Row],[D, top '[m']]])/(WHOLE_STRUCTURE[[#This Row],[Bottom '[mLAT']]]-WHOLE_STRUCTURE[[#This Row],[Top '[mLAT']]]),"")</f>
        <v>0</v>
      </c>
      <c r="M52" s="105">
        <f>IFERROR((WHOLE_STRUCTURE[[#This Row],[D, bottom '[m']]]+WHOLE_STRUCTURE[[#This Row],[D, top '[m']]])/(2*WHOLE_STRUCTURE[[#This Row],[t '[mm']]]/1000),"")</f>
        <v>123.65591397849462</v>
      </c>
    </row>
    <row r="53" spans="2:13" x14ac:dyDescent="0.3">
      <c r="B53" s="104">
        <v>50</v>
      </c>
      <c r="C53" s="104" t="s">
        <v>111</v>
      </c>
      <c r="D53" s="104">
        <v>21</v>
      </c>
      <c r="E53" s="104">
        <v>-63.3</v>
      </c>
      <c r="F53" s="104">
        <v>-67.3</v>
      </c>
      <c r="G53" s="104">
        <v>11.5</v>
      </c>
      <c r="H53" s="104">
        <v>11.5</v>
      </c>
      <c r="I53" s="104">
        <v>93</v>
      </c>
      <c r="J53" s="105">
        <v>104.78202810434239</v>
      </c>
      <c r="K53" s="106">
        <f>IFERROR(WHOLE_STRUCTURE[[#This Row],[Bottom '[mLAT']]]-WHOLE_STRUCTURE[[#This Row],[D, top '[m']]], "")</f>
        <v>-78.8</v>
      </c>
      <c r="L53" s="107">
        <f>IFERROR(-(WHOLE_STRUCTURE[[#This Row],[D, bottom '[m']]]-WHOLE_STRUCTURE[[#This Row],[D, top '[m']]])/(WHOLE_STRUCTURE[[#This Row],[Bottom '[mLAT']]]-WHOLE_STRUCTURE[[#This Row],[Top '[mLAT']]]),"")</f>
        <v>0</v>
      </c>
      <c r="M53" s="105">
        <f>IFERROR((WHOLE_STRUCTURE[[#This Row],[D, bottom '[m']]]+WHOLE_STRUCTURE[[#This Row],[D, top '[m']]])/(2*WHOLE_STRUCTURE[[#This Row],[t '[mm']]]/1000),"")</f>
        <v>123.65591397849462</v>
      </c>
    </row>
    <row r="54" spans="2:13" x14ac:dyDescent="0.3">
      <c r="B54" s="104">
        <v>51</v>
      </c>
      <c r="C54" s="104" t="s">
        <v>111</v>
      </c>
      <c r="D54" s="104">
        <v>22</v>
      </c>
      <c r="E54" s="104">
        <v>-67.3</v>
      </c>
      <c r="F54" s="104">
        <v>-71</v>
      </c>
      <c r="G54" s="104">
        <v>11.5</v>
      </c>
      <c r="H54" s="104">
        <v>11.5</v>
      </c>
      <c r="I54" s="104">
        <v>96</v>
      </c>
      <c r="J54" s="105">
        <v>100.02362373883889</v>
      </c>
      <c r="K54" s="107" t="str">
        <f>IFERROR(WHOLE_STRUCTURE[[#This Row],[Bottom '[mLAT']]]-WHOLE_STRUCTURE[[#This Row],[D, top '[m']]], "")</f>
        <v/>
      </c>
      <c r="L54" s="107" t="str">
        <f>IFERROR(-(WHOLE_STRUCTURE[[#This Row],[D, bottom '[m']]]-WHOLE_STRUCTURE[[#This Row],[D, top '[m']]])/(WHOLE_STRUCTURE[[#This Row],[Bottom '[mLAT']]]-WHOLE_STRUCTURE[[#This Row],[Top '[mLAT']]]),"")</f>
        <v/>
      </c>
      <c r="M54" s="107" t="str">
        <f>IFERROR((WHOLE_STRUCTURE[[#This Row],[D, bottom '[m']]]+WHOLE_STRUCTURE[[#This Row],[D, top '[m']]])/(2*WHOLE_STRUCTURE[[#This Row],[t '[mm']]]/1000),"")</f>
        <v/>
      </c>
    </row>
    <row r="55" spans="2:13" x14ac:dyDescent="0.3">
      <c r="B55" s="104">
        <v>52</v>
      </c>
      <c r="C55" s="104" t="s">
        <v>111</v>
      </c>
      <c r="D55" s="104">
        <v>23</v>
      </c>
      <c r="E55" s="104">
        <v>-71</v>
      </c>
      <c r="F55" s="104">
        <v>-74.3</v>
      </c>
      <c r="G55" s="104">
        <v>11.5</v>
      </c>
      <c r="H55" s="104">
        <v>11.5</v>
      </c>
      <c r="I55" s="104">
        <v>100</v>
      </c>
      <c r="J55" s="105">
        <v>92.894758483645603</v>
      </c>
      <c r="K55" s="107" t="str">
        <f>IFERROR(WHOLE_STRUCTURE[[#This Row],[Bottom '[mLAT']]]-WHOLE_STRUCTURE[[#This Row],[D, top '[m']]], "")</f>
        <v/>
      </c>
      <c r="L55" s="107" t="str">
        <f>IFERROR(-(WHOLE_STRUCTURE[[#This Row],[D, bottom '[m']]]-WHOLE_STRUCTURE[[#This Row],[D, top '[m']]])/(WHOLE_STRUCTURE[[#This Row],[Bottom '[mLAT']]]-WHOLE_STRUCTURE[[#This Row],[Top '[mLAT']]]),"")</f>
        <v/>
      </c>
      <c r="M55" s="107" t="str">
        <f>IFERROR((WHOLE_STRUCTURE[[#This Row],[D, bottom '[m']]]+WHOLE_STRUCTURE[[#This Row],[D, top '[m']]])/(2*WHOLE_STRUCTURE[[#This Row],[t '[mm']]]/1000),"")</f>
        <v/>
      </c>
    </row>
    <row r="56" spans="2:13" x14ac:dyDescent="0.3">
      <c r="B56" s="104">
        <v>53</v>
      </c>
      <c r="C56" s="104" t="s">
        <v>111</v>
      </c>
      <c r="D56" s="104">
        <v>24</v>
      </c>
      <c r="E56" s="104">
        <v>-74.3</v>
      </c>
      <c r="F56" s="104">
        <v>-77.430000000000007</v>
      </c>
      <c r="G56" s="104">
        <v>11.5</v>
      </c>
      <c r="H56" s="104">
        <v>11.5</v>
      </c>
      <c r="I56" s="104">
        <v>110</v>
      </c>
      <c r="J56" s="105">
        <v>96.835180300378241</v>
      </c>
      <c r="K56" s="107" t="str">
        <f>IFERROR(WHOLE_STRUCTURE[[#This Row],[Bottom '[mLAT']]]-WHOLE_STRUCTURE[[#This Row],[D, top '[m']]], "")</f>
        <v/>
      </c>
      <c r="L56" s="107" t="str">
        <f>IFERROR(-(WHOLE_STRUCTURE[[#This Row],[D, bottom '[m']]]-WHOLE_STRUCTURE[[#This Row],[D, top '[m']]])/(WHOLE_STRUCTURE[[#This Row],[Bottom '[mLAT']]]-WHOLE_STRUCTURE[[#This Row],[Top '[mLAT']]]),"")</f>
        <v/>
      </c>
      <c r="M56" s="107" t="str">
        <f>IFERROR((WHOLE_STRUCTURE[[#This Row],[D, bottom '[m']]]+WHOLE_STRUCTURE[[#This Row],[D, top '[m']]])/(2*WHOLE_STRUCTURE[[#This Row],[t '[mm']]]/1000),"")</f>
        <v/>
      </c>
    </row>
    <row r="57" spans="2:13" x14ac:dyDescent="0.3">
      <c r="B57" s="104">
        <v>54</v>
      </c>
      <c r="C57" s="104" t="s">
        <v>111</v>
      </c>
      <c r="D57" s="104">
        <v>25</v>
      </c>
      <c r="E57" s="104">
        <v>-77.430000000000007</v>
      </c>
      <c r="F57" s="104">
        <v>-80.430000000000007</v>
      </c>
      <c r="G57" s="104">
        <v>11.5</v>
      </c>
      <c r="H57" s="104">
        <v>11.5</v>
      </c>
      <c r="I57" s="104">
        <v>122</v>
      </c>
      <c r="J57" s="105">
        <v>102.82990475859984</v>
      </c>
      <c r="K57" s="107" t="str">
        <f>IFERROR(WHOLE_STRUCTURE[[#This Row],[Bottom '[mLAT']]]-WHOLE_STRUCTURE[[#This Row],[D, top '[m']]], "")</f>
        <v/>
      </c>
      <c r="L57" s="107" t="str">
        <f>IFERROR(-(WHOLE_STRUCTURE[[#This Row],[D, bottom '[m']]]-WHOLE_STRUCTURE[[#This Row],[D, top '[m']]])/(WHOLE_STRUCTURE[[#This Row],[Bottom '[mLAT']]]-WHOLE_STRUCTURE[[#This Row],[Top '[mLAT']]]),"")</f>
        <v/>
      </c>
      <c r="M57" s="107" t="str">
        <f>IFERROR((WHOLE_STRUCTURE[[#This Row],[D, bottom '[m']]]+WHOLE_STRUCTURE[[#This Row],[D, top '[m']]])/(2*WHOLE_STRUCTURE[[#This Row],[t '[mm']]]/1000),"")</f>
        <v/>
      </c>
    </row>
    <row r="58" spans="2:13" x14ac:dyDescent="0.3">
      <c r="J58" s="107" t="str">
        <f>IF(7850/1000*(1/3)*PI()*ABS(E58-F58)*((G58/2)^2+(G58/2)*(H58/2)+(H58/2)^2-(G58/2-I58/1000)^2-(G58/2-I58/1000)*(H58/2-I58/1000)-(H58/2-I58/1000)^2)=0,"",7850/1000*(1/3)*PI()*ABS(E58-F58)*((G58/2)^2+(G58/2)*(H58/2)+(H58/2)^2-(G58/2-I58/1000)^2-(G58/2-I58/1000)*(H58/2-I58/1000)-(H58/2-I58/1000)^2))</f>
        <v/>
      </c>
      <c r="K58" s="107" t="str">
        <f>IFERROR(WHOLE_STRUCTURE[[#This Row],[Bottom '[mLAT']]]-WHOLE_STRUCTURE[[#This Row],[D, top '[m']]], "")</f>
        <v/>
      </c>
      <c r="L58" s="107" t="str">
        <f>IFERROR(-(WHOLE_STRUCTURE[[#This Row],[D, bottom '[m']]]-WHOLE_STRUCTURE[[#This Row],[D, top '[m']]])/(WHOLE_STRUCTURE[[#This Row],[Bottom '[mLAT']]]-WHOLE_STRUCTURE[[#This Row],[Top '[mLAT']]]),"")</f>
        <v/>
      </c>
      <c r="M58" s="107" t="str">
        <f>IFERROR((WHOLE_STRUCTURE[[#This Row],[D, bottom '[m']]]+WHOLE_STRUCTURE[[#This Row],[D, top '[m']]])/(2*WHOLE_STRUCTURE[[#This Row],[t '[mm']]]/1000),"")</f>
        <v/>
      </c>
    </row>
    <row r="59" spans="2:13" x14ac:dyDescent="0.3">
      <c r="J59" s="107" t="str">
        <f>IF(7850/1000*(1/3)*PI()*ABS(E59-F59)*((G59/2)^2+(G59/2)*(H59/2)+(H59/2)^2-(G59/2-I59/1000)^2-(G59/2-I59/1000)*(H59/2-I59/1000)-(H59/2-I59/1000)^2)=0,"",7850/1000*(1/3)*PI()*ABS(E59-F59)*((G59/2)^2+(G59/2)*(H59/2)+(H59/2)^2-(G59/2-I59/1000)^2-(G59/2-I59/1000)*(H59/2-I59/1000)-(H59/2-I59/1000)^2))</f>
        <v/>
      </c>
      <c r="K59" s="107" t="str">
        <f>IFERROR(WHOLE_STRUCTURE[[#This Row],[Bottom '[mLAT']]]-WHOLE_STRUCTURE[[#This Row],[D, top '[m']]], "")</f>
        <v/>
      </c>
      <c r="L59" s="107" t="str">
        <f>IFERROR(-(WHOLE_STRUCTURE[[#This Row],[D, bottom '[m']]]-WHOLE_STRUCTURE[[#This Row],[D, top '[m']]])/(WHOLE_STRUCTURE[[#This Row],[Bottom '[mLAT']]]-WHOLE_STRUCTURE[[#This Row],[Top '[mLAT']]]),"")</f>
        <v/>
      </c>
      <c r="M59" s="107" t="str">
        <f>IFERROR((WHOLE_STRUCTURE[[#This Row],[D, bottom '[m']]]+WHOLE_STRUCTURE[[#This Row],[D, top '[m']]])/(2*WHOLE_STRUCTURE[[#This Row],[t '[mm']]]/1000),"")</f>
        <v/>
      </c>
    </row>
    <row r="60" spans="2:13" x14ac:dyDescent="0.3">
      <c r="J60" s="107" t="str">
        <f>IF(7850/1000*(1/3)*PI()*ABS(E60-F60)*((G60/2)^2+(G60/2)*(H60/2)+(H60/2)^2-(G60/2-I60/1000)^2-(G60/2-I60/1000)*(H60/2-I60/1000)-(H60/2-I60/1000)^2)=0,"",7850/1000*(1/3)*PI()*ABS(E60-F60)*((G60/2)^2+(G60/2)*(H60/2)+(H60/2)^2-(G60/2-I60/1000)^2-(G60/2-I60/1000)*(H60/2-I60/1000)-(H60/2-I60/1000)^2))</f>
        <v/>
      </c>
      <c r="K60" s="107" t="str">
        <f>IFERROR(WHOLE_STRUCTURE[[#This Row],[Bottom '[mLAT']]]-WHOLE_STRUCTURE[[#This Row],[D, top '[m']]], "")</f>
        <v/>
      </c>
      <c r="L60" s="107" t="str">
        <f>IFERROR(-(WHOLE_STRUCTURE[[#This Row],[D, bottom '[m']]]-WHOLE_STRUCTURE[[#This Row],[D, top '[m']]])/(WHOLE_STRUCTURE[[#This Row],[Bottom '[mLAT']]]-WHOLE_STRUCTURE[[#This Row],[Top '[mLAT']]]),"")</f>
        <v/>
      </c>
      <c r="M60" s="107" t="str">
        <f>IFERROR((WHOLE_STRUCTURE[[#This Row],[D, bottom '[m']]]+WHOLE_STRUCTURE[[#This Row],[D, top '[m']]])/(2*WHOLE_STRUCTURE[[#This Row],[t '[mm']]]/1000),"")</f>
        <v/>
      </c>
    </row>
    <row r="61" spans="2:13" x14ac:dyDescent="0.3">
      <c r="J61" s="107" t="str">
        <f>IF(7850/1000*(1/3)*PI()*ABS(E61-F61)*((G61/2)^2+(G61/2)*(H61/2)+(H61/2)^2-(G61/2-I61/1000)^2-(G61/2-I61/1000)*(H61/2-I61/1000)-(H61/2-I61/1000)^2)=0,"",7850/1000*(1/3)*PI()*ABS(E61-F61)*((G61/2)^2+(G61/2)*(H61/2)+(H61/2)^2-(G61/2-I61/1000)^2-(G61/2-I61/1000)*(H61/2-I61/1000)-(H61/2-I61/1000)^2))</f>
        <v/>
      </c>
      <c r="K61" s="107" t="str">
        <f>IFERROR(WHOLE_STRUCTURE[[#This Row],[Bottom '[mLAT']]]-WHOLE_STRUCTURE[[#This Row],[D, top '[m']]], "")</f>
        <v/>
      </c>
      <c r="L61" s="107" t="str">
        <f>IFERROR(-(WHOLE_STRUCTURE[[#This Row],[D, bottom '[m']]]-WHOLE_STRUCTURE[[#This Row],[D, top '[m']]])/(WHOLE_STRUCTURE[[#This Row],[Bottom '[mLAT']]]-WHOLE_STRUCTURE[[#This Row],[Top '[mLAT']]]),"")</f>
        <v/>
      </c>
      <c r="M61" s="107" t="str">
        <f>IFERROR((WHOLE_STRUCTURE[[#This Row],[D, bottom '[m']]]+WHOLE_STRUCTURE[[#This Row],[D, top '[m']]])/(2*WHOLE_STRUCTURE[[#This Row],[t '[mm']]]/1000),"")</f>
        <v/>
      </c>
    </row>
    <row r="62" spans="2:13" x14ac:dyDescent="0.3">
      <c r="J62" s="107" t="str">
        <f>IF(7850/1000*(1/3)*PI()*ABS(E62-F62)*((G62/2)^2+(G62/2)*(H62/2)+(H62/2)^2-(G62/2-I62/1000)^2-(G62/2-I62/1000)*(H62/2-I62/1000)-(H62/2-I62/1000)^2)=0,"",7850/1000*(1/3)*PI()*ABS(E62-F62)*((G62/2)^2+(G62/2)*(H62/2)+(H62/2)^2-(G62/2-I62/1000)^2-(G62/2-I62/1000)*(H62/2-I62/1000)-(H62/2-I62/1000)^2))</f>
        <v/>
      </c>
      <c r="K62" s="107" t="str">
        <f>IFERROR(WHOLE_STRUCTURE[[#This Row],[Bottom '[mLAT']]]-WHOLE_STRUCTURE[[#This Row],[D, top '[m']]], "")</f>
        <v/>
      </c>
      <c r="L62" s="107" t="str">
        <f>IFERROR(-(WHOLE_STRUCTURE[[#This Row],[D, bottom '[m']]]-WHOLE_STRUCTURE[[#This Row],[D, top '[m']]])/(WHOLE_STRUCTURE[[#This Row],[Bottom '[mLAT']]]-WHOLE_STRUCTURE[[#This Row],[Top '[mLAT']]]),"")</f>
        <v/>
      </c>
      <c r="M62" s="107" t="str">
        <f>IFERROR((WHOLE_STRUCTURE[[#This Row],[D, bottom '[m']]]+WHOLE_STRUCTURE[[#This Row],[D, top '[m']]])/(2*WHOLE_STRUCTURE[[#This Row],[t '[mm']]]/1000),"")</f>
        <v/>
      </c>
    </row>
    <row r="63" spans="2:13" x14ac:dyDescent="0.3">
      <c r="J63" s="107" t="str">
        <f>IF(7850/1000*(1/3)*PI()*ABS(E63-F63)*((G63/2)^2+(G63/2)*(H63/2)+(H63/2)^2-(G63/2-I63/1000)^2-(G63/2-I63/1000)*(H63/2-I63/1000)-(H63/2-I63/1000)^2)=0,"",7850/1000*(1/3)*PI()*ABS(E63-F63)*((G63/2)^2+(G63/2)*(H63/2)+(H63/2)^2-(G63/2-I63/1000)^2-(G63/2-I63/1000)*(H63/2-I63/1000)-(H63/2-I63/1000)^2))</f>
        <v/>
      </c>
      <c r="K63" s="107" t="str">
        <f>IFERROR(WHOLE_STRUCTURE[[#This Row],[Bottom '[mLAT']]]-WHOLE_STRUCTURE[[#This Row],[D, top '[m']]], "")</f>
        <v/>
      </c>
      <c r="L63" s="107" t="str">
        <f>IFERROR(-(WHOLE_STRUCTURE[[#This Row],[D, bottom '[m']]]-WHOLE_STRUCTURE[[#This Row],[D, top '[m']]])/(WHOLE_STRUCTURE[[#This Row],[Bottom '[mLAT']]]-WHOLE_STRUCTURE[[#This Row],[Top '[mLAT']]]),"")</f>
        <v/>
      </c>
      <c r="M63" s="107" t="str">
        <f>IFERROR((WHOLE_STRUCTURE[[#This Row],[D, bottom '[m']]]+WHOLE_STRUCTURE[[#This Row],[D, top '[m']]])/(2*WHOLE_STRUCTURE[[#This Row],[t '[mm']]]/1000),"")</f>
        <v/>
      </c>
    </row>
    <row r="64" spans="2:13" x14ac:dyDescent="0.3">
      <c r="J64" s="107" t="str">
        <f>IF(7850/1000*(1/3)*PI()*ABS(E64-F64)*((G64/2)^2+(G64/2)*(H64/2)+(H64/2)^2-(G64/2-I64/1000)^2-(G64/2-I64/1000)*(H64/2-I64/1000)-(H64/2-I64/1000)^2)=0,"",7850/1000*(1/3)*PI()*ABS(E64-F64)*((G64/2)^2+(G64/2)*(H64/2)+(H64/2)^2-(G64/2-I64/1000)^2-(G64/2-I64/1000)*(H64/2-I64/1000)-(H64/2-I64/1000)^2))</f>
        <v/>
      </c>
      <c r="K64" s="107" t="str">
        <f>IFERROR(WHOLE_STRUCTURE[[#This Row],[Bottom '[mLAT']]]-WHOLE_STRUCTURE[[#This Row],[D, top '[m']]], "")</f>
        <v/>
      </c>
      <c r="L64" s="107" t="str">
        <f>IFERROR(-(WHOLE_STRUCTURE[[#This Row],[D, bottom '[m']]]-WHOLE_STRUCTURE[[#This Row],[D, top '[m']]])/(WHOLE_STRUCTURE[[#This Row],[Bottom '[mLAT']]]-WHOLE_STRUCTURE[[#This Row],[Top '[mLAT']]]),"")</f>
        <v/>
      </c>
      <c r="M64" s="107" t="str">
        <f>IFERROR((WHOLE_STRUCTURE[[#This Row],[D, bottom '[m']]]+WHOLE_STRUCTURE[[#This Row],[D, top '[m']]])/(2*WHOLE_STRUCTURE[[#This Row],[t '[mm']]]/1000),"")</f>
        <v/>
      </c>
    </row>
    <row r="65" spans="10:13" x14ac:dyDescent="0.3">
      <c r="J65" s="107" t="str">
        <f>IF(7850/1000*(1/3)*PI()*ABS(E65-F65)*((G65/2)^2+(G65/2)*(H65/2)+(H65/2)^2-(G65/2-I65/1000)^2-(G65/2-I65/1000)*(H65/2-I65/1000)-(H65/2-I65/1000)^2)=0,"",7850/1000*(1/3)*PI()*ABS(E65-F65)*((G65/2)^2+(G65/2)*(H65/2)+(H65/2)^2-(G65/2-I65/1000)^2-(G65/2-I65/1000)*(H65/2-I65/1000)-(H65/2-I65/1000)^2))</f>
        <v/>
      </c>
      <c r="K65" s="107" t="str">
        <f>IFERROR(WHOLE_STRUCTURE[[#This Row],[Bottom '[mLAT']]]-WHOLE_STRUCTURE[[#This Row],[D, top '[m']]], "")</f>
        <v/>
      </c>
      <c r="L65" s="107" t="str">
        <f>IFERROR(-(WHOLE_STRUCTURE[[#This Row],[D, bottom '[m']]]-WHOLE_STRUCTURE[[#This Row],[D, top '[m']]])/(WHOLE_STRUCTURE[[#This Row],[Bottom '[mLAT']]]-WHOLE_STRUCTURE[[#This Row],[Top '[mLAT']]]),"")</f>
        <v/>
      </c>
      <c r="M65" s="107" t="str">
        <f>IFERROR((WHOLE_STRUCTURE[[#This Row],[D, bottom '[m']]]+WHOLE_STRUCTURE[[#This Row],[D, top '[m']]])/(2*WHOLE_STRUCTURE[[#This Row],[t '[mm']]]/1000),"")</f>
        <v/>
      </c>
    </row>
    <row r="66" spans="10:13" x14ac:dyDescent="0.3">
      <c r="J66" s="107" t="str">
        <f>IF(7850/1000*(1/3)*PI()*ABS(E66-F66)*((G66/2)^2+(G66/2)*(H66/2)+(H66/2)^2-(G66/2-I66/1000)^2-(G66/2-I66/1000)*(H66/2-I66/1000)-(H66/2-I66/1000)^2)=0,"",7850/1000*(1/3)*PI()*ABS(E66-F66)*((G66/2)^2+(G66/2)*(H66/2)+(H66/2)^2-(G66/2-I66/1000)^2-(G66/2-I66/1000)*(H66/2-I66/1000)-(H66/2-I66/1000)^2))</f>
        <v/>
      </c>
      <c r="K66" s="107" t="str">
        <f>IFERROR(WHOLE_STRUCTURE[[#This Row],[Bottom '[mLAT']]]-WHOLE_STRUCTURE[[#This Row],[D, top '[m']]], "")</f>
        <v/>
      </c>
      <c r="L66" s="107" t="str">
        <f>IFERROR(-(WHOLE_STRUCTURE[[#This Row],[D, bottom '[m']]]-WHOLE_STRUCTURE[[#This Row],[D, top '[m']]])/(WHOLE_STRUCTURE[[#This Row],[Bottom '[mLAT']]]-WHOLE_STRUCTURE[[#This Row],[Top '[mLAT']]]),"")</f>
        <v/>
      </c>
      <c r="M66" s="107" t="str">
        <f>IFERROR((WHOLE_STRUCTURE[[#This Row],[D, bottom '[m']]]+WHOLE_STRUCTURE[[#This Row],[D, top '[m']]])/(2*WHOLE_STRUCTURE[[#This Row],[t '[mm']]]/1000),"")</f>
        <v/>
      </c>
    </row>
    <row r="67" spans="10:13" x14ac:dyDescent="0.3">
      <c r="J67" s="107" t="str">
        <f>IF(7850/1000*(1/3)*PI()*ABS(E67-F67)*((G67/2)^2+(G67/2)*(H67/2)+(H67/2)^2-(G67/2-I67/1000)^2-(G67/2-I67/1000)*(H67/2-I67/1000)-(H67/2-I67/1000)^2)=0,"",7850/1000*(1/3)*PI()*ABS(E67-F67)*((G67/2)^2+(G67/2)*(H67/2)+(H67/2)^2-(G67/2-I67/1000)^2-(G67/2-I67/1000)*(H67/2-I67/1000)-(H67/2-I67/1000)^2))</f>
        <v/>
      </c>
      <c r="K67" s="107" t="str">
        <f>IFERROR(WHOLE_STRUCTURE[[#This Row],[Bottom '[mLAT']]]-WHOLE_STRUCTURE[[#This Row],[D, top '[m']]], "")</f>
        <v/>
      </c>
      <c r="L67" s="107" t="str">
        <f>IFERROR(-(WHOLE_STRUCTURE[[#This Row],[D, bottom '[m']]]-WHOLE_STRUCTURE[[#This Row],[D, top '[m']]])/(WHOLE_STRUCTURE[[#This Row],[Bottom '[mLAT']]]-WHOLE_STRUCTURE[[#This Row],[Top '[mLAT']]]),"")</f>
        <v/>
      </c>
      <c r="M67" s="107" t="str">
        <f>IFERROR((WHOLE_STRUCTURE[[#This Row],[D, bottom '[m']]]+WHOLE_STRUCTURE[[#This Row],[D, top '[m']]])/(2*WHOLE_STRUCTURE[[#This Row],[t '[mm']]]/1000),"")</f>
        <v/>
      </c>
    </row>
    <row r="68" spans="10:13" x14ac:dyDescent="0.3">
      <c r="J68" s="107" t="str">
        <f>IF(7850/1000*(1/3)*PI()*ABS(E68-F68)*((G68/2)^2+(G68/2)*(H68/2)+(H68/2)^2-(G68/2-I68/1000)^2-(G68/2-I68/1000)*(H68/2-I68/1000)-(H68/2-I68/1000)^2)=0,"",7850/1000*(1/3)*PI()*ABS(E68-F68)*((G68/2)^2+(G68/2)*(H68/2)+(H68/2)^2-(G68/2-I68/1000)^2-(G68/2-I68/1000)*(H68/2-I68/1000)-(H68/2-I68/1000)^2))</f>
        <v/>
      </c>
      <c r="K68" s="107" t="str">
        <f>IFERROR(WHOLE_STRUCTURE[[#This Row],[Bottom '[mLAT']]]-WHOLE_STRUCTURE[[#This Row],[D, top '[m']]], "")</f>
        <v/>
      </c>
      <c r="L68" s="107" t="str">
        <f>IFERROR(-(WHOLE_STRUCTURE[[#This Row],[D, bottom '[m']]]-WHOLE_STRUCTURE[[#This Row],[D, top '[m']]])/(WHOLE_STRUCTURE[[#This Row],[Bottom '[mLAT']]]-WHOLE_STRUCTURE[[#This Row],[Top '[mLAT']]]),"")</f>
        <v/>
      </c>
      <c r="M68" s="107" t="str">
        <f>IFERROR((WHOLE_STRUCTURE[[#This Row],[D, bottom '[m']]]+WHOLE_STRUCTURE[[#This Row],[D, top '[m']]])/(2*WHOLE_STRUCTURE[[#This Row],[t '[mm']]]/1000),"")</f>
        <v/>
      </c>
    </row>
    <row r="69" spans="10:13" x14ac:dyDescent="0.3">
      <c r="J69" s="107" t="str">
        <f>IF(7850/1000*(1/3)*PI()*ABS(E69-F69)*((G69/2)^2+(G69/2)*(H69/2)+(H69/2)^2-(G69/2-I69/1000)^2-(G69/2-I69/1000)*(H69/2-I69/1000)-(H69/2-I69/1000)^2)=0,"",7850/1000*(1/3)*PI()*ABS(E69-F69)*((G69/2)^2+(G69/2)*(H69/2)+(H69/2)^2-(G69/2-I69/1000)^2-(G69/2-I69/1000)*(H69/2-I69/1000)-(H69/2-I69/1000)^2))</f>
        <v/>
      </c>
      <c r="K69" s="107" t="str">
        <f>IFERROR(WHOLE_STRUCTURE[[#This Row],[Bottom '[mLAT']]]-WHOLE_STRUCTURE[[#This Row],[D, top '[m']]], "")</f>
        <v/>
      </c>
      <c r="L69" s="107" t="str">
        <f>IFERROR(-(WHOLE_STRUCTURE[[#This Row],[D, bottom '[m']]]-WHOLE_STRUCTURE[[#This Row],[D, top '[m']]])/(WHOLE_STRUCTURE[[#This Row],[Bottom '[mLAT']]]-WHOLE_STRUCTURE[[#This Row],[Top '[mLAT']]]),"")</f>
        <v/>
      </c>
      <c r="M69" s="107" t="str">
        <f>IFERROR((WHOLE_STRUCTURE[[#This Row],[D, bottom '[m']]]+WHOLE_STRUCTURE[[#This Row],[D, top '[m']]])/(2*WHOLE_STRUCTURE[[#This Row],[t '[mm']]]/1000),"")</f>
        <v/>
      </c>
    </row>
    <row r="70" spans="10:13" x14ac:dyDescent="0.3">
      <c r="J70" s="107" t="str">
        <f>IF(7850/1000*(1/3)*PI()*ABS(E70-F70)*((G70/2)^2+(G70/2)*(H70/2)+(H70/2)^2-(G70/2-I70/1000)^2-(G70/2-I70/1000)*(H70/2-I70/1000)-(H70/2-I70/1000)^2)=0,"",7850/1000*(1/3)*PI()*ABS(E70-F70)*((G70/2)^2+(G70/2)*(H70/2)+(H70/2)^2-(G70/2-I70/1000)^2-(G70/2-I70/1000)*(H70/2-I70/1000)-(H70/2-I70/1000)^2))</f>
        <v/>
      </c>
      <c r="K70" s="107" t="str">
        <f>IFERROR(WHOLE_STRUCTURE[[#This Row],[Bottom '[mLAT']]]-WHOLE_STRUCTURE[[#This Row],[D, top '[m']]], "")</f>
        <v/>
      </c>
      <c r="L70" s="107" t="str">
        <f>IFERROR(-(WHOLE_STRUCTURE[[#This Row],[D, bottom '[m']]]-WHOLE_STRUCTURE[[#This Row],[D, top '[m']]])/(WHOLE_STRUCTURE[[#This Row],[Bottom '[mLAT']]]-WHOLE_STRUCTURE[[#This Row],[Top '[mLAT']]]),"")</f>
        <v/>
      </c>
      <c r="M70" s="107" t="str">
        <f>IFERROR((WHOLE_STRUCTURE[[#This Row],[D, bottom '[m']]]+WHOLE_STRUCTURE[[#This Row],[D, top '[m']]])/(2*WHOLE_STRUCTURE[[#This Row],[t '[mm']]]/1000),"")</f>
        <v/>
      </c>
    </row>
    <row r="71" spans="10:13" x14ac:dyDescent="0.3">
      <c r="J71" s="107" t="str">
        <f>IF(7850/1000*(1/3)*PI()*ABS(E71-F71)*((G71/2)^2+(G71/2)*(H71/2)+(H71/2)^2-(G71/2-I71/1000)^2-(G71/2-I71/1000)*(H71/2-I71/1000)-(H71/2-I71/1000)^2)=0,"",7850/1000*(1/3)*PI()*ABS(E71-F71)*((G71/2)^2+(G71/2)*(H71/2)+(H71/2)^2-(G71/2-I71/1000)^2-(G71/2-I71/1000)*(H71/2-I71/1000)-(H71/2-I71/1000)^2))</f>
        <v/>
      </c>
      <c r="K71" s="107" t="str">
        <f>IFERROR(WHOLE_STRUCTURE[[#This Row],[Bottom '[mLAT']]]-WHOLE_STRUCTURE[[#This Row],[D, top '[m']]], "")</f>
        <v/>
      </c>
      <c r="L71" s="107" t="str">
        <f>IFERROR(-(WHOLE_STRUCTURE[[#This Row],[D, bottom '[m']]]-WHOLE_STRUCTURE[[#This Row],[D, top '[m']]])/(WHOLE_STRUCTURE[[#This Row],[Bottom '[mLAT']]]-WHOLE_STRUCTURE[[#This Row],[Top '[mLAT']]]),"")</f>
        <v/>
      </c>
      <c r="M71" s="107" t="str">
        <f>IFERROR((WHOLE_STRUCTURE[[#This Row],[D, bottom '[m']]]+WHOLE_STRUCTURE[[#This Row],[D, top '[m']]])/(2*WHOLE_STRUCTURE[[#This Row],[t '[mm']]]/1000),"")</f>
        <v/>
      </c>
    </row>
    <row r="72" spans="10:13" x14ac:dyDescent="0.3">
      <c r="J72" s="107" t="str">
        <f>IF(7850/1000*(1/3)*PI()*ABS(E72-F72)*((G72/2)^2+(G72/2)*(H72/2)+(H72/2)^2-(G72/2-I72/1000)^2-(G72/2-I72/1000)*(H72/2-I72/1000)-(H72/2-I72/1000)^2)=0,"",7850/1000*(1/3)*PI()*ABS(E72-F72)*((G72/2)^2+(G72/2)*(H72/2)+(H72/2)^2-(G72/2-I72/1000)^2-(G72/2-I72/1000)*(H72/2-I72/1000)-(H72/2-I72/1000)^2))</f>
        <v/>
      </c>
      <c r="K72" s="107" t="str">
        <f>IFERROR(WHOLE_STRUCTURE[[#This Row],[Bottom '[mLAT']]]-WHOLE_STRUCTURE[[#This Row],[D, top '[m']]], "")</f>
        <v/>
      </c>
      <c r="L72" s="107" t="str">
        <f>IFERROR(-(WHOLE_STRUCTURE[[#This Row],[D, bottom '[m']]]-WHOLE_STRUCTURE[[#This Row],[D, top '[m']]])/(WHOLE_STRUCTURE[[#This Row],[Bottom '[mLAT']]]-WHOLE_STRUCTURE[[#This Row],[Top '[mLAT']]]),"")</f>
        <v/>
      </c>
      <c r="M72" s="107" t="str">
        <f>IFERROR((WHOLE_STRUCTURE[[#This Row],[D, bottom '[m']]]+WHOLE_STRUCTURE[[#This Row],[D, top '[m']]])/(2*WHOLE_STRUCTURE[[#This Row],[t '[mm']]]/1000),"")</f>
        <v/>
      </c>
    </row>
    <row r="73" spans="10:13" x14ac:dyDescent="0.3">
      <c r="J73" s="107" t="str">
        <f>IF(7850/1000*(1/3)*PI()*ABS(E73-F73)*((G73/2)^2+(G73/2)*(H73/2)+(H73/2)^2-(G73/2-I73/1000)^2-(G73/2-I73/1000)*(H73/2-I73/1000)-(H73/2-I73/1000)^2)=0,"",7850/1000*(1/3)*PI()*ABS(E73-F73)*((G73/2)^2+(G73/2)*(H73/2)+(H73/2)^2-(G73/2-I73/1000)^2-(G73/2-I73/1000)*(H73/2-I73/1000)-(H73/2-I73/1000)^2))</f>
        <v/>
      </c>
      <c r="K73" s="107" t="str">
        <f>IFERROR(WHOLE_STRUCTURE[[#This Row],[Bottom '[mLAT']]]-WHOLE_STRUCTURE[[#This Row],[D, top '[m']]], "")</f>
        <v/>
      </c>
      <c r="L73" s="107" t="str">
        <f>IFERROR(-(WHOLE_STRUCTURE[[#This Row],[D, bottom '[m']]]-WHOLE_STRUCTURE[[#This Row],[D, top '[m']]])/(WHOLE_STRUCTURE[[#This Row],[Bottom '[mLAT']]]-WHOLE_STRUCTURE[[#This Row],[Top '[mLAT']]]),"")</f>
        <v/>
      </c>
      <c r="M73" s="107" t="str">
        <f>IFERROR((WHOLE_STRUCTURE[[#This Row],[D, bottom '[m']]]+WHOLE_STRUCTURE[[#This Row],[D, top '[m']]])/(2*WHOLE_STRUCTURE[[#This Row],[t '[mm']]]/1000),"")</f>
        <v/>
      </c>
    </row>
    <row r="74" spans="10:13" x14ac:dyDescent="0.3">
      <c r="J74" s="107" t="str">
        <f>IF(7850/1000*(1/3)*PI()*ABS(E74-F74)*((G74/2)^2+(G74/2)*(H74/2)+(H74/2)^2-(G74/2-I74/1000)^2-(G74/2-I74/1000)*(H74/2-I74/1000)-(H74/2-I74/1000)^2)=0,"",7850/1000*(1/3)*PI()*ABS(E74-F74)*((G74/2)^2+(G74/2)*(H74/2)+(H74/2)^2-(G74/2-I74/1000)^2-(G74/2-I74/1000)*(H74/2-I74/1000)-(H74/2-I74/1000)^2))</f>
        <v/>
      </c>
      <c r="K74" s="107" t="str">
        <f>IFERROR(WHOLE_STRUCTURE[[#This Row],[Bottom '[mLAT']]]-WHOLE_STRUCTURE[[#This Row],[D, top '[m']]], "")</f>
        <v/>
      </c>
      <c r="L74" s="107" t="str">
        <f>IFERROR(-(WHOLE_STRUCTURE[[#This Row],[D, bottom '[m']]]-WHOLE_STRUCTURE[[#This Row],[D, top '[m']]])/(WHOLE_STRUCTURE[[#This Row],[Bottom '[mLAT']]]-WHOLE_STRUCTURE[[#This Row],[Top '[mLAT']]]),"")</f>
        <v/>
      </c>
      <c r="M74" s="107" t="str">
        <f>IFERROR((WHOLE_STRUCTURE[[#This Row],[D, bottom '[m']]]+WHOLE_STRUCTURE[[#This Row],[D, top '[m']]])/(2*WHOLE_STRUCTURE[[#This Row],[t '[mm']]]/1000),"")</f>
        <v/>
      </c>
    </row>
    <row r="75" spans="10:13" x14ac:dyDescent="0.3">
      <c r="J75" s="107" t="str">
        <f>IF(7850/1000*(1/3)*PI()*ABS(E75-F75)*((G75/2)^2+(G75/2)*(H75/2)+(H75/2)^2-(G75/2-I75/1000)^2-(G75/2-I75/1000)*(H75/2-I75/1000)-(H75/2-I75/1000)^2)=0,"",7850/1000*(1/3)*PI()*ABS(E75-F75)*((G75/2)^2+(G75/2)*(H75/2)+(H75/2)^2-(G75/2-I75/1000)^2-(G75/2-I75/1000)*(H75/2-I75/1000)-(H75/2-I75/1000)^2))</f>
        <v/>
      </c>
      <c r="K75" s="107" t="str">
        <f>IFERROR(WHOLE_STRUCTURE[[#This Row],[Bottom '[mLAT']]]-WHOLE_STRUCTURE[[#This Row],[D, top '[m']]], "")</f>
        <v/>
      </c>
      <c r="L75" s="107" t="str">
        <f>IFERROR(-(WHOLE_STRUCTURE[[#This Row],[D, bottom '[m']]]-WHOLE_STRUCTURE[[#This Row],[D, top '[m']]])/(WHOLE_STRUCTURE[[#This Row],[Bottom '[mLAT']]]-WHOLE_STRUCTURE[[#This Row],[Top '[mLAT']]]),"")</f>
        <v/>
      </c>
      <c r="M75" s="107" t="str">
        <f>IFERROR((WHOLE_STRUCTURE[[#This Row],[D, bottom '[m']]]+WHOLE_STRUCTURE[[#This Row],[D, top '[m']]])/(2*WHOLE_STRUCTURE[[#This Row],[t '[mm']]]/1000),"")</f>
        <v/>
      </c>
    </row>
    <row r="76" spans="10:13" x14ac:dyDescent="0.3">
      <c r="J76" s="107" t="str">
        <f>IF(7850/1000*(1/3)*PI()*ABS(E76-F76)*((G76/2)^2+(G76/2)*(H76/2)+(H76/2)^2-(G76/2-I76/1000)^2-(G76/2-I76/1000)*(H76/2-I76/1000)-(H76/2-I76/1000)^2)=0,"",7850/1000*(1/3)*PI()*ABS(E76-F76)*((G76/2)^2+(G76/2)*(H76/2)+(H76/2)^2-(G76/2-I76/1000)^2-(G76/2-I76/1000)*(H76/2-I76/1000)-(H76/2-I76/1000)^2))</f>
        <v/>
      </c>
      <c r="K76" s="107" t="str">
        <f>IFERROR(WHOLE_STRUCTURE[[#This Row],[Bottom '[mLAT']]]-WHOLE_STRUCTURE[[#This Row],[D, top '[m']]], "")</f>
        <v/>
      </c>
      <c r="L76" s="107" t="str">
        <f>IFERROR(-(WHOLE_STRUCTURE[[#This Row],[D, bottom '[m']]]-WHOLE_STRUCTURE[[#This Row],[D, top '[m']]])/(WHOLE_STRUCTURE[[#This Row],[Bottom '[mLAT']]]-WHOLE_STRUCTURE[[#This Row],[Top '[mLAT']]]),"")</f>
        <v/>
      </c>
      <c r="M76" s="107" t="str">
        <f>IFERROR((WHOLE_STRUCTURE[[#This Row],[D, bottom '[m']]]+WHOLE_STRUCTURE[[#This Row],[D, top '[m']]])/(2*WHOLE_STRUCTURE[[#This Row],[t '[mm']]]/1000),"")</f>
        <v/>
      </c>
    </row>
    <row r="77" spans="10:13" x14ac:dyDescent="0.3">
      <c r="J77" s="107" t="str">
        <f>IF(7850/1000*(1/3)*PI()*ABS(E77-F77)*((G77/2)^2+(G77/2)*(H77/2)+(H77/2)^2-(G77/2-I77/1000)^2-(G77/2-I77/1000)*(H77/2-I77/1000)-(H77/2-I77/1000)^2)=0,"",7850/1000*(1/3)*PI()*ABS(E77-F77)*((G77/2)^2+(G77/2)*(H77/2)+(H77/2)^2-(G77/2-I77/1000)^2-(G77/2-I77/1000)*(H77/2-I77/1000)-(H77/2-I77/1000)^2))</f>
        <v/>
      </c>
      <c r="K77" s="107" t="str">
        <f>IFERROR(WHOLE_STRUCTURE[[#This Row],[Bottom '[mLAT']]]-WHOLE_STRUCTURE[[#This Row],[D, top '[m']]], "")</f>
        <v/>
      </c>
      <c r="L77" s="107" t="str">
        <f>IFERROR(-(WHOLE_STRUCTURE[[#This Row],[D, bottom '[m']]]-WHOLE_STRUCTURE[[#This Row],[D, top '[m']]])/(WHOLE_STRUCTURE[[#This Row],[Bottom '[mLAT']]]-WHOLE_STRUCTURE[[#This Row],[Top '[mLAT']]]),"")</f>
        <v/>
      </c>
      <c r="M77" s="107" t="str">
        <f>IFERROR((WHOLE_STRUCTURE[[#This Row],[D, bottom '[m']]]+WHOLE_STRUCTURE[[#This Row],[D, top '[m']]])/(2*WHOLE_STRUCTURE[[#This Row],[t '[mm']]]/1000),"")</f>
        <v/>
      </c>
    </row>
    <row r="78" spans="10:13" x14ac:dyDescent="0.3">
      <c r="J78" s="107" t="str">
        <f>IF(7850/1000*(1/3)*PI()*ABS(E78-F78)*((G78/2)^2+(G78/2)*(H78/2)+(H78/2)^2-(G78/2-I78/1000)^2-(G78/2-I78/1000)*(H78/2-I78/1000)-(H78/2-I78/1000)^2)=0,"",7850/1000*(1/3)*PI()*ABS(E78-F78)*((G78/2)^2+(G78/2)*(H78/2)+(H78/2)^2-(G78/2-I78/1000)^2-(G78/2-I78/1000)*(H78/2-I78/1000)-(H78/2-I78/1000)^2))</f>
        <v/>
      </c>
      <c r="K78" s="107" t="str">
        <f>IFERROR(WHOLE_STRUCTURE[[#This Row],[Bottom '[mLAT']]]-WHOLE_STRUCTURE[[#This Row],[D, top '[m']]], "")</f>
        <v/>
      </c>
      <c r="L78" s="107" t="str">
        <f>IFERROR(-(WHOLE_STRUCTURE[[#This Row],[D, bottom '[m']]]-WHOLE_STRUCTURE[[#This Row],[D, top '[m']]])/(WHOLE_STRUCTURE[[#This Row],[Bottom '[mLAT']]]-WHOLE_STRUCTURE[[#This Row],[Top '[mLAT']]]),"")</f>
        <v/>
      </c>
      <c r="M78" s="107" t="str">
        <f>IFERROR((WHOLE_STRUCTURE[[#This Row],[D, bottom '[m']]]+WHOLE_STRUCTURE[[#This Row],[D, top '[m']]])/(2*WHOLE_STRUCTURE[[#This Row],[t '[mm']]]/1000),"")</f>
        <v/>
      </c>
    </row>
    <row r="79" spans="10:13" x14ac:dyDescent="0.3">
      <c r="J79" s="107" t="str">
        <f>IF(7850/1000*(1/3)*PI()*ABS(E79-F79)*((G79/2)^2+(G79/2)*(H79/2)+(H79/2)^2-(G79/2-I79/1000)^2-(G79/2-I79/1000)*(H79/2-I79/1000)-(H79/2-I79/1000)^2)=0,"",7850/1000*(1/3)*PI()*ABS(E79-F79)*((G79/2)^2+(G79/2)*(H79/2)+(H79/2)^2-(G79/2-I79/1000)^2-(G79/2-I79/1000)*(H79/2-I79/1000)-(H79/2-I79/1000)^2))</f>
        <v/>
      </c>
      <c r="K79" s="107" t="str">
        <f>IFERROR(WHOLE_STRUCTURE[[#This Row],[Bottom '[mLAT']]]-WHOLE_STRUCTURE[[#This Row],[D, top '[m']]], "")</f>
        <v/>
      </c>
      <c r="L79" s="107" t="str">
        <f>IFERROR(-(WHOLE_STRUCTURE[[#This Row],[D, bottom '[m']]]-WHOLE_STRUCTURE[[#This Row],[D, top '[m']]])/(WHOLE_STRUCTURE[[#This Row],[Bottom '[mLAT']]]-WHOLE_STRUCTURE[[#This Row],[Top '[mLAT']]]),"")</f>
        <v/>
      </c>
      <c r="M79" s="107" t="str">
        <f>IFERROR((WHOLE_STRUCTURE[[#This Row],[D, bottom '[m']]]+WHOLE_STRUCTURE[[#This Row],[D, top '[m']]])/(2*WHOLE_STRUCTURE[[#This Row],[t '[mm']]]/1000),"")</f>
        <v/>
      </c>
    </row>
    <row r="80" spans="10:13" x14ac:dyDescent="0.3">
      <c r="J80" s="107" t="str">
        <f>IF(7850/1000*(1/3)*PI()*ABS(E80-F80)*((G80/2)^2+(G80/2)*(H80/2)+(H80/2)^2-(G80/2-I80/1000)^2-(G80/2-I80/1000)*(H80/2-I80/1000)-(H80/2-I80/1000)^2)=0,"",7850/1000*(1/3)*PI()*ABS(E80-F80)*((G80/2)^2+(G80/2)*(H80/2)+(H80/2)^2-(G80/2-I80/1000)^2-(G80/2-I80/1000)*(H80/2-I80/1000)-(H80/2-I80/1000)^2))</f>
        <v/>
      </c>
      <c r="K80" s="107" t="str">
        <f>IFERROR(WHOLE_STRUCTURE[[#This Row],[Bottom '[mLAT']]]-WHOLE_STRUCTURE[[#This Row],[D, top '[m']]], "")</f>
        <v/>
      </c>
      <c r="L80" s="107" t="str">
        <f>IFERROR(-(WHOLE_STRUCTURE[[#This Row],[D, bottom '[m']]]-WHOLE_STRUCTURE[[#This Row],[D, top '[m']]])/(WHOLE_STRUCTURE[[#This Row],[Bottom '[mLAT']]]-WHOLE_STRUCTURE[[#This Row],[Top '[mLAT']]]),"")</f>
        <v/>
      </c>
      <c r="M80" s="107" t="str">
        <f>IFERROR((WHOLE_STRUCTURE[[#This Row],[D, bottom '[m']]]+WHOLE_STRUCTURE[[#This Row],[D, top '[m']]])/(2*WHOLE_STRUCTURE[[#This Row],[t '[mm']]]/1000),"")</f>
        <v/>
      </c>
    </row>
    <row r="81" spans="10:13" x14ac:dyDescent="0.3">
      <c r="J81" s="107" t="str">
        <f>IF(7850/1000*(1/3)*PI()*ABS(E81-F81)*((G81/2)^2+(G81/2)*(H81/2)+(H81/2)^2-(G81/2-I81/1000)^2-(G81/2-I81/1000)*(H81/2-I81/1000)-(H81/2-I81/1000)^2)=0,"",7850/1000*(1/3)*PI()*ABS(E81-F81)*((G81/2)^2+(G81/2)*(H81/2)+(H81/2)^2-(G81/2-I81/1000)^2-(G81/2-I81/1000)*(H81/2-I81/1000)-(H81/2-I81/1000)^2))</f>
        <v/>
      </c>
      <c r="K81" s="107" t="str">
        <f>IFERROR(WHOLE_STRUCTURE[[#This Row],[Bottom '[mLAT']]]-WHOLE_STRUCTURE[[#This Row],[D, top '[m']]], "")</f>
        <v/>
      </c>
      <c r="L81" s="107" t="str">
        <f>IFERROR(-(WHOLE_STRUCTURE[[#This Row],[D, bottom '[m']]]-WHOLE_STRUCTURE[[#This Row],[D, top '[m']]])/(WHOLE_STRUCTURE[[#This Row],[Bottom '[mLAT']]]-WHOLE_STRUCTURE[[#This Row],[Top '[mLAT']]]),"")</f>
        <v/>
      </c>
      <c r="M81" s="107" t="str">
        <f>IFERROR((WHOLE_STRUCTURE[[#This Row],[D, bottom '[m']]]+WHOLE_STRUCTURE[[#This Row],[D, top '[m']]])/(2*WHOLE_STRUCTURE[[#This Row],[t '[mm']]]/1000),"")</f>
        <v/>
      </c>
    </row>
    <row r="82" spans="10:13" x14ac:dyDescent="0.3">
      <c r="J82" s="107" t="str">
        <f>IF(7850/1000*(1/3)*PI()*ABS(E82-F82)*((G82/2)^2+(G82/2)*(H82/2)+(H82/2)^2-(G82/2-I82/1000)^2-(G82/2-I82/1000)*(H82/2-I82/1000)-(H82/2-I82/1000)^2)=0,"",7850/1000*(1/3)*PI()*ABS(E82-F82)*((G82/2)^2+(G82/2)*(H82/2)+(H82/2)^2-(G82/2-I82/1000)^2-(G82/2-I82/1000)*(H82/2-I82/1000)-(H82/2-I82/1000)^2))</f>
        <v/>
      </c>
      <c r="K82" s="107" t="str">
        <f>IFERROR(WHOLE_STRUCTURE[[#This Row],[Bottom '[mLAT']]]-WHOLE_STRUCTURE[[#This Row],[D, top '[m']]], "")</f>
        <v/>
      </c>
      <c r="L82" s="107" t="str">
        <f>IFERROR(-(WHOLE_STRUCTURE[[#This Row],[D, bottom '[m']]]-WHOLE_STRUCTURE[[#This Row],[D, top '[m']]])/(WHOLE_STRUCTURE[[#This Row],[Bottom '[mLAT']]]-WHOLE_STRUCTURE[[#This Row],[Top '[mLAT']]]),"")</f>
        <v/>
      </c>
      <c r="M82" s="107" t="str">
        <f>IFERROR((WHOLE_STRUCTURE[[#This Row],[D, bottom '[m']]]+WHOLE_STRUCTURE[[#This Row],[D, top '[m']]])/(2*WHOLE_STRUCTURE[[#This Row],[t '[mm']]]/1000),"")</f>
        <v/>
      </c>
    </row>
    <row r="83" spans="10:13" x14ac:dyDescent="0.3">
      <c r="J83" s="107" t="str">
        <f>IF(7850/1000*(1/3)*PI()*ABS(E83-F83)*((G83/2)^2+(G83/2)*(H83/2)+(H83/2)^2-(G83/2-I83/1000)^2-(G83/2-I83/1000)*(H83/2-I83/1000)-(H83/2-I83/1000)^2)=0,"",7850/1000*(1/3)*PI()*ABS(E83-F83)*((G83/2)^2+(G83/2)*(H83/2)+(H83/2)^2-(G83/2-I83/1000)^2-(G83/2-I83/1000)*(H83/2-I83/1000)-(H83/2-I83/1000)^2))</f>
        <v/>
      </c>
      <c r="K83" s="107" t="str">
        <f>IFERROR(WHOLE_STRUCTURE[[#This Row],[Bottom '[mLAT']]]-WHOLE_STRUCTURE[[#This Row],[D, top '[m']]], "")</f>
        <v/>
      </c>
      <c r="L83" s="107" t="str">
        <f>IFERROR(-(WHOLE_STRUCTURE[[#This Row],[D, bottom '[m']]]-WHOLE_STRUCTURE[[#This Row],[D, top '[m']]])/(WHOLE_STRUCTURE[[#This Row],[Bottom '[mLAT']]]-WHOLE_STRUCTURE[[#This Row],[Top '[mLAT']]]),"")</f>
        <v/>
      </c>
      <c r="M83" s="107" t="str">
        <f>IFERROR((WHOLE_STRUCTURE[[#This Row],[D, bottom '[m']]]+WHOLE_STRUCTURE[[#This Row],[D, top '[m']]])/(2*WHOLE_STRUCTURE[[#This Row],[t '[mm']]]/1000),"")</f>
        <v/>
      </c>
    </row>
    <row r="84" spans="10:13" x14ac:dyDescent="0.3">
      <c r="J84" s="107" t="str">
        <f>IF(7850/1000*(1/3)*PI()*ABS(E84-F84)*((G84/2)^2+(G84/2)*(H84/2)+(H84/2)^2-(G84/2-I84/1000)^2-(G84/2-I84/1000)*(H84/2-I84/1000)-(H84/2-I84/1000)^2)=0,"",7850/1000*(1/3)*PI()*ABS(E84-F84)*((G84/2)^2+(G84/2)*(H84/2)+(H84/2)^2-(G84/2-I84/1000)^2-(G84/2-I84/1000)*(H84/2-I84/1000)-(H84/2-I84/1000)^2))</f>
        <v/>
      </c>
      <c r="K84" s="107" t="str">
        <f>IFERROR(WHOLE_STRUCTURE[[#This Row],[Bottom '[mLAT']]]-WHOLE_STRUCTURE[[#This Row],[D, top '[m']]], "")</f>
        <v/>
      </c>
      <c r="L84" s="107" t="str">
        <f>IFERROR(-(WHOLE_STRUCTURE[[#This Row],[D, bottom '[m']]]-WHOLE_STRUCTURE[[#This Row],[D, top '[m']]])/(WHOLE_STRUCTURE[[#This Row],[Bottom '[mLAT']]]-WHOLE_STRUCTURE[[#This Row],[Top '[mLAT']]]),"")</f>
        <v/>
      </c>
      <c r="M84" s="107" t="str">
        <f>IFERROR((WHOLE_STRUCTURE[[#This Row],[D, bottom '[m']]]+WHOLE_STRUCTURE[[#This Row],[D, top '[m']]])/(2*WHOLE_STRUCTURE[[#This Row],[t '[mm']]]/1000),"")</f>
        <v/>
      </c>
    </row>
    <row r="85" spans="10:13" x14ac:dyDescent="0.3">
      <c r="J85" s="107" t="str">
        <f>IF(7850/1000*(1/3)*PI()*ABS(E85-F85)*((G85/2)^2+(G85/2)*(H85/2)+(H85/2)^2-(G85/2-I85/1000)^2-(G85/2-I85/1000)*(H85/2-I85/1000)-(H85/2-I85/1000)^2)=0,"",7850/1000*(1/3)*PI()*ABS(E85-F85)*((G85/2)^2+(G85/2)*(H85/2)+(H85/2)^2-(G85/2-I85/1000)^2-(G85/2-I85/1000)*(H85/2-I85/1000)-(H85/2-I85/1000)^2))</f>
        <v/>
      </c>
      <c r="K85" s="107" t="str">
        <f>IFERROR(WHOLE_STRUCTURE[[#This Row],[Bottom '[mLAT']]]-WHOLE_STRUCTURE[[#This Row],[D, top '[m']]], "")</f>
        <v/>
      </c>
      <c r="L85" s="107" t="str">
        <f>IFERROR(-(WHOLE_STRUCTURE[[#This Row],[D, bottom '[m']]]-WHOLE_STRUCTURE[[#This Row],[D, top '[m']]])/(WHOLE_STRUCTURE[[#This Row],[Bottom '[mLAT']]]-WHOLE_STRUCTURE[[#This Row],[Top '[mLAT']]]),"")</f>
        <v/>
      </c>
      <c r="M85" s="107" t="str">
        <f>IFERROR((WHOLE_STRUCTURE[[#This Row],[D, bottom '[m']]]+WHOLE_STRUCTURE[[#This Row],[D, top '[m']]])/(2*WHOLE_STRUCTURE[[#This Row],[t '[mm']]]/1000),"")</f>
        <v/>
      </c>
    </row>
    <row r="86" spans="10:13" x14ac:dyDescent="0.3">
      <c r="J86" s="107" t="str">
        <f>IF(7850/1000*(1/3)*PI()*ABS(E86-F86)*((G86/2)^2+(G86/2)*(H86/2)+(H86/2)^2-(G86/2-I86/1000)^2-(G86/2-I86/1000)*(H86/2-I86/1000)-(H86/2-I86/1000)^2)=0,"",7850/1000*(1/3)*PI()*ABS(E86-F86)*((G86/2)^2+(G86/2)*(H86/2)+(H86/2)^2-(G86/2-I86/1000)^2-(G86/2-I86/1000)*(H86/2-I86/1000)-(H86/2-I86/1000)^2))</f>
        <v/>
      </c>
      <c r="K86" s="107" t="str">
        <f>IFERROR(WHOLE_STRUCTURE[[#This Row],[Bottom '[mLAT']]]-WHOLE_STRUCTURE[[#This Row],[D, top '[m']]], "")</f>
        <v/>
      </c>
      <c r="L86" s="107" t="str">
        <f>IFERROR(-(WHOLE_STRUCTURE[[#This Row],[D, bottom '[m']]]-WHOLE_STRUCTURE[[#This Row],[D, top '[m']]])/(WHOLE_STRUCTURE[[#This Row],[Bottom '[mLAT']]]-WHOLE_STRUCTURE[[#This Row],[Top '[mLAT']]]),"")</f>
        <v/>
      </c>
      <c r="M86" s="107" t="str">
        <f>IFERROR((WHOLE_STRUCTURE[[#This Row],[D, bottom '[m']]]+WHOLE_STRUCTURE[[#This Row],[D, top '[m']]])/(2*WHOLE_STRUCTURE[[#This Row],[t '[mm']]]/1000),"")</f>
        <v/>
      </c>
    </row>
    <row r="87" spans="10:13" x14ac:dyDescent="0.3">
      <c r="J87" s="107" t="str">
        <f>IF(7850/1000*(1/3)*PI()*ABS(E87-F87)*((G87/2)^2+(G87/2)*(H87/2)+(H87/2)^2-(G87/2-I87/1000)^2-(G87/2-I87/1000)*(H87/2-I87/1000)-(H87/2-I87/1000)^2)=0,"",7850/1000*(1/3)*PI()*ABS(E87-F87)*((G87/2)^2+(G87/2)*(H87/2)+(H87/2)^2-(G87/2-I87/1000)^2-(G87/2-I87/1000)*(H87/2-I87/1000)-(H87/2-I87/1000)^2))</f>
        <v/>
      </c>
      <c r="K87" s="107" t="str">
        <f>IFERROR(WHOLE_STRUCTURE[[#This Row],[Bottom '[mLAT']]]-WHOLE_STRUCTURE[[#This Row],[D, top '[m']]], "")</f>
        <v/>
      </c>
      <c r="L87" s="107" t="str">
        <f>IFERROR(-(WHOLE_STRUCTURE[[#This Row],[D, bottom '[m']]]-WHOLE_STRUCTURE[[#This Row],[D, top '[m']]])/(WHOLE_STRUCTURE[[#This Row],[Bottom '[mLAT']]]-WHOLE_STRUCTURE[[#This Row],[Top '[mLAT']]]),"")</f>
        <v/>
      </c>
      <c r="M87" s="107" t="str">
        <f>IFERROR((WHOLE_STRUCTURE[[#This Row],[D, bottom '[m']]]+WHOLE_STRUCTURE[[#This Row],[D, top '[m']]])/(2*WHOLE_STRUCTURE[[#This Row],[t '[mm']]]/1000),"")</f>
        <v/>
      </c>
    </row>
    <row r="88" spans="10:13" x14ac:dyDescent="0.3">
      <c r="J88" s="107" t="str">
        <f>IF(7850/1000*(1/3)*PI()*ABS(E88-F88)*((G88/2)^2+(G88/2)*(H88/2)+(H88/2)^2-(G88/2-I88/1000)^2-(G88/2-I88/1000)*(H88/2-I88/1000)-(H88/2-I88/1000)^2)=0,"",7850/1000*(1/3)*PI()*ABS(E88-F88)*((G88/2)^2+(G88/2)*(H88/2)+(H88/2)^2-(G88/2-I88/1000)^2-(G88/2-I88/1000)*(H88/2-I88/1000)-(H88/2-I88/1000)^2))</f>
        <v/>
      </c>
      <c r="K88" s="107" t="str">
        <f>IFERROR(WHOLE_STRUCTURE[[#This Row],[Bottom '[mLAT']]]-WHOLE_STRUCTURE[[#This Row],[D, top '[m']]], "")</f>
        <v/>
      </c>
      <c r="L88" s="107" t="str">
        <f>IFERROR(-(WHOLE_STRUCTURE[[#This Row],[D, bottom '[m']]]-WHOLE_STRUCTURE[[#This Row],[D, top '[m']]])/(WHOLE_STRUCTURE[[#This Row],[Bottom '[mLAT']]]-WHOLE_STRUCTURE[[#This Row],[Top '[mLAT']]]),"")</f>
        <v/>
      </c>
      <c r="M88" s="107" t="str">
        <f>IFERROR((WHOLE_STRUCTURE[[#This Row],[D, bottom '[m']]]+WHOLE_STRUCTURE[[#This Row],[D, top '[m']]])/(2*WHOLE_STRUCTURE[[#This Row],[t '[mm']]]/1000),"")</f>
        <v/>
      </c>
    </row>
    <row r="89" spans="10:13" x14ac:dyDescent="0.3">
      <c r="J89" s="107" t="str">
        <f>IF(7850/1000*(1/3)*PI()*ABS(E89-F89)*((G89/2)^2+(G89/2)*(H89/2)+(H89/2)^2-(G89/2-I89/1000)^2-(G89/2-I89/1000)*(H89/2-I89/1000)-(H89/2-I89/1000)^2)=0,"",7850/1000*(1/3)*PI()*ABS(E89-F89)*((G89/2)^2+(G89/2)*(H89/2)+(H89/2)^2-(G89/2-I89/1000)^2-(G89/2-I89/1000)*(H89/2-I89/1000)-(H89/2-I89/1000)^2))</f>
        <v/>
      </c>
      <c r="K89" s="107" t="str">
        <f>IFERROR(WHOLE_STRUCTURE[[#This Row],[Bottom '[mLAT']]]-WHOLE_STRUCTURE[[#This Row],[D, top '[m']]], "")</f>
        <v/>
      </c>
      <c r="L89" s="107" t="str">
        <f>IFERROR(-(WHOLE_STRUCTURE[[#This Row],[D, bottom '[m']]]-WHOLE_STRUCTURE[[#This Row],[D, top '[m']]])/(WHOLE_STRUCTURE[[#This Row],[Bottom '[mLAT']]]-WHOLE_STRUCTURE[[#This Row],[Top '[mLAT']]]),"")</f>
        <v/>
      </c>
      <c r="M89" s="107" t="str">
        <f>IFERROR((WHOLE_STRUCTURE[[#This Row],[D, bottom '[m']]]+WHOLE_STRUCTURE[[#This Row],[D, top '[m']]])/(2*WHOLE_STRUCTURE[[#This Row],[t '[mm']]]/1000),"")</f>
        <v/>
      </c>
    </row>
    <row r="90" spans="10:13" x14ac:dyDescent="0.3">
      <c r="J90" s="107" t="str">
        <f>IF(7850/1000*(1/3)*PI()*ABS(E90-F90)*((G90/2)^2+(G90/2)*(H90/2)+(H90/2)^2-(G90/2-I90/1000)^2-(G90/2-I90/1000)*(H90/2-I90/1000)-(H90/2-I90/1000)^2)=0,"",7850/1000*(1/3)*PI()*ABS(E90-F90)*((G90/2)^2+(G90/2)*(H90/2)+(H90/2)^2-(G90/2-I90/1000)^2-(G90/2-I90/1000)*(H90/2-I90/1000)-(H90/2-I90/1000)^2))</f>
        <v/>
      </c>
      <c r="K90" s="107" t="str">
        <f>IFERROR(WHOLE_STRUCTURE[[#This Row],[Bottom '[mLAT']]]-WHOLE_STRUCTURE[[#This Row],[D, top '[m']]], "")</f>
        <v/>
      </c>
      <c r="L90" s="107" t="str">
        <f>IFERROR(-(WHOLE_STRUCTURE[[#This Row],[D, bottom '[m']]]-WHOLE_STRUCTURE[[#This Row],[D, top '[m']]])/(WHOLE_STRUCTURE[[#This Row],[Bottom '[mLAT']]]-WHOLE_STRUCTURE[[#This Row],[Top '[mLAT']]]),"")</f>
        <v/>
      </c>
      <c r="M90" s="107" t="str">
        <f>IFERROR((WHOLE_STRUCTURE[[#This Row],[D, bottom '[m']]]+WHOLE_STRUCTURE[[#This Row],[D, top '[m']]])/(2*WHOLE_STRUCTURE[[#This Row],[t '[mm']]]/1000),"")</f>
        <v/>
      </c>
    </row>
    <row r="91" spans="10:13" x14ac:dyDescent="0.3">
      <c r="J91" s="107" t="str">
        <f>IF(7850/1000*(1/3)*PI()*ABS(E91-F91)*((G91/2)^2+(G91/2)*(H91/2)+(H91/2)^2-(G91/2-I91/1000)^2-(G91/2-I91/1000)*(H91/2-I91/1000)-(H91/2-I91/1000)^2)=0,"",7850/1000*(1/3)*PI()*ABS(E91-F91)*((G91/2)^2+(G91/2)*(H91/2)+(H91/2)^2-(G91/2-I91/1000)^2-(G91/2-I91/1000)*(H91/2-I91/1000)-(H91/2-I91/1000)^2))</f>
        <v/>
      </c>
      <c r="K91" s="107" t="str">
        <f>IFERROR(WHOLE_STRUCTURE[[#This Row],[Bottom '[mLAT']]]-WHOLE_STRUCTURE[[#This Row],[D, top '[m']]], "")</f>
        <v/>
      </c>
      <c r="L91" s="107" t="str">
        <f>IFERROR(-(WHOLE_STRUCTURE[[#This Row],[D, bottom '[m']]]-WHOLE_STRUCTURE[[#This Row],[D, top '[m']]])/(WHOLE_STRUCTURE[[#This Row],[Bottom '[mLAT']]]-WHOLE_STRUCTURE[[#This Row],[Top '[mLAT']]]),"")</f>
        <v/>
      </c>
      <c r="M91" s="107" t="str">
        <f>IFERROR((WHOLE_STRUCTURE[[#This Row],[D, bottom '[m']]]+WHOLE_STRUCTURE[[#This Row],[D, top '[m']]])/(2*WHOLE_STRUCTURE[[#This Row],[t '[mm']]]/1000),"")</f>
        <v/>
      </c>
    </row>
    <row r="92" spans="10:13" x14ac:dyDescent="0.3">
      <c r="J92" s="107" t="str">
        <f>IF(7850/1000*(1/3)*PI()*ABS(E92-F92)*((G92/2)^2+(G92/2)*(H92/2)+(H92/2)^2-(G92/2-I92/1000)^2-(G92/2-I92/1000)*(H92/2-I92/1000)-(H92/2-I92/1000)^2)=0,"",7850/1000*(1/3)*PI()*ABS(E92-F92)*((G92/2)^2+(G92/2)*(H92/2)+(H92/2)^2-(G92/2-I92/1000)^2-(G92/2-I92/1000)*(H92/2-I92/1000)-(H92/2-I92/1000)^2))</f>
        <v/>
      </c>
      <c r="K92" s="107" t="str">
        <f>IFERROR(WHOLE_STRUCTURE[[#This Row],[Bottom '[mLAT']]]-WHOLE_STRUCTURE[[#This Row],[D, top '[m']]], "")</f>
        <v/>
      </c>
      <c r="L92" s="107" t="str">
        <f>IFERROR(-(WHOLE_STRUCTURE[[#This Row],[D, bottom '[m']]]-WHOLE_STRUCTURE[[#This Row],[D, top '[m']]])/(WHOLE_STRUCTURE[[#This Row],[Bottom '[mLAT']]]-WHOLE_STRUCTURE[[#This Row],[Top '[mLAT']]]),"")</f>
        <v/>
      </c>
      <c r="M92" s="107" t="str">
        <f>IFERROR((WHOLE_STRUCTURE[[#This Row],[D, bottom '[m']]]+WHOLE_STRUCTURE[[#This Row],[D, top '[m']]])/(2*WHOLE_STRUCTURE[[#This Row],[t '[mm']]]/1000),"")</f>
        <v/>
      </c>
    </row>
    <row r="93" spans="10:13" x14ac:dyDescent="0.3">
      <c r="J93" s="107" t="str">
        <f>IF(7850/1000*(1/3)*PI()*ABS(E93-F93)*((G93/2)^2+(G93/2)*(H93/2)+(H93/2)^2-(G93/2-I93/1000)^2-(G93/2-I93/1000)*(H93/2-I93/1000)-(H93/2-I93/1000)^2)=0,"",7850/1000*(1/3)*PI()*ABS(E93-F93)*((G93/2)^2+(G93/2)*(H93/2)+(H93/2)^2-(G93/2-I93/1000)^2-(G93/2-I93/1000)*(H93/2-I93/1000)-(H93/2-I93/1000)^2))</f>
        <v/>
      </c>
      <c r="K93" s="107" t="str">
        <f>IFERROR(WHOLE_STRUCTURE[[#This Row],[Bottom '[mLAT']]]-WHOLE_STRUCTURE[[#This Row],[D, top '[m']]], "")</f>
        <v/>
      </c>
      <c r="L93" s="107" t="str">
        <f>IFERROR(-(WHOLE_STRUCTURE[[#This Row],[D, bottom '[m']]]-WHOLE_STRUCTURE[[#This Row],[D, top '[m']]])/(WHOLE_STRUCTURE[[#This Row],[Bottom '[mLAT']]]-WHOLE_STRUCTURE[[#This Row],[Top '[mLAT']]]),"")</f>
        <v/>
      </c>
      <c r="M93" s="107" t="str">
        <f>IFERROR((WHOLE_STRUCTURE[[#This Row],[D, bottom '[m']]]+WHOLE_STRUCTURE[[#This Row],[D, top '[m']]])/(2*WHOLE_STRUCTURE[[#This Row],[t '[mm']]]/1000),"")</f>
        <v/>
      </c>
    </row>
    <row r="94" spans="10:13" x14ac:dyDescent="0.3">
      <c r="J94" s="107" t="str">
        <f>IF(7850/1000*(1/3)*PI()*ABS(E94-F94)*((G94/2)^2+(G94/2)*(H94/2)+(H94/2)^2-(G94/2-I94/1000)^2-(G94/2-I94/1000)*(H94/2-I94/1000)-(H94/2-I94/1000)^2)=0,"",7850/1000*(1/3)*PI()*ABS(E94-F94)*((G94/2)^2+(G94/2)*(H94/2)+(H94/2)^2-(G94/2-I94/1000)^2-(G94/2-I94/1000)*(H94/2-I94/1000)-(H94/2-I94/1000)^2))</f>
        <v/>
      </c>
      <c r="K94" s="107" t="str">
        <f>IFERROR(WHOLE_STRUCTURE[[#This Row],[Bottom '[mLAT']]]-WHOLE_STRUCTURE[[#This Row],[D, top '[m']]], "")</f>
        <v/>
      </c>
      <c r="L94" s="107" t="str">
        <f>IFERROR(-(WHOLE_STRUCTURE[[#This Row],[D, bottom '[m']]]-WHOLE_STRUCTURE[[#This Row],[D, top '[m']]])/(WHOLE_STRUCTURE[[#This Row],[Bottom '[mLAT']]]-WHOLE_STRUCTURE[[#This Row],[Top '[mLAT']]]),"")</f>
        <v/>
      </c>
      <c r="M94" s="107" t="str">
        <f>IFERROR((WHOLE_STRUCTURE[[#This Row],[D, bottom '[m']]]+WHOLE_STRUCTURE[[#This Row],[D, top '[m']]])/(2*WHOLE_STRUCTURE[[#This Row],[t '[mm']]]/1000),"")</f>
        <v/>
      </c>
    </row>
    <row r="95" spans="10:13" x14ac:dyDescent="0.3">
      <c r="J95" s="107" t="str">
        <f>IF(7850/1000*(1/3)*PI()*ABS(E95-F95)*((G95/2)^2+(G95/2)*(H95/2)+(H95/2)^2-(G95/2-I95/1000)^2-(G95/2-I95/1000)*(H95/2-I95/1000)-(H95/2-I95/1000)^2)=0,"",7850/1000*(1/3)*PI()*ABS(E95-F95)*((G95/2)^2+(G95/2)*(H95/2)+(H95/2)^2-(G95/2-I95/1000)^2-(G95/2-I95/1000)*(H95/2-I95/1000)-(H95/2-I95/1000)^2))</f>
        <v/>
      </c>
      <c r="K95" s="107" t="str">
        <f>IFERROR(WHOLE_STRUCTURE[[#This Row],[Bottom '[mLAT']]]-WHOLE_STRUCTURE[[#This Row],[D, top '[m']]], "")</f>
        <v/>
      </c>
      <c r="L95" s="107" t="str">
        <f>IFERROR(-(WHOLE_STRUCTURE[[#This Row],[D, bottom '[m']]]-WHOLE_STRUCTURE[[#This Row],[D, top '[m']]])/(WHOLE_STRUCTURE[[#This Row],[Bottom '[mLAT']]]-WHOLE_STRUCTURE[[#This Row],[Top '[mLAT']]]),"")</f>
        <v/>
      </c>
      <c r="M95" s="107" t="str">
        <f>IFERROR((WHOLE_STRUCTURE[[#This Row],[D, bottom '[m']]]+WHOLE_STRUCTURE[[#This Row],[D, top '[m']]])/(2*WHOLE_STRUCTURE[[#This Row],[t '[mm']]]/1000),"")</f>
        <v/>
      </c>
    </row>
    <row r="96" spans="10:13" x14ac:dyDescent="0.3">
      <c r="J96" s="107" t="str">
        <f>IF(7850/1000*(1/3)*PI()*ABS(E96-F96)*((G96/2)^2+(G96/2)*(H96/2)+(H96/2)^2-(G96/2-I96/1000)^2-(G96/2-I96/1000)*(H96/2-I96/1000)-(H96/2-I96/1000)^2)=0,"",7850/1000*(1/3)*PI()*ABS(E96-F96)*((G96/2)^2+(G96/2)*(H96/2)+(H96/2)^2-(G96/2-I96/1000)^2-(G96/2-I96/1000)*(H96/2-I96/1000)-(H96/2-I96/1000)^2))</f>
        <v/>
      </c>
      <c r="K96" s="107" t="str">
        <f>IFERROR(WHOLE_STRUCTURE[[#This Row],[Bottom '[mLAT']]]-WHOLE_STRUCTURE[[#This Row],[D, top '[m']]], "")</f>
        <v/>
      </c>
      <c r="L96" s="107" t="str">
        <f>IFERROR(-(WHOLE_STRUCTURE[[#This Row],[D, bottom '[m']]]-WHOLE_STRUCTURE[[#This Row],[D, top '[m']]])/(WHOLE_STRUCTURE[[#This Row],[Bottom '[mLAT']]]-WHOLE_STRUCTURE[[#This Row],[Top '[mLAT']]]),"")</f>
        <v/>
      </c>
      <c r="M96" s="107" t="str">
        <f>IFERROR((WHOLE_STRUCTURE[[#This Row],[D, bottom '[m']]]+WHOLE_STRUCTURE[[#This Row],[D, top '[m']]])/(2*WHOLE_STRUCTURE[[#This Row],[t '[mm']]]/1000),"")</f>
        <v/>
      </c>
    </row>
    <row r="97" spans="10:13" x14ac:dyDescent="0.3">
      <c r="J97" s="107" t="str">
        <f>IF(7850/1000*(1/3)*PI()*ABS(E97-F97)*((G97/2)^2+(G97/2)*(H97/2)+(H97/2)^2-(G97/2-I97/1000)^2-(G97/2-I97/1000)*(H97/2-I97/1000)-(H97/2-I97/1000)^2)=0,"",7850/1000*(1/3)*PI()*ABS(E97-F97)*((G97/2)^2+(G97/2)*(H97/2)+(H97/2)^2-(G97/2-I97/1000)^2-(G97/2-I97/1000)*(H97/2-I97/1000)-(H97/2-I97/1000)^2))</f>
        <v/>
      </c>
      <c r="K97" s="107" t="str">
        <f>IFERROR(WHOLE_STRUCTURE[[#This Row],[Bottom '[mLAT']]]-WHOLE_STRUCTURE[[#This Row],[D, top '[m']]], "")</f>
        <v/>
      </c>
      <c r="L97" s="107" t="str">
        <f>IFERROR(-(WHOLE_STRUCTURE[[#This Row],[D, bottom '[m']]]-WHOLE_STRUCTURE[[#This Row],[D, top '[m']]])/(WHOLE_STRUCTURE[[#This Row],[Bottom '[mLAT']]]-WHOLE_STRUCTURE[[#This Row],[Top '[mLAT']]]),"")</f>
        <v/>
      </c>
      <c r="M97" s="107" t="str">
        <f>IFERROR((WHOLE_STRUCTURE[[#This Row],[D, bottom '[m']]]+WHOLE_STRUCTURE[[#This Row],[D, top '[m']]])/(2*WHOLE_STRUCTURE[[#This Row],[t '[mm']]]/1000),"")</f>
        <v/>
      </c>
    </row>
    <row r="98" spans="10:13" x14ac:dyDescent="0.3">
      <c r="J98" s="107" t="str">
        <f>IF(7850/1000*(1/3)*PI()*ABS(E98-F98)*((G98/2)^2+(G98/2)*(H98/2)+(H98/2)^2-(G98/2-I98/1000)^2-(G98/2-I98/1000)*(H98/2-I98/1000)-(H98/2-I98/1000)^2)=0,"",7850/1000*(1/3)*PI()*ABS(E98-F98)*((G98/2)^2+(G98/2)*(H98/2)+(H98/2)^2-(G98/2-I98/1000)^2-(G98/2-I98/1000)*(H98/2-I98/1000)-(H98/2-I98/1000)^2))</f>
        <v/>
      </c>
      <c r="K98" s="107" t="str">
        <f>IFERROR(WHOLE_STRUCTURE[[#This Row],[Bottom '[mLAT']]]-WHOLE_STRUCTURE[[#This Row],[D, top '[m']]], "")</f>
        <v/>
      </c>
      <c r="L98" s="107" t="str">
        <f>IFERROR(-(WHOLE_STRUCTURE[[#This Row],[D, bottom '[m']]]-WHOLE_STRUCTURE[[#This Row],[D, top '[m']]])/(WHOLE_STRUCTURE[[#This Row],[Bottom '[mLAT']]]-WHOLE_STRUCTURE[[#This Row],[Top '[mLAT']]]),"")</f>
        <v/>
      </c>
      <c r="M98" s="107" t="str">
        <f>IFERROR((WHOLE_STRUCTURE[[#This Row],[D, bottom '[m']]]+WHOLE_STRUCTURE[[#This Row],[D, top '[m']]])/(2*WHOLE_STRUCTURE[[#This Row],[t '[mm']]]/1000),"")</f>
        <v/>
      </c>
    </row>
    <row r="99" spans="10:13" x14ac:dyDescent="0.3">
      <c r="J99" s="107" t="str">
        <f>IF(7850/1000*(1/3)*PI()*ABS(E99-F99)*((G99/2)^2+(G99/2)*(H99/2)+(H99/2)^2-(G99/2-I99/1000)^2-(G99/2-I99/1000)*(H99/2-I99/1000)-(H99/2-I99/1000)^2)=0,"",7850/1000*(1/3)*PI()*ABS(E99-F99)*((G99/2)^2+(G99/2)*(H99/2)+(H99/2)^2-(G99/2-I99/1000)^2-(G99/2-I99/1000)*(H99/2-I99/1000)-(H99/2-I99/1000)^2))</f>
        <v/>
      </c>
      <c r="K99" s="107" t="str">
        <f>IFERROR(WHOLE_STRUCTURE[[#This Row],[Bottom '[mLAT']]]-WHOLE_STRUCTURE[[#This Row],[D, top '[m']]], "")</f>
        <v/>
      </c>
      <c r="L99" s="107" t="str">
        <f>IFERROR(-(WHOLE_STRUCTURE[[#This Row],[D, bottom '[m']]]-WHOLE_STRUCTURE[[#This Row],[D, top '[m']]])/(WHOLE_STRUCTURE[[#This Row],[Bottom '[mLAT']]]-WHOLE_STRUCTURE[[#This Row],[Top '[mLAT']]]),"")</f>
        <v/>
      </c>
      <c r="M99" s="107" t="str">
        <f>IFERROR((WHOLE_STRUCTURE[[#This Row],[D, bottom '[m']]]+WHOLE_STRUCTURE[[#This Row],[D, top '[m']]])/(2*WHOLE_STRUCTURE[[#This Row],[t '[mm']]]/1000),"")</f>
        <v/>
      </c>
    </row>
    <row r="100" spans="10:13" x14ac:dyDescent="0.3">
      <c r="J100" s="107" t="str">
        <f>IF(7850/1000*(1/3)*PI()*ABS(E100-F100)*((G100/2)^2+(G100/2)*(H100/2)+(H100/2)^2-(G100/2-I100/1000)^2-(G100/2-I100/1000)*(H100/2-I100/1000)-(H100/2-I100/1000)^2)=0,"",7850/1000*(1/3)*PI()*ABS(E100-F100)*((G100/2)^2+(G100/2)*(H100/2)+(H100/2)^2-(G100/2-I100/1000)^2-(G100/2-I100/1000)*(H100/2-I100/1000)-(H100/2-I100/1000)^2))</f>
        <v/>
      </c>
      <c r="K100" s="107" t="str">
        <f>IFERROR(WHOLE_STRUCTURE[[#This Row],[Bottom '[mLAT']]]-WHOLE_STRUCTURE[[#This Row],[D, top '[m']]], "")</f>
        <v/>
      </c>
      <c r="L100" s="107" t="str">
        <f>IFERROR(-(WHOLE_STRUCTURE[[#This Row],[D, bottom '[m']]]-WHOLE_STRUCTURE[[#This Row],[D, top '[m']]])/(WHOLE_STRUCTURE[[#This Row],[Bottom '[mLAT']]]-WHOLE_STRUCTURE[[#This Row],[Top '[mLAT']]]),"")</f>
        <v/>
      </c>
      <c r="M100" s="107" t="str">
        <f>IFERROR((WHOLE_STRUCTURE[[#This Row],[D, bottom '[m']]]+WHOLE_STRUCTURE[[#This Row],[D, top '[m']]])/(2*WHOLE_STRUCTURE[[#This Row],[t '[mm']]]/1000),"")</f>
        <v/>
      </c>
    </row>
    <row r="101" spans="10:13" x14ac:dyDescent="0.3">
      <c r="J101" s="107" t="str">
        <f>IF(7850/1000*(1/3)*PI()*ABS(E101-F101)*((G101/2)^2+(G101/2)*(H101/2)+(H101/2)^2-(G101/2-I101/1000)^2-(G101/2-I101/1000)*(H101/2-I101/1000)-(H101/2-I101/1000)^2)=0,"",7850/1000*(1/3)*PI()*ABS(E101-F101)*((G101/2)^2+(G101/2)*(H101/2)+(H101/2)^2-(G101/2-I101/1000)^2-(G101/2-I101/1000)*(H101/2-I101/1000)-(H101/2-I101/1000)^2))</f>
        <v/>
      </c>
      <c r="K101" s="107" t="str">
        <f>IFERROR(WHOLE_STRUCTURE[[#This Row],[Bottom '[mLAT']]]-WHOLE_STRUCTURE[[#This Row],[D, top '[m']]], "")</f>
        <v/>
      </c>
      <c r="L101" s="107" t="str">
        <f>IFERROR(-(WHOLE_STRUCTURE[[#This Row],[D, bottom '[m']]]-WHOLE_STRUCTURE[[#This Row],[D, top '[m']]])/(WHOLE_STRUCTURE[[#This Row],[Bottom '[mLAT']]]-WHOLE_STRUCTURE[[#This Row],[Top '[mLAT']]]),"")</f>
        <v/>
      </c>
      <c r="M101" s="107" t="str">
        <f>IFERROR((WHOLE_STRUCTURE[[#This Row],[D, bottom '[m']]]+WHOLE_STRUCTURE[[#This Row],[D, top '[m']]])/(2*WHOLE_STRUCTURE[[#This Row],[t '[mm']]]/1000),"")</f>
        <v/>
      </c>
    </row>
    <row r="102" spans="10:13" x14ac:dyDescent="0.3">
      <c r="J102" s="107" t="str">
        <f>IF(7850/1000*(1/3)*PI()*ABS(E102-F102)*((G102/2)^2+(G102/2)*(H102/2)+(H102/2)^2-(G102/2-I102/1000)^2-(G102/2-I102/1000)*(H102/2-I102/1000)-(H102/2-I102/1000)^2)=0,"",7850/1000*(1/3)*PI()*ABS(E102-F102)*((G102/2)^2+(G102/2)*(H102/2)+(H102/2)^2-(G102/2-I102/1000)^2-(G102/2-I102/1000)*(H102/2-I102/1000)-(H102/2-I102/1000)^2))</f>
        <v/>
      </c>
      <c r="K102" s="107" t="str">
        <f>IFERROR(WHOLE_STRUCTURE[[#This Row],[Bottom '[mLAT']]]-WHOLE_STRUCTURE[[#This Row],[D, top '[m']]], "")</f>
        <v/>
      </c>
      <c r="L102" s="107" t="str">
        <f>IFERROR(-(WHOLE_STRUCTURE[[#This Row],[D, bottom '[m']]]-WHOLE_STRUCTURE[[#This Row],[D, top '[m']]])/(WHOLE_STRUCTURE[[#This Row],[Bottom '[mLAT']]]-WHOLE_STRUCTURE[[#This Row],[Top '[mLAT']]]),"")</f>
        <v/>
      </c>
      <c r="M102" s="107" t="str">
        <f>IFERROR((WHOLE_STRUCTURE[[#This Row],[D, bottom '[m']]]+WHOLE_STRUCTURE[[#This Row],[D, top '[m']]])/(2*WHOLE_STRUCTURE[[#This Row],[t '[mm']]]/1000),"")</f>
        <v/>
      </c>
    </row>
    <row r="103" spans="10:13" x14ac:dyDescent="0.3">
      <c r="J103" s="107" t="str">
        <f>IF(7850/1000*(1/3)*PI()*ABS(E103-F103)*((G103/2)^2+(G103/2)*(H103/2)+(H103/2)^2-(G103/2-I103/1000)^2-(G103/2-I103/1000)*(H103/2-I103/1000)-(H103/2-I103/1000)^2)=0,"",7850/1000*(1/3)*PI()*ABS(E103-F103)*((G103/2)^2+(G103/2)*(H103/2)+(H103/2)^2-(G103/2-I103/1000)^2-(G103/2-I103/1000)*(H103/2-I103/1000)-(H103/2-I103/1000)^2))</f>
        <v/>
      </c>
      <c r="K103" s="107" t="str">
        <f>IFERROR(WHOLE_STRUCTURE[[#This Row],[Bottom '[mLAT']]]-WHOLE_STRUCTURE[[#This Row],[D, top '[m']]], "")</f>
        <v/>
      </c>
      <c r="L103" s="107" t="str">
        <f>IFERROR(-(WHOLE_STRUCTURE[[#This Row],[D, bottom '[m']]]-WHOLE_STRUCTURE[[#This Row],[D, top '[m']]])/(WHOLE_STRUCTURE[[#This Row],[Bottom '[mLAT']]]-WHOLE_STRUCTURE[[#This Row],[Top '[mLAT']]]),"")</f>
        <v/>
      </c>
      <c r="M103" s="107" t="str">
        <f>IFERROR((WHOLE_STRUCTURE[[#This Row],[D, bottom '[m']]]+WHOLE_STRUCTURE[[#This Row],[D, top '[m']]])/(2*WHOLE_STRUCTURE[[#This Row],[t '[mm']]]/1000),"")</f>
        <v/>
      </c>
    </row>
    <row r="104" spans="10:13" x14ac:dyDescent="0.3">
      <c r="J104" s="107" t="str">
        <f>IF(7850/1000*(1/3)*PI()*ABS(E104-F104)*((G104/2)^2+(G104/2)*(H104/2)+(H104/2)^2-(G104/2-I104/1000)^2-(G104/2-I104/1000)*(H104/2-I104/1000)-(H104/2-I104/1000)^2)=0,"",7850/1000*(1/3)*PI()*ABS(E104-F104)*((G104/2)^2+(G104/2)*(H104/2)+(H104/2)^2-(G104/2-I104/1000)^2-(G104/2-I104/1000)*(H104/2-I104/1000)-(H104/2-I104/1000)^2))</f>
        <v/>
      </c>
      <c r="K104" s="107" t="str">
        <f>IFERROR(WHOLE_STRUCTURE[[#This Row],[Bottom '[mLAT']]]-WHOLE_STRUCTURE[[#This Row],[D, top '[m']]], "")</f>
        <v/>
      </c>
      <c r="L104" s="107" t="str">
        <f>IFERROR(-(WHOLE_STRUCTURE[[#This Row],[D, bottom '[m']]]-WHOLE_STRUCTURE[[#This Row],[D, top '[m']]])/(WHOLE_STRUCTURE[[#This Row],[Bottom '[mLAT']]]-WHOLE_STRUCTURE[[#This Row],[Top '[mLAT']]]),"")</f>
        <v/>
      </c>
      <c r="M104" s="107" t="str">
        <f>IFERROR((WHOLE_STRUCTURE[[#This Row],[D, bottom '[m']]]+WHOLE_STRUCTURE[[#This Row],[D, top '[m']]])/(2*WHOLE_STRUCTURE[[#This Row],[t '[mm']]]/1000),"")</f>
        <v/>
      </c>
    </row>
    <row r="105" spans="10:13" x14ac:dyDescent="0.3">
      <c r="J105" s="107" t="str">
        <f>IF(7850/1000*(1/3)*PI()*ABS(E105-F105)*((G105/2)^2+(G105/2)*(H105/2)+(H105/2)^2-(G105/2-I105/1000)^2-(G105/2-I105/1000)*(H105/2-I105/1000)-(H105/2-I105/1000)^2)=0,"",7850/1000*(1/3)*PI()*ABS(E105-F105)*((G105/2)^2+(G105/2)*(H105/2)+(H105/2)^2-(G105/2-I105/1000)^2-(G105/2-I105/1000)*(H105/2-I105/1000)-(H105/2-I105/1000)^2))</f>
        <v/>
      </c>
      <c r="K105" s="107" t="str">
        <f>IFERROR(WHOLE_STRUCTURE[[#This Row],[Bottom '[mLAT']]]-WHOLE_STRUCTURE[[#This Row],[D, top '[m']]], "")</f>
        <v/>
      </c>
      <c r="L105" s="107" t="str">
        <f>IFERROR(-(WHOLE_STRUCTURE[[#This Row],[D, bottom '[m']]]-WHOLE_STRUCTURE[[#This Row],[D, top '[m']]])/(WHOLE_STRUCTURE[[#This Row],[Bottom '[mLAT']]]-WHOLE_STRUCTURE[[#This Row],[Top '[mLAT']]]),"")</f>
        <v/>
      </c>
      <c r="M105" s="107" t="str">
        <f>IFERROR((WHOLE_STRUCTURE[[#This Row],[D, bottom '[m']]]+WHOLE_STRUCTURE[[#This Row],[D, top '[m']]])/(2*WHOLE_STRUCTURE[[#This Row],[t '[mm']]]/1000),"")</f>
        <v/>
      </c>
    </row>
    <row r="106" spans="10:13" x14ac:dyDescent="0.3">
      <c r="J106" s="107" t="str">
        <f>IF(7850/1000*(1/3)*PI()*ABS(E106-F106)*((G106/2)^2+(G106/2)*(H106/2)+(H106/2)^2-(G106/2-I106/1000)^2-(G106/2-I106/1000)*(H106/2-I106/1000)-(H106/2-I106/1000)^2)=0,"",7850/1000*(1/3)*PI()*ABS(E106-F106)*((G106/2)^2+(G106/2)*(H106/2)+(H106/2)^2-(G106/2-I106/1000)^2-(G106/2-I106/1000)*(H106/2-I106/1000)-(H106/2-I106/1000)^2))</f>
        <v/>
      </c>
      <c r="K106" s="107" t="str">
        <f>IFERROR(WHOLE_STRUCTURE[[#This Row],[Bottom '[mLAT']]]-WHOLE_STRUCTURE[[#This Row],[D, top '[m']]], "")</f>
        <v/>
      </c>
      <c r="L106" s="107" t="str">
        <f>IFERROR(-(WHOLE_STRUCTURE[[#This Row],[D, bottom '[m']]]-WHOLE_STRUCTURE[[#This Row],[D, top '[m']]])/(WHOLE_STRUCTURE[[#This Row],[Bottom '[mLAT']]]-WHOLE_STRUCTURE[[#This Row],[Top '[mLAT']]]),"")</f>
        <v/>
      </c>
      <c r="M106" s="107" t="str">
        <f>IFERROR((WHOLE_STRUCTURE[[#This Row],[D, bottom '[m']]]+WHOLE_STRUCTURE[[#This Row],[D, top '[m']]])/(2*WHOLE_STRUCTURE[[#This Row],[t '[mm']]]/1000),"")</f>
        <v/>
      </c>
    </row>
    <row r="107" spans="10:13" x14ac:dyDescent="0.3">
      <c r="J107" s="107" t="str">
        <f>IF(7850/1000*(1/3)*PI()*ABS(E107-F107)*((G107/2)^2+(G107/2)*(H107/2)+(H107/2)^2-(G107/2-I107/1000)^2-(G107/2-I107/1000)*(H107/2-I107/1000)-(H107/2-I107/1000)^2)=0,"",7850/1000*(1/3)*PI()*ABS(E107-F107)*((G107/2)^2+(G107/2)*(H107/2)+(H107/2)^2-(G107/2-I107/1000)^2-(G107/2-I107/1000)*(H107/2-I107/1000)-(H107/2-I107/1000)^2))</f>
        <v/>
      </c>
      <c r="K107" s="107" t="str">
        <f>IFERROR(WHOLE_STRUCTURE[[#This Row],[Bottom '[mLAT']]]-WHOLE_STRUCTURE[[#This Row],[D, top '[m']]], "")</f>
        <v/>
      </c>
      <c r="L107" s="107" t="str">
        <f>IFERROR(-(WHOLE_STRUCTURE[[#This Row],[D, bottom '[m']]]-WHOLE_STRUCTURE[[#This Row],[D, top '[m']]])/(WHOLE_STRUCTURE[[#This Row],[Bottom '[mLAT']]]-WHOLE_STRUCTURE[[#This Row],[Top '[mLAT']]]),"")</f>
        <v/>
      </c>
      <c r="M107" s="107" t="str">
        <f>IFERROR((WHOLE_STRUCTURE[[#This Row],[D, bottom '[m']]]+WHOLE_STRUCTURE[[#This Row],[D, top '[m']]])/(2*WHOLE_STRUCTURE[[#This Row],[t '[mm']]]/1000),"")</f>
        <v/>
      </c>
    </row>
    <row r="108" spans="10:13" x14ac:dyDescent="0.3">
      <c r="J108" s="107" t="str">
        <f>IF(7850/1000*(1/3)*PI()*ABS(E108-F108)*((G108/2)^2+(G108/2)*(H108/2)+(H108/2)^2-(G108/2-I108/1000)^2-(G108/2-I108/1000)*(H108/2-I108/1000)-(H108/2-I108/1000)^2)=0,"",7850/1000*(1/3)*PI()*ABS(E108-F108)*((G108/2)^2+(G108/2)*(H108/2)+(H108/2)^2-(G108/2-I108/1000)^2-(G108/2-I108/1000)*(H108/2-I108/1000)-(H108/2-I108/1000)^2))</f>
        <v/>
      </c>
      <c r="K108" s="107" t="str">
        <f>IFERROR(WHOLE_STRUCTURE[[#This Row],[Bottom '[mLAT']]]-WHOLE_STRUCTURE[[#This Row],[D, top '[m']]], "")</f>
        <v/>
      </c>
      <c r="L108" s="107" t="str">
        <f>IFERROR(-(WHOLE_STRUCTURE[[#This Row],[D, bottom '[m']]]-WHOLE_STRUCTURE[[#This Row],[D, top '[m']]])/(WHOLE_STRUCTURE[[#This Row],[Bottom '[mLAT']]]-WHOLE_STRUCTURE[[#This Row],[Top '[mLAT']]]),"")</f>
        <v/>
      </c>
      <c r="M108" s="107" t="str">
        <f>IFERROR((WHOLE_STRUCTURE[[#This Row],[D, bottom '[m']]]+WHOLE_STRUCTURE[[#This Row],[D, top '[m']]])/(2*WHOLE_STRUCTURE[[#This Row],[t '[mm']]]/1000),"")</f>
        <v/>
      </c>
    </row>
    <row r="109" spans="10:13" x14ac:dyDescent="0.3">
      <c r="J109" s="107" t="str">
        <f>IF(7850/1000*(1/3)*PI()*ABS(E109-F109)*((G109/2)^2+(G109/2)*(H109/2)+(H109/2)^2-(G109/2-I109/1000)^2-(G109/2-I109/1000)*(H109/2-I109/1000)-(H109/2-I109/1000)^2)=0,"",7850/1000*(1/3)*PI()*ABS(E109-F109)*((G109/2)^2+(G109/2)*(H109/2)+(H109/2)^2-(G109/2-I109/1000)^2-(G109/2-I109/1000)*(H109/2-I109/1000)-(H109/2-I109/1000)^2))</f>
        <v/>
      </c>
      <c r="K109" s="107" t="str">
        <f>IFERROR(WHOLE_STRUCTURE[[#This Row],[Bottom '[mLAT']]]-WHOLE_STRUCTURE[[#This Row],[D, top '[m']]], "")</f>
        <v/>
      </c>
      <c r="L109" s="107" t="str">
        <f>IFERROR(-(WHOLE_STRUCTURE[[#This Row],[D, bottom '[m']]]-WHOLE_STRUCTURE[[#This Row],[D, top '[m']]])/(WHOLE_STRUCTURE[[#This Row],[Bottom '[mLAT']]]-WHOLE_STRUCTURE[[#This Row],[Top '[mLAT']]]),"")</f>
        <v/>
      </c>
      <c r="M109" s="107" t="str">
        <f>IFERROR((WHOLE_STRUCTURE[[#This Row],[D, bottom '[m']]]+WHOLE_STRUCTURE[[#This Row],[D, top '[m']]])/(2*WHOLE_STRUCTURE[[#This Row],[t '[mm']]]/1000),"")</f>
        <v/>
      </c>
    </row>
    <row r="110" spans="10:13" x14ac:dyDescent="0.3">
      <c r="J110" s="107" t="str">
        <f>IF(7850/1000*(1/3)*PI()*ABS(E110-F110)*((G110/2)^2+(G110/2)*(H110/2)+(H110/2)^2-(G110/2-I110/1000)^2-(G110/2-I110/1000)*(H110/2-I110/1000)-(H110/2-I110/1000)^2)=0,"",7850/1000*(1/3)*PI()*ABS(E110-F110)*((G110/2)^2+(G110/2)*(H110/2)+(H110/2)^2-(G110/2-I110/1000)^2-(G110/2-I110/1000)*(H110/2-I110/1000)-(H110/2-I110/1000)^2))</f>
        <v/>
      </c>
      <c r="K110" s="107" t="str">
        <f>IFERROR(WHOLE_STRUCTURE[[#This Row],[Bottom '[mLAT']]]-WHOLE_STRUCTURE[[#This Row],[D, top '[m']]], "")</f>
        <v/>
      </c>
      <c r="L110" s="107" t="str">
        <f>IFERROR(-(WHOLE_STRUCTURE[[#This Row],[D, bottom '[m']]]-WHOLE_STRUCTURE[[#This Row],[D, top '[m']]])/(WHOLE_STRUCTURE[[#This Row],[Bottom '[mLAT']]]-WHOLE_STRUCTURE[[#This Row],[Top '[mLAT']]]),"")</f>
        <v/>
      </c>
      <c r="M110" s="107" t="str">
        <f>IFERROR((WHOLE_STRUCTURE[[#This Row],[D, bottom '[m']]]+WHOLE_STRUCTURE[[#This Row],[D, top '[m']]])/(2*WHOLE_STRUCTURE[[#This Row],[t '[mm']]]/1000),"")</f>
        <v/>
      </c>
    </row>
    <row r="111" spans="10:13" x14ac:dyDescent="0.3">
      <c r="J111" s="107" t="str">
        <f>IF(7850/1000*(1/3)*PI()*ABS(E111-F111)*((G111/2)^2+(G111/2)*(H111/2)+(H111/2)^2-(G111/2-I111/1000)^2-(G111/2-I111/1000)*(H111/2-I111/1000)-(H111/2-I111/1000)^2)=0,"",7850/1000*(1/3)*PI()*ABS(E111-F111)*((G111/2)^2+(G111/2)*(H111/2)+(H111/2)^2-(G111/2-I111/1000)^2-(G111/2-I111/1000)*(H111/2-I111/1000)-(H111/2-I111/1000)^2))</f>
        <v/>
      </c>
      <c r="K111" s="107" t="str">
        <f>IFERROR(WHOLE_STRUCTURE[[#This Row],[Bottom '[mLAT']]]-WHOLE_STRUCTURE[[#This Row],[D, top '[m']]], "")</f>
        <v/>
      </c>
      <c r="L111" s="107" t="str">
        <f>IFERROR(-(WHOLE_STRUCTURE[[#This Row],[D, bottom '[m']]]-WHOLE_STRUCTURE[[#This Row],[D, top '[m']]])/(WHOLE_STRUCTURE[[#This Row],[Bottom '[mLAT']]]-WHOLE_STRUCTURE[[#This Row],[Top '[mLAT']]]),"")</f>
        <v/>
      </c>
      <c r="M111" s="107" t="str">
        <f>IFERROR((WHOLE_STRUCTURE[[#This Row],[D, bottom '[m']]]+WHOLE_STRUCTURE[[#This Row],[D, top '[m']]])/(2*WHOLE_STRUCTURE[[#This Row],[t '[mm']]]/1000),"")</f>
        <v/>
      </c>
    </row>
    <row r="112" spans="10:13" x14ac:dyDescent="0.3">
      <c r="J112" s="107" t="str">
        <f>IF(7850/1000*(1/3)*PI()*ABS(E112-F112)*((G112/2)^2+(G112/2)*(H112/2)+(H112/2)^2-(G112/2-I112/1000)^2-(G112/2-I112/1000)*(H112/2-I112/1000)-(H112/2-I112/1000)^2)=0,"",7850/1000*(1/3)*PI()*ABS(E112-F112)*((G112/2)^2+(G112/2)*(H112/2)+(H112/2)^2-(G112/2-I112/1000)^2-(G112/2-I112/1000)*(H112/2-I112/1000)-(H112/2-I112/1000)^2))</f>
        <v/>
      </c>
      <c r="K112" s="107" t="str">
        <f>IFERROR(WHOLE_STRUCTURE[[#This Row],[Bottom '[mLAT']]]-WHOLE_STRUCTURE[[#This Row],[D, top '[m']]], "")</f>
        <v/>
      </c>
      <c r="L112" s="107" t="str">
        <f>IFERROR(-(WHOLE_STRUCTURE[[#This Row],[D, bottom '[m']]]-WHOLE_STRUCTURE[[#This Row],[D, top '[m']]])/(WHOLE_STRUCTURE[[#This Row],[Bottom '[mLAT']]]-WHOLE_STRUCTURE[[#This Row],[Top '[mLAT']]]),"")</f>
        <v/>
      </c>
      <c r="M112" s="107" t="str">
        <f>IFERROR((WHOLE_STRUCTURE[[#This Row],[D, bottom '[m']]]+WHOLE_STRUCTURE[[#This Row],[D, top '[m']]])/(2*WHOLE_STRUCTURE[[#This Row],[t '[mm']]]/1000),"")</f>
        <v/>
      </c>
    </row>
    <row r="113" spans="10:13" x14ac:dyDescent="0.3">
      <c r="J113" s="107" t="str">
        <f>IF(7850/1000*(1/3)*PI()*ABS(E113-F113)*((G113/2)^2+(G113/2)*(H113/2)+(H113/2)^2-(G113/2-I113/1000)^2-(G113/2-I113/1000)*(H113/2-I113/1000)-(H113/2-I113/1000)^2)=0,"",7850/1000*(1/3)*PI()*ABS(E113-F113)*((G113/2)^2+(G113/2)*(H113/2)+(H113/2)^2-(G113/2-I113/1000)^2-(G113/2-I113/1000)*(H113/2-I113/1000)-(H113/2-I113/1000)^2))</f>
        <v/>
      </c>
      <c r="K113" s="107" t="str">
        <f>IFERROR(WHOLE_STRUCTURE[[#This Row],[Bottom '[mLAT']]]-WHOLE_STRUCTURE[[#This Row],[D, top '[m']]], "")</f>
        <v/>
      </c>
      <c r="L113" s="107" t="str">
        <f>IFERROR(-(WHOLE_STRUCTURE[[#This Row],[D, bottom '[m']]]-WHOLE_STRUCTURE[[#This Row],[D, top '[m']]])/(WHOLE_STRUCTURE[[#This Row],[Bottom '[mLAT']]]-WHOLE_STRUCTURE[[#This Row],[Top '[mLAT']]]),"")</f>
        <v/>
      </c>
      <c r="M113" s="107" t="str">
        <f>IFERROR((WHOLE_STRUCTURE[[#This Row],[D, bottom '[m']]]+WHOLE_STRUCTURE[[#This Row],[D, top '[m']]])/(2*WHOLE_STRUCTURE[[#This Row],[t '[mm']]]/1000),"")</f>
        <v/>
      </c>
    </row>
    <row r="114" spans="10:13" x14ac:dyDescent="0.3">
      <c r="J114" s="107" t="str">
        <f>IF(7850/1000*(1/3)*PI()*ABS(E114-F114)*((G114/2)^2+(G114/2)*(H114/2)+(H114/2)^2-(G114/2-I114/1000)^2-(G114/2-I114/1000)*(H114/2-I114/1000)-(H114/2-I114/1000)^2)=0,"",7850/1000*(1/3)*PI()*ABS(E114-F114)*((G114/2)^2+(G114/2)*(H114/2)+(H114/2)^2-(G114/2-I114/1000)^2-(G114/2-I114/1000)*(H114/2-I114/1000)-(H114/2-I114/1000)^2))</f>
        <v/>
      </c>
      <c r="K114" s="107" t="str">
        <f>IFERROR(WHOLE_STRUCTURE[[#This Row],[Bottom '[mLAT']]]-WHOLE_STRUCTURE[[#This Row],[D, top '[m']]], "")</f>
        <v/>
      </c>
      <c r="L114" s="107" t="str">
        <f>IFERROR(-(WHOLE_STRUCTURE[[#This Row],[D, bottom '[m']]]-WHOLE_STRUCTURE[[#This Row],[D, top '[m']]])/(WHOLE_STRUCTURE[[#This Row],[Bottom '[mLAT']]]-WHOLE_STRUCTURE[[#This Row],[Top '[mLAT']]]),"")</f>
        <v/>
      </c>
      <c r="M114" s="107" t="str">
        <f>IFERROR((WHOLE_STRUCTURE[[#This Row],[D, bottom '[m']]]+WHOLE_STRUCTURE[[#This Row],[D, top '[m']]])/(2*WHOLE_STRUCTURE[[#This Row],[t '[mm']]]/1000),"")</f>
        <v/>
      </c>
    </row>
    <row r="115" spans="10:13" x14ac:dyDescent="0.3">
      <c r="J115" s="107" t="str">
        <f>IF(7850/1000*(1/3)*PI()*ABS(E115-F115)*((G115/2)^2+(G115/2)*(H115/2)+(H115/2)^2-(G115/2-I115/1000)^2-(G115/2-I115/1000)*(H115/2-I115/1000)-(H115/2-I115/1000)^2)=0,"",7850/1000*(1/3)*PI()*ABS(E115-F115)*((G115/2)^2+(G115/2)*(H115/2)+(H115/2)^2-(G115/2-I115/1000)^2-(G115/2-I115/1000)*(H115/2-I115/1000)-(H115/2-I115/1000)^2))</f>
        <v/>
      </c>
      <c r="K115" s="107" t="str">
        <f>IFERROR(WHOLE_STRUCTURE[[#This Row],[Bottom '[mLAT']]]-WHOLE_STRUCTURE[[#This Row],[D, top '[m']]], "")</f>
        <v/>
      </c>
      <c r="L115" s="107" t="str">
        <f>IFERROR(-(WHOLE_STRUCTURE[[#This Row],[D, bottom '[m']]]-WHOLE_STRUCTURE[[#This Row],[D, top '[m']]])/(WHOLE_STRUCTURE[[#This Row],[Bottom '[mLAT']]]-WHOLE_STRUCTURE[[#This Row],[Top '[mLAT']]]),"")</f>
        <v/>
      </c>
      <c r="M115" s="107" t="str">
        <f>IFERROR((WHOLE_STRUCTURE[[#This Row],[D, bottom '[m']]]+WHOLE_STRUCTURE[[#This Row],[D, top '[m']]])/(2*WHOLE_STRUCTURE[[#This Row],[t '[mm']]]/1000),"")</f>
        <v/>
      </c>
    </row>
    <row r="116" spans="10:13" x14ac:dyDescent="0.3">
      <c r="J116" s="107" t="str">
        <f>IF(7850/1000*(1/3)*PI()*ABS(E116-F116)*((G116/2)^2+(G116/2)*(H116/2)+(H116/2)^2-(G116/2-I116/1000)^2-(G116/2-I116/1000)*(H116/2-I116/1000)-(H116/2-I116/1000)^2)=0,"",7850/1000*(1/3)*PI()*ABS(E116-F116)*((G116/2)^2+(G116/2)*(H116/2)+(H116/2)^2-(G116/2-I116/1000)^2-(G116/2-I116/1000)*(H116/2-I116/1000)-(H116/2-I116/1000)^2))</f>
        <v/>
      </c>
      <c r="K116" s="107" t="str">
        <f>IFERROR(WHOLE_STRUCTURE[[#This Row],[Bottom '[mLAT']]]-WHOLE_STRUCTURE[[#This Row],[D, top '[m']]], "")</f>
        <v/>
      </c>
      <c r="L116" s="107" t="str">
        <f>IFERROR(-(WHOLE_STRUCTURE[[#This Row],[D, bottom '[m']]]-WHOLE_STRUCTURE[[#This Row],[D, top '[m']]])/(WHOLE_STRUCTURE[[#This Row],[Bottom '[mLAT']]]-WHOLE_STRUCTURE[[#This Row],[Top '[mLAT']]]),"")</f>
        <v/>
      </c>
      <c r="M116" s="107" t="str">
        <f>IFERROR((WHOLE_STRUCTURE[[#This Row],[D, bottom '[m']]]+WHOLE_STRUCTURE[[#This Row],[D, top '[m']]])/(2*WHOLE_STRUCTURE[[#This Row],[t '[mm']]]/1000),"")</f>
        <v/>
      </c>
    </row>
    <row r="117" spans="10:13" x14ac:dyDescent="0.3">
      <c r="J117" s="107" t="str">
        <f>IF(7850/1000*(1/3)*PI()*ABS(E117-F117)*((G117/2)^2+(G117/2)*(H117/2)+(H117/2)^2-(G117/2-I117/1000)^2-(G117/2-I117/1000)*(H117/2-I117/1000)-(H117/2-I117/1000)^2)=0,"",7850/1000*(1/3)*PI()*ABS(E117-F117)*((G117/2)^2+(G117/2)*(H117/2)+(H117/2)^2-(G117/2-I117/1000)^2-(G117/2-I117/1000)*(H117/2-I117/1000)-(H117/2-I117/1000)^2))</f>
        <v/>
      </c>
      <c r="K117" s="107" t="str">
        <f>IFERROR(WHOLE_STRUCTURE[[#This Row],[Bottom '[mLAT']]]-WHOLE_STRUCTURE[[#This Row],[D, top '[m']]], "")</f>
        <v/>
      </c>
      <c r="L117" s="107" t="str">
        <f>IFERROR(-(WHOLE_STRUCTURE[[#This Row],[D, bottom '[m']]]-WHOLE_STRUCTURE[[#This Row],[D, top '[m']]])/(WHOLE_STRUCTURE[[#This Row],[Bottom '[mLAT']]]-WHOLE_STRUCTURE[[#This Row],[Top '[mLAT']]]),"")</f>
        <v/>
      </c>
      <c r="M117" s="107" t="str">
        <f>IFERROR((WHOLE_STRUCTURE[[#This Row],[D, bottom '[m']]]+WHOLE_STRUCTURE[[#This Row],[D, top '[m']]])/(2*WHOLE_STRUCTURE[[#This Row],[t '[mm']]]/1000),"")</f>
        <v/>
      </c>
    </row>
    <row r="118" spans="10:13" x14ac:dyDescent="0.3">
      <c r="J118" s="107" t="str">
        <f>IF(7850/1000*(1/3)*PI()*ABS(E118-F118)*((G118/2)^2+(G118/2)*(H118/2)+(H118/2)^2-(G118/2-I118/1000)^2-(G118/2-I118/1000)*(H118/2-I118/1000)-(H118/2-I118/1000)^2)=0,"",7850/1000*(1/3)*PI()*ABS(E118-F118)*((G118/2)^2+(G118/2)*(H118/2)+(H118/2)^2-(G118/2-I118/1000)^2-(G118/2-I118/1000)*(H118/2-I118/1000)-(H118/2-I118/1000)^2))</f>
        <v/>
      </c>
      <c r="K118" s="107" t="str">
        <f>IFERROR(WHOLE_STRUCTURE[[#This Row],[Bottom '[mLAT']]]-WHOLE_STRUCTURE[[#This Row],[D, top '[m']]], "")</f>
        <v/>
      </c>
      <c r="L118" s="107" t="str">
        <f>IFERROR(-(WHOLE_STRUCTURE[[#This Row],[D, bottom '[m']]]-WHOLE_STRUCTURE[[#This Row],[D, top '[m']]])/(WHOLE_STRUCTURE[[#This Row],[Bottom '[mLAT']]]-WHOLE_STRUCTURE[[#This Row],[Top '[mLAT']]]),"")</f>
        <v/>
      </c>
      <c r="M118" s="107" t="str">
        <f>IFERROR((WHOLE_STRUCTURE[[#This Row],[D, bottom '[m']]]+WHOLE_STRUCTURE[[#This Row],[D, top '[m']]])/(2*WHOLE_STRUCTURE[[#This Row],[t '[mm']]]/1000),"")</f>
        <v/>
      </c>
    </row>
    <row r="119" spans="10:13" x14ac:dyDescent="0.3">
      <c r="J119" s="107" t="str">
        <f>IF(7850/1000*(1/3)*PI()*ABS(E119-F119)*((G119/2)^2+(G119/2)*(H119/2)+(H119/2)^2-(G119/2-I119/1000)^2-(G119/2-I119/1000)*(H119/2-I119/1000)-(H119/2-I119/1000)^2)=0,"",7850/1000*(1/3)*PI()*ABS(E119-F119)*((G119/2)^2+(G119/2)*(H119/2)+(H119/2)^2-(G119/2-I119/1000)^2-(G119/2-I119/1000)*(H119/2-I119/1000)-(H119/2-I119/1000)^2))</f>
        <v/>
      </c>
      <c r="K119" s="107" t="str">
        <f>IFERROR(WHOLE_STRUCTURE[[#This Row],[Bottom '[mLAT']]]-WHOLE_STRUCTURE[[#This Row],[D, top '[m']]], "")</f>
        <v/>
      </c>
      <c r="L119" s="107" t="str">
        <f>IFERROR(-(WHOLE_STRUCTURE[[#This Row],[D, bottom '[m']]]-WHOLE_STRUCTURE[[#This Row],[D, top '[m']]])/(WHOLE_STRUCTURE[[#This Row],[Bottom '[mLAT']]]-WHOLE_STRUCTURE[[#This Row],[Top '[mLAT']]]),"")</f>
        <v/>
      </c>
      <c r="M119" s="107" t="str">
        <f>IFERROR((WHOLE_STRUCTURE[[#This Row],[D, bottom '[m']]]+WHOLE_STRUCTURE[[#This Row],[D, top '[m']]])/(2*WHOLE_STRUCTURE[[#This Row],[t '[mm']]]/1000),"")</f>
        <v/>
      </c>
    </row>
    <row r="120" spans="10:13" x14ac:dyDescent="0.3">
      <c r="J120" s="107" t="str">
        <f>IF(7850/1000*(1/3)*PI()*ABS(E120-F120)*((G120/2)^2+(G120/2)*(H120/2)+(H120/2)^2-(G120/2-I120/1000)^2-(G120/2-I120/1000)*(H120/2-I120/1000)-(H120/2-I120/1000)^2)=0,"",7850/1000*(1/3)*PI()*ABS(E120-F120)*((G120/2)^2+(G120/2)*(H120/2)+(H120/2)^2-(G120/2-I120/1000)^2-(G120/2-I120/1000)*(H120/2-I120/1000)-(H120/2-I120/1000)^2))</f>
        <v/>
      </c>
      <c r="K120" s="107" t="str">
        <f>IFERROR(WHOLE_STRUCTURE[[#This Row],[Bottom '[mLAT']]]-WHOLE_STRUCTURE[[#This Row],[D, top '[m']]], "")</f>
        <v/>
      </c>
      <c r="L120" s="107" t="str">
        <f>IFERROR(-(WHOLE_STRUCTURE[[#This Row],[D, bottom '[m']]]-WHOLE_STRUCTURE[[#This Row],[D, top '[m']]])/(WHOLE_STRUCTURE[[#This Row],[Bottom '[mLAT']]]-WHOLE_STRUCTURE[[#This Row],[Top '[mLAT']]]),"")</f>
        <v/>
      </c>
      <c r="M120" s="107" t="str">
        <f>IFERROR((WHOLE_STRUCTURE[[#This Row],[D, bottom '[m']]]+WHOLE_STRUCTURE[[#This Row],[D, top '[m']]])/(2*WHOLE_STRUCTURE[[#This Row],[t '[mm']]]/1000),"")</f>
        <v/>
      </c>
    </row>
    <row r="121" spans="10:13" x14ac:dyDescent="0.3">
      <c r="J121" s="107" t="str">
        <f>IF(7850/1000*(1/3)*PI()*ABS(E121-F121)*((G121/2)^2+(G121/2)*(H121/2)+(H121/2)^2-(G121/2-I121/1000)^2-(G121/2-I121/1000)*(H121/2-I121/1000)-(H121/2-I121/1000)^2)=0,"",7850/1000*(1/3)*PI()*ABS(E121-F121)*((G121/2)^2+(G121/2)*(H121/2)+(H121/2)^2-(G121/2-I121/1000)^2-(G121/2-I121/1000)*(H121/2-I121/1000)-(H121/2-I121/1000)^2))</f>
        <v/>
      </c>
      <c r="K121" s="107" t="str">
        <f>IFERROR(WHOLE_STRUCTURE[[#This Row],[Bottom '[mLAT']]]-WHOLE_STRUCTURE[[#This Row],[D, top '[m']]], "")</f>
        <v/>
      </c>
      <c r="L121" s="107" t="str">
        <f>IFERROR(-(WHOLE_STRUCTURE[[#This Row],[D, bottom '[m']]]-WHOLE_STRUCTURE[[#This Row],[D, top '[m']]])/(WHOLE_STRUCTURE[[#This Row],[Bottom '[mLAT']]]-WHOLE_STRUCTURE[[#This Row],[Top '[mLAT']]]),"")</f>
        <v/>
      </c>
      <c r="M121" s="107" t="str">
        <f>IFERROR((WHOLE_STRUCTURE[[#This Row],[D, bottom '[m']]]+WHOLE_STRUCTURE[[#This Row],[D, top '[m']]])/(2*WHOLE_STRUCTURE[[#This Row],[t '[mm']]]/1000),"")</f>
        <v/>
      </c>
    </row>
    <row r="122" spans="10:13" x14ac:dyDescent="0.3">
      <c r="J122" s="107" t="str">
        <f>IF(7850/1000*(1/3)*PI()*ABS(E122-F122)*((G122/2)^2+(G122/2)*(H122/2)+(H122/2)^2-(G122/2-I122/1000)^2-(G122/2-I122/1000)*(H122/2-I122/1000)-(H122/2-I122/1000)^2)=0,"",7850/1000*(1/3)*PI()*ABS(E122-F122)*((G122/2)^2+(G122/2)*(H122/2)+(H122/2)^2-(G122/2-I122/1000)^2-(G122/2-I122/1000)*(H122/2-I122/1000)-(H122/2-I122/1000)^2))</f>
        <v/>
      </c>
      <c r="K122" s="107" t="str">
        <f>IFERROR(WHOLE_STRUCTURE[[#This Row],[Bottom '[mLAT']]]-WHOLE_STRUCTURE[[#This Row],[D, top '[m']]], "")</f>
        <v/>
      </c>
      <c r="L122" s="107" t="str">
        <f>IFERROR(-(WHOLE_STRUCTURE[[#This Row],[D, bottom '[m']]]-WHOLE_STRUCTURE[[#This Row],[D, top '[m']]])/(WHOLE_STRUCTURE[[#This Row],[Bottom '[mLAT']]]-WHOLE_STRUCTURE[[#This Row],[Top '[mLAT']]]),"")</f>
        <v/>
      </c>
      <c r="M122" s="107" t="str">
        <f>IFERROR((WHOLE_STRUCTURE[[#This Row],[D, bottom '[m']]]+WHOLE_STRUCTURE[[#This Row],[D, top '[m']]])/(2*WHOLE_STRUCTURE[[#This Row],[t '[mm']]]/1000),"")</f>
        <v/>
      </c>
    </row>
    <row r="123" spans="10:13" x14ac:dyDescent="0.3">
      <c r="J123" s="107" t="str">
        <f>IF(7850/1000*(1/3)*PI()*ABS(E123-F123)*((G123/2)^2+(G123/2)*(H123/2)+(H123/2)^2-(G123/2-I123/1000)^2-(G123/2-I123/1000)*(H123/2-I123/1000)-(H123/2-I123/1000)^2)=0,"",7850/1000*(1/3)*PI()*ABS(E123-F123)*((G123/2)^2+(G123/2)*(H123/2)+(H123/2)^2-(G123/2-I123/1000)^2-(G123/2-I123/1000)*(H123/2-I123/1000)-(H123/2-I123/1000)^2))</f>
        <v/>
      </c>
      <c r="K123" s="107" t="str">
        <f>IFERROR(WHOLE_STRUCTURE[[#This Row],[Bottom '[mLAT']]]-WHOLE_STRUCTURE[[#This Row],[D, top '[m']]], "")</f>
        <v/>
      </c>
      <c r="L123" s="107" t="str">
        <f>IFERROR(-(WHOLE_STRUCTURE[[#This Row],[D, bottom '[m']]]-WHOLE_STRUCTURE[[#This Row],[D, top '[m']]])/(WHOLE_STRUCTURE[[#This Row],[Bottom '[mLAT']]]-WHOLE_STRUCTURE[[#This Row],[Top '[mLAT']]]),"")</f>
        <v/>
      </c>
      <c r="M123" s="107" t="str">
        <f>IFERROR((WHOLE_STRUCTURE[[#This Row],[D, bottom '[m']]]+WHOLE_STRUCTURE[[#This Row],[D, top '[m']]])/(2*WHOLE_STRUCTURE[[#This Row],[t '[mm']]]/1000),"")</f>
        <v/>
      </c>
    </row>
    <row r="124" spans="10:13" x14ac:dyDescent="0.3">
      <c r="J124" s="107" t="str">
        <f>IF(7850/1000*(1/3)*PI()*ABS(E124-F124)*((G124/2)^2+(G124/2)*(H124/2)+(H124/2)^2-(G124/2-I124/1000)^2-(G124/2-I124/1000)*(H124/2-I124/1000)-(H124/2-I124/1000)^2)=0,"",7850/1000*(1/3)*PI()*ABS(E124-F124)*((G124/2)^2+(G124/2)*(H124/2)+(H124/2)^2-(G124/2-I124/1000)^2-(G124/2-I124/1000)*(H124/2-I124/1000)-(H124/2-I124/1000)^2))</f>
        <v/>
      </c>
      <c r="K124" s="107" t="str">
        <f>IFERROR(WHOLE_STRUCTURE[[#This Row],[Bottom '[mLAT']]]-WHOLE_STRUCTURE[[#This Row],[D, top '[m']]], "")</f>
        <v/>
      </c>
      <c r="L124" s="107" t="str">
        <f>IFERROR(-(WHOLE_STRUCTURE[[#This Row],[D, bottom '[m']]]-WHOLE_STRUCTURE[[#This Row],[D, top '[m']]])/(WHOLE_STRUCTURE[[#This Row],[Bottom '[mLAT']]]-WHOLE_STRUCTURE[[#This Row],[Top '[mLAT']]]),"")</f>
        <v/>
      </c>
      <c r="M124" s="107" t="str">
        <f>IFERROR((WHOLE_STRUCTURE[[#This Row],[D, bottom '[m']]]+WHOLE_STRUCTURE[[#This Row],[D, top '[m']]])/(2*WHOLE_STRUCTURE[[#This Row],[t '[mm']]]/1000),"")</f>
        <v/>
      </c>
    </row>
    <row r="125" spans="10:13" x14ac:dyDescent="0.3">
      <c r="J125" s="107" t="str">
        <f>IF(7850/1000*(1/3)*PI()*ABS(E125-F125)*((G125/2)^2+(G125/2)*(H125/2)+(H125/2)^2-(G125/2-I125/1000)^2-(G125/2-I125/1000)*(H125/2-I125/1000)-(H125/2-I125/1000)^2)=0,"",7850/1000*(1/3)*PI()*ABS(E125-F125)*((G125/2)^2+(G125/2)*(H125/2)+(H125/2)^2-(G125/2-I125/1000)^2-(G125/2-I125/1000)*(H125/2-I125/1000)-(H125/2-I125/1000)^2))</f>
        <v/>
      </c>
      <c r="K125" s="107" t="str">
        <f>IFERROR(WHOLE_STRUCTURE[[#This Row],[Bottom '[mLAT']]]-WHOLE_STRUCTURE[[#This Row],[D, top '[m']]], "")</f>
        <v/>
      </c>
      <c r="L125" s="107" t="str">
        <f>IFERROR(-(WHOLE_STRUCTURE[[#This Row],[D, bottom '[m']]]-WHOLE_STRUCTURE[[#This Row],[D, top '[m']]])/(WHOLE_STRUCTURE[[#This Row],[Bottom '[mLAT']]]-WHOLE_STRUCTURE[[#This Row],[Top '[mLAT']]]),"")</f>
        <v/>
      </c>
      <c r="M125" s="107" t="str">
        <f>IFERROR((WHOLE_STRUCTURE[[#This Row],[D, bottom '[m']]]+WHOLE_STRUCTURE[[#This Row],[D, top '[m']]])/(2*WHOLE_STRUCTURE[[#This Row],[t '[mm']]]/1000),"")</f>
        <v/>
      </c>
    </row>
    <row r="126" spans="10:13" x14ac:dyDescent="0.3">
      <c r="J126" s="107" t="str">
        <f>IF(7850/1000*(1/3)*PI()*ABS(E126-F126)*((G126/2)^2+(G126/2)*(H126/2)+(H126/2)^2-(G126/2-I126/1000)^2-(G126/2-I126/1000)*(H126/2-I126/1000)-(H126/2-I126/1000)^2)=0,"",7850/1000*(1/3)*PI()*ABS(E126-F126)*((G126/2)^2+(G126/2)*(H126/2)+(H126/2)^2-(G126/2-I126/1000)^2-(G126/2-I126/1000)*(H126/2-I126/1000)-(H126/2-I126/1000)^2))</f>
        <v/>
      </c>
      <c r="K126" s="107" t="str">
        <f>IFERROR(WHOLE_STRUCTURE[[#This Row],[Bottom '[mLAT']]]-WHOLE_STRUCTURE[[#This Row],[D, top '[m']]], "")</f>
        <v/>
      </c>
      <c r="L126" s="107" t="str">
        <f>IFERROR(-(WHOLE_STRUCTURE[[#This Row],[D, bottom '[m']]]-WHOLE_STRUCTURE[[#This Row],[D, top '[m']]])/(WHOLE_STRUCTURE[[#This Row],[Bottom '[mLAT']]]-WHOLE_STRUCTURE[[#This Row],[Top '[mLAT']]]),"")</f>
        <v/>
      </c>
      <c r="M126" s="107" t="str">
        <f>IFERROR((WHOLE_STRUCTURE[[#This Row],[D, bottom '[m']]]+WHOLE_STRUCTURE[[#This Row],[D, top '[m']]])/(2*WHOLE_STRUCTURE[[#This Row],[t '[mm']]]/1000),"")</f>
        <v/>
      </c>
    </row>
    <row r="127" spans="10:13" x14ac:dyDescent="0.3">
      <c r="J127" s="107" t="str">
        <f>IF(7850/1000*(1/3)*PI()*ABS(E127-F127)*((G127/2)^2+(G127/2)*(H127/2)+(H127/2)^2-(G127/2-I127/1000)^2-(G127/2-I127/1000)*(H127/2-I127/1000)-(H127/2-I127/1000)^2)=0,"",7850/1000*(1/3)*PI()*ABS(E127-F127)*((G127/2)^2+(G127/2)*(H127/2)+(H127/2)^2-(G127/2-I127/1000)^2-(G127/2-I127/1000)*(H127/2-I127/1000)-(H127/2-I127/1000)^2))</f>
        <v/>
      </c>
      <c r="K127" s="107" t="str">
        <f>IFERROR(WHOLE_STRUCTURE[[#This Row],[Bottom '[mLAT']]]-WHOLE_STRUCTURE[[#This Row],[D, top '[m']]], "")</f>
        <v/>
      </c>
      <c r="L127" s="107" t="str">
        <f>IFERROR(-(WHOLE_STRUCTURE[[#This Row],[D, bottom '[m']]]-WHOLE_STRUCTURE[[#This Row],[D, top '[m']]])/(WHOLE_STRUCTURE[[#This Row],[Bottom '[mLAT']]]-WHOLE_STRUCTURE[[#This Row],[Top '[mLAT']]]),"")</f>
        <v/>
      </c>
      <c r="M127" s="107" t="str">
        <f>IFERROR((WHOLE_STRUCTURE[[#This Row],[D, bottom '[m']]]+WHOLE_STRUCTURE[[#This Row],[D, top '[m']]])/(2*WHOLE_STRUCTURE[[#This Row],[t '[mm']]]/1000),"")</f>
        <v/>
      </c>
    </row>
    <row r="128" spans="10:13" x14ac:dyDescent="0.3">
      <c r="J128" s="107" t="str">
        <f>IF(7850/1000*(1/3)*PI()*ABS(E128-F128)*((G128/2)^2+(G128/2)*(H128/2)+(H128/2)^2-(G128/2-I128/1000)^2-(G128/2-I128/1000)*(H128/2-I128/1000)-(H128/2-I128/1000)^2)=0,"",7850/1000*(1/3)*PI()*ABS(E128-F128)*((G128/2)^2+(G128/2)*(H128/2)+(H128/2)^2-(G128/2-I128/1000)^2-(G128/2-I128/1000)*(H128/2-I128/1000)-(H128/2-I128/1000)^2))</f>
        <v/>
      </c>
      <c r="K128" s="107" t="str">
        <f>IFERROR(WHOLE_STRUCTURE[[#This Row],[Bottom '[mLAT']]]-WHOLE_STRUCTURE[[#This Row],[D, top '[m']]], "")</f>
        <v/>
      </c>
      <c r="L128" s="107" t="str">
        <f>IFERROR(-(WHOLE_STRUCTURE[[#This Row],[D, bottom '[m']]]-WHOLE_STRUCTURE[[#This Row],[D, top '[m']]])/(WHOLE_STRUCTURE[[#This Row],[Bottom '[mLAT']]]-WHOLE_STRUCTURE[[#This Row],[Top '[mLAT']]]),"")</f>
        <v/>
      </c>
      <c r="M128" s="107" t="str">
        <f>IFERROR((WHOLE_STRUCTURE[[#This Row],[D, bottom '[m']]]+WHOLE_STRUCTURE[[#This Row],[D, top '[m']]])/(2*WHOLE_STRUCTURE[[#This Row],[t '[mm']]]/1000),"")</f>
        <v/>
      </c>
    </row>
    <row r="129" spans="10:13" x14ac:dyDescent="0.3">
      <c r="J129" s="107" t="str">
        <f>IF(7850/1000*(1/3)*PI()*ABS(E129-F129)*((G129/2)^2+(G129/2)*(H129/2)+(H129/2)^2-(G129/2-I129/1000)^2-(G129/2-I129/1000)*(H129/2-I129/1000)-(H129/2-I129/1000)^2)=0,"",7850/1000*(1/3)*PI()*ABS(E129-F129)*((G129/2)^2+(G129/2)*(H129/2)+(H129/2)^2-(G129/2-I129/1000)^2-(G129/2-I129/1000)*(H129/2-I129/1000)-(H129/2-I129/1000)^2))</f>
        <v/>
      </c>
      <c r="K129" s="107" t="str">
        <f>IFERROR(WHOLE_STRUCTURE[[#This Row],[Bottom '[mLAT']]]-WHOLE_STRUCTURE[[#This Row],[D, top '[m']]], "")</f>
        <v/>
      </c>
      <c r="L129" s="107" t="str">
        <f>IFERROR(-(WHOLE_STRUCTURE[[#This Row],[D, bottom '[m']]]-WHOLE_STRUCTURE[[#This Row],[D, top '[m']]])/(WHOLE_STRUCTURE[[#This Row],[Bottom '[mLAT']]]-WHOLE_STRUCTURE[[#This Row],[Top '[mLAT']]]),"")</f>
        <v/>
      </c>
      <c r="M129" s="107" t="str">
        <f>IFERROR((WHOLE_STRUCTURE[[#This Row],[D, bottom '[m']]]+WHOLE_STRUCTURE[[#This Row],[D, top '[m']]])/(2*WHOLE_STRUCTURE[[#This Row],[t '[mm']]]/1000),"")</f>
        <v/>
      </c>
    </row>
    <row r="130" spans="10:13" x14ac:dyDescent="0.3">
      <c r="J130" s="107" t="str">
        <f>IF(7850/1000*(1/3)*PI()*ABS(E130-F130)*((G130/2)^2+(G130/2)*(H130/2)+(H130/2)^2-(G130/2-I130/1000)^2-(G130/2-I130/1000)*(H130/2-I130/1000)-(H130/2-I130/1000)^2)=0,"",7850/1000*(1/3)*PI()*ABS(E130-F130)*((G130/2)^2+(G130/2)*(H130/2)+(H130/2)^2-(G130/2-I130/1000)^2-(G130/2-I130/1000)*(H130/2-I130/1000)-(H130/2-I130/1000)^2))</f>
        <v/>
      </c>
      <c r="K130" s="107" t="str">
        <f>IFERROR(WHOLE_STRUCTURE[[#This Row],[Bottom '[mLAT']]]-WHOLE_STRUCTURE[[#This Row],[D, top '[m']]], "")</f>
        <v/>
      </c>
      <c r="L130" s="107" t="str">
        <f>IFERROR(-(WHOLE_STRUCTURE[[#This Row],[D, bottom '[m']]]-WHOLE_STRUCTURE[[#This Row],[D, top '[m']]])/(WHOLE_STRUCTURE[[#This Row],[Bottom '[mLAT']]]-WHOLE_STRUCTURE[[#This Row],[Top '[mLAT']]]),"")</f>
        <v/>
      </c>
      <c r="M130" s="107" t="str">
        <f>IFERROR((WHOLE_STRUCTURE[[#This Row],[D, bottom '[m']]]+WHOLE_STRUCTURE[[#This Row],[D, top '[m']]])/(2*WHOLE_STRUCTURE[[#This Row],[t '[mm']]]/1000),"")</f>
        <v/>
      </c>
    </row>
    <row r="131" spans="10:13" x14ac:dyDescent="0.3">
      <c r="J131" s="107" t="str">
        <f>IF(7850/1000*(1/3)*PI()*ABS(E131-F131)*((G131/2)^2+(G131/2)*(H131/2)+(H131/2)^2-(G131/2-I131/1000)^2-(G131/2-I131/1000)*(H131/2-I131/1000)-(H131/2-I131/1000)^2)=0,"",7850/1000*(1/3)*PI()*ABS(E131-F131)*((G131/2)^2+(G131/2)*(H131/2)+(H131/2)^2-(G131/2-I131/1000)^2-(G131/2-I131/1000)*(H131/2-I131/1000)-(H131/2-I131/1000)^2))</f>
        <v/>
      </c>
      <c r="K131" s="107" t="str">
        <f>IFERROR(WHOLE_STRUCTURE[[#This Row],[Bottom '[mLAT']]]-WHOLE_STRUCTURE[[#This Row],[D, top '[m']]], "")</f>
        <v/>
      </c>
      <c r="L131" s="107" t="str">
        <f>IFERROR(-(WHOLE_STRUCTURE[[#This Row],[D, bottom '[m']]]-WHOLE_STRUCTURE[[#This Row],[D, top '[m']]])/(WHOLE_STRUCTURE[[#This Row],[Bottom '[mLAT']]]-WHOLE_STRUCTURE[[#This Row],[Top '[mLAT']]]),"")</f>
        <v/>
      </c>
      <c r="M131" s="107" t="str">
        <f>IFERROR((WHOLE_STRUCTURE[[#This Row],[D, bottom '[m']]]+WHOLE_STRUCTURE[[#This Row],[D, top '[m']]])/(2*WHOLE_STRUCTURE[[#This Row],[t '[mm']]]/1000),"")</f>
        <v/>
      </c>
    </row>
    <row r="132" spans="10:13" x14ac:dyDescent="0.3">
      <c r="J132" s="107" t="str">
        <f>IF(7850/1000*(1/3)*PI()*ABS(E132-F132)*((G132/2)^2+(G132/2)*(H132/2)+(H132/2)^2-(G132/2-I132/1000)^2-(G132/2-I132/1000)*(H132/2-I132/1000)-(H132/2-I132/1000)^2)=0,"",7850/1000*(1/3)*PI()*ABS(E132-F132)*((G132/2)^2+(G132/2)*(H132/2)+(H132/2)^2-(G132/2-I132/1000)^2-(G132/2-I132/1000)*(H132/2-I132/1000)-(H132/2-I132/1000)^2))</f>
        <v/>
      </c>
      <c r="K132" s="107" t="str">
        <f>IFERROR(WHOLE_STRUCTURE[[#This Row],[Bottom '[mLAT']]]-WHOLE_STRUCTURE[[#This Row],[D, top '[m']]], "")</f>
        <v/>
      </c>
      <c r="L132" s="107" t="str">
        <f>IFERROR(-(WHOLE_STRUCTURE[[#This Row],[D, bottom '[m']]]-WHOLE_STRUCTURE[[#This Row],[D, top '[m']]])/(WHOLE_STRUCTURE[[#This Row],[Bottom '[mLAT']]]-WHOLE_STRUCTURE[[#This Row],[Top '[mLAT']]]),"")</f>
        <v/>
      </c>
      <c r="M132" s="107" t="str">
        <f>IFERROR((WHOLE_STRUCTURE[[#This Row],[D, bottom '[m']]]+WHOLE_STRUCTURE[[#This Row],[D, top '[m']]])/(2*WHOLE_STRUCTURE[[#This Row],[t '[mm']]]/1000),"")</f>
        <v/>
      </c>
    </row>
    <row r="133" spans="10:13" x14ac:dyDescent="0.3">
      <c r="J133" s="107" t="str">
        <f>IF(7850/1000*(1/3)*PI()*ABS(E133-F133)*((G133/2)^2+(G133/2)*(H133/2)+(H133/2)^2-(G133/2-I133/1000)^2-(G133/2-I133/1000)*(H133/2-I133/1000)-(H133/2-I133/1000)^2)=0,"",7850/1000*(1/3)*PI()*ABS(E133-F133)*((G133/2)^2+(G133/2)*(H133/2)+(H133/2)^2-(G133/2-I133/1000)^2-(G133/2-I133/1000)*(H133/2-I133/1000)-(H133/2-I133/1000)^2))</f>
        <v/>
      </c>
      <c r="K133" s="107" t="str">
        <f>IFERROR(WHOLE_STRUCTURE[[#This Row],[Bottom '[mLAT']]]-WHOLE_STRUCTURE[[#This Row],[D, top '[m']]], "")</f>
        <v/>
      </c>
      <c r="L133" s="107" t="str">
        <f>IFERROR(-(WHOLE_STRUCTURE[[#This Row],[D, bottom '[m']]]-WHOLE_STRUCTURE[[#This Row],[D, top '[m']]])/(WHOLE_STRUCTURE[[#This Row],[Bottom '[mLAT']]]-WHOLE_STRUCTURE[[#This Row],[Top '[mLAT']]]),"")</f>
        <v/>
      </c>
      <c r="M133" s="107" t="str">
        <f>IFERROR((WHOLE_STRUCTURE[[#This Row],[D, bottom '[m']]]+WHOLE_STRUCTURE[[#This Row],[D, top '[m']]])/(2*WHOLE_STRUCTURE[[#This Row],[t '[mm']]]/1000),"")</f>
        <v/>
      </c>
    </row>
    <row r="134" spans="10:13" x14ac:dyDescent="0.3">
      <c r="J134" s="107" t="str">
        <f>IF(7850/1000*(1/3)*PI()*ABS(E134-F134)*((G134/2)^2+(G134/2)*(H134/2)+(H134/2)^2-(G134/2-I134/1000)^2-(G134/2-I134/1000)*(H134/2-I134/1000)-(H134/2-I134/1000)^2)=0,"",7850/1000*(1/3)*PI()*ABS(E134-F134)*((G134/2)^2+(G134/2)*(H134/2)+(H134/2)^2-(G134/2-I134/1000)^2-(G134/2-I134/1000)*(H134/2-I134/1000)-(H134/2-I134/1000)^2))</f>
        <v/>
      </c>
      <c r="K134" s="107" t="str">
        <f>IFERROR(WHOLE_STRUCTURE[[#This Row],[Bottom '[mLAT']]]-WHOLE_STRUCTURE[[#This Row],[D, top '[m']]], "")</f>
        <v/>
      </c>
      <c r="L134" s="107" t="str">
        <f>IFERROR(-(WHOLE_STRUCTURE[[#This Row],[D, bottom '[m']]]-WHOLE_STRUCTURE[[#This Row],[D, top '[m']]])/(WHOLE_STRUCTURE[[#This Row],[Bottom '[mLAT']]]-WHOLE_STRUCTURE[[#This Row],[Top '[mLAT']]]),"")</f>
        <v/>
      </c>
      <c r="M134" s="107" t="str">
        <f>IFERROR((WHOLE_STRUCTURE[[#This Row],[D, bottom '[m']]]+WHOLE_STRUCTURE[[#This Row],[D, top '[m']]])/(2*WHOLE_STRUCTURE[[#This Row],[t '[mm']]]/1000),"")</f>
        <v/>
      </c>
    </row>
    <row r="135" spans="10:13" x14ac:dyDescent="0.3">
      <c r="J135" s="107" t="str">
        <f>IF(7850/1000*(1/3)*PI()*ABS(E135-F135)*((G135/2)^2+(G135/2)*(H135/2)+(H135/2)^2-(G135/2-I135/1000)^2-(G135/2-I135/1000)*(H135/2-I135/1000)-(H135/2-I135/1000)^2)=0,"",7850/1000*(1/3)*PI()*ABS(E135-F135)*((G135/2)^2+(G135/2)*(H135/2)+(H135/2)^2-(G135/2-I135/1000)^2-(G135/2-I135/1000)*(H135/2-I135/1000)-(H135/2-I135/1000)^2))</f>
        <v/>
      </c>
      <c r="K135" s="107" t="str">
        <f>IFERROR(WHOLE_STRUCTURE[[#This Row],[Bottom '[mLAT']]]-WHOLE_STRUCTURE[[#This Row],[D, top '[m']]], "")</f>
        <v/>
      </c>
      <c r="L135" s="107" t="str">
        <f>IFERROR(-(WHOLE_STRUCTURE[[#This Row],[D, bottom '[m']]]-WHOLE_STRUCTURE[[#This Row],[D, top '[m']]])/(WHOLE_STRUCTURE[[#This Row],[Bottom '[mLAT']]]-WHOLE_STRUCTURE[[#This Row],[Top '[mLAT']]]),"")</f>
        <v/>
      </c>
      <c r="M135" s="107" t="str">
        <f>IFERROR((WHOLE_STRUCTURE[[#This Row],[D, bottom '[m']]]+WHOLE_STRUCTURE[[#This Row],[D, top '[m']]])/(2*WHOLE_STRUCTURE[[#This Row],[t '[mm']]]/1000),"")</f>
        <v/>
      </c>
    </row>
    <row r="136" spans="10:13" x14ac:dyDescent="0.3">
      <c r="J136" s="107" t="str">
        <f>IF(7850/1000*(1/3)*PI()*ABS(E136-F136)*((G136/2)^2+(G136/2)*(H136/2)+(H136/2)^2-(G136/2-I136/1000)^2-(G136/2-I136/1000)*(H136/2-I136/1000)-(H136/2-I136/1000)^2)=0,"",7850/1000*(1/3)*PI()*ABS(E136-F136)*((G136/2)^2+(G136/2)*(H136/2)+(H136/2)^2-(G136/2-I136/1000)^2-(G136/2-I136/1000)*(H136/2-I136/1000)-(H136/2-I136/1000)^2))</f>
        <v/>
      </c>
      <c r="K136" s="107" t="str">
        <f>IFERROR(WHOLE_STRUCTURE[[#This Row],[Bottom '[mLAT']]]-WHOLE_STRUCTURE[[#This Row],[D, top '[m']]], "")</f>
        <v/>
      </c>
      <c r="L136" s="107" t="str">
        <f>IFERROR(-(WHOLE_STRUCTURE[[#This Row],[D, bottom '[m']]]-WHOLE_STRUCTURE[[#This Row],[D, top '[m']]])/(WHOLE_STRUCTURE[[#This Row],[Bottom '[mLAT']]]-WHOLE_STRUCTURE[[#This Row],[Top '[mLAT']]]),"")</f>
        <v/>
      </c>
      <c r="M136" s="107" t="str">
        <f>IFERROR((WHOLE_STRUCTURE[[#This Row],[D, bottom '[m']]]+WHOLE_STRUCTURE[[#This Row],[D, top '[m']]])/(2*WHOLE_STRUCTURE[[#This Row],[t '[mm']]]/1000),"")</f>
        <v/>
      </c>
    </row>
    <row r="137" spans="10:13" x14ac:dyDescent="0.3">
      <c r="J137" s="107" t="str">
        <f>IF(7850/1000*(1/3)*PI()*ABS(E137-F137)*((G137/2)^2+(G137/2)*(H137/2)+(H137/2)^2-(G137/2-I137/1000)^2-(G137/2-I137/1000)*(H137/2-I137/1000)-(H137/2-I137/1000)^2)=0,"",7850/1000*(1/3)*PI()*ABS(E137-F137)*((G137/2)^2+(G137/2)*(H137/2)+(H137/2)^2-(G137/2-I137/1000)^2-(G137/2-I137/1000)*(H137/2-I137/1000)-(H137/2-I137/1000)^2))</f>
        <v/>
      </c>
      <c r="K137" s="107" t="str">
        <f>IFERROR(WHOLE_STRUCTURE[[#This Row],[Bottom '[mLAT']]]-WHOLE_STRUCTURE[[#This Row],[D, top '[m']]], "")</f>
        <v/>
      </c>
      <c r="L137" s="107" t="str">
        <f>IFERROR(-(WHOLE_STRUCTURE[[#This Row],[D, bottom '[m']]]-WHOLE_STRUCTURE[[#This Row],[D, top '[m']]])/(WHOLE_STRUCTURE[[#This Row],[Bottom '[mLAT']]]-WHOLE_STRUCTURE[[#This Row],[Top '[mLAT']]]),"")</f>
        <v/>
      </c>
      <c r="M137" s="107" t="str">
        <f>IFERROR((WHOLE_STRUCTURE[[#This Row],[D, bottom '[m']]]+WHOLE_STRUCTURE[[#This Row],[D, top '[m']]])/(2*WHOLE_STRUCTURE[[#This Row],[t '[mm']]]/1000),"")</f>
        <v/>
      </c>
    </row>
    <row r="138" spans="10:13" x14ac:dyDescent="0.3">
      <c r="J138" s="107" t="str">
        <f>IF(7850/1000*(1/3)*PI()*ABS(E138-F138)*((G138/2)^2+(G138/2)*(H138/2)+(H138/2)^2-(G138/2-I138/1000)^2-(G138/2-I138/1000)*(H138/2-I138/1000)-(H138/2-I138/1000)^2)=0,"",7850/1000*(1/3)*PI()*ABS(E138-F138)*((G138/2)^2+(G138/2)*(H138/2)+(H138/2)^2-(G138/2-I138/1000)^2-(G138/2-I138/1000)*(H138/2-I138/1000)-(H138/2-I138/1000)^2))</f>
        <v/>
      </c>
      <c r="K138" s="107" t="str">
        <f>IFERROR(WHOLE_STRUCTURE[[#This Row],[Bottom '[mLAT']]]-WHOLE_STRUCTURE[[#This Row],[D, top '[m']]], "")</f>
        <v/>
      </c>
      <c r="L138" s="107" t="str">
        <f>IFERROR(-(WHOLE_STRUCTURE[[#This Row],[D, bottom '[m']]]-WHOLE_STRUCTURE[[#This Row],[D, top '[m']]])/(WHOLE_STRUCTURE[[#This Row],[Bottom '[mLAT']]]-WHOLE_STRUCTURE[[#This Row],[Top '[mLAT']]]),"")</f>
        <v/>
      </c>
      <c r="M138" s="107" t="str">
        <f>IFERROR((WHOLE_STRUCTURE[[#This Row],[D, bottom '[m']]]+WHOLE_STRUCTURE[[#This Row],[D, top '[m']]])/(2*WHOLE_STRUCTURE[[#This Row],[t '[mm']]]/1000),"")</f>
        <v/>
      </c>
    </row>
    <row r="139" spans="10:13" x14ac:dyDescent="0.3">
      <c r="J139" s="107" t="str">
        <f>IF(7850/1000*(1/3)*PI()*ABS(E139-F139)*((G139/2)^2+(G139/2)*(H139/2)+(H139/2)^2-(G139/2-I139/1000)^2-(G139/2-I139/1000)*(H139/2-I139/1000)-(H139/2-I139/1000)^2)=0,"",7850/1000*(1/3)*PI()*ABS(E139-F139)*((G139/2)^2+(G139/2)*(H139/2)+(H139/2)^2-(G139/2-I139/1000)^2-(G139/2-I139/1000)*(H139/2-I139/1000)-(H139/2-I139/1000)^2))</f>
        <v/>
      </c>
      <c r="K139" s="107" t="str">
        <f>IFERROR(WHOLE_STRUCTURE[[#This Row],[Bottom '[mLAT']]]-WHOLE_STRUCTURE[[#This Row],[D, top '[m']]], "")</f>
        <v/>
      </c>
      <c r="L139" s="107" t="str">
        <f>IFERROR(-(WHOLE_STRUCTURE[[#This Row],[D, bottom '[m']]]-WHOLE_STRUCTURE[[#This Row],[D, top '[m']]])/(WHOLE_STRUCTURE[[#This Row],[Bottom '[mLAT']]]-WHOLE_STRUCTURE[[#This Row],[Top '[mLAT']]]),"")</f>
        <v/>
      </c>
      <c r="M139" s="107" t="str">
        <f>IFERROR((WHOLE_STRUCTURE[[#This Row],[D, bottom '[m']]]+WHOLE_STRUCTURE[[#This Row],[D, top '[m']]])/(2*WHOLE_STRUCTURE[[#This Row],[t '[mm']]]/1000),"")</f>
        <v/>
      </c>
    </row>
    <row r="140" spans="10:13" x14ac:dyDescent="0.3">
      <c r="J140" s="107" t="str">
        <f>IF(7850/1000*(1/3)*PI()*ABS(E140-F140)*((G140/2)^2+(G140/2)*(H140/2)+(H140/2)^2-(G140/2-I140/1000)^2-(G140/2-I140/1000)*(H140/2-I140/1000)-(H140/2-I140/1000)^2)=0,"",7850/1000*(1/3)*PI()*ABS(E140-F140)*((G140/2)^2+(G140/2)*(H140/2)+(H140/2)^2-(G140/2-I140/1000)^2-(G140/2-I140/1000)*(H140/2-I140/1000)-(H140/2-I140/1000)^2))</f>
        <v/>
      </c>
      <c r="K140" s="107" t="str">
        <f>IFERROR(WHOLE_STRUCTURE[[#This Row],[Bottom '[mLAT']]]-WHOLE_STRUCTURE[[#This Row],[D, top '[m']]], "")</f>
        <v/>
      </c>
      <c r="L140" s="107" t="str">
        <f>IFERROR(-(WHOLE_STRUCTURE[[#This Row],[D, bottom '[m']]]-WHOLE_STRUCTURE[[#This Row],[D, top '[m']]])/(WHOLE_STRUCTURE[[#This Row],[Bottom '[mLAT']]]-WHOLE_STRUCTURE[[#This Row],[Top '[mLAT']]]),"")</f>
        <v/>
      </c>
      <c r="M140" s="107" t="str">
        <f>IFERROR((WHOLE_STRUCTURE[[#This Row],[D, bottom '[m']]]+WHOLE_STRUCTURE[[#This Row],[D, top '[m']]])/(2*WHOLE_STRUCTURE[[#This Row],[t '[mm']]]/1000),"")</f>
        <v/>
      </c>
    </row>
    <row r="141" spans="10:13" x14ac:dyDescent="0.3">
      <c r="J141" s="107" t="str">
        <f>IF(7850/1000*(1/3)*PI()*ABS(E141-F141)*((G141/2)^2+(G141/2)*(H141/2)+(H141/2)^2-(G141/2-I141/1000)^2-(G141/2-I141/1000)*(H141/2-I141/1000)-(H141/2-I141/1000)^2)=0,"",7850/1000*(1/3)*PI()*ABS(E141-F141)*((G141/2)^2+(G141/2)*(H141/2)+(H141/2)^2-(G141/2-I141/1000)^2-(G141/2-I141/1000)*(H141/2-I141/1000)-(H141/2-I141/1000)^2))</f>
        <v/>
      </c>
      <c r="K141" s="107" t="str">
        <f>IFERROR(WHOLE_STRUCTURE[[#This Row],[Bottom '[mLAT']]]-WHOLE_STRUCTURE[[#This Row],[D, top '[m']]], "")</f>
        <v/>
      </c>
      <c r="L141" s="107" t="str">
        <f>IFERROR(-(WHOLE_STRUCTURE[[#This Row],[D, bottom '[m']]]-WHOLE_STRUCTURE[[#This Row],[D, top '[m']]])/(WHOLE_STRUCTURE[[#This Row],[Bottom '[mLAT']]]-WHOLE_STRUCTURE[[#This Row],[Top '[mLAT']]]),"")</f>
        <v/>
      </c>
      <c r="M141" s="107" t="str">
        <f>IFERROR((WHOLE_STRUCTURE[[#This Row],[D, bottom '[m']]]+WHOLE_STRUCTURE[[#This Row],[D, top '[m']]])/(2*WHOLE_STRUCTURE[[#This Row],[t '[mm']]]/1000),"")</f>
        <v/>
      </c>
    </row>
    <row r="142" spans="10:13" x14ac:dyDescent="0.3">
      <c r="J142" s="107" t="str">
        <f>IF(7850/1000*(1/3)*PI()*ABS(E142-F142)*((G142/2)^2+(G142/2)*(H142/2)+(H142/2)^2-(G142/2-I142/1000)^2-(G142/2-I142/1000)*(H142/2-I142/1000)-(H142/2-I142/1000)^2)=0,"",7850/1000*(1/3)*PI()*ABS(E142-F142)*((G142/2)^2+(G142/2)*(H142/2)+(H142/2)^2-(G142/2-I142/1000)^2-(G142/2-I142/1000)*(H142/2-I142/1000)-(H142/2-I142/1000)^2))</f>
        <v/>
      </c>
      <c r="K142" s="107" t="str">
        <f>IFERROR(WHOLE_STRUCTURE[[#This Row],[Bottom '[mLAT']]]-WHOLE_STRUCTURE[[#This Row],[D, top '[m']]], "")</f>
        <v/>
      </c>
      <c r="L142" s="107" t="str">
        <f>IFERROR(-(WHOLE_STRUCTURE[[#This Row],[D, bottom '[m']]]-WHOLE_STRUCTURE[[#This Row],[D, top '[m']]])/(WHOLE_STRUCTURE[[#This Row],[Bottom '[mLAT']]]-WHOLE_STRUCTURE[[#This Row],[Top '[mLAT']]]),"")</f>
        <v/>
      </c>
      <c r="M142" s="107" t="str">
        <f>IFERROR((WHOLE_STRUCTURE[[#This Row],[D, bottom '[m']]]+WHOLE_STRUCTURE[[#This Row],[D, top '[m']]])/(2*WHOLE_STRUCTURE[[#This Row],[t '[mm']]]/1000),"")</f>
        <v/>
      </c>
    </row>
    <row r="143" spans="10:13" x14ac:dyDescent="0.3">
      <c r="J143" s="107" t="str">
        <f>IF(7850/1000*(1/3)*PI()*ABS(E143-F143)*((G143/2)^2+(G143/2)*(H143/2)+(H143/2)^2-(G143/2-I143/1000)^2-(G143/2-I143/1000)*(H143/2-I143/1000)-(H143/2-I143/1000)^2)=0,"",7850/1000*(1/3)*PI()*ABS(E143-F143)*((G143/2)^2+(G143/2)*(H143/2)+(H143/2)^2-(G143/2-I143/1000)^2-(G143/2-I143/1000)*(H143/2-I143/1000)-(H143/2-I143/1000)^2))</f>
        <v/>
      </c>
      <c r="K143" s="107" t="str">
        <f>IFERROR(WHOLE_STRUCTURE[[#This Row],[Bottom '[mLAT']]]-WHOLE_STRUCTURE[[#This Row],[D, top '[m']]], "")</f>
        <v/>
      </c>
      <c r="L143" s="107" t="str">
        <f>IFERROR(-(WHOLE_STRUCTURE[[#This Row],[D, bottom '[m']]]-WHOLE_STRUCTURE[[#This Row],[D, top '[m']]])/(WHOLE_STRUCTURE[[#This Row],[Bottom '[mLAT']]]-WHOLE_STRUCTURE[[#This Row],[Top '[mLAT']]]),"")</f>
        <v/>
      </c>
      <c r="M143" s="107" t="str">
        <f>IFERROR((WHOLE_STRUCTURE[[#This Row],[D, bottom '[m']]]+WHOLE_STRUCTURE[[#This Row],[D, top '[m']]])/(2*WHOLE_STRUCTURE[[#This Row],[t '[mm']]]/1000),"")</f>
        <v/>
      </c>
    </row>
    <row r="144" spans="10:13" x14ac:dyDescent="0.3">
      <c r="J144" s="107" t="str">
        <f>IF(7850/1000*(1/3)*PI()*ABS(E144-F144)*((G144/2)^2+(G144/2)*(H144/2)+(H144/2)^2-(G144/2-I144/1000)^2-(G144/2-I144/1000)*(H144/2-I144/1000)-(H144/2-I144/1000)^2)=0,"",7850/1000*(1/3)*PI()*ABS(E144-F144)*((G144/2)^2+(G144/2)*(H144/2)+(H144/2)^2-(G144/2-I144/1000)^2-(G144/2-I144/1000)*(H144/2-I144/1000)-(H144/2-I144/1000)^2))</f>
        <v/>
      </c>
      <c r="K144" s="107" t="str">
        <f>IFERROR(WHOLE_STRUCTURE[[#This Row],[Bottom '[mLAT']]]-WHOLE_STRUCTURE[[#This Row],[D, top '[m']]], "")</f>
        <v/>
      </c>
      <c r="L144" s="107" t="str">
        <f>IFERROR(-(WHOLE_STRUCTURE[[#This Row],[D, bottom '[m']]]-WHOLE_STRUCTURE[[#This Row],[D, top '[m']]])/(WHOLE_STRUCTURE[[#This Row],[Bottom '[mLAT']]]-WHOLE_STRUCTURE[[#This Row],[Top '[mLAT']]]),"")</f>
        <v/>
      </c>
      <c r="M144" s="107" t="str">
        <f>IFERROR((WHOLE_STRUCTURE[[#This Row],[D, bottom '[m']]]+WHOLE_STRUCTURE[[#This Row],[D, top '[m']]])/(2*WHOLE_STRUCTURE[[#This Row],[t '[mm']]]/1000),"")</f>
        <v/>
      </c>
    </row>
    <row r="145" spans="10:13" x14ac:dyDescent="0.3">
      <c r="J145" s="107" t="str">
        <f>IF(7850/1000*(1/3)*PI()*ABS(E145-F145)*((G145/2)^2+(G145/2)*(H145/2)+(H145/2)^2-(G145/2-I145/1000)^2-(G145/2-I145/1000)*(H145/2-I145/1000)-(H145/2-I145/1000)^2)=0,"",7850/1000*(1/3)*PI()*ABS(E145-F145)*((G145/2)^2+(G145/2)*(H145/2)+(H145/2)^2-(G145/2-I145/1000)^2-(G145/2-I145/1000)*(H145/2-I145/1000)-(H145/2-I145/1000)^2))</f>
        <v/>
      </c>
      <c r="K145" s="107" t="str">
        <f>IFERROR(WHOLE_STRUCTURE[[#This Row],[Bottom '[mLAT']]]-WHOLE_STRUCTURE[[#This Row],[D, top '[m']]], "")</f>
        <v/>
      </c>
      <c r="L145" s="107" t="str">
        <f>IFERROR(-(WHOLE_STRUCTURE[[#This Row],[D, bottom '[m']]]-WHOLE_STRUCTURE[[#This Row],[D, top '[m']]])/(WHOLE_STRUCTURE[[#This Row],[Bottom '[mLAT']]]-WHOLE_STRUCTURE[[#This Row],[Top '[mLAT']]]),"")</f>
        <v/>
      </c>
      <c r="M145" s="107" t="str">
        <f>IFERROR((WHOLE_STRUCTURE[[#This Row],[D, bottom '[m']]]+WHOLE_STRUCTURE[[#This Row],[D, top '[m']]])/(2*WHOLE_STRUCTURE[[#This Row],[t '[mm']]]/1000),"")</f>
        <v/>
      </c>
    </row>
    <row r="146" spans="10:13" x14ac:dyDescent="0.3">
      <c r="J146" s="107" t="str">
        <f>IF(7850/1000*(1/3)*PI()*ABS(E146-F146)*((G146/2)^2+(G146/2)*(H146/2)+(H146/2)^2-(G146/2-I146/1000)^2-(G146/2-I146/1000)*(H146/2-I146/1000)-(H146/2-I146/1000)^2)=0,"",7850/1000*(1/3)*PI()*ABS(E146-F146)*((G146/2)^2+(G146/2)*(H146/2)+(H146/2)^2-(G146/2-I146/1000)^2-(G146/2-I146/1000)*(H146/2-I146/1000)-(H146/2-I146/1000)^2))</f>
        <v/>
      </c>
      <c r="K146" s="107" t="str">
        <f>IFERROR(WHOLE_STRUCTURE[[#This Row],[Bottom '[mLAT']]]-WHOLE_STRUCTURE[[#This Row],[D, top '[m']]], "")</f>
        <v/>
      </c>
      <c r="L146" s="107" t="str">
        <f>IFERROR(-(WHOLE_STRUCTURE[[#This Row],[D, bottom '[m']]]-WHOLE_STRUCTURE[[#This Row],[D, top '[m']]])/(WHOLE_STRUCTURE[[#This Row],[Bottom '[mLAT']]]-WHOLE_STRUCTURE[[#This Row],[Top '[mLAT']]]),"")</f>
        <v/>
      </c>
      <c r="M146" s="107" t="str">
        <f>IFERROR((WHOLE_STRUCTURE[[#This Row],[D, bottom '[m']]]+WHOLE_STRUCTURE[[#This Row],[D, top '[m']]])/(2*WHOLE_STRUCTURE[[#This Row],[t '[mm']]]/1000),"")</f>
        <v/>
      </c>
    </row>
    <row r="147" spans="10:13" x14ac:dyDescent="0.3">
      <c r="J147" s="107" t="str">
        <f>IF(7850/1000*(1/3)*PI()*ABS(E147-F147)*((G147/2)^2+(G147/2)*(H147/2)+(H147/2)^2-(G147/2-I147/1000)^2-(G147/2-I147/1000)*(H147/2-I147/1000)-(H147/2-I147/1000)^2)=0,"",7850/1000*(1/3)*PI()*ABS(E147-F147)*((G147/2)^2+(G147/2)*(H147/2)+(H147/2)^2-(G147/2-I147/1000)^2-(G147/2-I147/1000)*(H147/2-I147/1000)-(H147/2-I147/1000)^2))</f>
        <v/>
      </c>
      <c r="K147" s="107" t="str">
        <f>IFERROR(WHOLE_STRUCTURE[[#This Row],[Bottom '[mLAT']]]-WHOLE_STRUCTURE[[#This Row],[D, top '[m']]], "")</f>
        <v/>
      </c>
      <c r="L147" s="107" t="str">
        <f>IFERROR(-(WHOLE_STRUCTURE[[#This Row],[D, bottom '[m']]]-WHOLE_STRUCTURE[[#This Row],[D, top '[m']]])/(WHOLE_STRUCTURE[[#This Row],[Bottom '[mLAT']]]-WHOLE_STRUCTURE[[#This Row],[Top '[mLAT']]]),"")</f>
        <v/>
      </c>
      <c r="M147" s="107" t="str">
        <f>IFERROR((WHOLE_STRUCTURE[[#This Row],[D, bottom '[m']]]+WHOLE_STRUCTURE[[#This Row],[D, top '[m']]])/(2*WHOLE_STRUCTURE[[#This Row],[t '[mm']]]/1000),"")</f>
        <v/>
      </c>
    </row>
    <row r="148" spans="10:13" x14ac:dyDescent="0.3">
      <c r="J148" s="107" t="str">
        <f>IF(7850/1000*(1/3)*PI()*ABS(E148-F148)*((G148/2)^2+(G148/2)*(H148/2)+(H148/2)^2-(G148/2-I148/1000)^2-(G148/2-I148/1000)*(H148/2-I148/1000)-(H148/2-I148/1000)^2)=0,"",7850/1000*(1/3)*PI()*ABS(E148-F148)*((G148/2)^2+(G148/2)*(H148/2)+(H148/2)^2-(G148/2-I148/1000)^2-(G148/2-I148/1000)*(H148/2-I148/1000)-(H148/2-I148/1000)^2))</f>
        <v/>
      </c>
      <c r="K148" s="107" t="str">
        <f>IFERROR(WHOLE_STRUCTURE[[#This Row],[Bottom '[mLAT']]]-WHOLE_STRUCTURE[[#This Row],[D, top '[m']]], "")</f>
        <v/>
      </c>
      <c r="L148" s="107" t="str">
        <f>IFERROR(-(WHOLE_STRUCTURE[[#This Row],[D, bottom '[m']]]-WHOLE_STRUCTURE[[#This Row],[D, top '[m']]])/(WHOLE_STRUCTURE[[#This Row],[Bottom '[mLAT']]]-WHOLE_STRUCTURE[[#This Row],[Top '[mLAT']]]),"")</f>
        <v/>
      </c>
      <c r="M148" s="107" t="str">
        <f>IFERROR((WHOLE_STRUCTURE[[#This Row],[D, bottom '[m']]]+WHOLE_STRUCTURE[[#This Row],[D, top '[m']]])/(2*WHOLE_STRUCTURE[[#This Row],[t '[mm']]]/1000),"")</f>
        <v/>
      </c>
    </row>
    <row r="149" spans="10:13" x14ac:dyDescent="0.3">
      <c r="J149" s="107" t="str">
        <f>IF(7850/1000*(1/3)*PI()*ABS(E149-F149)*((G149/2)^2+(G149/2)*(H149/2)+(H149/2)^2-(G149/2-I149/1000)^2-(G149/2-I149/1000)*(H149/2-I149/1000)-(H149/2-I149/1000)^2)=0,"",7850/1000*(1/3)*PI()*ABS(E149-F149)*((G149/2)^2+(G149/2)*(H149/2)+(H149/2)^2-(G149/2-I149/1000)^2-(G149/2-I149/1000)*(H149/2-I149/1000)-(H149/2-I149/1000)^2))</f>
        <v/>
      </c>
      <c r="K149" s="107" t="str">
        <f>IFERROR(WHOLE_STRUCTURE[[#This Row],[Bottom '[mLAT']]]-WHOLE_STRUCTURE[[#This Row],[D, top '[m']]], "")</f>
        <v/>
      </c>
      <c r="L149" s="107" t="str">
        <f>IFERROR(-(WHOLE_STRUCTURE[[#This Row],[D, bottom '[m']]]-WHOLE_STRUCTURE[[#This Row],[D, top '[m']]])/(WHOLE_STRUCTURE[[#This Row],[Bottom '[mLAT']]]-WHOLE_STRUCTURE[[#This Row],[Top '[mLAT']]]),"")</f>
        <v/>
      </c>
      <c r="M149" s="107" t="str">
        <f>IFERROR((WHOLE_STRUCTURE[[#This Row],[D, bottom '[m']]]+WHOLE_STRUCTURE[[#This Row],[D, top '[m']]])/(2*WHOLE_STRUCTURE[[#This Row],[t '[mm']]]/1000),"")</f>
        <v/>
      </c>
    </row>
    <row r="150" spans="10:13" x14ac:dyDescent="0.3">
      <c r="J150" s="107" t="str">
        <f>IF(7850/1000*(1/3)*PI()*ABS(E150-F150)*((G150/2)^2+(G150/2)*(H150/2)+(H150/2)^2-(G150/2-I150/1000)^2-(G150/2-I150/1000)*(H150/2-I150/1000)-(H150/2-I150/1000)^2)=0,"",7850/1000*(1/3)*PI()*ABS(E150-F150)*((G150/2)^2+(G150/2)*(H150/2)+(H150/2)^2-(G150/2-I150/1000)^2-(G150/2-I150/1000)*(H150/2-I150/1000)-(H150/2-I150/1000)^2))</f>
        <v/>
      </c>
      <c r="K150" s="107" t="str">
        <f>IFERROR(WHOLE_STRUCTURE[[#This Row],[Bottom '[mLAT']]]-WHOLE_STRUCTURE[[#This Row],[D, top '[m']]], "")</f>
        <v/>
      </c>
      <c r="L150" s="107" t="str">
        <f>IFERROR(-(WHOLE_STRUCTURE[[#This Row],[D, bottom '[m']]]-WHOLE_STRUCTURE[[#This Row],[D, top '[m']]])/(WHOLE_STRUCTURE[[#This Row],[Bottom '[mLAT']]]-WHOLE_STRUCTURE[[#This Row],[Top '[mLAT']]]),"")</f>
        <v/>
      </c>
      <c r="M150" s="107" t="str">
        <f>IFERROR((WHOLE_STRUCTURE[[#This Row],[D, bottom '[m']]]+WHOLE_STRUCTURE[[#This Row],[D, top '[m']]])/(2*WHOLE_STRUCTURE[[#This Row],[t '[mm']]]/1000),"")</f>
        <v/>
      </c>
    </row>
    <row r="151" spans="10:13" x14ac:dyDescent="0.3">
      <c r="J151" s="107" t="str">
        <f>IF(7850/1000*(1/3)*PI()*ABS(E151-F151)*((G151/2)^2+(G151/2)*(H151/2)+(H151/2)^2-(G151/2-I151/1000)^2-(G151/2-I151/1000)*(H151/2-I151/1000)-(H151/2-I151/1000)^2)=0,"",7850/1000*(1/3)*PI()*ABS(E151-F151)*((G151/2)^2+(G151/2)*(H151/2)+(H151/2)^2-(G151/2-I151/1000)^2-(G151/2-I151/1000)*(H151/2-I151/1000)-(H151/2-I151/1000)^2))</f>
        <v/>
      </c>
      <c r="K151" s="107" t="str">
        <f>IFERROR(WHOLE_STRUCTURE[[#This Row],[Bottom '[mLAT']]]-WHOLE_STRUCTURE[[#This Row],[D, top '[m']]], "")</f>
        <v/>
      </c>
      <c r="L151" s="107" t="str">
        <f>IFERROR(-(WHOLE_STRUCTURE[[#This Row],[D, bottom '[m']]]-WHOLE_STRUCTURE[[#This Row],[D, top '[m']]])/(WHOLE_STRUCTURE[[#This Row],[Bottom '[mLAT']]]-WHOLE_STRUCTURE[[#This Row],[Top '[mLAT']]]),"")</f>
        <v/>
      </c>
      <c r="M151" s="107" t="str">
        <f>IFERROR((WHOLE_STRUCTURE[[#This Row],[D, bottom '[m']]]+WHOLE_STRUCTURE[[#This Row],[D, top '[m']]])/(2*WHOLE_STRUCTURE[[#This Row],[t '[mm']]]/1000),"")</f>
        <v/>
      </c>
    </row>
    <row r="152" spans="10:13" x14ac:dyDescent="0.3">
      <c r="J152" s="107" t="str">
        <f>IF(7850/1000*(1/3)*PI()*ABS(E152-F152)*((G152/2)^2+(G152/2)*(H152/2)+(H152/2)^2-(G152/2-I152/1000)^2-(G152/2-I152/1000)*(H152/2-I152/1000)-(H152/2-I152/1000)^2)=0,"",7850/1000*(1/3)*PI()*ABS(E152-F152)*((G152/2)^2+(G152/2)*(H152/2)+(H152/2)^2-(G152/2-I152/1000)^2-(G152/2-I152/1000)*(H152/2-I152/1000)-(H152/2-I152/1000)^2))</f>
        <v/>
      </c>
      <c r="K152" s="107" t="str">
        <f>IFERROR(WHOLE_STRUCTURE[[#This Row],[Bottom '[mLAT']]]-WHOLE_STRUCTURE[[#This Row],[D, top '[m']]], "")</f>
        <v/>
      </c>
      <c r="L152" s="107" t="str">
        <f>IFERROR(-(WHOLE_STRUCTURE[[#This Row],[D, bottom '[m']]]-WHOLE_STRUCTURE[[#This Row],[D, top '[m']]])/(WHOLE_STRUCTURE[[#This Row],[Bottom '[mLAT']]]-WHOLE_STRUCTURE[[#This Row],[Top '[mLAT']]]),"")</f>
        <v/>
      </c>
      <c r="M152" s="107" t="str">
        <f>IFERROR((WHOLE_STRUCTURE[[#This Row],[D, bottom '[m']]]+WHOLE_STRUCTURE[[#This Row],[D, top '[m']]])/(2*WHOLE_STRUCTURE[[#This Row],[t '[mm']]]/1000),"")</f>
        <v/>
      </c>
    </row>
    <row r="153" spans="10:13" x14ac:dyDescent="0.3">
      <c r="J153" s="107" t="str">
        <f>IF(7850/1000*(1/3)*PI()*ABS(E153-F153)*((G153/2)^2+(G153/2)*(H153/2)+(H153/2)^2-(G153/2-I153/1000)^2-(G153/2-I153/1000)*(H153/2-I153/1000)-(H153/2-I153/1000)^2)=0,"",7850/1000*(1/3)*PI()*ABS(E153-F153)*((G153/2)^2+(G153/2)*(H153/2)+(H153/2)^2-(G153/2-I153/1000)^2-(G153/2-I153/1000)*(H153/2-I153/1000)-(H153/2-I153/1000)^2))</f>
        <v/>
      </c>
      <c r="K153" s="107" t="str">
        <f>IFERROR(WHOLE_STRUCTURE[[#This Row],[Bottom '[mLAT']]]-WHOLE_STRUCTURE[[#This Row],[D, top '[m']]], "")</f>
        <v/>
      </c>
      <c r="L153" s="107" t="str">
        <f>IFERROR(-(WHOLE_STRUCTURE[[#This Row],[D, bottom '[m']]]-WHOLE_STRUCTURE[[#This Row],[D, top '[m']]])/(WHOLE_STRUCTURE[[#This Row],[Bottom '[mLAT']]]-WHOLE_STRUCTURE[[#This Row],[Top '[mLAT']]]),"")</f>
        <v/>
      </c>
      <c r="M153" s="107" t="str">
        <f>IFERROR((WHOLE_STRUCTURE[[#This Row],[D, bottom '[m']]]+WHOLE_STRUCTURE[[#This Row],[D, top '[m']]])/(2*WHOLE_STRUCTURE[[#This Row],[t '[mm']]]/1000),"")</f>
        <v/>
      </c>
    </row>
    <row r="154" spans="10:13" x14ac:dyDescent="0.3">
      <c r="J154" s="107" t="str">
        <f>IF(7850/1000*(1/3)*PI()*ABS(E154-F154)*((G154/2)^2+(G154/2)*(H154/2)+(H154/2)^2-(G154/2-I154/1000)^2-(G154/2-I154/1000)*(H154/2-I154/1000)-(H154/2-I154/1000)^2)=0,"",7850/1000*(1/3)*PI()*ABS(E154-F154)*((G154/2)^2+(G154/2)*(H154/2)+(H154/2)^2-(G154/2-I154/1000)^2-(G154/2-I154/1000)*(H154/2-I154/1000)-(H154/2-I154/1000)^2))</f>
        <v/>
      </c>
      <c r="K154" s="107" t="str">
        <f>IFERROR(WHOLE_STRUCTURE[[#This Row],[Bottom '[mLAT']]]-WHOLE_STRUCTURE[[#This Row],[D, top '[m']]], "")</f>
        <v/>
      </c>
      <c r="L154" s="107" t="str">
        <f>IFERROR(-(WHOLE_STRUCTURE[[#This Row],[D, bottom '[m']]]-WHOLE_STRUCTURE[[#This Row],[D, top '[m']]])/(WHOLE_STRUCTURE[[#This Row],[Bottom '[mLAT']]]-WHOLE_STRUCTURE[[#This Row],[Top '[mLAT']]]),"")</f>
        <v/>
      </c>
      <c r="M154" s="107" t="str">
        <f>IFERROR((WHOLE_STRUCTURE[[#This Row],[D, bottom '[m']]]+WHOLE_STRUCTURE[[#This Row],[D, top '[m']]])/(2*WHOLE_STRUCTURE[[#This Row],[t '[mm']]]/1000),"")</f>
        <v/>
      </c>
    </row>
    <row r="155" spans="10:13" x14ac:dyDescent="0.3">
      <c r="J155" s="107" t="str">
        <f>IF(7850/1000*(1/3)*PI()*ABS(E155-F155)*((G155/2)^2+(G155/2)*(H155/2)+(H155/2)^2-(G155/2-I155/1000)^2-(G155/2-I155/1000)*(H155/2-I155/1000)-(H155/2-I155/1000)^2)=0,"",7850/1000*(1/3)*PI()*ABS(E155-F155)*((G155/2)^2+(G155/2)*(H155/2)+(H155/2)^2-(G155/2-I155/1000)^2-(G155/2-I155/1000)*(H155/2-I155/1000)-(H155/2-I155/1000)^2))</f>
        <v/>
      </c>
      <c r="K155" s="107" t="str">
        <f>IFERROR(WHOLE_STRUCTURE[[#This Row],[Bottom '[mLAT']]]-WHOLE_STRUCTURE[[#This Row],[D, top '[m']]], "")</f>
        <v/>
      </c>
      <c r="L155" s="107" t="str">
        <f>IFERROR(-(WHOLE_STRUCTURE[[#This Row],[D, bottom '[m']]]-WHOLE_STRUCTURE[[#This Row],[D, top '[m']]])/(WHOLE_STRUCTURE[[#This Row],[Bottom '[mLAT']]]-WHOLE_STRUCTURE[[#This Row],[Top '[mLAT']]]),"")</f>
        <v/>
      </c>
      <c r="M155" s="107" t="str">
        <f>IFERROR((WHOLE_STRUCTURE[[#This Row],[D, bottom '[m']]]+WHOLE_STRUCTURE[[#This Row],[D, top '[m']]])/(2*WHOLE_STRUCTURE[[#This Row],[t '[mm']]]/1000),"")</f>
        <v/>
      </c>
    </row>
    <row r="156" spans="10:13" x14ac:dyDescent="0.3">
      <c r="J156" s="107" t="str">
        <f>IF(7850/1000*(1/3)*PI()*ABS(E156-F156)*((G156/2)^2+(G156/2)*(H156/2)+(H156/2)^2-(G156/2-I156/1000)^2-(G156/2-I156/1000)*(H156/2-I156/1000)-(H156/2-I156/1000)^2)=0,"",7850/1000*(1/3)*PI()*ABS(E156-F156)*((G156/2)^2+(G156/2)*(H156/2)+(H156/2)^2-(G156/2-I156/1000)^2-(G156/2-I156/1000)*(H156/2-I156/1000)-(H156/2-I156/1000)^2))</f>
        <v/>
      </c>
      <c r="K156" s="107" t="str">
        <f>IFERROR(WHOLE_STRUCTURE[[#This Row],[Bottom '[mLAT']]]-WHOLE_STRUCTURE[[#This Row],[D, top '[m']]], "")</f>
        <v/>
      </c>
      <c r="L156" s="107" t="str">
        <f>IFERROR(-(WHOLE_STRUCTURE[[#This Row],[D, bottom '[m']]]-WHOLE_STRUCTURE[[#This Row],[D, top '[m']]])/(WHOLE_STRUCTURE[[#This Row],[Bottom '[mLAT']]]-WHOLE_STRUCTURE[[#This Row],[Top '[mLAT']]]),"")</f>
        <v/>
      </c>
      <c r="M156" s="107" t="str">
        <f>IFERROR((WHOLE_STRUCTURE[[#This Row],[D, bottom '[m']]]+WHOLE_STRUCTURE[[#This Row],[D, top '[m']]])/(2*WHOLE_STRUCTURE[[#This Row],[t '[mm']]]/1000),"")</f>
        <v/>
      </c>
    </row>
    <row r="157" spans="10:13" x14ac:dyDescent="0.3">
      <c r="J157" s="107" t="str">
        <f>IF(7850/1000*(1/3)*PI()*ABS(E157-F157)*((G157/2)^2+(G157/2)*(H157/2)+(H157/2)^2-(G157/2-I157/1000)^2-(G157/2-I157/1000)*(H157/2-I157/1000)-(H157/2-I157/1000)^2)=0,"",7850/1000*(1/3)*PI()*ABS(E157-F157)*((G157/2)^2+(G157/2)*(H157/2)+(H157/2)^2-(G157/2-I157/1000)^2-(G157/2-I157/1000)*(H157/2-I157/1000)-(H157/2-I157/1000)^2))</f>
        <v/>
      </c>
      <c r="K157" s="107" t="str">
        <f>IFERROR(WHOLE_STRUCTURE[[#This Row],[Bottom '[mLAT']]]-WHOLE_STRUCTURE[[#This Row],[D, top '[m']]], "")</f>
        <v/>
      </c>
      <c r="L157" s="107" t="str">
        <f>IFERROR(-(WHOLE_STRUCTURE[[#This Row],[D, bottom '[m']]]-WHOLE_STRUCTURE[[#This Row],[D, top '[m']]])/(WHOLE_STRUCTURE[[#This Row],[Bottom '[mLAT']]]-WHOLE_STRUCTURE[[#This Row],[Top '[mLAT']]]),"")</f>
        <v/>
      </c>
      <c r="M157" s="107" t="str">
        <f>IFERROR((WHOLE_STRUCTURE[[#This Row],[D, bottom '[m']]]+WHOLE_STRUCTURE[[#This Row],[D, top '[m']]])/(2*WHOLE_STRUCTURE[[#This Row],[t '[mm']]]/1000),"")</f>
        <v/>
      </c>
    </row>
    <row r="158" spans="10:13" x14ac:dyDescent="0.3">
      <c r="J158" s="107" t="str">
        <f>IF(7850/1000*(1/3)*PI()*ABS(E158-F158)*((G158/2)^2+(G158/2)*(H158/2)+(H158/2)^2-(G158/2-I158/1000)^2-(G158/2-I158/1000)*(H158/2-I158/1000)-(H158/2-I158/1000)^2)=0,"",7850/1000*(1/3)*PI()*ABS(E158-F158)*((G158/2)^2+(G158/2)*(H158/2)+(H158/2)^2-(G158/2-I158/1000)^2-(G158/2-I158/1000)*(H158/2-I158/1000)-(H158/2-I158/1000)^2))</f>
        <v/>
      </c>
      <c r="K158" s="107" t="str">
        <f>IFERROR(WHOLE_STRUCTURE[[#This Row],[Bottom '[mLAT']]]-WHOLE_STRUCTURE[[#This Row],[D, top '[m']]], "")</f>
        <v/>
      </c>
      <c r="L158" s="107" t="str">
        <f>IFERROR(-(WHOLE_STRUCTURE[[#This Row],[D, bottom '[m']]]-WHOLE_STRUCTURE[[#This Row],[D, top '[m']]])/(WHOLE_STRUCTURE[[#This Row],[Bottom '[mLAT']]]-WHOLE_STRUCTURE[[#This Row],[Top '[mLAT']]]),"")</f>
        <v/>
      </c>
      <c r="M158" s="107" t="str">
        <f>IFERROR((WHOLE_STRUCTURE[[#This Row],[D, bottom '[m']]]+WHOLE_STRUCTURE[[#This Row],[D, top '[m']]])/(2*WHOLE_STRUCTURE[[#This Row],[t '[mm']]]/1000),"")</f>
        <v/>
      </c>
    </row>
    <row r="159" spans="10:13" x14ac:dyDescent="0.3">
      <c r="J159" s="107" t="str">
        <f>IF(7850/1000*(1/3)*PI()*ABS(E159-F159)*((G159/2)^2+(G159/2)*(H159/2)+(H159/2)^2-(G159/2-I159/1000)^2-(G159/2-I159/1000)*(H159/2-I159/1000)-(H159/2-I159/1000)^2)=0,"",7850/1000*(1/3)*PI()*ABS(E159-F159)*((G159/2)^2+(G159/2)*(H159/2)+(H159/2)^2-(G159/2-I159/1000)^2-(G159/2-I159/1000)*(H159/2-I159/1000)-(H159/2-I159/1000)^2))</f>
        <v/>
      </c>
      <c r="K159" s="107" t="str">
        <f>IFERROR(WHOLE_STRUCTURE[[#This Row],[Bottom '[mLAT']]]-WHOLE_STRUCTURE[[#This Row],[D, top '[m']]], "")</f>
        <v/>
      </c>
      <c r="L159" s="107" t="str">
        <f>IFERROR(-(WHOLE_STRUCTURE[[#This Row],[D, bottom '[m']]]-WHOLE_STRUCTURE[[#This Row],[D, top '[m']]])/(WHOLE_STRUCTURE[[#This Row],[Bottom '[mLAT']]]-WHOLE_STRUCTURE[[#This Row],[Top '[mLAT']]]),"")</f>
        <v/>
      </c>
      <c r="M159" s="107" t="str">
        <f>IFERROR((WHOLE_STRUCTURE[[#This Row],[D, bottom '[m']]]+WHOLE_STRUCTURE[[#This Row],[D, top '[m']]])/(2*WHOLE_STRUCTURE[[#This Row],[t '[mm']]]/1000),"")</f>
        <v/>
      </c>
    </row>
    <row r="160" spans="10:13" x14ac:dyDescent="0.3">
      <c r="J160" s="107" t="str">
        <f>IF(7850/1000*(1/3)*PI()*ABS(E160-F160)*((G160/2)^2+(G160/2)*(H160/2)+(H160/2)^2-(G160/2-I160/1000)^2-(G160/2-I160/1000)*(H160/2-I160/1000)-(H160/2-I160/1000)^2)=0,"",7850/1000*(1/3)*PI()*ABS(E160-F160)*((G160/2)^2+(G160/2)*(H160/2)+(H160/2)^2-(G160/2-I160/1000)^2-(G160/2-I160/1000)*(H160/2-I160/1000)-(H160/2-I160/1000)^2))</f>
        <v/>
      </c>
      <c r="K160" s="107" t="str">
        <f>IFERROR(WHOLE_STRUCTURE[[#This Row],[Bottom '[mLAT']]]-WHOLE_STRUCTURE[[#This Row],[D, top '[m']]], "")</f>
        <v/>
      </c>
      <c r="L160" s="107" t="str">
        <f>IFERROR(-(WHOLE_STRUCTURE[[#This Row],[D, bottom '[m']]]-WHOLE_STRUCTURE[[#This Row],[D, top '[m']]])/(WHOLE_STRUCTURE[[#This Row],[Bottom '[mLAT']]]-WHOLE_STRUCTURE[[#This Row],[Top '[mLAT']]]),"")</f>
        <v/>
      </c>
      <c r="M160" s="107" t="str">
        <f>IFERROR((WHOLE_STRUCTURE[[#This Row],[D, bottom '[m']]]+WHOLE_STRUCTURE[[#This Row],[D, top '[m']]])/(2*WHOLE_STRUCTURE[[#This Row],[t '[mm']]]/1000),"")</f>
        <v/>
      </c>
    </row>
    <row r="161" spans="10:13" x14ac:dyDescent="0.3">
      <c r="J161" s="107" t="str">
        <f>IF(7850/1000*(1/3)*PI()*ABS(E161-F161)*((G161/2)^2+(G161/2)*(H161/2)+(H161/2)^2-(G161/2-I161/1000)^2-(G161/2-I161/1000)*(H161/2-I161/1000)-(H161/2-I161/1000)^2)=0,"",7850/1000*(1/3)*PI()*ABS(E161-F161)*((G161/2)^2+(G161/2)*(H161/2)+(H161/2)^2-(G161/2-I161/1000)^2-(G161/2-I161/1000)*(H161/2-I161/1000)-(H161/2-I161/1000)^2))</f>
        <v/>
      </c>
      <c r="K161" s="107" t="str">
        <f>IFERROR(WHOLE_STRUCTURE[[#This Row],[Bottom '[mLAT']]]-WHOLE_STRUCTURE[[#This Row],[D, top '[m']]], "")</f>
        <v/>
      </c>
      <c r="L161" s="107" t="str">
        <f>IFERROR(-(WHOLE_STRUCTURE[[#This Row],[D, bottom '[m']]]-WHOLE_STRUCTURE[[#This Row],[D, top '[m']]])/(WHOLE_STRUCTURE[[#This Row],[Bottom '[mLAT']]]-WHOLE_STRUCTURE[[#This Row],[Top '[mLAT']]]),"")</f>
        <v/>
      </c>
      <c r="M161" s="107" t="str">
        <f>IFERROR((WHOLE_STRUCTURE[[#This Row],[D, bottom '[m']]]+WHOLE_STRUCTURE[[#This Row],[D, top '[m']]])/(2*WHOLE_STRUCTURE[[#This Row],[t '[mm']]]/1000),"")</f>
        <v/>
      </c>
    </row>
    <row r="162" spans="10:13" x14ac:dyDescent="0.3">
      <c r="J162" s="107" t="str">
        <f>IF(7850/1000*(1/3)*PI()*ABS(E162-F162)*((G162/2)^2+(G162/2)*(H162/2)+(H162/2)^2-(G162/2-I162/1000)^2-(G162/2-I162/1000)*(H162/2-I162/1000)-(H162/2-I162/1000)^2)=0,"",7850/1000*(1/3)*PI()*ABS(E162-F162)*((G162/2)^2+(G162/2)*(H162/2)+(H162/2)^2-(G162/2-I162/1000)^2-(G162/2-I162/1000)*(H162/2-I162/1000)-(H162/2-I162/1000)^2))</f>
        <v/>
      </c>
      <c r="K162" s="107" t="str">
        <f>IFERROR(WHOLE_STRUCTURE[[#This Row],[Bottom '[mLAT']]]-WHOLE_STRUCTURE[[#This Row],[D, top '[m']]], "")</f>
        <v/>
      </c>
      <c r="L162" s="107" t="str">
        <f>IFERROR(-(WHOLE_STRUCTURE[[#This Row],[D, bottom '[m']]]-WHOLE_STRUCTURE[[#This Row],[D, top '[m']]])/(WHOLE_STRUCTURE[[#This Row],[Bottom '[mLAT']]]-WHOLE_STRUCTURE[[#This Row],[Top '[mLAT']]]),"")</f>
        <v/>
      </c>
      <c r="M162" s="107" t="str">
        <f>IFERROR((WHOLE_STRUCTURE[[#This Row],[D, bottom '[m']]]+WHOLE_STRUCTURE[[#This Row],[D, top '[m']]])/(2*WHOLE_STRUCTURE[[#This Row],[t '[mm']]]/1000),"")</f>
        <v/>
      </c>
    </row>
    <row r="163" spans="10:13" x14ac:dyDescent="0.3">
      <c r="J163" s="107" t="str">
        <f>IF(7850/1000*(1/3)*PI()*ABS(E163-F163)*((G163/2)^2+(G163/2)*(H163/2)+(H163/2)^2-(G163/2-I163/1000)^2-(G163/2-I163/1000)*(H163/2-I163/1000)-(H163/2-I163/1000)^2)=0,"",7850/1000*(1/3)*PI()*ABS(E163-F163)*((G163/2)^2+(G163/2)*(H163/2)+(H163/2)^2-(G163/2-I163/1000)^2-(G163/2-I163/1000)*(H163/2-I163/1000)-(H163/2-I163/1000)^2))</f>
        <v/>
      </c>
      <c r="K163" s="107" t="str">
        <f>IFERROR(WHOLE_STRUCTURE[[#This Row],[Bottom '[mLAT']]]-WHOLE_STRUCTURE[[#This Row],[D, top '[m']]], "")</f>
        <v/>
      </c>
      <c r="L163" s="107" t="str">
        <f>IFERROR(-(WHOLE_STRUCTURE[[#This Row],[D, bottom '[m']]]-WHOLE_STRUCTURE[[#This Row],[D, top '[m']]])/(WHOLE_STRUCTURE[[#This Row],[Bottom '[mLAT']]]-WHOLE_STRUCTURE[[#This Row],[Top '[mLAT']]]),"")</f>
        <v/>
      </c>
      <c r="M163" s="107" t="str">
        <f>IFERROR((WHOLE_STRUCTURE[[#This Row],[D, bottom '[m']]]+WHOLE_STRUCTURE[[#This Row],[D, top '[m']]])/(2*WHOLE_STRUCTURE[[#This Row],[t '[mm']]]/1000),"")</f>
        <v/>
      </c>
    </row>
    <row r="164" spans="10:13" x14ac:dyDescent="0.3">
      <c r="J164" s="107" t="str">
        <f>IF(7850/1000*(1/3)*PI()*ABS(E164-F164)*((G164/2)^2+(G164/2)*(H164/2)+(H164/2)^2-(G164/2-I164/1000)^2-(G164/2-I164/1000)*(H164/2-I164/1000)-(H164/2-I164/1000)^2)=0,"",7850/1000*(1/3)*PI()*ABS(E164-F164)*((G164/2)^2+(G164/2)*(H164/2)+(H164/2)^2-(G164/2-I164/1000)^2-(G164/2-I164/1000)*(H164/2-I164/1000)-(H164/2-I164/1000)^2))</f>
        <v/>
      </c>
      <c r="K164" s="107" t="str">
        <f>IFERROR(WHOLE_STRUCTURE[[#This Row],[Bottom '[mLAT']]]-WHOLE_STRUCTURE[[#This Row],[D, top '[m']]], "")</f>
        <v/>
      </c>
      <c r="L164" s="107" t="str">
        <f>IFERROR(-(WHOLE_STRUCTURE[[#This Row],[D, bottom '[m']]]-WHOLE_STRUCTURE[[#This Row],[D, top '[m']]])/(WHOLE_STRUCTURE[[#This Row],[Bottom '[mLAT']]]-WHOLE_STRUCTURE[[#This Row],[Top '[mLAT']]]),"")</f>
        <v/>
      </c>
      <c r="M164" s="107" t="str">
        <f>IFERROR((WHOLE_STRUCTURE[[#This Row],[D, bottom '[m']]]+WHOLE_STRUCTURE[[#This Row],[D, top '[m']]])/(2*WHOLE_STRUCTURE[[#This Row],[t '[mm']]]/1000),"")</f>
        <v/>
      </c>
    </row>
    <row r="165" spans="10:13" x14ac:dyDescent="0.3">
      <c r="J165" s="107" t="str">
        <f>IF(7850/1000*(1/3)*PI()*ABS(E165-F165)*((G165/2)^2+(G165/2)*(H165/2)+(H165/2)^2-(G165/2-I165/1000)^2-(G165/2-I165/1000)*(H165/2-I165/1000)-(H165/2-I165/1000)^2)=0,"",7850/1000*(1/3)*PI()*ABS(E165-F165)*((G165/2)^2+(G165/2)*(H165/2)+(H165/2)^2-(G165/2-I165/1000)^2-(G165/2-I165/1000)*(H165/2-I165/1000)-(H165/2-I165/1000)^2))</f>
        <v/>
      </c>
      <c r="K165" s="107" t="str">
        <f>IFERROR(WHOLE_STRUCTURE[[#This Row],[Bottom '[mLAT']]]-WHOLE_STRUCTURE[[#This Row],[D, top '[m']]], "")</f>
        <v/>
      </c>
      <c r="L165" s="107" t="str">
        <f>IFERROR(-(WHOLE_STRUCTURE[[#This Row],[D, bottom '[m']]]-WHOLE_STRUCTURE[[#This Row],[D, top '[m']]])/(WHOLE_STRUCTURE[[#This Row],[Bottom '[mLAT']]]-WHOLE_STRUCTURE[[#This Row],[Top '[mLAT']]]),"")</f>
        <v/>
      </c>
      <c r="M165" s="107" t="str">
        <f>IFERROR((WHOLE_STRUCTURE[[#This Row],[D, bottom '[m']]]+WHOLE_STRUCTURE[[#This Row],[D, top '[m']]])/(2*WHOLE_STRUCTURE[[#This Row],[t '[mm']]]/1000),"")</f>
        <v/>
      </c>
    </row>
    <row r="166" spans="10:13" x14ac:dyDescent="0.3">
      <c r="J166" s="107" t="str">
        <f>IF(7850/1000*(1/3)*PI()*ABS(E166-F166)*((G166/2)^2+(G166/2)*(H166/2)+(H166/2)^2-(G166/2-I166/1000)^2-(G166/2-I166/1000)*(H166/2-I166/1000)-(H166/2-I166/1000)^2)=0,"",7850/1000*(1/3)*PI()*ABS(E166-F166)*((G166/2)^2+(G166/2)*(H166/2)+(H166/2)^2-(G166/2-I166/1000)^2-(G166/2-I166/1000)*(H166/2-I166/1000)-(H166/2-I166/1000)^2))</f>
        <v/>
      </c>
      <c r="K166" s="107" t="str">
        <f>IFERROR(WHOLE_STRUCTURE[[#This Row],[Bottom '[mLAT']]]-WHOLE_STRUCTURE[[#This Row],[D, top '[m']]], "")</f>
        <v/>
      </c>
      <c r="L166" s="107" t="str">
        <f>IFERROR(-(WHOLE_STRUCTURE[[#This Row],[D, bottom '[m']]]-WHOLE_STRUCTURE[[#This Row],[D, top '[m']]])/(WHOLE_STRUCTURE[[#This Row],[Bottom '[mLAT']]]-WHOLE_STRUCTURE[[#This Row],[Top '[mLAT']]]),"")</f>
        <v/>
      </c>
      <c r="M166" s="107" t="str">
        <f>IFERROR((WHOLE_STRUCTURE[[#This Row],[D, bottom '[m']]]+WHOLE_STRUCTURE[[#This Row],[D, top '[m']]])/(2*WHOLE_STRUCTURE[[#This Row],[t '[mm']]]/1000),"")</f>
        <v/>
      </c>
    </row>
    <row r="167" spans="10:13" x14ac:dyDescent="0.3">
      <c r="J167" s="107" t="str">
        <f>IF(7850/1000*(1/3)*PI()*ABS(E167-F167)*((G167/2)^2+(G167/2)*(H167/2)+(H167/2)^2-(G167/2-I167/1000)^2-(G167/2-I167/1000)*(H167/2-I167/1000)-(H167/2-I167/1000)^2)=0,"",7850/1000*(1/3)*PI()*ABS(E167-F167)*((G167/2)^2+(G167/2)*(H167/2)+(H167/2)^2-(G167/2-I167/1000)^2-(G167/2-I167/1000)*(H167/2-I167/1000)-(H167/2-I167/1000)^2))</f>
        <v/>
      </c>
      <c r="K167" s="107" t="str">
        <f>IFERROR(WHOLE_STRUCTURE[[#This Row],[Bottom '[mLAT']]]-WHOLE_STRUCTURE[[#This Row],[D, top '[m']]], "")</f>
        <v/>
      </c>
      <c r="L167" s="107" t="str">
        <f>IFERROR(-(WHOLE_STRUCTURE[[#This Row],[D, bottom '[m']]]-WHOLE_STRUCTURE[[#This Row],[D, top '[m']]])/(WHOLE_STRUCTURE[[#This Row],[Bottom '[mLAT']]]-WHOLE_STRUCTURE[[#This Row],[Top '[mLAT']]]),"")</f>
        <v/>
      </c>
      <c r="M167" s="107" t="str">
        <f>IFERROR((WHOLE_STRUCTURE[[#This Row],[D, bottom '[m']]]+WHOLE_STRUCTURE[[#This Row],[D, top '[m']]])/(2*WHOLE_STRUCTURE[[#This Row],[t '[mm']]]/1000),"")</f>
        <v/>
      </c>
    </row>
    <row r="168" spans="10:13" x14ac:dyDescent="0.3">
      <c r="J168" s="107" t="str">
        <f>IF(7850/1000*(1/3)*PI()*ABS(E168-F168)*((G168/2)^2+(G168/2)*(H168/2)+(H168/2)^2-(G168/2-I168/1000)^2-(G168/2-I168/1000)*(H168/2-I168/1000)-(H168/2-I168/1000)^2)=0,"",7850/1000*(1/3)*PI()*ABS(E168-F168)*((G168/2)^2+(G168/2)*(H168/2)+(H168/2)^2-(G168/2-I168/1000)^2-(G168/2-I168/1000)*(H168/2-I168/1000)-(H168/2-I168/1000)^2))</f>
        <v/>
      </c>
      <c r="K168" s="107" t="str">
        <f>IFERROR(WHOLE_STRUCTURE[[#This Row],[Bottom '[mLAT']]]-WHOLE_STRUCTURE[[#This Row],[D, top '[m']]], "")</f>
        <v/>
      </c>
      <c r="L168" s="107" t="str">
        <f>IFERROR(-(WHOLE_STRUCTURE[[#This Row],[D, bottom '[m']]]-WHOLE_STRUCTURE[[#This Row],[D, top '[m']]])/(WHOLE_STRUCTURE[[#This Row],[Bottom '[mLAT']]]-WHOLE_STRUCTURE[[#This Row],[Top '[mLAT']]]),"")</f>
        <v/>
      </c>
      <c r="M168" s="107" t="str">
        <f>IFERROR((WHOLE_STRUCTURE[[#This Row],[D, bottom '[m']]]+WHOLE_STRUCTURE[[#This Row],[D, top '[m']]])/(2*WHOLE_STRUCTURE[[#This Row],[t '[mm']]]/1000),"")</f>
        <v/>
      </c>
    </row>
    <row r="169" spans="10:13" x14ac:dyDescent="0.3">
      <c r="J169" s="107" t="str">
        <f>IF(7850/1000*(1/3)*PI()*ABS(E169-F169)*((G169/2)^2+(G169/2)*(H169/2)+(H169/2)^2-(G169/2-I169/1000)^2-(G169/2-I169/1000)*(H169/2-I169/1000)-(H169/2-I169/1000)^2)=0,"",7850/1000*(1/3)*PI()*ABS(E169-F169)*((G169/2)^2+(G169/2)*(H169/2)+(H169/2)^2-(G169/2-I169/1000)^2-(G169/2-I169/1000)*(H169/2-I169/1000)-(H169/2-I169/1000)^2))</f>
        <v/>
      </c>
      <c r="K169" s="107" t="str">
        <f>IFERROR(WHOLE_STRUCTURE[[#This Row],[Bottom '[mLAT']]]-WHOLE_STRUCTURE[[#This Row],[D, top '[m']]], "")</f>
        <v/>
      </c>
      <c r="L169" s="107" t="str">
        <f>IFERROR(-(WHOLE_STRUCTURE[[#This Row],[D, bottom '[m']]]-WHOLE_STRUCTURE[[#This Row],[D, top '[m']]])/(WHOLE_STRUCTURE[[#This Row],[Bottom '[mLAT']]]-WHOLE_STRUCTURE[[#This Row],[Top '[mLAT']]]),"")</f>
        <v/>
      </c>
      <c r="M169" s="107" t="str">
        <f>IFERROR((WHOLE_STRUCTURE[[#This Row],[D, bottom '[m']]]+WHOLE_STRUCTURE[[#This Row],[D, top '[m']]])/(2*WHOLE_STRUCTURE[[#This Row],[t '[mm']]]/1000),"")</f>
        <v/>
      </c>
    </row>
    <row r="170" spans="10:13" x14ac:dyDescent="0.3">
      <c r="J170" s="107" t="str">
        <f>IF(7850/1000*(1/3)*PI()*ABS(E170-F170)*((G170/2)^2+(G170/2)*(H170/2)+(H170/2)^2-(G170/2-I170/1000)^2-(G170/2-I170/1000)*(H170/2-I170/1000)-(H170/2-I170/1000)^2)=0,"",7850/1000*(1/3)*PI()*ABS(E170-F170)*((G170/2)^2+(G170/2)*(H170/2)+(H170/2)^2-(G170/2-I170/1000)^2-(G170/2-I170/1000)*(H170/2-I170/1000)-(H170/2-I170/1000)^2))</f>
        <v/>
      </c>
      <c r="K170" s="107" t="str">
        <f>IFERROR(WHOLE_STRUCTURE[[#This Row],[Bottom '[mLAT']]]-WHOLE_STRUCTURE[[#This Row],[D, top '[m']]], "")</f>
        <v/>
      </c>
      <c r="L170" s="107" t="str">
        <f>IFERROR(-(WHOLE_STRUCTURE[[#This Row],[D, bottom '[m']]]-WHOLE_STRUCTURE[[#This Row],[D, top '[m']]])/(WHOLE_STRUCTURE[[#This Row],[Bottom '[mLAT']]]-WHOLE_STRUCTURE[[#This Row],[Top '[mLAT']]]),"")</f>
        <v/>
      </c>
      <c r="M170" s="107" t="str">
        <f>IFERROR((WHOLE_STRUCTURE[[#This Row],[D, bottom '[m']]]+WHOLE_STRUCTURE[[#This Row],[D, top '[m']]])/(2*WHOLE_STRUCTURE[[#This Row],[t '[mm']]]/1000),"")</f>
        <v/>
      </c>
    </row>
    <row r="171" spans="10:13" x14ac:dyDescent="0.3">
      <c r="J171" s="107" t="str">
        <f>IF(7850/1000*(1/3)*PI()*ABS(E171-F171)*((G171/2)^2+(G171/2)*(H171/2)+(H171/2)^2-(G171/2-I171/1000)^2-(G171/2-I171/1000)*(H171/2-I171/1000)-(H171/2-I171/1000)^2)=0,"",7850/1000*(1/3)*PI()*ABS(E171-F171)*((G171/2)^2+(G171/2)*(H171/2)+(H171/2)^2-(G171/2-I171/1000)^2-(G171/2-I171/1000)*(H171/2-I171/1000)-(H171/2-I171/1000)^2))</f>
        <v/>
      </c>
      <c r="K171" s="107" t="str">
        <f>IFERROR(WHOLE_STRUCTURE[[#This Row],[Bottom '[mLAT']]]-WHOLE_STRUCTURE[[#This Row],[D, top '[m']]], "")</f>
        <v/>
      </c>
      <c r="L171" s="107" t="str">
        <f>IFERROR(-(WHOLE_STRUCTURE[[#This Row],[D, bottom '[m']]]-WHOLE_STRUCTURE[[#This Row],[D, top '[m']]])/(WHOLE_STRUCTURE[[#This Row],[Bottom '[mLAT']]]-WHOLE_STRUCTURE[[#This Row],[Top '[mLAT']]]),"")</f>
        <v/>
      </c>
      <c r="M171" s="107" t="str">
        <f>IFERROR((WHOLE_STRUCTURE[[#This Row],[D, bottom '[m']]]+WHOLE_STRUCTURE[[#This Row],[D, top '[m']]])/(2*WHOLE_STRUCTURE[[#This Row],[t '[mm']]]/1000),"")</f>
        <v/>
      </c>
    </row>
    <row r="172" spans="10:13" x14ac:dyDescent="0.3">
      <c r="J172" s="107" t="str">
        <f>IF(7850/1000*(1/3)*PI()*ABS(E172-F172)*((G172/2)^2+(G172/2)*(H172/2)+(H172/2)^2-(G172/2-I172/1000)^2-(G172/2-I172/1000)*(H172/2-I172/1000)-(H172/2-I172/1000)^2)=0,"",7850/1000*(1/3)*PI()*ABS(E172-F172)*((G172/2)^2+(G172/2)*(H172/2)+(H172/2)^2-(G172/2-I172/1000)^2-(G172/2-I172/1000)*(H172/2-I172/1000)-(H172/2-I172/1000)^2))</f>
        <v/>
      </c>
      <c r="K172" s="107" t="str">
        <f>IFERROR(WHOLE_STRUCTURE[[#This Row],[Bottom '[mLAT']]]-WHOLE_STRUCTURE[[#This Row],[D, top '[m']]], "")</f>
        <v/>
      </c>
      <c r="L172" s="107" t="str">
        <f>IFERROR(-(WHOLE_STRUCTURE[[#This Row],[D, bottom '[m']]]-WHOLE_STRUCTURE[[#This Row],[D, top '[m']]])/(WHOLE_STRUCTURE[[#This Row],[Bottom '[mLAT']]]-WHOLE_STRUCTURE[[#This Row],[Top '[mLAT']]]),"")</f>
        <v/>
      </c>
      <c r="M172" s="107" t="str">
        <f>IFERROR((WHOLE_STRUCTURE[[#This Row],[D, bottom '[m']]]+WHOLE_STRUCTURE[[#This Row],[D, top '[m']]])/(2*WHOLE_STRUCTURE[[#This Row],[t '[mm']]]/1000),"")</f>
        <v/>
      </c>
    </row>
    <row r="173" spans="10:13" x14ac:dyDescent="0.3">
      <c r="J173" s="107" t="str">
        <f>IF(7850/1000*(1/3)*PI()*ABS(E173-F173)*((G173/2)^2+(G173/2)*(H173/2)+(H173/2)^2-(G173/2-I173/1000)^2-(G173/2-I173/1000)*(H173/2-I173/1000)-(H173/2-I173/1000)^2)=0,"",7850/1000*(1/3)*PI()*ABS(E173-F173)*((G173/2)^2+(G173/2)*(H173/2)+(H173/2)^2-(G173/2-I173/1000)^2-(G173/2-I173/1000)*(H173/2-I173/1000)-(H173/2-I173/1000)^2))</f>
        <v/>
      </c>
      <c r="K173" s="107" t="str">
        <f>IFERROR(WHOLE_STRUCTURE[[#This Row],[Bottom '[mLAT']]]-WHOLE_STRUCTURE[[#This Row],[D, top '[m']]], "")</f>
        <v/>
      </c>
      <c r="L173" s="107" t="str">
        <f>IFERROR(-(WHOLE_STRUCTURE[[#This Row],[D, bottom '[m']]]-WHOLE_STRUCTURE[[#This Row],[D, top '[m']]])/(WHOLE_STRUCTURE[[#This Row],[Bottom '[mLAT']]]-WHOLE_STRUCTURE[[#This Row],[Top '[mLAT']]]),"")</f>
        <v/>
      </c>
      <c r="M173" s="107" t="str">
        <f>IFERROR((WHOLE_STRUCTURE[[#This Row],[D, bottom '[m']]]+WHOLE_STRUCTURE[[#This Row],[D, top '[m']]])/(2*WHOLE_STRUCTURE[[#This Row],[t '[mm']]]/1000),"")</f>
        <v/>
      </c>
    </row>
    <row r="174" spans="10:13" x14ac:dyDescent="0.3">
      <c r="J174" s="107" t="str">
        <f>IF(7850/1000*(1/3)*PI()*ABS(E174-F174)*((G174/2)^2+(G174/2)*(H174/2)+(H174/2)^2-(G174/2-I174/1000)^2-(G174/2-I174/1000)*(H174/2-I174/1000)-(H174/2-I174/1000)^2)=0,"",7850/1000*(1/3)*PI()*ABS(E174-F174)*((G174/2)^2+(G174/2)*(H174/2)+(H174/2)^2-(G174/2-I174/1000)^2-(G174/2-I174/1000)*(H174/2-I174/1000)-(H174/2-I174/1000)^2))</f>
        <v/>
      </c>
      <c r="K174" s="107" t="str">
        <f>IFERROR(WHOLE_STRUCTURE[[#This Row],[Bottom '[mLAT']]]-WHOLE_STRUCTURE[[#This Row],[D, top '[m']]], "")</f>
        <v/>
      </c>
      <c r="L174" s="107" t="str">
        <f>IFERROR(-(WHOLE_STRUCTURE[[#This Row],[D, bottom '[m']]]-WHOLE_STRUCTURE[[#This Row],[D, top '[m']]])/(WHOLE_STRUCTURE[[#This Row],[Bottom '[mLAT']]]-WHOLE_STRUCTURE[[#This Row],[Top '[mLAT']]]),"")</f>
        <v/>
      </c>
      <c r="M174" s="107" t="str">
        <f>IFERROR((WHOLE_STRUCTURE[[#This Row],[D, bottom '[m']]]+WHOLE_STRUCTURE[[#This Row],[D, top '[m']]])/(2*WHOLE_STRUCTURE[[#This Row],[t '[mm']]]/1000),"")</f>
        <v/>
      </c>
    </row>
    <row r="175" spans="10:13" x14ac:dyDescent="0.3">
      <c r="J175" s="107" t="str">
        <f>IF(7850/1000*(1/3)*PI()*ABS(E175-F175)*((G175/2)^2+(G175/2)*(H175/2)+(H175/2)^2-(G175/2-I175/1000)^2-(G175/2-I175/1000)*(H175/2-I175/1000)-(H175/2-I175/1000)^2)=0,"",7850/1000*(1/3)*PI()*ABS(E175-F175)*((G175/2)^2+(G175/2)*(H175/2)+(H175/2)^2-(G175/2-I175/1000)^2-(G175/2-I175/1000)*(H175/2-I175/1000)-(H175/2-I175/1000)^2))</f>
        <v/>
      </c>
      <c r="K175" s="107" t="str">
        <f>IFERROR(WHOLE_STRUCTURE[[#This Row],[Bottom '[mLAT']]]-WHOLE_STRUCTURE[[#This Row],[D, top '[m']]], "")</f>
        <v/>
      </c>
      <c r="L175" s="107" t="str">
        <f>IFERROR(-(WHOLE_STRUCTURE[[#This Row],[D, bottom '[m']]]-WHOLE_STRUCTURE[[#This Row],[D, top '[m']]])/(WHOLE_STRUCTURE[[#This Row],[Bottom '[mLAT']]]-WHOLE_STRUCTURE[[#This Row],[Top '[mLAT']]]),"")</f>
        <v/>
      </c>
      <c r="M175" s="107" t="str">
        <f>IFERROR((WHOLE_STRUCTURE[[#This Row],[D, bottom '[m']]]+WHOLE_STRUCTURE[[#This Row],[D, top '[m']]])/(2*WHOLE_STRUCTURE[[#This Row],[t '[mm']]]/1000),"")</f>
        <v/>
      </c>
    </row>
    <row r="176" spans="10:13" x14ac:dyDescent="0.3">
      <c r="J176" s="107" t="str">
        <f>IF(7850/1000*(1/3)*PI()*ABS(E176-F176)*((G176/2)^2+(G176/2)*(H176/2)+(H176/2)^2-(G176/2-I176/1000)^2-(G176/2-I176/1000)*(H176/2-I176/1000)-(H176/2-I176/1000)^2)=0,"",7850/1000*(1/3)*PI()*ABS(E176-F176)*((G176/2)^2+(G176/2)*(H176/2)+(H176/2)^2-(G176/2-I176/1000)^2-(G176/2-I176/1000)*(H176/2-I176/1000)-(H176/2-I176/1000)^2))</f>
        <v/>
      </c>
      <c r="K176" s="107" t="str">
        <f>IFERROR(WHOLE_STRUCTURE[[#This Row],[Bottom '[mLAT']]]-WHOLE_STRUCTURE[[#This Row],[D, top '[m']]], "")</f>
        <v/>
      </c>
      <c r="L176" s="107" t="str">
        <f>IFERROR(-(WHOLE_STRUCTURE[[#This Row],[D, bottom '[m']]]-WHOLE_STRUCTURE[[#This Row],[D, top '[m']]])/(WHOLE_STRUCTURE[[#This Row],[Bottom '[mLAT']]]-WHOLE_STRUCTURE[[#This Row],[Top '[mLAT']]]),"")</f>
        <v/>
      </c>
      <c r="M176" s="107" t="str">
        <f>IFERROR((WHOLE_STRUCTURE[[#This Row],[D, bottom '[m']]]+WHOLE_STRUCTURE[[#This Row],[D, top '[m']]])/(2*WHOLE_STRUCTURE[[#This Row],[t '[mm']]]/1000),"")</f>
        <v/>
      </c>
    </row>
    <row r="177" spans="10:13" x14ac:dyDescent="0.3">
      <c r="J177" s="107" t="str">
        <f>IF(7850/1000*(1/3)*PI()*ABS(E177-F177)*((G177/2)^2+(G177/2)*(H177/2)+(H177/2)^2-(G177/2-I177/1000)^2-(G177/2-I177/1000)*(H177/2-I177/1000)-(H177/2-I177/1000)^2)=0,"",7850/1000*(1/3)*PI()*ABS(E177-F177)*((G177/2)^2+(G177/2)*(H177/2)+(H177/2)^2-(G177/2-I177/1000)^2-(G177/2-I177/1000)*(H177/2-I177/1000)-(H177/2-I177/1000)^2))</f>
        <v/>
      </c>
      <c r="K177" s="107" t="str">
        <f>IFERROR(WHOLE_STRUCTURE[[#This Row],[Bottom '[mLAT']]]-WHOLE_STRUCTURE[[#This Row],[D, top '[m']]], "")</f>
        <v/>
      </c>
      <c r="L177" s="107" t="str">
        <f>IFERROR(-(WHOLE_STRUCTURE[[#This Row],[D, bottom '[m']]]-WHOLE_STRUCTURE[[#This Row],[D, top '[m']]])/(WHOLE_STRUCTURE[[#This Row],[Bottom '[mLAT']]]-WHOLE_STRUCTURE[[#This Row],[Top '[mLAT']]]),"")</f>
        <v/>
      </c>
      <c r="M177" s="107" t="str">
        <f>IFERROR((WHOLE_STRUCTURE[[#This Row],[D, bottom '[m']]]+WHOLE_STRUCTURE[[#This Row],[D, top '[m']]])/(2*WHOLE_STRUCTURE[[#This Row],[t '[mm']]]/1000),"")</f>
        <v/>
      </c>
    </row>
    <row r="178" spans="10:13" x14ac:dyDescent="0.3">
      <c r="J178" s="107" t="str">
        <f>IF(7850/1000*(1/3)*PI()*ABS(E178-F178)*((G178/2)^2+(G178/2)*(H178/2)+(H178/2)^2-(G178/2-I178/1000)^2-(G178/2-I178/1000)*(H178/2-I178/1000)-(H178/2-I178/1000)^2)=0,"",7850/1000*(1/3)*PI()*ABS(E178-F178)*((G178/2)^2+(G178/2)*(H178/2)+(H178/2)^2-(G178/2-I178/1000)^2-(G178/2-I178/1000)*(H178/2-I178/1000)-(H178/2-I178/1000)^2))</f>
        <v/>
      </c>
      <c r="K178" s="107" t="str">
        <f>IFERROR(WHOLE_STRUCTURE[[#This Row],[Bottom '[mLAT']]]-WHOLE_STRUCTURE[[#This Row],[D, top '[m']]], "")</f>
        <v/>
      </c>
      <c r="L178" s="107" t="str">
        <f>IFERROR(-(WHOLE_STRUCTURE[[#This Row],[D, bottom '[m']]]-WHOLE_STRUCTURE[[#This Row],[D, top '[m']]])/(WHOLE_STRUCTURE[[#This Row],[Bottom '[mLAT']]]-WHOLE_STRUCTURE[[#This Row],[Top '[mLAT']]]),"")</f>
        <v/>
      </c>
      <c r="M178" s="107" t="str">
        <f>IFERROR((WHOLE_STRUCTURE[[#This Row],[D, bottom '[m']]]+WHOLE_STRUCTURE[[#This Row],[D, top '[m']]])/(2*WHOLE_STRUCTURE[[#This Row],[t '[mm']]]/1000),"")</f>
        <v/>
      </c>
    </row>
    <row r="179" spans="10:13" x14ac:dyDescent="0.3">
      <c r="J179" s="107" t="str">
        <f>IF(7850/1000*(1/3)*PI()*ABS(E179-F179)*((G179/2)^2+(G179/2)*(H179/2)+(H179/2)^2-(G179/2-I179/1000)^2-(G179/2-I179/1000)*(H179/2-I179/1000)-(H179/2-I179/1000)^2)=0,"",7850/1000*(1/3)*PI()*ABS(E179-F179)*((G179/2)^2+(G179/2)*(H179/2)+(H179/2)^2-(G179/2-I179/1000)^2-(G179/2-I179/1000)*(H179/2-I179/1000)-(H179/2-I179/1000)^2))</f>
        <v/>
      </c>
      <c r="K179" s="107" t="str">
        <f>IFERROR(WHOLE_STRUCTURE[[#This Row],[Bottom '[mLAT']]]-WHOLE_STRUCTURE[[#This Row],[D, top '[m']]], "")</f>
        <v/>
      </c>
      <c r="L179" s="107" t="str">
        <f>IFERROR(-(WHOLE_STRUCTURE[[#This Row],[D, bottom '[m']]]-WHOLE_STRUCTURE[[#This Row],[D, top '[m']]])/(WHOLE_STRUCTURE[[#This Row],[Bottom '[mLAT']]]-WHOLE_STRUCTURE[[#This Row],[Top '[mLAT']]]),"")</f>
        <v/>
      </c>
      <c r="M179" s="107" t="str">
        <f>IFERROR((WHOLE_STRUCTURE[[#This Row],[D, bottom '[m']]]+WHOLE_STRUCTURE[[#This Row],[D, top '[m']]])/(2*WHOLE_STRUCTURE[[#This Row],[t '[mm']]]/1000),"")</f>
        <v/>
      </c>
    </row>
    <row r="180" spans="10:13" x14ac:dyDescent="0.3">
      <c r="J180" s="107" t="str">
        <f>IF(7850/1000*(1/3)*PI()*ABS(E180-F180)*((G180/2)^2+(G180/2)*(H180/2)+(H180/2)^2-(G180/2-I180/1000)^2-(G180/2-I180/1000)*(H180/2-I180/1000)-(H180/2-I180/1000)^2)=0,"",7850/1000*(1/3)*PI()*ABS(E180-F180)*((G180/2)^2+(G180/2)*(H180/2)+(H180/2)^2-(G180/2-I180/1000)^2-(G180/2-I180/1000)*(H180/2-I180/1000)-(H180/2-I180/1000)^2))</f>
        <v/>
      </c>
      <c r="K180" s="107" t="str">
        <f>IFERROR(WHOLE_STRUCTURE[[#This Row],[Bottom '[mLAT']]]-WHOLE_STRUCTURE[[#This Row],[D, top '[m']]], "")</f>
        <v/>
      </c>
      <c r="L180" s="107" t="str">
        <f>IFERROR(-(WHOLE_STRUCTURE[[#This Row],[D, bottom '[m']]]-WHOLE_STRUCTURE[[#This Row],[D, top '[m']]])/(WHOLE_STRUCTURE[[#This Row],[Bottom '[mLAT']]]-WHOLE_STRUCTURE[[#This Row],[Top '[mLAT']]]),"")</f>
        <v/>
      </c>
      <c r="M180" s="107" t="str">
        <f>IFERROR((WHOLE_STRUCTURE[[#This Row],[D, bottom '[m']]]+WHOLE_STRUCTURE[[#This Row],[D, top '[m']]])/(2*WHOLE_STRUCTURE[[#This Row],[t '[mm']]]/1000),"")</f>
        <v/>
      </c>
    </row>
    <row r="181" spans="10:13" x14ac:dyDescent="0.3">
      <c r="J181" s="107" t="str">
        <f>IF(7850/1000*(1/3)*PI()*ABS(E181-F181)*((G181/2)^2+(G181/2)*(H181/2)+(H181/2)^2-(G181/2-I181/1000)^2-(G181/2-I181/1000)*(H181/2-I181/1000)-(H181/2-I181/1000)^2)=0,"",7850/1000*(1/3)*PI()*ABS(E181-F181)*((G181/2)^2+(G181/2)*(H181/2)+(H181/2)^2-(G181/2-I181/1000)^2-(G181/2-I181/1000)*(H181/2-I181/1000)-(H181/2-I181/1000)^2))</f>
        <v/>
      </c>
      <c r="K181" s="107" t="str">
        <f>IFERROR(WHOLE_STRUCTURE[[#This Row],[Bottom '[mLAT']]]-WHOLE_STRUCTURE[[#This Row],[D, top '[m']]], "")</f>
        <v/>
      </c>
      <c r="L181" s="107" t="str">
        <f>IFERROR(-(WHOLE_STRUCTURE[[#This Row],[D, bottom '[m']]]-WHOLE_STRUCTURE[[#This Row],[D, top '[m']]])/(WHOLE_STRUCTURE[[#This Row],[Bottom '[mLAT']]]-WHOLE_STRUCTURE[[#This Row],[Top '[mLAT']]]),"")</f>
        <v/>
      </c>
      <c r="M181" s="107" t="str">
        <f>IFERROR((WHOLE_STRUCTURE[[#This Row],[D, bottom '[m']]]+WHOLE_STRUCTURE[[#This Row],[D, top '[m']]])/(2*WHOLE_STRUCTURE[[#This Row],[t '[mm']]]/1000),"")</f>
        <v/>
      </c>
    </row>
    <row r="182" spans="10:13" x14ac:dyDescent="0.3">
      <c r="J182" s="107" t="str">
        <f>IF(7850/1000*(1/3)*PI()*ABS(E182-F182)*((G182/2)^2+(G182/2)*(H182/2)+(H182/2)^2-(G182/2-I182/1000)^2-(G182/2-I182/1000)*(H182/2-I182/1000)-(H182/2-I182/1000)^2)=0,"",7850/1000*(1/3)*PI()*ABS(E182-F182)*((G182/2)^2+(G182/2)*(H182/2)+(H182/2)^2-(G182/2-I182/1000)^2-(G182/2-I182/1000)*(H182/2-I182/1000)-(H182/2-I182/1000)^2))</f>
        <v/>
      </c>
      <c r="K182" s="107" t="str">
        <f>IFERROR(WHOLE_STRUCTURE[[#This Row],[Bottom '[mLAT']]]-WHOLE_STRUCTURE[[#This Row],[D, top '[m']]], "")</f>
        <v/>
      </c>
      <c r="L182" s="107" t="str">
        <f>IFERROR(-(WHOLE_STRUCTURE[[#This Row],[D, bottom '[m']]]-WHOLE_STRUCTURE[[#This Row],[D, top '[m']]])/(WHOLE_STRUCTURE[[#This Row],[Bottom '[mLAT']]]-WHOLE_STRUCTURE[[#This Row],[Top '[mLAT']]]),"")</f>
        <v/>
      </c>
      <c r="M182" s="107" t="str">
        <f>IFERROR((WHOLE_STRUCTURE[[#This Row],[D, bottom '[m']]]+WHOLE_STRUCTURE[[#This Row],[D, top '[m']]])/(2*WHOLE_STRUCTURE[[#This Row],[t '[mm']]]/1000),"")</f>
        <v/>
      </c>
    </row>
    <row r="183" spans="10:13" x14ac:dyDescent="0.3">
      <c r="J183" s="107" t="str">
        <f>IF(7850/1000*(1/3)*PI()*ABS(E183-F183)*((G183/2)^2+(G183/2)*(H183/2)+(H183/2)^2-(G183/2-I183/1000)^2-(G183/2-I183/1000)*(H183/2-I183/1000)-(H183/2-I183/1000)^2)=0,"",7850/1000*(1/3)*PI()*ABS(E183-F183)*((G183/2)^2+(G183/2)*(H183/2)+(H183/2)^2-(G183/2-I183/1000)^2-(G183/2-I183/1000)*(H183/2-I183/1000)-(H183/2-I183/1000)^2))</f>
        <v/>
      </c>
      <c r="K183" s="107" t="str">
        <f>IFERROR(WHOLE_STRUCTURE[[#This Row],[Bottom '[mLAT']]]-WHOLE_STRUCTURE[[#This Row],[D, top '[m']]], "")</f>
        <v/>
      </c>
      <c r="L183" s="107" t="str">
        <f>IFERROR(-(WHOLE_STRUCTURE[[#This Row],[D, bottom '[m']]]-WHOLE_STRUCTURE[[#This Row],[D, top '[m']]])/(WHOLE_STRUCTURE[[#This Row],[Bottom '[mLAT']]]-WHOLE_STRUCTURE[[#This Row],[Top '[mLAT']]]),"")</f>
        <v/>
      </c>
      <c r="M183" s="107" t="str">
        <f>IFERROR((WHOLE_STRUCTURE[[#This Row],[D, bottom '[m']]]+WHOLE_STRUCTURE[[#This Row],[D, top '[m']]])/(2*WHOLE_STRUCTURE[[#This Row],[t '[mm']]]/1000),"")</f>
        <v/>
      </c>
    </row>
    <row r="184" spans="10:13" x14ac:dyDescent="0.3">
      <c r="J184" s="107" t="str">
        <f>IF(7850/1000*(1/3)*PI()*ABS(E184-F184)*((G184/2)^2+(G184/2)*(H184/2)+(H184/2)^2-(G184/2-I184/1000)^2-(G184/2-I184/1000)*(H184/2-I184/1000)-(H184/2-I184/1000)^2)=0,"",7850/1000*(1/3)*PI()*ABS(E184-F184)*((G184/2)^2+(G184/2)*(H184/2)+(H184/2)^2-(G184/2-I184/1000)^2-(G184/2-I184/1000)*(H184/2-I184/1000)-(H184/2-I184/1000)^2))</f>
        <v/>
      </c>
      <c r="K184" s="107" t="str">
        <f>IFERROR(WHOLE_STRUCTURE[[#This Row],[Bottom '[mLAT']]]-WHOLE_STRUCTURE[[#This Row],[D, top '[m']]], "")</f>
        <v/>
      </c>
      <c r="L184" s="107" t="str">
        <f>IFERROR(-(WHOLE_STRUCTURE[[#This Row],[D, bottom '[m']]]-WHOLE_STRUCTURE[[#This Row],[D, top '[m']]])/(WHOLE_STRUCTURE[[#This Row],[Bottom '[mLAT']]]-WHOLE_STRUCTURE[[#This Row],[Top '[mLAT']]]),"")</f>
        <v/>
      </c>
      <c r="M184" s="107" t="str">
        <f>IFERROR((WHOLE_STRUCTURE[[#This Row],[D, bottom '[m']]]+WHOLE_STRUCTURE[[#This Row],[D, top '[m']]])/(2*WHOLE_STRUCTURE[[#This Row],[t '[mm']]]/1000),"")</f>
        <v/>
      </c>
    </row>
    <row r="185" spans="10:13" x14ac:dyDescent="0.3">
      <c r="J185" s="107" t="str">
        <f>IF(7850/1000*(1/3)*PI()*ABS(E185-F185)*((G185/2)^2+(G185/2)*(H185/2)+(H185/2)^2-(G185/2-I185/1000)^2-(G185/2-I185/1000)*(H185/2-I185/1000)-(H185/2-I185/1000)^2)=0,"",7850/1000*(1/3)*PI()*ABS(E185-F185)*((G185/2)^2+(G185/2)*(H185/2)+(H185/2)^2-(G185/2-I185/1000)^2-(G185/2-I185/1000)*(H185/2-I185/1000)-(H185/2-I185/1000)^2))</f>
        <v/>
      </c>
      <c r="K185" s="107" t="str">
        <f>IFERROR(WHOLE_STRUCTURE[[#This Row],[Bottom '[mLAT']]]-WHOLE_STRUCTURE[[#This Row],[D, top '[m']]], "")</f>
        <v/>
      </c>
      <c r="L185" s="107" t="str">
        <f>IFERROR(-(WHOLE_STRUCTURE[[#This Row],[D, bottom '[m']]]-WHOLE_STRUCTURE[[#This Row],[D, top '[m']]])/(WHOLE_STRUCTURE[[#This Row],[Bottom '[mLAT']]]-WHOLE_STRUCTURE[[#This Row],[Top '[mLAT']]]),"")</f>
        <v/>
      </c>
      <c r="M185" s="107" t="str">
        <f>IFERROR((WHOLE_STRUCTURE[[#This Row],[D, bottom '[m']]]+WHOLE_STRUCTURE[[#This Row],[D, top '[m']]])/(2*WHOLE_STRUCTURE[[#This Row],[t '[mm']]]/1000),"")</f>
        <v/>
      </c>
    </row>
    <row r="186" spans="10:13" x14ac:dyDescent="0.3">
      <c r="J186" s="107" t="str">
        <f>IF(7850/1000*(1/3)*PI()*ABS(E186-F186)*((G186/2)^2+(G186/2)*(H186/2)+(H186/2)^2-(G186/2-I186/1000)^2-(G186/2-I186/1000)*(H186/2-I186/1000)-(H186/2-I186/1000)^2)=0,"",7850/1000*(1/3)*PI()*ABS(E186-F186)*((G186/2)^2+(G186/2)*(H186/2)+(H186/2)^2-(G186/2-I186/1000)^2-(G186/2-I186/1000)*(H186/2-I186/1000)-(H186/2-I186/1000)^2))</f>
        <v/>
      </c>
      <c r="K186" s="107" t="str">
        <f>IFERROR(WHOLE_STRUCTURE[[#This Row],[Bottom '[mLAT']]]-WHOLE_STRUCTURE[[#This Row],[D, top '[m']]], "")</f>
        <v/>
      </c>
      <c r="L186" s="107" t="str">
        <f>IFERROR(-(WHOLE_STRUCTURE[[#This Row],[D, bottom '[m']]]-WHOLE_STRUCTURE[[#This Row],[D, top '[m']]])/(WHOLE_STRUCTURE[[#This Row],[Bottom '[mLAT']]]-WHOLE_STRUCTURE[[#This Row],[Top '[mLAT']]]),"")</f>
        <v/>
      </c>
      <c r="M186" s="107" t="str">
        <f>IFERROR((WHOLE_STRUCTURE[[#This Row],[D, bottom '[m']]]+WHOLE_STRUCTURE[[#This Row],[D, top '[m']]])/(2*WHOLE_STRUCTURE[[#This Row],[t '[mm']]]/1000),"")</f>
        <v/>
      </c>
    </row>
    <row r="187" spans="10:13" x14ac:dyDescent="0.3">
      <c r="J187" s="107" t="str">
        <f>IF(7850/1000*(1/3)*PI()*ABS(E187-F187)*((G187/2)^2+(G187/2)*(H187/2)+(H187/2)^2-(G187/2-I187/1000)^2-(G187/2-I187/1000)*(H187/2-I187/1000)-(H187/2-I187/1000)^2)=0,"",7850/1000*(1/3)*PI()*ABS(E187-F187)*((G187/2)^2+(G187/2)*(H187/2)+(H187/2)^2-(G187/2-I187/1000)^2-(G187/2-I187/1000)*(H187/2-I187/1000)-(H187/2-I187/1000)^2))</f>
        <v/>
      </c>
      <c r="K187" s="107" t="str">
        <f>IFERROR(WHOLE_STRUCTURE[[#This Row],[Bottom '[mLAT']]]-WHOLE_STRUCTURE[[#This Row],[D, top '[m']]], "")</f>
        <v/>
      </c>
      <c r="L187" s="107" t="str">
        <f>IFERROR(-(WHOLE_STRUCTURE[[#This Row],[D, bottom '[m']]]-WHOLE_STRUCTURE[[#This Row],[D, top '[m']]])/(WHOLE_STRUCTURE[[#This Row],[Bottom '[mLAT']]]-WHOLE_STRUCTURE[[#This Row],[Top '[mLAT']]]),"")</f>
        <v/>
      </c>
      <c r="M187" s="107" t="str">
        <f>IFERROR((WHOLE_STRUCTURE[[#This Row],[D, bottom '[m']]]+WHOLE_STRUCTURE[[#This Row],[D, top '[m']]])/(2*WHOLE_STRUCTURE[[#This Row],[t '[mm']]]/1000),"")</f>
        <v/>
      </c>
    </row>
    <row r="188" spans="10:13" x14ac:dyDescent="0.3">
      <c r="J188" s="107" t="str">
        <f>IF(7850/1000*(1/3)*PI()*ABS(E188-F188)*((G188/2)^2+(G188/2)*(H188/2)+(H188/2)^2-(G188/2-I188/1000)^2-(G188/2-I188/1000)*(H188/2-I188/1000)-(H188/2-I188/1000)^2)=0,"",7850/1000*(1/3)*PI()*ABS(E188-F188)*((G188/2)^2+(G188/2)*(H188/2)+(H188/2)^2-(G188/2-I188/1000)^2-(G188/2-I188/1000)*(H188/2-I188/1000)-(H188/2-I188/1000)^2))</f>
        <v/>
      </c>
      <c r="K188" s="107" t="str">
        <f>IFERROR(WHOLE_STRUCTURE[[#This Row],[Bottom '[mLAT']]]-WHOLE_STRUCTURE[[#This Row],[D, top '[m']]], "")</f>
        <v/>
      </c>
      <c r="L188" s="107" t="str">
        <f>IFERROR(-(WHOLE_STRUCTURE[[#This Row],[D, bottom '[m']]]-WHOLE_STRUCTURE[[#This Row],[D, top '[m']]])/(WHOLE_STRUCTURE[[#This Row],[Bottom '[mLAT']]]-WHOLE_STRUCTURE[[#This Row],[Top '[mLAT']]]),"")</f>
        <v/>
      </c>
      <c r="M188" s="107" t="str">
        <f>IFERROR((WHOLE_STRUCTURE[[#This Row],[D, bottom '[m']]]+WHOLE_STRUCTURE[[#This Row],[D, top '[m']]])/(2*WHOLE_STRUCTURE[[#This Row],[t '[mm']]]/1000),"")</f>
        <v/>
      </c>
    </row>
    <row r="189" spans="10:13" x14ac:dyDescent="0.3">
      <c r="J189" s="107" t="str">
        <f>IF(7850/1000*(1/3)*PI()*ABS(E189-F189)*((G189/2)^2+(G189/2)*(H189/2)+(H189/2)^2-(G189/2-I189/1000)^2-(G189/2-I189/1000)*(H189/2-I189/1000)-(H189/2-I189/1000)^2)=0,"",7850/1000*(1/3)*PI()*ABS(E189-F189)*((G189/2)^2+(G189/2)*(H189/2)+(H189/2)^2-(G189/2-I189/1000)^2-(G189/2-I189/1000)*(H189/2-I189/1000)-(H189/2-I189/1000)^2))</f>
        <v/>
      </c>
      <c r="K189" s="107" t="str">
        <f>IFERROR(WHOLE_STRUCTURE[[#This Row],[Bottom '[mLAT']]]-WHOLE_STRUCTURE[[#This Row],[D, top '[m']]], "")</f>
        <v/>
      </c>
      <c r="L189" s="107" t="str">
        <f>IFERROR(-(WHOLE_STRUCTURE[[#This Row],[D, bottom '[m']]]-WHOLE_STRUCTURE[[#This Row],[D, top '[m']]])/(WHOLE_STRUCTURE[[#This Row],[Bottom '[mLAT']]]-WHOLE_STRUCTURE[[#This Row],[Top '[mLAT']]]),"")</f>
        <v/>
      </c>
      <c r="M189" s="107" t="str">
        <f>IFERROR((WHOLE_STRUCTURE[[#This Row],[D, bottom '[m']]]+WHOLE_STRUCTURE[[#This Row],[D, top '[m']]])/(2*WHOLE_STRUCTURE[[#This Row],[t '[mm']]]/1000),"")</f>
        <v/>
      </c>
    </row>
    <row r="190" spans="10:13" x14ac:dyDescent="0.3">
      <c r="J190" s="107" t="str">
        <f>IF(7850/1000*(1/3)*PI()*ABS(E190-F190)*((G190/2)^2+(G190/2)*(H190/2)+(H190/2)^2-(G190/2-I190/1000)^2-(G190/2-I190/1000)*(H190/2-I190/1000)-(H190/2-I190/1000)^2)=0,"",7850/1000*(1/3)*PI()*ABS(E190-F190)*((G190/2)^2+(G190/2)*(H190/2)+(H190/2)^2-(G190/2-I190/1000)^2-(G190/2-I190/1000)*(H190/2-I190/1000)-(H190/2-I190/1000)^2))</f>
        <v/>
      </c>
      <c r="K190" s="107" t="str">
        <f>IFERROR(WHOLE_STRUCTURE[[#This Row],[Bottom '[mLAT']]]-WHOLE_STRUCTURE[[#This Row],[D, top '[m']]], "")</f>
        <v/>
      </c>
      <c r="L190" s="107" t="str">
        <f>IFERROR(-(WHOLE_STRUCTURE[[#This Row],[D, bottom '[m']]]-WHOLE_STRUCTURE[[#This Row],[D, top '[m']]])/(WHOLE_STRUCTURE[[#This Row],[Bottom '[mLAT']]]-WHOLE_STRUCTURE[[#This Row],[Top '[mLAT']]]),"")</f>
        <v/>
      </c>
      <c r="M190" s="107" t="str">
        <f>IFERROR((WHOLE_STRUCTURE[[#This Row],[D, bottom '[m']]]+WHOLE_STRUCTURE[[#This Row],[D, top '[m']]])/(2*WHOLE_STRUCTURE[[#This Row],[t '[mm']]]/1000),"")</f>
        <v/>
      </c>
    </row>
    <row r="191" spans="10:13" x14ac:dyDescent="0.3">
      <c r="J191" s="107" t="str">
        <f>IF(7850/1000*(1/3)*PI()*ABS(E191-F191)*((G191/2)^2+(G191/2)*(H191/2)+(H191/2)^2-(G191/2-I191/1000)^2-(G191/2-I191/1000)*(H191/2-I191/1000)-(H191/2-I191/1000)^2)=0,"",7850/1000*(1/3)*PI()*ABS(E191-F191)*((G191/2)^2+(G191/2)*(H191/2)+(H191/2)^2-(G191/2-I191/1000)^2-(G191/2-I191/1000)*(H191/2-I191/1000)-(H191/2-I191/1000)^2))</f>
        <v/>
      </c>
      <c r="K191" s="107" t="str">
        <f>IFERROR(WHOLE_STRUCTURE[[#This Row],[Bottom '[mLAT']]]-WHOLE_STRUCTURE[[#This Row],[D, top '[m']]], "")</f>
        <v/>
      </c>
      <c r="L191" s="107" t="str">
        <f>IFERROR(-(WHOLE_STRUCTURE[[#This Row],[D, bottom '[m']]]-WHOLE_STRUCTURE[[#This Row],[D, top '[m']]])/(WHOLE_STRUCTURE[[#This Row],[Bottom '[mLAT']]]-WHOLE_STRUCTURE[[#This Row],[Top '[mLAT']]]),"")</f>
        <v/>
      </c>
      <c r="M191" s="107" t="str">
        <f>IFERROR((WHOLE_STRUCTURE[[#This Row],[D, bottom '[m']]]+WHOLE_STRUCTURE[[#This Row],[D, top '[m']]])/(2*WHOLE_STRUCTURE[[#This Row],[t '[mm']]]/1000),"")</f>
        <v/>
      </c>
    </row>
    <row r="192" spans="10:13" x14ac:dyDescent="0.3">
      <c r="J192" s="107" t="str">
        <f>IF(7850/1000*(1/3)*PI()*ABS(E192-F192)*((G192/2)^2+(G192/2)*(H192/2)+(H192/2)^2-(G192/2-I192/1000)^2-(G192/2-I192/1000)*(H192/2-I192/1000)-(H192/2-I192/1000)^2)=0,"",7850/1000*(1/3)*PI()*ABS(E192-F192)*((G192/2)^2+(G192/2)*(H192/2)+(H192/2)^2-(G192/2-I192/1000)^2-(G192/2-I192/1000)*(H192/2-I192/1000)-(H192/2-I192/1000)^2))</f>
        <v/>
      </c>
      <c r="K192" s="107" t="str">
        <f>IFERROR(WHOLE_STRUCTURE[[#This Row],[Bottom '[mLAT']]]-WHOLE_STRUCTURE[[#This Row],[D, top '[m']]], "")</f>
        <v/>
      </c>
      <c r="L192" s="107" t="str">
        <f>IFERROR(-(WHOLE_STRUCTURE[[#This Row],[D, bottom '[m']]]-WHOLE_STRUCTURE[[#This Row],[D, top '[m']]])/(WHOLE_STRUCTURE[[#This Row],[Bottom '[mLAT']]]-WHOLE_STRUCTURE[[#This Row],[Top '[mLAT']]]),"")</f>
        <v/>
      </c>
      <c r="M192" s="107" t="str">
        <f>IFERROR((WHOLE_STRUCTURE[[#This Row],[D, bottom '[m']]]+WHOLE_STRUCTURE[[#This Row],[D, top '[m']]])/(2*WHOLE_STRUCTURE[[#This Row],[t '[mm']]]/1000),"")</f>
        <v/>
      </c>
    </row>
    <row r="193" spans="10:13" x14ac:dyDescent="0.3">
      <c r="J193" s="107" t="str">
        <f>IF(7850/1000*(1/3)*PI()*ABS(E193-F193)*((G193/2)^2+(G193/2)*(H193/2)+(H193/2)^2-(G193/2-I193/1000)^2-(G193/2-I193/1000)*(H193/2-I193/1000)-(H193/2-I193/1000)^2)=0,"",7850/1000*(1/3)*PI()*ABS(E193-F193)*((G193/2)^2+(G193/2)*(H193/2)+(H193/2)^2-(G193/2-I193/1000)^2-(G193/2-I193/1000)*(H193/2-I193/1000)-(H193/2-I193/1000)^2))</f>
        <v/>
      </c>
      <c r="K193" s="107" t="str">
        <f>IFERROR(WHOLE_STRUCTURE[[#This Row],[Bottom '[mLAT']]]-WHOLE_STRUCTURE[[#This Row],[D, top '[m']]], "")</f>
        <v/>
      </c>
      <c r="L193" s="107" t="str">
        <f>IFERROR(-(WHOLE_STRUCTURE[[#This Row],[D, bottom '[m']]]-WHOLE_STRUCTURE[[#This Row],[D, top '[m']]])/(WHOLE_STRUCTURE[[#This Row],[Bottom '[mLAT']]]-WHOLE_STRUCTURE[[#This Row],[Top '[mLAT']]]),"")</f>
        <v/>
      </c>
      <c r="M193" s="107" t="str">
        <f>IFERROR((WHOLE_STRUCTURE[[#This Row],[D, bottom '[m']]]+WHOLE_STRUCTURE[[#This Row],[D, top '[m']]])/(2*WHOLE_STRUCTURE[[#This Row],[t '[mm']]]/1000),"")</f>
        <v/>
      </c>
    </row>
    <row r="194" spans="10:13" x14ac:dyDescent="0.3">
      <c r="J194" s="107" t="str">
        <f>IF(7850/1000*(1/3)*PI()*ABS(E194-F194)*((G194/2)^2+(G194/2)*(H194/2)+(H194/2)^2-(G194/2-I194/1000)^2-(G194/2-I194/1000)*(H194/2-I194/1000)-(H194/2-I194/1000)^2)=0,"",7850/1000*(1/3)*PI()*ABS(E194-F194)*((G194/2)^2+(G194/2)*(H194/2)+(H194/2)^2-(G194/2-I194/1000)^2-(G194/2-I194/1000)*(H194/2-I194/1000)-(H194/2-I194/1000)^2))</f>
        <v/>
      </c>
      <c r="K194" s="107" t="str">
        <f>IFERROR(WHOLE_STRUCTURE[[#This Row],[Bottom '[mLAT']]]-WHOLE_STRUCTURE[[#This Row],[D, top '[m']]], "")</f>
        <v/>
      </c>
      <c r="L194" s="107" t="str">
        <f>IFERROR(-(WHOLE_STRUCTURE[[#This Row],[D, bottom '[m']]]-WHOLE_STRUCTURE[[#This Row],[D, top '[m']]])/(WHOLE_STRUCTURE[[#This Row],[Bottom '[mLAT']]]-WHOLE_STRUCTURE[[#This Row],[Top '[mLAT']]]),"")</f>
        <v/>
      </c>
      <c r="M194" s="107" t="str">
        <f>IFERROR((WHOLE_STRUCTURE[[#This Row],[D, bottom '[m']]]+WHOLE_STRUCTURE[[#This Row],[D, top '[m']]])/(2*WHOLE_STRUCTURE[[#This Row],[t '[mm']]]/1000),"")</f>
        <v/>
      </c>
    </row>
    <row r="195" spans="10:13" x14ac:dyDescent="0.3">
      <c r="J195" s="107" t="str">
        <f>IF(7850/1000*(1/3)*PI()*ABS(E195-F195)*((G195/2)^2+(G195/2)*(H195/2)+(H195/2)^2-(G195/2-I195/1000)^2-(G195/2-I195/1000)*(H195/2-I195/1000)-(H195/2-I195/1000)^2)=0,"",7850/1000*(1/3)*PI()*ABS(E195-F195)*((G195/2)^2+(G195/2)*(H195/2)+(H195/2)^2-(G195/2-I195/1000)^2-(G195/2-I195/1000)*(H195/2-I195/1000)-(H195/2-I195/1000)^2))</f>
        <v/>
      </c>
      <c r="K195" s="107" t="str">
        <f>IFERROR(WHOLE_STRUCTURE[[#This Row],[Bottom '[mLAT']]]-WHOLE_STRUCTURE[[#This Row],[D, top '[m']]], "")</f>
        <v/>
      </c>
      <c r="L195" s="107" t="str">
        <f>IFERROR(-(WHOLE_STRUCTURE[[#This Row],[D, bottom '[m']]]-WHOLE_STRUCTURE[[#This Row],[D, top '[m']]])/(WHOLE_STRUCTURE[[#This Row],[Bottom '[mLAT']]]-WHOLE_STRUCTURE[[#This Row],[Top '[mLAT']]]),"")</f>
        <v/>
      </c>
      <c r="M195" s="107" t="str">
        <f>IFERROR((WHOLE_STRUCTURE[[#This Row],[D, bottom '[m']]]+WHOLE_STRUCTURE[[#This Row],[D, top '[m']]])/(2*WHOLE_STRUCTURE[[#This Row],[t '[mm']]]/1000),"")</f>
        <v/>
      </c>
    </row>
    <row r="196" spans="10:13" x14ac:dyDescent="0.3">
      <c r="J196" s="107" t="str">
        <f>IF(7850/1000*(1/3)*PI()*ABS(E196-F196)*((G196/2)^2+(G196/2)*(H196/2)+(H196/2)^2-(G196/2-I196/1000)^2-(G196/2-I196/1000)*(H196/2-I196/1000)-(H196/2-I196/1000)^2)=0,"",7850/1000*(1/3)*PI()*ABS(E196-F196)*((G196/2)^2+(G196/2)*(H196/2)+(H196/2)^2-(G196/2-I196/1000)^2-(G196/2-I196/1000)*(H196/2-I196/1000)-(H196/2-I196/1000)^2))</f>
        <v/>
      </c>
      <c r="K196" s="107" t="str">
        <f>IFERROR(WHOLE_STRUCTURE[[#This Row],[Bottom '[mLAT']]]-WHOLE_STRUCTURE[[#This Row],[D, top '[m']]], "")</f>
        <v/>
      </c>
      <c r="L196" s="107" t="str">
        <f>IFERROR(-(WHOLE_STRUCTURE[[#This Row],[D, bottom '[m']]]-WHOLE_STRUCTURE[[#This Row],[D, top '[m']]])/(WHOLE_STRUCTURE[[#This Row],[Bottom '[mLAT']]]-WHOLE_STRUCTURE[[#This Row],[Top '[mLAT']]]),"")</f>
        <v/>
      </c>
      <c r="M196" s="107" t="str">
        <f>IFERROR((WHOLE_STRUCTURE[[#This Row],[D, bottom '[m']]]+WHOLE_STRUCTURE[[#This Row],[D, top '[m']]])/(2*WHOLE_STRUCTURE[[#This Row],[t '[mm']]]/1000),"")</f>
        <v/>
      </c>
    </row>
    <row r="197" spans="10:13" x14ac:dyDescent="0.3">
      <c r="J197" s="107" t="str">
        <f>IF(7850/1000*(1/3)*PI()*ABS(E197-F197)*((G197/2)^2+(G197/2)*(H197/2)+(H197/2)^2-(G197/2-I197/1000)^2-(G197/2-I197/1000)*(H197/2-I197/1000)-(H197/2-I197/1000)^2)=0,"",7850/1000*(1/3)*PI()*ABS(E197-F197)*((G197/2)^2+(G197/2)*(H197/2)+(H197/2)^2-(G197/2-I197/1000)^2-(G197/2-I197/1000)*(H197/2-I197/1000)-(H197/2-I197/1000)^2))</f>
        <v/>
      </c>
      <c r="K197" s="107" t="str">
        <f>IFERROR(WHOLE_STRUCTURE[[#This Row],[Bottom '[mLAT']]]-WHOLE_STRUCTURE[[#This Row],[D, top '[m']]], "")</f>
        <v/>
      </c>
      <c r="L197" s="107" t="str">
        <f>IFERROR(-(WHOLE_STRUCTURE[[#This Row],[D, bottom '[m']]]-WHOLE_STRUCTURE[[#This Row],[D, top '[m']]])/(WHOLE_STRUCTURE[[#This Row],[Bottom '[mLAT']]]-WHOLE_STRUCTURE[[#This Row],[Top '[mLAT']]]),"")</f>
        <v/>
      </c>
      <c r="M197" s="107" t="str">
        <f>IFERROR((WHOLE_STRUCTURE[[#This Row],[D, bottom '[m']]]+WHOLE_STRUCTURE[[#This Row],[D, top '[m']]])/(2*WHOLE_STRUCTURE[[#This Row],[t '[mm']]]/1000),"")</f>
        <v/>
      </c>
    </row>
    <row r="198" spans="10:13" x14ac:dyDescent="0.3">
      <c r="J198" s="107" t="str">
        <f>IF(7850/1000*(1/3)*PI()*ABS(E198-F198)*((G198/2)^2+(G198/2)*(H198/2)+(H198/2)^2-(G198/2-I198/1000)^2-(G198/2-I198/1000)*(H198/2-I198/1000)-(H198/2-I198/1000)^2)=0,"",7850/1000*(1/3)*PI()*ABS(E198-F198)*((G198/2)^2+(G198/2)*(H198/2)+(H198/2)^2-(G198/2-I198/1000)^2-(G198/2-I198/1000)*(H198/2-I198/1000)-(H198/2-I198/1000)^2))</f>
        <v/>
      </c>
      <c r="K198" s="107" t="str">
        <f>IFERROR(WHOLE_STRUCTURE[[#This Row],[Bottom '[mLAT']]]-WHOLE_STRUCTURE[[#This Row],[D, top '[m']]], "")</f>
        <v/>
      </c>
      <c r="L198" s="107" t="str">
        <f>IFERROR(-(WHOLE_STRUCTURE[[#This Row],[D, bottom '[m']]]-WHOLE_STRUCTURE[[#This Row],[D, top '[m']]])/(WHOLE_STRUCTURE[[#This Row],[Bottom '[mLAT']]]-WHOLE_STRUCTURE[[#This Row],[Top '[mLAT']]]),"")</f>
        <v/>
      </c>
      <c r="M198" s="107" t="str">
        <f>IFERROR((WHOLE_STRUCTURE[[#This Row],[D, bottom '[m']]]+WHOLE_STRUCTURE[[#This Row],[D, top '[m']]])/(2*WHOLE_STRUCTURE[[#This Row],[t '[mm']]]/1000),"")</f>
        <v/>
      </c>
    </row>
    <row r="199" spans="10:13" x14ac:dyDescent="0.3">
      <c r="J199" s="107" t="str">
        <f>IF(7850/1000*(1/3)*PI()*ABS(E199-F199)*((G199/2)^2+(G199/2)*(H199/2)+(H199/2)^2-(G199/2-I199/1000)^2-(G199/2-I199/1000)*(H199/2-I199/1000)-(H199/2-I199/1000)^2)=0,"",7850/1000*(1/3)*PI()*ABS(E199-F199)*((G199/2)^2+(G199/2)*(H199/2)+(H199/2)^2-(G199/2-I199/1000)^2-(G199/2-I199/1000)*(H199/2-I199/1000)-(H199/2-I199/1000)^2))</f>
        <v/>
      </c>
      <c r="K199" s="107" t="str">
        <f>IFERROR(WHOLE_STRUCTURE[[#This Row],[Bottom '[mLAT']]]-WHOLE_STRUCTURE[[#This Row],[D, top '[m']]], "")</f>
        <v/>
      </c>
      <c r="L199" s="107" t="str">
        <f>IFERROR(-(WHOLE_STRUCTURE[[#This Row],[D, bottom '[m']]]-WHOLE_STRUCTURE[[#This Row],[D, top '[m']]])/(WHOLE_STRUCTURE[[#This Row],[Bottom '[mLAT']]]-WHOLE_STRUCTURE[[#This Row],[Top '[mLAT']]]),"")</f>
        <v/>
      </c>
      <c r="M199" s="107" t="str">
        <f>IFERROR((WHOLE_STRUCTURE[[#This Row],[D, bottom '[m']]]+WHOLE_STRUCTURE[[#This Row],[D, top '[m']]])/(2*WHOLE_STRUCTURE[[#This Row],[t '[mm']]]/1000),"")</f>
        <v/>
      </c>
    </row>
    <row r="200" spans="10:13" x14ac:dyDescent="0.3">
      <c r="J200" s="107" t="str">
        <f>IF(7850/1000*(1/3)*PI()*ABS(E200-F200)*((G200/2)^2+(G200/2)*(H200/2)+(H200/2)^2-(G200/2-I200/1000)^2-(G200/2-I200/1000)*(H200/2-I200/1000)-(H200/2-I200/1000)^2)=0,"",7850/1000*(1/3)*PI()*ABS(E200-F200)*((G200/2)^2+(G200/2)*(H200/2)+(H200/2)^2-(G200/2-I200/1000)^2-(G200/2-I200/1000)*(H200/2-I200/1000)-(H200/2-I200/1000)^2))</f>
        <v/>
      </c>
      <c r="K200" s="107" t="str">
        <f>IFERROR(WHOLE_STRUCTURE[[#This Row],[Bottom '[mLAT']]]-WHOLE_STRUCTURE[[#This Row],[D, top '[m']]], "")</f>
        <v/>
      </c>
      <c r="L200" s="107" t="str">
        <f>IFERROR(-(WHOLE_STRUCTURE[[#This Row],[D, bottom '[m']]]-WHOLE_STRUCTURE[[#This Row],[D, top '[m']]])/(WHOLE_STRUCTURE[[#This Row],[Bottom '[mLAT']]]-WHOLE_STRUCTURE[[#This Row],[Top '[mLAT']]]),"")</f>
        <v/>
      </c>
      <c r="M200" s="107" t="str">
        <f>IFERROR((WHOLE_STRUCTURE[[#This Row],[D, bottom '[m']]]+WHOLE_STRUCTURE[[#This Row],[D, top '[m']]])/(2*WHOLE_STRUCTURE[[#This Row],[t '[mm']]]/1000),"")</f>
        <v/>
      </c>
    </row>
    <row r="201" spans="10:13" x14ac:dyDescent="0.3">
      <c r="J201" s="107" t="str">
        <f>IF(7850/1000*(1/3)*PI()*ABS(E201-F201)*((G201/2)^2+(G201/2)*(H201/2)+(H201/2)^2-(G201/2-I201/1000)^2-(G201/2-I201/1000)*(H201/2-I201/1000)-(H201/2-I201/1000)^2)=0,"",7850/1000*(1/3)*PI()*ABS(E201-F201)*((G201/2)^2+(G201/2)*(H201/2)+(H201/2)^2-(G201/2-I201/1000)^2-(G201/2-I201/1000)*(H201/2-I201/1000)-(H201/2-I201/1000)^2))</f>
        <v/>
      </c>
      <c r="K201" s="107" t="str">
        <f>IFERROR(WHOLE_STRUCTURE[[#This Row],[Bottom '[mLAT']]]-WHOLE_STRUCTURE[[#This Row],[D, top '[m']]], "")</f>
        <v/>
      </c>
      <c r="L201" s="107" t="str">
        <f>IFERROR(-(WHOLE_STRUCTURE[[#This Row],[D, bottom '[m']]]-WHOLE_STRUCTURE[[#This Row],[D, top '[m']]])/(WHOLE_STRUCTURE[[#This Row],[Bottom '[mLAT']]]-WHOLE_STRUCTURE[[#This Row],[Top '[mLAT']]]),"")</f>
        <v/>
      </c>
      <c r="M201" s="107" t="str">
        <f>IFERROR((WHOLE_STRUCTURE[[#This Row],[D, bottom '[m']]]+WHOLE_STRUCTURE[[#This Row],[D, top '[m']]])/(2*WHOLE_STRUCTURE[[#This Row],[t '[mm']]]/1000),"")</f>
        <v/>
      </c>
    </row>
    <row r="202" spans="10:13" x14ac:dyDescent="0.3">
      <c r="J202" s="107" t="str">
        <f>IF(7850/1000*(1/3)*PI()*ABS(E202-F202)*((G202/2)^2+(G202/2)*(H202/2)+(H202/2)^2-(G202/2-I202/1000)^2-(G202/2-I202/1000)*(H202/2-I202/1000)-(H202/2-I202/1000)^2)=0,"",7850/1000*(1/3)*PI()*ABS(E202-F202)*((G202/2)^2+(G202/2)*(H202/2)+(H202/2)^2-(G202/2-I202/1000)^2-(G202/2-I202/1000)*(H202/2-I202/1000)-(H202/2-I202/1000)^2))</f>
        <v/>
      </c>
      <c r="K202" s="107" t="str">
        <f>IFERROR(WHOLE_STRUCTURE[[#This Row],[Bottom '[mLAT']]]-WHOLE_STRUCTURE[[#This Row],[D, top '[m']]], "")</f>
        <v/>
      </c>
      <c r="L202" s="107" t="str">
        <f>IFERROR(-(WHOLE_STRUCTURE[[#This Row],[D, bottom '[m']]]-WHOLE_STRUCTURE[[#This Row],[D, top '[m']]])/(WHOLE_STRUCTURE[[#This Row],[Bottom '[mLAT']]]-WHOLE_STRUCTURE[[#This Row],[Top '[mLAT']]]),"")</f>
        <v/>
      </c>
      <c r="M202" s="107" t="str">
        <f>IFERROR((WHOLE_STRUCTURE[[#This Row],[D, bottom '[m']]]+WHOLE_STRUCTURE[[#This Row],[D, top '[m']]])/(2*WHOLE_STRUCTURE[[#This Row],[t '[mm']]]/1000),"")</f>
        <v/>
      </c>
    </row>
    <row r="203" spans="10:13" x14ac:dyDescent="0.3">
      <c r="J203" s="107" t="str">
        <f>IF(7850/1000*(1/3)*PI()*ABS(E203-F203)*((G203/2)^2+(G203/2)*(H203/2)+(H203/2)^2-(G203/2-I203/1000)^2-(G203/2-I203/1000)*(H203/2-I203/1000)-(H203/2-I203/1000)^2)=0,"",7850/1000*(1/3)*PI()*ABS(E203-F203)*((G203/2)^2+(G203/2)*(H203/2)+(H203/2)^2-(G203/2-I203/1000)^2-(G203/2-I203/1000)*(H203/2-I203/1000)-(H203/2-I203/1000)^2))</f>
        <v/>
      </c>
      <c r="K203" s="107" t="str">
        <f>IFERROR(WHOLE_STRUCTURE[[#This Row],[Bottom '[mLAT']]]-WHOLE_STRUCTURE[[#This Row],[D, top '[m']]], "")</f>
        <v/>
      </c>
      <c r="L203" s="107" t="str">
        <f>IFERROR(-(WHOLE_STRUCTURE[[#This Row],[D, bottom '[m']]]-WHOLE_STRUCTURE[[#This Row],[D, top '[m']]])/(WHOLE_STRUCTURE[[#This Row],[Bottom '[mLAT']]]-WHOLE_STRUCTURE[[#This Row],[Top '[mLAT']]]),"")</f>
        <v/>
      </c>
      <c r="M203" s="107" t="str">
        <f>IFERROR((WHOLE_STRUCTURE[[#This Row],[D, bottom '[m']]]+WHOLE_STRUCTURE[[#This Row],[D, top '[m']]])/(2*WHOLE_STRUCTURE[[#This Row],[t '[mm']]]/1000),"")</f>
        <v/>
      </c>
    </row>
    <row r="204" spans="10:13" x14ac:dyDescent="0.3">
      <c r="J204" s="107" t="str">
        <f>IF(7850/1000*(1/3)*PI()*ABS(E204-F204)*((G204/2)^2+(G204/2)*(H204/2)+(H204/2)^2-(G204/2-I204/1000)^2-(G204/2-I204/1000)*(H204/2-I204/1000)-(H204/2-I204/1000)^2)=0,"",7850/1000*(1/3)*PI()*ABS(E204-F204)*((G204/2)^2+(G204/2)*(H204/2)+(H204/2)^2-(G204/2-I204/1000)^2-(G204/2-I204/1000)*(H204/2-I204/1000)-(H204/2-I204/1000)^2))</f>
        <v/>
      </c>
      <c r="K204" s="107" t="str">
        <f>IFERROR(WHOLE_STRUCTURE[[#This Row],[Bottom '[mLAT']]]-WHOLE_STRUCTURE[[#This Row],[D, top '[m']]], "")</f>
        <v/>
      </c>
      <c r="L204" s="107" t="str">
        <f>IFERROR(-(WHOLE_STRUCTURE[[#This Row],[D, bottom '[m']]]-WHOLE_STRUCTURE[[#This Row],[D, top '[m']]])/(WHOLE_STRUCTURE[[#This Row],[Bottom '[mLAT']]]-WHOLE_STRUCTURE[[#This Row],[Top '[mLAT']]]),"")</f>
        <v/>
      </c>
      <c r="M204" s="107" t="str">
        <f>IFERROR((WHOLE_STRUCTURE[[#This Row],[D, bottom '[m']]]+WHOLE_STRUCTURE[[#This Row],[D, top '[m']]])/(2*WHOLE_STRUCTURE[[#This Row],[t '[mm']]]/1000),"")</f>
        <v/>
      </c>
    </row>
    <row r="205" spans="10:13" x14ac:dyDescent="0.3">
      <c r="J205" s="107" t="str">
        <f>IF(7850/1000*(1/3)*PI()*ABS(E205-F205)*((G205/2)^2+(G205/2)*(H205/2)+(H205/2)^2-(G205/2-I205/1000)^2-(G205/2-I205/1000)*(H205/2-I205/1000)-(H205/2-I205/1000)^2)=0,"",7850/1000*(1/3)*PI()*ABS(E205-F205)*((G205/2)^2+(G205/2)*(H205/2)+(H205/2)^2-(G205/2-I205/1000)^2-(G205/2-I205/1000)*(H205/2-I205/1000)-(H205/2-I205/1000)^2))</f>
        <v/>
      </c>
      <c r="K205" s="107" t="str">
        <f>IFERROR(WHOLE_STRUCTURE[[#This Row],[Bottom '[mLAT']]]-WHOLE_STRUCTURE[[#This Row],[D, top '[m']]], "")</f>
        <v/>
      </c>
      <c r="L205" s="107" t="str">
        <f>IFERROR(-(WHOLE_STRUCTURE[[#This Row],[D, bottom '[m']]]-WHOLE_STRUCTURE[[#This Row],[D, top '[m']]])/(WHOLE_STRUCTURE[[#This Row],[Bottom '[mLAT']]]-WHOLE_STRUCTURE[[#This Row],[Top '[mLAT']]]),"")</f>
        <v/>
      </c>
      <c r="M205" s="107" t="str">
        <f>IFERROR((WHOLE_STRUCTURE[[#This Row],[D, bottom '[m']]]+WHOLE_STRUCTURE[[#This Row],[D, top '[m']]])/(2*WHOLE_STRUCTURE[[#This Row],[t '[mm']]]/1000),"")</f>
        <v/>
      </c>
    </row>
    <row r="206" spans="10:13" x14ac:dyDescent="0.3">
      <c r="J206" s="107" t="str">
        <f>IF(7850/1000*(1/3)*PI()*ABS(E206-F206)*((G206/2)^2+(G206/2)*(H206/2)+(H206/2)^2-(G206/2-I206/1000)^2-(G206/2-I206/1000)*(H206/2-I206/1000)-(H206/2-I206/1000)^2)=0,"",7850/1000*(1/3)*PI()*ABS(E206-F206)*((G206/2)^2+(G206/2)*(H206/2)+(H206/2)^2-(G206/2-I206/1000)^2-(G206/2-I206/1000)*(H206/2-I206/1000)-(H206/2-I206/1000)^2))</f>
        <v/>
      </c>
      <c r="K206" s="107" t="str">
        <f>IFERROR(WHOLE_STRUCTURE[[#This Row],[Bottom '[mLAT']]]-WHOLE_STRUCTURE[[#This Row],[D, top '[m']]], "")</f>
        <v/>
      </c>
      <c r="L206" s="107" t="str">
        <f>IFERROR(-(WHOLE_STRUCTURE[[#This Row],[D, bottom '[m']]]-WHOLE_STRUCTURE[[#This Row],[D, top '[m']]])/(WHOLE_STRUCTURE[[#This Row],[Bottom '[mLAT']]]-WHOLE_STRUCTURE[[#This Row],[Top '[mLAT']]]),"")</f>
        <v/>
      </c>
      <c r="M206" s="107" t="str">
        <f>IFERROR((WHOLE_STRUCTURE[[#This Row],[D, bottom '[m']]]+WHOLE_STRUCTURE[[#This Row],[D, top '[m']]])/(2*WHOLE_STRUCTURE[[#This Row],[t '[mm']]]/1000),"")</f>
        <v/>
      </c>
    </row>
    <row r="207" spans="10:13" x14ac:dyDescent="0.3">
      <c r="J207" s="107" t="str">
        <f>IF(7850/1000*(1/3)*PI()*ABS(E207-F207)*((G207/2)^2+(G207/2)*(H207/2)+(H207/2)^2-(G207/2-I207/1000)^2-(G207/2-I207/1000)*(H207/2-I207/1000)-(H207/2-I207/1000)^2)=0,"",7850/1000*(1/3)*PI()*ABS(E207-F207)*((G207/2)^2+(G207/2)*(H207/2)+(H207/2)^2-(G207/2-I207/1000)^2-(G207/2-I207/1000)*(H207/2-I207/1000)-(H207/2-I207/1000)^2))</f>
        <v/>
      </c>
      <c r="K207" s="107" t="str">
        <f>IFERROR(WHOLE_STRUCTURE[[#This Row],[Bottom '[mLAT']]]-WHOLE_STRUCTURE[[#This Row],[D, top '[m']]], "")</f>
        <v/>
      </c>
      <c r="L207" s="107" t="str">
        <f>IFERROR(-(WHOLE_STRUCTURE[[#This Row],[D, bottom '[m']]]-WHOLE_STRUCTURE[[#This Row],[D, top '[m']]])/(WHOLE_STRUCTURE[[#This Row],[Bottom '[mLAT']]]-WHOLE_STRUCTURE[[#This Row],[Top '[mLAT']]]),"")</f>
        <v/>
      </c>
      <c r="M207" s="107" t="str">
        <f>IFERROR((WHOLE_STRUCTURE[[#This Row],[D, bottom '[m']]]+WHOLE_STRUCTURE[[#This Row],[D, top '[m']]])/(2*WHOLE_STRUCTURE[[#This Row],[t '[mm']]]/1000),"")</f>
        <v/>
      </c>
    </row>
    <row r="208" spans="10:13" x14ac:dyDescent="0.3">
      <c r="J208" s="107" t="str">
        <f>IF(7850/1000*(1/3)*PI()*ABS(E208-F208)*((G208/2)^2+(G208/2)*(H208/2)+(H208/2)^2-(G208/2-I208/1000)^2-(G208/2-I208/1000)*(H208/2-I208/1000)-(H208/2-I208/1000)^2)=0,"",7850/1000*(1/3)*PI()*ABS(E208-F208)*((G208/2)^2+(G208/2)*(H208/2)+(H208/2)^2-(G208/2-I208/1000)^2-(G208/2-I208/1000)*(H208/2-I208/1000)-(H208/2-I208/1000)^2))</f>
        <v/>
      </c>
      <c r="K208" s="107" t="str">
        <f>IFERROR(WHOLE_STRUCTURE[[#This Row],[Bottom '[mLAT']]]-WHOLE_STRUCTURE[[#This Row],[D, top '[m']]], "")</f>
        <v/>
      </c>
      <c r="L208" s="107" t="str">
        <f>IFERROR(-(WHOLE_STRUCTURE[[#This Row],[D, bottom '[m']]]-WHOLE_STRUCTURE[[#This Row],[D, top '[m']]])/(WHOLE_STRUCTURE[[#This Row],[Bottom '[mLAT']]]-WHOLE_STRUCTURE[[#This Row],[Top '[mLAT']]]),"")</f>
        <v/>
      </c>
      <c r="M208" s="107" t="str">
        <f>IFERROR((WHOLE_STRUCTURE[[#This Row],[D, bottom '[m']]]+WHOLE_STRUCTURE[[#This Row],[D, top '[m']]])/(2*WHOLE_STRUCTURE[[#This Row],[t '[mm']]]/1000),"")</f>
        <v/>
      </c>
    </row>
    <row r="209" spans="10:13" x14ac:dyDescent="0.3">
      <c r="J209" s="107" t="str">
        <f>IF(7850/1000*(1/3)*PI()*ABS(E209-F209)*((G209/2)^2+(G209/2)*(H209/2)+(H209/2)^2-(G209/2-I209/1000)^2-(G209/2-I209/1000)*(H209/2-I209/1000)-(H209/2-I209/1000)^2)=0,"",7850/1000*(1/3)*PI()*ABS(E209-F209)*((G209/2)^2+(G209/2)*(H209/2)+(H209/2)^2-(G209/2-I209/1000)^2-(G209/2-I209/1000)*(H209/2-I209/1000)-(H209/2-I209/1000)^2))</f>
        <v/>
      </c>
      <c r="K209" s="107" t="str">
        <f>IFERROR(WHOLE_STRUCTURE[[#This Row],[Bottom '[mLAT']]]-WHOLE_STRUCTURE[[#This Row],[D, top '[m']]], "")</f>
        <v/>
      </c>
      <c r="L209" s="107" t="str">
        <f>IFERROR(-(WHOLE_STRUCTURE[[#This Row],[D, bottom '[m']]]-WHOLE_STRUCTURE[[#This Row],[D, top '[m']]])/(WHOLE_STRUCTURE[[#This Row],[Bottom '[mLAT']]]-WHOLE_STRUCTURE[[#This Row],[Top '[mLAT']]]),"")</f>
        <v/>
      </c>
      <c r="M209" s="107" t="str">
        <f>IFERROR((WHOLE_STRUCTURE[[#This Row],[D, bottom '[m']]]+WHOLE_STRUCTURE[[#This Row],[D, top '[m']]])/(2*WHOLE_STRUCTURE[[#This Row],[t '[mm']]]/1000),"")</f>
        <v/>
      </c>
    </row>
    <row r="210" spans="10:13" x14ac:dyDescent="0.3">
      <c r="J210" s="107" t="str">
        <f>IF(7850/1000*(1/3)*PI()*ABS(E210-F210)*((G210/2)^2+(G210/2)*(H210/2)+(H210/2)^2-(G210/2-I210/1000)^2-(G210/2-I210/1000)*(H210/2-I210/1000)-(H210/2-I210/1000)^2)=0,"",7850/1000*(1/3)*PI()*ABS(E210-F210)*((G210/2)^2+(G210/2)*(H210/2)+(H210/2)^2-(G210/2-I210/1000)^2-(G210/2-I210/1000)*(H210/2-I210/1000)-(H210/2-I210/1000)^2))</f>
        <v/>
      </c>
      <c r="K210" s="107" t="str">
        <f>IFERROR(WHOLE_STRUCTURE[[#This Row],[Bottom '[mLAT']]]-WHOLE_STRUCTURE[[#This Row],[D, top '[m']]], "")</f>
        <v/>
      </c>
      <c r="L210" s="107" t="str">
        <f>IFERROR(-(WHOLE_STRUCTURE[[#This Row],[D, bottom '[m']]]-WHOLE_STRUCTURE[[#This Row],[D, top '[m']]])/(WHOLE_STRUCTURE[[#This Row],[Bottom '[mLAT']]]-WHOLE_STRUCTURE[[#This Row],[Top '[mLAT']]]),"")</f>
        <v/>
      </c>
      <c r="M210" s="107" t="str">
        <f>IFERROR((WHOLE_STRUCTURE[[#This Row],[D, bottom '[m']]]+WHOLE_STRUCTURE[[#This Row],[D, top '[m']]])/(2*WHOLE_STRUCTURE[[#This Row],[t '[mm']]]/1000),"")</f>
        <v/>
      </c>
    </row>
    <row r="211" spans="10:13" x14ac:dyDescent="0.3">
      <c r="J211" s="107" t="str">
        <f>IF(7850/1000*(1/3)*PI()*ABS(E211-F211)*((G211/2)^2+(G211/2)*(H211/2)+(H211/2)^2-(G211/2-I211/1000)^2-(G211/2-I211/1000)*(H211/2-I211/1000)-(H211/2-I211/1000)^2)=0,"",7850/1000*(1/3)*PI()*ABS(E211-F211)*((G211/2)^2+(G211/2)*(H211/2)+(H211/2)^2-(G211/2-I211/1000)^2-(G211/2-I211/1000)*(H211/2-I211/1000)-(H211/2-I211/1000)^2))</f>
        <v/>
      </c>
      <c r="K211" s="107" t="str">
        <f>IFERROR(WHOLE_STRUCTURE[[#This Row],[Bottom '[mLAT']]]-WHOLE_STRUCTURE[[#This Row],[D, top '[m']]], "")</f>
        <v/>
      </c>
      <c r="L211" s="107" t="str">
        <f>IFERROR(-(WHOLE_STRUCTURE[[#This Row],[D, bottom '[m']]]-WHOLE_STRUCTURE[[#This Row],[D, top '[m']]])/(WHOLE_STRUCTURE[[#This Row],[Bottom '[mLAT']]]-WHOLE_STRUCTURE[[#This Row],[Top '[mLAT']]]),"")</f>
        <v/>
      </c>
      <c r="M211" s="107" t="str">
        <f>IFERROR((WHOLE_STRUCTURE[[#This Row],[D, bottom '[m']]]+WHOLE_STRUCTURE[[#This Row],[D, top '[m']]])/(2*WHOLE_STRUCTURE[[#This Row],[t '[mm']]]/1000),"")</f>
        <v/>
      </c>
    </row>
    <row r="212" spans="10:13" x14ac:dyDescent="0.3">
      <c r="J212" s="107" t="str">
        <f>IF(7850/1000*(1/3)*PI()*ABS(E212-F212)*((G212/2)^2+(G212/2)*(H212/2)+(H212/2)^2-(G212/2-I212/1000)^2-(G212/2-I212/1000)*(H212/2-I212/1000)-(H212/2-I212/1000)^2)=0,"",7850/1000*(1/3)*PI()*ABS(E212-F212)*((G212/2)^2+(G212/2)*(H212/2)+(H212/2)^2-(G212/2-I212/1000)^2-(G212/2-I212/1000)*(H212/2-I212/1000)-(H212/2-I212/1000)^2))</f>
        <v/>
      </c>
      <c r="K212" s="107" t="str">
        <f>IFERROR(WHOLE_STRUCTURE[[#This Row],[Bottom '[mLAT']]]-WHOLE_STRUCTURE[[#This Row],[D, top '[m']]], "")</f>
        <v/>
      </c>
      <c r="L212" s="107" t="str">
        <f>IFERROR(-(WHOLE_STRUCTURE[[#This Row],[D, bottom '[m']]]-WHOLE_STRUCTURE[[#This Row],[D, top '[m']]])/(WHOLE_STRUCTURE[[#This Row],[Bottom '[mLAT']]]-WHOLE_STRUCTURE[[#This Row],[Top '[mLAT']]]),"")</f>
        <v/>
      </c>
      <c r="M212" s="107" t="str">
        <f>IFERROR((WHOLE_STRUCTURE[[#This Row],[D, bottom '[m']]]+WHOLE_STRUCTURE[[#This Row],[D, top '[m']]])/(2*WHOLE_STRUCTURE[[#This Row],[t '[mm']]]/1000),"")</f>
        <v/>
      </c>
    </row>
    <row r="213" spans="10:13" x14ac:dyDescent="0.3">
      <c r="J213" s="107" t="str">
        <f>IF(7850/1000*(1/3)*PI()*ABS(E213-F213)*((G213/2)^2+(G213/2)*(H213/2)+(H213/2)^2-(G213/2-I213/1000)^2-(G213/2-I213/1000)*(H213/2-I213/1000)-(H213/2-I213/1000)^2)=0,"",7850/1000*(1/3)*PI()*ABS(E213-F213)*((G213/2)^2+(G213/2)*(H213/2)+(H213/2)^2-(G213/2-I213/1000)^2-(G213/2-I213/1000)*(H213/2-I213/1000)-(H213/2-I213/1000)^2))</f>
        <v/>
      </c>
      <c r="K213" s="107" t="str">
        <f>IFERROR(WHOLE_STRUCTURE[[#This Row],[Bottom '[mLAT']]]-WHOLE_STRUCTURE[[#This Row],[D, top '[m']]], "")</f>
        <v/>
      </c>
      <c r="L213" s="107" t="str">
        <f>IFERROR(-(WHOLE_STRUCTURE[[#This Row],[D, bottom '[m']]]-WHOLE_STRUCTURE[[#This Row],[D, top '[m']]])/(WHOLE_STRUCTURE[[#This Row],[Bottom '[mLAT']]]-WHOLE_STRUCTURE[[#This Row],[Top '[mLAT']]]),"")</f>
        <v/>
      </c>
      <c r="M213" s="107" t="str">
        <f>IFERROR((WHOLE_STRUCTURE[[#This Row],[D, bottom '[m']]]+WHOLE_STRUCTURE[[#This Row],[D, top '[m']]])/(2*WHOLE_STRUCTURE[[#This Row],[t '[mm']]]/1000),"")</f>
        <v/>
      </c>
    </row>
    <row r="214" spans="10:13" x14ac:dyDescent="0.3">
      <c r="J214" s="107" t="str">
        <f>IF(7850/1000*(1/3)*PI()*ABS(E214-F214)*((G214/2)^2+(G214/2)*(H214/2)+(H214/2)^2-(G214/2-I214/1000)^2-(G214/2-I214/1000)*(H214/2-I214/1000)-(H214/2-I214/1000)^2)=0,"",7850/1000*(1/3)*PI()*ABS(E214-F214)*((G214/2)^2+(G214/2)*(H214/2)+(H214/2)^2-(G214/2-I214/1000)^2-(G214/2-I214/1000)*(H214/2-I214/1000)-(H214/2-I214/1000)^2))</f>
        <v/>
      </c>
      <c r="K214" s="107" t="str">
        <f>IFERROR(WHOLE_STRUCTURE[[#This Row],[Bottom '[mLAT']]]-WHOLE_STRUCTURE[[#This Row],[D, top '[m']]], "")</f>
        <v/>
      </c>
      <c r="L214" s="107" t="str">
        <f>IFERROR(-(WHOLE_STRUCTURE[[#This Row],[D, bottom '[m']]]-WHOLE_STRUCTURE[[#This Row],[D, top '[m']]])/(WHOLE_STRUCTURE[[#This Row],[Bottom '[mLAT']]]-WHOLE_STRUCTURE[[#This Row],[Top '[mLAT']]]),"")</f>
        <v/>
      </c>
      <c r="M214" s="107" t="str">
        <f>IFERROR((WHOLE_STRUCTURE[[#This Row],[D, bottom '[m']]]+WHOLE_STRUCTURE[[#This Row],[D, top '[m']]])/(2*WHOLE_STRUCTURE[[#This Row],[t '[mm']]]/1000),"")</f>
        <v/>
      </c>
    </row>
    <row r="215" spans="10:13" x14ac:dyDescent="0.3">
      <c r="J215" s="107" t="str">
        <f>IF(7850/1000*(1/3)*PI()*ABS(E215-F215)*((G215/2)^2+(G215/2)*(H215/2)+(H215/2)^2-(G215/2-I215/1000)^2-(G215/2-I215/1000)*(H215/2-I215/1000)-(H215/2-I215/1000)^2)=0,"",7850/1000*(1/3)*PI()*ABS(E215-F215)*((G215/2)^2+(G215/2)*(H215/2)+(H215/2)^2-(G215/2-I215/1000)^2-(G215/2-I215/1000)*(H215/2-I215/1000)-(H215/2-I215/1000)^2))</f>
        <v/>
      </c>
      <c r="K215" s="107" t="str">
        <f>IFERROR(WHOLE_STRUCTURE[[#This Row],[Bottom '[mLAT']]]-WHOLE_STRUCTURE[[#This Row],[D, top '[m']]], "")</f>
        <v/>
      </c>
      <c r="L215" s="107" t="str">
        <f>IFERROR(-(WHOLE_STRUCTURE[[#This Row],[D, bottom '[m']]]-WHOLE_STRUCTURE[[#This Row],[D, top '[m']]])/(WHOLE_STRUCTURE[[#This Row],[Bottom '[mLAT']]]-WHOLE_STRUCTURE[[#This Row],[Top '[mLAT']]]),"")</f>
        <v/>
      </c>
      <c r="M215" s="107" t="str">
        <f>IFERROR((WHOLE_STRUCTURE[[#This Row],[D, bottom '[m']]]+WHOLE_STRUCTURE[[#This Row],[D, top '[m']]])/(2*WHOLE_STRUCTURE[[#This Row],[t '[mm']]]/1000),"")</f>
        <v/>
      </c>
    </row>
    <row r="216" spans="10:13" x14ac:dyDescent="0.3">
      <c r="J216" s="107" t="str">
        <f>IF(7850/1000*(1/3)*PI()*ABS(E216-F216)*((G216/2)^2+(G216/2)*(H216/2)+(H216/2)^2-(G216/2-I216/1000)^2-(G216/2-I216/1000)*(H216/2-I216/1000)-(H216/2-I216/1000)^2)=0,"",7850/1000*(1/3)*PI()*ABS(E216-F216)*((G216/2)^2+(G216/2)*(H216/2)+(H216/2)^2-(G216/2-I216/1000)^2-(G216/2-I216/1000)*(H216/2-I216/1000)-(H216/2-I216/1000)^2))</f>
        <v/>
      </c>
      <c r="K216" s="107" t="str">
        <f>IFERROR(WHOLE_STRUCTURE[[#This Row],[Bottom '[mLAT']]]-WHOLE_STRUCTURE[[#This Row],[D, top '[m']]], "")</f>
        <v/>
      </c>
      <c r="L216" s="107" t="str">
        <f>IFERROR(-(WHOLE_STRUCTURE[[#This Row],[D, bottom '[m']]]-WHOLE_STRUCTURE[[#This Row],[D, top '[m']]])/(WHOLE_STRUCTURE[[#This Row],[Bottom '[mLAT']]]-WHOLE_STRUCTURE[[#This Row],[Top '[mLAT']]]),"")</f>
        <v/>
      </c>
      <c r="M216" s="107" t="str">
        <f>IFERROR((WHOLE_STRUCTURE[[#This Row],[D, bottom '[m']]]+WHOLE_STRUCTURE[[#This Row],[D, top '[m']]])/(2*WHOLE_STRUCTURE[[#This Row],[t '[mm']]]/1000),"")</f>
        <v/>
      </c>
    </row>
    <row r="217" spans="10:13" x14ac:dyDescent="0.3">
      <c r="J217" s="107" t="str">
        <f>IF(7850/1000*(1/3)*PI()*ABS(E217-F217)*((G217/2)^2+(G217/2)*(H217/2)+(H217/2)^2-(G217/2-I217/1000)^2-(G217/2-I217/1000)*(H217/2-I217/1000)-(H217/2-I217/1000)^2)=0,"",7850/1000*(1/3)*PI()*ABS(E217-F217)*((G217/2)^2+(G217/2)*(H217/2)+(H217/2)^2-(G217/2-I217/1000)^2-(G217/2-I217/1000)*(H217/2-I217/1000)-(H217/2-I217/1000)^2))</f>
        <v/>
      </c>
      <c r="K217" s="107" t="str">
        <f>IFERROR(WHOLE_STRUCTURE[[#This Row],[Bottom '[mLAT']]]-WHOLE_STRUCTURE[[#This Row],[D, top '[m']]], "")</f>
        <v/>
      </c>
      <c r="L217" s="107" t="str">
        <f>IFERROR(-(WHOLE_STRUCTURE[[#This Row],[D, bottom '[m']]]-WHOLE_STRUCTURE[[#This Row],[D, top '[m']]])/(WHOLE_STRUCTURE[[#This Row],[Bottom '[mLAT']]]-WHOLE_STRUCTURE[[#This Row],[Top '[mLAT']]]),"")</f>
        <v/>
      </c>
      <c r="M217" s="107" t="str">
        <f>IFERROR((WHOLE_STRUCTURE[[#This Row],[D, bottom '[m']]]+WHOLE_STRUCTURE[[#This Row],[D, top '[m']]])/(2*WHOLE_STRUCTURE[[#This Row],[t '[mm']]]/1000),"")</f>
        <v/>
      </c>
    </row>
    <row r="218" spans="10:13" x14ac:dyDescent="0.3">
      <c r="J218" s="107" t="str">
        <f>IF(7850/1000*(1/3)*PI()*ABS(E218-F218)*((G218/2)^2+(G218/2)*(H218/2)+(H218/2)^2-(G218/2-I218/1000)^2-(G218/2-I218/1000)*(H218/2-I218/1000)-(H218/2-I218/1000)^2)=0,"",7850/1000*(1/3)*PI()*ABS(E218-F218)*((G218/2)^2+(G218/2)*(H218/2)+(H218/2)^2-(G218/2-I218/1000)^2-(G218/2-I218/1000)*(H218/2-I218/1000)-(H218/2-I218/1000)^2))</f>
        <v/>
      </c>
      <c r="K218" s="107" t="str">
        <f>IFERROR(WHOLE_STRUCTURE[[#This Row],[Bottom '[mLAT']]]-WHOLE_STRUCTURE[[#This Row],[D, top '[m']]], "")</f>
        <v/>
      </c>
      <c r="L218" s="107" t="str">
        <f>IFERROR(-(WHOLE_STRUCTURE[[#This Row],[D, bottom '[m']]]-WHOLE_STRUCTURE[[#This Row],[D, top '[m']]])/(WHOLE_STRUCTURE[[#This Row],[Bottom '[mLAT']]]-WHOLE_STRUCTURE[[#This Row],[Top '[mLAT']]]),"")</f>
        <v/>
      </c>
      <c r="M218" s="107" t="str">
        <f>IFERROR((WHOLE_STRUCTURE[[#This Row],[D, bottom '[m']]]+WHOLE_STRUCTURE[[#This Row],[D, top '[m']]])/(2*WHOLE_STRUCTURE[[#This Row],[t '[mm']]]/1000),"")</f>
        <v/>
      </c>
    </row>
    <row r="219" spans="10:13" x14ac:dyDescent="0.3">
      <c r="J219" s="107" t="str">
        <f>IF(7850/1000*(1/3)*PI()*ABS(E219-F219)*((G219/2)^2+(G219/2)*(H219/2)+(H219/2)^2-(G219/2-I219/1000)^2-(G219/2-I219/1000)*(H219/2-I219/1000)-(H219/2-I219/1000)^2)=0,"",7850/1000*(1/3)*PI()*ABS(E219-F219)*((G219/2)^2+(G219/2)*(H219/2)+(H219/2)^2-(G219/2-I219/1000)^2-(G219/2-I219/1000)*(H219/2-I219/1000)-(H219/2-I219/1000)^2))</f>
        <v/>
      </c>
      <c r="K219" s="107" t="str">
        <f>IFERROR(WHOLE_STRUCTURE[[#This Row],[Bottom '[mLAT']]]-WHOLE_STRUCTURE[[#This Row],[D, top '[m']]], "")</f>
        <v/>
      </c>
      <c r="L219" s="107" t="str">
        <f>IFERROR(-(WHOLE_STRUCTURE[[#This Row],[D, bottom '[m']]]-WHOLE_STRUCTURE[[#This Row],[D, top '[m']]])/(WHOLE_STRUCTURE[[#This Row],[Bottom '[mLAT']]]-WHOLE_STRUCTURE[[#This Row],[Top '[mLAT']]]),"")</f>
        <v/>
      </c>
      <c r="M219" s="107" t="str">
        <f>IFERROR((WHOLE_STRUCTURE[[#This Row],[D, bottom '[m']]]+WHOLE_STRUCTURE[[#This Row],[D, top '[m']]])/(2*WHOLE_STRUCTURE[[#This Row],[t '[mm']]]/1000),"")</f>
        <v/>
      </c>
    </row>
    <row r="220" spans="10:13" x14ac:dyDescent="0.3">
      <c r="J220" s="107" t="str">
        <f>IF(7850/1000*(1/3)*PI()*ABS(E220-F220)*((G220/2)^2+(G220/2)*(H220/2)+(H220/2)^2-(G220/2-I220/1000)^2-(G220/2-I220/1000)*(H220/2-I220/1000)-(H220/2-I220/1000)^2)=0,"",7850/1000*(1/3)*PI()*ABS(E220-F220)*((G220/2)^2+(G220/2)*(H220/2)+(H220/2)^2-(G220/2-I220/1000)^2-(G220/2-I220/1000)*(H220/2-I220/1000)-(H220/2-I220/1000)^2))</f>
        <v/>
      </c>
      <c r="K220" s="107" t="str">
        <f>IFERROR(WHOLE_STRUCTURE[[#This Row],[Bottom '[mLAT']]]-WHOLE_STRUCTURE[[#This Row],[D, top '[m']]], "")</f>
        <v/>
      </c>
      <c r="L220" s="107" t="str">
        <f>IFERROR(-(WHOLE_STRUCTURE[[#This Row],[D, bottom '[m']]]-WHOLE_STRUCTURE[[#This Row],[D, top '[m']]])/(WHOLE_STRUCTURE[[#This Row],[Bottom '[mLAT']]]-WHOLE_STRUCTURE[[#This Row],[Top '[mLAT']]]),"")</f>
        <v/>
      </c>
      <c r="M220" s="107" t="str">
        <f>IFERROR((WHOLE_STRUCTURE[[#This Row],[D, bottom '[m']]]+WHOLE_STRUCTURE[[#This Row],[D, top '[m']]])/(2*WHOLE_STRUCTURE[[#This Row],[t '[mm']]]/1000),"")</f>
        <v/>
      </c>
    </row>
    <row r="221" spans="10:13" x14ac:dyDescent="0.3">
      <c r="J221" s="107" t="str">
        <f>IF(7850/1000*(1/3)*PI()*ABS(E221-F221)*((G221/2)^2+(G221/2)*(H221/2)+(H221/2)^2-(G221/2-I221/1000)^2-(G221/2-I221/1000)*(H221/2-I221/1000)-(H221/2-I221/1000)^2)=0,"",7850/1000*(1/3)*PI()*ABS(E221-F221)*((G221/2)^2+(G221/2)*(H221/2)+(H221/2)^2-(G221/2-I221/1000)^2-(G221/2-I221/1000)*(H221/2-I221/1000)-(H221/2-I221/1000)^2))</f>
        <v/>
      </c>
      <c r="K221" s="107" t="str">
        <f>IFERROR(WHOLE_STRUCTURE[[#This Row],[Bottom '[mLAT']]]-WHOLE_STRUCTURE[[#This Row],[D, top '[m']]], "")</f>
        <v/>
      </c>
      <c r="L221" s="107" t="str">
        <f>IFERROR(-(WHOLE_STRUCTURE[[#This Row],[D, bottom '[m']]]-WHOLE_STRUCTURE[[#This Row],[D, top '[m']]])/(WHOLE_STRUCTURE[[#This Row],[Bottom '[mLAT']]]-WHOLE_STRUCTURE[[#This Row],[Top '[mLAT']]]),"")</f>
        <v/>
      </c>
      <c r="M221" s="107" t="str">
        <f>IFERROR((WHOLE_STRUCTURE[[#This Row],[D, bottom '[m']]]+WHOLE_STRUCTURE[[#This Row],[D, top '[m']]])/(2*WHOLE_STRUCTURE[[#This Row],[t '[mm']]]/1000),"")</f>
        <v/>
      </c>
    </row>
    <row r="222" spans="10:13" x14ac:dyDescent="0.3">
      <c r="J222" s="107" t="str">
        <f>IF(7850/1000*(1/3)*PI()*ABS(E222-F222)*((G222/2)^2+(G222/2)*(H222/2)+(H222/2)^2-(G222/2-I222/1000)^2-(G222/2-I222/1000)*(H222/2-I222/1000)-(H222/2-I222/1000)^2)=0,"",7850/1000*(1/3)*PI()*ABS(E222-F222)*((G222/2)^2+(G222/2)*(H222/2)+(H222/2)^2-(G222/2-I222/1000)^2-(G222/2-I222/1000)*(H222/2-I222/1000)-(H222/2-I222/1000)^2))</f>
        <v/>
      </c>
      <c r="K222" s="107" t="str">
        <f>IFERROR(WHOLE_STRUCTURE[[#This Row],[Bottom '[mLAT']]]-WHOLE_STRUCTURE[[#This Row],[D, top '[m']]], "")</f>
        <v/>
      </c>
      <c r="L222" s="107" t="str">
        <f>IFERROR(-(WHOLE_STRUCTURE[[#This Row],[D, bottom '[m']]]-WHOLE_STRUCTURE[[#This Row],[D, top '[m']]])/(WHOLE_STRUCTURE[[#This Row],[Bottom '[mLAT']]]-WHOLE_STRUCTURE[[#This Row],[Top '[mLAT']]]),"")</f>
        <v/>
      </c>
      <c r="M222" s="107" t="str">
        <f>IFERROR((WHOLE_STRUCTURE[[#This Row],[D, bottom '[m']]]+WHOLE_STRUCTURE[[#This Row],[D, top '[m']]])/(2*WHOLE_STRUCTURE[[#This Row],[t '[mm']]]/1000),"")</f>
        <v/>
      </c>
    </row>
    <row r="223" spans="10:13" x14ac:dyDescent="0.3">
      <c r="J223" s="107" t="str">
        <f>IF(7850/1000*(1/3)*PI()*ABS(E223-F223)*((G223/2)^2+(G223/2)*(H223/2)+(H223/2)^2-(G223/2-I223/1000)^2-(G223/2-I223/1000)*(H223/2-I223/1000)-(H223/2-I223/1000)^2)=0,"",7850/1000*(1/3)*PI()*ABS(E223-F223)*((G223/2)^2+(G223/2)*(H223/2)+(H223/2)^2-(G223/2-I223/1000)^2-(G223/2-I223/1000)*(H223/2-I223/1000)-(H223/2-I223/1000)^2))</f>
        <v/>
      </c>
      <c r="K223" s="107" t="str">
        <f>IFERROR(WHOLE_STRUCTURE[[#This Row],[Bottom '[mLAT']]]-WHOLE_STRUCTURE[[#This Row],[D, top '[m']]], "")</f>
        <v/>
      </c>
      <c r="L223" s="107" t="str">
        <f>IFERROR(-(WHOLE_STRUCTURE[[#This Row],[D, bottom '[m']]]-WHOLE_STRUCTURE[[#This Row],[D, top '[m']]])/(WHOLE_STRUCTURE[[#This Row],[Bottom '[mLAT']]]-WHOLE_STRUCTURE[[#This Row],[Top '[mLAT']]]),"")</f>
        <v/>
      </c>
      <c r="M223" s="107" t="str">
        <f>IFERROR((WHOLE_STRUCTURE[[#This Row],[D, bottom '[m']]]+WHOLE_STRUCTURE[[#This Row],[D, top '[m']]])/(2*WHOLE_STRUCTURE[[#This Row],[t '[mm']]]/1000),"")</f>
        <v/>
      </c>
    </row>
    <row r="224" spans="10:13" x14ac:dyDescent="0.3">
      <c r="J224" s="107" t="str">
        <f>IF(7850/1000*(1/3)*PI()*ABS(E224-F224)*((G224/2)^2+(G224/2)*(H224/2)+(H224/2)^2-(G224/2-I224/1000)^2-(G224/2-I224/1000)*(H224/2-I224/1000)-(H224/2-I224/1000)^2)=0,"",7850/1000*(1/3)*PI()*ABS(E224-F224)*((G224/2)^2+(G224/2)*(H224/2)+(H224/2)^2-(G224/2-I224/1000)^2-(G224/2-I224/1000)*(H224/2-I224/1000)-(H224/2-I224/1000)^2))</f>
        <v/>
      </c>
      <c r="K224" s="107" t="str">
        <f>IFERROR(WHOLE_STRUCTURE[[#This Row],[Bottom '[mLAT']]]-WHOLE_STRUCTURE[[#This Row],[D, top '[m']]], "")</f>
        <v/>
      </c>
      <c r="L224" s="107" t="str">
        <f>IFERROR(-(WHOLE_STRUCTURE[[#This Row],[D, bottom '[m']]]-WHOLE_STRUCTURE[[#This Row],[D, top '[m']]])/(WHOLE_STRUCTURE[[#This Row],[Bottom '[mLAT']]]-WHOLE_STRUCTURE[[#This Row],[Top '[mLAT']]]),"")</f>
        <v/>
      </c>
      <c r="M224" s="107" t="str">
        <f>IFERROR((WHOLE_STRUCTURE[[#This Row],[D, bottom '[m']]]+WHOLE_STRUCTURE[[#This Row],[D, top '[m']]])/(2*WHOLE_STRUCTURE[[#This Row],[t '[mm']]]/1000),"")</f>
        <v/>
      </c>
    </row>
    <row r="225" spans="10:13" x14ac:dyDescent="0.3">
      <c r="J225" s="107" t="str">
        <f>IF(7850/1000*(1/3)*PI()*ABS(E225-F225)*((G225/2)^2+(G225/2)*(H225/2)+(H225/2)^2-(G225/2-I225/1000)^2-(G225/2-I225/1000)*(H225/2-I225/1000)-(H225/2-I225/1000)^2)=0,"",7850/1000*(1/3)*PI()*ABS(E225-F225)*((G225/2)^2+(G225/2)*(H225/2)+(H225/2)^2-(G225/2-I225/1000)^2-(G225/2-I225/1000)*(H225/2-I225/1000)-(H225/2-I225/1000)^2))</f>
        <v/>
      </c>
      <c r="K225" s="107" t="str">
        <f>IFERROR(WHOLE_STRUCTURE[[#This Row],[Bottom '[mLAT']]]-WHOLE_STRUCTURE[[#This Row],[D, top '[m']]], "")</f>
        <v/>
      </c>
      <c r="L225" s="107" t="str">
        <f>IFERROR(-(WHOLE_STRUCTURE[[#This Row],[D, bottom '[m']]]-WHOLE_STRUCTURE[[#This Row],[D, top '[m']]])/(WHOLE_STRUCTURE[[#This Row],[Bottom '[mLAT']]]-WHOLE_STRUCTURE[[#This Row],[Top '[mLAT']]]),"")</f>
        <v/>
      </c>
      <c r="M225" s="107" t="str">
        <f>IFERROR((WHOLE_STRUCTURE[[#This Row],[D, bottom '[m']]]+WHOLE_STRUCTURE[[#This Row],[D, top '[m']]])/(2*WHOLE_STRUCTURE[[#This Row],[t '[mm']]]/1000),"")</f>
        <v/>
      </c>
    </row>
    <row r="226" spans="10:13" x14ac:dyDescent="0.3">
      <c r="J226" s="107" t="str">
        <f>IF(7850/1000*(1/3)*PI()*ABS(E226-F226)*((G226/2)^2+(G226/2)*(H226/2)+(H226/2)^2-(G226/2-I226/1000)^2-(G226/2-I226/1000)*(H226/2-I226/1000)-(H226/2-I226/1000)^2)=0,"",7850/1000*(1/3)*PI()*ABS(E226-F226)*((G226/2)^2+(G226/2)*(H226/2)+(H226/2)^2-(G226/2-I226/1000)^2-(G226/2-I226/1000)*(H226/2-I226/1000)-(H226/2-I226/1000)^2))</f>
        <v/>
      </c>
      <c r="K226" s="107" t="str">
        <f>IFERROR(WHOLE_STRUCTURE[[#This Row],[Bottom '[mLAT']]]-WHOLE_STRUCTURE[[#This Row],[D, top '[m']]], "")</f>
        <v/>
      </c>
      <c r="L226" s="107" t="str">
        <f>IFERROR(-(WHOLE_STRUCTURE[[#This Row],[D, bottom '[m']]]-WHOLE_STRUCTURE[[#This Row],[D, top '[m']]])/(WHOLE_STRUCTURE[[#This Row],[Bottom '[mLAT']]]-WHOLE_STRUCTURE[[#This Row],[Top '[mLAT']]]),"")</f>
        <v/>
      </c>
      <c r="M226" s="107" t="str">
        <f>IFERROR((WHOLE_STRUCTURE[[#This Row],[D, bottom '[m']]]+WHOLE_STRUCTURE[[#This Row],[D, top '[m']]])/(2*WHOLE_STRUCTURE[[#This Row],[t '[mm']]]/1000),"")</f>
        <v/>
      </c>
    </row>
    <row r="227" spans="10:13" x14ac:dyDescent="0.3">
      <c r="J227" s="107" t="str">
        <f>IF(7850/1000*(1/3)*PI()*ABS(E227-F227)*((G227/2)^2+(G227/2)*(H227/2)+(H227/2)^2-(G227/2-I227/1000)^2-(G227/2-I227/1000)*(H227/2-I227/1000)-(H227/2-I227/1000)^2)=0,"",7850/1000*(1/3)*PI()*ABS(E227-F227)*((G227/2)^2+(G227/2)*(H227/2)+(H227/2)^2-(G227/2-I227/1000)^2-(G227/2-I227/1000)*(H227/2-I227/1000)-(H227/2-I227/1000)^2))</f>
        <v/>
      </c>
      <c r="K227" s="107" t="str">
        <f>IFERROR(WHOLE_STRUCTURE[[#This Row],[Bottom '[mLAT']]]-WHOLE_STRUCTURE[[#This Row],[D, top '[m']]], "")</f>
        <v/>
      </c>
      <c r="L227" s="107" t="str">
        <f>IFERROR(-(WHOLE_STRUCTURE[[#This Row],[D, bottom '[m']]]-WHOLE_STRUCTURE[[#This Row],[D, top '[m']]])/(WHOLE_STRUCTURE[[#This Row],[Bottom '[mLAT']]]-WHOLE_STRUCTURE[[#This Row],[Top '[mLAT']]]),"")</f>
        <v/>
      </c>
      <c r="M227" s="107" t="str">
        <f>IFERROR((WHOLE_STRUCTURE[[#This Row],[D, bottom '[m']]]+WHOLE_STRUCTURE[[#This Row],[D, top '[m']]])/(2*WHOLE_STRUCTURE[[#This Row],[t '[mm']]]/1000),"")</f>
        <v/>
      </c>
    </row>
    <row r="228" spans="10:13" x14ac:dyDescent="0.3">
      <c r="J228" s="107" t="str">
        <f>IF(7850/1000*(1/3)*PI()*ABS(E228-F228)*((G228/2)^2+(G228/2)*(H228/2)+(H228/2)^2-(G228/2-I228/1000)^2-(G228/2-I228/1000)*(H228/2-I228/1000)-(H228/2-I228/1000)^2)=0,"",7850/1000*(1/3)*PI()*ABS(E228-F228)*((G228/2)^2+(G228/2)*(H228/2)+(H228/2)^2-(G228/2-I228/1000)^2-(G228/2-I228/1000)*(H228/2-I228/1000)-(H228/2-I228/1000)^2))</f>
        <v/>
      </c>
      <c r="K228" s="107" t="str">
        <f>IFERROR(WHOLE_STRUCTURE[[#This Row],[Bottom '[mLAT']]]-WHOLE_STRUCTURE[[#This Row],[D, top '[m']]], "")</f>
        <v/>
      </c>
      <c r="L228" s="107" t="str">
        <f>IFERROR(-(WHOLE_STRUCTURE[[#This Row],[D, bottom '[m']]]-WHOLE_STRUCTURE[[#This Row],[D, top '[m']]])/(WHOLE_STRUCTURE[[#This Row],[Bottom '[mLAT']]]-WHOLE_STRUCTURE[[#This Row],[Top '[mLAT']]]),"")</f>
        <v/>
      </c>
      <c r="M228" s="107" t="str">
        <f>IFERROR((WHOLE_STRUCTURE[[#This Row],[D, bottom '[m']]]+WHOLE_STRUCTURE[[#This Row],[D, top '[m']]])/(2*WHOLE_STRUCTURE[[#This Row],[t '[mm']]]/1000),"")</f>
        <v/>
      </c>
    </row>
    <row r="229" spans="10:13" x14ac:dyDescent="0.3">
      <c r="J229" s="107" t="str">
        <f>IF(7850/1000*(1/3)*PI()*ABS(E229-F229)*((G229/2)^2+(G229/2)*(H229/2)+(H229/2)^2-(G229/2-I229/1000)^2-(G229/2-I229/1000)*(H229/2-I229/1000)-(H229/2-I229/1000)^2)=0,"",7850/1000*(1/3)*PI()*ABS(E229-F229)*((G229/2)^2+(G229/2)*(H229/2)+(H229/2)^2-(G229/2-I229/1000)^2-(G229/2-I229/1000)*(H229/2-I229/1000)-(H229/2-I229/1000)^2))</f>
        <v/>
      </c>
      <c r="K229" s="107" t="str">
        <f>IFERROR(WHOLE_STRUCTURE[[#This Row],[Bottom '[mLAT']]]-WHOLE_STRUCTURE[[#This Row],[D, top '[m']]], "")</f>
        <v/>
      </c>
      <c r="L229" s="107" t="str">
        <f>IFERROR(-(WHOLE_STRUCTURE[[#This Row],[D, bottom '[m']]]-WHOLE_STRUCTURE[[#This Row],[D, top '[m']]])/(WHOLE_STRUCTURE[[#This Row],[Bottom '[mLAT']]]-WHOLE_STRUCTURE[[#This Row],[Top '[mLAT']]]),"")</f>
        <v/>
      </c>
      <c r="M229" s="107" t="str">
        <f>IFERROR((WHOLE_STRUCTURE[[#This Row],[D, bottom '[m']]]+WHOLE_STRUCTURE[[#This Row],[D, top '[m']]])/(2*WHOLE_STRUCTURE[[#This Row],[t '[mm']]]/1000),"")</f>
        <v/>
      </c>
    </row>
    <row r="230" spans="10:13" x14ac:dyDescent="0.3">
      <c r="J230" s="107" t="str">
        <f>IF(7850/1000*(1/3)*PI()*ABS(E230-F230)*((G230/2)^2+(G230/2)*(H230/2)+(H230/2)^2-(G230/2-I230/1000)^2-(G230/2-I230/1000)*(H230/2-I230/1000)-(H230/2-I230/1000)^2)=0,"",7850/1000*(1/3)*PI()*ABS(E230-F230)*((G230/2)^2+(G230/2)*(H230/2)+(H230/2)^2-(G230/2-I230/1000)^2-(G230/2-I230/1000)*(H230/2-I230/1000)-(H230/2-I230/1000)^2))</f>
        <v/>
      </c>
      <c r="K230" s="107" t="str">
        <f>IFERROR(WHOLE_STRUCTURE[[#This Row],[Bottom '[mLAT']]]-WHOLE_STRUCTURE[[#This Row],[D, top '[m']]], "")</f>
        <v/>
      </c>
      <c r="L230" s="107" t="str">
        <f>IFERROR(-(WHOLE_STRUCTURE[[#This Row],[D, bottom '[m']]]-WHOLE_STRUCTURE[[#This Row],[D, top '[m']]])/(WHOLE_STRUCTURE[[#This Row],[Bottom '[mLAT']]]-WHOLE_STRUCTURE[[#This Row],[Top '[mLAT']]]),"")</f>
        <v/>
      </c>
      <c r="M230" s="107" t="str">
        <f>IFERROR((WHOLE_STRUCTURE[[#This Row],[D, bottom '[m']]]+WHOLE_STRUCTURE[[#This Row],[D, top '[m']]])/(2*WHOLE_STRUCTURE[[#This Row],[t '[mm']]]/1000),"")</f>
        <v/>
      </c>
    </row>
    <row r="231" spans="10:13" x14ac:dyDescent="0.3">
      <c r="J231" s="107" t="str">
        <f>IF(7850/1000*(1/3)*PI()*ABS(E231-F231)*((G231/2)^2+(G231/2)*(H231/2)+(H231/2)^2-(G231/2-I231/1000)^2-(G231/2-I231/1000)*(H231/2-I231/1000)-(H231/2-I231/1000)^2)=0,"",7850/1000*(1/3)*PI()*ABS(E231-F231)*((G231/2)^2+(G231/2)*(H231/2)+(H231/2)^2-(G231/2-I231/1000)^2-(G231/2-I231/1000)*(H231/2-I231/1000)-(H231/2-I231/1000)^2))</f>
        <v/>
      </c>
      <c r="K231" s="107" t="str">
        <f>IFERROR(WHOLE_STRUCTURE[[#This Row],[Bottom '[mLAT']]]-WHOLE_STRUCTURE[[#This Row],[D, top '[m']]], "")</f>
        <v/>
      </c>
      <c r="L231" s="107" t="str">
        <f>IFERROR(-(WHOLE_STRUCTURE[[#This Row],[D, bottom '[m']]]-WHOLE_STRUCTURE[[#This Row],[D, top '[m']]])/(WHOLE_STRUCTURE[[#This Row],[Bottom '[mLAT']]]-WHOLE_STRUCTURE[[#This Row],[Top '[mLAT']]]),"")</f>
        <v/>
      </c>
      <c r="M231" s="107" t="str">
        <f>IFERROR((WHOLE_STRUCTURE[[#This Row],[D, bottom '[m']]]+WHOLE_STRUCTURE[[#This Row],[D, top '[m']]])/(2*WHOLE_STRUCTURE[[#This Row],[t '[mm']]]/1000),"")</f>
        <v/>
      </c>
    </row>
    <row r="232" spans="10:13" x14ac:dyDescent="0.3">
      <c r="J232" s="107" t="str">
        <f>IF(7850/1000*(1/3)*PI()*ABS(E232-F232)*((G232/2)^2+(G232/2)*(H232/2)+(H232/2)^2-(G232/2-I232/1000)^2-(G232/2-I232/1000)*(H232/2-I232/1000)-(H232/2-I232/1000)^2)=0,"",7850/1000*(1/3)*PI()*ABS(E232-F232)*((G232/2)^2+(G232/2)*(H232/2)+(H232/2)^2-(G232/2-I232/1000)^2-(G232/2-I232/1000)*(H232/2-I232/1000)-(H232/2-I232/1000)^2))</f>
        <v/>
      </c>
      <c r="K232" s="107" t="str">
        <f>IFERROR(WHOLE_STRUCTURE[[#This Row],[Bottom '[mLAT']]]-WHOLE_STRUCTURE[[#This Row],[D, top '[m']]], "")</f>
        <v/>
      </c>
      <c r="L232" s="107" t="str">
        <f>IFERROR(-(WHOLE_STRUCTURE[[#This Row],[D, bottom '[m']]]-WHOLE_STRUCTURE[[#This Row],[D, top '[m']]])/(WHOLE_STRUCTURE[[#This Row],[Bottom '[mLAT']]]-WHOLE_STRUCTURE[[#This Row],[Top '[mLAT']]]),"")</f>
        <v/>
      </c>
      <c r="M232" s="107" t="str">
        <f>IFERROR((WHOLE_STRUCTURE[[#This Row],[D, bottom '[m']]]+WHOLE_STRUCTURE[[#This Row],[D, top '[m']]])/(2*WHOLE_STRUCTURE[[#This Row],[t '[mm']]]/1000),"")</f>
        <v/>
      </c>
    </row>
    <row r="233" spans="10:13" x14ac:dyDescent="0.3">
      <c r="J233" s="107" t="str">
        <f>IF(7850/1000*(1/3)*PI()*ABS(E233-F233)*((G233/2)^2+(G233/2)*(H233/2)+(H233/2)^2-(G233/2-I233/1000)^2-(G233/2-I233/1000)*(H233/2-I233/1000)-(H233/2-I233/1000)^2)=0,"",7850/1000*(1/3)*PI()*ABS(E233-F233)*((G233/2)^2+(G233/2)*(H233/2)+(H233/2)^2-(G233/2-I233/1000)^2-(G233/2-I233/1000)*(H233/2-I233/1000)-(H233/2-I233/1000)^2))</f>
        <v/>
      </c>
      <c r="K233" s="107" t="str">
        <f>IFERROR(WHOLE_STRUCTURE[[#This Row],[Bottom '[mLAT']]]-WHOLE_STRUCTURE[[#This Row],[D, top '[m']]], "")</f>
        <v/>
      </c>
      <c r="L233" s="107" t="str">
        <f>IFERROR(-(WHOLE_STRUCTURE[[#This Row],[D, bottom '[m']]]-WHOLE_STRUCTURE[[#This Row],[D, top '[m']]])/(WHOLE_STRUCTURE[[#This Row],[Bottom '[mLAT']]]-WHOLE_STRUCTURE[[#This Row],[Top '[mLAT']]]),"")</f>
        <v/>
      </c>
      <c r="M233" s="107" t="str">
        <f>IFERROR((WHOLE_STRUCTURE[[#This Row],[D, bottom '[m']]]+WHOLE_STRUCTURE[[#This Row],[D, top '[m']]])/(2*WHOLE_STRUCTURE[[#This Row],[t '[mm']]]/1000),"")</f>
        <v/>
      </c>
    </row>
    <row r="234" spans="10:13" x14ac:dyDescent="0.3">
      <c r="J234" s="107" t="str">
        <f>IF(7850/1000*(1/3)*PI()*ABS(E234-F234)*((G234/2)^2+(G234/2)*(H234/2)+(H234/2)^2-(G234/2-I234/1000)^2-(G234/2-I234/1000)*(H234/2-I234/1000)-(H234/2-I234/1000)^2)=0,"",7850/1000*(1/3)*PI()*ABS(E234-F234)*((G234/2)^2+(G234/2)*(H234/2)+(H234/2)^2-(G234/2-I234/1000)^2-(G234/2-I234/1000)*(H234/2-I234/1000)-(H234/2-I234/1000)^2))</f>
        <v/>
      </c>
      <c r="K234" s="107" t="str">
        <f>IFERROR(WHOLE_STRUCTURE[[#This Row],[Bottom '[mLAT']]]-WHOLE_STRUCTURE[[#This Row],[D, top '[m']]], "")</f>
        <v/>
      </c>
      <c r="L234" s="107" t="str">
        <f>IFERROR(-(WHOLE_STRUCTURE[[#This Row],[D, bottom '[m']]]-WHOLE_STRUCTURE[[#This Row],[D, top '[m']]])/(WHOLE_STRUCTURE[[#This Row],[Bottom '[mLAT']]]-WHOLE_STRUCTURE[[#This Row],[Top '[mLAT']]]),"")</f>
        <v/>
      </c>
      <c r="M234" s="107" t="str">
        <f>IFERROR((WHOLE_STRUCTURE[[#This Row],[D, bottom '[m']]]+WHOLE_STRUCTURE[[#This Row],[D, top '[m']]])/(2*WHOLE_STRUCTURE[[#This Row],[t '[mm']]]/1000),"")</f>
        <v/>
      </c>
    </row>
    <row r="235" spans="10:13" x14ac:dyDescent="0.3">
      <c r="J235" s="107" t="str">
        <f>IF(7850/1000*(1/3)*PI()*ABS(E235-F235)*((G235/2)^2+(G235/2)*(H235/2)+(H235/2)^2-(G235/2-I235/1000)^2-(G235/2-I235/1000)*(H235/2-I235/1000)-(H235/2-I235/1000)^2)=0,"",7850/1000*(1/3)*PI()*ABS(E235-F235)*((G235/2)^2+(G235/2)*(H235/2)+(H235/2)^2-(G235/2-I235/1000)^2-(G235/2-I235/1000)*(H235/2-I235/1000)-(H235/2-I235/1000)^2))</f>
        <v/>
      </c>
      <c r="K235" s="107" t="str">
        <f>IFERROR(WHOLE_STRUCTURE[[#This Row],[Bottom '[mLAT']]]-WHOLE_STRUCTURE[[#This Row],[D, top '[m']]], "")</f>
        <v/>
      </c>
      <c r="L235" s="107" t="str">
        <f>IFERROR(-(WHOLE_STRUCTURE[[#This Row],[D, bottom '[m']]]-WHOLE_STRUCTURE[[#This Row],[D, top '[m']]])/(WHOLE_STRUCTURE[[#This Row],[Bottom '[mLAT']]]-WHOLE_STRUCTURE[[#This Row],[Top '[mLAT']]]),"")</f>
        <v/>
      </c>
      <c r="M235" s="107" t="str">
        <f>IFERROR((WHOLE_STRUCTURE[[#This Row],[D, bottom '[m']]]+WHOLE_STRUCTURE[[#This Row],[D, top '[m']]])/(2*WHOLE_STRUCTURE[[#This Row],[t '[mm']]]/1000),"")</f>
        <v/>
      </c>
    </row>
    <row r="236" spans="10:13" x14ac:dyDescent="0.3">
      <c r="J236" s="107" t="str">
        <f>IF(7850/1000*(1/3)*PI()*ABS(E236-F236)*((G236/2)^2+(G236/2)*(H236/2)+(H236/2)^2-(G236/2-I236/1000)^2-(G236/2-I236/1000)*(H236/2-I236/1000)-(H236/2-I236/1000)^2)=0,"",7850/1000*(1/3)*PI()*ABS(E236-F236)*((G236/2)^2+(G236/2)*(H236/2)+(H236/2)^2-(G236/2-I236/1000)^2-(G236/2-I236/1000)*(H236/2-I236/1000)-(H236/2-I236/1000)^2))</f>
        <v/>
      </c>
      <c r="K236" s="107" t="str">
        <f>IFERROR(WHOLE_STRUCTURE[[#This Row],[Bottom '[mLAT']]]-WHOLE_STRUCTURE[[#This Row],[D, top '[m']]], "")</f>
        <v/>
      </c>
      <c r="L236" s="107" t="str">
        <f>IFERROR(-(WHOLE_STRUCTURE[[#This Row],[D, bottom '[m']]]-WHOLE_STRUCTURE[[#This Row],[D, top '[m']]])/(WHOLE_STRUCTURE[[#This Row],[Bottom '[mLAT']]]-WHOLE_STRUCTURE[[#This Row],[Top '[mLAT']]]),"")</f>
        <v/>
      </c>
      <c r="M236" s="107" t="str">
        <f>IFERROR((WHOLE_STRUCTURE[[#This Row],[D, bottom '[m']]]+WHOLE_STRUCTURE[[#This Row],[D, top '[m']]])/(2*WHOLE_STRUCTURE[[#This Row],[t '[mm']]]/1000),"")</f>
        <v/>
      </c>
    </row>
    <row r="237" spans="10:13" x14ac:dyDescent="0.3">
      <c r="J237" s="107" t="str">
        <f>IF(7850/1000*(1/3)*PI()*ABS(E237-F237)*((G237/2)^2+(G237/2)*(H237/2)+(H237/2)^2-(G237/2-I237/1000)^2-(G237/2-I237/1000)*(H237/2-I237/1000)-(H237/2-I237/1000)^2)=0,"",7850/1000*(1/3)*PI()*ABS(E237-F237)*((G237/2)^2+(G237/2)*(H237/2)+(H237/2)^2-(G237/2-I237/1000)^2-(G237/2-I237/1000)*(H237/2-I237/1000)-(H237/2-I237/1000)^2))</f>
        <v/>
      </c>
      <c r="K237" s="107" t="str">
        <f>IFERROR(WHOLE_STRUCTURE[[#This Row],[Bottom '[mLAT']]]-WHOLE_STRUCTURE[[#This Row],[D, top '[m']]], "")</f>
        <v/>
      </c>
      <c r="L237" s="107" t="str">
        <f>IFERROR(-(WHOLE_STRUCTURE[[#This Row],[D, bottom '[m']]]-WHOLE_STRUCTURE[[#This Row],[D, top '[m']]])/(WHOLE_STRUCTURE[[#This Row],[Bottom '[mLAT']]]-WHOLE_STRUCTURE[[#This Row],[Top '[mLAT']]]),"")</f>
        <v/>
      </c>
      <c r="M237" s="107" t="str">
        <f>IFERROR((WHOLE_STRUCTURE[[#This Row],[D, bottom '[m']]]+WHOLE_STRUCTURE[[#This Row],[D, top '[m']]])/(2*WHOLE_STRUCTURE[[#This Row],[t '[mm']]]/1000),"")</f>
        <v/>
      </c>
    </row>
    <row r="238" spans="10:13" x14ac:dyDescent="0.3">
      <c r="J238" s="107" t="str">
        <f>IF(7850/1000*(1/3)*PI()*ABS(E238-F238)*((G238/2)^2+(G238/2)*(H238/2)+(H238/2)^2-(G238/2-I238/1000)^2-(G238/2-I238/1000)*(H238/2-I238/1000)-(H238/2-I238/1000)^2)=0,"",7850/1000*(1/3)*PI()*ABS(E238-F238)*((G238/2)^2+(G238/2)*(H238/2)+(H238/2)^2-(G238/2-I238/1000)^2-(G238/2-I238/1000)*(H238/2-I238/1000)-(H238/2-I238/1000)^2))</f>
        <v/>
      </c>
      <c r="K238" s="107" t="str">
        <f>IFERROR(WHOLE_STRUCTURE[[#This Row],[Bottom '[mLAT']]]-WHOLE_STRUCTURE[[#This Row],[D, top '[m']]], "")</f>
        <v/>
      </c>
      <c r="L238" s="107" t="str">
        <f>IFERROR(-(WHOLE_STRUCTURE[[#This Row],[D, bottom '[m']]]-WHOLE_STRUCTURE[[#This Row],[D, top '[m']]])/(WHOLE_STRUCTURE[[#This Row],[Bottom '[mLAT']]]-WHOLE_STRUCTURE[[#This Row],[Top '[mLAT']]]),"")</f>
        <v/>
      </c>
      <c r="M238" s="107" t="str">
        <f>IFERROR((WHOLE_STRUCTURE[[#This Row],[D, bottom '[m']]]+WHOLE_STRUCTURE[[#This Row],[D, top '[m']]])/(2*WHOLE_STRUCTURE[[#This Row],[t '[mm']]]/1000),"")</f>
        <v/>
      </c>
    </row>
    <row r="239" spans="10:13" x14ac:dyDescent="0.3">
      <c r="J239" s="107" t="str">
        <f>IF(7850/1000*(1/3)*PI()*ABS(E239-F239)*((G239/2)^2+(G239/2)*(H239/2)+(H239/2)^2-(G239/2-I239/1000)^2-(G239/2-I239/1000)*(H239/2-I239/1000)-(H239/2-I239/1000)^2)=0,"",7850/1000*(1/3)*PI()*ABS(E239-F239)*((G239/2)^2+(G239/2)*(H239/2)+(H239/2)^2-(G239/2-I239/1000)^2-(G239/2-I239/1000)*(H239/2-I239/1000)-(H239/2-I239/1000)^2))</f>
        <v/>
      </c>
      <c r="K239" s="107" t="str">
        <f>IFERROR(WHOLE_STRUCTURE[[#This Row],[Bottom '[mLAT']]]-WHOLE_STRUCTURE[[#This Row],[D, top '[m']]], "")</f>
        <v/>
      </c>
      <c r="L239" s="107" t="str">
        <f>IFERROR(-(WHOLE_STRUCTURE[[#This Row],[D, bottom '[m']]]-WHOLE_STRUCTURE[[#This Row],[D, top '[m']]])/(WHOLE_STRUCTURE[[#This Row],[Bottom '[mLAT']]]-WHOLE_STRUCTURE[[#This Row],[Top '[mLAT']]]),"")</f>
        <v/>
      </c>
      <c r="M239" s="107" t="str">
        <f>IFERROR((WHOLE_STRUCTURE[[#This Row],[D, bottom '[m']]]+WHOLE_STRUCTURE[[#This Row],[D, top '[m']]])/(2*WHOLE_STRUCTURE[[#This Row],[t '[mm']]]/1000),"")</f>
        <v/>
      </c>
    </row>
    <row r="240" spans="10:13" x14ac:dyDescent="0.3">
      <c r="J240" s="107" t="str">
        <f>IF(7850/1000*(1/3)*PI()*ABS(E240-F240)*((G240/2)^2+(G240/2)*(H240/2)+(H240/2)^2-(G240/2-I240/1000)^2-(G240/2-I240/1000)*(H240/2-I240/1000)-(H240/2-I240/1000)^2)=0,"",7850/1000*(1/3)*PI()*ABS(E240-F240)*((G240/2)^2+(G240/2)*(H240/2)+(H240/2)^2-(G240/2-I240/1000)^2-(G240/2-I240/1000)*(H240/2-I240/1000)-(H240/2-I240/1000)^2))</f>
        <v/>
      </c>
      <c r="K240" s="107" t="str">
        <f>IFERROR(WHOLE_STRUCTURE[[#This Row],[Bottom '[mLAT']]]-WHOLE_STRUCTURE[[#This Row],[D, top '[m']]], "")</f>
        <v/>
      </c>
      <c r="L240" s="107" t="str">
        <f>IFERROR(-(WHOLE_STRUCTURE[[#This Row],[D, bottom '[m']]]-WHOLE_STRUCTURE[[#This Row],[D, top '[m']]])/(WHOLE_STRUCTURE[[#This Row],[Bottom '[mLAT']]]-WHOLE_STRUCTURE[[#This Row],[Top '[mLAT']]]),"")</f>
        <v/>
      </c>
      <c r="M240" s="107" t="str">
        <f>IFERROR((WHOLE_STRUCTURE[[#This Row],[D, bottom '[m']]]+WHOLE_STRUCTURE[[#This Row],[D, top '[m']]])/(2*WHOLE_STRUCTURE[[#This Row],[t '[mm']]]/1000),"")</f>
        <v/>
      </c>
    </row>
    <row r="241" spans="10:13" x14ac:dyDescent="0.3">
      <c r="J241" s="107" t="str">
        <f>IF(7850/1000*(1/3)*PI()*ABS(E241-F241)*((G241/2)^2+(G241/2)*(H241/2)+(H241/2)^2-(G241/2-I241/1000)^2-(G241/2-I241/1000)*(H241/2-I241/1000)-(H241/2-I241/1000)^2)=0,"",7850/1000*(1/3)*PI()*ABS(E241-F241)*((G241/2)^2+(G241/2)*(H241/2)+(H241/2)^2-(G241/2-I241/1000)^2-(G241/2-I241/1000)*(H241/2-I241/1000)-(H241/2-I241/1000)^2))</f>
        <v/>
      </c>
      <c r="K241" s="107" t="str">
        <f>IFERROR(WHOLE_STRUCTURE[[#This Row],[Bottom '[mLAT']]]-WHOLE_STRUCTURE[[#This Row],[D, top '[m']]], "")</f>
        <v/>
      </c>
      <c r="L241" s="107" t="str">
        <f>IFERROR(-(WHOLE_STRUCTURE[[#This Row],[D, bottom '[m']]]-WHOLE_STRUCTURE[[#This Row],[D, top '[m']]])/(WHOLE_STRUCTURE[[#This Row],[Bottom '[mLAT']]]-WHOLE_STRUCTURE[[#This Row],[Top '[mLAT']]]),"")</f>
        <v/>
      </c>
      <c r="M241" s="107" t="str">
        <f>IFERROR((WHOLE_STRUCTURE[[#This Row],[D, bottom '[m']]]+WHOLE_STRUCTURE[[#This Row],[D, top '[m']]])/(2*WHOLE_STRUCTURE[[#This Row],[t '[mm']]]/1000),"")</f>
        <v/>
      </c>
    </row>
    <row r="242" spans="10:13" x14ac:dyDescent="0.3">
      <c r="J242" s="107" t="str">
        <f>IF(7850/1000*(1/3)*PI()*ABS(E242-F242)*((G242/2)^2+(G242/2)*(H242/2)+(H242/2)^2-(G242/2-I242/1000)^2-(G242/2-I242/1000)*(H242/2-I242/1000)-(H242/2-I242/1000)^2)=0,"",7850/1000*(1/3)*PI()*ABS(E242-F242)*((G242/2)^2+(G242/2)*(H242/2)+(H242/2)^2-(G242/2-I242/1000)^2-(G242/2-I242/1000)*(H242/2-I242/1000)-(H242/2-I242/1000)^2))</f>
        <v/>
      </c>
      <c r="K242" s="107" t="str">
        <f>IFERROR(WHOLE_STRUCTURE[[#This Row],[Bottom '[mLAT']]]-WHOLE_STRUCTURE[[#This Row],[D, top '[m']]], "")</f>
        <v/>
      </c>
      <c r="L242" s="107" t="str">
        <f>IFERROR(-(WHOLE_STRUCTURE[[#This Row],[D, bottom '[m']]]-WHOLE_STRUCTURE[[#This Row],[D, top '[m']]])/(WHOLE_STRUCTURE[[#This Row],[Bottom '[mLAT']]]-WHOLE_STRUCTURE[[#This Row],[Top '[mLAT']]]),"")</f>
        <v/>
      </c>
      <c r="M242" s="107" t="str">
        <f>IFERROR((WHOLE_STRUCTURE[[#This Row],[D, bottom '[m']]]+WHOLE_STRUCTURE[[#This Row],[D, top '[m']]])/(2*WHOLE_STRUCTURE[[#This Row],[t '[mm']]]/1000),"")</f>
        <v/>
      </c>
    </row>
    <row r="243" spans="10:13" x14ac:dyDescent="0.3">
      <c r="J243" s="107" t="str">
        <f>IF(7850/1000*(1/3)*PI()*ABS(E243-F243)*((G243/2)^2+(G243/2)*(H243/2)+(H243/2)^2-(G243/2-I243/1000)^2-(G243/2-I243/1000)*(H243/2-I243/1000)-(H243/2-I243/1000)^2)=0,"",7850/1000*(1/3)*PI()*ABS(E243-F243)*((G243/2)^2+(G243/2)*(H243/2)+(H243/2)^2-(G243/2-I243/1000)^2-(G243/2-I243/1000)*(H243/2-I243/1000)-(H243/2-I243/1000)^2))</f>
        <v/>
      </c>
      <c r="K243" s="107" t="str">
        <f>IFERROR(WHOLE_STRUCTURE[[#This Row],[Bottom '[mLAT']]]-WHOLE_STRUCTURE[[#This Row],[D, top '[m']]], "")</f>
        <v/>
      </c>
      <c r="L243" s="107" t="str">
        <f>IFERROR(-(WHOLE_STRUCTURE[[#This Row],[D, bottom '[m']]]-WHOLE_STRUCTURE[[#This Row],[D, top '[m']]])/(WHOLE_STRUCTURE[[#This Row],[Bottom '[mLAT']]]-WHOLE_STRUCTURE[[#This Row],[Top '[mLAT']]]),"")</f>
        <v/>
      </c>
      <c r="M243" s="107" t="str">
        <f>IFERROR((WHOLE_STRUCTURE[[#This Row],[D, bottom '[m']]]+WHOLE_STRUCTURE[[#This Row],[D, top '[m']]])/(2*WHOLE_STRUCTURE[[#This Row],[t '[mm']]]/1000),"")</f>
        <v/>
      </c>
    </row>
    <row r="244" spans="10:13" x14ac:dyDescent="0.3">
      <c r="J244" s="107" t="str">
        <f>IF(7850/1000*(1/3)*PI()*ABS(E244-F244)*((G244/2)^2+(G244/2)*(H244/2)+(H244/2)^2-(G244/2-I244/1000)^2-(G244/2-I244/1000)*(H244/2-I244/1000)-(H244/2-I244/1000)^2)=0,"",7850/1000*(1/3)*PI()*ABS(E244-F244)*((G244/2)^2+(G244/2)*(H244/2)+(H244/2)^2-(G244/2-I244/1000)^2-(G244/2-I244/1000)*(H244/2-I244/1000)-(H244/2-I244/1000)^2))</f>
        <v/>
      </c>
      <c r="K244" s="107" t="str">
        <f>IFERROR(WHOLE_STRUCTURE[[#This Row],[Bottom '[mLAT']]]-WHOLE_STRUCTURE[[#This Row],[D, top '[m']]], "")</f>
        <v/>
      </c>
      <c r="L244" s="107" t="str">
        <f>IFERROR(-(WHOLE_STRUCTURE[[#This Row],[D, bottom '[m']]]-WHOLE_STRUCTURE[[#This Row],[D, top '[m']]])/(WHOLE_STRUCTURE[[#This Row],[Bottom '[mLAT']]]-WHOLE_STRUCTURE[[#This Row],[Top '[mLAT']]]),"")</f>
        <v/>
      </c>
      <c r="M244" s="107" t="str">
        <f>IFERROR((WHOLE_STRUCTURE[[#This Row],[D, bottom '[m']]]+WHOLE_STRUCTURE[[#This Row],[D, top '[m']]])/(2*WHOLE_STRUCTURE[[#This Row],[t '[mm']]]/1000),"")</f>
        <v/>
      </c>
    </row>
    <row r="245" spans="10:13" x14ac:dyDescent="0.3">
      <c r="J245" s="107" t="str">
        <f>IF(7850/1000*(1/3)*PI()*ABS(E245-F245)*((G245/2)^2+(G245/2)*(H245/2)+(H245/2)^2-(G245/2-I245/1000)^2-(G245/2-I245/1000)*(H245/2-I245/1000)-(H245/2-I245/1000)^2)=0,"",7850/1000*(1/3)*PI()*ABS(E245-F245)*((G245/2)^2+(G245/2)*(H245/2)+(H245/2)^2-(G245/2-I245/1000)^2-(G245/2-I245/1000)*(H245/2-I245/1000)-(H245/2-I245/1000)^2))</f>
        <v/>
      </c>
      <c r="K245" s="107" t="str">
        <f>IFERROR(WHOLE_STRUCTURE[[#This Row],[Bottom '[mLAT']]]-WHOLE_STRUCTURE[[#This Row],[D, top '[m']]], "")</f>
        <v/>
      </c>
      <c r="L245" s="107" t="str">
        <f>IFERROR(-(WHOLE_STRUCTURE[[#This Row],[D, bottom '[m']]]-WHOLE_STRUCTURE[[#This Row],[D, top '[m']]])/(WHOLE_STRUCTURE[[#This Row],[Bottom '[mLAT']]]-WHOLE_STRUCTURE[[#This Row],[Top '[mLAT']]]),"")</f>
        <v/>
      </c>
      <c r="M245" s="107" t="str">
        <f>IFERROR((WHOLE_STRUCTURE[[#This Row],[D, bottom '[m']]]+WHOLE_STRUCTURE[[#This Row],[D, top '[m']]])/(2*WHOLE_STRUCTURE[[#This Row],[t '[mm']]]/1000),"")</f>
        <v/>
      </c>
    </row>
    <row r="246" spans="10:13" x14ac:dyDescent="0.3">
      <c r="J246" s="107" t="str">
        <f>IF(7850/1000*(1/3)*PI()*ABS(E246-F246)*((G246/2)^2+(G246/2)*(H246/2)+(H246/2)^2-(G246/2-I246/1000)^2-(G246/2-I246/1000)*(H246/2-I246/1000)-(H246/2-I246/1000)^2)=0,"",7850/1000*(1/3)*PI()*ABS(E246-F246)*((G246/2)^2+(G246/2)*(H246/2)+(H246/2)^2-(G246/2-I246/1000)^2-(G246/2-I246/1000)*(H246/2-I246/1000)-(H246/2-I246/1000)^2))</f>
        <v/>
      </c>
      <c r="K246" s="107" t="str">
        <f>IFERROR(WHOLE_STRUCTURE[[#This Row],[Bottom '[mLAT']]]-WHOLE_STRUCTURE[[#This Row],[D, top '[m']]], "")</f>
        <v/>
      </c>
      <c r="L246" s="107" t="str">
        <f>IFERROR(-(WHOLE_STRUCTURE[[#This Row],[D, bottom '[m']]]-WHOLE_STRUCTURE[[#This Row],[D, top '[m']]])/(WHOLE_STRUCTURE[[#This Row],[Bottom '[mLAT']]]-WHOLE_STRUCTURE[[#This Row],[Top '[mLAT']]]),"")</f>
        <v/>
      </c>
      <c r="M246" s="107" t="str">
        <f>IFERROR((WHOLE_STRUCTURE[[#This Row],[D, bottom '[m']]]+WHOLE_STRUCTURE[[#This Row],[D, top '[m']]])/(2*WHOLE_STRUCTURE[[#This Row],[t '[mm']]]/1000),"")</f>
        <v/>
      </c>
    </row>
    <row r="247" spans="10:13" x14ac:dyDescent="0.3">
      <c r="J247" s="107" t="str">
        <f>IF(7850/1000*(1/3)*PI()*ABS(E247-F247)*((G247/2)^2+(G247/2)*(H247/2)+(H247/2)^2-(G247/2-I247/1000)^2-(G247/2-I247/1000)*(H247/2-I247/1000)-(H247/2-I247/1000)^2)=0,"",7850/1000*(1/3)*PI()*ABS(E247-F247)*((G247/2)^2+(G247/2)*(H247/2)+(H247/2)^2-(G247/2-I247/1000)^2-(G247/2-I247/1000)*(H247/2-I247/1000)-(H247/2-I247/1000)^2))</f>
        <v/>
      </c>
      <c r="K247" s="107" t="str">
        <f>IFERROR(WHOLE_STRUCTURE[[#This Row],[Bottom '[mLAT']]]-WHOLE_STRUCTURE[[#This Row],[D, top '[m']]], "")</f>
        <v/>
      </c>
      <c r="L247" s="107" t="str">
        <f>IFERROR(-(WHOLE_STRUCTURE[[#This Row],[D, bottom '[m']]]-WHOLE_STRUCTURE[[#This Row],[D, top '[m']]])/(WHOLE_STRUCTURE[[#This Row],[Bottom '[mLAT']]]-WHOLE_STRUCTURE[[#This Row],[Top '[mLAT']]]),"")</f>
        <v/>
      </c>
      <c r="M247" s="107" t="str">
        <f>IFERROR((WHOLE_STRUCTURE[[#This Row],[D, bottom '[m']]]+WHOLE_STRUCTURE[[#This Row],[D, top '[m']]])/(2*WHOLE_STRUCTURE[[#This Row],[t '[mm']]]/1000),"")</f>
        <v/>
      </c>
    </row>
    <row r="248" spans="10:13" x14ac:dyDescent="0.3">
      <c r="J248" s="107" t="str">
        <f>IF(7850/1000*(1/3)*PI()*ABS(E248-F248)*((G248/2)^2+(G248/2)*(H248/2)+(H248/2)^2-(G248/2-I248/1000)^2-(G248/2-I248/1000)*(H248/2-I248/1000)-(H248/2-I248/1000)^2)=0,"",7850/1000*(1/3)*PI()*ABS(E248-F248)*((G248/2)^2+(G248/2)*(H248/2)+(H248/2)^2-(G248/2-I248/1000)^2-(G248/2-I248/1000)*(H248/2-I248/1000)-(H248/2-I248/1000)^2))</f>
        <v/>
      </c>
      <c r="K248" s="107" t="str">
        <f>IFERROR(WHOLE_STRUCTURE[[#This Row],[Bottom '[mLAT']]]-WHOLE_STRUCTURE[[#This Row],[D, top '[m']]], "")</f>
        <v/>
      </c>
      <c r="L248" s="107" t="str">
        <f>IFERROR(-(WHOLE_STRUCTURE[[#This Row],[D, bottom '[m']]]-WHOLE_STRUCTURE[[#This Row],[D, top '[m']]])/(WHOLE_STRUCTURE[[#This Row],[Bottom '[mLAT']]]-WHOLE_STRUCTURE[[#This Row],[Top '[mLAT']]]),"")</f>
        <v/>
      </c>
      <c r="M248" s="107" t="str">
        <f>IFERROR((WHOLE_STRUCTURE[[#This Row],[D, bottom '[m']]]+WHOLE_STRUCTURE[[#This Row],[D, top '[m']]])/(2*WHOLE_STRUCTURE[[#This Row],[t '[mm']]]/1000),"")</f>
        <v/>
      </c>
    </row>
    <row r="249" spans="10:13" x14ac:dyDescent="0.3">
      <c r="J249" s="107" t="str">
        <f>IF(7850/1000*(1/3)*PI()*ABS(E249-F249)*((G249/2)^2+(G249/2)*(H249/2)+(H249/2)^2-(G249/2-I249/1000)^2-(G249/2-I249/1000)*(H249/2-I249/1000)-(H249/2-I249/1000)^2)=0,"",7850/1000*(1/3)*PI()*ABS(E249-F249)*((G249/2)^2+(G249/2)*(H249/2)+(H249/2)^2-(G249/2-I249/1000)^2-(G249/2-I249/1000)*(H249/2-I249/1000)-(H249/2-I249/1000)^2))</f>
        <v/>
      </c>
      <c r="K249" s="107" t="str">
        <f>IFERROR(WHOLE_STRUCTURE[[#This Row],[Bottom '[mLAT']]]-WHOLE_STRUCTURE[[#This Row],[D, top '[m']]], "")</f>
        <v/>
      </c>
      <c r="L249" s="107" t="str">
        <f>IFERROR(-(WHOLE_STRUCTURE[[#This Row],[D, bottom '[m']]]-WHOLE_STRUCTURE[[#This Row],[D, top '[m']]])/(WHOLE_STRUCTURE[[#This Row],[Bottom '[mLAT']]]-WHOLE_STRUCTURE[[#This Row],[Top '[mLAT']]]),"")</f>
        <v/>
      </c>
      <c r="M249" s="107" t="str">
        <f>IFERROR((WHOLE_STRUCTURE[[#This Row],[D, bottom '[m']]]+WHOLE_STRUCTURE[[#This Row],[D, top '[m']]])/(2*WHOLE_STRUCTURE[[#This Row],[t '[mm']]]/1000),"")</f>
        <v/>
      </c>
    </row>
    <row r="250" spans="10:13" x14ac:dyDescent="0.3">
      <c r="J250" s="107" t="str">
        <f>IF(7850/1000*(1/3)*PI()*ABS(E250-F250)*((G250/2)^2+(G250/2)*(H250/2)+(H250/2)^2-(G250/2-I250/1000)^2-(G250/2-I250/1000)*(H250/2-I250/1000)-(H250/2-I250/1000)^2)=0,"",7850/1000*(1/3)*PI()*ABS(E250-F250)*((G250/2)^2+(G250/2)*(H250/2)+(H250/2)^2-(G250/2-I250/1000)^2-(G250/2-I250/1000)*(H250/2-I250/1000)-(H250/2-I250/1000)^2))</f>
        <v/>
      </c>
      <c r="K250" s="107" t="str">
        <f>IFERROR(WHOLE_STRUCTURE[[#This Row],[Bottom '[mLAT']]]-WHOLE_STRUCTURE[[#This Row],[D, top '[m']]], "")</f>
        <v/>
      </c>
      <c r="L250" s="107" t="str">
        <f>IFERROR(-(WHOLE_STRUCTURE[[#This Row],[D, bottom '[m']]]-WHOLE_STRUCTURE[[#This Row],[D, top '[m']]])/(WHOLE_STRUCTURE[[#This Row],[Bottom '[mLAT']]]-WHOLE_STRUCTURE[[#This Row],[Top '[mLAT']]]),"")</f>
        <v/>
      </c>
      <c r="M250" s="107" t="str">
        <f>IFERROR((WHOLE_STRUCTURE[[#This Row],[D, bottom '[m']]]+WHOLE_STRUCTURE[[#This Row],[D, top '[m']]])/(2*WHOLE_STRUCTURE[[#This Row],[t '[mm']]]/1000),"")</f>
        <v/>
      </c>
    </row>
    <row r="251" spans="10:13" x14ac:dyDescent="0.3">
      <c r="J251" s="107" t="str">
        <f>IF(7850/1000*(1/3)*PI()*ABS(E251-F251)*((G251/2)^2+(G251/2)*(H251/2)+(H251/2)^2-(G251/2-I251/1000)^2-(G251/2-I251/1000)*(H251/2-I251/1000)-(H251/2-I251/1000)^2)=0,"",7850/1000*(1/3)*PI()*ABS(E251-F251)*((G251/2)^2+(G251/2)*(H251/2)+(H251/2)^2-(G251/2-I251/1000)^2-(G251/2-I251/1000)*(H251/2-I251/1000)-(H251/2-I251/1000)^2))</f>
        <v/>
      </c>
      <c r="K251" s="107" t="str">
        <f>IFERROR(WHOLE_STRUCTURE[[#This Row],[Bottom '[mLAT']]]-WHOLE_STRUCTURE[[#This Row],[D, top '[m']]], "")</f>
        <v/>
      </c>
      <c r="L251" s="107" t="str">
        <f>IFERROR(-(WHOLE_STRUCTURE[[#This Row],[D, bottom '[m']]]-WHOLE_STRUCTURE[[#This Row],[D, top '[m']]])/(WHOLE_STRUCTURE[[#This Row],[Bottom '[mLAT']]]-WHOLE_STRUCTURE[[#This Row],[Top '[mLAT']]]),"")</f>
        <v/>
      </c>
      <c r="M251" s="107" t="str">
        <f>IFERROR((WHOLE_STRUCTURE[[#This Row],[D, bottom '[m']]]+WHOLE_STRUCTURE[[#This Row],[D, top '[m']]])/(2*WHOLE_STRUCTURE[[#This Row],[t '[mm']]]/1000),"")</f>
        <v/>
      </c>
    </row>
    <row r="252" spans="10:13" x14ac:dyDescent="0.3">
      <c r="J252" s="107" t="str">
        <f>IF(7850/1000*(1/3)*PI()*ABS(E252-F252)*((G252/2)^2+(G252/2)*(H252/2)+(H252/2)^2-(G252/2-I252/1000)^2-(G252/2-I252/1000)*(H252/2-I252/1000)-(H252/2-I252/1000)^2)=0,"",7850/1000*(1/3)*PI()*ABS(E252-F252)*((G252/2)^2+(G252/2)*(H252/2)+(H252/2)^2-(G252/2-I252/1000)^2-(G252/2-I252/1000)*(H252/2-I252/1000)-(H252/2-I252/1000)^2))</f>
        <v/>
      </c>
      <c r="K252" s="107" t="str">
        <f>IFERROR(WHOLE_STRUCTURE[[#This Row],[Bottom '[mLAT']]]-WHOLE_STRUCTURE[[#This Row],[D, top '[m']]], "")</f>
        <v/>
      </c>
      <c r="L252" s="107" t="str">
        <f>IFERROR(-(WHOLE_STRUCTURE[[#This Row],[D, bottom '[m']]]-WHOLE_STRUCTURE[[#This Row],[D, top '[m']]])/(WHOLE_STRUCTURE[[#This Row],[Bottom '[mLAT']]]-WHOLE_STRUCTURE[[#This Row],[Top '[mLAT']]]),"")</f>
        <v/>
      </c>
      <c r="M252" s="107" t="str">
        <f>IFERROR((WHOLE_STRUCTURE[[#This Row],[D, bottom '[m']]]+WHOLE_STRUCTURE[[#This Row],[D, top '[m']]])/(2*WHOLE_STRUCTURE[[#This Row],[t '[mm']]]/1000),"")</f>
        <v/>
      </c>
    </row>
    <row r="253" spans="10:13" x14ac:dyDescent="0.3">
      <c r="J253" s="107" t="str">
        <f>IF(7850/1000*(1/3)*PI()*ABS(E253-F253)*((G253/2)^2+(G253/2)*(H253/2)+(H253/2)^2-(G253/2-I253/1000)^2-(G253/2-I253/1000)*(H253/2-I253/1000)-(H253/2-I253/1000)^2)=0,"",7850/1000*(1/3)*PI()*ABS(E253-F253)*((G253/2)^2+(G253/2)*(H253/2)+(H253/2)^2-(G253/2-I253/1000)^2-(G253/2-I253/1000)*(H253/2-I253/1000)-(H253/2-I253/1000)^2))</f>
        <v/>
      </c>
      <c r="K253" s="107" t="str">
        <f>IFERROR(WHOLE_STRUCTURE[[#This Row],[Bottom '[mLAT']]]-WHOLE_STRUCTURE[[#This Row],[D, top '[m']]], "")</f>
        <v/>
      </c>
      <c r="L253" s="107" t="str">
        <f>IFERROR(-(WHOLE_STRUCTURE[[#This Row],[D, bottom '[m']]]-WHOLE_STRUCTURE[[#This Row],[D, top '[m']]])/(WHOLE_STRUCTURE[[#This Row],[Bottom '[mLAT']]]-WHOLE_STRUCTURE[[#This Row],[Top '[mLAT']]]),"")</f>
        <v/>
      </c>
      <c r="M253" s="107" t="str">
        <f>IFERROR((WHOLE_STRUCTURE[[#This Row],[D, bottom '[m']]]+WHOLE_STRUCTURE[[#This Row],[D, top '[m']]])/(2*WHOLE_STRUCTURE[[#This Row],[t '[mm']]]/1000),"")</f>
        <v/>
      </c>
    </row>
    <row r="254" spans="10:13" x14ac:dyDescent="0.3">
      <c r="J254" s="107" t="str">
        <f>IF(7850/1000*(1/3)*PI()*ABS(E254-F254)*((G254/2)^2+(G254/2)*(H254/2)+(H254/2)^2-(G254/2-I254/1000)^2-(G254/2-I254/1000)*(H254/2-I254/1000)-(H254/2-I254/1000)^2)=0,"",7850/1000*(1/3)*PI()*ABS(E254-F254)*((G254/2)^2+(G254/2)*(H254/2)+(H254/2)^2-(G254/2-I254/1000)^2-(G254/2-I254/1000)*(H254/2-I254/1000)-(H254/2-I254/1000)^2))</f>
        <v/>
      </c>
      <c r="K254" s="107" t="str">
        <f>IFERROR(WHOLE_STRUCTURE[[#This Row],[Bottom '[mLAT']]]-WHOLE_STRUCTURE[[#This Row],[D, top '[m']]], "")</f>
        <v/>
      </c>
      <c r="L254" s="107" t="str">
        <f>IFERROR(-(WHOLE_STRUCTURE[[#This Row],[D, bottom '[m']]]-WHOLE_STRUCTURE[[#This Row],[D, top '[m']]])/(WHOLE_STRUCTURE[[#This Row],[Bottom '[mLAT']]]-WHOLE_STRUCTURE[[#This Row],[Top '[mLAT']]]),"")</f>
        <v/>
      </c>
      <c r="M254" s="107" t="str">
        <f>IFERROR((WHOLE_STRUCTURE[[#This Row],[D, bottom '[m']]]+WHOLE_STRUCTURE[[#This Row],[D, top '[m']]])/(2*WHOLE_STRUCTURE[[#This Row],[t '[mm']]]/1000),"")</f>
        <v/>
      </c>
    </row>
    <row r="255" spans="10:13" x14ac:dyDescent="0.3">
      <c r="J255" s="107" t="str">
        <f>IF(7850/1000*(1/3)*PI()*ABS(E255-F255)*((G255/2)^2+(G255/2)*(H255/2)+(H255/2)^2-(G255/2-I255/1000)^2-(G255/2-I255/1000)*(H255/2-I255/1000)-(H255/2-I255/1000)^2)=0,"",7850/1000*(1/3)*PI()*ABS(E255-F255)*((G255/2)^2+(G255/2)*(H255/2)+(H255/2)^2-(G255/2-I255/1000)^2-(G255/2-I255/1000)*(H255/2-I255/1000)-(H255/2-I255/1000)^2))</f>
        <v/>
      </c>
      <c r="K255" s="107" t="str">
        <f>IFERROR(WHOLE_STRUCTURE[[#This Row],[Bottom '[mLAT']]]-WHOLE_STRUCTURE[[#This Row],[D, top '[m']]], "")</f>
        <v/>
      </c>
      <c r="L255" s="107" t="str">
        <f>IFERROR(-(WHOLE_STRUCTURE[[#This Row],[D, bottom '[m']]]-WHOLE_STRUCTURE[[#This Row],[D, top '[m']]])/(WHOLE_STRUCTURE[[#This Row],[Bottom '[mLAT']]]-WHOLE_STRUCTURE[[#This Row],[Top '[mLAT']]]),"")</f>
        <v/>
      </c>
      <c r="M255" s="107" t="str">
        <f>IFERROR((WHOLE_STRUCTURE[[#This Row],[D, bottom '[m']]]+WHOLE_STRUCTURE[[#This Row],[D, top '[m']]])/(2*WHOLE_STRUCTURE[[#This Row],[t '[mm']]]/1000),"")</f>
        <v/>
      </c>
    </row>
    <row r="256" spans="10:13" x14ac:dyDescent="0.3">
      <c r="J256" s="107" t="str">
        <f>IF(7850/1000*(1/3)*PI()*ABS(E256-F256)*((G256/2)^2+(G256/2)*(H256/2)+(H256/2)^2-(G256/2-I256/1000)^2-(G256/2-I256/1000)*(H256/2-I256/1000)-(H256/2-I256/1000)^2)=0,"",7850/1000*(1/3)*PI()*ABS(E256-F256)*((G256/2)^2+(G256/2)*(H256/2)+(H256/2)^2-(G256/2-I256/1000)^2-(G256/2-I256/1000)*(H256/2-I256/1000)-(H256/2-I256/1000)^2))</f>
        <v/>
      </c>
      <c r="K256" s="107" t="str">
        <f>IFERROR(WHOLE_STRUCTURE[[#This Row],[Bottom '[mLAT']]]-WHOLE_STRUCTURE[[#This Row],[D, top '[m']]], "")</f>
        <v/>
      </c>
      <c r="L256" s="107" t="str">
        <f>IFERROR(-(WHOLE_STRUCTURE[[#This Row],[D, bottom '[m']]]-WHOLE_STRUCTURE[[#This Row],[D, top '[m']]])/(WHOLE_STRUCTURE[[#This Row],[Bottom '[mLAT']]]-WHOLE_STRUCTURE[[#This Row],[Top '[mLAT']]]),"")</f>
        <v/>
      </c>
      <c r="M256" s="107" t="str">
        <f>IFERROR((WHOLE_STRUCTURE[[#This Row],[D, bottom '[m']]]+WHOLE_STRUCTURE[[#This Row],[D, top '[m']]])/(2*WHOLE_STRUCTURE[[#This Row],[t '[mm']]]/1000),"")</f>
        <v/>
      </c>
    </row>
    <row r="257" spans="10:13" x14ac:dyDescent="0.3">
      <c r="J257" s="107" t="str">
        <f>IF(7850/1000*(1/3)*PI()*ABS(E257-F257)*((G257/2)^2+(G257/2)*(H257/2)+(H257/2)^2-(G257/2-I257/1000)^2-(G257/2-I257/1000)*(H257/2-I257/1000)-(H257/2-I257/1000)^2)=0,"",7850/1000*(1/3)*PI()*ABS(E257-F257)*((G257/2)^2+(G257/2)*(H257/2)+(H257/2)^2-(G257/2-I257/1000)^2-(G257/2-I257/1000)*(H257/2-I257/1000)-(H257/2-I257/1000)^2))</f>
        <v/>
      </c>
      <c r="K257" s="107" t="str">
        <f>IFERROR(WHOLE_STRUCTURE[[#This Row],[Bottom '[mLAT']]]-WHOLE_STRUCTURE[[#This Row],[D, top '[m']]], "")</f>
        <v/>
      </c>
      <c r="L257" s="107" t="str">
        <f>IFERROR(-(WHOLE_STRUCTURE[[#This Row],[D, bottom '[m']]]-WHOLE_STRUCTURE[[#This Row],[D, top '[m']]])/(WHOLE_STRUCTURE[[#This Row],[Bottom '[mLAT']]]-WHOLE_STRUCTURE[[#This Row],[Top '[mLAT']]]),"")</f>
        <v/>
      </c>
      <c r="M257" s="107" t="str">
        <f>IFERROR((WHOLE_STRUCTURE[[#This Row],[D, bottom '[m']]]+WHOLE_STRUCTURE[[#This Row],[D, top '[m']]])/(2*WHOLE_STRUCTURE[[#This Row],[t '[mm']]]/1000),"")</f>
        <v/>
      </c>
    </row>
    <row r="258" spans="10:13" x14ac:dyDescent="0.3">
      <c r="J258" s="107" t="str">
        <f>IF(7850/1000*(1/3)*PI()*ABS(E258-F258)*((G258/2)^2+(G258/2)*(H258/2)+(H258/2)^2-(G258/2-I258/1000)^2-(G258/2-I258/1000)*(H258/2-I258/1000)-(H258/2-I258/1000)^2)=0,"",7850/1000*(1/3)*PI()*ABS(E258-F258)*((G258/2)^2+(G258/2)*(H258/2)+(H258/2)^2-(G258/2-I258/1000)^2-(G258/2-I258/1000)*(H258/2-I258/1000)-(H258/2-I258/1000)^2))</f>
        <v/>
      </c>
      <c r="K258" s="107" t="str">
        <f>IFERROR(WHOLE_STRUCTURE[[#This Row],[Bottom '[mLAT']]]-WHOLE_STRUCTURE[[#This Row],[D, top '[m']]], "")</f>
        <v/>
      </c>
      <c r="L258" s="107" t="str">
        <f>IFERROR(-(WHOLE_STRUCTURE[[#This Row],[D, bottom '[m']]]-WHOLE_STRUCTURE[[#This Row],[D, top '[m']]])/(WHOLE_STRUCTURE[[#This Row],[Bottom '[mLAT']]]-WHOLE_STRUCTURE[[#This Row],[Top '[mLAT']]]),"")</f>
        <v/>
      </c>
      <c r="M258" s="107" t="str">
        <f>IFERROR((WHOLE_STRUCTURE[[#This Row],[D, bottom '[m']]]+WHOLE_STRUCTURE[[#This Row],[D, top '[m']]])/(2*WHOLE_STRUCTURE[[#This Row],[t '[mm']]]/1000),"")</f>
        <v/>
      </c>
    </row>
    <row r="259" spans="10:13" x14ac:dyDescent="0.3">
      <c r="J259" s="107" t="str">
        <f>IF(7850/1000*(1/3)*PI()*ABS(E259-F259)*((G259/2)^2+(G259/2)*(H259/2)+(H259/2)^2-(G259/2-I259/1000)^2-(G259/2-I259/1000)*(H259/2-I259/1000)-(H259/2-I259/1000)^2)=0,"",7850/1000*(1/3)*PI()*ABS(E259-F259)*((G259/2)^2+(G259/2)*(H259/2)+(H259/2)^2-(G259/2-I259/1000)^2-(G259/2-I259/1000)*(H259/2-I259/1000)-(H259/2-I259/1000)^2))</f>
        <v/>
      </c>
      <c r="K259" s="107" t="str">
        <f>IFERROR(WHOLE_STRUCTURE[[#This Row],[Bottom '[mLAT']]]-WHOLE_STRUCTURE[[#This Row],[D, top '[m']]], "")</f>
        <v/>
      </c>
      <c r="L259" s="107" t="str">
        <f>IFERROR(-(WHOLE_STRUCTURE[[#This Row],[D, bottom '[m']]]-WHOLE_STRUCTURE[[#This Row],[D, top '[m']]])/(WHOLE_STRUCTURE[[#This Row],[Bottom '[mLAT']]]-WHOLE_STRUCTURE[[#This Row],[Top '[mLAT']]]),"")</f>
        <v/>
      </c>
      <c r="M259" s="107" t="str">
        <f>IFERROR((WHOLE_STRUCTURE[[#This Row],[D, bottom '[m']]]+WHOLE_STRUCTURE[[#This Row],[D, top '[m']]])/(2*WHOLE_STRUCTURE[[#This Row],[t '[mm']]]/1000),"")</f>
        <v/>
      </c>
    </row>
    <row r="260" spans="10:13" x14ac:dyDescent="0.3">
      <c r="J260" s="107" t="str">
        <f>IF(7850/1000*(1/3)*PI()*ABS(E260-F260)*((G260/2)^2+(G260/2)*(H260/2)+(H260/2)^2-(G260/2-I260/1000)^2-(G260/2-I260/1000)*(H260/2-I260/1000)-(H260/2-I260/1000)^2)=0,"",7850/1000*(1/3)*PI()*ABS(E260-F260)*((G260/2)^2+(G260/2)*(H260/2)+(H260/2)^2-(G260/2-I260/1000)^2-(G260/2-I260/1000)*(H260/2-I260/1000)-(H260/2-I260/1000)^2))</f>
        <v/>
      </c>
      <c r="K260" s="107" t="str">
        <f>IFERROR(WHOLE_STRUCTURE[[#This Row],[Bottom '[mLAT']]]-WHOLE_STRUCTURE[[#This Row],[D, top '[m']]], "")</f>
        <v/>
      </c>
      <c r="L260" s="107" t="str">
        <f>IFERROR(-(WHOLE_STRUCTURE[[#This Row],[D, bottom '[m']]]-WHOLE_STRUCTURE[[#This Row],[D, top '[m']]])/(WHOLE_STRUCTURE[[#This Row],[Bottom '[mLAT']]]-WHOLE_STRUCTURE[[#This Row],[Top '[mLAT']]]),"")</f>
        <v/>
      </c>
      <c r="M260" s="107" t="str">
        <f>IFERROR((WHOLE_STRUCTURE[[#This Row],[D, bottom '[m']]]+WHOLE_STRUCTURE[[#This Row],[D, top '[m']]])/(2*WHOLE_STRUCTURE[[#This Row],[t '[mm']]]/1000),"")</f>
        <v/>
      </c>
    </row>
    <row r="261" spans="10:13" x14ac:dyDescent="0.3">
      <c r="J261" s="107" t="str">
        <f>IF(7850/1000*(1/3)*PI()*ABS(E261-F261)*((G261/2)^2+(G261/2)*(H261/2)+(H261/2)^2-(G261/2-I261/1000)^2-(G261/2-I261/1000)*(H261/2-I261/1000)-(H261/2-I261/1000)^2)=0,"",7850/1000*(1/3)*PI()*ABS(E261-F261)*((G261/2)^2+(G261/2)*(H261/2)+(H261/2)^2-(G261/2-I261/1000)^2-(G261/2-I261/1000)*(H261/2-I261/1000)-(H261/2-I261/1000)^2))</f>
        <v/>
      </c>
      <c r="K261" s="107" t="str">
        <f>IFERROR(WHOLE_STRUCTURE[[#This Row],[Bottom '[mLAT']]]-WHOLE_STRUCTURE[[#This Row],[D, top '[m']]], "")</f>
        <v/>
      </c>
      <c r="L261" s="107" t="str">
        <f>IFERROR(-(WHOLE_STRUCTURE[[#This Row],[D, bottom '[m']]]-WHOLE_STRUCTURE[[#This Row],[D, top '[m']]])/(WHOLE_STRUCTURE[[#This Row],[Bottom '[mLAT']]]-WHOLE_STRUCTURE[[#This Row],[Top '[mLAT']]]),"")</f>
        <v/>
      </c>
      <c r="M261" s="107" t="str">
        <f>IFERROR((WHOLE_STRUCTURE[[#This Row],[D, bottom '[m']]]+WHOLE_STRUCTURE[[#This Row],[D, top '[m']]])/(2*WHOLE_STRUCTURE[[#This Row],[t '[mm']]]/1000),"")</f>
        <v/>
      </c>
    </row>
    <row r="262" spans="10:13" x14ac:dyDescent="0.3">
      <c r="J262" s="107" t="str">
        <f>IF(7850/1000*(1/3)*PI()*ABS(E262-F262)*((G262/2)^2+(G262/2)*(H262/2)+(H262/2)^2-(G262/2-I262/1000)^2-(G262/2-I262/1000)*(H262/2-I262/1000)-(H262/2-I262/1000)^2)=0,"",7850/1000*(1/3)*PI()*ABS(E262-F262)*((G262/2)^2+(G262/2)*(H262/2)+(H262/2)^2-(G262/2-I262/1000)^2-(G262/2-I262/1000)*(H262/2-I262/1000)-(H262/2-I262/1000)^2))</f>
        <v/>
      </c>
      <c r="K262" s="107" t="str">
        <f>IFERROR(WHOLE_STRUCTURE[[#This Row],[Bottom '[mLAT']]]-WHOLE_STRUCTURE[[#This Row],[D, top '[m']]], "")</f>
        <v/>
      </c>
      <c r="L262" s="107" t="str">
        <f>IFERROR(-(WHOLE_STRUCTURE[[#This Row],[D, bottom '[m']]]-WHOLE_STRUCTURE[[#This Row],[D, top '[m']]])/(WHOLE_STRUCTURE[[#This Row],[Bottom '[mLAT']]]-WHOLE_STRUCTURE[[#This Row],[Top '[mLAT']]]),"")</f>
        <v/>
      </c>
      <c r="M262" s="107" t="str">
        <f>IFERROR((WHOLE_STRUCTURE[[#This Row],[D, bottom '[m']]]+WHOLE_STRUCTURE[[#This Row],[D, top '[m']]])/(2*WHOLE_STRUCTURE[[#This Row],[t '[mm']]]/1000),"")</f>
        <v/>
      </c>
    </row>
    <row r="263" spans="10:13" x14ac:dyDescent="0.3">
      <c r="J263" s="107" t="str">
        <f>IF(7850/1000*(1/3)*PI()*ABS(E263-F263)*((G263/2)^2+(G263/2)*(H263/2)+(H263/2)^2-(G263/2-I263/1000)^2-(G263/2-I263/1000)*(H263/2-I263/1000)-(H263/2-I263/1000)^2)=0,"",7850/1000*(1/3)*PI()*ABS(E263-F263)*((G263/2)^2+(G263/2)*(H263/2)+(H263/2)^2-(G263/2-I263/1000)^2-(G263/2-I263/1000)*(H263/2-I263/1000)-(H263/2-I263/1000)^2))</f>
        <v/>
      </c>
      <c r="K263" s="107" t="str">
        <f>IFERROR(WHOLE_STRUCTURE[[#This Row],[Bottom '[mLAT']]]-WHOLE_STRUCTURE[[#This Row],[D, top '[m']]], "")</f>
        <v/>
      </c>
      <c r="L263" s="107" t="str">
        <f>IFERROR(-(WHOLE_STRUCTURE[[#This Row],[D, bottom '[m']]]-WHOLE_STRUCTURE[[#This Row],[D, top '[m']]])/(WHOLE_STRUCTURE[[#This Row],[Bottom '[mLAT']]]-WHOLE_STRUCTURE[[#This Row],[Top '[mLAT']]]),"")</f>
        <v/>
      </c>
      <c r="M263" s="107" t="str">
        <f>IFERROR((WHOLE_STRUCTURE[[#This Row],[D, bottom '[m']]]+WHOLE_STRUCTURE[[#This Row],[D, top '[m']]])/(2*WHOLE_STRUCTURE[[#This Row],[t '[mm']]]/1000),"")</f>
        <v/>
      </c>
    </row>
    <row r="264" spans="10:13" x14ac:dyDescent="0.3">
      <c r="J264" s="107" t="str">
        <f>IF(7850/1000*(1/3)*PI()*ABS(E264-F264)*((G264/2)^2+(G264/2)*(H264/2)+(H264/2)^2-(G264/2-I264/1000)^2-(G264/2-I264/1000)*(H264/2-I264/1000)-(H264/2-I264/1000)^2)=0,"",7850/1000*(1/3)*PI()*ABS(E264-F264)*((G264/2)^2+(G264/2)*(H264/2)+(H264/2)^2-(G264/2-I264/1000)^2-(G264/2-I264/1000)*(H264/2-I264/1000)-(H264/2-I264/1000)^2))</f>
        <v/>
      </c>
      <c r="K264" s="107" t="str">
        <f>IFERROR(WHOLE_STRUCTURE[[#This Row],[Bottom '[mLAT']]]-WHOLE_STRUCTURE[[#This Row],[D, top '[m']]], "")</f>
        <v/>
      </c>
      <c r="L264" s="107" t="str">
        <f>IFERROR(-(WHOLE_STRUCTURE[[#This Row],[D, bottom '[m']]]-WHOLE_STRUCTURE[[#This Row],[D, top '[m']]])/(WHOLE_STRUCTURE[[#This Row],[Bottom '[mLAT']]]-WHOLE_STRUCTURE[[#This Row],[Top '[mLAT']]]),"")</f>
        <v/>
      </c>
      <c r="M264" s="107" t="str">
        <f>IFERROR((WHOLE_STRUCTURE[[#This Row],[D, bottom '[m']]]+WHOLE_STRUCTURE[[#This Row],[D, top '[m']]])/(2*WHOLE_STRUCTURE[[#This Row],[t '[mm']]]/1000),"")</f>
        <v/>
      </c>
    </row>
    <row r="265" spans="10:13" x14ac:dyDescent="0.3">
      <c r="J265" s="107" t="str">
        <f>IF(7850/1000*(1/3)*PI()*ABS(E265-F265)*((G265/2)^2+(G265/2)*(H265/2)+(H265/2)^2-(G265/2-I265/1000)^2-(G265/2-I265/1000)*(H265/2-I265/1000)-(H265/2-I265/1000)^2)=0,"",7850/1000*(1/3)*PI()*ABS(E265-F265)*((G265/2)^2+(G265/2)*(H265/2)+(H265/2)^2-(G265/2-I265/1000)^2-(G265/2-I265/1000)*(H265/2-I265/1000)-(H265/2-I265/1000)^2))</f>
        <v/>
      </c>
      <c r="K265" s="107" t="str">
        <f>IFERROR(WHOLE_STRUCTURE[[#This Row],[Bottom '[mLAT']]]-WHOLE_STRUCTURE[[#This Row],[D, top '[m']]], "")</f>
        <v/>
      </c>
      <c r="L265" s="107" t="str">
        <f>IFERROR(-(WHOLE_STRUCTURE[[#This Row],[D, bottom '[m']]]-WHOLE_STRUCTURE[[#This Row],[D, top '[m']]])/(WHOLE_STRUCTURE[[#This Row],[Bottom '[mLAT']]]-WHOLE_STRUCTURE[[#This Row],[Top '[mLAT']]]),"")</f>
        <v/>
      </c>
      <c r="M265" s="107" t="str">
        <f>IFERROR((WHOLE_STRUCTURE[[#This Row],[D, bottom '[m']]]+WHOLE_STRUCTURE[[#This Row],[D, top '[m']]])/(2*WHOLE_STRUCTURE[[#This Row],[t '[mm']]]/1000),"")</f>
        <v/>
      </c>
    </row>
    <row r="266" spans="10:13" x14ac:dyDescent="0.3">
      <c r="J266" s="107" t="str">
        <f>IF(7850/1000*(1/3)*PI()*ABS(E266-F266)*((G266/2)^2+(G266/2)*(H266/2)+(H266/2)^2-(G266/2-I266/1000)^2-(G266/2-I266/1000)*(H266/2-I266/1000)-(H266/2-I266/1000)^2)=0,"",7850/1000*(1/3)*PI()*ABS(E266-F266)*((G266/2)^2+(G266/2)*(H266/2)+(H266/2)^2-(G266/2-I266/1000)^2-(G266/2-I266/1000)*(H266/2-I266/1000)-(H266/2-I266/1000)^2))</f>
        <v/>
      </c>
      <c r="K266" s="107" t="str">
        <f>IFERROR(WHOLE_STRUCTURE[[#This Row],[Bottom '[mLAT']]]-WHOLE_STRUCTURE[[#This Row],[D, top '[m']]], "")</f>
        <v/>
      </c>
      <c r="L266" s="107" t="str">
        <f>IFERROR(-(WHOLE_STRUCTURE[[#This Row],[D, bottom '[m']]]-WHOLE_STRUCTURE[[#This Row],[D, top '[m']]])/(WHOLE_STRUCTURE[[#This Row],[Bottom '[mLAT']]]-WHOLE_STRUCTURE[[#This Row],[Top '[mLAT']]]),"")</f>
        <v/>
      </c>
      <c r="M266" s="107" t="str">
        <f>IFERROR((WHOLE_STRUCTURE[[#This Row],[D, bottom '[m']]]+WHOLE_STRUCTURE[[#This Row],[D, top '[m']]])/(2*WHOLE_STRUCTURE[[#This Row],[t '[mm']]]/1000),"")</f>
        <v/>
      </c>
    </row>
    <row r="267" spans="10:13" x14ac:dyDescent="0.3">
      <c r="J267" s="107" t="str">
        <f>IF(7850/1000*(1/3)*PI()*ABS(E267-F267)*((G267/2)^2+(G267/2)*(H267/2)+(H267/2)^2-(G267/2-I267/1000)^2-(G267/2-I267/1000)*(H267/2-I267/1000)-(H267/2-I267/1000)^2)=0,"",7850/1000*(1/3)*PI()*ABS(E267-F267)*((G267/2)^2+(G267/2)*(H267/2)+(H267/2)^2-(G267/2-I267/1000)^2-(G267/2-I267/1000)*(H267/2-I267/1000)-(H267/2-I267/1000)^2))</f>
        <v/>
      </c>
      <c r="K267" s="107" t="str">
        <f>IFERROR(WHOLE_STRUCTURE[[#This Row],[Bottom '[mLAT']]]-WHOLE_STRUCTURE[[#This Row],[D, top '[m']]], "")</f>
        <v/>
      </c>
      <c r="L267" s="107" t="str">
        <f>IFERROR(-(WHOLE_STRUCTURE[[#This Row],[D, bottom '[m']]]-WHOLE_STRUCTURE[[#This Row],[D, top '[m']]])/(WHOLE_STRUCTURE[[#This Row],[Bottom '[mLAT']]]-WHOLE_STRUCTURE[[#This Row],[Top '[mLAT']]]),"")</f>
        <v/>
      </c>
      <c r="M267" s="107" t="str">
        <f>IFERROR((WHOLE_STRUCTURE[[#This Row],[D, bottom '[m']]]+WHOLE_STRUCTURE[[#This Row],[D, top '[m']]])/(2*WHOLE_STRUCTURE[[#This Row],[t '[mm']]]/1000),"")</f>
        <v/>
      </c>
    </row>
    <row r="268" spans="10:13" x14ac:dyDescent="0.3">
      <c r="J268" s="107" t="str">
        <f>IF(7850/1000*(1/3)*PI()*ABS(E268-F268)*((G268/2)^2+(G268/2)*(H268/2)+(H268/2)^2-(G268/2-I268/1000)^2-(G268/2-I268/1000)*(H268/2-I268/1000)-(H268/2-I268/1000)^2)=0,"",7850/1000*(1/3)*PI()*ABS(E268-F268)*((G268/2)^2+(G268/2)*(H268/2)+(H268/2)^2-(G268/2-I268/1000)^2-(G268/2-I268/1000)*(H268/2-I268/1000)-(H268/2-I268/1000)^2))</f>
        <v/>
      </c>
      <c r="K268" s="107" t="str">
        <f>IFERROR(WHOLE_STRUCTURE[[#This Row],[Bottom '[mLAT']]]-WHOLE_STRUCTURE[[#This Row],[D, top '[m']]], "")</f>
        <v/>
      </c>
      <c r="L268" s="107" t="str">
        <f>IFERROR(-(WHOLE_STRUCTURE[[#This Row],[D, bottom '[m']]]-WHOLE_STRUCTURE[[#This Row],[D, top '[m']]])/(WHOLE_STRUCTURE[[#This Row],[Bottom '[mLAT']]]-WHOLE_STRUCTURE[[#This Row],[Top '[mLAT']]]),"")</f>
        <v/>
      </c>
      <c r="M268" s="107" t="str">
        <f>IFERROR((WHOLE_STRUCTURE[[#This Row],[D, bottom '[m']]]+WHOLE_STRUCTURE[[#This Row],[D, top '[m']]])/(2*WHOLE_STRUCTURE[[#This Row],[t '[mm']]]/1000),"")</f>
        <v/>
      </c>
    </row>
    <row r="269" spans="10:13" x14ac:dyDescent="0.3">
      <c r="J269" s="107" t="str">
        <f>IF(7850/1000*(1/3)*PI()*ABS(E269-F269)*((G269/2)^2+(G269/2)*(H269/2)+(H269/2)^2-(G269/2-I269/1000)^2-(G269/2-I269/1000)*(H269/2-I269/1000)-(H269/2-I269/1000)^2)=0,"",7850/1000*(1/3)*PI()*ABS(E269-F269)*((G269/2)^2+(G269/2)*(H269/2)+(H269/2)^2-(G269/2-I269/1000)^2-(G269/2-I269/1000)*(H269/2-I269/1000)-(H269/2-I269/1000)^2))</f>
        <v/>
      </c>
      <c r="K269" s="107" t="str">
        <f>IFERROR(WHOLE_STRUCTURE[[#This Row],[Bottom '[mLAT']]]-WHOLE_STRUCTURE[[#This Row],[D, top '[m']]], "")</f>
        <v/>
      </c>
      <c r="L269" s="107" t="str">
        <f>IFERROR(-(WHOLE_STRUCTURE[[#This Row],[D, bottom '[m']]]-WHOLE_STRUCTURE[[#This Row],[D, top '[m']]])/(WHOLE_STRUCTURE[[#This Row],[Bottom '[mLAT']]]-WHOLE_STRUCTURE[[#This Row],[Top '[mLAT']]]),"")</f>
        <v/>
      </c>
      <c r="M269" s="107" t="str">
        <f>IFERROR((WHOLE_STRUCTURE[[#This Row],[D, bottom '[m']]]+WHOLE_STRUCTURE[[#This Row],[D, top '[m']]])/(2*WHOLE_STRUCTURE[[#This Row],[t '[mm']]]/1000),"")</f>
        <v/>
      </c>
    </row>
    <row r="270" spans="10:13" x14ac:dyDescent="0.3">
      <c r="J270" s="107" t="str">
        <f>IF(7850/1000*(1/3)*PI()*ABS(E270-F270)*((G270/2)^2+(G270/2)*(H270/2)+(H270/2)^2-(G270/2-I270/1000)^2-(G270/2-I270/1000)*(H270/2-I270/1000)-(H270/2-I270/1000)^2)=0,"",7850/1000*(1/3)*PI()*ABS(E270-F270)*((G270/2)^2+(G270/2)*(H270/2)+(H270/2)^2-(G270/2-I270/1000)^2-(G270/2-I270/1000)*(H270/2-I270/1000)-(H270/2-I270/1000)^2))</f>
        <v/>
      </c>
      <c r="K270" s="107" t="str">
        <f>IFERROR(WHOLE_STRUCTURE[[#This Row],[Bottom '[mLAT']]]-WHOLE_STRUCTURE[[#This Row],[D, top '[m']]], "")</f>
        <v/>
      </c>
      <c r="L270" s="107" t="str">
        <f>IFERROR(-(WHOLE_STRUCTURE[[#This Row],[D, bottom '[m']]]-WHOLE_STRUCTURE[[#This Row],[D, top '[m']]])/(WHOLE_STRUCTURE[[#This Row],[Bottom '[mLAT']]]-WHOLE_STRUCTURE[[#This Row],[Top '[mLAT']]]),"")</f>
        <v/>
      </c>
      <c r="M270" s="107" t="str">
        <f>IFERROR((WHOLE_STRUCTURE[[#This Row],[D, bottom '[m']]]+WHOLE_STRUCTURE[[#This Row],[D, top '[m']]])/(2*WHOLE_STRUCTURE[[#This Row],[t '[mm']]]/1000),"")</f>
        <v/>
      </c>
    </row>
    <row r="271" spans="10:13" x14ac:dyDescent="0.3">
      <c r="J271" s="107" t="str">
        <f>IF(7850/1000*(1/3)*PI()*ABS(E271-F271)*((G271/2)^2+(G271/2)*(H271/2)+(H271/2)^2-(G271/2-I271/1000)^2-(G271/2-I271/1000)*(H271/2-I271/1000)-(H271/2-I271/1000)^2)=0,"",7850/1000*(1/3)*PI()*ABS(E271-F271)*((G271/2)^2+(G271/2)*(H271/2)+(H271/2)^2-(G271/2-I271/1000)^2-(G271/2-I271/1000)*(H271/2-I271/1000)-(H271/2-I271/1000)^2))</f>
        <v/>
      </c>
      <c r="K271" s="107" t="str">
        <f>IFERROR(WHOLE_STRUCTURE[[#This Row],[Bottom '[mLAT']]]-WHOLE_STRUCTURE[[#This Row],[D, top '[m']]], "")</f>
        <v/>
      </c>
      <c r="L271" s="107" t="str">
        <f>IFERROR(-(WHOLE_STRUCTURE[[#This Row],[D, bottom '[m']]]-WHOLE_STRUCTURE[[#This Row],[D, top '[m']]])/(WHOLE_STRUCTURE[[#This Row],[Bottom '[mLAT']]]-WHOLE_STRUCTURE[[#This Row],[Top '[mLAT']]]),"")</f>
        <v/>
      </c>
      <c r="M271" s="107" t="str">
        <f>IFERROR((WHOLE_STRUCTURE[[#This Row],[D, bottom '[m']]]+WHOLE_STRUCTURE[[#This Row],[D, top '[m']]])/(2*WHOLE_STRUCTURE[[#This Row],[t '[mm']]]/1000),"")</f>
        <v/>
      </c>
    </row>
    <row r="272" spans="10:13" x14ac:dyDescent="0.3">
      <c r="J272" s="107" t="str">
        <f>IF(7850/1000*(1/3)*PI()*ABS(E272-F272)*((G272/2)^2+(G272/2)*(H272/2)+(H272/2)^2-(G272/2-I272/1000)^2-(G272/2-I272/1000)*(H272/2-I272/1000)-(H272/2-I272/1000)^2)=0,"",7850/1000*(1/3)*PI()*ABS(E272-F272)*((G272/2)^2+(G272/2)*(H272/2)+(H272/2)^2-(G272/2-I272/1000)^2-(G272/2-I272/1000)*(H272/2-I272/1000)-(H272/2-I272/1000)^2))</f>
        <v/>
      </c>
      <c r="K272" s="107" t="str">
        <f>IFERROR(WHOLE_STRUCTURE[[#This Row],[Bottom '[mLAT']]]-WHOLE_STRUCTURE[[#This Row],[D, top '[m']]], "")</f>
        <v/>
      </c>
      <c r="L272" s="107" t="str">
        <f>IFERROR(-(WHOLE_STRUCTURE[[#This Row],[D, bottom '[m']]]-WHOLE_STRUCTURE[[#This Row],[D, top '[m']]])/(WHOLE_STRUCTURE[[#This Row],[Bottom '[mLAT']]]-WHOLE_STRUCTURE[[#This Row],[Top '[mLAT']]]),"")</f>
        <v/>
      </c>
      <c r="M272" s="107" t="str">
        <f>IFERROR((WHOLE_STRUCTURE[[#This Row],[D, bottom '[m']]]+WHOLE_STRUCTURE[[#This Row],[D, top '[m']]])/(2*WHOLE_STRUCTURE[[#This Row],[t '[mm']]]/1000),"")</f>
        <v/>
      </c>
    </row>
    <row r="273" spans="10:13" x14ac:dyDescent="0.3">
      <c r="J273" s="107" t="str">
        <f>IF(7850/1000*(1/3)*PI()*ABS(E273-F273)*((G273/2)^2+(G273/2)*(H273/2)+(H273/2)^2-(G273/2-I273/1000)^2-(G273/2-I273/1000)*(H273/2-I273/1000)-(H273/2-I273/1000)^2)=0,"",7850/1000*(1/3)*PI()*ABS(E273-F273)*((G273/2)^2+(G273/2)*(H273/2)+(H273/2)^2-(G273/2-I273/1000)^2-(G273/2-I273/1000)*(H273/2-I273/1000)-(H273/2-I273/1000)^2))</f>
        <v/>
      </c>
      <c r="K273" s="107" t="str">
        <f>IFERROR(WHOLE_STRUCTURE[[#This Row],[Bottom '[mLAT']]]-WHOLE_STRUCTURE[[#This Row],[D, top '[m']]], "")</f>
        <v/>
      </c>
      <c r="L273" s="107" t="str">
        <f>IFERROR(-(WHOLE_STRUCTURE[[#This Row],[D, bottom '[m']]]-WHOLE_STRUCTURE[[#This Row],[D, top '[m']]])/(WHOLE_STRUCTURE[[#This Row],[Bottom '[mLAT']]]-WHOLE_STRUCTURE[[#This Row],[Top '[mLAT']]]),"")</f>
        <v/>
      </c>
      <c r="M273" s="107" t="str">
        <f>IFERROR((WHOLE_STRUCTURE[[#This Row],[D, bottom '[m']]]+WHOLE_STRUCTURE[[#This Row],[D, top '[m']]])/(2*WHOLE_STRUCTURE[[#This Row],[t '[mm']]]/1000),"")</f>
        <v/>
      </c>
    </row>
    <row r="274" spans="10:13" x14ac:dyDescent="0.3">
      <c r="J274" s="107" t="str">
        <f>IF(7850/1000*(1/3)*PI()*ABS(E274-F274)*((G274/2)^2+(G274/2)*(H274/2)+(H274/2)^2-(G274/2-I274/1000)^2-(G274/2-I274/1000)*(H274/2-I274/1000)-(H274/2-I274/1000)^2)=0,"",7850/1000*(1/3)*PI()*ABS(E274-F274)*((G274/2)^2+(G274/2)*(H274/2)+(H274/2)^2-(G274/2-I274/1000)^2-(G274/2-I274/1000)*(H274/2-I274/1000)-(H274/2-I274/1000)^2))</f>
        <v/>
      </c>
      <c r="K274" s="107" t="str">
        <f>IFERROR(WHOLE_STRUCTURE[[#This Row],[Bottom '[mLAT']]]-WHOLE_STRUCTURE[[#This Row],[D, top '[m']]], "")</f>
        <v/>
      </c>
      <c r="L274" s="107" t="str">
        <f>IFERROR(-(WHOLE_STRUCTURE[[#This Row],[D, bottom '[m']]]-WHOLE_STRUCTURE[[#This Row],[D, top '[m']]])/(WHOLE_STRUCTURE[[#This Row],[Bottom '[mLAT']]]-WHOLE_STRUCTURE[[#This Row],[Top '[mLAT']]]),"")</f>
        <v/>
      </c>
      <c r="M274" s="107" t="str">
        <f>IFERROR((WHOLE_STRUCTURE[[#This Row],[D, bottom '[m']]]+WHOLE_STRUCTURE[[#This Row],[D, top '[m']]])/(2*WHOLE_STRUCTURE[[#This Row],[t '[mm']]]/1000),"")</f>
        <v/>
      </c>
    </row>
    <row r="275" spans="10:13" x14ac:dyDescent="0.3">
      <c r="J275" s="107" t="str">
        <f>IF(7850/1000*(1/3)*PI()*ABS(E275-F275)*((G275/2)^2+(G275/2)*(H275/2)+(H275/2)^2-(G275/2-I275/1000)^2-(G275/2-I275/1000)*(H275/2-I275/1000)-(H275/2-I275/1000)^2)=0,"",7850/1000*(1/3)*PI()*ABS(E275-F275)*((G275/2)^2+(G275/2)*(H275/2)+(H275/2)^2-(G275/2-I275/1000)^2-(G275/2-I275/1000)*(H275/2-I275/1000)-(H275/2-I275/1000)^2))</f>
        <v/>
      </c>
      <c r="K275" s="107" t="str">
        <f>IFERROR(WHOLE_STRUCTURE[[#This Row],[Bottom '[mLAT']]]-WHOLE_STRUCTURE[[#This Row],[D, top '[m']]], "")</f>
        <v/>
      </c>
      <c r="L275" s="107" t="str">
        <f>IFERROR(-(WHOLE_STRUCTURE[[#This Row],[D, bottom '[m']]]-WHOLE_STRUCTURE[[#This Row],[D, top '[m']]])/(WHOLE_STRUCTURE[[#This Row],[Bottom '[mLAT']]]-WHOLE_STRUCTURE[[#This Row],[Top '[mLAT']]]),"")</f>
        <v/>
      </c>
      <c r="M275" s="107" t="str">
        <f>IFERROR((WHOLE_STRUCTURE[[#This Row],[D, bottom '[m']]]+WHOLE_STRUCTURE[[#This Row],[D, top '[m']]])/(2*WHOLE_STRUCTURE[[#This Row],[t '[mm']]]/1000),"")</f>
        <v/>
      </c>
    </row>
    <row r="276" spans="10:13" x14ac:dyDescent="0.3">
      <c r="J276" s="107" t="str">
        <f>IF(7850/1000*(1/3)*PI()*ABS(E276-F276)*((G276/2)^2+(G276/2)*(H276/2)+(H276/2)^2-(G276/2-I276/1000)^2-(G276/2-I276/1000)*(H276/2-I276/1000)-(H276/2-I276/1000)^2)=0,"",7850/1000*(1/3)*PI()*ABS(E276-F276)*((G276/2)^2+(G276/2)*(H276/2)+(H276/2)^2-(G276/2-I276/1000)^2-(G276/2-I276/1000)*(H276/2-I276/1000)-(H276/2-I276/1000)^2))</f>
        <v/>
      </c>
      <c r="K276" s="107" t="str">
        <f>IFERROR(WHOLE_STRUCTURE[[#This Row],[Bottom '[mLAT']]]-WHOLE_STRUCTURE[[#This Row],[D, top '[m']]], "")</f>
        <v/>
      </c>
      <c r="L276" s="107" t="str">
        <f>IFERROR(-(WHOLE_STRUCTURE[[#This Row],[D, bottom '[m']]]-WHOLE_STRUCTURE[[#This Row],[D, top '[m']]])/(WHOLE_STRUCTURE[[#This Row],[Bottom '[mLAT']]]-WHOLE_STRUCTURE[[#This Row],[Top '[mLAT']]]),"")</f>
        <v/>
      </c>
      <c r="M276" s="107" t="str">
        <f>IFERROR((WHOLE_STRUCTURE[[#This Row],[D, bottom '[m']]]+WHOLE_STRUCTURE[[#This Row],[D, top '[m']]])/(2*WHOLE_STRUCTURE[[#This Row],[t '[mm']]]/1000),"")</f>
        <v/>
      </c>
    </row>
    <row r="277" spans="10:13" x14ac:dyDescent="0.3">
      <c r="J277" s="107" t="str">
        <f>IF(7850/1000*(1/3)*PI()*ABS(E277-F277)*((G277/2)^2+(G277/2)*(H277/2)+(H277/2)^2-(G277/2-I277/1000)^2-(G277/2-I277/1000)*(H277/2-I277/1000)-(H277/2-I277/1000)^2)=0,"",7850/1000*(1/3)*PI()*ABS(E277-F277)*((G277/2)^2+(G277/2)*(H277/2)+(H277/2)^2-(G277/2-I277/1000)^2-(G277/2-I277/1000)*(H277/2-I277/1000)-(H277/2-I277/1000)^2))</f>
        <v/>
      </c>
      <c r="K277" s="107" t="str">
        <f>IFERROR(WHOLE_STRUCTURE[[#This Row],[Bottom '[mLAT']]]-WHOLE_STRUCTURE[[#This Row],[D, top '[m']]], "")</f>
        <v/>
      </c>
      <c r="L277" s="107" t="str">
        <f>IFERROR(-(WHOLE_STRUCTURE[[#This Row],[D, bottom '[m']]]-WHOLE_STRUCTURE[[#This Row],[D, top '[m']]])/(WHOLE_STRUCTURE[[#This Row],[Bottom '[mLAT']]]-WHOLE_STRUCTURE[[#This Row],[Top '[mLAT']]]),"")</f>
        <v/>
      </c>
      <c r="M277" s="107" t="str">
        <f>IFERROR((WHOLE_STRUCTURE[[#This Row],[D, bottom '[m']]]+WHOLE_STRUCTURE[[#This Row],[D, top '[m']]])/(2*WHOLE_STRUCTURE[[#This Row],[t '[mm']]]/1000),"")</f>
        <v/>
      </c>
    </row>
    <row r="278" spans="10:13" x14ac:dyDescent="0.3">
      <c r="J278" s="107" t="str">
        <f>IF(7850/1000*(1/3)*PI()*ABS(E278-F278)*((G278/2)^2+(G278/2)*(H278/2)+(H278/2)^2-(G278/2-I278/1000)^2-(G278/2-I278/1000)*(H278/2-I278/1000)-(H278/2-I278/1000)^2)=0,"",7850/1000*(1/3)*PI()*ABS(E278-F278)*((G278/2)^2+(G278/2)*(H278/2)+(H278/2)^2-(G278/2-I278/1000)^2-(G278/2-I278/1000)*(H278/2-I278/1000)-(H278/2-I278/1000)^2))</f>
        <v/>
      </c>
      <c r="K278" s="107" t="str">
        <f>IFERROR(WHOLE_STRUCTURE[[#This Row],[Bottom '[mLAT']]]-WHOLE_STRUCTURE[[#This Row],[D, top '[m']]], "")</f>
        <v/>
      </c>
      <c r="L278" s="107" t="str">
        <f>IFERROR(-(WHOLE_STRUCTURE[[#This Row],[D, bottom '[m']]]-WHOLE_STRUCTURE[[#This Row],[D, top '[m']]])/(WHOLE_STRUCTURE[[#This Row],[Bottom '[mLAT']]]-WHOLE_STRUCTURE[[#This Row],[Top '[mLAT']]]),"")</f>
        <v/>
      </c>
      <c r="M278" s="107" t="str">
        <f>IFERROR((WHOLE_STRUCTURE[[#This Row],[D, bottom '[m']]]+WHOLE_STRUCTURE[[#This Row],[D, top '[m']]])/(2*WHOLE_STRUCTURE[[#This Row],[t '[mm']]]/1000),"")</f>
        <v/>
      </c>
    </row>
    <row r="279" spans="10:13" x14ac:dyDescent="0.3">
      <c r="J279" s="107" t="str">
        <f>IF(7850/1000*(1/3)*PI()*ABS(E279-F279)*((G279/2)^2+(G279/2)*(H279/2)+(H279/2)^2-(G279/2-I279/1000)^2-(G279/2-I279/1000)*(H279/2-I279/1000)-(H279/2-I279/1000)^2)=0,"",7850/1000*(1/3)*PI()*ABS(E279-F279)*((G279/2)^2+(G279/2)*(H279/2)+(H279/2)^2-(G279/2-I279/1000)^2-(G279/2-I279/1000)*(H279/2-I279/1000)-(H279/2-I279/1000)^2))</f>
        <v/>
      </c>
      <c r="K279" s="107" t="str">
        <f>IFERROR(WHOLE_STRUCTURE[[#This Row],[Bottom '[mLAT']]]-WHOLE_STRUCTURE[[#This Row],[D, top '[m']]], "")</f>
        <v/>
      </c>
      <c r="L279" s="107" t="str">
        <f>IFERROR(-(WHOLE_STRUCTURE[[#This Row],[D, bottom '[m']]]-WHOLE_STRUCTURE[[#This Row],[D, top '[m']]])/(WHOLE_STRUCTURE[[#This Row],[Bottom '[mLAT']]]-WHOLE_STRUCTURE[[#This Row],[Top '[mLAT']]]),"")</f>
        <v/>
      </c>
      <c r="M279" s="107" t="str">
        <f>IFERROR((WHOLE_STRUCTURE[[#This Row],[D, bottom '[m']]]+WHOLE_STRUCTURE[[#This Row],[D, top '[m']]])/(2*WHOLE_STRUCTURE[[#This Row],[t '[mm']]]/1000),"")</f>
        <v/>
      </c>
    </row>
    <row r="280" spans="10:13" x14ac:dyDescent="0.3">
      <c r="J280" s="107" t="str">
        <f>IF(7850/1000*(1/3)*PI()*ABS(E280-F280)*((G280/2)^2+(G280/2)*(H280/2)+(H280/2)^2-(G280/2-I280/1000)^2-(G280/2-I280/1000)*(H280/2-I280/1000)-(H280/2-I280/1000)^2)=0,"",7850/1000*(1/3)*PI()*ABS(E280-F280)*((G280/2)^2+(G280/2)*(H280/2)+(H280/2)^2-(G280/2-I280/1000)^2-(G280/2-I280/1000)*(H280/2-I280/1000)-(H280/2-I280/1000)^2))</f>
        <v/>
      </c>
      <c r="K280" s="107" t="str">
        <f>IFERROR(WHOLE_STRUCTURE[[#This Row],[Bottom '[mLAT']]]-WHOLE_STRUCTURE[[#This Row],[D, top '[m']]], "")</f>
        <v/>
      </c>
      <c r="L280" s="107" t="str">
        <f>IFERROR(-(WHOLE_STRUCTURE[[#This Row],[D, bottom '[m']]]-WHOLE_STRUCTURE[[#This Row],[D, top '[m']]])/(WHOLE_STRUCTURE[[#This Row],[Bottom '[mLAT']]]-WHOLE_STRUCTURE[[#This Row],[Top '[mLAT']]]),"")</f>
        <v/>
      </c>
      <c r="M280" s="107" t="str">
        <f>IFERROR((WHOLE_STRUCTURE[[#This Row],[D, bottom '[m']]]+WHOLE_STRUCTURE[[#This Row],[D, top '[m']]])/(2*WHOLE_STRUCTURE[[#This Row],[t '[mm']]]/1000),"")</f>
        <v/>
      </c>
    </row>
    <row r="281" spans="10:13" x14ac:dyDescent="0.3">
      <c r="J281" s="107" t="str">
        <f>IF(7850/1000*(1/3)*PI()*ABS(E281-F281)*((G281/2)^2+(G281/2)*(H281/2)+(H281/2)^2-(G281/2-I281/1000)^2-(G281/2-I281/1000)*(H281/2-I281/1000)-(H281/2-I281/1000)^2)=0,"",7850/1000*(1/3)*PI()*ABS(E281-F281)*((G281/2)^2+(G281/2)*(H281/2)+(H281/2)^2-(G281/2-I281/1000)^2-(G281/2-I281/1000)*(H281/2-I281/1000)-(H281/2-I281/1000)^2))</f>
        <v/>
      </c>
      <c r="K281" s="107" t="str">
        <f>IFERROR(WHOLE_STRUCTURE[[#This Row],[Bottom '[mLAT']]]-WHOLE_STRUCTURE[[#This Row],[D, top '[m']]], "")</f>
        <v/>
      </c>
      <c r="L281" s="107" t="str">
        <f>IFERROR(-(WHOLE_STRUCTURE[[#This Row],[D, bottom '[m']]]-WHOLE_STRUCTURE[[#This Row],[D, top '[m']]])/(WHOLE_STRUCTURE[[#This Row],[Bottom '[mLAT']]]-WHOLE_STRUCTURE[[#This Row],[Top '[mLAT']]]),"")</f>
        <v/>
      </c>
      <c r="M281" s="107" t="str">
        <f>IFERROR((WHOLE_STRUCTURE[[#This Row],[D, bottom '[m']]]+WHOLE_STRUCTURE[[#This Row],[D, top '[m']]])/(2*WHOLE_STRUCTURE[[#This Row],[t '[mm']]]/1000),"")</f>
        <v/>
      </c>
    </row>
    <row r="282" spans="10:13" x14ac:dyDescent="0.3">
      <c r="J282" s="107" t="str">
        <f>IF(7850/1000*(1/3)*PI()*ABS(E282-F282)*((G282/2)^2+(G282/2)*(H282/2)+(H282/2)^2-(G282/2-I282/1000)^2-(G282/2-I282/1000)*(H282/2-I282/1000)-(H282/2-I282/1000)^2)=0,"",7850/1000*(1/3)*PI()*ABS(E282-F282)*((G282/2)^2+(G282/2)*(H282/2)+(H282/2)^2-(G282/2-I282/1000)^2-(G282/2-I282/1000)*(H282/2-I282/1000)-(H282/2-I282/1000)^2))</f>
        <v/>
      </c>
      <c r="K282" s="107" t="str">
        <f>IFERROR(WHOLE_STRUCTURE[[#This Row],[Bottom '[mLAT']]]-WHOLE_STRUCTURE[[#This Row],[D, top '[m']]], "")</f>
        <v/>
      </c>
      <c r="L282" s="107" t="str">
        <f>IFERROR(-(WHOLE_STRUCTURE[[#This Row],[D, bottom '[m']]]-WHOLE_STRUCTURE[[#This Row],[D, top '[m']]])/(WHOLE_STRUCTURE[[#This Row],[Bottom '[mLAT']]]-WHOLE_STRUCTURE[[#This Row],[Top '[mLAT']]]),"")</f>
        <v/>
      </c>
      <c r="M282" s="107" t="str">
        <f>IFERROR((WHOLE_STRUCTURE[[#This Row],[D, bottom '[m']]]+WHOLE_STRUCTURE[[#This Row],[D, top '[m']]])/(2*WHOLE_STRUCTURE[[#This Row],[t '[mm']]]/1000),"")</f>
        <v/>
      </c>
    </row>
    <row r="283" spans="10:13" x14ac:dyDescent="0.3">
      <c r="J283" s="107" t="str">
        <f>IF(7850/1000*(1/3)*PI()*ABS(E283-F283)*((G283/2)^2+(G283/2)*(H283/2)+(H283/2)^2-(G283/2-I283/1000)^2-(G283/2-I283/1000)*(H283/2-I283/1000)-(H283/2-I283/1000)^2)=0,"",7850/1000*(1/3)*PI()*ABS(E283-F283)*((G283/2)^2+(G283/2)*(H283/2)+(H283/2)^2-(G283/2-I283/1000)^2-(G283/2-I283/1000)*(H283/2-I283/1000)-(H283/2-I283/1000)^2))</f>
        <v/>
      </c>
      <c r="K283" s="107" t="str">
        <f>IFERROR(WHOLE_STRUCTURE[[#This Row],[Bottom '[mLAT']]]-WHOLE_STRUCTURE[[#This Row],[D, top '[m']]], "")</f>
        <v/>
      </c>
      <c r="L283" s="107" t="str">
        <f>IFERROR(-(WHOLE_STRUCTURE[[#This Row],[D, bottom '[m']]]-WHOLE_STRUCTURE[[#This Row],[D, top '[m']]])/(WHOLE_STRUCTURE[[#This Row],[Bottom '[mLAT']]]-WHOLE_STRUCTURE[[#This Row],[Top '[mLAT']]]),"")</f>
        <v/>
      </c>
      <c r="M283" s="107" t="str">
        <f>IFERROR((WHOLE_STRUCTURE[[#This Row],[D, bottom '[m']]]+WHOLE_STRUCTURE[[#This Row],[D, top '[m']]])/(2*WHOLE_STRUCTURE[[#This Row],[t '[mm']]]/1000),"")</f>
        <v/>
      </c>
    </row>
    <row r="284" spans="10:13" x14ac:dyDescent="0.3">
      <c r="J284" s="107" t="str">
        <f>IF(7850/1000*(1/3)*PI()*ABS(E284-F284)*((G284/2)^2+(G284/2)*(H284/2)+(H284/2)^2-(G284/2-I284/1000)^2-(G284/2-I284/1000)*(H284/2-I284/1000)-(H284/2-I284/1000)^2)=0,"",7850/1000*(1/3)*PI()*ABS(E284-F284)*((G284/2)^2+(G284/2)*(H284/2)+(H284/2)^2-(G284/2-I284/1000)^2-(G284/2-I284/1000)*(H284/2-I284/1000)-(H284/2-I284/1000)^2))</f>
        <v/>
      </c>
      <c r="K284" s="107" t="str">
        <f>IFERROR(WHOLE_STRUCTURE[[#This Row],[Bottom '[mLAT']]]-WHOLE_STRUCTURE[[#This Row],[D, top '[m']]], "")</f>
        <v/>
      </c>
      <c r="L284" s="107" t="str">
        <f>IFERROR(-(WHOLE_STRUCTURE[[#This Row],[D, bottom '[m']]]-WHOLE_STRUCTURE[[#This Row],[D, top '[m']]])/(WHOLE_STRUCTURE[[#This Row],[Bottom '[mLAT']]]-WHOLE_STRUCTURE[[#This Row],[Top '[mLAT']]]),"")</f>
        <v/>
      </c>
      <c r="M284" s="107" t="str">
        <f>IFERROR((WHOLE_STRUCTURE[[#This Row],[D, bottom '[m']]]+WHOLE_STRUCTURE[[#This Row],[D, top '[m']]])/(2*WHOLE_STRUCTURE[[#This Row],[t '[mm']]]/1000),"")</f>
        <v/>
      </c>
    </row>
    <row r="285" spans="10:13" x14ac:dyDescent="0.3">
      <c r="J285" s="107" t="str">
        <f>IF(7850/1000*(1/3)*PI()*ABS(E285-F285)*((G285/2)^2+(G285/2)*(H285/2)+(H285/2)^2-(G285/2-I285/1000)^2-(G285/2-I285/1000)*(H285/2-I285/1000)-(H285/2-I285/1000)^2)=0,"",7850/1000*(1/3)*PI()*ABS(E285-F285)*((G285/2)^2+(G285/2)*(H285/2)+(H285/2)^2-(G285/2-I285/1000)^2-(G285/2-I285/1000)*(H285/2-I285/1000)-(H285/2-I285/1000)^2))</f>
        <v/>
      </c>
      <c r="K285" s="107" t="str">
        <f>IFERROR(WHOLE_STRUCTURE[[#This Row],[Bottom '[mLAT']]]-WHOLE_STRUCTURE[[#This Row],[D, top '[m']]], "")</f>
        <v/>
      </c>
      <c r="L285" s="107" t="str">
        <f>IFERROR(-(WHOLE_STRUCTURE[[#This Row],[D, bottom '[m']]]-WHOLE_STRUCTURE[[#This Row],[D, top '[m']]])/(WHOLE_STRUCTURE[[#This Row],[Bottom '[mLAT']]]-WHOLE_STRUCTURE[[#This Row],[Top '[mLAT']]]),"")</f>
        <v/>
      </c>
      <c r="M285" s="107" t="str">
        <f>IFERROR((WHOLE_STRUCTURE[[#This Row],[D, bottom '[m']]]+WHOLE_STRUCTURE[[#This Row],[D, top '[m']]])/(2*WHOLE_STRUCTURE[[#This Row],[t '[mm']]]/1000),"")</f>
        <v/>
      </c>
    </row>
    <row r="286" spans="10:13" x14ac:dyDescent="0.3">
      <c r="J286" s="107" t="str">
        <f>IF(7850/1000*(1/3)*PI()*ABS(E286-F286)*((G286/2)^2+(G286/2)*(H286/2)+(H286/2)^2-(G286/2-I286/1000)^2-(G286/2-I286/1000)*(H286/2-I286/1000)-(H286/2-I286/1000)^2)=0,"",7850/1000*(1/3)*PI()*ABS(E286-F286)*((G286/2)^2+(G286/2)*(H286/2)+(H286/2)^2-(G286/2-I286/1000)^2-(G286/2-I286/1000)*(H286/2-I286/1000)-(H286/2-I286/1000)^2))</f>
        <v/>
      </c>
      <c r="K286" s="107" t="str">
        <f>IFERROR(WHOLE_STRUCTURE[[#This Row],[Bottom '[mLAT']]]-WHOLE_STRUCTURE[[#This Row],[D, top '[m']]], "")</f>
        <v/>
      </c>
      <c r="L286" s="107" t="str">
        <f>IFERROR(-(WHOLE_STRUCTURE[[#This Row],[D, bottom '[m']]]-WHOLE_STRUCTURE[[#This Row],[D, top '[m']]])/(WHOLE_STRUCTURE[[#This Row],[Bottom '[mLAT']]]-WHOLE_STRUCTURE[[#This Row],[Top '[mLAT']]]),"")</f>
        <v/>
      </c>
      <c r="M286" s="107" t="str">
        <f>IFERROR((WHOLE_STRUCTURE[[#This Row],[D, bottom '[m']]]+WHOLE_STRUCTURE[[#This Row],[D, top '[m']]])/(2*WHOLE_STRUCTURE[[#This Row],[t '[mm']]]/1000),"")</f>
        <v/>
      </c>
    </row>
    <row r="287" spans="10:13" x14ac:dyDescent="0.3">
      <c r="J287" s="107" t="str">
        <f>IF(7850/1000*(1/3)*PI()*ABS(E287-F287)*((G287/2)^2+(G287/2)*(H287/2)+(H287/2)^2-(G287/2-I287/1000)^2-(G287/2-I287/1000)*(H287/2-I287/1000)-(H287/2-I287/1000)^2)=0,"",7850/1000*(1/3)*PI()*ABS(E287-F287)*((G287/2)^2+(G287/2)*(H287/2)+(H287/2)^2-(G287/2-I287/1000)^2-(G287/2-I287/1000)*(H287/2-I287/1000)-(H287/2-I287/1000)^2))</f>
        <v/>
      </c>
      <c r="K287" s="107" t="str">
        <f>IFERROR(WHOLE_STRUCTURE[[#This Row],[Bottom '[mLAT']]]-WHOLE_STRUCTURE[[#This Row],[D, top '[m']]], "")</f>
        <v/>
      </c>
      <c r="L287" s="107" t="str">
        <f>IFERROR(-(WHOLE_STRUCTURE[[#This Row],[D, bottom '[m']]]-WHOLE_STRUCTURE[[#This Row],[D, top '[m']]])/(WHOLE_STRUCTURE[[#This Row],[Bottom '[mLAT']]]-WHOLE_STRUCTURE[[#This Row],[Top '[mLAT']]]),"")</f>
        <v/>
      </c>
      <c r="M287" s="107" t="str">
        <f>IFERROR((WHOLE_STRUCTURE[[#This Row],[D, bottom '[m']]]+WHOLE_STRUCTURE[[#This Row],[D, top '[m']]])/(2*WHOLE_STRUCTURE[[#This Row],[t '[mm']]]/1000),"")</f>
        <v/>
      </c>
    </row>
    <row r="288" spans="10:13" x14ac:dyDescent="0.3">
      <c r="J288" s="107" t="str">
        <f>IF(7850/1000*(1/3)*PI()*ABS(E288-F288)*((G288/2)^2+(G288/2)*(H288/2)+(H288/2)^2-(G288/2-I288/1000)^2-(G288/2-I288/1000)*(H288/2-I288/1000)-(H288/2-I288/1000)^2)=0,"",7850/1000*(1/3)*PI()*ABS(E288-F288)*((G288/2)^2+(G288/2)*(H288/2)+(H288/2)^2-(G288/2-I288/1000)^2-(G288/2-I288/1000)*(H288/2-I288/1000)-(H288/2-I288/1000)^2))</f>
        <v/>
      </c>
      <c r="K288" s="107" t="str">
        <f>IFERROR(WHOLE_STRUCTURE[[#This Row],[Bottom '[mLAT']]]-WHOLE_STRUCTURE[[#This Row],[D, top '[m']]], "")</f>
        <v/>
      </c>
      <c r="L288" s="107" t="str">
        <f>IFERROR(-(WHOLE_STRUCTURE[[#This Row],[D, bottom '[m']]]-WHOLE_STRUCTURE[[#This Row],[D, top '[m']]])/(WHOLE_STRUCTURE[[#This Row],[Bottom '[mLAT']]]-WHOLE_STRUCTURE[[#This Row],[Top '[mLAT']]]),"")</f>
        <v/>
      </c>
      <c r="M288" s="107" t="str">
        <f>IFERROR((WHOLE_STRUCTURE[[#This Row],[D, bottom '[m']]]+WHOLE_STRUCTURE[[#This Row],[D, top '[m']]])/(2*WHOLE_STRUCTURE[[#This Row],[t '[mm']]]/1000),"")</f>
        <v/>
      </c>
    </row>
    <row r="289" spans="10:13" x14ac:dyDescent="0.3">
      <c r="J289" s="107" t="str">
        <f>IF(7850/1000*(1/3)*PI()*ABS(E289-F289)*((G289/2)^2+(G289/2)*(H289/2)+(H289/2)^2-(G289/2-I289/1000)^2-(G289/2-I289/1000)*(H289/2-I289/1000)-(H289/2-I289/1000)^2)=0,"",7850/1000*(1/3)*PI()*ABS(E289-F289)*((G289/2)^2+(G289/2)*(H289/2)+(H289/2)^2-(G289/2-I289/1000)^2-(G289/2-I289/1000)*(H289/2-I289/1000)-(H289/2-I289/1000)^2))</f>
        <v/>
      </c>
      <c r="K289" s="107" t="str">
        <f>IFERROR(WHOLE_STRUCTURE[[#This Row],[Bottom '[mLAT']]]-WHOLE_STRUCTURE[[#This Row],[D, top '[m']]], "")</f>
        <v/>
      </c>
      <c r="L289" s="107" t="str">
        <f>IFERROR(-(WHOLE_STRUCTURE[[#This Row],[D, bottom '[m']]]-WHOLE_STRUCTURE[[#This Row],[D, top '[m']]])/(WHOLE_STRUCTURE[[#This Row],[Bottom '[mLAT']]]-WHOLE_STRUCTURE[[#This Row],[Top '[mLAT']]]),"")</f>
        <v/>
      </c>
      <c r="M289" s="107" t="str">
        <f>IFERROR((WHOLE_STRUCTURE[[#This Row],[D, bottom '[m']]]+WHOLE_STRUCTURE[[#This Row],[D, top '[m']]])/(2*WHOLE_STRUCTURE[[#This Row],[t '[mm']]]/1000),"")</f>
        <v/>
      </c>
    </row>
    <row r="290" spans="10:13" x14ac:dyDescent="0.3">
      <c r="J290" s="107" t="str">
        <f>IF(7850/1000*(1/3)*PI()*ABS(E290-F290)*((G290/2)^2+(G290/2)*(H290/2)+(H290/2)^2-(G290/2-I290/1000)^2-(G290/2-I290/1000)*(H290/2-I290/1000)-(H290/2-I290/1000)^2)=0,"",7850/1000*(1/3)*PI()*ABS(E290-F290)*((G290/2)^2+(G290/2)*(H290/2)+(H290/2)^2-(G290/2-I290/1000)^2-(G290/2-I290/1000)*(H290/2-I290/1000)-(H290/2-I290/1000)^2))</f>
        <v/>
      </c>
      <c r="K290" s="107" t="str">
        <f>IFERROR(WHOLE_STRUCTURE[[#This Row],[Bottom '[mLAT']]]-WHOLE_STRUCTURE[[#This Row],[D, top '[m']]], "")</f>
        <v/>
      </c>
      <c r="L290" s="107" t="str">
        <f>IFERROR(-(WHOLE_STRUCTURE[[#This Row],[D, bottom '[m']]]-WHOLE_STRUCTURE[[#This Row],[D, top '[m']]])/(WHOLE_STRUCTURE[[#This Row],[Bottom '[mLAT']]]-WHOLE_STRUCTURE[[#This Row],[Top '[mLAT']]]),"")</f>
        <v/>
      </c>
      <c r="M290" s="107" t="str">
        <f>IFERROR((WHOLE_STRUCTURE[[#This Row],[D, bottom '[m']]]+WHOLE_STRUCTURE[[#This Row],[D, top '[m']]])/(2*WHOLE_STRUCTURE[[#This Row],[t '[mm']]]/1000),"")</f>
        <v/>
      </c>
    </row>
    <row r="291" spans="10:13" x14ac:dyDescent="0.3">
      <c r="J291" s="107" t="str">
        <f>IF(7850/1000*(1/3)*PI()*ABS(E291-F291)*((G291/2)^2+(G291/2)*(H291/2)+(H291/2)^2-(G291/2-I291/1000)^2-(G291/2-I291/1000)*(H291/2-I291/1000)-(H291/2-I291/1000)^2)=0,"",7850/1000*(1/3)*PI()*ABS(E291-F291)*((G291/2)^2+(G291/2)*(H291/2)+(H291/2)^2-(G291/2-I291/1000)^2-(G291/2-I291/1000)*(H291/2-I291/1000)-(H291/2-I291/1000)^2))</f>
        <v/>
      </c>
      <c r="K291" s="107" t="str">
        <f>IFERROR(WHOLE_STRUCTURE[[#This Row],[Bottom '[mLAT']]]-WHOLE_STRUCTURE[[#This Row],[D, top '[m']]], "")</f>
        <v/>
      </c>
      <c r="L291" s="107" t="str">
        <f>IFERROR(-(WHOLE_STRUCTURE[[#This Row],[D, bottom '[m']]]-WHOLE_STRUCTURE[[#This Row],[D, top '[m']]])/(WHOLE_STRUCTURE[[#This Row],[Bottom '[mLAT']]]-WHOLE_STRUCTURE[[#This Row],[Top '[mLAT']]]),"")</f>
        <v/>
      </c>
      <c r="M291" s="107" t="str">
        <f>IFERROR((WHOLE_STRUCTURE[[#This Row],[D, bottom '[m']]]+WHOLE_STRUCTURE[[#This Row],[D, top '[m']]])/(2*WHOLE_STRUCTURE[[#This Row],[t '[mm']]]/1000),"")</f>
        <v/>
      </c>
    </row>
    <row r="292" spans="10:13" x14ac:dyDescent="0.3">
      <c r="J292" s="107" t="str">
        <f>IF(7850/1000*(1/3)*PI()*ABS(E292-F292)*((G292/2)^2+(G292/2)*(H292/2)+(H292/2)^2-(G292/2-I292/1000)^2-(G292/2-I292/1000)*(H292/2-I292/1000)-(H292/2-I292/1000)^2)=0,"",7850/1000*(1/3)*PI()*ABS(E292-F292)*((G292/2)^2+(G292/2)*(H292/2)+(H292/2)^2-(G292/2-I292/1000)^2-(G292/2-I292/1000)*(H292/2-I292/1000)-(H292/2-I292/1000)^2))</f>
        <v/>
      </c>
      <c r="K292" s="107" t="str">
        <f>IFERROR(WHOLE_STRUCTURE[[#This Row],[Bottom '[mLAT']]]-WHOLE_STRUCTURE[[#This Row],[D, top '[m']]], "")</f>
        <v/>
      </c>
      <c r="L292" s="107" t="str">
        <f>IFERROR(-(WHOLE_STRUCTURE[[#This Row],[D, bottom '[m']]]-WHOLE_STRUCTURE[[#This Row],[D, top '[m']]])/(WHOLE_STRUCTURE[[#This Row],[Bottom '[mLAT']]]-WHOLE_STRUCTURE[[#This Row],[Top '[mLAT']]]),"")</f>
        <v/>
      </c>
      <c r="M292" s="107" t="str">
        <f>IFERROR((WHOLE_STRUCTURE[[#This Row],[D, bottom '[m']]]+WHOLE_STRUCTURE[[#This Row],[D, top '[m']]])/(2*WHOLE_STRUCTURE[[#This Row],[t '[mm']]]/1000),"")</f>
        <v/>
      </c>
    </row>
    <row r="293" spans="10:13" x14ac:dyDescent="0.3">
      <c r="J293" s="107" t="str">
        <f>IF(7850/1000*(1/3)*PI()*ABS(E293-F293)*((G293/2)^2+(G293/2)*(H293/2)+(H293/2)^2-(G293/2-I293/1000)^2-(G293/2-I293/1000)*(H293/2-I293/1000)-(H293/2-I293/1000)^2)=0,"",7850/1000*(1/3)*PI()*ABS(E293-F293)*((G293/2)^2+(G293/2)*(H293/2)+(H293/2)^2-(G293/2-I293/1000)^2-(G293/2-I293/1000)*(H293/2-I293/1000)-(H293/2-I293/1000)^2))</f>
        <v/>
      </c>
      <c r="K293" s="107" t="str">
        <f>IFERROR(WHOLE_STRUCTURE[[#This Row],[Bottom '[mLAT']]]-WHOLE_STRUCTURE[[#This Row],[D, top '[m']]], "")</f>
        <v/>
      </c>
      <c r="L293" s="107" t="str">
        <f>IFERROR(-(WHOLE_STRUCTURE[[#This Row],[D, bottom '[m']]]-WHOLE_STRUCTURE[[#This Row],[D, top '[m']]])/(WHOLE_STRUCTURE[[#This Row],[Bottom '[mLAT']]]-WHOLE_STRUCTURE[[#This Row],[Top '[mLAT']]]),"")</f>
        <v/>
      </c>
      <c r="M293" s="107" t="str">
        <f>IFERROR((WHOLE_STRUCTURE[[#This Row],[D, bottom '[m']]]+WHOLE_STRUCTURE[[#This Row],[D, top '[m']]])/(2*WHOLE_STRUCTURE[[#This Row],[t '[mm']]]/1000),"")</f>
        <v/>
      </c>
    </row>
    <row r="294" spans="10:13" x14ac:dyDescent="0.3">
      <c r="J294" s="107" t="str">
        <f>IF(7850/1000*(1/3)*PI()*ABS(E294-F294)*((G294/2)^2+(G294/2)*(H294/2)+(H294/2)^2-(G294/2-I294/1000)^2-(G294/2-I294/1000)*(H294/2-I294/1000)-(H294/2-I294/1000)^2)=0,"",7850/1000*(1/3)*PI()*ABS(E294-F294)*((G294/2)^2+(G294/2)*(H294/2)+(H294/2)^2-(G294/2-I294/1000)^2-(G294/2-I294/1000)*(H294/2-I294/1000)-(H294/2-I294/1000)^2))</f>
        <v/>
      </c>
      <c r="K294" s="107" t="str">
        <f>IFERROR(WHOLE_STRUCTURE[[#This Row],[Bottom '[mLAT']]]-WHOLE_STRUCTURE[[#This Row],[D, top '[m']]], "")</f>
        <v/>
      </c>
      <c r="L294" s="107" t="str">
        <f>IFERROR(-(WHOLE_STRUCTURE[[#This Row],[D, bottom '[m']]]-WHOLE_STRUCTURE[[#This Row],[D, top '[m']]])/(WHOLE_STRUCTURE[[#This Row],[Bottom '[mLAT']]]-WHOLE_STRUCTURE[[#This Row],[Top '[mLAT']]]),"")</f>
        <v/>
      </c>
      <c r="M294" s="107" t="str">
        <f>IFERROR((WHOLE_STRUCTURE[[#This Row],[D, bottom '[m']]]+WHOLE_STRUCTURE[[#This Row],[D, top '[m']]])/(2*WHOLE_STRUCTURE[[#This Row],[t '[mm']]]/1000),"")</f>
        <v/>
      </c>
    </row>
    <row r="295" spans="10:13" x14ac:dyDescent="0.3">
      <c r="J295" s="107" t="str">
        <f>IF(7850/1000*(1/3)*PI()*ABS(E295-F295)*((G295/2)^2+(G295/2)*(H295/2)+(H295/2)^2-(G295/2-I295/1000)^2-(G295/2-I295/1000)*(H295/2-I295/1000)-(H295/2-I295/1000)^2)=0,"",7850/1000*(1/3)*PI()*ABS(E295-F295)*((G295/2)^2+(G295/2)*(H295/2)+(H295/2)^2-(G295/2-I295/1000)^2-(G295/2-I295/1000)*(H295/2-I295/1000)-(H295/2-I295/1000)^2))</f>
        <v/>
      </c>
      <c r="K295" s="107" t="str">
        <f>IFERROR(WHOLE_STRUCTURE[[#This Row],[Bottom '[mLAT']]]-WHOLE_STRUCTURE[[#This Row],[D, top '[m']]], "")</f>
        <v/>
      </c>
      <c r="L295" s="107" t="str">
        <f>IFERROR(-(WHOLE_STRUCTURE[[#This Row],[D, bottom '[m']]]-WHOLE_STRUCTURE[[#This Row],[D, top '[m']]])/(WHOLE_STRUCTURE[[#This Row],[Bottom '[mLAT']]]-WHOLE_STRUCTURE[[#This Row],[Top '[mLAT']]]),"")</f>
        <v/>
      </c>
      <c r="M295" s="107" t="str">
        <f>IFERROR((WHOLE_STRUCTURE[[#This Row],[D, bottom '[m']]]+WHOLE_STRUCTURE[[#This Row],[D, top '[m']]])/(2*WHOLE_STRUCTURE[[#This Row],[t '[mm']]]/1000),"")</f>
        <v/>
      </c>
    </row>
    <row r="296" spans="10:13" x14ac:dyDescent="0.3">
      <c r="J296" s="107" t="str">
        <f>IF(7850/1000*(1/3)*PI()*ABS(E296-F296)*((G296/2)^2+(G296/2)*(H296/2)+(H296/2)^2-(G296/2-I296/1000)^2-(G296/2-I296/1000)*(H296/2-I296/1000)-(H296/2-I296/1000)^2)=0,"",7850/1000*(1/3)*PI()*ABS(E296-F296)*((G296/2)^2+(G296/2)*(H296/2)+(H296/2)^2-(G296/2-I296/1000)^2-(G296/2-I296/1000)*(H296/2-I296/1000)-(H296/2-I296/1000)^2))</f>
        <v/>
      </c>
      <c r="K296" s="107" t="str">
        <f>IFERROR(WHOLE_STRUCTURE[[#This Row],[Bottom '[mLAT']]]-WHOLE_STRUCTURE[[#This Row],[D, top '[m']]], "")</f>
        <v/>
      </c>
      <c r="L296" s="107" t="str">
        <f>IFERROR(-(WHOLE_STRUCTURE[[#This Row],[D, bottom '[m']]]-WHOLE_STRUCTURE[[#This Row],[D, top '[m']]])/(WHOLE_STRUCTURE[[#This Row],[Bottom '[mLAT']]]-WHOLE_STRUCTURE[[#This Row],[Top '[mLAT']]]),"")</f>
        <v/>
      </c>
      <c r="M296" s="107" t="str">
        <f>IFERROR((WHOLE_STRUCTURE[[#This Row],[D, bottom '[m']]]+WHOLE_STRUCTURE[[#This Row],[D, top '[m']]])/(2*WHOLE_STRUCTURE[[#This Row],[t '[mm']]]/1000),"")</f>
        <v/>
      </c>
    </row>
    <row r="297" spans="10:13" x14ac:dyDescent="0.3">
      <c r="J297" s="107" t="str">
        <f>IF(7850/1000*(1/3)*PI()*ABS(E297-F297)*((G297/2)^2+(G297/2)*(H297/2)+(H297/2)^2-(G297/2-I297/1000)^2-(G297/2-I297/1000)*(H297/2-I297/1000)-(H297/2-I297/1000)^2)=0,"",7850/1000*(1/3)*PI()*ABS(E297-F297)*((G297/2)^2+(G297/2)*(H297/2)+(H297/2)^2-(G297/2-I297/1000)^2-(G297/2-I297/1000)*(H297/2-I297/1000)-(H297/2-I297/1000)^2))</f>
        <v/>
      </c>
      <c r="K297" s="107" t="str">
        <f>IFERROR(WHOLE_STRUCTURE[[#This Row],[Bottom '[mLAT']]]-WHOLE_STRUCTURE[[#This Row],[D, top '[m']]], "")</f>
        <v/>
      </c>
      <c r="L297" s="107" t="str">
        <f>IFERROR(-(WHOLE_STRUCTURE[[#This Row],[D, bottom '[m']]]-WHOLE_STRUCTURE[[#This Row],[D, top '[m']]])/(WHOLE_STRUCTURE[[#This Row],[Bottom '[mLAT']]]-WHOLE_STRUCTURE[[#This Row],[Top '[mLAT']]]),"")</f>
        <v/>
      </c>
      <c r="M297" s="107" t="str">
        <f>IFERROR((WHOLE_STRUCTURE[[#This Row],[D, bottom '[m']]]+WHOLE_STRUCTURE[[#This Row],[D, top '[m']]])/(2*WHOLE_STRUCTURE[[#This Row],[t '[mm']]]/1000),"")</f>
        <v/>
      </c>
    </row>
    <row r="298" spans="10:13" x14ac:dyDescent="0.3">
      <c r="J298" s="107" t="str">
        <f>IF(7850/1000*(1/3)*PI()*ABS(E298-F298)*((G298/2)^2+(G298/2)*(H298/2)+(H298/2)^2-(G298/2-I298/1000)^2-(G298/2-I298/1000)*(H298/2-I298/1000)-(H298/2-I298/1000)^2)=0,"",7850/1000*(1/3)*PI()*ABS(E298-F298)*((G298/2)^2+(G298/2)*(H298/2)+(H298/2)^2-(G298/2-I298/1000)^2-(G298/2-I298/1000)*(H298/2-I298/1000)-(H298/2-I298/1000)^2))</f>
        <v/>
      </c>
      <c r="K298" s="107" t="str">
        <f>IFERROR(WHOLE_STRUCTURE[[#This Row],[Bottom '[mLAT']]]-WHOLE_STRUCTURE[[#This Row],[D, top '[m']]], "")</f>
        <v/>
      </c>
      <c r="L298" s="107" t="str">
        <f>IFERROR(-(WHOLE_STRUCTURE[[#This Row],[D, bottom '[m']]]-WHOLE_STRUCTURE[[#This Row],[D, top '[m']]])/(WHOLE_STRUCTURE[[#This Row],[Bottom '[mLAT']]]-WHOLE_STRUCTURE[[#This Row],[Top '[mLAT']]]),"")</f>
        <v/>
      </c>
      <c r="M298" s="107" t="str">
        <f>IFERROR((WHOLE_STRUCTURE[[#This Row],[D, bottom '[m']]]+WHOLE_STRUCTURE[[#This Row],[D, top '[m']]])/(2*WHOLE_STRUCTURE[[#This Row],[t '[mm']]]/1000),"")</f>
        <v/>
      </c>
    </row>
    <row r="299" spans="10:13" x14ac:dyDescent="0.3">
      <c r="J299" s="107" t="str">
        <f>IF(7850/1000*(1/3)*PI()*ABS(E299-F299)*((G299/2)^2+(G299/2)*(H299/2)+(H299/2)^2-(G299/2-I299/1000)^2-(G299/2-I299/1000)*(H299/2-I299/1000)-(H299/2-I299/1000)^2)=0,"",7850/1000*(1/3)*PI()*ABS(E299-F299)*((G299/2)^2+(G299/2)*(H299/2)+(H299/2)^2-(G299/2-I299/1000)^2-(G299/2-I299/1000)*(H299/2-I299/1000)-(H299/2-I299/1000)^2))</f>
        <v/>
      </c>
      <c r="K299" s="107" t="str">
        <f>IFERROR(WHOLE_STRUCTURE[[#This Row],[Bottom '[mLAT']]]-WHOLE_STRUCTURE[[#This Row],[D, top '[m']]], "")</f>
        <v/>
      </c>
      <c r="L299" s="107" t="str">
        <f>IFERROR(-(WHOLE_STRUCTURE[[#This Row],[D, bottom '[m']]]-WHOLE_STRUCTURE[[#This Row],[D, top '[m']]])/(WHOLE_STRUCTURE[[#This Row],[Bottom '[mLAT']]]-WHOLE_STRUCTURE[[#This Row],[Top '[mLAT']]]),"")</f>
        <v/>
      </c>
      <c r="M299" s="107" t="str">
        <f>IFERROR((WHOLE_STRUCTURE[[#This Row],[D, bottom '[m']]]+WHOLE_STRUCTURE[[#This Row],[D, top '[m']]])/(2*WHOLE_STRUCTURE[[#This Row],[t '[mm']]]/1000),"")</f>
        <v/>
      </c>
    </row>
    <row r="300" spans="10:13" x14ac:dyDescent="0.3">
      <c r="J300" s="107" t="str">
        <f>IF(7850/1000*(1/3)*PI()*ABS(E300-F300)*((G300/2)^2+(G300/2)*(H300/2)+(H300/2)^2-(G300/2-I300/1000)^2-(G300/2-I300/1000)*(H300/2-I300/1000)-(H300/2-I300/1000)^2)=0,"",7850/1000*(1/3)*PI()*ABS(E300-F300)*((G300/2)^2+(G300/2)*(H300/2)+(H300/2)^2-(G300/2-I300/1000)^2-(G300/2-I300/1000)*(H300/2-I300/1000)-(H300/2-I300/1000)^2))</f>
        <v/>
      </c>
      <c r="K300" s="107" t="str">
        <f>IFERROR(WHOLE_STRUCTURE[[#This Row],[Bottom '[mLAT']]]-WHOLE_STRUCTURE[[#This Row],[D, top '[m']]], "")</f>
        <v/>
      </c>
      <c r="L300" s="107" t="str">
        <f>IFERROR(-(WHOLE_STRUCTURE[[#This Row],[D, bottom '[m']]]-WHOLE_STRUCTURE[[#This Row],[D, top '[m']]])/(WHOLE_STRUCTURE[[#This Row],[Bottom '[mLAT']]]-WHOLE_STRUCTURE[[#This Row],[Top '[mLAT']]]),"")</f>
        <v/>
      </c>
      <c r="M300" s="107" t="str">
        <f>IFERROR((WHOLE_STRUCTURE[[#This Row],[D, bottom '[m']]]+WHOLE_STRUCTURE[[#This Row],[D, top '[m']]])/(2*WHOLE_STRUCTURE[[#This Row],[t '[mm']]]/1000),"")</f>
        <v/>
      </c>
    </row>
    <row r="301" spans="10:13" x14ac:dyDescent="0.3">
      <c r="J301" s="107" t="str">
        <f>IF(7850/1000*(1/3)*PI()*ABS(E301-F301)*((G301/2)^2+(G301/2)*(H301/2)+(H301/2)^2-(G301/2-I301/1000)^2-(G301/2-I301/1000)*(H301/2-I301/1000)-(H301/2-I301/1000)^2)=0,"",7850/1000*(1/3)*PI()*ABS(E301-F301)*((G301/2)^2+(G301/2)*(H301/2)+(H301/2)^2-(G301/2-I301/1000)^2-(G301/2-I301/1000)*(H301/2-I301/1000)-(H301/2-I301/1000)^2))</f>
        <v/>
      </c>
      <c r="K301" s="107" t="str">
        <f>IFERROR(WHOLE_STRUCTURE[[#This Row],[Bottom '[mLAT']]]-WHOLE_STRUCTURE[[#This Row],[D, top '[m']]], "")</f>
        <v/>
      </c>
      <c r="L301" s="107" t="str">
        <f>IFERROR(-(WHOLE_STRUCTURE[[#This Row],[D, bottom '[m']]]-WHOLE_STRUCTURE[[#This Row],[D, top '[m']]])/(WHOLE_STRUCTURE[[#This Row],[Bottom '[mLAT']]]-WHOLE_STRUCTURE[[#This Row],[Top '[mLAT']]]),"")</f>
        <v/>
      </c>
      <c r="M301" s="107" t="str">
        <f>IFERROR((WHOLE_STRUCTURE[[#This Row],[D, bottom '[m']]]+WHOLE_STRUCTURE[[#This Row],[D, top '[m']]])/(2*WHOLE_STRUCTURE[[#This Row],[t '[mm']]]/1000),"")</f>
        <v/>
      </c>
    </row>
    <row r="302" spans="10:13" x14ac:dyDescent="0.3">
      <c r="J302" s="107" t="str">
        <f>IF(7850/1000*(1/3)*PI()*ABS(E302-F302)*((G302/2)^2+(G302/2)*(H302/2)+(H302/2)^2-(G302/2-I302/1000)^2-(G302/2-I302/1000)*(H302/2-I302/1000)-(H302/2-I302/1000)^2)=0,"",7850/1000*(1/3)*PI()*ABS(E302-F302)*((G302/2)^2+(G302/2)*(H302/2)+(H302/2)^2-(G302/2-I302/1000)^2-(G302/2-I302/1000)*(H302/2-I302/1000)-(H302/2-I302/1000)^2))</f>
        <v/>
      </c>
      <c r="K302" s="107" t="str">
        <f>IFERROR(WHOLE_STRUCTURE[[#This Row],[Bottom '[mLAT']]]-WHOLE_STRUCTURE[[#This Row],[D, top '[m']]], "")</f>
        <v/>
      </c>
      <c r="L302" s="107" t="str">
        <f>IFERROR(-(WHOLE_STRUCTURE[[#This Row],[D, bottom '[m']]]-WHOLE_STRUCTURE[[#This Row],[D, top '[m']]])/(WHOLE_STRUCTURE[[#This Row],[Bottom '[mLAT']]]-WHOLE_STRUCTURE[[#This Row],[Top '[mLAT']]]),"")</f>
        <v/>
      </c>
      <c r="M302" s="107" t="str">
        <f>IFERROR((WHOLE_STRUCTURE[[#This Row],[D, bottom '[m']]]+WHOLE_STRUCTURE[[#This Row],[D, top '[m']]])/(2*WHOLE_STRUCTURE[[#This Row],[t '[mm']]]/1000),"")</f>
        <v/>
      </c>
    </row>
    <row r="303" spans="10:13" x14ac:dyDescent="0.3">
      <c r="J303" s="107" t="str">
        <f>IF(7850/1000*(1/3)*PI()*ABS(E303-F303)*((G303/2)^2+(G303/2)*(H303/2)+(H303/2)^2-(G303/2-I303/1000)^2-(G303/2-I303/1000)*(H303/2-I303/1000)-(H303/2-I303/1000)^2)=0,"",7850/1000*(1/3)*PI()*ABS(E303-F303)*((G303/2)^2+(G303/2)*(H303/2)+(H303/2)^2-(G303/2-I303/1000)^2-(G303/2-I303/1000)*(H303/2-I303/1000)-(H303/2-I303/1000)^2))</f>
        <v/>
      </c>
      <c r="K303" s="107" t="str">
        <f>IFERROR(WHOLE_STRUCTURE[[#This Row],[Bottom '[mLAT']]]-WHOLE_STRUCTURE[[#This Row],[D, top '[m']]], "")</f>
        <v/>
      </c>
      <c r="L303" s="107" t="str">
        <f>IFERROR(-(WHOLE_STRUCTURE[[#This Row],[D, bottom '[m']]]-WHOLE_STRUCTURE[[#This Row],[D, top '[m']]])/(WHOLE_STRUCTURE[[#This Row],[Bottom '[mLAT']]]-WHOLE_STRUCTURE[[#This Row],[Top '[mLAT']]]),"")</f>
        <v/>
      </c>
      <c r="M303" s="107" t="str">
        <f>IFERROR((WHOLE_STRUCTURE[[#This Row],[D, bottom '[m']]]+WHOLE_STRUCTURE[[#This Row],[D, top '[m']]])/(2*WHOLE_STRUCTURE[[#This Row],[t '[mm']]]/1000),"")</f>
        <v/>
      </c>
    </row>
    <row r="304" spans="10:13" x14ac:dyDescent="0.3">
      <c r="J304" s="107" t="str">
        <f>IF(7850/1000*(1/3)*PI()*ABS(E304-F304)*((G304/2)^2+(G304/2)*(H304/2)+(H304/2)^2-(G304/2-I304/1000)^2-(G304/2-I304/1000)*(H304/2-I304/1000)-(H304/2-I304/1000)^2)=0,"",7850/1000*(1/3)*PI()*ABS(E304-F304)*((G304/2)^2+(G304/2)*(H304/2)+(H304/2)^2-(G304/2-I304/1000)^2-(G304/2-I304/1000)*(H304/2-I304/1000)-(H304/2-I304/1000)^2))</f>
        <v/>
      </c>
      <c r="K304" s="107" t="str">
        <f>IFERROR(WHOLE_STRUCTURE[[#This Row],[Bottom '[mLAT']]]-WHOLE_STRUCTURE[[#This Row],[D, top '[m']]], "")</f>
        <v/>
      </c>
      <c r="L304" s="107" t="str">
        <f>IFERROR(-(WHOLE_STRUCTURE[[#This Row],[D, bottom '[m']]]-WHOLE_STRUCTURE[[#This Row],[D, top '[m']]])/(WHOLE_STRUCTURE[[#This Row],[Bottom '[mLAT']]]-WHOLE_STRUCTURE[[#This Row],[Top '[mLAT']]]),"")</f>
        <v/>
      </c>
      <c r="M304" s="107" t="str">
        <f>IFERROR((WHOLE_STRUCTURE[[#This Row],[D, bottom '[m']]]+WHOLE_STRUCTURE[[#This Row],[D, top '[m']]])/(2*WHOLE_STRUCTURE[[#This Row],[t '[mm']]]/1000),"")</f>
        <v/>
      </c>
    </row>
    <row r="305" spans="10:13" x14ac:dyDescent="0.3">
      <c r="J305" s="107" t="str">
        <f>IF(7850/1000*(1/3)*PI()*ABS(E305-F305)*((G305/2)^2+(G305/2)*(H305/2)+(H305/2)^2-(G305/2-I305/1000)^2-(G305/2-I305/1000)*(H305/2-I305/1000)-(H305/2-I305/1000)^2)=0,"",7850/1000*(1/3)*PI()*ABS(E305-F305)*((G305/2)^2+(G305/2)*(H305/2)+(H305/2)^2-(G305/2-I305/1000)^2-(G305/2-I305/1000)*(H305/2-I305/1000)-(H305/2-I305/1000)^2))</f>
        <v/>
      </c>
      <c r="K305" s="107" t="str">
        <f>IFERROR(WHOLE_STRUCTURE[[#This Row],[Bottom '[mLAT']]]-WHOLE_STRUCTURE[[#This Row],[D, top '[m']]], "")</f>
        <v/>
      </c>
      <c r="L305" s="107" t="str">
        <f>IFERROR(-(WHOLE_STRUCTURE[[#This Row],[D, bottom '[m']]]-WHOLE_STRUCTURE[[#This Row],[D, top '[m']]])/(WHOLE_STRUCTURE[[#This Row],[Bottom '[mLAT']]]-WHOLE_STRUCTURE[[#This Row],[Top '[mLAT']]]),"")</f>
        <v/>
      </c>
      <c r="M305" s="107" t="str">
        <f>IFERROR((WHOLE_STRUCTURE[[#This Row],[D, bottom '[m']]]+WHOLE_STRUCTURE[[#This Row],[D, top '[m']]])/(2*WHOLE_STRUCTURE[[#This Row],[t '[mm']]]/1000),"")</f>
        <v/>
      </c>
    </row>
    <row r="306" spans="10:13" x14ac:dyDescent="0.3">
      <c r="J306" s="107" t="str">
        <f>IF(7850/1000*(1/3)*PI()*ABS(E306-F306)*((G306/2)^2+(G306/2)*(H306/2)+(H306/2)^2-(G306/2-I306/1000)^2-(G306/2-I306/1000)*(H306/2-I306/1000)-(H306/2-I306/1000)^2)=0,"",7850/1000*(1/3)*PI()*ABS(E306-F306)*((G306/2)^2+(G306/2)*(H306/2)+(H306/2)^2-(G306/2-I306/1000)^2-(G306/2-I306/1000)*(H306/2-I306/1000)-(H306/2-I306/1000)^2))</f>
        <v/>
      </c>
      <c r="K306" s="107" t="str">
        <f>IFERROR(WHOLE_STRUCTURE[[#This Row],[Bottom '[mLAT']]]-WHOLE_STRUCTURE[[#This Row],[D, top '[m']]], "")</f>
        <v/>
      </c>
      <c r="L306" s="107" t="str">
        <f>IFERROR(-(WHOLE_STRUCTURE[[#This Row],[D, bottom '[m']]]-WHOLE_STRUCTURE[[#This Row],[D, top '[m']]])/(WHOLE_STRUCTURE[[#This Row],[Bottom '[mLAT']]]-WHOLE_STRUCTURE[[#This Row],[Top '[mLAT']]]),"")</f>
        <v/>
      </c>
      <c r="M306" s="107" t="str">
        <f>IFERROR((WHOLE_STRUCTURE[[#This Row],[D, bottom '[m']]]+WHOLE_STRUCTURE[[#This Row],[D, top '[m']]])/(2*WHOLE_STRUCTURE[[#This Row],[t '[mm']]]/1000),"")</f>
        <v/>
      </c>
    </row>
    <row r="307" spans="10:13" x14ac:dyDescent="0.3">
      <c r="J307" s="107" t="str">
        <f>IF(7850/1000*(1/3)*PI()*ABS(E307-F307)*((G307/2)^2+(G307/2)*(H307/2)+(H307/2)^2-(G307/2-I307/1000)^2-(G307/2-I307/1000)*(H307/2-I307/1000)-(H307/2-I307/1000)^2)=0,"",7850/1000*(1/3)*PI()*ABS(E307-F307)*((G307/2)^2+(G307/2)*(H307/2)+(H307/2)^2-(G307/2-I307/1000)^2-(G307/2-I307/1000)*(H307/2-I307/1000)-(H307/2-I307/1000)^2))</f>
        <v/>
      </c>
      <c r="K307" s="107" t="str">
        <f>IFERROR(WHOLE_STRUCTURE[[#This Row],[Bottom '[mLAT']]]-WHOLE_STRUCTURE[[#This Row],[D, top '[m']]], "")</f>
        <v/>
      </c>
      <c r="L307" s="107" t="str">
        <f>IFERROR(-(WHOLE_STRUCTURE[[#This Row],[D, bottom '[m']]]-WHOLE_STRUCTURE[[#This Row],[D, top '[m']]])/(WHOLE_STRUCTURE[[#This Row],[Bottom '[mLAT']]]-WHOLE_STRUCTURE[[#This Row],[Top '[mLAT']]]),"")</f>
        <v/>
      </c>
      <c r="M307" s="107" t="str">
        <f>IFERROR((WHOLE_STRUCTURE[[#This Row],[D, bottom '[m']]]+WHOLE_STRUCTURE[[#This Row],[D, top '[m']]])/(2*WHOLE_STRUCTURE[[#This Row],[t '[mm']]]/1000),"")</f>
        <v/>
      </c>
    </row>
    <row r="308" spans="10:13" x14ac:dyDescent="0.3">
      <c r="J308" s="107" t="str">
        <f>IF(7850/1000*(1/3)*PI()*ABS(E308-F308)*((G308/2)^2+(G308/2)*(H308/2)+(H308/2)^2-(G308/2-I308/1000)^2-(G308/2-I308/1000)*(H308/2-I308/1000)-(H308/2-I308/1000)^2)=0,"",7850/1000*(1/3)*PI()*ABS(E308-F308)*((G308/2)^2+(G308/2)*(H308/2)+(H308/2)^2-(G308/2-I308/1000)^2-(G308/2-I308/1000)*(H308/2-I308/1000)-(H308/2-I308/1000)^2))</f>
        <v/>
      </c>
      <c r="K308" s="107" t="str">
        <f>IFERROR(WHOLE_STRUCTURE[[#This Row],[Bottom '[mLAT']]]-WHOLE_STRUCTURE[[#This Row],[D, top '[m']]], "")</f>
        <v/>
      </c>
      <c r="L308" s="107" t="str">
        <f>IFERROR(-(WHOLE_STRUCTURE[[#This Row],[D, bottom '[m']]]-WHOLE_STRUCTURE[[#This Row],[D, top '[m']]])/(WHOLE_STRUCTURE[[#This Row],[Bottom '[mLAT']]]-WHOLE_STRUCTURE[[#This Row],[Top '[mLAT']]]),"")</f>
        <v/>
      </c>
      <c r="M308" s="107" t="str">
        <f>IFERROR((WHOLE_STRUCTURE[[#This Row],[D, bottom '[m']]]+WHOLE_STRUCTURE[[#This Row],[D, top '[m']]])/(2*WHOLE_STRUCTURE[[#This Row],[t '[mm']]]/1000),"")</f>
        <v/>
      </c>
    </row>
    <row r="309" spans="10:13" x14ac:dyDescent="0.3">
      <c r="J309" s="107" t="str">
        <f>IF(7850/1000*(1/3)*PI()*ABS(E309-F309)*((G309/2)^2+(G309/2)*(H309/2)+(H309/2)^2-(G309/2-I309/1000)^2-(G309/2-I309/1000)*(H309/2-I309/1000)-(H309/2-I309/1000)^2)=0,"",7850/1000*(1/3)*PI()*ABS(E309-F309)*((G309/2)^2+(G309/2)*(H309/2)+(H309/2)^2-(G309/2-I309/1000)^2-(G309/2-I309/1000)*(H309/2-I309/1000)-(H309/2-I309/1000)^2))</f>
        <v/>
      </c>
      <c r="K309" s="107" t="str">
        <f>IFERROR(WHOLE_STRUCTURE[[#This Row],[Bottom '[mLAT']]]-WHOLE_STRUCTURE[[#This Row],[D, top '[m']]], "")</f>
        <v/>
      </c>
      <c r="L309" s="107" t="str">
        <f>IFERROR(-(WHOLE_STRUCTURE[[#This Row],[D, bottom '[m']]]-WHOLE_STRUCTURE[[#This Row],[D, top '[m']]])/(WHOLE_STRUCTURE[[#This Row],[Bottom '[mLAT']]]-WHOLE_STRUCTURE[[#This Row],[Top '[mLAT']]]),"")</f>
        <v/>
      </c>
      <c r="M309" s="107" t="str">
        <f>IFERROR((WHOLE_STRUCTURE[[#This Row],[D, bottom '[m']]]+WHOLE_STRUCTURE[[#This Row],[D, top '[m']]])/(2*WHOLE_STRUCTURE[[#This Row],[t '[mm']]]/1000),"")</f>
        <v/>
      </c>
    </row>
    <row r="310" spans="10:13" x14ac:dyDescent="0.3">
      <c r="J310" s="107" t="str">
        <f>IF(7850/1000*(1/3)*PI()*ABS(E310-F310)*((G310/2)^2+(G310/2)*(H310/2)+(H310/2)^2-(G310/2-I310/1000)^2-(G310/2-I310/1000)*(H310/2-I310/1000)-(H310/2-I310/1000)^2)=0,"",7850/1000*(1/3)*PI()*ABS(E310-F310)*((G310/2)^2+(G310/2)*(H310/2)+(H310/2)^2-(G310/2-I310/1000)^2-(G310/2-I310/1000)*(H310/2-I310/1000)-(H310/2-I310/1000)^2))</f>
        <v/>
      </c>
      <c r="K310" s="107" t="str">
        <f>IFERROR(WHOLE_STRUCTURE[[#This Row],[Bottom '[mLAT']]]-WHOLE_STRUCTURE[[#This Row],[D, top '[m']]], "")</f>
        <v/>
      </c>
      <c r="L310" s="107" t="str">
        <f>IFERROR(-(WHOLE_STRUCTURE[[#This Row],[D, bottom '[m']]]-WHOLE_STRUCTURE[[#This Row],[D, top '[m']]])/(WHOLE_STRUCTURE[[#This Row],[Bottom '[mLAT']]]-WHOLE_STRUCTURE[[#This Row],[Top '[mLAT']]]),"")</f>
        <v/>
      </c>
      <c r="M310" s="107" t="str">
        <f>IFERROR((WHOLE_STRUCTURE[[#This Row],[D, bottom '[m']]]+WHOLE_STRUCTURE[[#This Row],[D, top '[m']]])/(2*WHOLE_STRUCTURE[[#This Row],[t '[mm']]]/1000),"")</f>
        <v/>
      </c>
    </row>
    <row r="311" spans="10:13" x14ac:dyDescent="0.3">
      <c r="J311" s="107" t="str">
        <f>IF(7850/1000*(1/3)*PI()*ABS(E311-F311)*((G311/2)^2+(G311/2)*(H311/2)+(H311/2)^2-(G311/2-I311/1000)^2-(G311/2-I311/1000)*(H311/2-I311/1000)-(H311/2-I311/1000)^2)=0,"",7850/1000*(1/3)*PI()*ABS(E311-F311)*((G311/2)^2+(G311/2)*(H311/2)+(H311/2)^2-(G311/2-I311/1000)^2-(G311/2-I311/1000)*(H311/2-I311/1000)-(H311/2-I311/1000)^2))</f>
        <v/>
      </c>
      <c r="K311" s="107" t="str">
        <f>IFERROR(WHOLE_STRUCTURE[[#This Row],[Bottom '[mLAT']]]-WHOLE_STRUCTURE[[#This Row],[D, top '[m']]], "")</f>
        <v/>
      </c>
      <c r="L311" s="107" t="str">
        <f>IFERROR(-(WHOLE_STRUCTURE[[#This Row],[D, bottom '[m']]]-WHOLE_STRUCTURE[[#This Row],[D, top '[m']]])/(WHOLE_STRUCTURE[[#This Row],[Bottom '[mLAT']]]-WHOLE_STRUCTURE[[#This Row],[Top '[mLAT']]]),"")</f>
        <v/>
      </c>
      <c r="M311" s="107" t="str">
        <f>IFERROR((WHOLE_STRUCTURE[[#This Row],[D, bottom '[m']]]+WHOLE_STRUCTURE[[#This Row],[D, top '[m']]])/(2*WHOLE_STRUCTURE[[#This Row],[t '[mm']]]/1000),"")</f>
        <v/>
      </c>
    </row>
    <row r="312" spans="10:13" x14ac:dyDescent="0.3">
      <c r="J312" s="107" t="str">
        <f>IF(7850/1000*(1/3)*PI()*ABS(E312-F312)*((G312/2)^2+(G312/2)*(H312/2)+(H312/2)^2-(G312/2-I312/1000)^2-(G312/2-I312/1000)*(H312/2-I312/1000)-(H312/2-I312/1000)^2)=0,"",7850/1000*(1/3)*PI()*ABS(E312-F312)*((G312/2)^2+(G312/2)*(H312/2)+(H312/2)^2-(G312/2-I312/1000)^2-(G312/2-I312/1000)*(H312/2-I312/1000)-(H312/2-I312/1000)^2))</f>
        <v/>
      </c>
      <c r="K312" s="107" t="str">
        <f>IFERROR(WHOLE_STRUCTURE[[#This Row],[Bottom '[mLAT']]]-WHOLE_STRUCTURE[[#This Row],[D, top '[m']]], "")</f>
        <v/>
      </c>
      <c r="L312" s="107" t="str">
        <f>IFERROR(-(WHOLE_STRUCTURE[[#This Row],[D, bottom '[m']]]-WHOLE_STRUCTURE[[#This Row],[D, top '[m']]])/(WHOLE_STRUCTURE[[#This Row],[Bottom '[mLAT']]]-WHOLE_STRUCTURE[[#This Row],[Top '[mLAT']]]),"")</f>
        <v/>
      </c>
      <c r="M312" s="107" t="str">
        <f>IFERROR((WHOLE_STRUCTURE[[#This Row],[D, bottom '[m']]]+WHOLE_STRUCTURE[[#This Row],[D, top '[m']]])/(2*WHOLE_STRUCTURE[[#This Row],[t '[mm']]]/1000),"")</f>
        <v/>
      </c>
    </row>
    <row r="313" spans="10:13" x14ac:dyDescent="0.3">
      <c r="J313" s="107" t="str">
        <f>IF(7850/1000*(1/3)*PI()*ABS(E313-F313)*((G313/2)^2+(G313/2)*(H313/2)+(H313/2)^2-(G313/2-I313/1000)^2-(G313/2-I313/1000)*(H313/2-I313/1000)-(H313/2-I313/1000)^2)=0,"",7850/1000*(1/3)*PI()*ABS(E313-F313)*((G313/2)^2+(G313/2)*(H313/2)+(H313/2)^2-(G313/2-I313/1000)^2-(G313/2-I313/1000)*(H313/2-I313/1000)-(H313/2-I313/1000)^2))</f>
        <v/>
      </c>
      <c r="K313" s="107" t="str">
        <f>IFERROR(WHOLE_STRUCTURE[[#This Row],[Bottom '[mLAT']]]-WHOLE_STRUCTURE[[#This Row],[D, top '[m']]], "")</f>
        <v/>
      </c>
      <c r="L313" s="107" t="str">
        <f>IFERROR(-(WHOLE_STRUCTURE[[#This Row],[D, bottom '[m']]]-WHOLE_STRUCTURE[[#This Row],[D, top '[m']]])/(WHOLE_STRUCTURE[[#This Row],[Bottom '[mLAT']]]-WHOLE_STRUCTURE[[#This Row],[Top '[mLAT']]]),"")</f>
        <v/>
      </c>
      <c r="M313" s="107" t="str">
        <f>IFERROR((WHOLE_STRUCTURE[[#This Row],[D, bottom '[m']]]+WHOLE_STRUCTURE[[#This Row],[D, top '[m']]])/(2*WHOLE_STRUCTURE[[#This Row],[t '[mm']]]/1000),"")</f>
        <v/>
      </c>
    </row>
    <row r="314" spans="10:13" x14ac:dyDescent="0.3">
      <c r="J314" s="107" t="str">
        <f>IF(7850/1000*(1/3)*PI()*ABS(E314-F314)*((G314/2)^2+(G314/2)*(H314/2)+(H314/2)^2-(G314/2-I314/1000)^2-(G314/2-I314/1000)*(H314/2-I314/1000)-(H314/2-I314/1000)^2)=0,"",7850/1000*(1/3)*PI()*ABS(E314-F314)*((G314/2)^2+(G314/2)*(H314/2)+(H314/2)^2-(G314/2-I314/1000)^2-(G314/2-I314/1000)*(H314/2-I314/1000)-(H314/2-I314/1000)^2))</f>
        <v/>
      </c>
      <c r="K314" s="107" t="str">
        <f>IFERROR(WHOLE_STRUCTURE[[#This Row],[Bottom '[mLAT']]]-WHOLE_STRUCTURE[[#This Row],[D, top '[m']]], "")</f>
        <v/>
      </c>
      <c r="L314" s="107" t="str">
        <f>IFERROR(-(WHOLE_STRUCTURE[[#This Row],[D, bottom '[m']]]-WHOLE_STRUCTURE[[#This Row],[D, top '[m']]])/(WHOLE_STRUCTURE[[#This Row],[Bottom '[mLAT']]]-WHOLE_STRUCTURE[[#This Row],[Top '[mLAT']]]),"")</f>
        <v/>
      </c>
      <c r="M314" s="107" t="str">
        <f>IFERROR((WHOLE_STRUCTURE[[#This Row],[D, bottom '[m']]]+WHOLE_STRUCTURE[[#This Row],[D, top '[m']]])/(2*WHOLE_STRUCTURE[[#This Row],[t '[mm']]]/1000),"")</f>
        <v/>
      </c>
    </row>
    <row r="315" spans="10:13" x14ac:dyDescent="0.3">
      <c r="J315" s="107" t="str">
        <f>IF(7850/1000*(1/3)*PI()*ABS(E315-F315)*((G315/2)^2+(G315/2)*(H315/2)+(H315/2)^2-(G315/2-I315/1000)^2-(G315/2-I315/1000)*(H315/2-I315/1000)-(H315/2-I315/1000)^2)=0,"",7850/1000*(1/3)*PI()*ABS(E315-F315)*((G315/2)^2+(G315/2)*(H315/2)+(H315/2)^2-(G315/2-I315/1000)^2-(G315/2-I315/1000)*(H315/2-I315/1000)-(H315/2-I315/1000)^2))</f>
        <v/>
      </c>
      <c r="K315" s="107" t="str">
        <f>IFERROR(WHOLE_STRUCTURE[[#This Row],[Bottom '[mLAT']]]-WHOLE_STRUCTURE[[#This Row],[D, top '[m']]], "")</f>
        <v/>
      </c>
      <c r="L315" s="107" t="str">
        <f>IFERROR(-(WHOLE_STRUCTURE[[#This Row],[D, bottom '[m']]]-WHOLE_STRUCTURE[[#This Row],[D, top '[m']]])/(WHOLE_STRUCTURE[[#This Row],[Bottom '[mLAT']]]-WHOLE_STRUCTURE[[#This Row],[Top '[mLAT']]]),"")</f>
        <v/>
      </c>
      <c r="M315" s="107" t="str">
        <f>IFERROR((WHOLE_STRUCTURE[[#This Row],[D, bottom '[m']]]+WHOLE_STRUCTURE[[#This Row],[D, top '[m']]])/(2*WHOLE_STRUCTURE[[#This Row],[t '[mm']]]/1000),"")</f>
        <v/>
      </c>
    </row>
    <row r="316" spans="10:13" x14ac:dyDescent="0.3">
      <c r="J316" s="107" t="str">
        <f>IF(7850/1000*(1/3)*PI()*ABS(E316-F316)*((G316/2)^2+(G316/2)*(H316/2)+(H316/2)^2-(G316/2-I316/1000)^2-(G316/2-I316/1000)*(H316/2-I316/1000)-(H316/2-I316/1000)^2)=0,"",7850/1000*(1/3)*PI()*ABS(E316-F316)*((G316/2)^2+(G316/2)*(H316/2)+(H316/2)^2-(G316/2-I316/1000)^2-(G316/2-I316/1000)*(H316/2-I316/1000)-(H316/2-I316/1000)^2))</f>
        <v/>
      </c>
      <c r="K316" s="107" t="str">
        <f>IFERROR(WHOLE_STRUCTURE[[#This Row],[Bottom '[mLAT']]]-WHOLE_STRUCTURE[[#This Row],[D, top '[m']]], "")</f>
        <v/>
      </c>
      <c r="L316" s="107" t="str">
        <f>IFERROR(-(WHOLE_STRUCTURE[[#This Row],[D, bottom '[m']]]-WHOLE_STRUCTURE[[#This Row],[D, top '[m']]])/(WHOLE_STRUCTURE[[#This Row],[Bottom '[mLAT']]]-WHOLE_STRUCTURE[[#This Row],[Top '[mLAT']]]),"")</f>
        <v/>
      </c>
      <c r="M316" s="107" t="str">
        <f>IFERROR((WHOLE_STRUCTURE[[#This Row],[D, bottom '[m']]]+WHOLE_STRUCTURE[[#This Row],[D, top '[m']]])/(2*WHOLE_STRUCTURE[[#This Row],[t '[mm']]]/1000),"")</f>
        <v/>
      </c>
    </row>
    <row r="317" spans="10:13" x14ac:dyDescent="0.3">
      <c r="J317" s="107" t="str">
        <f>IF(7850/1000*(1/3)*PI()*ABS(E317-F317)*((G317/2)^2+(G317/2)*(H317/2)+(H317/2)^2-(G317/2-I317/1000)^2-(G317/2-I317/1000)*(H317/2-I317/1000)-(H317/2-I317/1000)^2)=0,"",7850/1000*(1/3)*PI()*ABS(E317-F317)*((G317/2)^2+(G317/2)*(H317/2)+(H317/2)^2-(G317/2-I317/1000)^2-(G317/2-I317/1000)*(H317/2-I317/1000)-(H317/2-I317/1000)^2))</f>
        <v/>
      </c>
      <c r="K317" s="107" t="str">
        <f>IFERROR(WHOLE_STRUCTURE[[#This Row],[Bottom '[mLAT']]]-WHOLE_STRUCTURE[[#This Row],[D, top '[m']]], "")</f>
        <v/>
      </c>
      <c r="L317" s="107" t="str">
        <f>IFERROR(-(WHOLE_STRUCTURE[[#This Row],[D, bottom '[m']]]-WHOLE_STRUCTURE[[#This Row],[D, top '[m']]])/(WHOLE_STRUCTURE[[#This Row],[Bottom '[mLAT']]]-WHOLE_STRUCTURE[[#This Row],[Top '[mLAT']]]),"")</f>
        <v/>
      </c>
      <c r="M317" s="107" t="str">
        <f>IFERROR((WHOLE_STRUCTURE[[#This Row],[D, bottom '[m']]]+WHOLE_STRUCTURE[[#This Row],[D, top '[m']]])/(2*WHOLE_STRUCTURE[[#This Row],[t '[mm']]]/1000),"")</f>
        <v/>
      </c>
    </row>
    <row r="318" spans="10:13" x14ac:dyDescent="0.3">
      <c r="J318" s="107" t="str">
        <f>IF(7850/1000*(1/3)*PI()*ABS(E318-F318)*((G318/2)^2+(G318/2)*(H318/2)+(H318/2)^2-(G318/2-I318/1000)^2-(G318/2-I318/1000)*(H318/2-I318/1000)-(H318/2-I318/1000)^2)=0,"",7850/1000*(1/3)*PI()*ABS(E318-F318)*((G318/2)^2+(G318/2)*(H318/2)+(H318/2)^2-(G318/2-I318/1000)^2-(G318/2-I318/1000)*(H318/2-I318/1000)-(H318/2-I318/1000)^2))</f>
        <v/>
      </c>
      <c r="K318" s="107" t="str">
        <f>IFERROR(WHOLE_STRUCTURE[[#This Row],[Bottom '[mLAT']]]-WHOLE_STRUCTURE[[#This Row],[D, top '[m']]], "")</f>
        <v/>
      </c>
      <c r="L318" s="107" t="str">
        <f>IFERROR(-(WHOLE_STRUCTURE[[#This Row],[D, bottom '[m']]]-WHOLE_STRUCTURE[[#This Row],[D, top '[m']]])/(WHOLE_STRUCTURE[[#This Row],[Bottom '[mLAT']]]-WHOLE_STRUCTURE[[#This Row],[Top '[mLAT']]]),"")</f>
        <v/>
      </c>
      <c r="M318" s="107" t="str">
        <f>IFERROR((WHOLE_STRUCTURE[[#This Row],[D, bottom '[m']]]+WHOLE_STRUCTURE[[#This Row],[D, top '[m']]])/(2*WHOLE_STRUCTURE[[#This Row],[t '[mm']]]/1000),"")</f>
        <v/>
      </c>
    </row>
    <row r="319" spans="10:13" x14ac:dyDescent="0.3">
      <c r="J319" s="107" t="str">
        <f>IF(7850/1000*(1/3)*PI()*ABS(E319-F319)*((G319/2)^2+(G319/2)*(H319/2)+(H319/2)^2-(G319/2-I319/1000)^2-(G319/2-I319/1000)*(H319/2-I319/1000)-(H319/2-I319/1000)^2)=0,"",7850/1000*(1/3)*PI()*ABS(E319-F319)*((G319/2)^2+(G319/2)*(H319/2)+(H319/2)^2-(G319/2-I319/1000)^2-(G319/2-I319/1000)*(H319/2-I319/1000)-(H319/2-I319/1000)^2))</f>
        <v/>
      </c>
      <c r="K319" s="107" t="str">
        <f>IFERROR(WHOLE_STRUCTURE[[#This Row],[Bottom '[mLAT']]]-WHOLE_STRUCTURE[[#This Row],[D, top '[m']]], "")</f>
        <v/>
      </c>
      <c r="L319" s="107" t="str">
        <f>IFERROR(-(WHOLE_STRUCTURE[[#This Row],[D, bottom '[m']]]-WHOLE_STRUCTURE[[#This Row],[D, top '[m']]])/(WHOLE_STRUCTURE[[#This Row],[Bottom '[mLAT']]]-WHOLE_STRUCTURE[[#This Row],[Top '[mLAT']]]),"")</f>
        <v/>
      </c>
      <c r="M319" s="107" t="str">
        <f>IFERROR((WHOLE_STRUCTURE[[#This Row],[D, bottom '[m']]]+WHOLE_STRUCTURE[[#This Row],[D, top '[m']]])/(2*WHOLE_STRUCTURE[[#This Row],[t '[mm']]]/1000),"")</f>
        <v/>
      </c>
    </row>
    <row r="320" spans="10:13" x14ac:dyDescent="0.3">
      <c r="J320" s="107" t="str">
        <f>IF(7850/1000*(1/3)*PI()*ABS(E320-F320)*((G320/2)^2+(G320/2)*(H320/2)+(H320/2)^2-(G320/2-I320/1000)^2-(G320/2-I320/1000)*(H320/2-I320/1000)-(H320/2-I320/1000)^2)=0,"",7850/1000*(1/3)*PI()*ABS(E320-F320)*((G320/2)^2+(G320/2)*(H320/2)+(H320/2)^2-(G320/2-I320/1000)^2-(G320/2-I320/1000)*(H320/2-I320/1000)-(H320/2-I320/1000)^2))</f>
        <v/>
      </c>
      <c r="K320" s="107" t="str">
        <f>IFERROR(WHOLE_STRUCTURE[[#This Row],[Bottom '[mLAT']]]-WHOLE_STRUCTURE[[#This Row],[D, top '[m']]], "")</f>
        <v/>
      </c>
      <c r="L320" s="107" t="str">
        <f>IFERROR(-(WHOLE_STRUCTURE[[#This Row],[D, bottom '[m']]]-WHOLE_STRUCTURE[[#This Row],[D, top '[m']]])/(WHOLE_STRUCTURE[[#This Row],[Bottom '[mLAT']]]-WHOLE_STRUCTURE[[#This Row],[Top '[mLAT']]]),"")</f>
        <v/>
      </c>
      <c r="M320" s="107" t="str">
        <f>IFERROR((WHOLE_STRUCTURE[[#This Row],[D, bottom '[m']]]+WHOLE_STRUCTURE[[#This Row],[D, top '[m']]])/(2*WHOLE_STRUCTURE[[#This Row],[t '[mm']]]/1000),"")</f>
        <v/>
      </c>
    </row>
    <row r="321" spans="10:13" x14ac:dyDescent="0.3">
      <c r="J321" s="107" t="str">
        <f>IF(7850/1000*(1/3)*PI()*ABS(E321-F321)*((G321/2)^2+(G321/2)*(H321/2)+(H321/2)^2-(G321/2-I321/1000)^2-(G321/2-I321/1000)*(H321/2-I321/1000)-(H321/2-I321/1000)^2)=0,"",7850/1000*(1/3)*PI()*ABS(E321-F321)*((G321/2)^2+(G321/2)*(H321/2)+(H321/2)^2-(G321/2-I321/1000)^2-(G321/2-I321/1000)*(H321/2-I321/1000)-(H321/2-I321/1000)^2))</f>
        <v/>
      </c>
      <c r="K321" s="107" t="str">
        <f>IFERROR(WHOLE_STRUCTURE[[#This Row],[Bottom '[mLAT']]]-WHOLE_STRUCTURE[[#This Row],[D, top '[m']]], "")</f>
        <v/>
      </c>
      <c r="L321" s="107" t="str">
        <f>IFERROR(-(WHOLE_STRUCTURE[[#This Row],[D, bottom '[m']]]-WHOLE_STRUCTURE[[#This Row],[D, top '[m']]])/(WHOLE_STRUCTURE[[#This Row],[Bottom '[mLAT']]]-WHOLE_STRUCTURE[[#This Row],[Top '[mLAT']]]),"")</f>
        <v/>
      </c>
      <c r="M321" s="107" t="str">
        <f>IFERROR((WHOLE_STRUCTURE[[#This Row],[D, bottom '[m']]]+WHOLE_STRUCTURE[[#This Row],[D, top '[m']]])/(2*WHOLE_STRUCTURE[[#This Row],[t '[mm']]]/1000),"")</f>
        <v/>
      </c>
    </row>
    <row r="322" spans="10:13" x14ac:dyDescent="0.3">
      <c r="J322" s="107" t="str">
        <f>IF(7850/1000*(1/3)*PI()*ABS(E322-F322)*((G322/2)^2+(G322/2)*(H322/2)+(H322/2)^2-(G322/2-I322/1000)^2-(G322/2-I322/1000)*(H322/2-I322/1000)-(H322/2-I322/1000)^2)=0,"",7850/1000*(1/3)*PI()*ABS(E322-F322)*((G322/2)^2+(G322/2)*(H322/2)+(H322/2)^2-(G322/2-I322/1000)^2-(G322/2-I322/1000)*(H322/2-I322/1000)-(H322/2-I322/1000)^2))</f>
        <v/>
      </c>
      <c r="K322" s="107" t="str">
        <f>IFERROR(WHOLE_STRUCTURE[[#This Row],[Bottom '[mLAT']]]-WHOLE_STRUCTURE[[#This Row],[D, top '[m']]], "")</f>
        <v/>
      </c>
      <c r="L322" s="107" t="str">
        <f>IFERROR(-(WHOLE_STRUCTURE[[#This Row],[D, bottom '[m']]]-WHOLE_STRUCTURE[[#This Row],[D, top '[m']]])/(WHOLE_STRUCTURE[[#This Row],[Bottom '[mLAT']]]-WHOLE_STRUCTURE[[#This Row],[Top '[mLAT']]]),"")</f>
        <v/>
      </c>
      <c r="M322" s="107" t="str">
        <f>IFERROR((WHOLE_STRUCTURE[[#This Row],[D, bottom '[m']]]+WHOLE_STRUCTURE[[#This Row],[D, top '[m']]])/(2*WHOLE_STRUCTURE[[#This Row],[t '[mm']]]/1000),"")</f>
        <v/>
      </c>
    </row>
    <row r="323" spans="10:13" x14ac:dyDescent="0.3">
      <c r="J323" s="107" t="str">
        <f>IF(7850/1000*(1/3)*PI()*ABS(E323-F323)*((G323/2)^2+(G323/2)*(H323/2)+(H323/2)^2-(G323/2-I323/1000)^2-(G323/2-I323/1000)*(H323/2-I323/1000)-(H323/2-I323/1000)^2)=0,"",7850/1000*(1/3)*PI()*ABS(E323-F323)*((G323/2)^2+(G323/2)*(H323/2)+(H323/2)^2-(G323/2-I323/1000)^2-(G323/2-I323/1000)*(H323/2-I323/1000)-(H323/2-I323/1000)^2))</f>
        <v/>
      </c>
      <c r="K323" s="107" t="str">
        <f>IFERROR(WHOLE_STRUCTURE[[#This Row],[Bottom '[mLAT']]]-WHOLE_STRUCTURE[[#This Row],[D, top '[m']]], "")</f>
        <v/>
      </c>
      <c r="L323" s="107" t="str">
        <f>IFERROR(-(WHOLE_STRUCTURE[[#This Row],[D, bottom '[m']]]-WHOLE_STRUCTURE[[#This Row],[D, top '[m']]])/(WHOLE_STRUCTURE[[#This Row],[Bottom '[mLAT']]]-WHOLE_STRUCTURE[[#This Row],[Top '[mLAT']]]),"")</f>
        <v/>
      </c>
      <c r="M323" s="107" t="str">
        <f>IFERROR((WHOLE_STRUCTURE[[#This Row],[D, bottom '[m']]]+WHOLE_STRUCTURE[[#This Row],[D, top '[m']]])/(2*WHOLE_STRUCTURE[[#This Row],[t '[mm']]]/1000),"")</f>
        <v/>
      </c>
    </row>
    <row r="324" spans="10:13" x14ac:dyDescent="0.3">
      <c r="J324" s="107" t="str">
        <f>IF(7850/1000*(1/3)*PI()*ABS(E324-F324)*((G324/2)^2+(G324/2)*(H324/2)+(H324/2)^2-(G324/2-I324/1000)^2-(G324/2-I324/1000)*(H324/2-I324/1000)-(H324/2-I324/1000)^2)=0,"",7850/1000*(1/3)*PI()*ABS(E324-F324)*((G324/2)^2+(G324/2)*(H324/2)+(H324/2)^2-(G324/2-I324/1000)^2-(G324/2-I324/1000)*(H324/2-I324/1000)-(H324/2-I324/1000)^2))</f>
        <v/>
      </c>
      <c r="K324" s="107" t="str">
        <f>IFERROR(WHOLE_STRUCTURE[[#This Row],[Bottom '[mLAT']]]-WHOLE_STRUCTURE[[#This Row],[D, top '[m']]], "")</f>
        <v/>
      </c>
      <c r="L324" s="107" t="str">
        <f>IFERROR(-(WHOLE_STRUCTURE[[#This Row],[D, bottom '[m']]]-WHOLE_STRUCTURE[[#This Row],[D, top '[m']]])/(WHOLE_STRUCTURE[[#This Row],[Bottom '[mLAT']]]-WHOLE_STRUCTURE[[#This Row],[Top '[mLAT']]]),"")</f>
        <v/>
      </c>
      <c r="M324" s="107" t="str">
        <f>IFERROR((WHOLE_STRUCTURE[[#This Row],[D, bottom '[m']]]+WHOLE_STRUCTURE[[#This Row],[D, top '[m']]])/(2*WHOLE_STRUCTURE[[#This Row],[t '[mm']]]/1000),"")</f>
        <v/>
      </c>
    </row>
    <row r="325" spans="10:13" x14ac:dyDescent="0.3">
      <c r="J325" s="107" t="str">
        <f>IF(7850/1000*(1/3)*PI()*ABS(E325-F325)*((G325/2)^2+(G325/2)*(H325/2)+(H325/2)^2-(G325/2-I325/1000)^2-(G325/2-I325/1000)*(H325/2-I325/1000)-(H325/2-I325/1000)^2)=0,"",7850/1000*(1/3)*PI()*ABS(E325-F325)*((G325/2)^2+(G325/2)*(H325/2)+(H325/2)^2-(G325/2-I325/1000)^2-(G325/2-I325/1000)*(H325/2-I325/1000)-(H325/2-I325/1000)^2))</f>
        <v/>
      </c>
      <c r="K325" s="107" t="str">
        <f>IFERROR(WHOLE_STRUCTURE[[#This Row],[Bottom '[mLAT']]]-WHOLE_STRUCTURE[[#This Row],[D, top '[m']]], "")</f>
        <v/>
      </c>
      <c r="L325" s="107" t="str">
        <f>IFERROR(-(WHOLE_STRUCTURE[[#This Row],[D, bottom '[m']]]-WHOLE_STRUCTURE[[#This Row],[D, top '[m']]])/(WHOLE_STRUCTURE[[#This Row],[Bottom '[mLAT']]]-WHOLE_STRUCTURE[[#This Row],[Top '[mLAT']]]),"")</f>
        <v/>
      </c>
      <c r="M325" s="107" t="str">
        <f>IFERROR((WHOLE_STRUCTURE[[#This Row],[D, bottom '[m']]]+WHOLE_STRUCTURE[[#This Row],[D, top '[m']]])/(2*WHOLE_STRUCTURE[[#This Row],[t '[mm']]]/1000),"")</f>
        <v/>
      </c>
    </row>
    <row r="326" spans="10:13" x14ac:dyDescent="0.3">
      <c r="J326" s="107" t="str">
        <f>IF(7850/1000*(1/3)*PI()*ABS(E326-F326)*((G326/2)^2+(G326/2)*(H326/2)+(H326/2)^2-(G326/2-I326/1000)^2-(G326/2-I326/1000)*(H326/2-I326/1000)-(H326/2-I326/1000)^2)=0,"",7850/1000*(1/3)*PI()*ABS(E326-F326)*((G326/2)^2+(G326/2)*(H326/2)+(H326/2)^2-(G326/2-I326/1000)^2-(G326/2-I326/1000)*(H326/2-I326/1000)-(H326/2-I326/1000)^2))</f>
        <v/>
      </c>
      <c r="K326" s="107" t="str">
        <f>IFERROR(WHOLE_STRUCTURE[[#This Row],[Bottom '[mLAT']]]-WHOLE_STRUCTURE[[#This Row],[D, top '[m']]], "")</f>
        <v/>
      </c>
      <c r="L326" s="107" t="str">
        <f>IFERROR(-(WHOLE_STRUCTURE[[#This Row],[D, bottom '[m']]]-WHOLE_STRUCTURE[[#This Row],[D, top '[m']]])/(WHOLE_STRUCTURE[[#This Row],[Bottom '[mLAT']]]-WHOLE_STRUCTURE[[#This Row],[Top '[mLAT']]]),"")</f>
        <v/>
      </c>
      <c r="M326" s="107" t="str">
        <f>IFERROR((WHOLE_STRUCTURE[[#This Row],[D, bottom '[m']]]+WHOLE_STRUCTURE[[#This Row],[D, top '[m']]])/(2*WHOLE_STRUCTURE[[#This Row],[t '[mm']]]/1000),"")</f>
        <v/>
      </c>
    </row>
    <row r="327" spans="10:13" x14ac:dyDescent="0.3">
      <c r="J327" s="107" t="str">
        <f>IF(7850/1000*(1/3)*PI()*ABS(E327-F327)*((G327/2)^2+(G327/2)*(H327/2)+(H327/2)^2-(G327/2-I327/1000)^2-(G327/2-I327/1000)*(H327/2-I327/1000)-(H327/2-I327/1000)^2)=0,"",7850/1000*(1/3)*PI()*ABS(E327-F327)*((G327/2)^2+(G327/2)*(H327/2)+(H327/2)^2-(G327/2-I327/1000)^2-(G327/2-I327/1000)*(H327/2-I327/1000)-(H327/2-I327/1000)^2))</f>
        <v/>
      </c>
      <c r="K327" s="107" t="str">
        <f>IFERROR(WHOLE_STRUCTURE[[#This Row],[Bottom '[mLAT']]]-WHOLE_STRUCTURE[[#This Row],[D, top '[m']]], "")</f>
        <v/>
      </c>
      <c r="L327" s="107" t="str">
        <f>IFERROR(-(WHOLE_STRUCTURE[[#This Row],[D, bottom '[m']]]-WHOLE_STRUCTURE[[#This Row],[D, top '[m']]])/(WHOLE_STRUCTURE[[#This Row],[Bottom '[mLAT']]]-WHOLE_STRUCTURE[[#This Row],[Top '[mLAT']]]),"")</f>
        <v/>
      </c>
      <c r="M327" s="107" t="str">
        <f>IFERROR((WHOLE_STRUCTURE[[#This Row],[D, bottom '[m']]]+WHOLE_STRUCTURE[[#This Row],[D, top '[m']]])/(2*WHOLE_STRUCTURE[[#This Row],[t '[mm']]]/1000),"")</f>
        <v/>
      </c>
    </row>
    <row r="328" spans="10:13" x14ac:dyDescent="0.3">
      <c r="J328" s="107" t="str">
        <f>IF(7850/1000*(1/3)*PI()*ABS(E328-F328)*((G328/2)^2+(G328/2)*(H328/2)+(H328/2)^2-(G328/2-I328/1000)^2-(G328/2-I328/1000)*(H328/2-I328/1000)-(H328/2-I328/1000)^2)=0,"",7850/1000*(1/3)*PI()*ABS(E328-F328)*((G328/2)^2+(G328/2)*(H328/2)+(H328/2)^2-(G328/2-I328/1000)^2-(G328/2-I328/1000)*(H328/2-I328/1000)-(H328/2-I328/1000)^2))</f>
        <v/>
      </c>
      <c r="K328" s="107" t="str">
        <f>IFERROR(WHOLE_STRUCTURE[[#This Row],[Bottom '[mLAT']]]-WHOLE_STRUCTURE[[#This Row],[D, top '[m']]], "")</f>
        <v/>
      </c>
      <c r="L328" s="107" t="str">
        <f>IFERROR(-(WHOLE_STRUCTURE[[#This Row],[D, bottom '[m']]]-WHOLE_STRUCTURE[[#This Row],[D, top '[m']]])/(WHOLE_STRUCTURE[[#This Row],[Bottom '[mLAT']]]-WHOLE_STRUCTURE[[#This Row],[Top '[mLAT']]]),"")</f>
        <v/>
      </c>
      <c r="M328" s="107" t="str">
        <f>IFERROR((WHOLE_STRUCTURE[[#This Row],[D, bottom '[m']]]+WHOLE_STRUCTURE[[#This Row],[D, top '[m']]])/(2*WHOLE_STRUCTURE[[#This Row],[t '[mm']]]/1000),"")</f>
        <v/>
      </c>
    </row>
    <row r="329" spans="10:13" x14ac:dyDescent="0.3">
      <c r="J329" s="107" t="str">
        <f>IF(7850/1000*(1/3)*PI()*ABS(E329-F329)*((G329/2)^2+(G329/2)*(H329/2)+(H329/2)^2-(G329/2-I329/1000)^2-(G329/2-I329/1000)*(H329/2-I329/1000)-(H329/2-I329/1000)^2)=0,"",7850/1000*(1/3)*PI()*ABS(E329-F329)*((G329/2)^2+(G329/2)*(H329/2)+(H329/2)^2-(G329/2-I329/1000)^2-(G329/2-I329/1000)*(H329/2-I329/1000)-(H329/2-I329/1000)^2))</f>
        <v/>
      </c>
      <c r="K329" s="107" t="str">
        <f>IFERROR(WHOLE_STRUCTURE[[#This Row],[Bottom '[mLAT']]]-WHOLE_STRUCTURE[[#This Row],[D, top '[m']]], "")</f>
        <v/>
      </c>
      <c r="L329" s="107" t="str">
        <f>IFERROR(-(WHOLE_STRUCTURE[[#This Row],[D, bottom '[m']]]-WHOLE_STRUCTURE[[#This Row],[D, top '[m']]])/(WHOLE_STRUCTURE[[#This Row],[Bottom '[mLAT']]]-WHOLE_STRUCTURE[[#This Row],[Top '[mLAT']]]),"")</f>
        <v/>
      </c>
      <c r="M329" s="107" t="str">
        <f>IFERROR((WHOLE_STRUCTURE[[#This Row],[D, bottom '[m']]]+WHOLE_STRUCTURE[[#This Row],[D, top '[m']]])/(2*WHOLE_STRUCTURE[[#This Row],[t '[mm']]]/1000),"")</f>
        <v/>
      </c>
    </row>
    <row r="330" spans="10:13" x14ac:dyDescent="0.3">
      <c r="J330" s="107" t="str">
        <f>IF(7850/1000*(1/3)*PI()*ABS(E330-F330)*((G330/2)^2+(G330/2)*(H330/2)+(H330/2)^2-(G330/2-I330/1000)^2-(G330/2-I330/1000)*(H330/2-I330/1000)-(H330/2-I330/1000)^2)=0,"",7850/1000*(1/3)*PI()*ABS(E330-F330)*((G330/2)^2+(G330/2)*(H330/2)+(H330/2)^2-(G330/2-I330/1000)^2-(G330/2-I330/1000)*(H330/2-I330/1000)-(H330/2-I330/1000)^2))</f>
        <v/>
      </c>
      <c r="K330" s="107" t="str">
        <f>IFERROR(WHOLE_STRUCTURE[[#This Row],[Bottom '[mLAT']]]-WHOLE_STRUCTURE[[#This Row],[D, top '[m']]], "")</f>
        <v/>
      </c>
      <c r="L330" s="107" t="str">
        <f>IFERROR(-(WHOLE_STRUCTURE[[#This Row],[D, bottom '[m']]]-WHOLE_STRUCTURE[[#This Row],[D, top '[m']]])/(WHOLE_STRUCTURE[[#This Row],[Bottom '[mLAT']]]-WHOLE_STRUCTURE[[#This Row],[Top '[mLAT']]]),"")</f>
        <v/>
      </c>
      <c r="M330" s="107" t="str">
        <f>IFERROR((WHOLE_STRUCTURE[[#This Row],[D, bottom '[m']]]+WHOLE_STRUCTURE[[#This Row],[D, top '[m']]])/(2*WHOLE_STRUCTURE[[#This Row],[t '[mm']]]/1000),"")</f>
        <v/>
      </c>
    </row>
    <row r="331" spans="10:13" x14ac:dyDescent="0.3">
      <c r="J331" s="107" t="str">
        <f>IF(7850/1000*(1/3)*PI()*ABS(E331-F331)*((G331/2)^2+(G331/2)*(H331/2)+(H331/2)^2-(G331/2-I331/1000)^2-(G331/2-I331/1000)*(H331/2-I331/1000)-(H331/2-I331/1000)^2)=0,"",7850/1000*(1/3)*PI()*ABS(E331-F331)*((G331/2)^2+(G331/2)*(H331/2)+(H331/2)^2-(G331/2-I331/1000)^2-(G331/2-I331/1000)*(H331/2-I331/1000)-(H331/2-I331/1000)^2))</f>
        <v/>
      </c>
      <c r="K331" s="107" t="str">
        <f>IFERROR(WHOLE_STRUCTURE[[#This Row],[Bottom '[mLAT']]]-WHOLE_STRUCTURE[[#This Row],[D, top '[m']]], "")</f>
        <v/>
      </c>
      <c r="L331" s="107" t="str">
        <f>IFERROR(-(WHOLE_STRUCTURE[[#This Row],[D, bottom '[m']]]-WHOLE_STRUCTURE[[#This Row],[D, top '[m']]])/(WHOLE_STRUCTURE[[#This Row],[Bottom '[mLAT']]]-WHOLE_STRUCTURE[[#This Row],[Top '[mLAT']]]),"")</f>
        <v/>
      </c>
      <c r="M331" s="107" t="str">
        <f>IFERROR((WHOLE_STRUCTURE[[#This Row],[D, bottom '[m']]]+WHOLE_STRUCTURE[[#This Row],[D, top '[m']]])/(2*WHOLE_STRUCTURE[[#This Row],[t '[mm']]]/1000),"")</f>
        <v/>
      </c>
    </row>
    <row r="332" spans="10:13" x14ac:dyDescent="0.3">
      <c r="J332" s="107" t="str">
        <f>IF(7850/1000*(1/3)*PI()*ABS(E332-F332)*((G332/2)^2+(G332/2)*(H332/2)+(H332/2)^2-(G332/2-I332/1000)^2-(G332/2-I332/1000)*(H332/2-I332/1000)-(H332/2-I332/1000)^2)=0,"",7850/1000*(1/3)*PI()*ABS(E332-F332)*((G332/2)^2+(G332/2)*(H332/2)+(H332/2)^2-(G332/2-I332/1000)^2-(G332/2-I332/1000)*(H332/2-I332/1000)-(H332/2-I332/1000)^2))</f>
        <v/>
      </c>
      <c r="K332" s="107" t="str">
        <f>IFERROR(WHOLE_STRUCTURE[[#This Row],[Bottom '[mLAT']]]-WHOLE_STRUCTURE[[#This Row],[D, top '[m']]], "")</f>
        <v/>
      </c>
      <c r="L332" s="107" t="str">
        <f>IFERROR(-(WHOLE_STRUCTURE[[#This Row],[D, bottom '[m']]]-WHOLE_STRUCTURE[[#This Row],[D, top '[m']]])/(WHOLE_STRUCTURE[[#This Row],[Bottom '[mLAT']]]-WHOLE_STRUCTURE[[#This Row],[Top '[mLAT']]]),"")</f>
        <v/>
      </c>
      <c r="M332" s="107" t="str">
        <f>IFERROR((WHOLE_STRUCTURE[[#This Row],[D, bottom '[m']]]+WHOLE_STRUCTURE[[#This Row],[D, top '[m']]])/(2*WHOLE_STRUCTURE[[#This Row],[t '[mm']]]/1000),"")</f>
        <v/>
      </c>
    </row>
    <row r="333" spans="10:13" x14ac:dyDescent="0.3">
      <c r="J333" s="107" t="str">
        <f>IF(7850/1000*(1/3)*PI()*ABS(E333-F333)*((G333/2)^2+(G333/2)*(H333/2)+(H333/2)^2-(G333/2-I333/1000)^2-(G333/2-I333/1000)*(H333/2-I333/1000)-(H333/2-I333/1000)^2)=0,"",7850/1000*(1/3)*PI()*ABS(E333-F333)*((G333/2)^2+(G333/2)*(H333/2)+(H333/2)^2-(G333/2-I333/1000)^2-(G333/2-I333/1000)*(H333/2-I333/1000)-(H333/2-I333/1000)^2))</f>
        <v/>
      </c>
      <c r="K333" s="107" t="str">
        <f>IFERROR(WHOLE_STRUCTURE[[#This Row],[Bottom '[mLAT']]]-WHOLE_STRUCTURE[[#This Row],[D, top '[m']]], "")</f>
        <v/>
      </c>
      <c r="L333" s="107" t="str">
        <f>IFERROR(-(WHOLE_STRUCTURE[[#This Row],[D, bottom '[m']]]-WHOLE_STRUCTURE[[#This Row],[D, top '[m']]])/(WHOLE_STRUCTURE[[#This Row],[Bottom '[mLAT']]]-WHOLE_STRUCTURE[[#This Row],[Top '[mLAT']]]),"")</f>
        <v/>
      </c>
      <c r="M333" s="107" t="str">
        <f>IFERROR((WHOLE_STRUCTURE[[#This Row],[D, bottom '[m']]]+WHOLE_STRUCTURE[[#This Row],[D, top '[m']]])/(2*WHOLE_STRUCTURE[[#This Row],[t '[mm']]]/1000),"")</f>
        <v/>
      </c>
    </row>
    <row r="334" spans="10:13" x14ac:dyDescent="0.3">
      <c r="J334" s="107" t="str">
        <f>IF(7850/1000*(1/3)*PI()*ABS(E334-F334)*((G334/2)^2+(G334/2)*(H334/2)+(H334/2)^2-(G334/2-I334/1000)^2-(G334/2-I334/1000)*(H334/2-I334/1000)-(H334/2-I334/1000)^2)=0,"",7850/1000*(1/3)*PI()*ABS(E334-F334)*((G334/2)^2+(G334/2)*(H334/2)+(H334/2)^2-(G334/2-I334/1000)^2-(G334/2-I334/1000)*(H334/2-I334/1000)-(H334/2-I334/1000)^2))</f>
        <v/>
      </c>
      <c r="K334" s="107" t="str">
        <f>IFERROR(WHOLE_STRUCTURE[[#This Row],[Bottom '[mLAT']]]-WHOLE_STRUCTURE[[#This Row],[D, top '[m']]], "")</f>
        <v/>
      </c>
      <c r="L334" s="107" t="str">
        <f>IFERROR(-(WHOLE_STRUCTURE[[#This Row],[D, bottom '[m']]]-WHOLE_STRUCTURE[[#This Row],[D, top '[m']]])/(WHOLE_STRUCTURE[[#This Row],[Bottom '[mLAT']]]-WHOLE_STRUCTURE[[#This Row],[Top '[mLAT']]]),"")</f>
        <v/>
      </c>
      <c r="M334" s="107" t="str">
        <f>IFERROR((WHOLE_STRUCTURE[[#This Row],[D, bottom '[m']]]+WHOLE_STRUCTURE[[#This Row],[D, top '[m']]])/(2*WHOLE_STRUCTURE[[#This Row],[t '[mm']]]/1000),"")</f>
        <v/>
      </c>
    </row>
    <row r="335" spans="10:13" x14ac:dyDescent="0.3">
      <c r="J335" s="107" t="str">
        <f>IF(7850/1000*(1/3)*PI()*ABS(E335-F335)*((G335/2)^2+(G335/2)*(H335/2)+(H335/2)^2-(G335/2-I335/1000)^2-(G335/2-I335/1000)*(H335/2-I335/1000)-(H335/2-I335/1000)^2)=0,"",7850/1000*(1/3)*PI()*ABS(E335-F335)*((G335/2)^2+(G335/2)*(H335/2)+(H335/2)^2-(G335/2-I335/1000)^2-(G335/2-I335/1000)*(H335/2-I335/1000)-(H335/2-I335/1000)^2))</f>
        <v/>
      </c>
      <c r="K335" s="107" t="str">
        <f>IFERROR(WHOLE_STRUCTURE[[#This Row],[Bottom '[mLAT']]]-WHOLE_STRUCTURE[[#This Row],[D, top '[m']]], "")</f>
        <v/>
      </c>
      <c r="L335" s="107" t="str">
        <f>IFERROR(-(WHOLE_STRUCTURE[[#This Row],[D, bottom '[m']]]-WHOLE_STRUCTURE[[#This Row],[D, top '[m']]])/(WHOLE_STRUCTURE[[#This Row],[Bottom '[mLAT']]]-WHOLE_STRUCTURE[[#This Row],[Top '[mLAT']]]),"")</f>
        <v/>
      </c>
      <c r="M335" s="107" t="str">
        <f>IFERROR((WHOLE_STRUCTURE[[#This Row],[D, bottom '[m']]]+WHOLE_STRUCTURE[[#This Row],[D, top '[m']]])/(2*WHOLE_STRUCTURE[[#This Row],[t '[mm']]]/1000),"")</f>
        <v/>
      </c>
    </row>
    <row r="336" spans="10:13" x14ac:dyDescent="0.3">
      <c r="J336" s="107" t="str">
        <f>IF(7850/1000*(1/3)*PI()*ABS(E336-F336)*((G336/2)^2+(G336/2)*(H336/2)+(H336/2)^2-(G336/2-I336/1000)^2-(G336/2-I336/1000)*(H336/2-I336/1000)-(H336/2-I336/1000)^2)=0,"",7850/1000*(1/3)*PI()*ABS(E336-F336)*((G336/2)^2+(G336/2)*(H336/2)+(H336/2)^2-(G336/2-I336/1000)^2-(G336/2-I336/1000)*(H336/2-I336/1000)-(H336/2-I336/1000)^2))</f>
        <v/>
      </c>
      <c r="K336" s="107" t="str">
        <f>IFERROR(WHOLE_STRUCTURE[[#This Row],[Bottom '[mLAT']]]-WHOLE_STRUCTURE[[#This Row],[D, top '[m']]], "")</f>
        <v/>
      </c>
      <c r="L336" s="107" t="str">
        <f>IFERROR(-(WHOLE_STRUCTURE[[#This Row],[D, bottom '[m']]]-WHOLE_STRUCTURE[[#This Row],[D, top '[m']]])/(WHOLE_STRUCTURE[[#This Row],[Bottom '[mLAT']]]-WHOLE_STRUCTURE[[#This Row],[Top '[mLAT']]]),"")</f>
        <v/>
      </c>
      <c r="M336" s="107" t="str">
        <f>IFERROR((WHOLE_STRUCTURE[[#This Row],[D, bottom '[m']]]+WHOLE_STRUCTURE[[#This Row],[D, top '[m']]])/(2*WHOLE_STRUCTURE[[#This Row],[t '[mm']]]/1000),"")</f>
        <v/>
      </c>
    </row>
    <row r="337" spans="10:13" x14ac:dyDescent="0.3">
      <c r="J337" s="107" t="str">
        <f>IF(7850/1000*(1/3)*PI()*ABS(E337-F337)*((G337/2)^2+(G337/2)*(H337/2)+(H337/2)^2-(G337/2-I337/1000)^2-(G337/2-I337/1000)*(H337/2-I337/1000)-(H337/2-I337/1000)^2)=0,"",7850/1000*(1/3)*PI()*ABS(E337-F337)*((G337/2)^2+(G337/2)*(H337/2)+(H337/2)^2-(G337/2-I337/1000)^2-(G337/2-I337/1000)*(H337/2-I337/1000)-(H337/2-I337/1000)^2))</f>
        <v/>
      </c>
      <c r="K337" s="107" t="str">
        <f>IFERROR(WHOLE_STRUCTURE[[#This Row],[Bottom '[mLAT']]]-WHOLE_STRUCTURE[[#This Row],[D, top '[m']]], "")</f>
        <v/>
      </c>
      <c r="L337" s="107" t="str">
        <f>IFERROR(-(WHOLE_STRUCTURE[[#This Row],[D, bottom '[m']]]-WHOLE_STRUCTURE[[#This Row],[D, top '[m']]])/(WHOLE_STRUCTURE[[#This Row],[Bottom '[mLAT']]]-WHOLE_STRUCTURE[[#This Row],[Top '[mLAT']]]),"")</f>
        <v/>
      </c>
      <c r="M337" s="107" t="str">
        <f>IFERROR((WHOLE_STRUCTURE[[#This Row],[D, bottom '[m']]]+WHOLE_STRUCTURE[[#This Row],[D, top '[m']]])/(2*WHOLE_STRUCTURE[[#This Row],[t '[mm']]]/1000),"")</f>
        <v/>
      </c>
    </row>
    <row r="338" spans="10:13" x14ac:dyDescent="0.3">
      <c r="J338" s="107" t="str">
        <f>IF(7850/1000*(1/3)*PI()*ABS(E338-F338)*((G338/2)^2+(G338/2)*(H338/2)+(H338/2)^2-(G338/2-I338/1000)^2-(G338/2-I338/1000)*(H338/2-I338/1000)-(H338/2-I338/1000)^2)=0,"",7850/1000*(1/3)*PI()*ABS(E338-F338)*((G338/2)^2+(G338/2)*(H338/2)+(H338/2)^2-(G338/2-I338/1000)^2-(G338/2-I338/1000)*(H338/2-I338/1000)-(H338/2-I338/1000)^2))</f>
        <v/>
      </c>
      <c r="K338" s="107" t="str">
        <f>IFERROR(WHOLE_STRUCTURE[[#This Row],[Bottom '[mLAT']]]-WHOLE_STRUCTURE[[#This Row],[D, top '[m']]], "")</f>
        <v/>
      </c>
      <c r="L338" s="107" t="str">
        <f>IFERROR(-(WHOLE_STRUCTURE[[#This Row],[D, bottom '[m']]]-WHOLE_STRUCTURE[[#This Row],[D, top '[m']]])/(WHOLE_STRUCTURE[[#This Row],[Bottom '[mLAT']]]-WHOLE_STRUCTURE[[#This Row],[Top '[mLAT']]]),"")</f>
        <v/>
      </c>
      <c r="M338" s="107" t="str">
        <f>IFERROR((WHOLE_STRUCTURE[[#This Row],[D, bottom '[m']]]+WHOLE_STRUCTURE[[#This Row],[D, top '[m']]])/(2*WHOLE_STRUCTURE[[#This Row],[t '[mm']]]/1000),"")</f>
        <v/>
      </c>
    </row>
    <row r="339" spans="10:13" x14ac:dyDescent="0.3">
      <c r="J339" s="107" t="str">
        <f>IF(7850/1000*(1/3)*PI()*ABS(E339-F339)*((G339/2)^2+(G339/2)*(H339/2)+(H339/2)^2-(G339/2-I339/1000)^2-(G339/2-I339/1000)*(H339/2-I339/1000)-(H339/2-I339/1000)^2)=0,"",7850/1000*(1/3)*PI()*ABS(E339-F339)*((G339/2)^2+(G339/2)*(H339/2)+(H339/2)^2-(G339/2-I339/1000)^2-(G339/2-I339/1000)*(H339/2-I339/1000)-(H339/2-I339/1000)^2))</f>
        <v/>
      </c>
      <c r="K339" s="107" t="str">
        <f>IFERROR(WHOLE_STRUCTURE[[#This Row],[Bottom '[mLAT']]]-WHOLE_STRUCTURE[[#This Row],[D, top '[m']]], "")</f>
        <v/>
      </c>
      <c r="L339" s="107" t="str">
        <f>IFERROR(-(WHOLE_STRUCTURE[[#This Row],[D, bottom '[m']]]-WHOLE_STRUCTURE[[#This Row],[D, top '[m']]])/(WHOLE_STRUCTURE[[#This Row],[Bottom '[mLAT']]]-WHOLE_STRUCTURE[[#This Row],[Top '[mLAT']]]),"")</f>
        <v/>
      </c>
      <c r="M339" s="107" t="str">
        <f>IFERROR((WHOLE_STRUCTURE[[#This Row],[D, bottom '[m']]]+WHOLE_STRUCTURE[[#This Row],[D, top '[m']]])/(2*WHOLE_STRUCTURE[[#This Row],[t '[mm']]]/1000),"")</f>
        <v/>
      </c>
    </row>
    <row r="340" spans="10:13" x14ac:dyDescent="0.3">
      <c r="J340" s="107" t="str">
        <f>IF(7850/1000*(1/3)*PI()*ABS(E340-F340)*((G340/2)^2+(G340/2)*(H340/2)+(H340/2)^2-(G340/2-I340/1000)^2-(G340/2-I340/1000)*(H340/2-I340/1000)-(H340/2-I340/1000)^2)=0,"",7850/1000*(1/3)*PI()*ABS(E340-F340)*((G340/2)^2+(G340/2)*(H340/2)+(H340/2)^2-(G340/2-I340/1000)^2-(G340/2-I340/1000)*(H340/2-I340/1000)-(H340/2-I340/1000)^2))</f>
        <v/>
      </c>
      <c r="K340" s="107" t="str">
        <f>IFERROR(WHOLE_STRUCTURE[[#This Row],[Bottom '[mLAT']]]-WHOLE_STRUCTURE[[#This Row],[D, top '[m']]], "")</f>
        <v/>
      </c>
      <c r="L340" s="107" t="str">
        <f>IFERROR(-(WHOLE_STRUCTURE[[#This Row],[D, bottom '[m']]]-WHOLE_STRUCTURE[[#This Row],[D, top '[m']]])/(WHOLE_STRUCTURE[[#This Row],[Bottom '[mLAT']]]-WHOLE_STRUCTURE[[#This Row],[Top '[mLAT']]]),"")</f>
        <v/>
      </c>
      <c r="M340" s="107" t="str">
        <f>IFERROR((WHOLE_STRUCTURE[[#This Row],[D, bottom '[m']]]+WHOLE_STRUCTURE[[#This Row],[D, top '[m']]])/(2*WHOLE_STRUCTURE[[#This Row],[t '[mm']]]/1000),"")</f>
        <v/>
      </c>
    </row>
    <row r="341" spans="10:13" x14ac:dyDescent="0.3">
      <c r="J341" s="107" t="str">
        <f>IF(7850/1000*(1/3)*PI()*ABS(E341-F341)*((G341/2)^2+(G341/2)*(H341/2)+(H341/2)^2-(G341/2-I341/1000)^2-(G341/2-I341/1000)*(H341/2-I341/1000)-(H341/2-I341/1000)^2)=0,"",7850/1000*(1/3)*PI()*ABS(E341-F341)*((G341/2)^2+(G341/2)*(H341/2)+(H341/2)^2-(G341/2-I341/1000)^2-(G341/2-I341/1000)*(H341/2-I341/1000)-(H341/2-I341/1000)^2))</f>
        <v/>
      </c>
      <c r="K341" s="107" t="str">
        <f>IFERROR(WHOLE_STRUCTURE[[#This Row],[Bottom '[mLAT']]]-WHOLE_STRUCTURE[[#This Row],[D, top '[m']]], "")</f>
        <v/>
      </c>
      <c r="L341" s="107" t="str">
        <f>IFERROR(-(WHOLE_STRUCTURE[[#This Row],[D, bottom '[m']]]-WHOLE_STRUCTURE[[#This Row],[D, top '[m']]])/(WHOLE_STRUCTURE[[#This Row],[Bottom '[mLAT']]]-WHOLE_STRUCTURE[[#This Row],[Top '[mLAT']]]),"")</f>
        <v/>
      </c>
      <c r="M341" s="107" t="str">
        <f>IFERROR((WHOLE_STRUCTURE[[#This Row],[D, bottom '[m']]]+WHOLE_STRUCTURE[[#This Row],[D, top '[m']]])/(2*WHOLE_STRUCTURE[[#This Row],[t '[mm']]]/1000),"")</f>
        <v/>
      </c>
    </row>
    <row r="342" spans="10:13" x14ac:dyDescent="0.3">
      <c r="J342" s="107" t="str">
        <f>IF(7850/1000*(1/3)*PI()*ABS(E342-F342)*((G342/2)^2+(G342/2)*(H342/2)+(H342/2)^2-(G342/2-I342/1000)^2-(G342/2-I342/1000)*(H342/2-I342/1000)-(H342/2-I342/1000)^2)=0,"",7850/1000*(1/3)*PI()*ABS(E342-F342)*((G342/2)^2+(G342/2)*(H342/2)+(H342/2)^2-(G342/2-I342/1000)^2-(G342/2-I342/1000)*(H342/2-I342/1000)-(H342/2-I342/1000)^2))</f>
        <v/>
      </c>
      <c r="K342" s="107" t="str">
        <f>IFERROR(WHOLE_STRUCTURE[[#This Row],[Bottom '[mLAT']]]-WHOLE_STRUCTURE[[#This Row],[D, top '[m']]], "")</f>
        <v/>
      </c>
      <c r="L342" s="107" t="str">
        <f>IFERROR(-(WHOLE_STRUCTURE[[#This Row],[D, bottom '[m']]]-WHOLE_STRUCTURE[[#This Row],[D, top '[m']]])/(WHOLE_STRUCTURE[[#This Row],[Bottom '[mLAT']]]-WHOLE_STRUCTURE[[#This Row],[Top '[mLAT']]]),"")</f>
        <v/>
      </c>
      <c r="M342" s="107" t="str">
        <f>IFERROR((WHOLE_STRUCTURE[[#This Row],[D, bottom '[m']]]+WHOLE_STRUCTURE[[#This Row],[D, top '[m']]])/(2*WHOLE_STRUCTURE[[#This Row],[t '[mm']]]/1000),"")</f>
        <v/>
      </c>
    </row>
    <row r="343" spans="10:13" x14ac:dyDescent="0.3">
      <c r="J343" s="107" t="str">
        <f>IF(7850/1000*(1/3)*PI()*ABS(E343-F343)*((G343/2)^2+(G343/2)*(H343/2)+(H343/2)^2-(G343/2-I343/1000)^2-(G343/2-I343/1000)*(H343/2-I343/1000)-(H343/2-I343/1000)^2)=0,"",7850/1000*(1/3)*PI()*ABS(E343-F343)*((G343/2)^2+(G343/2)*(H343/2)+(H343/2)^2-(G343/2-I343/1000)^2-(G343/2-I343/1000)*(H343/2-I343/1000)-(H343/2-I343/1000)^2))</f>
        <v/>
      </c>
      <c r="K343" s="107" t="str">
        <f>IFERROR(WHOLE_STRUCTURE[[#This Row],[Bottom '[mLAT']]]-WHOLE_STRUCTURE[[#This Row],[D, top '[m']]], "")</f>
        <v/>
      </c>
      <c r="L343" s="107" t="str">
        <f>IFERROR(-(WHOLE_STRUCTURE[[#This Row],[D, bottom '[m']]]-WHOLE_STRUCTURE[[#This Row],[D, top '[m']]])/(WHOLE_STRUCTURE[[#This Row],[Bottom '[mLAT']]]-WHOLE_STRUCTURE[[#This Row],[Top '[mLAT']]]),"")</f>
        <v/>
      </c>
      <c r="M343" s="107" t="str">
        <f>IFERROR((WHOLE_STRUCTURE[[#This Row],[D, bottom '[m']]]+WHOLE_STRUCTURE[[#This Row],[D, top '[m']]])/(2*WHOLE_STRUCTURE[[#This Row],[t '[mm']]]/1000),"")</f>
        <v/>
      </c>
    </row>
    <row r="344" spans="10:13" x14ac:dyDescent="0.3">
      <c r="J344" s="107" t="str">
        <f>IF(7850/1000*(1/3)*PI()*ABS(E344-F344)*((G344/2)^2+(G344/2)*(H344/2)+(H344/2)^2-(G344/2-I344/1000)^2-(G344/2-I344/1000)*(H344/2-I344/1000)-(H344/2-I344/1000)^2)=0,"",7850/1000*(1/3)*PI()*ABS(E344-F344)*((G344/2)^2+(G344/2)*(H344/2)+(H344/2)^2-(G344/2-I344/1000)^2-(G344/2-I344/1000)*(H344/2-I344/1000)-(H344/2-I344/1000)^2))</f>
        <v/>
      </c>
      <c r="K344" s="107" t="str">
        <f>IFERROR(WHOLE_STRUCTURE[[#This Row],[Bottom '[mLAT']]]-WHOLE_STRUCTURE[[#This Row],[D, top '[m']]], "")</f>
        <v/>
      </c>
      <c r="L344" s="107" t="str">
        <f>IFERROR(-(WHOLE_STRUCTURE[[#This Row],[D, bottom '[m']]]-WHOLE_STRUCTURE[[#This Row],[D, top '[m']]])/(WHOLE_STRUCTURE[[#This Row],[Bottom '[mLAT']]]-WHOLE_STRUCTURE[[#This Row],[Top '[mLAT']]]),"")</f>
        <v/>
      </c>
      <c r="M344" s="107" t="str">
        <f>IFERROR((WHOLE_STRUCTURE[[#This Row],[D, bottom '[m']]]+WHOLE_STRUCTURE[[#This Row],[D, top '[m']]])/(2*WHOLE_STRUCTURE[[#This Row],[t '[mm']]]/1000),"")</f>
        <v/>
      </c>
    </row>
    <row r="345" spans="10:13" x14ac:dyDescent="0.3">
      <c r="J345" s="107" t="str">
        <f>IF(7850/1000*(1/3)*PI()*ABS(E345-F345)*((G345/2)^2+(G345/2)*(H345/2)+(H345/2)^2-(G345/2-I345/1000)^2-(G345/2-I345/1000)*(H345/2-I345/1000)-(H345/2-I345/1000)^2)=0,"",7850/1000*(1/3)*PI()*ABS(E345-F345)*((G345/2)^2+(G345/2)*(H345/2)+(H345/2)^2-(G345/2-I345/1000)^2-(G345/2-I345/1000)*(H345/2-I345/1000)-(H345/2-I345/1000)^2))</f>
        <v/>
      </c>
      <c r="K345" s="107" t="str">
        <f>IFERROR(WHOLE_STRUCTURE[[#This Row],[Bottom '[mLAT']]]-WHOLE_STRUCTURE[[#This Row],[D, top '[m']]], "")</f>
        <v/>
      </c>
      <c r="L345" s="107" t="str">
        <f>IFERROR(-(WHOLE_STRUCTURE[[#This Row],[D, bottom '[m']]]-WHOLE_STRUCTURE[[#This Row],[D, top '[m']]])/(WHOLE_STRUCTURE[[#This Row],[Bottom '[mLAT']]]-WHOLE_STRUCTURE[[#This Row],[Top '[mLAT']]]),"")</f>
        <v/>
      </c>
      <c r="M345" s="107" t="str">
        <f>IFERROR((WHOLE_STRUCTURE[[#This Row],[D, bottom '[m']]]+WHOLE_STRUCTURE[[#This Row],[D, top '[m']]])/(2*WHOLE_STRUCTURE[[#This Row],[t '[mm']]]/1000),"")</f>
        <v/>
      </c>
    </row>
    <row r="346" spans="10:13" x14ac:dyDescent="0.3">
      <c r="J346" s="107" t="str">
        <f>IF(7850/1000*(1/3)*PI()*ABS(E346-F346)*((G346/2)^2+(G346/2)*(H346/2)+(H346/2)^2-(G346/2-I346/1000)^2-(G346/2-I346/1000)*(H346/2-I346/1000)-(H346/2-I346/1000)^2)=0,"",7850/1000*(1/3)*PI()*ABS(E346-F346)*((G346/2)^2+(G346/2)*(H346/2)+(H346/2)^2-(G346/2-I346/1000)^2-(G346/2-I346/1000)*(H346/2-I346/1000)-(H346/2-I346/1000)^2))</f>
        <v/>
      </c>
      <c r="K346" s="107" t="str">
        <f>IFERROR(WHOLE_STRUCTURE[[#This Row],[Bottom '[mLAT']]]-WHOLE_STRUCTURE[[#This Row],[D, top '[m']]], "")</f>
        <v/>
      </c>
      <c r="L346" s="107" t="str">
        <f>IFERROR(-(WHOLE_STRUCTURE[[#This Row],[D, bottom '[m']]]-WHOLE_STRUCTURE[[#This Row],[D, top '[m']]])/(WHOLE_STRUCTURE[[#This Row],[Bottom '[mLAT']]]-WHOLE_STRUCTURE[[#This Row],[Top '[mLAT']]]),"")</f>
        <v/>
      </c>
      <c r="M346" s="107" t="str">
        <f>IFERROR((WHOLE_STRUCTURE[[#This Row],[D, bottom '[m']]]+WHOLE_STRUCTURE[[#This Row],[D, top '[m']]])/(2*WHOLE_STRUCTURE[[#This Row],[t '[mm']]]/1000),"")</f>
        <v/>
      </c>
    </row>
    <row r="347" spans="10:13" x14ac:dyDescent="0.3">
      <c r="J347" s="107" t="str">
        <f>IF(7850/1000*(1/3)*PI()*ABS(E347-F347)*((G347/2)^2+(G347/2)*(H347/2)+(H347/2)^2-(G347/2-I347/1000)^2-(G347/2-I347/1000)*(H347/2-I347/1000)-(H347/2-I347/1000)^2)=0,"",7850/1000*(1/3)*PI()*ABS(E347-F347)*((G347/2)^2+(G347/2)*(H347/2)+(H347/2)^2-(G347/2-I347/1000)^2-(G347/2-I347/1000)*(H347/2-I347/1000)-(H347/2-I347/1000)^2))</f>
        <v/>
      </c>
      <c r="K347" s="107" t="str">
        <f>IFERROR(WHOLE_STRUCTURE[[#This Row],[Bottom '[mLAT']]]-WHOLE_STRUCTURE[[#This Row],[D, top '[m']]], "")</f>
        <v/>
      </c>
      <c r="L347" s="107" t="str">
        <f>IFERROR(-(WHOLE_STRUCTURE[[#This Row],[D, bottom '[m']]]-WHOLE_STRUCTURE[[#This Row],[D, top '[m']]])/(WHOLE_STRUCTURE[[#This Row],[Bottom '[mLAT']]]-WHOLE_STRUCTURE[[#This Row],[Top '[mLAT']]]),"")</f>
        <v/>
      </c>
      <c r="M347" s="107" t="str">
        <f>IFERROR((WHOLE_STRUCTURE[[#This Row],[D, bottom '[m']]]+WHOLE_STRUCTURE[[#This Row],[D, top '[m']]])/(2*WHOLE_STRUCTURE[[#This Row],[t '[mm']]]/1000),"")</f>
        <v/>
      </c>
    </row>
    <row r="348" spans="10:13" x14ac:dyDescent="0.3">
      <c r="J348" s="107" t="str">
        <f>IF(7850/1000*(1/3)*PI()*ABS(E348-F348)*((G348/2)^2+(G348/2)*(H348/2)+(H348/2)^2-(G348/2-I348/1000)^2-(G348/2-I348/1000)*(H348/2-I348/1000)-(H348/2-I348/1000)^2)=0,"",7850/1000*(1/3)*PI()*ABS(E348-F348)*((G348/2)^2+(G348/2)*(H348/2)+(H348/2)^2-(G348/2-I348/1000)^2-(G348/2-I348/1000)*(H348/2-I348/1000)-(H348/2-I348/1000)^2))</f>
        <v/>
      </c>
      <c r="K348" s="107" t="str">
        <f>IFERROR(WHOLE_STRUCTURE[[#This Row],[Bottom '[mLAT']]]-WHOLE_STRUCTURE[[#This Row],[D, top '[m']]], "")</f>
        <v/>
      </c>
      <c r="L348" s="107" t="str">
        <f>IFERROR(-(WHOLE_STRUCTURE[[#This Row],[D, bottom '[m']]]-WHOLE_STRUCTURE[[#This Row],[D, top '[m']]])/(WHOLE_STRUCTURE[[#This Row],[Bottom '[mLAT']]]-WHOLE_STRUCTURE[[#This Row],[Top '[mLAT']]]),"")</f>
        <v/>
      </c>
      <c r="M348" s="107" t="str">
        <f>IFERROR((WHOLE_STRUCTURE[[#This Row],[D, bottom '[m']]]+WHOLE_STRUCTURE[[#This Row],[D, top '[m']]])/(2*WHOLE_STRUCTURE[[#This Row],[t '[mm']]]/1000),"")</f>
        <v/>
      </c>
    </row>
    <row r="349" spans="10:13" x14ac:dyDescent="0.3">
      <c r="J349" s="107" t="str">
        <f>IF(7850/1000*(1/3)*PI()*ABS(E349-F349)*((G349/2)^2+(G349/2)*(H349/2)+(H349/2)^2-(G349/2-I349/1000)^2-(G349/2-I349/1000)*(H349/2-I349/1000)-(H349/2-I349/1000)^2)=0,"",7850/1000*(1/3)*PI()*ABS(E349-F349)*((G349/2)^2+(G349/2)*(H349/2)+(H349/2)^2-(G349/2-I349/1000)^2-(G349/2-I349/1000)*(H349/2-I349/1000)-(H349/2-I349/1000)^2))</f>
        <v/>
      </c>
      <c r="K349" s="107" t="str">
        <f>IFERROR(WHOLE_STRUCTURE[[#This Row],[Bottom '[mLAT']]]-WHOLE_STRUCTURE[[#This Row],[D, top '[m']]], "")</f>
        <v/>
      </c>
      <c r="L349" s="107" t="str">
        <f>IFERROR(-(WHOLE_STRUCTURE[[#This Row],[D, bottom '[m']]]-WHOLE_STRUCTURE[[#This Row],[D, top '[m']]])/(WHOLE_STRUCTURE[[#This Row],[Bottom '[mLAT']]]-WHOLE_STRUCTURE[[#This Row],[Top '[mLAT']]]),"")</f>
        <v/>
      </c>
      <c r="M349" s="107" t="str">
        <f>IFERROR((WHOLE_STRUCTURE[[#This Row],[D, bottom '[m']]]+WHOLE_STRUCTURE[[#This Row],[D, top '[m']]])/(2*WHOLE_STRUCTURE[[#This Row],[t '[mm']]]/1000),"")</f>
        <v/>
      </c>
    </row>
    <row r="350" spans="10:13" x14ac:dyDescent="0.3">
      <c r="J350" s="107" t="str">
        <f>IF(7850/1000*(1/3)*PI()*ABS(E350-F350)*((G350/2)^2+(G350/2)*(H350/2)+(H350/2)^2-(G350/2-I350/1000)^2-(G350/2-I350/1000)*(H350/2-I350/1000)-(H350/2-I350/1000)^2)=0,"",7850/1000*(1/3)*PI()*ABS(E350-F350)*((G350/2)^2+(G350/2)*(H350/2)+(H350/2)^2-(G350/2-I350/1000)^2-(G350/2-I350/1000)*(H350/2-I350/1000)-(H350/2-I350/1000)^2))</f>
        <v/>
      </c>
      <c r="K350" s="107" t="str">
        <f>IFERROR(WHOLE_STRUCTURE[[#This Row],[Bottom '[mLAT']]]-WHOLE_STRUCTURE[[#This Row],[D, top '[m']]], "")</f>
        <v/>
      </c>
      <c r="L350" s="107" t="str">
        <f>IFERROR(-(WHOLE_STRUCTURE[[#This Row],[D, bottom '[m']]]-WHOLE_STRUCTURE[[#This Row],[D, top '[m']]])/(WHOLE_STRUCTURE[[#This Row],[Bottom '[mLAT']]]-WHOLE_STRUCTURE[[#This Row],[Top '[mLAT']]]),"")</f>
        <v/>
      </c>
      <c r="M350" s="107" t="str">
        <f>IFERROR((WHOLE_STRUCTURE[[#This Row],[D, bottom '[m']]]+WHOLE_STRUCTURE[[#This Row],[D, top '[m']]])/(2*WHOLE_STRUCTURE[[#This Row],[t '[mm']]]/1000),"")</f>
        <v/>
      </c>
    </row>
    <row r="351" spans="10:13" x14ac:dyDescent="0.3">
      <c r="J351" s="107" t="str">
        <f>IF(7850/1000*(1/3)*PI()*ABS(E351-F351)*((G351/2)^2+(G351/2)*(H351/2)+(H351/2)^2-(G351/2-I351/1000)^2-(G351/2-I351/1000)*(H351/2-I351/1000)-(H351/2-I351/1000)^2)=0,"",7850/1000*(1/3)*PI()*ABS(E351-F351)*((G351/2)^2+(G351/2)*(H351/2)+(H351/2)^2-(G351/2-I351/1000)^2-(G351/2-I351/1000)*(H351/2-I351/1000)-(H351/2-I351/1000)^2))</f>
        <v/>
      </c>
      <c r="K351" s="107" t="str">
        <f>IFERROR(WHOLE_STRUCTURE[[#This Row],[Bottom '[mLAT']]]-WHOLE_STRUCTURE[[#This Row],[D, top '[m']]], "")</f>
        <v/>
      </c>
      <c r="L351" s="107" t="str">
        <f>IFERROR(-(WHOLE_STRUCTURE[[#This Row],[D, bottom '[m']]]-WHOLE_STRUCTURE[[#This Row],[D, top '[m']]])/(WHOLE_STRUCTURE[[#This Row],[Bottom '[mLAT']]]-WHOLE_STRUCTURE[[#This Row],[Top '[mLAT']]]),"")</f>
        <v/>
      </c>
      <c r="M351" s="107" t="str">
        <f>IFERROR((WHOLE_STRUCTURE[[#This Row],[D, bottom '[m']]]+WHOLE_STRUCTURE[[#This Row],[D, top '[m']]])/(2*WHOLE_STRUCTURE[[#This Row],[t '[mm']]]/1000),"")</f>
        <v/>
      </c>
    </row>
    <row r="352" spans="10:13" x14ac:dyDescent="0.3">
      <c r="J352" s="107" t="str">
        <f>IF(7850/1000*(1/3)*PI()*ABS(E352-F352)*((G352/2)^2+(G352/2)*(H352/2)+(H352/2)^2-(G352/2-I352/1000)^2-(G352/2-I352/1000)*(H352/2-I352/1000)-(H352/2-I352/1000)^2)=0,"",7850/1000*(1/3)*PI()*ABS(E352-F352)*((G352/2)^2+(G352/2)*(H352/2)+(H352/2)^2-(G352/2-I352/1000)^2-(G352/2-I352/1000)*(H352/2-I352/1000)-(H352/2-I352/1000)^2))</f>
        <v/>
      </c>
      <c r="K352" s="107" t="str">
        <f>IFERROR(WHOLE_STRUCTURE[[#This Row],[Bottom '[mLAT']]]-WHOLE_STRUCTURE[[#This Row],[D, top '[m']]], "")</f>
        <v/>
      </c>
      <c r="L352" s="107" t="str">
        <f>IFERROR(-(WHOLE_STRUCTURE[[#This Row],[D, bottom '[m']]]-WHOLE_STRUCTURE[[#This Row],[D, top '[m']]])/(WHOLE_STRUCTURE[[#This Row],[Bottom '[mLAT']]]-WHOLE_STRUCTURE[[#This Row],[Top '[mLAT']]]),"")</f>
        <v/>
      </c>
      <c r="M352" s="107" t="str">
        <f>IFERROR((WHOLE_STRUCTURE[[#This Row],[D, bottom '[m']]]+WHOLE_STRUCTURE[[#This Row],[D, top '[m']]])/(2*WHOLE_STRUCTURE[[#This Row],[t '[mm']]]/1000),"")</f>
        <v/>
      </c>
    </row>
    <row r="353" spans="10:13" x14ac:dyDescent="0.3">
      <c r="J353" s="107" t="str">
        <f>IF(7850/1000*(1/3)*PI()*ABS(E353-F353)*((G353/2)^2+(G353/2)*(H353/2)+(H353/2)^2-(G353/2-I353/1000)^2-(G353/2-I353/1000)*(H353/2-I353/1000)-(H353/2-I353/1000)^2)=0,"",7850/1000*(1/3)*PI()*ABS(E353-F353)*((G353/2)^2+(G353/2)*(H353/2)+(H353/2)^2-(G353/2-I353/1000)^2-(G353/2-I353/1000)*(H353/2-I353/1000)-(H353/2-I353/1000)^2))</f>
        <v/>
      </c>
      <c r="K353" s="107" t="str">
        <f>IFERROR(WHOLE_STRUCTURE[[#This Row],[Bottom '[mLAT']]]-WHOLE_STRUCTURE[[#This Row],[D, top '[m']]], "")</f>
        <v/>
      </c>
      <c r="L353" s="107" t="str">
        <f>IFERROR(-(WHOLE_STRUCTURE[[#This Row],[D, bottom '[m']]]-WHOLE_STRUCTURE[[#This Row],[D, top '[m']]])/(WHOLE_STRUCTURE[[#This Row],[Bottom '[mLAT']]]-WHOLE_STRUCTURE[[#This Row],[Top '[mLAT']]]),"")</f>
        <v/>
      </c>
      <c r="M353" s="107" t="str">
        <f>IFERROR((WHOLE_STRUCTURE[[#This Row],[D, bottom '[m']]]+WHOLE_STRUCTURE[[#This Row],[D, top '[m']]])/(2*WHOLE_STRUCTURE[[#This Row],[t '[mm']]]/1000),"")</f>
        <v/>
      </c>
    </row>
    <row r="354" spans="10:13" x14ac:dyDescent="0.3">
      <c r="J354" s="107" t="str">
        <f>IF(7850/1000*(1/3)*PI()*ABS(E354-F354)*((G354/2)^2+(G354/2)*(H354/2)+(H354/2)^2-(G354/2-I354/1000)^2-(G354/2-I354/1000)*(H354/2-I354/1000)-(H354/2-I354/1000)^2)=0,"",7850/1000*(1/3)*PI()*ABS(E354-F354)*((G354/2)^2+(G354/2)*(H354/2)+(H354/2)^2-(G354/2-I354/1000)^2-(G354/2-I354/1000)*(H354/2-I354/1000)-(H354/2-I354/1000)^2))</f>
        <v/>
      </c>
      <c r="K354" s="107" t="str">
        <f>IFERROR(WHOLE_STRUCTURE[[#This Row],[Bottom '[mLAT']]]-WHOLE_STRUCTURE[[#This Row],[D, top '[m']]], "")</f>
        <v/>
      </c>
      <c r="L354" s="107" t="str">
        <f>IFERROR(-(WHOLE_STRUCTURE[[#This Row],[D, bottom '[m']]]-WHOLE_STRUCTURE[[#This Row],[D, top '[m']]])/(WHOLE_STRUCTURE[[#This Row],[Bottom '[mLAT']]]-WHOLE_STRUCTURE[[#This Row],[Top '[mLAT']]]),"")</f>
        <v/>
      </c>
      <c r="M354" s="107" t="str">
        <f>IFERROR((WHOLE_STRUCTURE[[#This Row],[D, bottom '[m']]]+WHOLE_STRUCTURE[[#This Row],[D, top '[m']]])/(2*WHOLE_STRUCTURE[[#This Row],[t '[mm']]]/1000),"")</f>
        <v/>
      </c>
    </row>
    <row r="355" spans="10:13" x14ac:dyDescent="0.3">
      <c r="J355" s="107" t="str">
        <f>IF(7850/1000*(1/3)*PI()*ABS(E355-F355)*((G355/2)^2+(G355/2)*(H355/2)+(H355/2)^2-(G355/2-I355/1000)^2-(G355/2-I355/1000)*(H355/2-I355/1000)-(H355/2-I355/1000)^2)=0,"",7850/1000*(1/3)*PI()*ABS(E355-F355)*((G355/2)^2+(G355/2)*(H355/2)+(H355/2)^2-(G355/2-I355/1000)^2-(G355/2-I355/1000)*(H355/2-I355/1000)-(H355/2-I355/1000)^2))</f>
        <v/>
      </c>
      <c r="K355" s="107" t="str">
        <f>IFERROR(WHOLE_STRUCTURE[[#This Row],[Bottom '[mLAT']]]-WHOLE_STRUCTURE[[#This Row],[D, top '[m']]], "")</f>
        <v/>
      </c>
      <c r="L355" s="107" t="str">
        <f>IFERROR(-(WHOLE_STRUCTURE[[#This Row],[D, bottom '[m']]]-WHOLE_STRUCTURE[[#This Row],[D, top '[m']]])/(WHOLE_STRUCTURE[[#This Row],[Bottom '[mLAT']]]-WHOLE_STRUCTURE[[#This Row],[Top '[mLAT']]]),"")</f>
        <v/>
      </c>
      <c r="M355" s="107" t="str">
        <f>IFERROR((WHOLE_STRUCTURE[[#This Row],[D, bottom '[m']]]+WHOLE_STRUCTURE[[#This Row],[D, top '[m']]])/(2*WHOLE_STRUCTURE[[#This Row],[t '[mm']]]/1000),"")</f>
        <v/>
      </c>
    </row>
    <row r="356" spans="10:13" x14ac:dyDescent="0.3">
      <c r="J356" s="107" t="str">
        <f>IF(7850/1000*(1/3)*PI()*ABS(E356-F356)*((G356/2)^2+(G356/2)*(H356/2)+(H356/2)^2-(G356/2-I356/1000)^2-(G356/2-I356/1000)*(H356/2-I356/1000)-(H356/2-I356/1000)^2)=0,"",7850/1000*(1/3)*PI()*ABS(E356-F356)*((G356/2)^2+(G356/2)*(H356/2)+(H356/2)^2-(G356/2-I356/1000)^2-(G356/2-I356/1000)*(H356/2-I356/1000)-(H356/2-I356/1000)^2))</f>
        <v/>
      </c>
      <c r="K356" s="107" t="str">
        <f>IFERROR(WHOLE_STRUCTURE[[#This Row],[Bottom '[mLAT']]]-WHOLE_STRUCTURE[[#This Row],[D, top '[m']]], "")</f>
        <v/>
      </c>
      <c r="L356" s="107" t="str">
        <f>IFERROR(-(WHOLE_STRUCTURE[[#This Row],[D, bottom '[m']]]-WHOLE_STRUCTURE[[#This Row],[D, top '[m']]])/(WHOLE_STRUCTURE[[#This Row],[Bottom '[mLAT']]]-WHOLE_STRUCTURE[[#This Row],[Top '[mLAT']]]),"")</f>
        <v/>
      </c>
      <c r="M356" s="107" t="str">
        <f>IFERROR((WHOLE_STRUCTURE[[#This Row],[D, bottom '[m']]]+WHOLE_STRUCTURE[[#This Row],[D, top '[m']]])/(2*WHOLE_STRUCTURE[[#This Row],[t '[mm']]]/1000),"")</f>
        <v/>
      </c>
    </row>
    <row r="357" spans="10:13" x14ac:dyDescent="0.3">
      <c r="J357" s="107" t="str">
        <f>IF(7850/1000*(1/3)*PI()*ABS(E357-F357)*((G357/2)^2+(G357/2)*(H357/2)+(H357/2)^2-(G357/2-I357/1000)^2-(G357/2-I357/1000)*(H357/2-I357/1000)-(H357/2-I357/1000)^2)=0,"",7850/1000*(1/3)*PI()*ABS(E357-F357)*((G357/2)^2+(G357/2)*(H357/2)+(H357/2)^2-(G357/2-I357/1000)^2-(G357/2-I357/1000)*(H357/2-I357/1000)-(H357/2-I357/1000)^2))</f>
        <v/>
      </c>
      <c r="K357" s="107" t="str">
        <f>IFERROR(WHOLE_STRUCTURE[[#This Row],[Bottom '[mLAT']]]-WHOLE_STRUCTURE[[#This Row],[D, top '[m']]], "")</f>
        <v/>
      </c>
      <c r="L357" s="107" t="str">
        <f>IFERROR(-(WHOLE_STRUCTURE[[#This Row],[D, bottom '[m']]]-WHOLE_STRUCTURE[[#This Row],[D, top '[m']]])/(WHOLE_STRUCTURE[[#This Row],[Bottom '[mLAT']]]-WHOLE_STRUCTURE[[#This Row],[Top '[mLAT']]]),"")</f>
        <v/>
      </c>
      <c r="M357" s="107" t="str">
        <f>IFERROR((WHOLE_STRUCTURE[[#This Row],[D, bottom '[m']]]+WHOLE_STRUCTURE[[#This Row],[D, top '[m']]])/(2*WHOLE_STRUCTURE[[#This Row],[t '[mm']]]/1000),"")</f>
        <v/>
      </c>
    </row>
    <row r="358" spans="10:13" x14ac:dyDescent="0.3">
      <c r="J358" s="107" t="str">
        <f>IF(7850/1000*(1/3)*PI()*ABS(E358-F358)*((G358/2)^2+(G358/2)*(H358/2)+(H358/2)^2-(G358/2-I358/1000)^2-(G358/2-I358/1000)*(H358/2-I358/1000)-(H358/2-I358/1000)^2)=0,"",7850/1000*(1/3)*PI()*ABS(E358-F358)*((G358/2)^2+(G358/2)*(H358/2)+(H358/2)^2-(G358/2-I358/1000)^2-(G358/2-I358/1000)*(H358/2-I358/1000)-(H358/2-I358/1000)^2))</f>
        <v/>
      </c>
      <c r="K358" s="107" t="str">
        <f>IFERROR(WHOLE_STRUCTURE[[#This Row],[Bottom '[mLAT']]]-WHOLE_STRUCTURE[[#This Row],[D, top '[m']]], "")</f>
        <v/>
      </c>
      <c r="L358" s="107" t="str">
        <f>IFERROR(-(WHOLE_STRUCTURE[[#This Row],[D, bottom '[m']]]-WHOLE_STRUCTURE[[#This Row],[D, top '[m']]])/(WHOLE_STRUCTURE[[#This Row],[Bottom '[mLAT']]]-WHOLE_STRUCTURE[[#This Row],[Top '[mLAT']]]),"")</f>
        <v/>
      </c>
      <c r="M358" s="107" t="str">
        <f>IFERROR((WHOLE_STRUCTURE[[#This Row],[D, bottom '[m']]]+WHOLE_STRUCTURE[[#This Row],[D, top '[m']]])/(2*WHOLE_STRUCTURE[[#This Row],[t '[mm']]]/1000),"")</f>
        <v/>
      </c>
    </row>
    <row r="359" spans="10:13" x14ac:dyDescent="0.3">
      <c r="J359" s="107" t="str">
        <f>IF(7850/1000*(1/3)*PI()*ABS(E359-F359)*((G359/2)^2+(G359/2)*(H359/2)+(H359/2)^2-(G359/2-I359/1000)^2-(G359/2-I359/1000)*(H359/2-I359/1000)-(H359/2-I359/1000)^2)=0,"",7850/1000*(1/3)*PI()*ABS(E359-F359)*((G359/2)^2+(G359/2)*(H359/2)+(H359/2)^2-(G359/2-I359/1000)^2-(G359/2-I359/1000)*(H359/2-I359/1000)-(H359/2-I359/1000)^2))</f>
        <v/>
      </c>
      <c r="K359" s="107" t="str">
        <f>IFERROR(WHOLE_STRUCTURE[[#This Row],[Bottom '[mLAT']]]-WHOLE_STRUCTURE[[#This Row],[D, top '[m']]], "")</f>
        <v/>
      </c>
      <c r="L359" s="107" t="str">
        <f>IFERROR(-(WHOLE_STRUCTURE[[#This Row],[D, bottom '[m']]]-WHOLE_STRUCTURE[[#This Row],[D, top '[m']]])/(WHOLE_STRUCTURE[[#This Row],[Bottom '[mLAT']]]-WHOLE_STRUCTURE[[#This Row],[Top '[mLAT']]]),"")</f>
        <v/>
      </c>
      <c r="M359" s="107" t="str">
        <f>IFERROR((WHOLE_STRUCTURE[[#This Row],[D, bottom '[m']]]+WHOLE_STRUCTURE[[#This Row],[D, top '[m']]])/(2*WHOLE_STRUCTURE[[#This Row],[t '[mm']]]/1000),"")</f>
        <v/>
      </c>
    </row>
    <row r="360" spans="10:13" x14ac:dyDescent="0.3">
      <c r="J360" s="107" t="str">
        <f>IF(7850/1000*(1/3)*PI()*ABS(E360-F360)*((G360/2)^2+(G360/2)*(H360/2)+(H360/2)^2-(G360/2-I360/1000)^2-(G360/2-I360/1000)*(H360/2-I360/1000)-(H360/2-I360/1000)^2)=0,"",7850/1000*(1/3)*PI()*ABS(E360-F360)*((G360/2)^2+(G360/2)*(H360/2)+(H360/2)^2-(G360/2-I360/1000)^2-(G360/2-I360/1000)*(H360/2-I360/1000)-(H360/2-I360/1000)^2))</f>
        <v/>
      </c>
      <c r="K360" s="107" t="str">
        <f>IFERROR(WHOLE_STRUCTURE[[#This Row],[Bottom '[mLAT']]]-WHOLE_STRUCTURE[[#This Row],[D, top '[m']]], "")</f>
        <v/>
      </c>
      <c r="L360" s="107" t="str">
        <f>IFERROR(-(WHOLE_STRUCTURE[[#This Row],[D, bottom '[m']]]-WHOLE_STRUCTURE[[#This Row],[D, top '[m']]])/(WHOLE_STRUCTURE[[#This Row],[Bottom '[mLAT']]]-WHOLE_STRUCTURE[[#This Row],[Top '[mLAT']]]),"")</f>
        <v/>
      </c>
      <c r="M360" s="107" t="str">
        <f>IFERROR((WHOLE_STRUCTURE[[#This Row],[D, bottom '[m']]]+WHOLE_STRUCTURE[[#This Row],[D, top '[m']]])/(2*WHOLE_STRUCTURE[[#This Row],[t '[mm']]]/1000),"")</f>
        <v/>
      </c>
    </row>
    <row r="361" spans="10:13" x14ac:dyDescent="0.3">
      <c r="J361" s="107" t="str">
        <f>IF(7850/1000*(1/3)*PI()*ABS(E361-F361)*((G361/2)^2+(G361/2)*(H361/2)+(H361/2)^2-(G361/2-I361/1000)^2-(G361/2-I361/1000)*(H361/2-I361/1000)-(H361/2-I361/1000)^2)=0,"",7850/1000*(1/3)*PI()*ABS(E361-F361)*((G361/2)^2+(G361/2)*(H361/2)+(H361/2)^2-(G361/2-I361/1000)^2-(G361/2-I361/1000)*(H361/2-I361/1000)-(H361/2-I361/1000)^2))</f>
        <v/>
      </c>
      <c r="K361" s="107" t="str">
        <f>IFERROR(WHOLE_STRUCTURE[[#This Row],[Bottom '[mLAT']]]-WHOLE_STRUCTURE[[#This Row],[D, top '[m']]], "")</f>
        <v/>
      </c>
      <c r="L361" s="107" t="str">
        <f>IFERROR(-(WHOLE_STRUCTURE[[#This Row],[D, bottom '[m']]]-WHOLE_STRUCTURE[[#This Row],[D, top '[m']]])/(WHOLE_STRUCTURE[[#This Row],[Bottom '[mLAT']]]-WHOLE_STRUCTURE[[#This Row],[Top '[mLAT']]]),"")</f>
        <v/>
      </c>
      <c r="M361" s="107" t="str">
        <f>IFERROR((WHOLE_STRUCTURE[[#This Row],[D, bottom '[m']]]+WHOLE_STRUCTURE[[#This Row],[D, top '[m']]])/(2*WHOLE_STRUCTURE[[#This Row],[t '[mm']]]/1000),"")</f>
        <v/>
      </c>
    </row>
    <row r="362" spans="10:13" x14ac:dyDescent="0.3">
      <c r="J362" s="107" t="str">
        <f>IF(7850/1000*(1/3)*PI()*ABS(E362-F362)*((G362/2)^2+(G362/2)*(H362/2)+(H362/2)^2-(G362/2-I362/1000)^2-(G362/2-I362/1000)*(H362/2-I362/1000)-(H362/2-I362/1000)^2)=0,"",7850/1000*(1/3)*PI()*ABS(E362-F362)*((G362/2)^2+(G362/2)*(H362/2)+(H362/2)^2-(G362/2-I362/1000)^2-(G362/2-I362/1000)*(H362/2-I362/1000)-(H362/2-I362/1000)^2))</f>
        <v/>
      </c>
      <c r="K362" s="107" t="str">
        <f>IFERROR(WHOLE_STRUCTURE[[#This Row],[Bottom '[mLAT']]]-WHOLE_STRUCTURE[[#This Row],[D, top '[m']]], "")</f>
        <v/>
      </c>
      <c r="L362" s="107" t="str">
        <f>IFERROR(-(WHOLE_STRUCTURE[[#This Row],[D, bottom '[m']]]-WHOLE_STRUCTURE[[#This Row],[D, top '[m']]])/(WHOLE_STRUCTURE[[#This Row],[Bottom '[mLAT']]]-WHOLE_STRUCTURE[[#This Row],[Top '[mLAT']]]),"")</f>
        <v/>
      </c>
      <c r="M362" s="107" t="str">
        <f>IFERROR((WHOLE_STRUCTURE[[#This Row],[D, bottom '[m']]]+WHOLE_STRUCTURE[[#This Row],[D, top '[m']]])/(2*WHOLE_STRUCTURE[[#This Row],[t '[mm']]]/1000),"")</f>
        <v/>
      </c>
    </row>
    <row r="363" spans="10:13" x14ac:dyDescent="0.3">
      <c r="J363" s="107" t="str">
        <f>IF(7850/1000*(1/3)*PI()*ABS(E363-F363)*((G363/2)^2+(G363/2)*(H363/2)+(H363/2)^2-(G363/2-I363/1000)^2-(G363/2-I363/1000)*(H363/2-I363/1000)-(H363/2-I363/1000)^2)=0,"",7850/1000*(1/3)*PI()*ABS(E363-F363)*((G363/2)^2+(G363/2)*(H363/2)+(H363/2)^2-(G363/2-I363/1000)^2-(G363/2-I363/1000)*(H363/2-I363/1000)-(H363/2-I363/1000)^2))</f>
        <v/>
      </c>
      <c r="K363" s="107" t="str">
        <f>IFERROR(WHOLE_STRUCTURE[[#This Row],[Bottom '[mLAT']]]-WHOLE_STRUCTURE[[#This Row],[D, top '[m']]], "")</f>
        <v/>
      </c>
      <c r="L363" s="107" t="str">
        <f>IFERROR(-(WHOLE_STRUCTURE[[#This Row],[D, bottom '[m']]]-WHOLE_STRUCTURE[[#This Row],[D, top '[m']]])/(WHOLE_STRUCTURE[[#This Row],[Bottom '[mLAT']]]-WHOLE_STRUCTURE[[#This Row],[Top '[mLAT']]]),"")</f>
        <v/>
      </c>
      <c r="M363" s="107" t="str">
        <f>IFERROR((WHOLE_STRUCTURE[[#This Row],[D, bottom '[m']]]+WHOLE_STRUCTURE[[#This Row],[D, top '[m']]])/(2*WHOLE_STRUCTURE[[#This Row],[t '[mm']]]/1000),"")</f>
        <v/>
      </c>
    </row>
    <row r="364" spans="10:13" x14ac:dyDescent="0.3">
      <c r="J364" s="107" t="str">
        <f>IF(7850/1000*(1/3)*PI()*ABS(E364-F364)*((G364/2)^2+(G364/2)*(H364/2)+(H364/2)^2-(G364/2-I364/1000)^2-(G364/2-I364/1000)*(H364/2-I364/1000)-(H364/2-I364/1000)^2)=0,"",7850/1000*(1/3)*PI()*ABS(E364-F364)*((G364/2)^2+(G364/2)*(H364/2)+(H364/2)^2-(G364/2-I364/1000)^2-(G364/2-I364/1000)*(H364/2-I364/1000)-(H364/2-I364/1000)^2))</f>
        <v/>
      </c>
      <c r="K364" s="107" t="str">
        <f>IFERROR(WHOLE_STRUCTURE[[#This Row],[Bottom '[mLAT']]]-WHOLE_STRUCTURE[[#This Row],[D, top '[m']]], "")</f>
        <v/>
      </c>
      <c r="L364" s="107" t="str">
        <f>IFERROR(-(WHOLE_STRUCTURE[[#This Row],[D, bottom '[m']]]-WHOLE_STRUCTURE[[#This Row],[D, top '[m']]])/(WHOLE_STRUCTURE[[#This Row],[Bottom '[mLAT']]]-WHOLE_STRUCTURE[[#This Row],[Top '[mLAT']]]),"")</f>
        <v/>
      </c>
      <c r="M364" s="107" t="str">
        <f>IFERROR((WHOLE_STRUCTURE[[#This Row],[D, bottom '[m']]]+WHOLE_STRUCTURE[[#This Row],[D, top '[m']]])/(2*WHOLE_STRUCTURE[[#This Row],[t '[mm']]]/1000),"")</f>
        <v/>
      </c>
    </row>
    <row r="365" spans="10:13" x14ac:dyDescent="0.3">
      <c r="J365" s="107" t="str">
        <f>IF(7850/1000*(1/3)*PI()*ABS(E365-F365)*((G365/2)^2+(G365/2)*(H365/2)+(H365/2)^2-(G365/2-I365/1000)^2-(G365/2-I365/1000)*(H365/2-I365/1000)-(H365/2-I365/1000)^2)=0,"",7850/1000*(1/3)*PI()*ABS(E365-F365)*((G365/2)^2+(G365/2)*(H365/2)+(H365/2)^2-(G365/2-I365/1000)^2-(G365/2-I365/1000)*(H365/2-I365/1000)-(H365/2-I365/1000)^2))</f>
        <v/>
      </c>
      <c r="K365" s="107" t="str">
        <f>IFERROR(WHOLE_STRUCTURE[[#This Row],[Bottom '[mLAT']]]-WHOLE_STRUCTURE[[#This Row],[D, top '[m']]], "")</f>
        <v/>
      </c>
      <c r="L365" s="107" t="str">
        <f>IFERROR(-(WHOLE_STRUCTURE[[#This Row],[D, bottom '[m']]]-WHOLE_STRUCTURE[[#This Row],[D, top '[m']]])/(WHOLE_STRUCTURE[[#This Row],[Bottom '[mLAT']]]-WHOLE_STRUCTURE[[#This Row],[Top '[mLAT']]]),"")</f>
        <v/>
      </c>
      <c r="M365" s="107" t="str">
        <f>IFERROR((WHOLE_STRUCTURE[[#This Row],[D, bottom '[m']]]+WHOLE_STRUCTURE[[#This Row],[D, top '[m']]])/(2*WHOLE_STRUCTURE[[#This Row],[t '[mm']]]/1000),"")</f>
        <v/>
      </c>
    </row>
    <row r="366" spans="10:13" x14ac:dyDescent="0.3">
      <c r="J366" s="107" t="str">
        <f>IF(7850/1000*(1/3)*PI()*ABS(E366-F366)*((G366/2)^2+(G366/2)*(H366/2)+(H366/2)^2-(G366/2-I366/1000)^2-(G366/2-I366/1000)*(H366/2-I366/1000)-(H366/2-I366/1000)^2)=0,"",7850/1000*(1/3)*PI()*ABS(E366-F366)*((G366/2)^2+(G366/2)*(H366/2)+(H366/2)^2-(G366/2-I366/1000)^2-(G366/2-I366/1000)*(H366/2-I366/1000)-(H366/2-I366/1000)^2))</f>
        <v/>
      </c>
      <c r="K366" s="107" t="str">
        <f>IFERROR(WHOLE_STRUCTURE[[#This Row],[Bottom '[mLAT']]]-WHOLE_STRUCTURE[[#This Row],[D, top '[m']]], "")</f>
        <v/>
      </c>
      <c r="L366" s="107" t="str">
        <f>IFERROR(-(WHOLE_STRUCTURE[[#This Row],[D, bottom '[m']]]-WHOLE_STRUCTURE[[#This Row],[D, top '[m']]])/(WHOLE_STRUCTURE[[#This Row],[Bottom '[mLAT']]]-WHOLE_STRUCTURE[[#This Row],[Top '[mLAT']]]),"")</f>
        <v/>
      </c>
      <c r="M366" s="107" t="str">
        <f>IFERROR((WHOLE_STRUCTURE[[#This Row],[D, bottom '[m']]]+WHOLE_STRUCTURE[[#This Row],[D, top '[m']]])/(2*WHOLE_STRUCTURE[[#This Row],[t '[mm']]]/1000),"")</f>
        <v/>
      </c>
    </row>
    <row r="367" spans="10:13" x14ac:dyDescent="0.3">
      <c r="J367" s="107" t="str">
        <f>IF(7850/1000*(1/3)*PI()*ABS(E367-F367)*((G367/2)^2+(G367/2)*(H367/2)+(H367/2)^2-(G367/2-I367/1000)^2-(G367/2-I367/1000)*(H367/2-I367/1000)-(H367/2-I367/1000)^2)=0,"",7850/1000*(1/3)*PI()*ABS(E367-F367)*((G367/2)^2+(G367/2)*(H367/2)+(H367/2)^2-(G367/2-I367/1000)^2-(G367/2-I367/1000)*(H367/2-I367/1000)-(H367/2-I367/1000)^2))</f>
        <v/>
      </c>
      <c r="K367" s="107" t="str">
        <f>IFERROR(WHOLE_STRUCTURE[[#This Row],[Bottom '[mLAT']]]-WHOLE_STRUCTURE[[#This Row],[D, top '[m']]], "")</f>
        <v/>
      </c>
      <c r="L367" s="107" t="str">
        <f>IFERROR(-(WHOLE_STRUCTURE[[#This Row],[D, bottom '[m']]]-WHOLE_STRUCTURE[[#This Row],[D, top '[m']]])/(WHOLE_STRUCTURE[[#This Row],[Bottom '[mLAT']]]-WHOLE_STRUCTURE[[#This Row],[Top '[mLAT']]]),"")</f>
        <v/>
      </c>
      <c r="M367" s="107" t="str">
        <f>IFERROR((WHOLE_STRUCTURE[[#This Row],[D, bottom '[m']]]+WHOLE_STRUCTURE[[#This Row],[D, top '[m']]])/(2*WHOLE_STRUCTURE[[#This Row],[t '[mm']]]/1000),"")</f>
        <v/>
      </c>
    </row>
    <row r="368" spans="10:13" x14ac:dyDescent="0.3">
      <c r="J368" s="107" t="str">
        <f>IF(7850/1000*(1/3)*PI()*ABS(E368-F368)*((G368/2)^2+(G368/2)*(H368/2)+(H368/2)^2-(G368/2-I368/1000)^2-(G368/2-I368/1000)*(H368/2-I368/1000)-(H368/2-I368/1000)^2)=0,"",7850/1000*(1/3)*PI()*ABS(E368-F368)*((G368/2)^2+(G368/2)*(H368/2)+(H368/2)^2-(G368/2-I368/1000)^2-(G368/2-I368/1000)*(H368/2-I368/1000)-(H368/2-I368/1000)^2))</f>
        <v/>
      </c>
      <c r="K368" s="107" t="str">
        <f>IFERROR(WHOLE_STRUCTURE[[#This Row],[Bottom '[mLAT']]]-WHOLE_STRUCTURE[[#This Row],[D, top '[m']]], "")</f>
        <v/>
      </c>
      <c r="L368" s="107" t="str">
        <f>IFERROR(-(WHOLE_STRUCTURE[[#This Row],[D, bottom '[m']]]-WHOLE_STRUCTURE[[#This Row],[D, top '[m']]])/(WHOLE_STRUCTURE[[#This Row],[Bottom '[mLAT']]]-WHOLE_STRUCTURE[[#This Row],[Top '[mLAT']]]),"")</f>
        <v/>
      </c>
      <c r="M368" s="107" t="str">
        <f>IFERROR((WHOLE_STRUCTURE[[#This Row],[D, bottom '[m']]]+WHOLE_STRUCTURE[[#This Row],[D, top '[m']]])/(2*WHOLE_STRUCTURE[[#This Row],[t '[mm']]]/1000),"")</f>
        <v/>
      </c>
    </row>
    <row r="369" spans="10:13" x14ac:dyDescent="0.3">
      <c r="J369" s="107" t="str">
        <f>IF(7850/1000*(1/3)*PI()*ABS(E369-F369)*((G369/2)^2+(G369/2)*(H369/2)+(H369/2)^2-(G369/2-I369/1000)^2-(G369/2-I369/1000)*(H369/2-I369/1000)-(H369/2-I369/1000)^2)=0,"",7850/1000*(1/3)*PI()*ABS(E369-F369)*((G369/2)^2+(G369/2)*(H369/2)+(H369/2)^2-(G369/2-I369/1000)^2-(G369/2-I369/1000)*(H369/2-I369/1000)-(H369/2-I369/1000)^2))</f>
        <v/>
      </c>
      <c r="K369" s="107" t="str">
        <f>IFERROR(WHOLE_STRUCTURE[[#This Row],[Bottom '[mLAT']]]-WHOLE_STRUCTURE[[#This Row],[D, top '[m']]], "")</f>
        <v/>
      </c>
      <c r="L369" s="107" t="str">
        <f>IFERROR(-(WHOLE_STRUCTURE[[#This Row],[D, bottom '[m']]]-WHOLE_STRUCTURE[[#This Row],[D, top '[m']]])/(WHOLE_STRUCTURE[[#This Row],[Bottom '[mLAT']]]-WHOLE_STRUCTURE[[#This Row],[Top '[mLAT']]]),"")</f>
        <v/>
      </c>
      <c r="M369" s="107" t="str">
        <f>IFERROR((WHOLE_STRUCTURE[[#This Row],[D, bottom '[m']]]+WHOLE_STRUCTURE[[#This Row],[D, top '[m']]])/(2*WHOLE_STRUCTURE[[#This Row],[t '[mm']]]/1000),"")</f>
        <v/>
      </c>
    </row>
    <row r="370" spans="10:13" x14ac:dyDescent="0.3">
      <c r="J370" s="107" t="str">
        <f>IF(7850/1000*(1/3)*PI()*ABS(E370-F370)*((G370/2)^2+(G370/2)*(H370/2)+(H370/2)^2-(G370/2-I370/1000)^2-(G370/2-I370/1000)*(H370/2-I370/1000)-(H370/2-I370/1000)^2)=0,"",7850/1000*(1/3)*PI()*ABS(E370-F370)*((G370/2)^2+(G370/2)*(H370/2)+(H370/2)^2-(G370/2-I370/1000)^2-(G370/2-I370/1000)*(H370/2-I370/1000)-(H370/2-I370/1000)^2))</f>
        <v/>
      </c>
      <c r="K370" s="107" t="str">
        <f>IFERROR(WHOLE_STRUCTURE[[#This Row],[Bottom '[mLAT']]]-WHOLE_STRUCTURE[[#This Row],[D, top '[m']]], "")</f>
        <v/>
      </c>
      <c r="L370" s="107" t="str">
        <f>IFERROR(-(WHOLE_STRUCTURE[[#This Row],[D, bottom '[m']]]-WHOLE_STRUCTURE[[#This Row],[D, top '[m']]])/(WHOLE_STRUCTURE[[#This Row],[Bottom '[mLAT']]]-WHOLE_STRUCTURE[[#This Row],[Top '[mLAT']]]),"")</f>
        <v/>
      </c>
      <c r="M370" s="107" t="str">
        <f>IFERROR((WHOLE_STRUCTURE[[#This Row],[D, bottom '[m']]]+WHOLE_STRUCTURE[[#This Row],[D, top '[m']]])/(2*WHOLE_STRUCTURE[[#This Row],[t '[mm']]]/1000),"")</f>
        <v/>
      </c>
    </row>
    <row r="371" spans="10:13" x14ac:dyDescent="0.3">
      <c r="J371" s="107" t="str">
        <f>IF(7850/1000*(1/3)*PI()*ABS(E371-F371)*((G371/2)^2+(G371/2)*(H371/2)+(H371/2)^2-(G371/2-I371/1000)^2-(G371/2-I371/1000)*(H371/2-I371/1000)-(H371/2-I371/1000)^2)=0,"",7850/1000*(1/3)*PI()*ABS(E371-F371)*((G371/2)^2+(G371/2)*(H371/2)+(H371/2)^2-(G371/2-I371/1000)^2-(G371/2-I371/1000)*(H371/2-I371/1000)-(H371/2-I371/1000)^2))</f>
        <v/>
      </c>
      <c r="K371" s="107" t="str">
        <f>IFERROR(WHOLE_STRUCTURE[[#This Row],[Bottom '[mLAT']]]-WHOLE_STRUCTURE[[#This Row],[D, top '[m']]], "")</f>
        <v/>
      </c>
      <c r="L371" s="107" t="str">
        <f>IFERROR(-(WHOLE_STRUCTURE[[#This Row],[D, bottom '[m']]]-WHOLE_STRUCTURE[[#This Row],[D, top '[m']]])/(WHOLE_STRUCTURE[[#This Row],[Bottom '[mLAT']]]-WHOLE_STRUCTURE[[#This Row],[Top '[mLAT']]]),"")</f>
        <v/>
      </c>
      <c r="M371" s="107" t="str">
        <f>IFERROR((WHOLE_STRUCTURE[[#This Row],[D, bottom '[m']]]+WHOLE_STRUCTURE[[#This Row],[D, top '[m']]])/(2*WHOLE_STRUCTURE[[#This Row],[t '[mm']]]/1000),"")</f>
        <v/>
      </c>
    </row>
    <row r="372" spans="10:13" x14ac:dyDescent="0.3">
      <c r="J372" s="107" t="str">
        <f>IF(7850/1000*(1/3)*PI()*ABS(E372-F372)*((G372/2)^2+(G372/2)*(H372/2)+(H372/2)^2-(G372/2-I372/1000)^2-(G372/2-I372/1000)*(H372/2-I372/1000)-(H372/2-I372/1000)^2)=0,"",7850/1000*(1/3)*PI()*ABS(E372-F372)*((G372/2)^2+(G372/2)*(H372/2)+(H372/2)^2-(G372/2-I372/1000)^2-(G372/2-I372/1000)*(H372/2-I372/1000)-(H372/2-I372/1000)^2))</f>
        <v/>
      </c>
      <c r="K372" s="107" t="str">
        <f>IFERROR(WHOLE_STRUCTURE[[#This Row],[Bottom '[mLAT']]]-WHOLE_STRUCTURE[[#This Row],[D, top '[m']]], "")</f>
        <v/>
      </c>
      <c r="L372" s="107" t="str">
        <f>IFERROR(-(WHOLE_STRUCTURE[[#This Row],[D, bottom '[m']]]-WHOLE_STRUCTURE[[#This Row],[D, top '[m']]])/(WHOLE_STRUCTURE[[#This Row],[Bottom '[mLAT']]]-WHOLE_STRUCTURE[[#This Row],[Top '[mLAT']]]),"")</f>
        <v/>
      </c>
      <c r="M372" s="107" t="str">
        <f>IFERROR((WHOLE_STRUCTURE[[#This Row],[D, bottom '[m']]]+WHOLE_STRUCTURE[[#This Row],[D, top '[m']]])/(2*WHOLE_STRUCTURE[[#This Row],[t '[mm']]]/1000),"")</f>
        <v/>
      </c>
    </row>
    <row r="373" spans="10:13" x14ac:dyDescent="0.3">
      <c r="J373" s="107" t="str">
        <f>IF(7850/1000*(1/3)*PI()*ABS(E373-F373)*((G373/2)^2+(G373/2)*(H373/2)+(H373/2)^2-(G373/2-I373/1000)^2-(G373/2-I373/1000)*(H373/2-I373/1000)-(H373/2-I373/1000)^2)=0,"",7850/1000*(1/3)*PI()*ABS(E373-F373)*((G373/2)^2+(G373/2)*(H373/2)+(H373/2)^2-(G373/2-I373/1000)^2-(G373/2-I373/1000)*(H373/2-I373/1000)-(H373/2-I373/1000)^2))</f>
        <v/>
      </c>
      <c r="K373" s="107" t="str">
        <f>IFERROR(WHOLE_STRUCTURE[[#This Row],[Bottom '[mLAT']]]-WHOLE_STRUCTURE[[#This Row],[D, top '[m']]], "")</f>
        <v/>
      </c>
      <c r="L373" s="107" t="str">
        <f>IFERROR(-(WHOLE_STRUCTURE[[#This Row],[D, bottom '[m']]]-WHOLE_STRUCTURE[[#This Row],[D, top '[m']]])/(WHOLE_STRUCTURE[[#This Row],[Bottom '[mLAT']]]-WHOLE_STRUCTURE[[#This Row],[Top '[mLAT']]]),"")</f>
        <v/>
      </c>
      <c r="M373" s="107" t="str">
        <f>IFERROR((WHOLE_STRUCTURE[[#This Row],[D, bottom '[m']]]+WHOLE_STRUCTURE[[#This Row],[D, top '[m']]])/(2*WHOLE_STRUCTURE[[#This Row],[t '[mm']]]/1000),"")</f>
        <v/>
      </c>
    </row>
    <row r="374" spans="10:13" x14ac:dyDescent="0.3">
      <c r="J374" s="107" t="str">
        <f>IF(7850/1000*(1/3)*PI()*ABS(E374-F374)*((G374/2)^2+(G374/2)*(H374/2)+(H374/2)^2-(G374/2-I374/1000)^2-(G374/2-I374/1000)*(H374/2-I374/1000)-(H374/2-I374/1000)^2)=0,"",7850/1000*(1/3)*PI()*ABS(E374-F374)*((G374/2)^2+(G374/2)*(H374/2)+(H374/2)^2-(G374/2-I374/1000)^2-(G374/2-I374/1000)*(H374/2-I374/1000)-(H374/2-I374/1000)^2))</f>
        <v/>
      </c>
      <c r="K374" s="107" t="str">
        <f>IFERROR(WHOLE_STRUCTURE[[#This Row],[Bottom '[mLAT']]]-WHOLE_STRUCTURE[[#This Row],[D, top '[m']]], "")</f>
        <v/>
      </c>
      <c r="L374" s="107" t="str">
        <f>IFERROR(-(WHOLE_STRUCTURE[[#This Row],[D, bottom '[m']]]-WHOLE_STRUCTURE[[#This Row],[D, top '[m']]])/(WHOLE_STRUCTURE[[#This Row],[Bottom '[mLAT']]]-WHOLE_STRUCTURE[[#This Row],[Top '[mLAT']]]),"")</f>
        <v/>
      </c>
      <c r="M374" s="107" t="str">
        <f>IFERROR((WHOLE_STRUCTURE[[#This Row],[D, bottom '[m']]]+WHOLE_STRUCTURE[[#This Row],[D, top '[m']]])/(2*WHOLE_STRUCTURE[[#This Row],[t '[mm']]]/1000),"")</f>
        <v/>
      </c>
    </row>
    <row r="375" spans="10:13" x14ac:dyDescent="0.3">
      <c r="J375" s="107" t="str">
        <f>IF(7850/1000*(1/3)*PI()*ABS(E375-F375)*((G375/2)^2+(G375/2)*(H375/2)+(H375/2)^2-(G375/2-I375/1000)^2-(G375/2-I375/1000)*(H375/2-I375/1000)-(H375/2-I375/1000)^2)=0,"",7850/1000*(1/3)*PI()*ABS(E375-F375)*((G375/2)^2+(G375/2)*(H375/2)+(H375/2)^2-(G375/2-I375/1000)^2-(G375/2-I375/1000)*(H375/2-I375/1000)-(H375/2-I375/1000)^2))</f>
        <v/>
      </c>
      <c r="K375" s="107" t="str">
        <f>IFERROR(WHOLE_STRUCTURE[[#This Row],[Bottom '[mLAT']]]-WHOLE_STRUCTURE[[#This Row],[D, top '[m']]], "")</f>
        <v/>
      </c>
      <c r="L375" s="107" t="str">
        <f>IFERROR(-(WHOLE_STRUCTURE[[#This Row],[D, bottom '[m']]]-WHOLE_STRUCTURE[[#This Row],[D, top '[m']]])/(WHOLE_STRUCTURE[[#This Row],[Bottom '[mLAT']]]-WHOLE_STRUCTURE[[#This Row],[Top '[mLAT']]]),"")</f>
        <v/>
      </c>
      <c r="M375" s="107" t="str">
        <f>IFERROR((WHOLE_STRUCTURE[[#This Row],[D, bottom '[m']]]+WHOLE_STRUCTURE[[#This Row],[D, top '[m']]])/(2*WHOLE_STRUCTURE[[#This Row],[t '[mm']]]/1000),"")</f>
        <v/>
      </c>
    </row>
    <row r="376" spans="10:13" x14ac:dyDescent="0.3">
      <c r="J376" s="107" t="str">
        <f>IF(7850/1000*(1/3)*PI()*ABS(E376-F376)*((G376/2)^2+(G376/2)*(H376/2)+(H376/2)^2-(G376/2-I376/1000)^2-(G376/2-I376/1000)*(H376/2-I376/1000)-(H376/2-I376/1000)^2)=0,"",7850/1000*(1/3)*PI()*ABS(E376-F376)*((G376/2)^2+(G376/2)*(H376/2)+(H376/2)^2-(G376/2-I376/1000)^2-(G376/2-I376/1000)*(H376/2-I376/1000)-(H376/2-I376/1000)^2))</f>
        <v/>
      </c>
      <c r="K376" s="107" t="str">
        <f>IFERROR(WHOLE_STRUCTURE[[#This Row],[Bottom '[mLAT']]]-WHOLE_STRUCTURE[[#This Row],[D, top '[m']]], "")</f>
        <v/>
      </c>
      <c r="L376" s="107" t="str">
        <f>IFERROR(-(WHOLE_STRUCTURE[[#This Row],[D, bottom '[m']]]-WHOLE_STRUCTURE[[#This Row],[D, top '[m']]])/(WHOLE_STRUCTURE[[#This Row],[Bottom '[mLAT']]]-WHOLE_STRUCTURE[[#This Row],[Top '[mLAT']]]),"")</f>
        <v/>
      </c>
      <c r="M376" s="107" t="str">
        <f>IFERROR((WHOLE_STRUCTURE[[#This Row],[D, bottom '[m']]]+WHOLE_STRUCTURE[[#This Row],[D, top '[m']]])/(2*WHOLE_STRUCTURE[[#This Row],[t '[mm']]]/1000),"")</f>
        <v/>
      </c>
    </row>
    <row r="377" spans="10:13" x14ac:dyDescent="0.3">
      <c r="J377" s="107" t="str">
        <f>IF(7850/1000*(1/3)*PI()*ABS(E377-F377)*((G377/2)^2+(G377/2)*(H377/2)+(H377/2)^2-(G377/2-I377/1000)^2-(G377/2-I377/1000)*(H377/2-I377/1000)-(H377/2-I377/1000)^2)=0,"",7850/1000*(1/3)*PI()*ABS(E377-F377)*((G377/2)^2+(G377/2)*(H377/2)+(H377/2)^2-(G377/2-I377/1000)^2-(G377/2-I377/1000)*(H377/2-I377/1000)-(H377/2-I377/1000)^2))</f>
        <v/>
      </c>
      <c r="K377" s="107" t="str">
        <f>IFERROR(WHOLE_STRUCTURE[[#This Row],[Bottom '[mLAT']]]-WHOLE_STRUCTURE[[#This Row],[D, top '[m']]], "")</f>
        <v/>
      </c>
      <c r="L377" s="107" t="str">
        <f>IFERROR(-(WHOLE_STRUCTURE[[#This Row],[D, bottom '[m']]]-WHOLE_STRUCTURE[[#This Row],[D, top '[m']]])/(WHOLE_STRUCTURE[[#This Row],[Bottom '[mLAT']]]-WHOLE_STRUCTURE[[#This Row],[Top '[mLAT']]]),"")</f>
        <v/>
      </c>
      <c r="M377" s="107" t="str">
        <f>IFERROR((WHOLE_STRUCTURE[[#This Row],[D, bottom '[m']]]+WHOLE_STRUCTURE[[#This Row],[D, top '[m']]])/(2*WHOLE_STRUCTURE[[#This Row],[t '[mm']]]/1000),"")</f>
        <v/>
      </c>
    </row>
    <row r="378" spans="10:13" x14ac:dyDescent="0.3">
      <c r="J378" s="107" t="str">
        <f>IF(7850/1000*(1/3)*PI()*ABS(E378-F378)*((G378/2)^2+(G378/2)*(H378/2)+(H378/2)^2-(G378/2-I378/1000)^2-(G378/2-I378/1000)*(H378/2-I378/1000)-(H378/2-I378/1000)^2)=0,"",7850/1000*(1/3)*PI()*ABS(E378-F378)*((G378/2)^2+(G378/2)*(H378/2)+(H378/2)^2-(G378/2-I378/1000)^2-(G378/2-I378/1000)*(H378/2-I378/1000)-(H378/2-I378/1000)^2))</f>
        <v/>
      </c>
      <c r="K378" s="107" t="str">
        <f>IFERROR(WHOLE_STRUCTURE[[#This Row],[Bottom '[mLAT']]]-WHOLE_STRUCTURE[[#This Row],[D, top '[m']]], "")</f>
        <v/>
      </c>
      <c r="L378" s="107" t="str">
        <f>IFERROR(-(WHOLE_STRUCTURE[[#This Row],[D, bottom '[m']]]-WHOLE_STRUCTURE[[#This Row],[D, top '[m']]])/(WHOLE_STRUCTURE[[#This Row],[Bottom '[mLAT']]]-WHOLE_STRUCTURE[[#This Row],[Top '[mLAT']]]),"")</f>
        <v/>
      </c>
      <c r="M378" s="107" t="str">
        <f>IFERROR((WHOLE_STRUCTURE[[#This Row],[D, bottom '[m']]]+WHOLE_STRUCTURE[[#This Row],[D, top '[m']]])/(2*WHOLE_STRUCTURE[[#This Row],[t '[mm']]]/1000),"")</f>
        <v/>
      </c>
    </row>
    <row r="379" spans="10:13" x14ac:dyDescent="0.3">
      <c r="J379" s="107" t="str">
        <f>IF(7850/1000*(1/3)*PI()*ABS(E379-F379)*((G379/2)^2+(G379/2)*(H379/2)+(H379/2)^2-(G379/2-I379/1000)^2-(G379/2-I379/1000)*(H379/2-I379/1000)-(H379/2-I379/1000)^2)=0,"",7850/1000*(1/3)*PI()*ABS(E379-F379)*((G379/2)^2+(G379/2)*(H379/2)+(H379/2)^2-(G379/2-I379/1000)^2-(G379/2-I379/1000)*(H379/2-I379/1000)-(H379/2-I379/1000)^2))</f>
        <v/>
      </c>
      <c r="K379" s="107" t="str">
        <f>IFERROR(WHOLE_STRUCTURE[[#This Row],[Bottom '[mLAT']]]-WHOLE_STRUCTURE[[#This Row],[D, top '[m']]], "")</f>
        <v/>
      </c>
      <c r="L379" s="107" t="str">
        <f>IFERROR(-(WHOLE_STRUCTURE[[#This Row],[D, bottom '[m']]]-WHOLE_STRUCTURE[[#This Row],[D, top '[m']]])/(WHOLE_STRUCTURE[[#This Row],[Bottom '[mLAT']]]-WHOLE_STRUCTURE[[#This Row],[Top '[mLAT']]]),"")</f>
        <v/>
      </c>
      <c r="M379" s="107" t="str">
        <f>IFERROR((WHOLE_STRUCTURE[[#This Row],[D, bottom '[m']]]+WHOLE_STRUCTURE[[#This Row],[D, top '[m']]])/(2*WHOLE_STRUCTURE[[#This Row],[t '[mm']]]/1000),"")</f>
        <v/>
      </c>
    </row>
    <row r="380" spans="10:13" x14ac:dyDescent="0.3">
      <c r="J380" s="107" t="str">
        <f>IF(7850/1000*(1/3)*PI()*ABS(E380-F380)*((G380/2)^2+(G380/2)*(H380/2)+(H380/2)^2-(G380/2-I380/1000)^2-(G380/2-I380/1000)*(H380/2-I380/1000)-(H380/2-I380/1000)^2)=0,"",7850/1000*(1/3)*PI()*ABS(E380-F380)*((G380/2)^2+(G380/2)*(H380/2)+(H380/2)^2-(G380/2-I380/1000)^2-(G380/2-I380/1000)*(H380/2-I380/1000)-(H380/2-I380/1000)^2))</f>
        <v/>
      </c>
      <c r="K380" s="107" t="str">
        <f>IFERROR(WHOLE_STRUCTURE[[#This Row],[Bottom '[mLAT']]]-WHOLE_STRUCTURE[[#This Row],[D, top '[m']]], "")</f>
        <v/>
      </c>
      <c r="L380" s="107" t="str">
        <f>IFERROR(-(WHOLE_STRUCTURE[[#This Row],[D, bottom '[m']]]-WHOLE_STRUCTURE[[#This Row],[D, top '[m']]])/(WHOLE_STRUCTURE[[#This Row],[Bottom '[mLAT']]]-WHOLE_STRUCTURE[[#This Row],[Top '[mLAT']]]),"")</f>
        <v/>
      </c>
      <c r="M380" s="107" t="str">
        <f>IFERROR((WHOLE_STRUCTURE[[#This Row],[D, bottom '[m']]]+WHOLE_STRUCTURE[[#This Row],[D, top '[m']]])/(2*WHOLE_STRUCTURE[[#This Row],[t '[mm']]]/1000),"")</f>
        <v/>
      </c>
    </row>
    <row r="381" spans="10:13" x14ac:dyDescent="0.3">
      <c r="J381" s="107" t="str">
        <f>IF(7850/1000*(1/3)*PI()*ABS(E381-F381)*((G381/2)^2+(G381/2)*(H381/2)+(H381/2)^2-(G381/2-I381/1000)^2-(G381/2-I381/1000)*(H381/2-I381/1000)-(H381/2-I381/1000)^2)=0,"",7850/1000*(1/3)*PI()*ABS(E381-F381)*((G381/2)^2+(G381/2)*(H381/2)+(H381/2)^2-(G381/2-I381/1000)^2-(G381/2-I381/1000)*(H381/2-I381/1000)-(H381/2-I381/1000)^2))</f>
        <v/>
      </c>
      <c r="K381" s="107" t="str">
        <f>IFERROR(WHOLE_STRUCTURE[[#This Row],[Bottom '[mLAT']]]-WHOLE_STRUCTURE[[#This Row],[D, top '[m']]], "")</f>
        <v/>
      </c>
      <c r="L381" s="107" t="str">
        <f>IFERROR(-(WHOLE_STRUCTURE[[#This Row],[D, bottom '[m']]]-WHOLE_STRUCTURE[[#This Row],[D, top '[m']]])/(WHOLE_STRUCTURE[[#This Row],[Bottom '[mLAT']]]-WHOLE_STRUCTURE[[#This Row],[Top '[mLAT']]]),"")</f>
        <v/>
      </c>
      <c r="M381" s="107" t="str">
        <f>IFERROR((WHOLE_STRUCTURE[[#This Row],[D, bottom '[m']]]+WHOLE_STRUCTURE[[#This Row],[D, top '[m']]])/(2*WHOLE_STRUCTURE[[#This Row],[t '[mm']]]/1000),"")</f>
        <v/>
      </c>
    </row>
    <row r="382" spans="10:13" x14ac:dyDescent="0.3">
      <c r="J382" s="107" t="str">
        <f>IF(7850/1000*(1/3)*PI()*ABS(E382-F382)*((G382/2)^2+(G382/2)*(H382/2)+(H382/2)^2-(G382/2-I382/1000)^2-(G382/2-I382/1000)*(H382/2-I382/1000)-(H382/2-I382/1000)^2)=0,"",7850/1000*(1/3)*PI()*ABS(E382-F382)*((G382/2)^2+(G382/2)*(H382/2)+(H382/2)^2-(G382/2-I382/1000)^2-(G382/2-I382/1000)*(H382/2-I382/1000)-(H382/2-I382/1000)^2))</f>
        <v/>
      </c>
      <c r="K382" s="107" t="str">
        <f>IFERROR(WHOLE_STRUCTURE[[#This Row],[Bottom '[mLAT']]]-WHOLE_STRUCTURE[[#This Row],[D, top '[m']]], "")</f>
        <v/>
      </c>
      <c r="L382" s="107" t="str">
        <f>IFERROR(-(WHOLE_STRUCTURE[[#This Row],[D, bottom '[m']]]-WHOLE_STRUCTURE[[#This Row],[D, top '[m']]])/(WHOLE_STRUCTURE[[#This Row],[Bottom '[mLAT']]]-WHOLE_STRUCTURE[[#This Row],[Top '[mLAT']]]),"")</f>
        <v/>
      </c>
      <c r="M382" s="107" t="str">
        <f>IFERROR((WHOLE_STRUCTURE[[#This Row],[D, bottom '[m']]]+WHOLE_STRUCTURE[[#This Row],[D, top '[m']]])/(2*WHOLE_STRUCTURE[[#This Row],[t '[mm']]]/1000),"")</f>
        <v/>
      </c>
    </row>
    <row r="383" spans="10:13" x14ac:dyDescent="0.3">
      <c r="J383" s="107" t="str">
        <f>IF(7850/1000*(1/3)*PI()*ABS(E383-F383)*((G383/2)^2+(G383/2)*(H383/2)+(H383/2)^2-(G383/2-I383/1000)^2-(G383/2-I383/1000)*(H383/2-I383/1000)-(H383/2-I383/1000)^2)=0,"",7850/1000*(1/3)*PI()*ABS(E383-F383)*((G383/2)^2+(G383/2)*(H383/2)+(H383/2)^2-(G383/2-I383/1000)^2-(G383/2-I383/1000)*(H383/2-I383/1000)-(H383/2-I383/1000)^2))</f>
        <v/>
      </c>
      <c r="K383" s="107" t="str">
        <f>IFERROR(WHOLE_STRUCTURE[[#This Row],[Bottom '[mLAT']]]-WHOLE_STRUCTURE[[#This Row],[D, top '[m']]], "")</f>
        <v/>
      </c>
      <c r="L383" s="107" t="str">
        <f>IFERROR(-(WHOLE_STRUCTURE[[#This Row],[D, bottom '[m']]]-WHOLE_STRUCTURE[[#This Row],[D, top '[m']]])/(WHOLE_STRUCTURE[[#This Row],[Bottom '[mLAT']]]-WHOLE_STRUCTURE[[#This Row],[Top '[mLAT']]]),"")</f>
        <v/>
      </c>
      <c r="M383" s="107" t="str">
        <f>IFERROR((WHOLE_STRUCTURE[[#This Row],[D, bottom '[m']]]+WHOLE_STRUCTURE[[#This Row],[D, top '[m']]])/(2*WHOLE_STRUCTURE[[#This Row],[t '[mm']]]/1000),"")</f>
        <v/>
      </c>
    </row>
    <row r="384" spans="10:13" x14ac:dyDescent="0.3">
      <c r="J384" s="107" t="str">
        <f>IF(7850/1000*(1/3)*PI()*ABS(E384-F384)*((G384/2)^2+(G384/2)*(H384/2)+(H384/2)^2-(G384/2-I384/1000)^2-(G384/2-I384/1000)*(H384/2-I384/1000)-(H384/2-I384/1000)^2)=0,"",7850/1000*(1/3)*PI()*ABS(E384-F384)*((G384/2)^2+(G384/2)*(H384/2)+(H384/2)^2-(G384/2-I384/1000)^2-(G384/2-I384/1000)*(H384/2-I384/1000)-(H384/2-I384/1000)^2))</f>
        <v/>
      </c>
      <c r="K384" s="107" t="str">
        <f>IFERROR(WHOLE_STRUCTURE[[#This Row],[Bottom '[mLAT']]]-WHOLE_STRUCTURE[[#This Row],[D, top '[m']]], "")</f>
        <v/>
      </c>
      <c r="L384" s="107" t="str">
        <f>IFERROR(-(WHOLE_STRUCTURE[[#This Row],[D, bottom '[m']]]-WHOLE_STRUCTURE[[#This Row],[D, top '[m']]])/(WHOLE_STRUCTURE[[#This Row],[Bottom '[mLAT']]]-WHOLE_STRUCTURE[[#This Row],[Top '[mLAT']]]),"")</f>
        <v/>
      </c>
      <c r="M384" s="107" t="str">
        <f>IFERROR((WHOLE_STRUCTURE[[#This Row],[D, bottom '[m']]]+WHOLE_STRUCTURE[[#This Row],[D, top '[m']]])/(2*WHOLE_STRUCTURE[[#This Row],[t '[mm']]]/1000),"")</f>
        <v/>
      </c>
    </row>
    <row r="385" spans="10:13" x14ac:dyDescent="0.3">
      <c r="J385" s="107" t="str">
        <f>IF(7850/1000*(1/3)*PI()*ABS(E385-F385)*((G385/2)^2+(G385/2)*(H385/2)+(H385/2)^2-(G385/2-I385/1000)^2-(G385/2-I385/1000)*(H385/2-I385/1000)-(H385/2-I385/1000)^2)=0,"",7850/1000*(1/3)*PI()*ABS(E385-F385)*((G385/2)^2+(G385/2)*(H385/2)+(H385/2)^2-(G385/2-I385/1000)^2-(G385/2-I385/1000)*(H385/2-I385/1000)-(H385/2-I385/1000)^2))</f>
        <v/>
      </c>
      <c r="K385" s="107" t="str">
        <f>IFERROR(WHOLE_STRUCTURE[[#This Row],[Bottom '[mLAT']]]-WHOLE_STRUCTURE[[#This Row],[D, top '[m']]], "")</f>
        <v/>
      </c>
      <c r="L385" s="107" t="str">
        <f>IFERROR(-(WHOLE_STRUCTURE[[#This Row],[D, bottom '[m']]]-WHOLE_STRUCTURE[[#This Row],[D, top '[m']]])/(WHOLE_STRUCTURE[[#This Row],[Bottom '[mLAT']]]-WHOLE_STRUCTURE[[#This Row],[Top '[mLAT']]]),"")</f>
        <v/>
      </c>
      <c r="M385" s="107" t="str">
        <f>IFERROR((WHOLE_STRUCTURE[[#This Row],[D, bottom '[m']]]+WHOLE_STRUCTURE[[#This Row],[D, top '[m']]])/(2*WHOLE_STRUCTURE[[#This Row],[t '[mm']]]/1000),"")</f>
        <v/>
      </c>
    </row>
    <row r="386" spans="10:13" x14ac:dyDescent="0.3">
      <c r="J386" s="107" t="str">
        <f>IF(7850/1000*(1/3)*PI()*ABS(E386-F386)*((G386/2)^2+(G386/2)*(H386/2)+(H386/2)^2-(G386/2-I386/1000)^2-(G386/2-I386/1000)*(H386/2-I386/1000)-(H386/2-I386/1000)^2)=0,"",7850/1000*(1/3)*PI()*ABS(E386-F386)*((G386/2)^2+(G386/2)*(H386/2)+(H386/2)^2-(G386/2-I386/1000)^2-(G386/2-I386/1000)*(H386/2-I386/1000)-(H386/2-I386/1000)^2))</f>
        <v/>
      </c>
      <c r="K386" s="107" t="str">
        <f>IFERROR(WHOLE_STRUCTURE[[#This Row],[Bottom '[mLAT']]]-WHOLE_STRUCTURE[[#This Row],[D, top '[m']]], "")</f>
        <v/>
      </c>
      <c r="L386" s="107" t="str">
        <f>IFERROR(-(WHOLE_STRUCTURE[[#This Row],[D, bottom '[m']]]-WHOLE_STRUCTURE[[#This Row],[D, top '[m']]])/(WHOLE_STRUCTURE[[#This Row],[Bottom '[mLAT']]]-WHOLE_STRUCTURE[[#This Row],[Top '[mLAT']]]),"")</f>
        <v/>
      </c>
      <c r="M386" s="107" t="str">
        <f>IFERROR((WHOLE_STRUCTURE[[#This Row],[D, bottom '[m']]]+WHOLE_STRUCTURE[[#This Row],[D, top '[m']]])/(2*WHOLE_STRUCTURE[[#This Row],[t '[mm']]]/1000),"")</f>
        <v/>
      </c>
    </row>
    <row r="387" spans="10:13" x14ac:dyDescent="0.3">
      <c r="J387" s="107" t="str">
        <f>IF(7850/1000*(1/3)*PI()*ABS(E387-F387)*((G387/2)^2+(G387/2)*(H387/2)+(H387/2)^2-(G387/2-I387/1000)^2-(G387/2-I387/1000)*(H387/2-I387/1000)-(H387/2-I387/1000)^2)=0,"",7850/1000*(1/3)*PI()*ABS(E387-F387)*((G387/2)^2+(G387/2)*(H387/2)+(H387/2)^2-(G387/2-I387/1000)^2-(G387/2-I387/1000)*(H387/2-I387/1000)-(H387/2-I387/1000)^2))</f>
        <v/>
      </c>
      <c r="K387" s="107" t="str">
        <f>IFERROR(WHOLE_STRUCTURE[[#This Row],[Bottom '[mLAT']]]-WHOLE_STRUCTURE[[#This Row],[D, top '[m']]], "")</f>
        <v/>
      </c>
      <c r="L387" s="107" t="str">
        <f>IFERROR(-(WHOLE_STRUCTURE[[#This Row],[D, bottom '[m']]]-WHOLE_STRUCTURE[[#This Row],[D, top '[m']]])/(WHOLE_STRUCTURE[[#This Row],[Bottom '[mLAT']]]-WHOLE_STRUCTURE[[#This Row],[Top '[mLAT']]]),"")</f>
        <v/>
      </c>
      <c r="M387" s="107" t="str">
        <f>IFERROR((WHOLE_STRUCTURE[[#This Row],[D, bottom '[m']]]+WHOLE_STRUCTURE[[#This Row],[D, top '[m']]])/(2*WHOLE_STRUCTURE[[#This Row],[t '[mm']]]/1000),"")</f>
        <v/>
      </c>
    </row>
    <row r="388" spans="10:13" x14ac:dyDescent="0.3">
      <c r="J388" s="107" t="str">
        <f>IF(7850/1000*(1/3)*PI()*ABS(E388-F388)*((G388/2)^2+(G388/2)*(H388/2)+(H388/2)^2-(G388/2-I388/1000)^2-(G388/2-I388/1000)*(H388/2-I388/1000)-(H388/2-I388/1000)^2)=0,"",7850/1000*(1/3)*PI()*ABS(E388-F388)*((G388/2)^2+(G388/2)*(H388/2)+(H388/2)^2-(G388/2-I388/1000)^2-(G388/2-I388/1000)*(H388/2-I388/1000)-(H388/2-I388/1000)^2))</f>
        <v/>
      </c>
      <c r="K388" s="107" t="str">
        <f>IFERROR(WHOLE_STRUCTURE[[#This Row],[Bottom '[mLAT']]]-WHOLE_STRUCTURE[[#This Row],[D, top '[m']]], "")</f>
        <v/>
      </c>
      <c r="L388" s="107" t="str">
        <f>IFERROR(-(WHOLE_STRUCTURE[[#This Row],[D, bottom '[m']]]-WHOLE_STRUCTURE[[#This Row],[D, top '[m']]])/(WHOLE_STRUCTURE[[#This Row],[Bottom '[mLAT']]]-WHOLE_STRUCTURE[[#This Row],[Top '[mLAT']]]),"")</f>
        <v/>
      </c>
      <c r="M388" s="107" t="str">
        <f>IFERROR((WHOLE_STRUCTURE[[#This Row],[D, bottom '[m']]]+WHOLE_STRUCTURE[[#This Row],[D, top '[m']]])/(2*WHOLE_STRUCTURE[[#This Row],[t '[mm']]]/1000),"")</f>
        <v/>
      </c>
    </row>
    <row r="389" spans="10:13" x14ac:dyDescent="0.3">
      <c r="J389" s="107" t="str">
        <f>IF(7850/1000*(1/3)*PI()*ABS(E389-F389)*((G389/2)^2+(G389/2)*(H389/2)+(H389/2)^2-(G389/2-I389/1000)^2-(G389/2-I389/1000)*(H389/2-I389/1000)-(H389/2-I389/1000)^2)=0,"",7850/1000*(1/3)*PI()*ABS(E389-F389)*((G389/2)^2+(G389/2)*(H389/2)+(H389/2)^2-(G389/2-I389/1000)^2-(G389/2-I389/1000)*(H389/2-I389/1000)-(H389/2-I389/1000)^2))</f>
        <v/>
      </c>
      <c r="K389" s="107" t="str">
        <f>IFERROR(WHOLE_STRUCTURE[[#This Row],[Bottom '[mLAT']]]-WHOLE_STRUCTURE[[#This Row],[D, top '[m']]], "")</f>
        <v/>
      </c>
      <c r="L389" s="107" t="str">
        <f>IFERROR(-(WHOLE_STRUCTURE[[#This Row],[D, bottom '[m']]]-WHOLE_STRUCTURE[[#This Row],[D, top '[m']]])/(WHOLE_STRUCTURE[[#This Row],[Bottom '[mLAT']]]-WHOLE_STRUCTURE[[#This Row],[Top '[mLAT']]]),"")</f>
        <v/>
      </c>
      <c r="M389" s="107" t="str">
        <f>IFERROR((WHOLE_STRUCTURE[[#This Row],[D, bottom '[m']]]+WHOLE_STRUCTURE[[#This Row],[D, top '[m']]])/(2*WHOLE_STRUCTURE[[#This Row],[t '[mm']]]/1000),"")</f>
        <v/>
      </c>
    </row>
    <row r="390" spans="10:13" x14ac:dyDescent="0.3">
      <c r="J390" s="107" t="str">
        <f>IF(7850/1000*(1/3)*PI()*ABS(E390-F390)*((G390/2)^2+(G390/2)*(H390/2)+(H390/2)^2-(G390/2-I390/1000)^2-(G390/2-I390/1000)*(H390/2-I390/1000)-(H390/2-I390/1000)^2)=0,"",7850/1000*(1/3)*PI()*ABS(E390-F390)*((G390/2)^2+(G390/2)*(H390/2)+(H390/2)^2-(G390/2-I390/1000)^2-(G390/2-I390/1000)*(H390/2-I390/1000)-(H390/2-I390/1000)^2))</f>
        <v/>
      </c>
      <c r="K390" s="107" t="str">
        <f>IFERROR(WHOLE_STRUCTURE[[#This Row],[Bottom '[mLAT']]]-WHOLE_STRUCTURE[[#This Row],[D, top '[m']]], "")</f>
        <v/>
      </c>
      <c r="L390" s="107" t="str">
        <f>IFERROR(-(WHOLE_STRUCTURE[[#This Row],[D, bottom '[m']]]-WHOLE_STRUCTURE[[#This Row],[D, top '[m']]])/(WHOLE_STRUCTURE[[#This Row],[Bottom '[mLAT']]]-WHOLE_STRUCTURE[[#This Row],[Top '[mLAT']]]),"")</f>
        <v/>
      </c>
      <c r="M390" s="107" t="str">
        <f>IFERROR((WHOLE_STRUCTURE[[#This Row],[D, bottom '[m']]]+WHOLE_STRUCTURE[[#This Row],[D, top '[m']]])/(2*WHOLE_STRUCTURE[[#This Row],[t '[mm']]]/1000),"")</f>
        <v/>
      </c>
    </row>
    <row r="391" spans="10:13" x14ac:dyDescent="0.3">
      <c r="J391" s="107" t="str">
        <f>IF(7850/1000*(1/3)*PI()*ABS(E391-F391)*((G391/2)^2+(G391/2)*(H391/2)+(H391/2)^2-(G391/2-I391/1000)^2-(G391/2-I391/1000)*(H391/2-I391/1000)-(H391/2-I391/1000)^2)=0,"",7850/1000*(1/3)*PI()*ABS(E391-F391)*((G391/2)^2+(G391/2)*(H391/2)+(H391/2)^2-(G391/2-I391/1000)^2-(G391/2-I391/1000)*(H391/2-I391/1000)-(H391/2-I391/1000)^2))</f>
        <v/>
      </c>
      <c r="K391" s="107" t="str">
        <f>IFERROR(WHOLE_STRUCTURE[[#This Row],[Bottom '[mLAT']]]-WHOLE_STRUCTURE[[#This Row],[D, top '[m']]], "")</f>
        <v/>
      </c>
      <c r="L391" s="107" t="str">
        <f>IFERROR(-(WHOLE_STRUCTURE[[#This Row],[D, bottom '[m']]]-WHOLE_STRUCTURE[[#This Row],[D, top '[m']]])/(WHOLE_STRUCTURE[[#This Row],[Bottom '[mLAT']]]-WHOLE_STRUCTURE[[#This Row],[Top '[mLAT']]]),"")</f>
        <v/>
      </c>
      <c r="M391" s="107" t="str">
        <f>IFERROR((WHOLE_STRUCTURE[[#This Row],[D, bottom '[m']]]+WHOLE_STRUCTURE[[#This Row],[D, top '[m']]])/(2*WHOLE_STRUCTURE[[#This Row],[t '[mm']]]/1000),"")</f>
        <v/>
      </c>
    </row>
    <row r="392" spans="10:13" x14ac:dyDescent="0.3">
      <c r="J392" s="107" t="str">
        <f>IF(7850/1000*(1/3)*PI()*ABS(E392-F392)*((G392/2)^2+(G392/2)*(H392/2)+(H392/2)^2-(G392/2-I392/1000)^2-(G392/2-I392/1000)*(H392/2-I392/1000)-(H392/2-I392/1000)^2)=0,"",7850/1000*(1/3)*PI()*ABS(E392-F392)*((G392/2)^2+(G392/2)*(H392/2)+(H392/2)^2-(G392/2-I392/1000)^2-(G392/2-I392/1000)*(H392/2-I392/1000)-(H392/2-I392/1000)^2))</f>
        <v/>
      </c>
      <c r="K392" s="107" t="str">
        <f>IFERROR(WHOLE_STRUCTURE[[#This Row],[Bottom '[mLAT']]]-WHOLE_STRUCTURE[[#This Row],[D, top '[m']]], "")</f>
        <v/>
      </c>
      <c r="L392" s="107" t="str">
        <f>IFERROR(-(WHOLE_STRUCTURE[[#This Row],[D, bottom '[m']]]-WHOLE_STRUCTURE[[#This Row],[D, top '[m']]])/(WHOLE_STRUCTURE[[#This Row],[Bottom '[mLAT']]]-WHOLE_STRUCTURE[[#This Row],[Top '[mLAT']]]),"")</f>
        <v/>
      </c>
      <c r="M392" s="107" t="str">
        <f>IFERROR((WHOLE_STRUCTURE[[#This Row],[D, bottom '[m']]]+WHOLE_STRUCTURE[[#This Row],[D, top '[m']]])/(2*WHOLE_STRUCTURE[[#This Row],[t '[mm']]]/1000),"")</f>
        <v/>
      </c>
    </row>
    <row r="393" spans="10:13" x14ac:dyDescent="0.3">
      <c r="J393" s="107" t="str">
        <f>IF(7850/1000*(1/3)*PI()*ABS(E393-F393)*((G393/2)^2+(G393/2)*(H393/2)+(H393/2)^2-(G393/2-I393/1000)^2-(G393/2-I393/1000)*(H393/2-I393/1000)-(H393/2-I393/1000)^2)=0,"",7850/1000*(1/3)*PI()*ABS(E393-F393)*((G393/2)^2+(G393/2)*(H393/2)+(H393/2)^2-(G393/2-I393/1000)^2-(G393/2-I393/1000)*(H393/2-I393/1000)-(H393/2-I393/1000)^2))</f>
        <v/>
      </c>
      <c r="K393" s="107" t="str">
        <f>IFERROR(WHOLE_STRUCTURE[[#This Row],[Bottom '[mLAT']]]-WHOLE_STRUCTURE[[#This Row],[D, top '[m']]], "")</f>
        <v/>
      </c>
      <c r="L393" s="107" t="str">
        <f>IFERROR(-(WHOLE_STRUCTURE[[#This Row],[D, bottom '[m']]]-WHOLE_STRUCTURE[[#This Row],[D, top '[m']]])/(WHOLE_STRUCTURE[[#This Row],[Bottom '[mLAT']]]-WHOLE_STRUCTURE[[#This Row],[Top '[mLAT']]]),"")</f>
        <v/>
      </c>
      <c r="M393" s="107" t="str">
        <f>IFERROR((WHOLE_STRUCTURE[[#This Row],[D, bottom '[m']]]+WHOLE_STRUCTURE[[#This Row],[D, top '[m']]])/(2*WHOLE_STRUCTURE[[#This Row],[t '[mm']]]/1000),"")</f>
        <v/>
      </c>
    </row>
    <row r="394" spans="10:13" x14ac:dyDescent="0.3">
      <c r="J394" s="107" t="str">
        <f>IF(7850/1000*(1/3)*PI()*ABS(E394-F394)*((G394/2)^2+(G394/2)*(H394/2)+(H394/2)^2-(G394/2-I394/1000)^2-(G394/2-I394/1000)*(H394/2-I394/1000)-(H394/2-I394/1000)^2)=0,"",7850/1000*(1/3)*PI()*ABS(E394-F394)*((G394/2)^2+(G394/2)*(H394/2)+(H394/2)^2-(G394/2-I394/1000)^2-(G394/2-I394/1000)*(H394/2-I394/1000)-(H394/2-I394/1000)^2))</f>
        <v/>
      </c>
      <c r="K394" s="107" t="str">
        <f>IFERROR(WHOLE_STRUCTURE[[#This Row],[Bottom '[mLAT']]]-WHOLE_STRUCTURE[[#This Row],[D, top '[m']]], "")</f>
        <v/>
      </c>
      <c r="L394" s="107" t="str">
        <f>IFERROR(-(WHOLE_STRUCTURE[[#This Row],[D, bottom '[m']]]-WHOLE_STRUCTURE[[#This Row],[D, top '[m']]])/(WHOLE_STRUCTURE[[#This Row],[Bottom '[mLAT']]]-WHOLE_STRUCTURE[[#This Row],[Top '[mLAT']]]),"")</f>
        <v/>
      </c>
      <c r="M394" s="107" t="str">
        <f>IFERROR((WHOLE_STRUCTURE[[#This Row],[D, bottom '[m']]]+WHOLE_STRUCTURE[[#This Row],[D, top '[m']]])/(2*WHOLE_STRUCTURE[[#This Row],[t '[mm']]]/1000),"")</f>
        <v/>
      </c>
    </row>
    <row r="395" spans="10:13" x14ac:dyDescent="0.3">
      <c r="J395" s="107" t="str">
        <f>IF(7850/1000*(1/3)*PI()*ABS(E395-F395)*((G395/2)^2+(G395/2)*(H395/2)+(H395/2)^2-(G395/2-I395/1000)^2-(G395/2-I395/1000)*(H395/2-I395/1000)-(H395/2-I395/1000)^2)=0,"",7850/1000*(1/3)*PI()*ABS(E395-F395)*((G395/2)^2+(G395/2)*(H395/2)+(H395/2)^2-(G395/2-I395/1000)^2-(G395/2-I395/1000)*(H395/2-I395/1000)-(H395/2-I395/1000)^2))</f>
        <v/>
      </c>
      <c r="K395" s="107" t="str">
        <f>IFERROR(WHOLE_STRUCTURE[[#This Row],[Bottom '[mLAT']]]-WHOLE_STRUCTURE[[#This Row],[D, top '[m']]], "")</f>
        <v/>
      </c>
      <c r="L395" s="107" t="str">
        <f>IFERROR(-(WHOLE_STRUCTURE[[#This Row],[D, bottom '[m']]]-WHOLE_STRUCTURE[[#This Row],[D, top '[m']]])/(WHOLE_STRUCTURE[[#This Row],[Bottom '[mLAT']]]-WHOLE_STRUCTURE[[#This Row],[Top '[mLAT']]]),"")</f>
        <v/>
      </c>
      <c r="M395" s="107" t="str">
        <f>IFERROR((WHOLE_STRUCTURE[[#This Row],[D, bottom '[m']]]+WHOLE_STRUCTURE[[#This Row],[D, top '[m']]])/(2*WHOLE_STRUCTURE[[#This Row],[t '[mm']]]/1000),"")</f>
        <v/>
      </c>
    </row>
    <row r="396" spans="10:13" x14ac:dyDescent="0.3">
      <c r="J396" s="107" t="str">
        <f>IF(7850/1000*(1/3)*PI()*ABS(E396-F396)*((G396/2)^2+(G396/2)*(H396/2)+(H396/2)^2-(G396/2-I396/1000)^2-(G396/2-I396/1000)*(H396/2-I396/1000)-(H396/2-I396/1000)^2)=0,"",7850/1000*(1/3)*PI()*ABS(E396-F396)*((G396/2)^2+(G396/2)*(H396/2)+(H396/2)^2-(G396/2-I396/1000)^2-(G396/2-I396/1000)*(H396/2-I396/1000)-(H396/2-I396/1000)^2))</f>
        <v/>
      </c>
      <c r="K396" s="107" t="str">
        <f>IFERROR(WHOLE_STRUCTURE[[#This Row],[Bottom '[mLAT']]]-WHOLE_STRUCTURE[[#This Row],[D, top '[m']]], "")</f>
        <v/>
      </c>
      <c r="L396" s="107" t="str">
        <f>IFERROR(-(WHOLE_STRUCTURE[[#This Row],[D, bottom '[m']]]-WHOLE_STRUCTURE[[#This Row],[D, top '[m']]])/(WHOLE_STRUCTURE[[#This Row],[Bottom '[mLAT']]]-WHOLE_STRUCTURE[[#This Row],[Top '[mLAT']]]),"")</f>
        <v/>
      </c>
      <c r="M396" s="107" t="str">
        <f>IFERROR((WHOLE_STRUCTURE[[#This Row],[D, bottom '[m']]]+WHOLE_STRUCTURE[[#This Row],[D, top '[m']]])/(2*WHOLE_STRUCTURE[[#This Row],[t '[mm']]]/1000),"")</f>
        <v/>
      </c>
    </row>
    <row r="397" spans="10:13" x14ac:dyDescent="0.3">
      <c r="J397" s="107" t="str">
        <f>IF(7850/1000*(1/3)*PI()*ABS(E397-F397)*((G397/2)^2+(G397/2)*(H397/2)+(H397/2)^2-(G397/2-I397/1000)^2-(G397/2-I397/1000)*(H397/2-I397/1000)-(H397/2-I397/1000)^2)=0,"",7850/1000*(1/3)*PI()*ABS(E397-F397)*((G397/2)^2+(G397/2)*(H397/2)+(H397/2)^2-(G397/2-I397/1000)^2-(G397/2-I397/1000)*(H397/2-I397/1000)-(H397/2-I397/1000)^2))</f>
        <v/>
      </c>
      <c r="K397" s="107" t="str">
        <f>IFERROR(WHOLE_STRUCTURE[[#This Row],[Bottom '[mLAT']]]-WHOLE_STRUCTURE[[#This Row],[D, top '[m']]], "")</f>
        <v/>
      </c>
      <c r="L397" s="107" t="str">
        <f>IFERROR(-(WHOLE_STRUCTURE[[#This Row],[D, bottom '[m']]]-WHOLE_STRUCTURE[[#This Row],[D, top '[m']]])/(WHOLE_STRUCTURE[[#This Row],[Bottom '[mLAT']]]-WHOLE_STRUCTURE[[#This Row],[Top '[mLAT']]]),"")</f>
        <v/>
      </c>
      <c r="M397" s="107" t="str">
        <f>IFERROR((WHOLE_STRUCTURE[[#This Row],[D, bottom '[m']]]+WHOLE_STRUCTURE[[#This Row],[D, top '[m']]])/(2*WHOLE_STRUCTURE[[#This Row],[t '[mm']]]/1000),"")</f>
        <v/>
      </c>
    </row>
    <row r="398" spans="10:13" x14ac:dyDescent="0.3">
      <c r="J398" s="107" t="str">
        <f>IF(7850/1000*(1/3)*PI()*ABS(E398-F398)*((G398/2)^2+(G398/2)*(H398/2)+(H398/2)^2-(G398/2-I398/1000)^2-(G398/2-I398/1000)*(H398/2-I398/1000)-(H398/2-I398/1000)^2)=0,"",7850/1000*(1/3)*PI()*ABS(E398-F398)*((G398/2)^2+(G398/2)*(H398/2)+(H398/2)^2-(G398/2-I398/1000)^2-(G398/2-I398/1000)*(H398/2-I398/1000)-(H398/2-I398/1000)^2))</f>
        <v/>
      </c>
      <c r="K398" s="107" t="str">
        <f>IFERROR(WHOLE_STRUCTURE[[#This Row],[Bottom '[mLAT']]]-WHOLE_STRUCTURE[[#This Row],[D, top '[m']]], "")</f>
        <v/>
      </c>
      <c r="L398" s="107" t="str">
        <f>IFERROR(-(WHOLE_STRUCTURE[[#This Row],[D, bottom '[m']]]-WHOLE_STRUCTURE[[#This Row],[D, top '[m']]])/(WHOLE_STRUCTURE[[#This Row],[Bottom '[mLAT']]]-WHOLE_STRUCTURE[[#This Row],[Top '[mLAT']]]),"")</f>
        <v/>
      </c>
      <c r="M398" s="107" t="str">
        <f>IFERROR((WHOLE_STRUCTURE[[#This Row],[D, bottom '[m']]]+WHOLE_STRUCTURE[[#This Row],[D, top '[m']]])/(2*WHOLE_STRUCTURE[[#This Row],[t '[mm']]]/1000),"")</f>
        <v/>
      </c>
    </row>
    <row r="399" spans="10:13" x14ac:dyDescent="0.3">
      <c r="J399" s="107" t="str">
        <f>IF(7850/1000*(1/3)*PI()*ABS(E399-F399)*((G399/2)^2+(G399/2)*(H399/2)+(H399/2)^2-(G399/2-I399/1000)^2-(G399/2-I399/1000)*(H399/2-I399/1000)-(H399/2-I399/1000)^2)=0,"",7850/1000*(1/3)*PI()*ABS(E399-F399)*((G399/2)^2+(G399/2)*(H399/2)+(H399/2)^2-(G399/2-I399/1000)^2-(G399/2-I399/1000)*(H399/2-I399/1000)-(H399/2-I399/1000)^2))</f>
        <v/>
      </c>
      <c r="K399" s="107" t="str">
        <f>IFERROR(WHOLE_STRUCTURE[[#This Row],[Bottom '[mLAT']]]-WHOLE_STRUCTURE[[#This Row],[D, top '[m']]], "")</f>
        <v/>
      </c>
      <c r="L399" s="107" t="str">
        <f>IFERROR(-(WHOLE_STRUCTURE[[#This Row],[D, bottom '[m']]]-WHOLE_STRUCTURE[[#This Row],[D, top '[m']]])/(WHOLE_STRUCTURE[[#This Row],[Bottom '[mLAT']]]-WHOLE_STRUCTURE[[#This Row],[Top '[mLAT']]]),"")</f>
        <v/>
      </c>
      <c r="M399" s="107" t="str">
        <f>IFERROR((WHOLE_STRUCTURE[[#This Row],[D, bottom '[m']]]+WHOLE_STRUCTURE[[#This Row],[D, top '[m']]])/(2*WHOLE_STRUCTURE[[#This Row],[t '[mm']]]/1000),"")</f>
        <v/>
      </c>
    </row>
    <row r="400" spans="10:13" x14ac:dyDescent="0.3">
      <c r="J400" s="107" t="str">
        <f>IF(7850/1000*(1/3)*PI()*ABS(E400-F400)*((G400/2)^2+(G400/2)*(H400/2)+(H400/2)^2-(G400/2-I400/1000)^2-(G400/2-I400/1000)*(H400/2-I400/1000)-(H400/2-I400/1000)^2)=0,"",7850/1000*(1/3)*PI()*ABS(E400-F400)*((G400/2)^2+(G400/2)*(H400/2)+(H400/2)^2-(G400/2-I400/1000)^2-(G400/2-I400/1000)*(H400/2-I400/1000)-(H400/2-I400/1000)^2))</f>
        <v/>
      </c>
      <c r="K400" s="107" t="str">
        <f>IFERROR(WHOLE_STRUCTURE[[#This Row],[Bottom '[mLAT']]]-WHOLE_STRUCTURE[[#This Row],[D, top '[m']]], "")</f>
        <v/>
      </c>
      <c r="L400" s="107" t="str">
        <f>IFERROR(-(WHOLE_STRUCTURE[[#This Row],[D, bottom '[m']]]-WHOLE_STRUCTURE[[#This Row],[D, top '[m']]])/(WHOLE_STRUCTURE[[#This Row],[Bottom '[mLAT']]]-WHOLE_STRUCTURE[[#This Row],[Top '[mLAT']]]),"")</f>
        <v/>
      </c>
      <c r="M400" s="107" t="str">
        <f>IFERROR((WHOLE_STRUCTURE[[#This Row],[D, bottom '[m']]]+WHOLE_STRUCTURE[[#This Row],[D, top '[m']]])/(2*WHOLE_STRUCTURE[[#This Row],[t '[mm']]]/1000),"")</f>
        <v/>
      </c>
    </row>
    <row r="401" spans="10:13" x14ac:dyDescent="0.3">
      <c r="J401" s="107" t="str">
        <f>IF(7850/1000*(1/3)*PI()*ABS(E401-F401)*((G401/2)^2+(G401/2)*(H401/2)+(H401/2)^2-(G401/2-I401/1000)^2-(G401/2-I401/1000)*(H401/2-I401/1000)-(H401/2-I401/1000)^2)=0,"",7850/1000*(1/3)*PI()*ABS(E401-F401)*((G401/2)^2+(G401/2)*(H401/2)+(H401/2)^2-(G401/2-I401/1000)^2-(G401/2-I401/1000)*(H401/2-I401/1000)-(H401/2-I401/1000)^2))</f>
        <v/>
      </c>
      <c r="K401" s="107" t="str">
        <f>IFERROR(WHOLE_STRUCTURE[[#This Row],[Bottom '[mLAT']]]-WHOLE_STRUCTURE[[#This Row],[D, top '[m']]], "")</f>
        <v/>
      </c>
      <c r="L401" s="107" t="str">
        <f>IFERROR(-(WHOLE_STRUCTURE[[#This Row],[D, bottom '[m']]]-WHOLE_STRUCTURE[[#This Row],[D, top '[m']]])/(WHOLE_STRUCTURE[[#This Row],[Bottom '[mLAT']]]-WHOLE_STRUCTURE[[#This Row],[Top '[mLAT']]]),"")</f>
        <v/>
      </c>
      <c r="M401" s="107" t="str">
        <f>IFERROR((WHOLE_STRUCTURE[[#This Row],[D, bottom '[m']]]+WHOLE_STRUCTURE[[#This Row],[D, top '[m']]])/(2*WHOLE_STRUCTURE[[#This Row],[t '[mm']]]/1000),"")</f>
        <v/>
      </c>
    </row>
    <row r="402" spans="10:13" x14ac:dyDescent="0.3">
      <c r="J402" s="107" t="str">
        <f>IF(7850/1000*(1/3)*PI()*ABS(E402-F402)*((G402/2)^2+(G402/2)*(H402/2)+(H402/2)^2-(G402/2-I402/1000)^2-(G402/2-I402/1000)*(H402/2-I402/1000)-(H402/2-I402/1000)^2)=0,"",7850/1000*(1/3)*PI()*ABS(E402-F402)*((G402/2)^2+(G402/2)*(H402/2)+(H402/2)^2-(G402/2-I402/1000)^2-(G402/2-I402/1000)*(H402/2-I402/1000)-(H402/2-I402/1000)^2))</f>
        <v/>
      </c>
      <c r="K402" s="107" t="str">
        <f>IFERROR(WHOLE_STRUCTURE[[#This Row],[Bottom '[mLAT']]]-WHOLE_STRUCTURE[[#This Row],[D, top '[m']]], "")</f>
        <v/>
      </c>
      <c r="L402" s="107" t="str">
        <f>IFERROR(-(WHOLE_STRUCTURE[[#This Row],[D, bottom '[m']]]-WHOLE_STRUCTURE[[#This Row],[D, top '[m']]])/(WHOLE_STRUCTURE[[#This Row],[Bottom '[mLAT']]]-WHOLE_STRUCTURE[[#This Row],[Top '[mLAT']]]),"")</f>
        <v/>
      </c>
      <c r="M402" s="107" t="str">
        <f>IFERROR((WHOLE_STRUCTURE[[#This Row],[D, bottom '[m']]]+WHOLE_STRUCTURE[[#This Row],[D, top '[m']]])/(2*WHOLE_STRUCTURE[[#This Row],[t '[mm']]]/1000),"")</f>
        <v/>
      </c>
    </row>
    <row r="403" spans="10:13" x14ac:dyDescent="0.3">
      <c r="J403" s="107" t="str">
        <f>IF(7850/1000*(1/3)*PI()*ABS(E403-F403)*((G403/2)^2+(G403/2)*(H403/2)+(H403/2)^2-(G403/2-I403/1000)^2-(G403/2-I403/1000)*(H403/2-I403/1000)-(H403/2-I403/1000)^2)=0,"",7850/1000*(1/3)*PI()*ABS(E403-F403)*((G403/2)^2+(G403/2)*(H403/2)+(H403/2)^2-(G403/2-I403/1000)^2-(G403/2-I403/1000)*(H403/2-I403/1000)-(H403/2-I403/1000)^2))</f>
        <v/>
      </c>
      <c r="K403" s="107" t="str">
        <f>IFERROR(WHOLE_STRUCTURE[[#This Row],[Bottom '[mLAT']]]-WHOLE_STRUCTURE[[#This Row],[D, top '[m']]], "")</f>
        <v/>
      </c>
      <c r="L403" s="107" t="str">
        <f>IFERROR(-(WHOLE_STRUCTURE[[#This Row],[D, bottom '[m']]]-WHOLE_STRUCTURE[[#This Row],[D, top '[m']]])/(WHOLE_STRUCTURE[[#This Row],[Bottom '[mLAT']]]-WHOLE_STRUCTURE[[#This Row],[Top '[mLAT']]]),"")</f>
        <v/>
      </c>
      <c r="M403" s="107" t="str">
        <f>IFERROR((WHOLE_STRUCTURE[[#This Row],[D, bottom '[m']]]+WHOLE_STRUCTURE[[#This Row],[D, top '[m']]])/(2*WHOLE_STRUCTURE[[#This Row],[t '[mm']]]/1000),"")</f>
        <v/>
      </c>
    </row>
    <row r="404" spans="10:13" x14ac:dyDescent="0.3">
      <c r="J404" s="107" t="str">
        <f>IF(7850/1000*(1/3)*PI()*ABS(E404-F404)*((G404/2)^2+(G404/2)*(H404/2)+(H404/2)^2-(G404/2-I404/1000)^2-(G404/2-I404/1000)*(H404/2-I404/1000)-(H404/2-I404/1000)^2)=0,"",7850/1000*(1/3)*PI()*ABS(E404-F404)*((G404/2)^2+(G404/2)*(H404/2)+(H404/2)^2-(G404/2-I404/1000)^2-(G404/2-I404/1000)*(H404/2-I404/1000)-(H404/2-I404/1000)^2))</f>
        <v/>
      </c>
      <c r="K404" s="107" t="str">
        <f>IFERROR(WHOLE_STRUCTURE[[#This Row],[Bottom '[mLAT']]]-WHOLE_STRUCTURE[[#This Row],[D, top '[m']]], "")</f>
        <v/>
      </c>
      <c r="L404" s="107" t="str">
        <f>IFERROR(-(WHOLE_STRUCTURE[[#This Row],[D, bottom '[m']]]-WHOLE_STRUCTURE[[#This Row],[D, top '[m']]])/(WHOLE_STRUCTURE[[#This Row],[Bottom '[mLAT']]]-WHOLE_STRUCTURE[[#This Row],[Top '[mLAT']]]),"")</f>
        <v/>
      </c>
      <c r="M404" s="107" t="str">
        <f>IFERROR((WHOLE_STRUCTURE[[#This Row],[D, bottom '[m']]]+WHOLE_STRUCTURE[[#This Row],[D, top '[m']]])/(2*WHOLE_STRUCTURE[[#This Row],[t '[mm']]]/1000),"")</f>
        <v/>
      </c>
    </row>
    <row r="405" spans="10:13" x14ac:dyDescent="0.3">
      <c r="J405" s="107" t="str">
        <f>IF(7850/1000*(1/3)*PI()*ABS(E405-F405)*((G405/2)^2+(G405/2)*(H405/2)+(H405/2)^2-(G405/2-I405/1000)^2-(G405/2-I405/1000)*(H405/2-I405/1000)-(H405/2-I405/1000)^2)=0,"",7850/1000*(1/3)*PI()*ABS(E405-F405)*((G405/2)^2+(G405/2)*(H405/2)+(H405/2)^2-(G405/2-I405/1000)^2-(G405/2-I405/1000)*(H405/2-I405/1000)-(H405/2-I405/1000)^2))</f>
        <v/>
      </c>
      <c r="K405" s="107" t="str">
        <f>IFERROR(WHOLE_STRUCTURE[[#This Row],[Bottom '[mLAT']]]-WHOLE_STRUCTURE[[#This Row],[D, top '[m']]], "")</f>
        <v/>
      </c>
      <c r="L405" s="107" t="str">
        <f>IFERROR(-(WHOLE_STRUCTURE[[#This Row],[D, bottom '[m']]]-WHOLE_STRUCTURE[[#This Row],[D, top '[m']]])/(WHOLE_STRUCTURE[[#This Row],[Bottom '[mLAT']]]-WHOLE_STRUCTURE[[#This Row],[Top '[mLAT']]]),"")</f>
        <v/>
      </c>
      <c r="M405" s="107" t="str">
        <f>IFERROR((WHOLE_STRUCTURE[[#This Row],[D, bottom '[m']]]+WHOLE_STRUCTURE[[#This Row],[D, top '[m']]])/(2*WHOLE_STRUCTURE[[#This Row],[t '[mm']]]/1000),"")</f>
        <v/>
      </c>
    </row>
    <row r="406" spans="10:13" x14ac:dyDescent="0.3">
      <c r="J406" s="107" t="str">
        <f>IF(7850/1000*(1/3)*PI()*ABS(E406-F406)*((G406/2)^2+(G406/2)*(H406/2)+(H406/2)^2-(G406/2-I406/1000)^2-(G406/2-I406/1000)*(H406/2-I406/1000)-(H406/2-I406/1000)^2)=0,"",7850/1000*(1/3)*PI()*ABS(E406-F406)*((G406/2)^2+(G406/2)*(H406/2)+(H406/2)^2-(G406/2-I406/1000)^2-(G406/2-I406/1000)*(H406/2-I406/1000)-(H406/2-I406/1000)^2))</f>
        <v/>
      </c>
      <c r="K406" s="107" t="str">
        <f>IFERROR(WHOLE_STRUCTURE[[#This Row],[Bottom '[mLAT']]]-WHOLE_STRUCTURE[[#This Row],[D, top '[m']]], "")</f>
        <v/>
      </c>
      <c r="L406" s="107" t="str">
        <f>IFERROR(-(WHOLE_STRUCTURE[[#This Row],[D, bottom '[m']]]-WHOLE_STRUCTURE[[#This Row],[D, top '[m']]])/(WHOLE_STRUCTURE[[#This Row],[Bottom '[mLAT']]]-WHOLE_STRUCTURE[[#This Row],[Top '[mLAT']]]),"")</f>
        <v/>
      </c>
      <c r="M406" s="107" t="str">
        <f>IFERROR((WHOLE_STRUCTURE[[#This Row],[D, bottom '[m']]]+WHOLE_STRUCTURE[[#This Row],[D, top '[m']]])/(2*WHOLE_STRUCTURE[[#This Row],[t '[mm']]]/1000),"")</f>
        <v/>
      </c>
    </row>
    <row r="407" spans="10:13" x14ac:dyDescent="0.3">
      <c r="J407" s="107" t="str">
        <f>IF(7850/1000*(1/3)*PI()*ABS(E407-F407)*((G407/2)^2+(G407/2)*(H407/2)+(H407/2)^2-(G407/2-I407/1000)^2-(G407/2-I407/1000)*(H407/2-I407/1000)-(H407/2-I407/1000)^2)=0,"",7850/1000*(1/3)*PI()*ABS(E407-F407)*((G407/2)^2+(G407/2)*(H407/2)+(H407/2)^2-(G407/2-I407/1000)^2-(G407/2-I407/1000)*(H407/2-I407/1000)-(H407/2-I407/1000)^2))</f>
        <v/>
      </c>
      <c r="K407" s="107" t="str">
        <f>IFERROR(WHOLE_STRUCTURE[[#This Row],[Bottom '[mLAT']]]-WHOLE_STRUCTURE[[#This Row],[D, top '[m']]], "")</f>
        <v/>
      </c>
      <c r="L407" s="107" t="str">
        <f>IFERROR(-(WHOLE_STRUCTURE[[#This Row],[D, bottom '[m']]]-WHOLE_STRUCTURE[[#This Row],[D, top '[m']]])/(WHOLE_STRUCTURE[[#This Row],[Bottom '[mLAT']]]-WHOLE_STRUCTURE[[#This Row],[Top '[mLAT']]]),"")</f>
        <v/>
      </c>
      <c r="M407" s="107" t="str">
        <f>IFERROR((WHOLE_STRUCTURE[[#This Row],[D, bottom '[m']]]+WHOLE_STRUCTURE[[#This Row],[D, top '[m']]])/(2*WHOLE_STRUCTURE[[#This Row],[t '[mm']]]/1000),"")</f>
        <v/>
      </c>
    </row>
    <row r="408" spans="10:13" x14ac:dyDescent="0.3">
      <c r="J408" s="107" t="str">
        <f>IF(7850/1000*(1/3)*PI()*ABS(E408-F408)*((G408/2)^2+(G408/2)*(H408/2)+(H408/2)^2-(G408/2-I408/1000)^2-(G408/2-I408/1000)*(H408/2-I408/1000)-(H408/2-I408/1000)^2)=0,"",7850/1000*(1/3)*PI()*ABS(E408-F408)*((G408/2)^2+(G408/2)*(H408/2)+(H408/2)^2-(G408/2-I408/1000)^2-(G408/2-I408/1000)*(H408/2-I408/1000)-(H408/2-I408/1000)^2))</f>
        <v/>
      </c>
      <c r="K408" s="107" t="str">
        <f>IFERROR(WHOLE_STRUCTURE[[#This Row],[Bottom '[mLAT']]]-WHOLE_STRUCTURE[[#This Row],[D, top '[m']]], "")</f>
        <v/>
      </c>
      <c r="L408" s="107" t="str">
        <f>IFERROR(-(WHOLE_STRUCTURE[[#This Row],[D, bottom '[m']]]-WHOLE_STRUCTURE[[#This Row],[D, top '[m']]])/(WHOLE_STRUCTURE[[#This Row],[Bottom '[mLAT']]]-WHOLE_STRUCTURE[[#This Row],[Top '[mLAT']]]),"")</f>
        <v/>
      </c>
      <c r="M408" s="107" t="str">
        <f>IFERROR((WHOLE_STRUCTURE[[#This Row],[D, bottom '[m']]]+WHOLE_STRUCTURE[[#This Row],[D, top '[m']]])/(2*WHOLE_STRUCTURE[[#This Row],[t '[mm']]]/1000),"")</f>
        <v/>
      </c>
    </row>
    <row r="409" spans="10:13" x14ac:dyDescent="0.3">
      <c r="J409" s="107" t="str">
        <f>IF(7850/1000*(1/3)*PI()*ABS(E409-F409)*((G409/2)^2+(G409/2)*(H409/2)+(H409/2)^2-(G409/2-I409/1000)^2-(G409/2-I409/1000)*(H409/2-I409/1000)-(H409/2-I409/1000)^2)=0,"",7850/1000*(1/3)*PI()*ABS(E409-F409)*((G409/2)^2+(G409/2)*(H409/2)+(H409/2)^2-(G409/2-I409/1000)^2-(G409/2-I409/1000)*(H409/2-I409/1000)-(H409/2-I409/1000)^2))</f>
        <v/>
      </c>
      <c r="K409" s="107" t="str">
        <f>IFERROR(WHOLE_STRUCTURE[[#This Row],[Bottom '[mLAT']]]-WHOLE_STRUCTURE[[#This Row],[D, top '[m']]], "")</f>
        <v/>
      </c>
      <c r="L409" s="107" t="str">
        <f>IFERROR(-(WHOLE_STRUCTURE[[#This Row],[D, bottom '[m']]]-WHOLE_STRUCTURE[[#This Row],[D, top '[m']]])/(WHOLE_STRUCTURE[[#This Row],[Bottom '[mLAT']]]-WHOLE_STRUCTURE[[#This Row],[Top '[mLAT']]]),"")</f>
        <v/>
      </c>
      <c r="M409" s="107" t="str">
        <f>IFERROR((WHOLE_STRUCTURE[[#This Row],[D, bottom '[m']]]+WHOLE_STRUCTURE[[#This Row],[D, top '[m']]])/(2*WHOLE_STRUCTURE[[#This Row],[t '[mm']]]/1000),"")</f>
        <v/>
      </c>
    </row>
    <row r="410" spans="10:13" x14ac:dyDescent="0.3">
      <c r="J410" s="107" t="str">
        <f>IF(7850/1000*(1/3)*PI()*ABS(E410-F410)*((G410/2)^2+(G410/2)*(H410/2)+(H410/2)^2-(G410/2-I410/1000)^2-(G410/2-I410/1000)*(H410/2-I410/1000)-(H410/2-I410/1000)^2)=0,"",7850/1000*(1/3)*PI()*ABS(E410-F410)*((G410/2)^2+(G410/2)*(H410/2)+(H410/2)^2-(G410/2-I410/1000)^2-(G410/2-I410/1000)*(H410/2-I410/1000)-(H410/2-I410/1000)^2))</f>
        <v/>
      </c>
      <c r="K410" s="107" t="str">
        <f>IFERROR(WHOLE_STRUCTURE[[#This Row],[Bottom '[mLAT']]]-WHOLE_STRUCTURE[[#This Row],[D, top '[m']]], "")</f>
        <v/>
      </c>
      <c r="L410" s="107" t="str">
        <f>IFERROR(-(WHOLE_STRUCTURE[[#This Row],[D, bottom '[m']]]-WHOLE_STRUCTURE[[#This Row],[D, top '[m']]])/(WHOLE_STRUCTURE[[#This Row],[Bottom '[mLAT']]]-WHOLE_STRUCTURE[[#This Row],[Top '[mLAT']]]),"")</f>
        <v/>
      </c>
      <c r="M410" s="107" t="str">
        <f>IFERROR((WHOLE_STRUCTURE[[#This Row],[D, bottom '[m']]]+WHOLE_STRUCTURE[[#This Row],[D, top '[m']]])/(2*WHOLE_STRUCTURE[[#This Row],[t '[mm']]]/1000),"")</f>
        <v/>
      </c>
    </row>
    <row r="411" spans="10:13" x14ac:dyDescent="0.3">
      <c r="J411" s="107" t="str">
        <f>IF(7850/1000*(1/3)*PI()*ABS(E411-F411)*((G411/2)^2+(G411/2)*(H411/2)+(H411/2)^2-(G411/2-I411/1000)^2-(G411/2-I411/1000)*(H411/2-I411/1000)-(H411/2-I411/1000)^2)=0,"",7850/1000*(1/3)*PI()*ABS(E411-F411)*((G411/2)^2+(G411/2)*(H411/2)+(H411/2)^2-(G411/2-I411/1000)^2-(G411/2-I411/1000)*(H411/2-I411/1000)-(H411/2-I411/1000)^2))</f>
        <v/>
      </c>
      <c r="K411" s="107" t="str">
        <f>IFERROR(WHOLE_STRUCTURE[[#This Row],[Bottom '[mLAT']]]-WHOLE_STRUCTURE[[#This Row],[D, top '[m']]], "")</f>
        <v/>
      </c>
      <c r="L411" s="107" t="str">
        <f>IFERROR(-(WHOLE_STRUCTURE[[#This Row],[D, bottom '[m']]]-WHOLE_STRUCTURE[[#This Row],[D, top '[m']]])/(WHOLE_STRUCTURE[[#This Row],[Bottom '[mLAT']]]-WHOLE_STRUCTURE[[#This Row],[Top '[mLAT']]]),"")</f>
        <v/>
      </c>
      <c r="M411" s="107" t="str">
        <f>IFERROR((WHOLE_STRUCTURE[[#This Row],[D, bottom '[m']]]+WHOLE_STRUCTURE[[#This Row],[D, top '[m']]])/(2*WHOLE_STRUCTURE[[#This Row],[t '[mm']]]/1000),"")</f>
        <v/>
      </c>
    </row>
    <row r="412" spans="10:13" x14ac:dyDescent="0.3">
      <c r="J412" s="107" t="str">
        <f>IF(7850/1000*(1/3)*PI()*ABS(E412-F412)*((G412/2)^2+(G412/2)*(H412/2)+(H412/2)^2-(G412/2-I412/1000)^2-(G412/2-I412/1000)*(H412/2-I412/1000)-(H412/2-I412/1000)^2)=0,"",7850/1000*(1/3)*PI()*ABS(E412-F412)*((G412/2)^2+(G412/2)*(H412/2)+(H412/2)^2-(G412/2-I412/1000)^2-(G412/2-I412/1000)*(H412/2-I412/1000)-(H412/2-I412/1000)^2))</f>
        <v/>
      </c>
      <c r="K412" s="107" t="str">
        <f>IFERROR(WHOLE_STRUCTURE[[#This Row],[Bottom '[mLAT']]]-WHOLE_STRUCTURE[[#This Row],[D, top '[m']]], "")</f>
        <v/>
      </c>
      <c r="L412" s="107" t="str">
        <f>IFERROR(-(WHOLE_STRUCTURE[[#This Row],[D, bottom '[m']]]-WHOLE_STRUCTURE[[#This Row],[D, top '[m']]])/(WHOLE_STRUCTURE[[#This Row],[Bottom '[mLAT']]]-WHOLE_STRUCTURE[[#This Row],[Top '[mLAT']]]),"")</f>
        <v/>
      </c>
      <c r="M412" s="107" t="str">
        <f>IFERROR((WHOLE_STRUCTURE[[#This Row],[D, bottom '[m']]]+WHOLE_STRUCTURE[[#This Row],[D, top '[m']]])/(2*WHOLE_STRUCTURE[[#This Row],[t '[mm']]]/1000),"")</f>
        <v/>
      </c>
    </row>
    <row r="413" spans="10:13" x14ac:dyDescent="0.3">
      <c r="J413" s="107" t="str">
        <f>IF(7850/1000*(1/3)*PI()*ABS(E413-F413)*((G413/2)^2+(G413/2)*(H413/2)+(H413/2)^2-(G413/2-I413/1000)^2-(G413/2-I413/1000)*(H413/2-I413/1000)-(H413/2-I413/1000)^2)=0,"",7850/1000*(1/3)*PI()*ABS(E413-F413)*((G413/2)^2+(G413/2)*(H413/2)+(H413/2)^2-(G413/2-I413/1000)^2-(G413/2-I413/1000)*(H413/2-I413/1000)-(H413/2-I413/1000)^2))</f>
        <v/>
      </c>
      <c r="K413" s="107" t="str">
        <f>IFERROR(WHOLE_STRUCTURE[[#This Row],[Bottom '[mLAT']]]-WHOLE_STRUCTURE[[#This Row],[D, top '[m']]], "")</f>
        <v/>
      </c>
      <c r="L413" s="107" t="str">
        <f>IFERROR(-(WHOLE_STRUCTURE[[#This Row],[D, bottom '[m']]]-WHOLE_STRUCTURE[[#This Row],[D, top '[m']]])/(WHOLE_STRUCTURE[[#This Row],[Bottom '[mLAT']]]-WHOLE_STRUCTURE[[#This Row],[Top '[mLAT']]]),"")</f>
        <v/>
      </c>
      <c r="M413" s="107" t="str">
        <f>IFERROR((WHOLE_STRUCTURE[[#This Row],[D, bottom '[m']]]+WHOLE_STRUCTURE[[#This Row],[D, top '[m']]])/(2*WHOLE_STRUCTURE[[#This Row],[t '[mm']]]/1000),"")</f>
        <v/>
      </c>
    </row>
    <row r="414" spans="10:13" x14ac:dyDescent="0.3">
      <c r="J414" s="107" t="str">
        <f>IF(7850/1000*(1/3)*PI()*ABS(E414-F414)*((G414/2)^2+(G414/2)*(H414/2)+(H414/2)^2-(G414/2-I414/1000)^2-(G414/2-I414/1000)*(H414/2-I414/1000)-(H414/2-I414/1000)^2)=0,"",7850/1000*(1/3)*PI()*ABS(E414-F414)*((G414/2)^2+(G414/2)*(H414/2)+(H414/2)^2-(G414/2-I414/1000)^2-(G414/2-I414/1000)*(H414/2-I414/1000)-(H414/2-I414/1000)^2))</f>
        <v/>
      </c>
      <c r="K414" s="107" t="str">
        <f>IFERROR(WHOLE_STRUCTURE[[#This Row],[Bottom '[mLAT']]]-WHOLE_STRUCTURE[[#This Row],[D, top '[m']]], "")</f>
        <v/>
      </c>
      <c r="L414" s="107" t="str">
        <f>IFERROR(-(WHOLE_STRUCTURE[[#This Row],[D, bottom '[m']]]-WHOLE_STRUCTURE[[#This Row],[D, top '[m']]])/(WHOLE_STRUCTURE[[#This Row],[Bottom '[mLAT']]]-WHOLE_STRUCTURE[[#This Row],[Top '[mLAT']]]),"")</f>
        <v/>
      </c>
      <c r="M414" s="107" t="str">
        <f>IFERROR((WHOLE_STRUCTURE[[#This Row],[D, bottom '[m']]]+WHOLE_STRUCTURE[[#This Row],[D, top '[m']]])/(2*WHOLE_STRUCTURE[[#This Row],[t '[mm']]]/1000),"")</f>
        <v/>
      </c>
    </row>
    <row r="415" spans="10:13" x14ac:dyDescent="0.3">
      <c r="J415" s="107" t="str">
        <f>IF(7850/1000*(1/3)*PI()*ABS(E415-F415)*((G415/2)^2+(G415/2)*(H415/2)+(H415/2)^2-(G415/2-I415/1000)^2-(G415/2-I415/1000)*(H415/2-I415/1000)-(H415/2-I415/1000)^2)=0,"",7850/1000*(1/3)*PI()*ABS(E415-F415)*((G415/2)^2+(G415/2)*(H415/2)+(H415/2)^2-(G415/2-I415/1000)^2-(G415/2-I415/1000)*(H415/2-I415/1000)-(H415/2-I415/1000)^2))</f>
        <v/>
      </c>
      <c r="K415" s="107" t="str">
        <f>IFERROR(WHOLE_STRUCTURE[[#This Row],[Bottom '[mLAT']]]-WHOLE_STRUCTURE[[#This Row],[D, top '[m']]], "")</f>
        <v/>
      </c>
      <c r="L415" s="107" t="str">
        <f>IFERROR(-(WHOLE_STRUCTURE[[#This Row],[D, bottom '[m']]]-WHOLE_STRUCTURE[[#This Row],[D, top '[m']]])/(WHOLE_STRUCTURE[[#This Row],[Bottom '[mLAT']]]-WHOLE_STRUCTURE[[#This Row],[Top '[mLAT']]]),"")</f>
        <v/>
      </c>
      <c r="M415" s="107" t="str">
        <f>IFERROR((WHOLE_STRUCTURE[[#This Row],[D, bottom '[m']]]+WHOLE_STRUCTURE[[#This Row],[D, top '[m']]])/(2*WHOLE_STRUCTURE[[#This Row],[t '[mm']]]/1000),"")</f>
        <v/>
      </c>
    </row>
    <row r="416" spans="10:13" x14ac:dyDescent="0.3">
      <c r="J416" s="107" t="str">
        <f>IF(7850/1000*(1/3)*PI()*ABS(E416-F416)*((G416/2)^2+(G416/2)*(H416/2)+(H416/2)^2-(G416/2-I416/1000)^2-(G416/2-I416/1000)*(H416/2-I416/1000)-(H416/2-I416/1000)^2)=0,"",7850/1000*(1/3)*PI()*ABS(E416-F416)*((G416/2)^2+(G416/2)*(H416/2)+(H416/2)^2-(G416/2-I416/1000)^2-(G416/2-I416/1000)*(H416/2-I416/1000)-(H416/2-I416/1000)^2))</f>
        <v/>
      </c>
      <c r="K416" s="107" t="str">
        <f>IFERROR(WHOLE_STRUCTURE[[#This Row],[Bottom '[mLAT']]]-WHOLE_STRUCTURE[[#This Row],[D, top '[m']]], "")</f>
        <v/>
      </c>
      <c r="L416" s="107" t="str">
        <f>IFERROR(-(WHOLE_STRUCTURE[[#This Row],[D, bottom '[m']]]-WHOLE_STRUCTURE[[#This Row],[D, top '[m']]])/(WHOLE_STRUCTURE[[#This Row],[Bottom '[mLAT']]]-WHOLE_STRUCTURE[[#This Row],[Top '[mLAT']]]),"")</f>
        <v/>
      </c>
      <c r="M416" s="107" t="str">
        <f>IFERROR((WHOLE_STRUCTURE[[#This Row],[D, bottom '[m']]]+WHOLE_STRUCTURE[[#This Row],[D, top '[m']]])/(2*WHOLE_STRUCTURE[[#This Row],[t '[mm']]]/1000),"")</f>
        <v/>
      </c>
    </row>
    <row r="417" spans="10:13" x14ac:dyDescent="0.3">
      <c r="J417" s="107" t="str">
        <f>IF(7850/1000*(1/3)*PI()*ABS(E417-F417)*((G417/2)^2+(G417/2)*(H417/2)+(H417/2)^2-(G417/2-I417/1000)^2-(G417/2-I417/1000)*(H417/2-I417/1000)-(H417/2-I417/1000)^2)=0,"",7850/1000*(1/3)*PI()*ABS(E417-F417)*((G417/2)^2+(G417/2)*(H417/2)+(H417/2)^2-(G417/2-I417/1000)^2-(G417/2-I417/1000)*(H417/2-I417/1000)-(H417/2-I417/1000)^2))</f>
        <v/>
      </c>
      <c r="K417" s="107" t="str">
        <f>IFERROR(WHOLE_STRUCTURE[[#This Row],[Bottom '[mLAT']]]-WHOLE_STRUCTURE[[#This Row],[D, top '[m']]], "")</f>
        <v/>
      </c>
      <c r="L417" s="107" t="str">
        <f>IFERROR(-(WHOLE_STRUCTURE[[#This Row],[D, bottom '[m']]]-WHOLE_STRUCTURE[[#This Row],[D, top '[m']]])/(WHOLE_STRUCTURE[[#This Row],[Bottom '[mLAT']]]-WHOLE_STRUCTURE[[#This Row],[Top '[mLAT']]]),"")</f>
        <v/>
      </c>
      <c r="M417" s="107" t="str">
        <f>IFERROR((WHOLE_STRUCTURE[[#This Row],[D, bottom '[m']]]+WHOLE_STRUCTURE[[#This Row],[D, top '[m']]])/(2*WHOLE_STRUCTURE[[#This Row],[t '[mm']]]/1000),"")</f>
        <v/>
      </c>
    </row>
    <row r="418" spans="10:13" x14ac:dyDescent="0.3">
      <c r="J418" s="107" t="str">
        <f>IF(7850/1000*(1/3)*PI()*ABS(E418-F418)*((G418/2)^2+(G418/2)*(H418/2)+(H418/2)^2-(G418/2-I418/1000)^2-(G418/2-I418/1000)*(H418/2-I418/1000)-(H418/2-I418/1000)^2)=0,"",7850/1000*(1/3)*PI()*ABS(E418-F418)*((G418/2)^2+(G418/2)*(H418/2)+(H418/2)^2-(G418/2-I418/1000)^2-(G418/2-I418/1000)*(H418/2-I418/1000)-(H418/2-I418/1000)^2))</f>
        <v/>
      </c>
      <c r="K418" s="107" t="str">
        <f>IFERROR(WHOLE_STRUCTURE[[#This Row],[Bottom '[mLAT']]]-WHOLE_STRUCTURE[[#This Row],[D, top '[m']]], "")</f>
        <v/>
      </c>
      <c r="L418" s="107" t="str">
        <f>IFERROR(-(WHOLE_STRUCTURE[[#This Row],[D, bottom '[m']]]-WHOLE_STRUCTURE[[#This Row],[D, top '[m']]])/(WHOLE_STRUCTURE[[#This Row],[Bottom '[mLAT']]]-WHOLE_STRUCTURE[[#This Row],[Top '[mLAT']]]),"")</f>
        <v/>
      </c>
      <c r="M418" s="107" t="str">
        <f>IFERROR((WHOLE_STRUCTURE[[#This Row],[D, bottom '[m']]]+WHOLE_STRUCTURE[[#This Row],[D, top '[m']]])/(2*WHOLE_STRUCTURE[[#This Row],[t '[mm']]]/1000),"")</f>
        <v/>
      </c>
    </row>
    <row r="419" spans="10:13" x14ac:dyDescent="0.3">
      <c r="J419" s="107" t="str">
        <f>IF(7850/1000*(1/3)*PI()*ABS(E419-F419)*((G419/2)^2+(G419/2)*(H419/2)+(H419/2)^2-(G419/2-I419/1000)^2-(G419/2-I419/1000)*(H419/2-I419/1000)-(H419/2-I419/1000)^2)=0,"",7850/1000*(1/3)*PI()*ABS(E419-F419)*((G419/2)^2+(G419/2)*(H419/2)+(H419/2)^2-(G419/2-I419/1000)^2-(G419/2-I419/1000)*(H419/2-I419/1000)-(H419/2-I419/1000)^2))</f>
        <v/>
      </c>
      <c r="K419" s="107" t="str">
        <f>IFERROR(WHOLE_STRUCTURE[[#This Row],[Bottom '[mLAT']]]-WHOLE_STRUCTURE[[#This Row],[D, top '[m']]], "")</f>
        <v/>
      </c>
      <c r="L419" s="107" t="str">
        <f>IFERROR(-(WHOLE_STRUCTURE[[#This Row],[D, bottom '[m']]]-WHOLE_STRUCTURE[[#This Row],[D, top '[m']]])/(WHOLE_STRUCTURE[[#This Row],[Bottom '[mLAT']]]-WHOLE_STRUCTURE[[#This Row],[Top '[mLAT']]]),"")</f>
        <v/>
      </c>
      <c r="M419" s="107" t="str">
        <f>IFERROR((WHOLE_STRUCTURE[[#This Row],[D, bottom '[m']]]+WHOLE_STRUCTURE[[#This Row],[D, top '[m']]])/(2*WHOLE_STRUCTURE[[#This Row],[t '[mm']]]/1000),"")</f>
        <v/>
      </c>
    </row>
    <row r="420" spans="10:13" x14ac:dyDescent="0.3">
      <c r="J420" s="107" t="str">
        <f>IF(7850/1000*(1/3)*PI()*ABS(E420-F420)*((G420/2)^2+(G420/2)*(H420/2)+(H420/2)^2-(G420/2-I420/1000)^2-(G420/2-I420/1000)*(H420/2-I420/1000)-(H420/2-I420/1000)^2)=0,"",7850/1000*(1/3)*PI()*ABS(E420-F420)*((G420/2)^2+(G420/2)*(H420/2)+(H420/2)^2-(G420/2-I420/1000)^2-(G420/2-I420/1000)*(H420/2-I420/1000)-(H420/2-I420/1000)^2))</f>
        <v/>
      </c>
      <c r="K420" s="107" t="str">
        <f>IFERROR(WHOLE_STRUCTURE[[#This Row],[Bottom '[mLAT']]]-WHOLE_STRUCTURE[[#This Row],[D, top '[m']]], "")</f>
        <v/>
      </c>
      <c r="L420" s="107" t="str">
        <f>IFERROR(-(WHOLE_STRUCTURE[[#This Row],[D, bottom '[m']]]-WHOLE_STRUCTURE[[#This Row],[D, top '[m']]])/(WHOLE_STRUCTURE[[#This Row],[Bottom '[mLAT']]]-WHOLE_STRUCTURE[[#This Row],[Top '[mLAT']]]),"")</f>
        <v/>
      </c>
      <c r="M420" s="107" t="str">
        <f>IFERROR((WHOLE_STRUCTURE[[#This Row],[D, bottom '[m']]]+WHOLE_STRUCTURE[[#This Row],[D, top '[m']]])/(2*WHOLE_STRUCTURE[[#This Row],[t '[mm']]]/1000),"")</f>
        <v/>
      </c>
    </row>
    <row r="421" spans="10:13" x14ac:dyDescent="0.3">
      <c r="J421" s="107" t="str">
        <f>IF(7850/1000*(1/3)*PI()*ABS(E421-F421)*((G421/2)^2+(G421/2)*(H421/2)+(H421/2)^2-(G421/2-I421/1000)^2-(G421/2-I421/1000)*(H421/2-I421/1000)-(H421/2-I421/1000)^2)=0,"",7850/1000*(1/3)*PI()*ABS(E421-F421)*((G421/2)^2+(G421/2)*(H421/2)+(H421/2)^2-(G421/2-I421/1000)^2-(G421/2-I421/1000)*(H421/2-I421/1000)-(H421/2-I421/1000)^2))</f>
        <v/>
      </c>
      <c r="K421" s="107" t="str">
        <f>IFERROR(WHOLE_STRUCTURE[[#This Row],[Bottom '[mLAT']]]-WHOLE_STRUCTURE[[#This Row],[D, top '[m']]], "")</f>
        <v/>
      </c>
      <c r="L421" s="107" t="str">
        <f>IFERROR(-(WHOLE_STRUCTURE[[#This Row],[D, bottom '[m']]]-WHOLE_STRUCTURE[[#This Row],[D, top '[m']]])/(WHOLE_STRUCTURE[[#This Row],[Bottom '[mLAT']]]-WHOLE_STRUCTURE[[#This Row],[Top '[mLAT']]]),"")</f>
        <v/>
      </c>
      <c r="M421" s="107" t="str">
        <f>IFERROR((WHOLE_STRUCTURE[[#This Row],[D, bottom '[m']]]+WHOLE_STRUCTURE[[#This Row],[D, top '[m']]])/(2*WHOLE_STRUCTURE[[#This Row],[t '[mm']]]/1000),"")</f>
        <v/>
      </c>
    </row>
    <row r="422" spans="10:13" x14ac:dyDescent="0.3">
      <c r="J422" s="107" t="str">
        <f>IF(7850/1000*(1/3)*PI()*ABS(E422-F422)*((G422/2)^2+(G422/2)*(H422/2)+(H422/2)^2-(G422/2-I422/1000)^2-(G422/2-I422/1000)*(H422/2-I422/1000)-(H422/2-I422/1000)^2)=0,"",7850/1000*(1/3)*PI()*ABS(E422-F422)*((G422/2)^2+(G422/2)*(H422/2)+(H422/2)^2-(G422/2-I422/1000)^2-(G422/2-I422/1000)*(H422/2-I422/1000)-(H422/2-I422/1000)^2))</f>
        <v/>
      </c>
      <c r="K422" s="107" t="str">
        <f>IFERROR(WHOLE_STRUCTURE[[#This Row],[Bottom '[mLAT']]]-WHOLE_STRUCTURE[[#This Row],[D, top '[m']]], "")</f>
        <v/>
      </c>
      <c r="L422" s="107" t="str">
        <f>IFERROR(-(WHOLE_STRUCTURE[[#This Row],[D, bottom '[m']]]-WHOLE_STRUCTURE[[#This Row],[D, top '[m']]])/(WHOLE_STRUCTURE[[#This Row],[Bottom '[mLAT']]]-WHOLE_STRUCTURE[[#This Row],[Top '[mLAT']]]),"")</f>
        <v/>
      </c>
      <c r="M422" s="107" t="str">
        <f>IFERROR((WHOLE_STRUCTURE[[#This Row],[D, bottom '[m']]]+WHOLE_STRUCTURE[[#This Row],[D, top '[m']]])/(2*WHOLE_STRUCTURE[[#This Row],[t '[mm']]]/1000),"")</f>
        <v/>
      </c>
    </row>
    <row r="423" spans="10:13" x14ac:dyDescent="0.3">
      <c r="J423" s="107" t="str">
        <f>IF(7850/1000*(1/3)*PI()*ABS(E423-F423)*((G423/2)^2+(G423/2)*(H423/2)+(H423/2)^2-(G423/2-I423/1000)^2-(G423/2-I423/1000)*(H423/2-I423/1000)-(H423/2-I423/1000)^2)=0,"",7850/1000*(1/3)*PI()*ABS(E423-F423)*((G423/2)^2+(G423/2)*(H423/2)+(H423/2)^2-(G423/2-I423/1000)^2-(G423/2-I423/1000)*(H423/2-I423/1000)-(H423/2-I423/1000)^2))</f>
        <v/>
      </c>
      <c r="K423" s="107" t="str">
        <f>IFERROR(WHOLE_STRUCTURE[[#This Row],[Bottom '[mLAT']]]-WHOLE_STRUCTURE[[#This Row],[D, top '[m']]], "")</f>
        <v/>
      </c>
      <c r="L423" s="107" t="str">
        <f>IFERROR(-(WHOLE_STRUCTURE[[#This Row],[D, bottom '[m']]]-WHOLE_STRUCTURE[[#This Row],[D, top '[m']]])/(WHOLE_STRUCTURE[[#This Row],[Bottom '[mLAT']]]-WHOLE_STRUCTURE[[#This Row],[Top '[mLAT']]]),"")</f>
        <v/>
      </c>
      <c r="M423" s="107" t="str">
        <f>IFERROR((WHOLE_STRUCTURE[[#This Row],[D, bottom '[m']]]+WHOLE_STRUCTURE[[#This Row],[D, top '[m']]])/(2*WHOLE_STRUCTURE[[#This Row],[t '[mm']]]/1000),"")</f>
        <v/>
      </c>
    </row>
    <row r="424" spans="10:13" x14ac:dyDescent="0.3">
      <c r="J424" s="107" t="str">
        <f>IF(7850/1000*(1/3)*PI()*ABS(E424-F424)*((G424/2)^2+(G424/2)*(H424/2)+(H424/2)^2-(G424/2-I424/1000)^2-(G424/2-I424/1000)*(H424/2-I424/1000)-(H424/2-I424/1000)^2)=0,"",7850/1000*(1/3)*PI()*ABS(E424-F424)*((G424/2)^2+(G424/2)*(H424/2)+(H424/2)^2-(G424/2-I424/1000)^2-(G424/2-I424/1000)*(H424/2-I424/1000)-(H424/2-I424/1000)^2))</f>
        <v/>
      </c>
      <c r="K424" s="107" t="str">
        <f>IFERROR(WHOLE_STRUCTURE[[#This Row],[Bottom '[mLAT']]]-WHOLE_STRUCTURE[[#This Row],[D, top '[m']]], "")</f>
        <v/>
      </c>
      <c r="L424" s="107" t="str">
        <f>IFERROR(-(WHOLE_STRUCTURE[[#This Row],[D, bottom '[m']]]-WHOLE_STRUCTURE[[#This Row],[D, top '[m']]])/(WHOLE_STRUCTURE[[#This Row],[Bottom '[mLAT']]]-WHOLE_STRUCTURE[[#This Row],[Top '[mLAT']]]),"")</f>
        <v/>
      </c>
      <c r="M424" s="107" t="str">
        <f>IFERROR((WHOLE_STRUCTURE[[#This Row],[D, bottom '[m']]]+WHOLE_STRUCTURE[[#This Row],[D, top '[m']]])/(2*WHOLE_STRUCTURE[[#This Row],[t '[mm']]]/1000),"")</f>
        <v/>
      </c>
    </row>
    <row r="425" spans="10:13" x14ac:dyDescent="0.3">
      <c r="J425" s="107" t="str">
        <f>IF(7850/1000*(1/3)*PI()*ABS(E425-F425)*((G425/2)^2+(G425/2)*(H425/2)+(H425/2)^2-(G425/2-I425/1000)^2-(G425/2-I425/1000)*(H425/2-I425/1000)-(H425/2-I425/1000)^2)=0,"",7850/1000*(1/3)*PI()*ABS(E425-F425)*((G425/2)^2+(G425/2)*(H425/2)+(H425/2)^2-(G425/2-I425/1000)^2-(G425/2-I425/1000)*(H425/2-I425/1000)-(H425/2-I425/1000)^2))</f>
        <v/>
      </c>
      <c r="K425" s="107" t="str">
        <f>IFERROR(WHOLE_STRUCTURE[[#This Row],[Bottom '[mLAT']]]-WHOLE_STRUCTURE[[#This Row],[D, top '[m']]], "")</f>
        <v/>
      </c>
      <c r="L425" s="107" t="str">
        <f>IFERROR(-(WHOLE_STRUCTURE[[#This Row],[D, bottom '[m']]]-WHOLE_STRUCTURE[[#This Row],[D, top '[m']]])/(WHOLE_STRUCTURE[[#This Row],[Bottom '[mLAT']]]-WHOLE_STRUCTURE[[#This Row],[Top '[mLAT']]]),"")</f>
        <v/>
      </c>
      <c r="M425" s="107" t="str">
        <f>IFERROR((WHOLE_STRUCTURE[[#This Row],[D, bottom '[m']]]+WHOLE_STRUCTURE[[#This Row],[D, top '[m']]])/(2*WHOLE_STRUCTURE[[#This Row],[t '[mm']]]/1000),"")</f>
        <v/>
      </c>
    </row>
    <row r="426" spans="10:13" x14ac:dyDescent="0.3">
      <c r="J426" s="107" t="str">
        <f>IF(7850/1000*(1/3)*PI()*ABS(E426-F426)*((G426/2)^2+(G426/2)*(H426/2)+(H426/2)^2-(G426/2-I426/1000)^2-(G426/2-I426/1000)*(H426/2-I426/1000)-(H426/2-I426/1000)^2)=0,"",7850/1000*(1/3)*PI()*ABS(E426-F426)*((G426/2)^2+(G426/2)*(H426/2)+(H426/2)^2-(G426/2-I426/1000)^2-(G426/2-I426/1000)*(H426/2-I426/1000)-(H426/2-I426/1000)^2))</f>
        <v/>
      </c>
      <c r="K426" s="107" t="str">
        <f>IFERROR(WHOLE_STRUCTURE[[#This Row],[Bottom '[mLAT']]]-WHOLE_STRUCTURE[[#This Row],[D, top '[m']]], "")</f>
        <v/>
      </c>
      <c r="L426" s="107" t="str">
        <f>IFERROR(-(WHOLE_STRUCTURE[[#This Row],[D, bottom '[m']]]-WHOLE_STRUCTURE[[#This Row],[D, top '[m']]])/(WHOLE_STRUCTURE[[#This Row],[Bottom '[mLAT']]]-WHOLE_STRUCTURE[[#This Row],[Top '[mLAT']]]),"")</f>
        <v/>
      </c>
      <c r="M426" s="107" t="str">
        <f>IFERROR((WHOLE_STRUCTURE[[#This Row],[D, bottom '[m']]]+WHOLE_STRUCTURE[[#This Row],[D, top '[m']]])/(2*WHOLE_STRUCTURE[[#This Row],[t '[mm']]]/1000),"")</f>
        <v/>
      </c>
    </row>
    <row r="427" spans="10:13" x14ac:dyDescent="0.3">
      <c r="J427" s="107" t="str">
        <f>IF(7850/1000*(1/3)*PI()*ABS(E427-F427)*((G427/2)^2+(G427/2)*(H427/2)+(H427/2)^2-(G427/2-I427/1000)^2-(G427/2-I427/1000)*(H427/2-I427/1000)-(H427/2-I427/1000)^2)=0,"",7850/1000*(1/3)*PI()*ABS(E427-F427)*((G427/2)^2+(G427/2)*(H427/2)+(H427/2)^2-(G427/2-I427/1000)^2-(G427/2-I427/1000)*(H427/2-I427/1000)-(H427/2-I427/1000)^2))</f>
        <v/>
      </c>
      <c r="K427" s="107" t="str">
        <f>IFERROR(WHOLE_STRUCTURE[[#This Row],[Bottom '[mLAT']]]-WHOLE_STRUCTURE[[#This Row],[D, top '[m']]], "")</f>
        <v/>
      </c>
      <c r="L427" s="107" t="str">
        <f>IFERROR(-(WHOLE_STRUCTURE[[#This Row],[D, bottom '[m']]]-WHOLE_STRUCTURE[[#This Row],[D, top '[m']]])/(WHOLE_STRUCTURE[[#This Row],[Bottom '[mLAT']]]-WHOLE_STRUCTURE[[#This Row],[Top '[mLAT']]]),"")</f>
        <v/>
      </c>
      <c r="M427" s="107" t="str">
        <f>IFERROR((WHOLE_STRUCTURE[[#This Row],[D, bottom '[m']]]+WHOLE_STRUCTURE[[#This Row],[D, top '[m']]])/(2*WHOLE_STRUCTURE[[#This Row],[t '[mm']]]/1000),"")</f>
        <v/>
      </c>
    </row>
    <row r="428" spans="10:13" x14ac:dyDescent="0.3">
      <c r="J428" s="107" t="str">
        <f>IF(7850/1000*(1/3)*PI()*ABS(E428-F428)*((G428/2)^2+(G428/2)*(H428/2)+(H428/2)^2-(G428/2-I428/1000)^2-(G428/2-I428/1000)*(H428/2-I428/1000)-(H428/2-I428/1000)^2)=0,"",7850/1000*(1/3)*PI()*ABS(E428-F428)*((G428/2)^2+(G428/2)*(H428/2)+(H428/2)^2-(G428/2-I428/1000)^2-(G428/2-I428/1000)*(H428/2-I428/1000)-(H428/2-I428/1000)^2))</f>
        <v/>
      </c>
      <c r="K428" s="107" t="str">
        <f>IFERROR(WHOLE_STRUCTURE[[#This Row],[Bottom '[mLAT']]]-WHOLE_STRUCTURE[[#This Row],[D, top '[m']]], "")</f>
        <v/>
      </c>
      <c r="L428" s="107" t="str">
        <f>IFERROR(-(WHOLE_STRUCTURE[[#This Row],[D, bottom '[m']]]-WHOLE_STRUCTURE[[#This Row],[D, top '[m']]])/(WHOLE_STRUCTURE[[#This Row],[Bottom '[mLAT']]]-WHOLE_STRUCTURE[[#This Row],[Top '[mLAT']]]),"")</f>
        <v/>
      </c>
      <c r="M428" s="107" t="str">
        <f>IFERROR((WHOLE_STRUCTURE[[#This Row],[D, bottom '[m']]]+WHOLE_STRUCTURE[[#This Row],[D, top '[m']]])/(2*WHOLE_STRUCTURE[[#This Row],[t '[mm']]]/1000),"")</f>
        <v/>
      </c>
    </row>
    <row r="429" spans="10:13" x14ac:dyDescent="0.3">
      <c r="J429" s="107" t="str">
        <f>IF(7850/1000*(1/3)*PI()*ABS(E429-F429)*((G429/2)^2+(G429/2)*(H429/2)+(H429/2)^2-(G429/2-I429/1000)^2-(G429/2-I429/1000)*(H429/2-I429/1000)-(H429/2-I429/1000)^2)=0,"",7850/1000*(1/3)*PI()*ABS(E429-F429)*((G429/2)^2+(G429/2)*(H429/2)+(H429/2)^2-(G429/2-I429/1000)^2-(G429/2-I429/1000)*(H429/2-I429/1000)-(H429/2-I429/1000)^2))</f>
        <v/>
      </c>
      <c r="K429" s="107" t="str">
        <f>IFERROR(WHOLE_STRUCTURE[[#This Row],[Bottom '[mLAT']]]-WHOLE_STRUCTURE[[#This Row],[D, top '[m']]], "")</f>
        <v/>
      </c>
      <c r="L429" s="107" t="str">
        <f>IFERROR(-(WHOLE_STRUCTURE[[#This Row],[D, bottom '[m']]]-WHOLE_STRUCTURE[[#This Row],[D, top '[m']]])/(WHOLE_STRUCTURE[[#This Row],[Bottom '[mLAT']]]-WHOLE_STRUCTURE[[#This Row],[Top '[mLAT']]]),"")</f>
        <v/>
      </c>
      <c r="M429" s="107" t="str">
        <f>IFERROR((WHOLE_STRUCTURE[[#This Row],[D, bottom '[m']]]+WHOLE_STRUCTURE[[#This Row],[D, top '[m']]])/(2*WHOLE_STRUCTURE[[#This Row],[t '[mm']]]/1000),"")</f>
        <v/>
      </c>
    </row>
    <row r="430" spans="10:13" x14ac:dyDescent="0.3">
      <c r="J430" s="107" t="str">
        <f>IF(7850/1000*(1/3)*PI()*ABS(E430-F430)*((G430/2)^2+(G430/2)*(H430/2)+(H430/2)^2-(G430/2-I430/1000)^2-(G430/2-I430/1000)*(H430/2-I430/1000)-(H430/2-I430/1000)^2)=0,"",7850/1000*(1/3)*PI()*ABS(E430-F430)*((G430/2)^2+(G430/2)*(H430/2)+(H430/2)^2-(G430/2-I430/1000)^2-(G430/2-I430/1000)*(H430/2-I430/1000)-(H430/2-I430/1000)^2))</f>
        <v/>
      </c>
      <c r="K430" s="107" t="str">
        <f>IFERROR(WHOLE_STRUCTURE[[#This Row],[Bottom '[mLAT']]]-WHOLE_STRUCTURE[[#This Row],[D, top '[m']]], "")</f>
        <v/>
      </c>
      <c r="L430" s="107" t="str">
        <f>IFERROR(-(WHOLE_STRUCTURE[[#This Row],[D, bottom '[m']]]-WHOLE_STRUCTURE[[#This Row],[D, top '[m']]])/(WHOLE_STRUCTURE[[#This Row],[Bottom '[mLAT']]]-WHOLE_STRUCTURE[[#This Row],[Top '[mLAT']]]),"")</f>
        <v/>
      </c>
      <c r="M430" s="107" t="str">
        <f>IFERROR((WHOLE_STRUCTURE[[#This Row],[D, bottom '[m']]]+WHOLE_STRUCTURE[[#This Row],[D, top '[m']]])/(2*WHOLE_STRUCTURE[[#This Row],[t '[mm']]]/1000),"")</f>
        <v/>
      </c>
    </row>
    <row r="431" spans="10:13" x14ac:dyDescent="0.3">
      <c r="J431" s="107" t="str">
        <f>IF(7850/1000*(1/3)*PI()*ABS(E431-F431)*((G431/2)^2+(G431/2)*(H431/2)+(H431/2)^2-(G431/2-I431/1000)^2-(G431/2-I431/1000)*(H431/2-I431/1000)-(H431/2-I431/1000)^2)=0,"",7850/1000*(1/3)*PI()*ABS(E431-F431)*((G431/2)^2+(G431/2)*(H431/2)+(H431/2)^2-(G431/2-I431/1000)^2-(G431/2-I431/1000)*(H431/2-I431/1000)-(H431/2-I431/1000)^2))</f>
        <v/>
      </c>
      <c r="K431" s="107" t="str">
        <f>IFERROR(WHOLE_STRUCTURE[[#This Row],[Bottom '[mLAT']]]-WHOLE_STRUCTURE[[#This Row],[D, top '[m']]], "")</f>
        <v/>
      </c>
      <c r="L431" s="107" t="str">
        <f>IFERROR(-(WHOLE_STRUCTURE[[#This Row],[D, bottom '[m']]]-WHOLE_STRUCTURE[[#This Row],[D, top '[m']]])/(WHOLE_STRUCTURE[[#This Row],[Bottom '[mLAT']]]-WHOLE_STRUCTURE[[#This Row],[Top '[mLAT']]]),"")</f>
        <v/>
      </c>
      <c r="M431" s="107" t="str">
        <f>IFERROR((WHOLE_STRUCTURE[[#This Row],[D, bottom '[m']]]+WHOLE_STRUCTURE[[#This Row],[D, top '[m']]])/(2*WHOLE_STRUCTURE[[#This Row],[t '[mm']]]/1000),"")</f>
        <v/>
      </c>
    </row>
    <row r="432" spans="10:13" x14ac:dyDescent="0.3">
      <c r="J432" s="107" t="str">
        <f>IF(7850/1000*(1/3)*PI()*ABS(E432-F432)*((G432/2)^2+(G432/2)*(H432/2)+(H432/2)^2-(G432/2-I432/1000)^2-(G432/2-I432/1000)*(H432/2-I432/1000)-(H432/2-I432/1000)^2)=0,"",7850/1000*(1/3)*PI()*ABS(E432-F432)*((G432/2)^2+(G432/2)*(H432/2)+(H432/2)^2-(G432/2-I432/1000)^2-(G432/2-I432/1000)*(H432/2-I432/1000)-(H432/2-I432/1000)^2))</f>
        <v/>
      </c>
      <c r="K432" s="107" t="str">
        <f>IFERROR(WHOLE_STRUCTURE[[#This Row],[Bottom '[mLAT']]]-WHOLE_STRUCTURE[[#This Row],[D, top '[m']]], "")</f>
        <v/>
      </c>
      <c r="L432" s="107" t="str">
        <f>IFERROR(-(WHOLE_STRUCTURE[[#This Row],[D, bottom '[m']]]-WHOLE_STRUCTURE[[#This Row],[D, top '[m']]])/(WHOLE_STRUCTURE[[#This Row],[Bottom '[mLAT']]]-WHOLE_STRUCTURE[[#This Row],[Top '[mLAT']]]),"")</f>
        <v/>
      </c>
      <c r="M432" s="107" t="str">
        <f>IFERROR((WHOLE_STRUCTURE[[#This Row],[D, bottom '[m']]]+WHOLE_STRUCTURE[[#This Row],[D, top '[m']]])/(2*WHOLE_STRUCTURE[[#This Row],[t '[mm']]]/1000),"")</f>
        <v/>
      </c>
    </row>
    <row r="433" spans="10:13" x14ac:dyDescent="0.3">
      <c r="J433" s="107" t="str">
        <f>IF(7850/1000*(1/3)*PI()*ABS(E433-F433)*((G433/2)^2+(G433/2)*(H433/2)+(H433/2)^2-(G433/2-I433/1000)^2-(G433/2-I433/1000)*(H433/2-I433/1000)-(H433/2-I433/1000)^2)=0,"",7850/1000*(1/3)*PI()*ABS(E433-F433)*((G433/2)^2+(G433/2)*(H433/2)+(H433/2)^2-(G433/2-I433/1000)^2-(G433/2-I433/1000)*(H433/2-I433/1000)-(H433/2-I433/1000)^2))</f>
        <v/>
      </c>
      <c r="K433" s="107" t="str">
        <f>IFERROR(WHOLE_STRUCTURE[[#This Row],[Bottom '[mLAT']]]-WHOLE_STRUCTURE[[#This Row],[D, top '[m']]], "")</f>
        <v/>
      </c>
      <c r="L433" s="107" t="str">
        <f>IFERROR(-(WHOLE_STRUCTURE[[#This Row],[D, bottom '[m']]]-WHOLE_STRUCTURE[[#This Row],[D, top '[m']]])/(WHOLE_STRUCTURE[[#This Row],[Bottom '[mLAT']]]-WHOLE_STRUCTURE[[#This Row],[Top '[mLAT']]]),"")</f>
        <v/>
      </c>
      <c r="M433" s="107" t="str">
        <f>IFERROR((WHOLE_STRUCTURE[[#This Row],[D, bottom '[m']]]+WHOLE_STRUCTURE[[#This Row],[D, top '[m']]])/(2*WHOLE_STRUCTURE[[#This Row],[t '[mm']]]/1000),"")</f>
        <v/>
      </c>
    </row>
    <row r="434" spans="10:13" x14ac:dyDescent="0.3">
      <c r="J434" s="107" t="str">
        <f>IF(7850/1000*(1/3)*PI()*ABS(E434-F434)*((G434/2)^2+(G434/2)*(H434/2)+(H434/2)^2-(G434/2-I434/1000)^2-(G434/2-I434/1000)*(H434/2-I434/1000)-(H434/2-I434/1000)^2)=0,"",7850/1000*(1/3)*PI()*ABS(E434-F434)*((G434/2)^2+(G434/2)*(H434/2)+(H434/2)^2-(G434/2-I434/1000)^2-(G434/2-I434/1000)*(H434/2-I434/1000)-(H434/2-I434/1000)^2))</f>
        <v/>
      </c>
      <c r="K434" s="107" t="str">
        <f>IFERROR(WHOLE_STRUCTURE[[#This Row],[Bottom '[mLAT']]]-WHOLE_STRUCTURE[[#This Row],[D, top '[m']]], "")</f>
        <v/>
      </c>
      <c r="L434" s="107" t="str">
        <f>IFERROR(-(WHOLE_STRUCTURE[[#This Row],[D, bottom '[m']]]-WHOLE_STRUCTURE[[#This Row],[D, top '[m']]])/(WHOLE_STRUCTURE[[#This Row],[Bottom '[mLAT']]]-WHOLE_STRUCTURE[[#This Row],[Top '[mLAT']]]),"")</f>
        <v/>
      </c>
      <c r="M434" s="107" t="str">
        <f>IFERROR((WHOLE_STRUCTURE[[#This Row],[D, bottom '[m']]]+WHOLE_STRUCTURE[[#This Row],[D, top '[m']]])/(2*WHOLE_STRUCTURE[[#This Row],[t '[mm']]]/1000),"")</f>
        <v/>
      </c>
    </row>
    <row r="435" spans="10:13" x14ac:dyDescent="0.3">
      <c r="J435" s="107" t="str">
        <f>IF(7850/1000*(1/3)*PI()*ABS(E435-F435)*((G435/2)^2+(G435/2)*(H435/2)+(H435/2)^2-(G435/2-I435/1000)^2-(G435/2-I435/1000)*(H435/2-I435/1000)-(H435/2-I435/1000)^2)=0,"",7850/1000*(1/3)*PI()*ABS(E435-F435)*((G435/2)^2+(G435/2)*(H435/2)+(H435/2)^2-(G435/2-I435/1000)^2-(G435/2-I435/1000)*(H435/2-I435/1000)-(H435/2-I435/1000)^2))</f>
        <v/>
      </c>
      <c r="K435" s="107" t="str">
        <f>IFERROR(WHOLE_STRUCTURE[[#This Row],[Bottom '[mLAT']]]-WHOLE_STRUCTURE[[#This Row],[D, top '[m']]], "")</f>
        <v/>
      </c>
      <c r="L435" s="107" t="str">
        <f>IFERROR(-(WHOLE_STRUCTURE[[#This Row],[D, bottom '[m']]]-WHOLE_STRUCTURE[[#This Row],[D, top '[m']]])/(WHOLE_STRUCTURE[[#This Row],[Bottom '[mLAT']]]-WHOLE_STRUCTURE[[#This Row],[Top '[mLAT']]]),"")</f>
        <v/>
      </c>
      <c r="M435" s="107" t="str">
        <f>IFERROR((WHOLE_STRUCTURE[[#This Row],[D, bottom '[m']]]+WHOLE_STRUCTURE[[#This Row],[D, top '[m']]])/(2*WHOLE_STRUCTURE[[#This Row],[t '[mm']]]/1000),"")</f>
        <v/>
      </c>
    </row>
    <row r="436" spans="10:13" x14ac:dyDescent="0.3">
      <c r="J436" s="107" t="str">
        <f>IF(7850/1000*(1/3)*PI()*ABS(E436-F436)*((G436/2)^2+(G436/2)*(H436/2)+(H436/2)^2-(G436/2-I436/1000)^2-(G436/2-I436/1000)*(H436/2-I436/1000)-(H436/2-I436/1000)^2)=0,"",7850/1000*(1/3)*PI()*ABS(E436-F436)*((G436/2)^2+(G436/2)*(H436/2)+(H436/2)^2-(G436/2-I436/1000)^2-(G436/2-I436/1000)*(H436/2-I436/1000)-(H436/2-I436/1000)^2))</f>
        <v/>
      </c>
      <c r="K436" s="107" t="str">
        <f>IFERROR(WHOLE_STRUCTURE[[#This Row],[Bottom '[mLAT']]]-WHOLE_STRUCTURE[[#This Row],[D, top '[m']]], "")</f>
        <v/>
      </c>
      <c r="L436" s="107" t="str">
        <f>IFERROR(-(WHOLE_STRUCTURE[[#This Row],[D, bottom '[m']]]-WHOLE_STRUCTURE[[#This Row],[D, top '[m']]])/(WHOLE_STRUCTURE[[#This Row],[Bottom '[mLAT']]]-WHOLE_STRUCTURE[[#This Row],[Top '[mLAT']]]),"")</f>
        <v/>
      </c>
      <c r="M436" s="107" t="str">
        <f>IFERROR((WHOLE_STRUCTURE[[#This Row],[D, bottom '[m']]]+WHOLE_STRUCTURE[[#This Row],[D, top '[m']]])/(2*WHOLE_STRUCTURE[[#This Row],[t '[mm']]]/1000),"")</f>
        <v/>
      </c>
    </row>
    <row r="437" spans="10:13" x14ac:dyDescent="0.3">
      <c r="J437" s="107" t="str">
        <f>IF(7850/1000*(1/3)*PI()*ABS(E437-F437)*((G437/2)^2+(G437/2)*(H437/2)+(H437/2)^2-(G437/2-I437/1000)^2-(G437/2-I437/1000)*(H437/2-I437/1000)-(H437/2-I437/1000)^2)=0,"",7850/1000*(1/3)*PI()*ABS(E437-F437)*((G437/2)^2+(G437/2)*(H437/2)+(H437/2)^2-(G437/2-I437/1000)^2-(G437/2-I437/1000)*(H437/2-I437/1000)-(H437/2-I437/1000)^2))</f>
        <v/>
      </c>
      <c r="K437" s="107" t="str">
        <f>IFERROR(WHOLE_STRUCTURE[[#This Row],[Bottom '[mLAT']]]-WHOLE_STRUCTURE[[#This Row],[D, top '[m']]], "")</f>
        <v/>
      </c>
      <c r="L437" s="107" t="str">
        <f>IFERROR(-(WHOLE_STRUCTURE[[#This Row],[D, bottom '[m']]]-WHOLE_STRUCTURE[[#This Row],[D, top '[m']]])/(WHOLE_STRUCTURE[[#This Row],[Bottom '[mLAT']]]-WHOLE_STRUCTURE[[#This Row],[Top '[mLAT']]]),"")</f>
        <v/>
      </c>
      <c r="M437" s="107" t="str">
        <f>IFERROR((WHOLE_STRUCTURE[[#This Row],[D, bottom '[m']]]+WHOLE_STRUCTURE[[#This Row],[D, top '[m']]])/(2*WHOLE_STRUCTURE[[#This Row],[t '[mm']]]/1000),"")</f>
        <v/>
      </c>
    </row>
    <row r="438" spans="10:13" x14ac:dyDescent="0.3">
      <c r="J438" s="107" t="str">
        <f>IF(7850/1000*(1/3)*PI()*ABS(E438-F438)*((G438/2)^2+(G438/2)*(H438/2)+(H438/2)^2-(G438/2-I438/1000)^2-(G438/2-I438/1000)*(H438/2-I438/1000)-(H438/2-I438/1000)^2)=0,"",7850/1000*(1/3)*PI()*ABS(E438-F438)*((G438/2)^2+(G438/2)*(H438/2)+(H438/2)^2-(G438/2-I438/1000)^2-(G438/2-I438/1000)*(H438/2-I438/1000)-(H438/2-I438/1000)^2))</f>
        <v/>
      </c>
      <c r="K438" s="107" t="str">
        <f>IFERROR(WHOLE_STRUCTURE[[#This Row],[Bottom '[mLAT']]]-WHOLE_STRUCTURE[[#This Row],[D, top '[m']]], "")</f>
        <v/>
      </c>
      <c r="L438" s="107" t="str">
        <f>IFERROR(-(WHOLE_STRUCTURE[[#This Row],[D, bottom '[m']]]-WHOLE_STRUCTURE[[#This Row],[D, top '[m']]])/(WHOLE_STRUCTURE[[#This Row],[Bottom '[mLAT']]]-WHOLE_STRUCTURE[[#This Row],[Top '[mLAT']]]),"")</f>
        <v/>
      </c>
      <c r="M438" s="107" t="str">
        <f>IFERROR((WHOLE_STRUCTURE[[#This Row],[D, bottom '[m']]]+WHOLE_STRUCTURE[[#This Row],[D, top '[m']]])/(2*WHOLE_STRUCTURE[[#This Row],[t '[mm']]]/1000),"")</f>
        <v/>
      </c>
    </row>
    <row r="439" spans="10:13" x14ac:dyDescent="0.3">
      <c r="J439" s="107" t="str">
        <f>IF(7850/1000*(1/3)*PI()*ABS(E439-F439)*((G439/2)^2+(G439/2)*(H439/2)+(H439/2)^2-(G439/2-I439/1000)^2-(G439/2-I439/1000)*(H439/2-I439/1000)-(H439/2-I439/1000)^2)=0,"",7850/1000*(1/3)*PI()*ABS(E439-F439)*((G439/2)^2+(G439/2)*(H439/2)+(H439/2)^2-(G439/2-I439/1000)^2-(G439/2-I439/1000)*(H439/2-I439/1000)-(H439/2-I439/1000)^2))</f>
        <v/>
      </c>
      <c r="K439" s="107" t="str">
        <f>IFERROR(WHOLE_STRUCTURE[[#This Row],[Bottom '[mLAT']]]-WHOLE_STRUCTURE[[#This Row],[D, top '[m']]], "")</f>
        <v/>
      </c>
      <c r="L439" s="107" t="str">
        <f>IFERROR(-(WHOLE_STRUCTURE[[#This Row],[D, bottom '[m']]]-WHOLE_STRUCTURE[[#This Row],[D, top '[m']]])/(WHOLE_STRUCTURE[[#This Row],[Bottom '[mLAT']]]-WHOLE_STRUCTURE[[#This Row],[Top '[mLAT']]]),"")</f>
        <v/>
      </c>
      <c r="M439" s="107" t="str">
        <f>IFERROR((WHOLE_STRUCTURE[[#This Row],[D, bottom '[m']]]+WHOLE_STRUCTURE[[#This Row],[D, top '[m']]])/(2*WHOLE_STRUCTURE[[#This Row],[t '[mm']]]/1000),"")</f>
        <v/>
      </c>
    </row>
    <row r="440" spans="10:13" x14ac:dyDescent="0.3">
      <c r="J440" s="107" t="str">
        <f>IF(7850/1000*(1/3)*PI()*ABS(E440-F440)*((G440/2)^2+(G440/2)*(H440/2)+(H440/2)^2-(G440/2-I440/1000)^2-(G440/2-I440/1000)*(H440/2-I440/1000)-(H440/2-I440/1000)^2)=0,"",7850/1000*(1/3)*PI()*ABS(E440-F440)*((G440/2)^2+(G440/2)*(H440/2)+(H440/2)^2-(G440/2-I440/1000)^2-(G440/2-I440/1000)*(H440/2-I440/1000)-(H440/2-I440/1000)^2))</f>
        <v/>
      </c>
      <c r="K440" s="107" t="str">
        <f>IFERROR(WHOLE_STRUCTURE[[#This Row],[Bottom '[mLAT']]]-WHOLE_STRUCTURE[[#This Row],[D, top '[m']]], "")</f>
        <v/>
      </c>
      <c r="L440" s="107" t="str">
        <f>IFERROR(-(WHOLE_STRUCTURE[[#This Row],[D, bottom '[m']]]-WHOLE_STRUCTURE[[#This Row],[D, top '[m']]])/(WHOLE_STRUCTURE[[#This Row],[Bottom '[mLAT']]]-WHOLE_STRUCTURE[[#This Row],[Top '[mLAT']]]),"")</f>
        <v/>
      </c>
      <c r="M440" s="107" t="str">
        <f>IFERROR((WHOLE_STRUCTURE[[#This Row],[D, bottom '[m']]]+WHOLE_STRUCTURE[[#This Row],[D, top '[m']]])/(2*WHOLE_STRUCTURE[[#This Row],[t '[mm']]]/1000),"")</f>
        <v/>
      </c>
    </row>
    <row r="441" spans="10:13" x14ac:dyDescent="0.3">
      <c r="J441" s="107" t="str">
        <f>IF(7850/1000*(1/3)*PI()*ABS(E441-F441)*((G441/2)^2+(G441/2)*(H441/2)+(H441/2)^2-(G441/2-I441/1000)^2-(G441/2-I441/1000)*(H441/2-I441/1000)-(H441/2-I441/1000)^2)=0,"",7850/1000*(1/3)*PI()*ABS(E441-F441)*((G441/2)^2+(G441/2)*(H441/2)+(H441/2)^2-(G441/2-I441/1000)^2-(G441/2-I441/1000)*(H441/2-I441/1000)-(H441/2-I441/1000)^2))</f>
        <v/>
      </c>
      <c r="K441" s="107" t="str">
        <f>IFERROR(WHOLE_STRUCTURE[[#This Row],[Bottom '[mLAT']]]-WHOLE_STRUCTURE[[#This Row],[D, top '[m']]], "")</f>
        <v/>
      </c>
      <c r="L441" s="107" t="str">
        <f>IFERROR(-(WHOLE_STRUCTURE[[#This Row],[D, bottom '[m']]]-WHOLE_STRUCTURE[[#This Row],[D, top '[m']]])/(WHOLE_STRUCTURE[[#This Row],[Bottom '[mLAT']]]-WHOLE_STRUCTURE[[#This Row],[Top '[mLAT']]]),"")</f>
        <v/>
      </c>
      <c r="M441" s="107" t="str">
        <f>IFERROR((WHOLE_STRUCTURE[[#This Row],[D, bottom '[m']]]+WHOLE_STRUCTURE[[#This Row],[D, top '[m']]])/(2*WHOLE_STRUCTURE[[#This Row],[t '[mm']]]/1000),"")</f>
        <v/>
      </c>
    </row>
    <row r="442" spans="10:13" x14ac:dyDescent="0.3">
      <c r="J442" s="107" t="str">
        <f>IF(7850/1000*(1/3)*PI()*ABS(E442-F442)*((G442/2)^2+(G442/2)*(H442/2)+(H442/2)^2-(G442/2-I442/1000)^2-(G442/2-I442/1000)*(H442/2-I442/1000)-(H442/2-I442/1000)^2)=0,"",7850/1000*(1/3)*PI()*ABS(E442-F442)*((G442/2)^2+(G442/2)*(H442/2)+(H442/2)^2-(G442/2-I442/1000)^2-(G442/2-I442/1000)*(H442/2-I442/1000)-(H442/2-I442/1000)^2))</f>
        <v/>
      </c>
      <c r="K442" s="107" t="str">
        <f>IFERROR(WHOLE_STRUCTURE[[#This Row],[Bottom '[mLAT']]]-WHOLE_STRUCTURE[[#This Row],[D, top '[m']]], "")</f>
        <v/>
      </c>
      <c r="L442" s="107" t="str">
        <f>IFERROR(-(WHOLE_STRUCTURE[[#This Row],[D, bottom '[m']]]-WHOLE_STRUCTURE[[#This Row],[D, top '[m']]])/(WHOLE_STRUCTURE[[#This Row],[Bottom '[mLAT']]]-WHOLE_STRUCTURE[[#This Row],[Top '[mLAT']]]),"")</f>
        <v/>
      </c>
      <c r="M442" s="107" t="str">
        <f>IFERROR((WHOLE_STRUCTURE[[#This Row],[D, bottom '[m']]]+WHOLE_STRUCTURE[[#This Row],[D, top '[m']]])/(2*WHOLE_STRUCTURE[[#This Row],[t '[mm']]]/1000),"")</f>
        <v/>
      </c>
    </row>
    <row r="443" spans="10:13" x14ac:dyDescent="0.3">
      <c r="J443" s="107" t="str">
        <f>IF(7850/1000*(1/3)*PI()*ABS(E443-F443)*((G443/2)^2+(G443/2)*(H443/2)+(H443/2)^2-(G443/2-I443/1000)^2-(G443/2-I443/1000)*(H443/2-I443/1000)-(H443/2-I443/1000)^2)=0,"",7850/1000*(1/3)*PI()*ABS(E443-F443)*((G443/2)^2+(G443/2)*(H443/2)+(H443/2)^2-(G443/2-I443/1000)^2-(G443/2-I443/1000)*(H443/2-I443/1000)-(H443/2-I443/1000)^2))</f>
        <v/>
      </c>
      <c r="K443" s="107" t="str">
        <f>IFERROR(WHOLE_STRUCTURE[[#This Row],[Bottom '[mLAT']]]-WHOLE_STRUCTURE[[#This Row],[D, top '[m']]], "")</f>
        <v/>
      </c>
      <c r="L443" s="107" t="str">
        <f>IFERROR(-(WHOLE_STRUCTURE[[#This Row],[D, bottom '[m']]]-WHOLE_STRUCTURE[[#This Row],[D, top '[m']]])/(WHOLE_STRUCTURE[[#This Row],[Bottom '[mLAT']]]-WHOLE_STRUCTURE[[#This Row],[Top '[mLAT']]]),"")</f>
        <v/>
      </c>
      <c r="M443" s="107" t="str">
        <f>IFERROR((WHOLE_STRUCTURE[[#This Row],[D, bottom '[m']]]+WHOLE_STRUCTURE[[#This Row],[D, top '[m']]])/(2*WHOLE_STRUCTURE[[#This Row],[t '[mm']]]/1000),"")</f>
        <v/>
      </c>
    </row>
  </sheetData>
  <pageMargins left="0.7" right="0.7" top="0.78740157499999996" bottom="0.78740157499999996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3EC92-8BA8-4E04-831D-C40D6A1ADBE8}">
  <sheetPr codeName="Tabelle3"/>
  <dimension ref="A2:X47"/>
  <sheetViews>
    <sheetView zoomScale="70" zoomScaleNormal="70" workbookViewId="0">
      <selection activeCell="F62" sqref="F62"/>
    </sheetView>
  </sheetViews>
  <sheetFormatPr baseColWidth="10" defaultRowHeight="14.4" x14ac:dyDescent="0.3"/>
  <cols>
    <col min="2" max="2" width="18.109375" customWidth="1"/>
    <col min="3" max="3" width="12" customWidth="1"/>
    <col min="7" max="7" width="21.44140625" customWidth="1"/>
    <col min="8" max="9" width="17.33203125" customWidth="1"/>
    <col min="11" max="11" width="14.44140625" customWidth="1"/>
    <col min="12" max="12" width="22.33203125" customWidth="1"/>
    <col min="13" max="13" width="22" customWidth="1"/>
    <col min="14" max="14" width="25" customWidth="1"/>
    <col min="16" max="16" width="17.5546875" customWidth="1"/>
    <col min="17" max="17" width="11.44140625" customWidth="1"/>
    <col min="18" max="18" width="16.44140625" customWidth="1"/>
    <col min="19" max="19" width="11.44140625" customWidth="1"/>
    <col min="22" max="23" width="18.109375" customWidth="1"/>
  </cols>
  <sheetData>
    <row r="2" spans="1:24" ht="15" thickBot="1" x14ac:dyDescent="0.35"/>
    <row r="3" spans="1:24" ht="15.75" customHeight="1" thickBot="1" x14ac:dyDescent="0.35">
      <c r="B3" s="12" t="s">
        <v>64</v>
      </c>
      <c r="C3" s="100">
        <f>[2]Geometrie!D36</f>
        <v>91.787000000000006</v>
      </c>
      <c r="D3" s="101"/>
      <c r="E3" s="102"/>
      <c r="G3" s="63" t="s">
        <v>65</v>
      </c>
      <c r="H3" s="64" t="s">
        <v>66</v>
      </c>
      <c r="I3" s="65" t="s">
        <v>67</v>
      </c>
      <c r="K3" s="98" t="s">
        <v>68</v>
      </c>
      <c r="L3" s="103"/>
      <c r="M3" s="103"/>
      <c r="N3" s="99"/>
      <c r="P3" s="63" t="s">
        <v>82</v>
      </c>
      <c r="Q3" s="64"/>
      <c r="R3" s="65" t="s">
        <v>83</v>
      </c>
    </row>
    <row r="4" spans="1:24" ht="15.75" customHeight="1" thickBot="1" x14ac:dyDescent="0.35">
      <c r="G4" s="98" t="s">
        <v>69</v>
      </c>
      <c r="H4" s="99"/>
      <c r="I4" s="10">
        <f>[2]TurbineData!H36/1000</f>
        <v>0</v>
      </c>
      <c r="K4" s="12" t="s">
        <v>70</v>
      </c>
      <c r="L4" s="12" t="s">
        <v>71</v>
      </c>
      <c r="M4" s="67" t="s">
        <v>72</v>
      </c>
      <c r="N4" s="67" t="s">
        <v>73</v>
      </c>
      <c r="P4" s="98"/>
      <c r="Q4" s="99"/>
      <c r="R4" s="10"/>
    </row>
    <row r="5" spans="1:24" ht="15" thickBot="1" x14ac:dyDescent="0.35">
      <c r="B5" s="74" t="s">
        <v>74</v>
      </c>
      <c r="C5" s="72"/>
      <c r="D5" s="73"/>
      <c r="E5" s="11">
        <v>0.1</v>
      </c>
      <c r="G5" s="63" t="s">
        <v>75</v>
      </c>
      <c r="H5" s="66"/>
      <c r="I5" s="11">
        <f>[2]TurbineData!I36</f>
        <v>0</v>
      </c>
      <c r="K5" s="11" t="s">
        <v>76</v>
      </c>
      <c r="L5" s="11">
        <v>210000000</v>
      </c>
      <c r="M5" s="11">
        <v>7850</v>
      </c>
      <c r="N5" s="11">
        <v>81000000000</v>
      </c>
      <c r="P5" s="63"/>
      <c r="Q5" s="66"/>
      <c r="R5" s="11"/>
    </row>
    <row r="6" spans="1:24" ht="15" thickBot="1" x14ac:dyDescent="0.35">
      <c r="B6" s="68" t="s">
        <v>77</v>
      </c>
      <c r="C6" s="69" t="s">
        <v>78</v>
      </c>
      <c r="D6" s="70"/>
      <c r="E6" s="11">
        <v>0.1</v>
      </c>
      <c r="G6" s="63" t="s">
        <v>79</v>
      </c>
      <c r="H6" s="66"/>
      <c r="I6" s="11">
        <f>[2]TurbineData!J36</f>
        <v>0</v>
      </c>
      <c r="K6" s="11" t="s">
        <v>80</v>
      </c>
      <c r="L6" s="11">
        <v>55000000</v>
      </c>
      <c r="M6" s="11">
        <v>2440</v>
      </c>
      <c r="N6" s="11">
        <v>81000000000</v>
      </c>
      <c r="P6" s="63"/>
      <c r="Q6" s="66"/>
      <c r="R6" s="11"/>
    </row>
    <row r="7" spans="1:24" ht="15" thickBot="1" x14ac:dyDescent="0.35">
      <c r="B7" s="71" t="str">
        <f>CONCATENATE("Seabed [m "&amp;$C$20&amp;"]")</f>
        <v>Seabed [m Top]</v>
      </c>
      <c r="C7" s="72"/>
      <c r="D7" s="73"/>
      <c r="E7" s="11">
        <v>-23.1</v>
      </c>
      <c r="K7" s="11" t="s">
        <v>81</v>
      </c>
      <c r="L7" s="11">
        <v>210000000</v>
      </c>
      <c r="M7" s="11">
        <v>7850</v>
      </c>
      <c r="N7" s="11">
        <v>81000000000</v>
      </c>
    </row>
    <row r="8" spans="1:24" x14ac:dyDescent="0.3">
      <c r="K8" s="75" t="s">
        <v>84</v>
      </c>
    </row>
    <row r="9" spans="1:24" ht="15" thickBot="1" x14ac:dyDescent="0.35"/>
    <row r="10" spans="1:24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5"/>
    </row>
    <row r="11" spans="1:24" x14ac:dyDescent="0.3">
      <c r="A11" s="16"/>
      <c r="X11" s="17"/>
    </row>
    <row r="12" spans="1:24" x14ac:dyDescent="0.3">
      <c r="A12" s="16"/>
      <c r="F12" t="s">
        <v>85</v>
      </c>
      <c r="X12" s="17"/>
    </row>
    <row r="13" spans="1:24" x14ac:dyDescent="0.3">
      <c r="A13" s="16"/>
      <c r="X13" s="17"/>
    </row>
    <row r="14" spans="1:24" ht="15" thickBot="1" x14ac:dyDescent="0.35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20"/>
    </row>
    <row r="15" spans="1:24" x14ac:dyDescent="0.3">
      <c r="A15" s="13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5"/>
    </row>
    <row r="16" spans="1:24" ht="15.6" x14ac:dyDescent="0.3">
      <c r="A16" s="16"/>
      <c r="B16" s="62" t="s">
        <v>86</v>
      </c>
      <c r="X16" s="17"/>
    </row>
    <row r="17" spans="1:24" x14ac:dyDescent="0.3">
      <c r="A17" s="16"/>
      <c r="X17" s="17"/>
    </row>
    <row r="18" spans="1:24" x14ac:dyDescent="0.3">
      <c r="A18" s="16"/>
      <c r="B18" t="s">
        <v>17</v>
      </c>
      <c r="M18" t="s">
        <v>19</v>
      </c>
      <c r="X18" s="17"/>
    </row>
    <row r="19" spans="1:24" x14ac:dyDescent="0.3">
      <c r="A19" s="16"/>
      <c r="X19" s="17"/>
    </row>
    <row r="20" spans="1:24" x14ac:dyDescent="0.3">
      <c r="A20" s="16"/>
      <c r="B20" s="59" t="s">
        <v>1</v>
      </c>
      <c r="C20" s="1" t="s">
        <v>2</v>
      </c>
      <c r="D20" s="1" t="s">
        <v>3</v>
      </c>
      <c r="E20" s="1" t="s">
        <v>4</v>
      </c>
      <c r="F20" s="1" t="s">
        <v>5</v>
      </c>
      <c r="G20" s="1" t="s">
        <v>6</v>
      </c>
      <c r="H20" s="1" t="s">
        <v>9</v>
      </c>
      <c r="I20" s="1" t="s">
        <v>10</v>
      </c>
      <c r="J20" s="1" t="s">
        <v>11</v>
      </c>
      <c r="K20" s="1" t="s">
        <v>12</v>
      </c>
      <c r="M20" s="9" t="s">
        <v>33</v>
      </c>
      <c r="N20" s="9" t="s">
        <v>20</v>
      </c>
      <c r="O20" s="9" t="s">
        <v>21</v>
      </c>
      <c r="P20" s="9" t="s">
        <v>18</v>
      </c>
      <c r="Q20" s="9" t="s">
        <v>30</v>
      </c>
      <c r="R20" s="9" t="s">
        <v>31</v>
      </c>
      <c r="S20" s="9" t="s">
        <v>32</v>
      </c>
      <c r="T20" s="9" t="s">
        <v>22</v>
      </c>
      <c r="U20" s="9" t="s">
        <v>23</v>
      </c>
      <c r="V20" s="9" t="s">
        <v>24</v>
      </c>
      <c r="W20" s="9" t="s">
        <v>27</v>
      </c>
      <c r="X20" s="17"/>
    </row>
    <row r="21" spans="1:24" x14ac:dyDescent="0.3">
      <c r="A21" s="16"/>
      <c r="B21" s="60"/>
      <c r="C21" s="1" t="str">
        <f>"[m"&amp;[1]Control!$F$7&amp;"]"</f>
        <v>[mLAT]</v>
      </c>
      <c r="D21" s="1" t="str">
        <f>"[m"&amp;[1]Control!$F$7&amp;"]"</f>
        <v>[mLAT]</v>
      </c>
      <c r="E21" s="1" t="s">
        <v>7</v>
      </c>
      <c r="F21" s="1" t="s">
        <v>7</v>
      </c>
      <c r="G21" s="1" t="s">
        <v>8</v>
      </c>
      <c r="H21" s="1" t="s">
        <v>7</v>
      </c>
      <c r="I21" s="1" t="s">
        <v>13</v>
      </c>
      <c r="J21" s="1" t="s">
        <v>14</v>
      </c>
      <c r="K21" s="1" t="s">
        <v>15</v>
      </c>
      <c r="M21" s="9"/>
      <c r="N21" s="9" t="s">
        <v>25</v>
      </c>
      <c r="O21" s="9" t="s">
        <v>25</v>
      </c>
      <c r="P21" s="9" t="s">
        <v>26</v>
      </c>
      <c r="Q21" s="9" t="s">
        <v>7</v>
      </c>
      <c r="R21" s="9" t="s">
        <v>63</v>
      </c>
      <c r="S21" s="9" t="s">
        <v>7</v>
      </c>
      <c r="T21" s="9" t="s">
        <v>15</v>
      </c>
      <c r="U21" s="9" t="s">
        <v>15</v>
      </c>
      <c r="V21" s="9" t="s">
        <v>8</v>
      </c>
      <c r="W21" s="9"/>
      <c r="X21" s="17"/>
    </row>
    <row r="22" spans="1:24" x14ac:dyDescent="0.3">
      <c r="A22" s="16"/>
      <c r="B22" s="2">
        <v>1</v>
      </c>
      <c r="C22" s="3">
        <v>5.8</v>
      </c>
      <c r="D22" s="3">
        <v>2.6</v>
      </c>
      <c r="E22" s="3">
        <v>8</v>
      </c>
      <c r="F22" s="3">
        <v>8</v>
      </c>
      <c r="G22" s="4">
        <v>115</v>
      </c>
      <c r="H22" s="6">
        <f t="shared" ref="H22:H34" si="0">C22-D22</f>
        <v>3.1999999999999997</v>
      </c>
      <c r="I22" s="7">
        <f>ATAN((F22-E22)/(2*H22))/PI()*180</f>
        <v>0</v>
      </c>
      <c r="J22" s="61">
        <f>IF(I22=0,PI()/4*(E22^2-(E22-(2*G22/1000))^2)*H22*7850/1000,(H22*PI()/12)*((F22^2+F22*E22+E22^2)-((F22-2*(G22/1000))^2+(F22-(2*G22/1000))*(E22-(2*G22/1000))+(E22-(2*G22/1000))^2))*7850/1000)</f>
        <v>71.559788082887295</v>
      </c>
      <c r="K22" s="61">
        <f>MAX(E22:F22)/G22*1000</f>
        <v>69.565217391304344</v>
      </c>
      <c r="M22" s="3"/>
      <c r="N22" s="3">
        <v>20</v>
      </c>
      <c r="O22" s="3">
        <v>6.5</v>
      </c>
      <c r="P22" s="3"/>
      <c r="Q22" s="3"/>
      <c r="R22" s="3"/>
      <c r="S22" s="3"/>
      <c r="T22" s="4">
        <v>0.9</v>
      </c>
      <c r="U22" s="3">
        <v>2</v>
      </c>
      <c r="V22" s="3"/>
      <c r="W22" s="3"/>
      <c r="X22" s="17"/>
    </row>
    <row r="23" spans="1:24" x14ac:dyDescent="0.3">
      <c r="A23" s="16"/>
      <c r="B23" s="2">
        <v>2</v>
      </c>
      <c r="C23" s="5">
        <f>D22</f>
        <v>2.6</v>
      </c>
      <c r="D23" s="3">
        <v>-0.6</v>
      </c>
      <c r="E23" s="3">
        <v>8</v>
      </c>
      <c r="F23" s="3">
        <v>8</v>
      </c>
      <c r="G23" s="4">
        <v>120</v>
      </c>
      <c r="H23" s="6">
        <f t="shared" si="0"/>
        <v>3.2</v>
      </c>
      <c r="I23" s="7">
        <f t="shared" ref="I23:I34" si="1">ATAN((F23-E23)/(2*H23))/PI()*180</f>
        <v>0</v>
      </c>
      <c r="J23" s="61">
        <f t="shared" ref="J23:J34" si="2">IF(I23=0,PI()/4*(E23^2-(E23-(2*G23/1000))^2)*H23*7850/1000,(H23*PI()/12)*((F23^2+F23*E23+E23^2)-((F23-2*(G23/1000))^2+(F23-(2*G23/1000))*(E23-(2*G23/1000))+(E23-(2*G23/1000))^2))*7850/1000)</f>
        <v>74.623733132450909</v>
      </c>
      <c r="K23" s="61">
        <f t="shared" ref="K23:K34" si="3">MAX(E23:F23)/G23*1000</f>
        <v>66.666666666666671</v>
      </c>
      <c r="M23" s="3"/>
      <c r="N23" s="3">
        <f>IF(ISBLANK(O23),"",O22)</f>
        <v>6.5</v>
      </c>
      <c r="O23" s="3">
        <v>-22</v>
      </c>
      <c r="P23" s="3"/>
      <c r="Q23" s="3"/>
      <c r="R23" s="3"/>
      <c r="S23" s="3"/>
      <c r="T23" s="4">
        <v>0.9</v>
      </c>
      <c r="U23" s="3">
        <v>2</v>
      </c>
      <c r="V23" s="3"/>
      <c r="W23" s="3"/>
      <c r="X23" s="17"/>
    </row>
    <row r="24" spans="1:24" x14ac:dyDescent="0.3">
      <c r="A24" s="16"/>
      <c r="B24" s="2">
        <v>3</v>
      </c>
      <c r="C24" s="5">
        <f t="shared" ref="C24:C33" si="4">D23</f>
        <v>-0.6</v>
      </c>
      <c r="D24" s="3">
        <v>-3.8</v>
      </c>
      <c r="E24" s="3">
        <v>8</v>
      </c>
      <c r="F24" s="3">
        <v>8</v>
      </c>
      <c r="G24" s="4">
        <v>130</v>
      </c>
      <c r="H24" s="6">
        <f t="shared" si="0"/>
        <v>3.1999999999999997</v>
      </c>
      <c r="I24" s="7">
        <f t="shared" si="1"/>
        <v>0</v>
      </c>
      <c r="J24" s="61">
        <f t="shared" si="2"/>
        <v>80.739785710459415</v>
      </c>
      <c r="K24" s="61">
        <f t="shared" si="3"/>
        <v>61.53846153846154</v>
      </c>
      <c r="M24" s="3" t="s">
        <v>28</v>
      </c>
      <c r="N24" s="3">
        <v>139</v>
      </c>
      <c r="O24" s="3">
        <v>4.5999999999999996</v>
      </c>
      <c r="P24" s="3"/>
      <c r="Q24" s="3"/>
      <c r="R24" s="3"/>
      <c r="S24" s="3"/>
      <c r="T24" s="4"/>
      <c r="U24" s="3"/>
      <c r="V24" s="3">
        <v>0</v>
      </c>
      <c r="W24" s="3"/>
      <c r="X24" s="17"/>
    </row>
    <row r="25" spans="1:24" x14ac:dyDescent="0.3">
      <c r="A25" s="16"/>
      <c r="B25" s="2">
        <v>4</v>
      </c>
      <c r="C25" s="5">
        <f t="shared" si="4"/>
        <v>-3.8</v>
      </c>
      <c r="D25" s="3">
        <v>-7.3</v>
      </c>
      <c r="E25" s="3">
        <v>8</v>
      </c>
      <c r="F25" s="3">
        <v>8.4377999999999993</v>
      </c>
      <c r="G25" s="4">
        <v>130</v>
      </c>
      <c r="H25" s="6">
        <f t="shared" si="0"/>
        <v>3.5</v>
      </c>
      <c r="I25" s="7">
        <f t="shared" si="1"/>
        <v>3.5787803472726449</v>
      </c>
      <c r="J25" s="61">
        <f t="shared" si="2"/>
        <v>90.765413922199599</v>
      </c>
      <c r="K25" s="61">
        <f t="shared" si="3"/>
        <v>64.906153846153842</v>
      </c>
      <c r="M25" s="3" t="s">
        <v>28</v>
      </c>
      <c r="N25" s="3">
        <f>IF(ISBLANK(O25),"",O24)</f>
        <v>4.5999999999999996</v>
      </c>
      <c r="O25" s="3">
        <v>-9.6</v>
      </c>
      <c r="P25" s="3"/>
      <c r="Q25" s="3"/>
      <c r="R25" s="3"/>
      <c r="S25" s="3"/>
      <c r="T25" s="4"/>
      <c r="U25" s="3"/>
      <c r="V25" s="3">
        <v>250</v>
      </c>
      <c r="W25" s="3"/>
      <c r="X25" s="17"/>
    </row>
    <row r="26" spans="1:24" x14ac:dyDescent="0.3">
      <c r="A26" s="16"/>
      <c r="B26" s="2">
        <v>5</v>
      </c>
      <c r="C26" s="5">
        <f>D25</f>
        <v>-7.3</v>
      </c>
      <c r="D26" s="3">
        <v>-10.8</v>
      </c>
      <c r="E26" s="3">
        <v>8.4377999999999993</v>
      </c>
      <c r="F26" s="3">
        <v>8.8756000000000004</v>
      </c>
      <c r="G26" s="4">
        <v>110</v>
      </c>
      <c r="H26" s="6">
        <f t="shared" si="0"/>
        <v>3.5000000000000009</v>
      </c>
      <c r="I26" s="7">
        <f t="shared" si="1"/>
        <v>3.5787803472726587</v>
      </c>
      <c r="J26" s="61">
        <f t="shared" si="2"/>
        <v>81.148167858304589</v>
      </c>
      <c r="K26" s="61">
        <f t="shared" si="3"/>
        <v>80.687272727272727</v>
      </c>
      <c r="M26" s="3" t="s">
        <v>28</v>
      </c>
      <c r="N26" s="3">
        <f t="shared" ref="N26" si="5">IF(ISBLANK(O26),"",O25)</f>
        <v>-9.6</v>
      </c>
      <c r="O26" s="3">
        <v>-22</v>
      </c>
      <c r="P26" s="3"/>
      <c r="Q26" s="3"/>
      <c r="R26" s="3"/>
      <c r="S26" s="3"/>
      <c r="T26" s="4"/>
      <c r="U26" s="3"/>
      <c r="V26" s="3">
        <v>100</v>
      </c>
      <c r="W26" s="3"/>
      <c r="X26" s="17"/>
    </row>
    <row r="27" spans="1:24" x14ac:dyDescent="0.3">
      <c r="A27" s="16"/>
      <c r="B27" s="2">
        <v>6</v>
      </c>
      <c r="C27" s="5">
        <f t="shared" si="4"/>
        <v>-10.8</v>
      </c>
      <c r="D27" s="3">
        <v>-14.3</v>
      </c>
      <c r="E27" s="3">
        <v>8.8756000000000004</v>
      </c>
      <c r="F27" s="3">
        <v>9.3133999999999997</v>
      </c>
      <c r="G27" s="4">
        <v>124</v>
      </c>
      <c r="H27" s="6">
        <f t="shared" si="0"/>
        <v>3.5</v>
      </c>
      <c r="I27" s="7">
        <f t="shared" si="1"/>
        <v>3.5787803472726449</v>
      </c>
      <c r="J27" s="61">
        <f t="shared" si="2"/>
        <v>96.012086889295531</v>
      </c>
      <c r="K27" s="61">
        <f t="shared" si="3"/>
        <v>75.108064516129033</v>
      </c>
      <c r="M27" s="3" t="s">
        <v>29</v>
      </c>
      <c r="N27" s="3">
        <v>139.20000000000002</v>
      </c>
      <c r="O27" s="3">
        <v>139.20000000000002</v>
      </c>
      <c r="P27" s="3">
        <v>2543</v>
      </c>
      <c r="Q27" s="3"/>
      <c r="R27" s="3"/>
      <c r="S27" s="3"/>
      <c r="T27" s="4"/>
      <c r="U27" s="3"/>
      <c r="V27" s="3"/>
      <c r="W27" s="3"/>
      <c r="X27" s="17"/>
    </row>
    <row r="28" spans="1:24" x14ac:dyDescent="0.3">
      <c r="A28" s="16"/>
      <c r="B28" s="2">
        <v>7</v>
      </c>
      <c r="C28" s="5">
        <f t="shared" si="4"/>
        <v>-14.3</v>
      </c>
      <c r="D28" s="3">
        <v>-17.8</v>
      </c>
      <c r="E28" s="3">
        <v>9.3133999999999997</v>
      </c>
      <c r="F28" s="3">
        <v>9.7510999999999992</v>
      </c>
      <c r="G28" s="4">
        <v>109</v>
      </c>
      <c r="H28" s="6">
        <f t="shared" si="0"/>
        <v>3.5</v>
      </c>
      <c r="I28" s="7">
        <f t="shared" si="1"/>
        <v>3.5779650246316992</v>
      </c>
      <c r="J28" s="61">
        <f t="shared" si="2"/>
        <v>88.657357951036289</v>
      </c>
      <c r="K28" s="61">
        <f t="shared" si="3"/>
        <v>89.459633027522926</v>
      </c>
      <c r="M28" s="3" t="s">
        <v>59</v>
      </c>
      <c r="N28" s="3">
        <v>16.5</v>
      </c>
      <c r="O28" s="3">
        <v>9.6</v>
      </c>
      <c r="P28" s="3">
        <v>1000</v>
      </c>
      <c r="Q28" s="3">
        <v>0.153</v>
      </c>
      <c r="R28" s="3">
        <v>100</v>
      </c>
      <c r="S28" s="3">
        <v>4.3</v>
      </c>
      <c r="T28" s="4"/>
      <c r="U28" s="3"/>
      <c r="V28" s="3"/>
      <c r="W28" s="3"/>
      <c r="X28" s="17"/>
    </row>
    <row r="29" spans="1:24" x14ac:dyDescent="0.3">
      <c r="A29" s="16"/>
      <c r="B29" s="2">
        <v>8</v>
      </c>
      <c r="C29" s="5">
        <f t="shared" si="4"/>
        <v>-17.8</v>
      </c>
      <c r="D29" s="3">
        <v>-21.3</v>
      </c>
      <c r="E29" s="3">
        <v>9.7510999999999992</v>
      </c>
      <c r="F29" s="3">
        <v>10.1889</v>
      </c>
      <c r="G29" s="4">
        <v>98</v>
      </c>
      <c r="H29" s="6">
        <f t="shared" si="0"/>
        <v>3.5</v>
      </c>
      <c r="I29" s="7">
        <f t="shared" si="1"/>
        <v>3.5787803472726605</v>
      </c>
      <c r="J29" s="61">
        <f t="shared" si="2"/>
        <v>83.506214395905687</v>
      </c>
      <c r="K29" s="61">
        <f t="shared" si="3"/>
        <v>103.96836734693878</v>
      </c>
      <c r="M29" s="3"/>
      <c r="N29" s="3"/>
      <c r="O29" s="3"/>
      <c r="P29" s="3"/>
      <c r="Q29" s="3"/>
      <c r="R29" s="3"/>
      <c r="S29" s="3"/>
      <c r="T29" s="4"/>
      <c r="U29" s="3"/>
      <c r="V29" s="3"/>
      <c r="W29" s="3"/>
      <c r="X29" s="17"/>
    </row>
    <row r="30" spans="1:24" x14ac:dyDescent="0.3">
      <c r="A30" s="16"/>
      <c r="B30" s="2">
        <v>9</v>
      </c>
      <c r="C30" s="5">
        <f t="shared" si="4"/>
        <v>-21.3</v>
      </c>
      <c r="D30" s="3">
        <v>-24.8</v>
      </c>
      <c r="E30" s="3">
        <v>10.1889</v>
      </c>
      <c r="F30" s="3">
        <v>10.6267</v>
      </c>
      <c r="G30" s="4">
        <v>98</v>
      </c>
      <c r="H30" s="6">
        <f t="shared" si="0"/>
        <v>3.5</v>
      </c>
      <c r="I30" s="7">
        <f t="shared" si="1"/>
        <v>3.5787803472726449</v>
      </c>
      <c r="J30" s="61">
        <f t="shared" si="2"/>
        <v>87.209518757992953</v>
      </c>
      <c r="K30" s="61">
        <f t="shared" si="3"/>
        <v>108.43571428571428</v>
      </c>
      <c r="M30" s="3"/>
      <c r="N30" s="3"/>
      <c r="O30" s="3"/>
      <c r="P30" s="3"/>
      <c r="Q30" s="3"/>
      <c r="R30" s="3"/>
      <c r="S30" s="3"/>
      <c r="T30" s="4"/>
      <c r="U30" s="3"/>
      <c r="V30" s="3"/>
      <c r="W30" s="3"/>
      <c r="X30" s="17"/>
    </row>
    <row r="31" spans="1:24" x14ac:dyDescent="0.3">
      <c r="A31" s="16"/>
      <c r="B31" s="2">
        <v>10</v>
      </c>
      <c r="C31" s="5">
        <f t="shared" si="4"/>
        <v>-24.8</v>
      </c>
      <c r="D31" s="3">
        <v>-28.3</v>
      </c>
      <c r="E31" s="3">
        <v>10.6267</v>
      </c>
      <c r="F31" s="3">
        <v>11.064500000000001</v>
      </c>
      <c r="G31" s="4">
        <v>98</v>
      </c>
      <c r="H31" s="6">
        <f t="shared" si="0"/>
        <v>3.5</v>
      </c>
      <c r="I31" s="7">
        <f t="shared" si="1"/>
        <v>3.5787803472726605</v>
      </c>
      <c r="J31" s="61">
        <f t="shared" si="2"/>
        <v>90.912823120080617</v>
      </c>
      <c r="K31" s="61">
        <f t="shared" si="3"/>
        <v>112.9030612244898</v>
      </c>
      <c r="M31" s="3"/>
      <c r="N31" s="3"/>
      <c r="O31" s="3"/>
      <c r="P31" s="3"/>
      <c r="Q31" s="3"/>
      <c r="R31" s="3"/>
      <c r="S31" s="3"/>
      <c r="T31" s="4"/>
      <c r="U31" s="3"/>
      <c r="V31" s="3"/>
      <c r="W31" s="3"/>
      <c r="X31" s="17"/>
    </row>
    <row r="32" spans="1:24" x14ac:dyDescent="0.3">
      <c r="A32" s="16"/>
      <c r="B32" s="2">
        <v>11</v>
      </c>
      <c r="C32" s="5">
        <f t="shared" si="4"/>
        <v>-28.3</v>
      </c>
      <c r="D32" s="3">
        <v>-31.8</v>
      </c>
      <c r="E32" s="3">
        <v>11.064500000000001</v>
      </c>
      <c r="F32" s="3">
        <v>11.5</v>
      </c>
      <c r="G32" s="4">
        <v>98</v>
      </c>
      <c r="H32" s="6">
        <f t="shared" si="0"/>
        <v>3.5</v>
      </c>
      <c r="I32" s="7">
        <f t="shared" si="1"/>
        <v>3.5600275600241904</v>
      </c>
      <c r="J32" s="61">
        <f t="shared" si="2"/>
        <v>94.606399752574163</v>
      </c>
      <c r="K32" s="61">
        <f t="shared" si="3"/>
        <v>117.34693877551021</v>
      </c>
      <c r="X32" s="17"/>
    </row>
    <row r="33" spans="1:24" x14ac:dyDescent="0.3">
      <c r="A33" s="16"/>
      <c r="B33" s="2">
        <v>12</v>
      </c>
      <c r="C33" s="5">
        <f t="shared" si="4"/>
        <v>-31.8</v>
      </c>
      <c r="D33" s="3">
        <v>-35.299999999999997</v>
      </c>
      <c r="E33" s="3">
        <v>11.5</v>
      </c>
      <c r="F33" s="3">
        <v>11.5</v>
      </c>
      <c r="G33" s="4">
        <v>98</v>
      </c>
      <c r="H33" s="6">
        <f t="shared" si="0"/>
        <v>3.4999999999999964</v>
      </c>
      <c r="I33" s="7">
        <f t="shared" si="1"/>
        <v>0</v>
      </c>
      <c r="J33" s="61">
        <f t="shared" si="2"/>
        <v>96.448324204023137</v>
      </c>
      <c r="K33" s="61">
        <f t="shared" si="3"/>
        <v>117.34693877551021</v>
      </c>
      <c r="X33" s="17"/>
    </row>
    <row r="34" spans="1:24" x14ac:dyDescent="0.3">
      <c r="A34" s="16"/>
      <c r="B34" s="2">
        <v>13</v>
      </c>
      <c r="C34" s="5">
        <f>D33</f>
        <v>-35.299999999999997</v>
      </c>
      <c r="D34" s="3">
        <v>-38.6</v>
      </c>
      <c r="E34" s="3">
        <v>11.5</v>
      </c>
      <c r="F34" s="3">
        <v>11.5</v>
      </c>
      <c r="G34" s="4">
        <v>98</v>
      </c>
      <c r="H34" s="6">
        <f t="shared" si="0"/>
        <v>3.3000000000000043</v>
      </c>
      <c r="I34" s="7">
        <f t="shared" si="1"/>
        <v>0</v>
      </c>
      <c r="J34" s="61">
        <f t="shared" si="2"/>
        <v>90.936991392364888</v>
      </c>
      <c r="K34" s="61">
        <f t="shared" si="3"/>
        <v>117.34693877551021</v>
      </c>
      <c r="X34" s="17"/>
    </row>
    <row r="35" spans="1:24" x14ac:dyDescent="0.3">
      <c r="A35" s="16"/>
      <c r="B35" s="2">
        <v>14</v>
      </c>
      <c r="C35" s="5">
        <f t="shared" ref="C35:C46" si="6">D34</f>
        <v>-38.6</v>
      </c>
      <c r="D35" s="3">
        <v>-41.9</v>
      </c>
      <c r="E35" s="3">
        <v>11.5</v>
      </c>
      <c r="F35" s="3">
        <v>11.5</v>
      </c>
      <c r="G35" s="4">
        <v>98</v>
      </c>
      <c r="H35" s="6">
        <f>C35-D35</f>
        <v>3.2999999999999972</v>
      </c>
      <c r="I35" s="7">
        <f>ATAN((F35-E35)/(2*H35))/PI()*180</f>
        <v>0</v>
      </c>
      <c r="J35" s="61">
        <f>IF(I35=0,PI()/4*(E35^2-(E35-(2*G35/1000))^2)*H35*7850/1000,(H35*PI()/12)*((F35^2+F35*E35+E35^2)-((F35-2*(G35/1000))^2+(F35-(2*G35/1000))*(E35-(2*G35/1000))+(E35-(2*G35/1000))^2))*7850/1000)</f>
        <v>90.936991392364675</v>
      </c>
      <c r="K35" s="61">
        <f>MAX(E35:F35)/G35*1000</f>
        <v>117.34693877551021</v>
      </c>
      <c r="M35" t="s">
        <v>87</v>
      </c>
      <c r="X35" s="17"/>
    </row>
    <row r="36" spans="1:24" x14ac:dyDescent="0.3">
      <c r="A36" s="16"/>
      <c r="B36" s="2">
        <v>15</v>
      </c>
      <c r="C36" s="5">
        <f t="shared" si="6"/>
        <v>-41.9</v>
      </c>
      <c r="D36" s="3">
        <v>-45.2</v>
      </c>
      <c r="E36" s="3">
        <v>11.5</v>
      </c>
      <c r="F36" s="3">
        <v>11.5</v>
      </c>
      <c r="G36" s="4">
        <v>100</v>
      </c>
      <c r="H36" s="6">
        <f t="shared" ref="H36:H46" si="7">C36-D36</f>
        <v>3.3000000000000043</v>
      </c>
      <c r="I36" s="7">
        <f t="shared" ref="I36:I46" si="8">ATAN((F36-E36)/(2*H36))/PI()*180</f>
        <v>0</v>
      </c>
      <c r="J36" s="61">
        <f t="shared" ref="J36:J46" si="9">IF(I36=0,PI()/4*(E36^2-(E36-(2*G36/1000))^2)*H36*7850/1000,(H36*PI()/12)*((F36^2+F36*E36+E36^2)-((F36-2*(G36/1000))^2+(F36-(2*G36/1000))*(E36-(2*G36/1000))+(E36-(2*G36/1000))^2))*7850/1000)</f>
        <v>92.776571768017575</v>
      </c>
      <c r="K36" s="61">
        <f t="shared" ref="K36:K46" si="10">MAX(E36:F36)/G36*1000</f>
        <v>115</v>
      </c>
      <c r="X36" s="17"/>
    </row>
    <row r="37" spans="1:24" x14ac:dyDescent="0.3">
      <c r="A37" s="16"/>
      <c r="B37" s="2">
        <v>16</v>
      </c>
      <c r="C37" s="5">
        <f t="shared" si="6"/>
        <v>-45.2</v>
      </c>
      <c r="D37" s="3">
        <v>-48.5</v>
      </c>
      <c r="E37" s="3">
        <v>11.5</v>
      </c>
      <c r="F37" s="3">
        <v>11.5</v>
      </c>
      <c r="G37" s="4">
        <v>98</v>
      </c>
      <c r="H37" s="6">
        <f t="shared" si="7"/>
        <v>3.2999999999999972</v>
      </c>
      <c r="I37" s="7">
        <f t="shared" si="8"/>
        <v>0</v>
      </c>
      <c r="J37" s="61">
        <f t="shared" si="9"/>
        <v>90.936991392364675</v>
      </c>
      <c r="K37" s="61">
        <f t="shared" si="10"/>
        <v>117.34693877551021</v>
      </c>
      <c r="M37" t="s">
        <v>28</v>
      </c>
      <c r="P37" t="s">
        <v>88</v>
      </c>
      <c r="S37" t="s">
        <v>89</v>
      </c>
      <c r="V37" t="s">
        <v>90</v>
      </c>
      <c r="X37" s="17"/>
    </row>
    <row r="38" spans="1:24" x14ac:dyDescent="0.3">
      <c r="A38" s="16"/>
      <c r="B38" s="2">
        <v>17</v>
      </c>
      <c r="C38" s="5">
        <f t="shared" si="6"/>
        <v>-48.5</v>
      </c>
      <c r="D38" s="3">
        <v>-51.9</v>
      </c>
      <c r="E38" s="3">
        <v>11.5</v>
      </c>
      <c r="F38" s="3">
        <v>11.5</v>
      </c>
      <c r="G38" s="4">
        <v>96</v>
      </c>
      <c r="H38" s="6">
        <f t="shared" si="7"/>
        <v>3.3999999999999986</v>
      </c>
      <c r="I38" s="7">
        <f t="shared" si="8"/>
        <v>0</v>
      </c>
      <c r="J38" s="61">
        <f t="shared" si="9"/>
        <v>91.796661769809532</v>
      </c>
      <c r="K38" s="61">
        <f t="shared" si="10"/>
        <v>119.79166666666667</v>
      </c>
      <c r="M38" s="9" t="s">
        <v>33</v>
      </c>
      <c r="N38" s="9"/>
      <c r="P38" s="9" t="s">
        <v>33</v>
      </c>
      <c r="Q38" s="9"/>
      <c r="S38" s="9" t="s">
        <v>33</v>
      </c>
      <c r="T38" s="9"/>
      <c r="V38" s="9" t="s">
        <v>33</v>
      </c>
      <c r="W38" s="9"/>
      <c r="X38" s="17"/>
    </row>
    <row r="39" spans="1:24" x14ac:dyDescent="0.3">
      <c r="A39" s="16"/>
      <c r="B39" s="2">
        <v>18</v>
      </c>
      <c r="C39" s="5">
        <f>D38</f>
        <v>-51.9</v>
      </c>
      <c r="D39" s="3">
        <v>-55.9</v>
      </c>
      <c r="E39" s="3">
        <v>11.5</v>
      </c>
      <c r="F39" s="3">
        <v>11.5</v>
      </c>
      <c r="G39" s="4">
        <v>93</v>
      </c>
      <c r="H39" s="6">
        <f t="shared" si="7"/>
        <v>4</v>
      </c>
      <c r="I39" s="7">
        <f t="shared" si="8"/>
        <v>0</v>
      </c>
      <c r="J39" s="61">
        <f t="shared" si="9"/>
        <v>104.64871763601626</v>
      </c>
      <c r="K39" s="61">
        <f t="shared" si="10"/>
        <v>123.65591397849462</v>
      </c>
      <c r="M39" s="9"/>
      <c r="N39" s="9"/>
      <c r="P39" s="9"/>
      <c r="Q39" s="9"/>
      <c r="S39" s="9"/>
      <c r="T39" s="9"/>
      <c r="V39" s="9"/>
      <c r="W39" s="9"/>
      <c r="X39" s="17"/>
    </row>
    <row r="40" spans="1:24" x14ac:dyDescent="0.3">
      <c r="A40" s="16"/>
      <c r="B40" s="2">
        <v>19</v>
      </c>
      <c r="C40" s="5">
        <f t="shared" si="6"/>
        <v>-55.9</v>
      </c>
      <c r="D40" s="3">
        <v>-59.9</v>
      </c>
      <c r="E40" s="3">
        <v>11.5</v>
      </c>
      <c r="F40" s="3">
        <v>11.5</v>
      </c>
      <c r="G40" s="4">
        <v>93</v>
      </c>
      <c r="H40" s="6">
        <f t="shared" si="7"/>
        <v>4</v>
      </c>
      <c r="I40" s="7">
        <f t="shared" si="8"/>
        <v>0</v>
      </c>
      <c r="J40" s="61">
        <f t="shared" si="9"/>
        <v>104.64871763601626</v>
      </c>
      <c r="K40" s="61">
        <f t="shared" si="10"/>
        <v>123.65591397849462</v>
      </c>
      <c r="M40" s="3"/>
      <c r="N40" s="3"/>
      <c r="P40" s="3"/>
      <c r="Q40" s="3"/>
      <c r="S40" s="3"/>
      <c r="T40" s="3"/>
      <c r="V40" s="3"/>
      <c r="W40" s="3"/>
      <c r="X40" s="17"/>
    </row>
    <row r="41" spans="1:24" x14ac:dyDescent="0.3">
      <c r="A41" s="16"/>
      <c r="B41" s="2">
        <v>20</v>
      </c>
      <c r="C41" s="5">
        <f t="shared" si="6"/>
        <v>-59.9</v>
      </c>
      <c r="D41" s="3">
        <v>-63.9</v>
      </c>
      <c r="E41" s="3">
        <v>11.5</v>
      </c>
      <c r="F41" s="3">
        <v>11.5</v>
      </c>
      <c r="G41" s="4">
        <v>93</v>
      </c>
      <c r="H41" s="6">
        <f t="shared" si="7"/>
        <v>4</v>
      </c>
      <c r="I41" s="7">
        <f t="shared" si="8"/>
        <v>0</v>
      </c>
      <c r="J41" s="61">
        <f t="shared" si="9"/>
        <v>104.64871763601626</v>
      </c>
      <c r="K41" s="61">
        <f t="shared" si="10"/>
        <v>123.65591397849462</v>
      </c>
      <c r="X41" s="17"/>
    </row>
    <row r="42" spans="1:24" x14ac:dyDescent="0.3">
      <c r="A42" s="16"/>
      <c r="B42" s="2">
        <v>21</v>
      </c>
      <c r="C42" s="5">
        <f t="shared" si="6"/>
        <v>-63.9</v>
      </c>
      <c r="D42" s="3">
        <v>-67.900000000000006</v>
      </c>
      <c r="E42" s="3">
        <v>11.5</v>
      </c>
      <c r="F42" s="3">
        <v>11.5</v>
      </c>
      <c r="G42" s="4">
        <v>93</v>
      </c>
      <c r="H42" s="6">
        <f t="shared" si="7"/>
        <v>4.0000000000000071</v>
      </c>
      <c r="I42" s="7">
        <f t="shared" si="8"/>
        <v>0</v>
      </c>
      <c r="J42" s="61">
        <f t="shared" si="9"/>
        <v>104.64871763601644</v>
      </c>
      <c r="K42" s="61">
        <f t="shared" si="10"/>
        <v>123.65591397849462</v>
      </c>
      <c r="X42" s="17"/>
    </row>
    <row r="43" spans="1:24" x14ac:dyDescent="0.3">
      <c r="A43" s="16"/>
      <c r="B43" s="2">
        <v>22</v>
      </c>
      <c r="C43" s="5">
        <f t="shared" si="6"/>
        <v>-67.900000000000006</v>
      </c>
      <c r="D43" s="3">
        <v>-71.900000000000006</v>
      </c>
      <c r="E43" s="3">
        <v>11.5</v>
      </c>
      <c r="F43" s="3">
        <v>11.5</v>
      </c>
      <c r="G43" s="4">
        <v>93</v>
      </c>
      <c r="H43" s="6">
        <f t="shared" si="7"/>
        <v>4</v>
      </c>
      <c r="I43" s="7">
        <f t="shared" si="8"/>
        <v>0</v>
      </c>
      <c r="J43" s="61">
        <f t="shared" si="9"/>
        <v>104.64871763601626</v>
      </c>
      <c r="K43" s="61">
        <f t="shared" si="10"/>
        <v>123.65591397849462</v>
      </c>
      <c r="X43" s="17"/>
    </row>
    <row r="44" spans="1:24" x14ac:dyDescent="0.3">
      <c r="A44" s="16"/>
      <c r="B44" s="2">
        <v>23</v>
      </c>
      <c r="C44" s="5">
        <f t="shared" si="6"/>
        <v>-71.900000000000006</v>
      </c>
      <c r="D44" s="3">
        <v>-75.7</v>
      </c>
      <c r="E44" s="3">
        <v>11.5</v>
      </c>
      <c r="F44" s="3">
        <v>11.5</v>
      </c>
      <c r="G44" s="4">
        <v>96</v>
      </c>
      <c r="H44" s="6">
        <f t="shared" si="7"/>
        <v>3.7999999999999972</v>
      </c>
      <c r="I44" s="7">
        <f t="shared" si="8"/>
        <v>0</v>
      </c>
      <c r="J44" s="61">
        <f t="shared" si="9"/>
        <v>102.59626903684591</v>
      </c>
      <c r="K44" s="61">
        <f t="shared" si="10"/>
        <v>119.79166666666667</v>
      </c>
      <c r="X44" s="17"/>
    </row>
    <row r="45" spans="1:24" x14ac:dyDescent="0.3">
      <c r="A45" s="16"/>
      <c r="B45" s="2">
        <v>24</v>
      </c>
      <c r="C45" s="5">
        <f t="shared" si="6"/>
        <v>-75.7</v>
      </c>
      <c r="D45" s="3">
        <f>D46+3</f>
        <v>-79.37</v>
      </c>
      <c r="E45" s="3">
        <v>11.5</v>
      </c>
      <c r="F45" s="3">
        <v>11.5</v>
      </c>
      <c r="G45" s="4">
        <v>100</v>
      </c>
      <c r="H45" s="6">
        <f t="shared" si="7"/>
        <v>3.6700000000000017</v>
      </c>
      <c r="I45" s="7">
        <f t="shared" si="8"/>
        <v>0</v>
      </c>
      <c r="J45" s="61">
        <f t="shared" si="9"/>
        <v>103.17879345109823</v>
      </c>
      <c r="K45" s="61">
        <f t="shared" si="10"/>
        <v>115</v>
      </c>
      <c r="X45" s="17"/>
    </row>
    <row r="46" spans="1:24" x14ac:dyDescent="0.3">
      <c r="A46" s="16"/>
      <c r="B46" s="2">
        <v>25</v>
      </c>
      <c r="C46" s="5">
        <f t="shared" si="6"/>
        <v>-79.37</v>
      </c>
      <c r="D46" s="3">
        <v>-82.37</v>
      </c>
      <c r="E46" s="3">
        <v>11.5</v>
      </c>
      <c r="F46" s="3">
        <v>11.5</v>
      </c>
      <c r="G46" s="4">
        <v>105</v>
      </c>
      <c r="H46" s="6">
        <f t="shared" si="7"/>
        <v>3</v>
      </c>
      <c r="I46" s="7">
        <f t="shared" si="8"/>
        <v>0</v>
      </c>
      <c r="J46" s="61">
        <f t="shared" si="9"/>
        <v>88.520613003300838</v>
      </c>
      <c r="K46" s="61">
        <f t="shared" si="10"/>
        <v>109.52380952380952</v>
      </c>
      <c r="X46" s="17"/>
    </row>
    <row r="47" spans="1:24" ht="15" thickBot="1" x14ac:dyDescent="0.35">
      <c r="A47" s="18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20"/>
    </row>
  </sheetData>
  <protectedRanges>
    <protectedRange sqref="O22 Q22:S22" name="Bereich1_1"/>
    <protectedRange sqref="T22:U22" name="Bereich1_4"/>
    <protectedRange sqref="Q23:U23 M23:O23" name="Bereich1_5"/>
    <protectedRange sqref="N24" name="Bereich1_6"/>
    <protectedRange sqref="O24 Q24:S24" name="Bereich1_8"/>
    <protectedRange sqref="V24" name="Bereich1_9"/>
    <protectedRange sqref="N25" name="Bereich1_10"/>
    <protectedRange sqref="O25 Q25:S25" name="Bereich1_11"/>
    <protectedRange sqref="V25" name="Bereich1_12"/>
    <protectedRange sqref="N26 M28:N28 M30:N30" name="Bereich1_13"/>
    <protectedRange sqref="O26 Q26:S26 O28 Q28:S28 O30 Q30:S30" name="Bereich1_14"/>
    <protectedRange sqref="V26 V28 V30" name="Bereich1_15"/>
    <protectedRange sqref="M27:N27 M29:N29 M31:N31" name="Bereich1_16"/>
    <protectedRange sqref="O27 Q27:S27 O29 Q29:S29 O31 Q31:S31" name="Bereich1_18"/>
    <protectedRange sqref="P27 P29 P31" name="Bereich1_19"/>
    <protectedRange sqref="C6 E5:E7 I3:I6 K5:N7 R3:R6" name="Bereich1"/>
  </protectedRanges>
  <mergeCells count="4">
    <mergeCell ref="P4:Q4"/>
    <mergeCell ref="C3:E3"/>
    <mergeCell ref="K3:N3"/>
    <mergeCell ref="G4:H4"/>
  </mergeCells>
  <dataValidations count="1">
    <dataValidation type="list" allowBlank="1" showInputMessage="1" showErrorMessage="1" sqref="C6" xr:uid="{F08C850F-2493-4AD1-BDCC-9FBFB8423FFD}">
      <formula1>$Q$33:$Q$46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Plot">
                <anchor moveWithCells="1" sizeWithCells="1">
                  <from>
                    <xdr:col>1</xdr:col>
                    <xdr:colOff>22860</xdr:colOff>
                    <xdr:row>10</xdr:row>
                    <xdr:rowOff>0</xdr:rowOff>
                  </from>
                  <to>
                    <xdr:col>2</xdr:col>
                    <xdr:colOff>99060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lot">
                <anchor moveWithCells="1" sizeWithCells="1">
                  <from>
                    <xdr:col>2</xdr:col>
                    <xdr:colOff>304800</xdr:colOff>
                    <xdr:row>10</xdr:row>
                    <xdr:rowOff>22860</xdr:rowOff>
                  </from>
                  <to>
                    <xdr:col>3</xdr:col>
                    <xdr:colOff>601980</xdr:colOff>
                    <xdr:row>12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21" sqref="B21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110</v>
      </c>
    </row>
    <row r="3" spans="2:4" ht="17.25" customHeight="1" x14ac:dyDescent="0.3">
      <c r="B3" s="76" t="s">
        <v>91</v>
      </c>
    </row>
    <row r="4" spans="2:4" ht="17.25" customHeight="1" x14ac:dyDescent="0.3">
      <c r="B4" s="76" t="s">
        <v>92</v>
      </c>
      <c r="D4" s="76"/>
    </row>
    <row r="5" spans="2:4" ht="17.25" customHeight="1" x14ac:dyDescent="0.3">
      <c r="B5" s="76" t="s">
        <v>93</v>
      </c>
    </row>
    <row r="6" spans="2:4" ht="17.25" customHeight="1" x14ac:dyDescent="0.3">
      <c r="B6" s="76" t="s">
        <v>94</v>
      </c>
    </row>
    <row r="7" spans="2:4" ht="17.25" customHeight="1" x14ac:dyDescent="0.3">
      <c r="B7" s="77" t="s">
        <v>95</v>
      </c>
    </row>
    <row r="8" spans="2:4" ht="17.25" customHeight="1" x14ac:dyDescent="0.3">
      <c r="B8" s="77" t="s">
        <v>96</v>
      </c>
    </row>
    <row r="9" spans="2:4" ht="17.25" customHeight="1" x14ac:dyDescent="0.3">
      <c r="B9" s="77" t="s">
        <v>97</v>
      </c>
    </row>
    <row r="10" spans="2:4" ht="17.25" customHeight="1" x14ac:dyDescent="0.3">
      <c r="B10" s="77" t="s">
        <v>98</v>
      </c>
    </row>
    <row r="11" spans="2:4" ht="17.25" customHeight="1" x14ac:dyDescent="0.3">
      <c r="B11" s="77" t="s">
        <v>99</v>
      </c>
    </row>
    <row r="12" spans="2:4" ht="17.25" customHeight="1" x14ac:dyDescent="0.3">
      <c r="B12" s="76" t="s">
        <v>100</v>
      </c>
    </row>
    <row r="13" spans="2:4" ht="17.25" customHeight="1" x14ac:dyDescent="0.3">
      <c r="B13" s="76" t="s">
        <v>101</v>
      </c>
    </row>
    <row r="14" spans="2:4" ht="17.25" customHeight="1" x14ac:dyDescent="0.3">
      <c r="B14" s="76" t="s">
        <v>102</v>
      </c>
    </row>
    <row r="15" spans="2:4" ht="17.25" customHeight="1" x14ac:dyDescent="0.3">
      <c r="B15" s="76" t="s">
        <v>103</v>
      </c>
    </row>
    <row r="16" spans="2:4" ht="17.25" customHeight="1" x14ac:dyDescent="0.3">
      <c r="B16" s="76" t="s">
        <v>104</v>
      </c>
    </row>
    <row r="17" spans="2:2" ht="17.25" customHeight="1" x14ac:dyDescent="0.3">
      <c r="B17" s="76" t="s">
        <v>105</v>
      </c>
    </row>
    <row r="18" spans="2:2" ht="17.25" customHeight="1" x14ac:dyDescent="0.3">
      <c r="B18" s="76" t="s">
        <v>106</v>
      </c>
    </row>
    <row r="19" spans="2:2" ht="17.25" customHeight="1" x14ac:dyDescent="0.3">
      <c r="B19" s="76" t="s">
        <v>107</v>
      </c>
    </row>
    <row r="20" spans="2:2" ht="17.25" customHeight="1" x14ac:dyDescent="0.3">
      <c r="B20" s="76" t="s">
        <v>108</v>
      </c>
    </row>
    <row r="21" spans="2:2" ht="17.25" customHeight="1" x14ac:dyDescent="0.3">
      <c r="B21" s="76" t="s">
        <v>109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Props1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8</vt:i4>
      </vt:variant>
    </vt:vector>
  </HeadingPairs>
  <TitlesOfParts>
    <vt:vector size="13" baseType="lpstr">
      <vt:lpstr>CreateStucture</vt:lpstr>
      <vt:lpstr>BuildYourStructure</vt:lpstr>
      <vt:lpstr>StructureOverview</vt:lpstr>
      <vt:lpstr>Overview</vt:lpstr>
      <vt:lpstr>Loop</vt:lpstr>
      <vt:lpstr>Table_MP_DATA</vt:lpstr>
      <vt:lpstr>Table_MP_META</vt:lpstr>
      <vt:lpstr>Table_TP_DATA</vt:lpstr>
      <vt:lpstr>Table_TP_META</vt:lpstr>
      <vt:lpstr>Text</vt:lpstr>
      <vt:lpstr>TextBox_MP_db_path</vt:lpstr>
      <vt:lpstr>TextBox_TOWER_db_path</vt:lpstr>
      <vt:lpstr>TextBox_TP_db_path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2025-05-22T07:37:04Z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