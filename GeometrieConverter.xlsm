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BEC4CB06-83C0-4D0F-B9F3-B0F67F33CE82}" xr6:coauthVersionLast="47" xr6:coauthVersionMax="47" xr10:uidLastSave="{00000000-0000-0000-0000-000000000000}"/>
  <bookViews>
    <workbookView xWindow="22932" yWindow="-108" windowWidth="23256" windowHeight="12456" activeTab="3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WLGen" sheetId="8" r:id="rId6"/>
    <sheet name="Loop" sheetId="3" r:id="rId7"/>
  </sheets>
  <functionGroups builtInGroupCount="19"/>
  <externalReferences>
    <externalReference r:id="rId8"/>
  </externalReferences>
  <definedNames>
    <definedName name="_xleta.N" hidden="1" xlm="1">#NAME?</definedName>
    <definedName name="_xleta.T" hidden="1" xlm="1">#NAME?</definedName>
    <definedName name="DISPL_MP">BuildYourStructure!$J$6</definedName>
    <definedName name="DISPL_TP">BuildYourStructure!$BF$6</definedName>
    <definedName name="Import_GeomConv_path">BuildYourStructure!$A$25</definedName>
    <definedName name="Import_MP_path">BuildYourStructure!$A$20</definedName>
    <definedName name="JBOOST_Path">ExportStructure!$B$6</definedName>
    <definedName name="MOVE_STRUCT">BuildYourStructure!$I$6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StructureOverview!$AB$15</definedName>
    <definedName name="Table_MP_DATA">BuildYourStructure!$AI$15</definedName>
    <definedName name="Table_MP_META">BuildYourStructure!$F$9</definedName>
    <definedName name="Table_TP_DATA">BuildYourStructure!#REF!</definedName>
    <definedName name="Table_TP_META">BuildYourStructure!$AZ$9</definedName>
    <definedName name="Text">BuildYourStructure!$CU$4</definedName>
    <definedName name="TextBox_Import_MP_path">BuildYourStructure!$A$20</definedName>
    <definedName name="TextBox_MP_db_path">BuildYourStructure!$G$4</definedName>
    <definedName name="TextBox_RNA_db_path">BuildYourStructure!$EO$4</definedName>
    <definedName name="TextBox_TOWER_db_path">BuildYourStructure!$CU$4</definedName>
    <definedName name="TextBox_TP_db_path">BuildYourStructure!$BA$4</definedName>
    <definedName name="TextBox_TWR_db_path">#REF!</definedName>
    <definedName name="Use_MP">BuildYourStructure!#REF!</definedName>
    <definedName name="USE_TP">BuildYourStructure!#REF!</definedName>
    <definedName name="UseMPGeomConv">BuildYourStructure!#REF!</definedName>
    <definedName name="UseTOWERGeomConv">BuildYourStructure!#REF!</definedName>
    <definedName name="UseTPGeomConv">BuildYourStructure!#REF!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5" l="1"/>
  <c r="C8" i="6"/>
  <c r="CZ17" i="5"/>
  <c r="CZ18" i="5"/>
  <c r="CZ19" i="5"/>
  <c r="CZ20" i="5"/>
  <c r="CZ21" i="5"/>
  <c r="CZ22" i="5"/>
  <c r="CZ23" i="5"/>
  <c r="CZ24" i="5"/>
  <c r="CZ25" i="5"/>
  <c r="CZ26" i="5"/>
  <c r="CZ27" i="5"/>
  <c r="CZ28" i="5"/>
  <c r="CZ29" i="5"/>
  <c r="CZ30" i="5"/>
  <c r="CZ31" i="5"/>
  <c r="CZ32" i="5"/>
  <c r="CZ33" i="5"/>
  <c r="CZ34" i="5"/>
  <c r="CZ35" i="5"/>
  <c r="CZ36" i="5"/>
  <c r="CZ37" i="5"/>
  <c r="CZ38" i="5"/>
  <c r="CZ39" i="5"/>
  <c r="CZ40" i="5"/>
  <c r="CZ41" i="5"/>
  <c r="CZ42" i="5"/>
  <c r="CZ43" i="5"/>
  <c r="CZ44" i="5"/>
  <c r="CZ45" i="5"/>
  <c r="CZ46" i="5"/>
  <c r="CZ47" i="5"/>
  <c r="CZ48" i="5"/>
  <c r="CZ49" i="5"/>
  <c r="CZ50" i="5"/>
  <c r="CZ51" i="5"/>
  <c r="CZ52" i="5"/>
  <c r="CZ53" i="5"/>
  <c r="CZ54" i="5"/>
  <c r="CZ55" i="5"/>
  <c r="CZ56" i="5"/>
  <c r="CZ57" i="5"/>
  <c r="CZ58" i="5"/>
  <c r="CZ59" i="5"/>
  <c r="CZ60" i="5"/>
  <c r="CZ61" i="5"/>
  <c r="CZ62" i="5"/>
  <c r="CZ63" i="5"/>
  <c r="CZ64" i="5"/>
  <c r="CZ65" i="5"/>
  <c r="CZ66" i="5"/>
  <c r="CZ67" i="5"/>
  <c r="CZ68" i="5"/>
  <c r="CZ69" i="5"/>
  <c r="CZ70" i="5"/>
  <c r="CZ71" i="5"/>
  <c r="CZ72" i="5"/>
  <c r="CZ73" i="5"/>
  <c r="CZ74" i="5"/>
  <c r="CZ75" i="5"/>
  <c r="CZ76" i="5"/>
  <c r="CZ77" i="5"/>
  <c r="CZ78" i="5"/>
  <c r="CZ79" i="5"/>
  <c r="CZ80" i="5"/>
  <c r="CZ81" i="5"/>
  <c r="CZ82" i="5"/>
  <c r="CZ83" i="5"/>
  <c r="CZ84" i="5"/>
  <c r="CZ85" i="5"/>
  <c r="CZ86" i="5"/>
  <c r="CZ87" i="5"/>
  <c r="CZ88" i="5"/>
  <c r="CZ89" i="5"/>
  <c r="CZ90" i="5"/>
  <c r="CZ91" i="5"/>
  <c r="CZ92" i="5"/>
  <c r="CZ93" i="5"/>
  <c r="CZ94" i="5"/>
  <c r="CZ95" i="5"/>
  <c r="CZ96" i="5"/>
  <c r="CZ97" i="5"/>
  <c r="CZ98" i="5"/>
  <c r="CZ99" i="5"/>
  <c r="CZ100" i="5"/>
  <c r="CZ101" i="5"/>
  <c r="CZ102" i="5"/>
  <c r="CZ103" i="5"/>
  <c r="CZ104" i="5"/>
  <c r="CZ105" i="5"/>
  <c r="CZ106" i="5"/>
  <c r="CZ107" i="5"/>
  <c r="CZ108" i="5"/>
  <c r="CZ109" i="5"/>
  <c r="CZ110" i="5"/>
  <c r="CZ111" i="5"/>
  <c r="CZ112" i="5"/>
  <c r="CZ113" i="5"/>
  <c r="CZ114" i="5"/>
  <c r="CZ115" i="5"/>
  <c r="CZ116" i="5"/>
  <c r="CZ117" i="5"/>
  <c r="CZ118" i="5"/>
  <c r="CZ119" i="5"/>
  <c r="CZ120" i="5"/>
  <c r="CZ121" i="5"/>
  <c r="CZ122" i="5"/>
  <c r="CZ123" i="5"/>
  <c r="CZ124" i="5"/>
  <c r="CZ125" i="5"/>
  <c r="CZ126" i="5"/>
  <c r="CZ127" i="5"/>
  <c r="CZ128" i="5"/>
  <c r="CZ129" i="5"/>
  <c r="CZ130" i="5"/>
  <c r="CZ131" i="5"/>
  <c r="CZ132" i="5"/>
  <c r="CZ133" i="5"/>
  <c r="CZ134" i="5"/>
  <c r="CZ16" i="5"/>
  <c r="DB17" i="5"/>
  <c r="DB18" i="5"/>
  <c r="DB19" i="5"/>
  <c r="DB20" i="5"/>
  <c r="DB21" i="5"/>
  <c r="DB22" i="5"/>
  <c r="DB23" i="5"/>
  <c r="DB24" i="5"/>
  <c r="DB25" i="5"/>
  <c r="DB26" i="5"/>
  <c r="DB27" i="5"/>
  <c r="DB28" i="5"/>
  <c r="DB29" i="5"/>
  <c r="DB30" i="5"/>
  <c r="DB31" i="5"/>
  <c r="DB32" i="5"/>
  <c r="DB33" i="5"/>
  <c r="DB34" i="5"/>
  <c r="DB35" i="5"/>
  <c r="DB36" i="5"/>
  <c r="DB37" i="5"/>
  <c r="DB38" i="5"/>
  <c r="DB39" i="5"/>
  <c r="DB40" i="5"/>
  <c r="DB41" i="5"/>
  <c r="DB42" i="5"/>
  <c r="DB43" i="5"/>
  <c r="DB44" i="5"/>
  <c r="DB45" i="5"/>
  <c r="DB46" i="5"/>
  <c r="DB47" i="5"/>
  <c r="DB48" i="5"/>
  <c r="DB49" i="5"/>
  <c r="DB50" i="5"/>
  <c r="DB51" i="5"/>
  <c r="DB52" i="5"/>
  <c r="DB53" i="5"/>
  <c r="DB54" i="5"/>
  <c r="DB55" i="5"/>
  <c r="DB56" i="5"/>
  <c r="DB57" i="5"/>
  <c r="DB58" i="5"/>
  <c r="DB59" i="5"/>
  <c r="DB60" i="5"/>
  <c r="DB61" i="5"/>
  <c r="DB62" i="5"/>
  <c r="DB63" i="5"/>
  <c r="DB64" i="5"/>
  <c r="DB65" i="5"/>
  <c r="DB66" i="5"/>
  <c r="DB67" i="5"/>
  <c r="DB68" i="5"/>
  <c r="DB69" i="5"/>
  <c r="DB70" i="5"/>
  <c r="DB71" i="5"/>
  <c r="DB72" i="5"/>
  <c r="DB73" i="5"/>
  <c r="DB74" i="5"/>
  <c r="DB75" i="5"/>
  <c r="DB76" i="5"/>
  <c r="DB77" i="5"/>
  <c r="DB78" i="5"/>
  <c r="DB79" i="5"/>
  <c r="DB80" i="5"/>
  <c r="DB81" i="5"/>
  <c r="DB82" i="5"/>
  <c r="DB83" i="5"/>
  <c r="DB84" i="5"/>
  <c r="DB85" i="5"/>
  <c r="DB86" i="5"/>
  <c r="DB87" i="5"/>
  <c r="DB88" i="5"/>
  <c r="DB89" i="5"/>
  <c r="DB90" i="5"/>
  <c r="DB91" i="5"/>
  <c r="DB92" i="5"/>
  <c r="DB93" i="5"/>
  <c r="DB94" i="5"/>
  <c r="DB95" i="5"/>
  <c r="DB96" i="5"/>
  <c r="DB97" i="5"/>
  <c r="DB98" i="5"/>
  <c r="DB99" i="5"/>
  <c r="DB100" i="5"/>
  <c r="DB101" i="5"/>
  <c r="DB102" i="5"/>
  <c r="DB103" i="5"/>
  <c r="DB104" i="5"/>
  <c r="DB105" i="5"/>
  <c r="DB106" i="5"/>
  <c r="DB107" i="5"/>
  <c r="DB108" i="5"/>
  <c r="DB109" i="5"/>
  <c r="DB110" i="5"/>
  <c r="DB111" i="5"/>
  <c r="DB112" i="5"/>
  <c r="DB113" i="5"/>
  <c r="DB114" i="5"/>
  <c r="DB115" i="5"/>
  <c r="DB116" i="5"/>
  <c r="DB117" i="5"/>
  <c r="DB118" i="5"/>
  <c r="DB119" i="5"/>
  <c r="DB120" i="5"/>
  <c r="DB121" i="5"/>
  <c r="DB122" i="5"/>
  <c r="DB123" i="5"/>
  <c r="DB124" i="5"/>
  <c r="DB125" i="5"/>
  <c r="DB126" i="5"/>
  <c r="DB127" i="5"/>
  <c r="DB128" i="5"/>
  <c r="DB129" i="5"/>
  <c r="DB130" i="5"/>
  <c r="DB1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J6" i="6" l="1" a="1"/>
  <c r="J6" i="6" s="1"/>
  <c r="J7" i="6"/>
  <c r="EU131" i="5"/>
  <c r="EU130" i="5"/>
  <c r="EU129" i="5"/>
  <c r="EU128" i="5"/>
  <c r="EU127" i="5"/>
  <c r="EU126" i="5"/>
  <c r="EU125" i="5"/>
  <c r="EU124" i="5"/>
  <c r="EU123" i="5"/>
  <c r="EU122" i="5"/>
  <c r="EU121" i="5"/>
  <c r="EU120" i="5"/>
  <c r="EU119" i="5"/>
  <c r="EU118" i="5"/>
  <c r="EU117" i="5"/>
  <c r="EU116" i="5"/>
  <c r="EU115" i="5"/>
  <c r="EU114" i="5"/>
  <c r="EU113" i="5"/>
  <c r="EU112" i="5"/>
  <c r="EU111" i="5"/>
  <c r="EU110" i="5"/>
  <c r="EU109" i="5"/>
  <c r="EU108" i="5"/>
  <c r="EU107" i="5"/>
  <c r="EU106" i="5"/>
  <c r="EU105" i="5"/>
  <c r="EU104" i="5"/>
  <c r="EU103" i="5"/>
  <c r="EU102" i="5"/>
  <c r="EU101" i="5"/>
  <c r="EU100" i="5"/>
  <c r="EU99" i="5"/>
  <c r="EU98" i="5"/>
  <c r="EU97" i="5"/>
  <c r="EU96" i="5"/>
  <c r="EU95" i="5"/>
  <c r="EU94" i="5"/>
  <c r="EU93" i="5"/>
  <c r="EU92" i="5"/>
  <c r="EU91" i="5"/>
  <c r="EU90" i="5"/>
  <c r="EU89" i="5"/>
  <c r="EU88" i="5"/>
  <c r="EU87" i="5"/>
  <c r="EU86" i="5"/>
  <c r="EU85" i="5"/>
  <c r="AX17" i="6" l="1"/>
  <c r="AX16" i="6"/>
  <c r="AR17" i="6"/>
  <c r="AR16" i="6"/>
  <c r="J15" i="6" l="1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L16" i="5" l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K453" i="6"/>
  <c r="L453" i="6"/>
  <c r="J453" i="6"/>
  <c r="M453" i="6"/>
  <c r="K454" i="6"/>
  <c r="L454" i="6"/>
  <c r="J454" i="6"/>
  <c r="M454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K65" i="6"/>
  <c r="L65" i="6"/>
  <c r="M65" i="6"/>
  <c r="K66" i="6"/>
  <c r="L66" i="6"/>
  <c r="M66" i="6"/>
  <c r="K67" i="6"/>
  <c r="L67" i="6"/>
  <c r="M67" i="6"/>
  <c r="K68" i="6"/>
  <c r="L68" i="6"/>
  <c r="M68" i="6"/>
  <c r="M15" i="6"/>
  <c r="L15" i="6"/>
  <c r="J3" i="6" l="1"/>
  <c r="J4" i="6"/>
  <c r="J5" i="6"/>
  <c r="DC134" i="5"/>
  <c r="DA134" i="5"/>
  <c r="DC133" i="5"/>
  <c r="DA133" i="5"/>
  <c r="DC132" i="5"/>
  <c r="DA132" i="5"/>
  <c r="DC131" i="5"/>
  <c r="DA131" i="5"/>
  <c r="DC130" i="5"/>
  <c r="DA130" i="5"/>
  <c r="DC129" i="5"/>
  <c r="DA129" i="5"/>
  <c r="DC128" i="5"/>
  <c r="DA128" i="5"/>
  <c r="DC127" i="5"/>
  <c r="DA127" i="5"/>
  <c r="DC126" i="5"/>
  <c r="DA126" i="5"/>
  <c r="DC125" i="5"/>
  <c r="DA125" i="5"/>
  <c r="DC124" i="5"/>
  <c r="DA124" i="5"/>
  <c r="DC123" i="5"/>
  <c r="DA123" i="5"/>
  <c r="DC122" i="5"/>
  <c r="DA122" i="5"/>
  <c r="DC121" i="5"/>
  <c r="DA121" i="5"/>
  <c r="DC120" i="5"/>
  <c r="DA120" i="5"/>
  <c r="DC119" i="5"/>
  <c r="DA119" i="5"/>
  <c r="DC118" i="5"/>
  <c r="DA118" i="5"/>
  <c r="DC117" i="5"/>
  <c r="DA117" i="5"/>
  <c r="DC116" i="5"/>
  <c r="DA116" i="5"/>
  <c r="DC115" i="5"/>
  <c r="DA115" i="5"/>
  <c r="DC114" i="5"/>
  <c r="DA114" i="5"/>
  <c r="DC113" i="5"/>
  <c r="DA113" i="5"/>
  <c r="DC112" i="5"/>
  <c r="DA112" i="5"/>
  <c r="DC111" i="5"/>
  <c r="DA111" i="5"/>
  <c r="DC110" i="5"/>
  <c r="DA110" i="5"/>
  <c r="DD109" i="5"/>
  <c r="DC109" i="5"/>
  <c r="DA109" i="5"/>
  <c r="DD108" i="5"/>
  <c r="DC108" i="5"/>
  <c r="DA108" i="5"/>
  <c r="DD107" i="5"/>
  <c r="DC107" i="5"/>
  <c r="DA107" i="5"/>
  <c r="DD106" i="5"/>
  <c r="DC106" i="5"/>
  <c r="DA106" i="5"/>
  <c r="DD105" i="5"/>
  <c r="DC105" i="5"/>
  <c r="DA105" i="5"/>
  <c r="DD104" i="5"/>
  <c r="DC104" i="5"/>
  <c r="DA104" i="5"/>
  <c r="DD103" i="5"/>
  <c r="DC103" i="5"/>
  <c r="DA103" i="5"/>
  <c r="DD102" i="5"/>
  <c r="DC102" i="5"/>
  <c r="DA102" i="5"/>
  <c r="DD101" i="5"/>
  <c r="DC101" i="5"/>
  <c r="DA101" i="5"/>
  <c r="DD100" i="5"/>
  <c r="DC100" i="5"/>
  <c r="DA100" i="5"/>
  <c r="DD99" i="5"/>
  <c r="DC99" i="5"/>
  <c r="DA99" i="5"/>
  <c r="DD98" i="5"/>
  <c r="DC98" i="5"/>
  <c r="DA98" i="5"/>
  <c r="DD97" i="5"/>
  <c r="DC97" i="5"/>
  <c r="DA97" i="5"/>
  <c r="DD96" i="5"/>
  <c r="DC96" i="5"/>
  <c r="DA96" i="5"/>
  <c r="DD95" i="5"/>
  <c r="DC95" i="5"/>
  <c r="DA95" i="5"/>
  <c r="DD94" i="5"/>
  <c r="DC94" i="5"/>
  <c r="DA94" i="5"/>
  <c r="DD93" i="5"/>
  <c r="DC93" i="5"/>
  <c r="DA93" i="5"/>
  <c r="DD92" i="5"/>
  <c r="DC92" i="5"/>
  <c r="DA92" i="5"/>
  <c r="DD91" i="5"/>
  <c r="DC91" i="5"/>
  <c r="DA91" i="5"/>
  <c r="DD90" i="5"/>
  <c r="DC90" i="5"/>
  <c r="DA90" i="5"/>
  <c r="DD89" i="5"/>
  <c r="DC89" i="5"/>
  <c r="DA89" i="5"/>
  <c r="DD88" i="5"/>
  <c r="DC88" i="5"/>
  <c r="DA88" i="5"/>
  <c r="DD87" i="5"/>
  <c r="DC87" i="5"/>
  <c r="DA87" i="5"/>
  <c r="DD86" i="5"/>
  <c r="DC86" i="5"/>
  <c r="DA86" i="5"/>
  <c r="DD85" i="5"/>
  <c r="DC85" i="5"/>
  <c r="DA85" i="5"/>
  <c r="DD84" i="5"/>
  <c r="DC84" i="5"/>
  <c r="DA84" i="5"/>
  <c r="DD83" i="5"/>
  <c r="DC83" i="5"/>
  <c r="DA83" i="5"/>
  <c r="DD82" i="5"/>
  <c r="DC82" i="5"/>
  <c r="DA82" i="5"/>
  <c r="DD81" i="5"/>
  <c r="DC81" i="5"/>
  <c r="DA81" i="5"/>
  <c r="DD80" i="5"/>
  <c r="DC80" i="5"/>
  <c r="DA80" i="5"/>
  <c r="DD79" i="5"/>
  <c r="DC79" i="5"/>
  <c r="DA79" i="5"/>
  <c r="DD78" i="5"/>
  <c r="DC78" i="5"/>
  <c r="DA78" i="5"/>
  <c r="DD77" i="5"/>
  <c r="DC77" i="5"/>
  <c r="DA77" i="5"/>
  <c r="DD76" i="5"/>
  <c r="DC76" i="5"/>
  <c r="DA76" i="5"/>
  <c r="DD75" i="5"/>
  <c r="DC75" i="5"/>
  <c r="DA75" i="5"/>
  <c r="DD74" i="5"/>
  <c r="DC74" i="5"/>
  <c r="DA74" i="5"/>
  <c r="DD73" i="5"/>
  <c r="DC73" i="5"/>
  <c r="DA73" i="5"/>
  <c r="DD72" i="5"/>
  <c r="DC72" i="5"/>
  <c r="DA72" i="5"/>
  <c r="DD71" i="5"/>
  <c r="DC71" i="5"/>
  <c r="DA71" i="5"/>
  <c r="DD70" i="5"/>
  <c r="DC70" i="5"/>
  <c r="DA70" i="5"/>
  <c r="DD69" i="5"/>
  <c r="DC69" i="5"/>
  <c r="DA69" i="5"/>
  <c r="DD68" i="5"/>
  <c r="DC68" i="5"/>
  <c r="DA68" i="5"/>
  <c r="DD67" i="5"/>
  <c r="DC67" i="5"/>
  <c r="DA67" i="5"/>
  <c r="DD66" i="5"/>
  <c r="DC66" i="5"/>
  <c r="DA66" i="5"/>
  <c r="DD65" i="5"/>
  <c r="DC65" i="5"/>
  <c r="DA65" i="5"/>
  <c r="DD64" i="5"/>
  <c r="DC64" i="5"/>
  <c r="DA64" i="5"/>
  <c r="DD63" i="5"/>
  <c r="DC63" i="5"/>
  <c r="DA63" i="5"/>
  <c r="DD62" i="5"/>
  <c r="DC62" i="5"/>
  <c r="DA62" i="5"/>
  <c r="DD61" i="5"/>
  <c r="DC61" i="5"/>
  <c r="DA61" i="5"/>
  <c r="DD60" i="5"/>
  <c r="DC60" i="5"/>
  <c r="DA60" i="5"/>
  <c r="DD59" i="5"/>
  <c r="DC59" i="5"/>
  <c r="DA59" i="5"/>
  <c r="DD58" i="5"/>
  <c r="DC58" i="5"/>
  <c r="DA58" i="5"/>
  <c r="DD57" i="5"/>
  <c r="DC57" i="5"/>
  <c r="DA57" i="5"/>
  <c r="DC56" i="5"/>
  <c r="DA56" i="5"/>
  <c r="DC55" i="5"/>
  <c r="DA55" i="5"/>
  <c r="DC54" i="5"/>
  <c r="DA54" i="5"/>
  <c r="DC53" i="5"/>
  <c r="DA53" i="5"/>
  <c r="DC52" i="5"/>
  <c r="DA52" i="5"/>
  <c r="DC51" i="5"/>
  <c r="DA51" i="5"/>
  <c r="DC50" i="5"/>
  <c r="DA50" i="5"/>
  <c r="DC49" i="5"/>
  <c r="DA49" i="5"/>
  <c r="DC48" i="5"/>
  <c r="DA48" i="5"/>
  <c r="DC47" i="5"/>
  <c r="DA47" i="5"/>
  <c r="DC46" i="5"/>
  <c r="DA46" i="5"/>
  <c r="DC45" i="5"/>
  <c r="DA45" i="5"/>
  <c r="DD44" i="5"/>
  <c r="DC44" i="5"/>
  <c r="DA44" i="5"/>
  <c r="DD43" i="5"/>
  <c r="DC43" i="5"/>
  <c r="DA43" i="5"/>
  <c r="DD42" i="5"/>
  <c r="DC42" i="5"/>
  <c r="DA42" i="5"/>
  <c r="DD41" i="5"/>
  <c r="DC41" i="5"/>
  <c r="DA41" i="5"/>
  <c r="DD40" i="5"/>
  <c r="DC40" i="5"/>
  <c r="DA40" i="5"/>
  <c r="DD39" i="5"/>
  <c r="DC39" i="5"/>
  <c r="DA39" i="5"/>
  <c r="DD38" i="5"/>
  <c r="DC38" i="5"/>
  <c r="DA38" i="5"/>
  <c r="DD37" i="5"/>
  <c r="DC37" i="5"/>
  <c r="DA37" i="5"/>
  <c r="DD36" i="5"/>
  <c r="DC36" i="5"/>
  <c r="DA36" i="5"/>
  <c r="DD35" i="5"/>
  <c r="DC35" i="5"/>
  <c r="DA35" i="5"/>
  <c r="DD34" i="5"/>
  <c r="DC34" i="5"/>
  <c r="DA34" i="5"/>
  <c r="DD33" i="5"/>
  <c r="DC33" i="5"/>
  <c r="DA33" i="5"/>
  <c r="DD32" i="5"/>
  <c r="DC32" i="5"/>
  <c r="DA32" i="5"/>
  <c r="DD31" i="5"/>
  <c r="DC31" i="5"/>
  <c r="DA31" i="5"/>
  <c r="DD30" i="5"/>
  <c r="DC30" i="5"/>
  <c r="DA30" i="5"/>
  <c r="DD29" i="5"/>
  <c r="DC29" i="5"/>
  <c r="DA29" i="5"/>
  <c r="DD28" i="5"/>
  <c r="DC28" i="5"/>
  <c r="DA28" i="5"/>
  <c r="DD27" i="5"/>
  <c r="DC27" i="5"/>
  <c r="DA27" i="5"/>
  <c r="DD26" i="5"/>
  <c r="DC26" i="5"/>
  <c r="DA26" i="5"/>
  <c r="DD25" i="5"/>
  <c r="DC25" i="5"/>
  <c r="DA25" i="5"/>
  <c r="DD24" i="5"/>
  <c r="DC24" i="5"/>
  <c r="DA24" i="5"/>
  <c r="DD23" i="5"/>
  <c r="DC23" i="5"/>
  <c r="DA23" i="5"/>
  <c r="DD22" i="5"/>
  <c r="DC22" i="5"/>
  <c r="DA22" i="5"/>
  <c r="DD21" i="5"/>
  <c r="DC21" i="5"/>
  <c r="DA21" i="5"/>
  <c r="DD20" i="5"/>
  <c r="DC20" i="5"/>
  <c r="DA20" i="5"/>
  <c r="DC19" i="5"/>
  <c r="DA19" i="5"/>
  <c r="DC18" i="5"/>
  <c r="DA18" i="5"/>
  <c r="DC17" i="5"/>
  <c r="DA17" i="5"/>
  <c r="DC16" i="5"/>
  <c r="DA16" i="5"/>
  <c r="BI134" i="5"/>
  <c r="BG134" i="5"/>
  <c r="BF134" i="5"/>
  <c r="BI133" i="5"/>
  <c r="BG133" i="5"/>
  <c r="BF133" i="5"/>
  <c r="BI132" i="5"/>
  <c r="BG132" i="5"/>
  <c r="BF132" i="5"/>
  <c r="BI131" i="5"/>
  <c r="BG131" i="5"/>
  <c r="BF131" i="5"/>
  <c r="BI130" i="5"/>
  <c r="BG130" i="5"/>
  <c r="BF130" i="5"/>
  <c r="BI129" i="5"/>
  <c r="BG129" i="5"/>
  <c r="BF129" i="5"/>
  <c r="BI128" i="5"/>
  <c r="BH128" i="5"/>
  <c r="BG128" i="5"/>
  <c r="BF128" i="5"/>
  <c r="BI127" i="5"/>
  <c r="BH127" i="5"/>
  <c r="BG127" i="5"/>
  <c r="BF127" i="5"/>
  <c r="BI126" i="5"/>
  <c r="BH126" i="5"/>
  <c r="BG126" i="5"/>
  <c r="BF126" i="5"/>
  <c r="BI125" i="5"/>
  <c r="BH125" i="5"/>
  <c r="BG125" i="5"/>
  <c r="BF125" i="5"/>
  <c r="BI124" i="5"/>
  <c r="BH124" i="5"/>
  <c r="BG124" i="5"/>
  <c r="BF124" i="5"/>
  <c r="BI123" i="5"/>
  <c r="BH123" i="5"/>
  <c r="BG123" i="5"/>
  <c r="BF123" i="5"/>
  <c r="BI122" i="5"/>
  <c r="BH122" i="5"/>
  <c r="BG122" i="5"/>
  <c r="BF122" i="5"/>
  <c r="BI121" i="5"/>
  <c r="BH121" i="5"/>
  <c r="BG121" i="5"/>
  <c r="BF121" i="5"/>
  <c r="BI120" i="5"/>
  <c r="BH120" i="5"/>
  <c r="BG120" i="5"/>
  <c r="BF120" i="5"/>
  <c r="BI119" i="5"/>
  <c r="BH119" i="5"/>
  <c r="BG119" i="5"/>
  <c r="BF119" i="5"/>
  <c r="BI118" i="5"/>
  <c r="BH118" i="5"/>
  <c r="BG118" i="5"/>
  <c r="BF118" i="5"/>
  <c r="BI117" i="5"/>
  <c r="BH117" i="5"/>
  <c r="BG117" i="5"/>
  <c r="BF117" i="5"/>
  <c r="BI116" i="5"/>
  <c r="BH116" i="5"/>
  <c r="BG116" i="5"/>
  <c r="BF116" i="5"/>
  <c r="BI115" i="5"/>
  <c r="BH115" i="5"/>
  <c r="BG115" i="5"/>
  <c r="BF115" i="5"/>
  <c r="BI114" i="5"/>
  <c r="BH114" i="5"/>
  <c r="BG114" i="5"/>
  <c r="BF114" i="5"/>
  <c r="BI113" i="5"/>
  <c r="BH113" i="5"/>
  <c r="BG113" i="5"/>
  <c r="BF113" i="5"/>
  <c r="BI112" i="5"/>
  <c r="BH112" i="5"/>
  <c r="BG112" i="5"/>
  <c r="BF112" i="5"/>
  <c r="BI111" i="5"/>
  <c r="BH111" i="5"/>
  <c r="BG111" i="5"/>
  <c r="BF111" i="5"/>
  <c r="BI110" i="5"/>
  <c r="BH110" i="5"/>
  <c r="BG110" i="5"/>
  <c r="BF110" i="5"/>
  <c r="BJ109" i="5"/>
  <c r="BI109" i="5"/>
  <c r="BH109" i="5"/>
  <c r="BG109" i="5"/>
  <c r="BF109" i="5"/>
  <c r="BJ108" i="5"/>
  <c r="BI108" i="5"/>
  <c r="BH108" i="5"/>
  <c r="BG108" i="5"/>
  <c r="BF108" i="5"/>
  <c r="BJ107" i="5"/>
  <c r="BI107" i="5"/>
  <c r="BH107" i="5"/>
  <c r="BG107" i="5"/>
  <c r="BF107" i="5"/>
  <c r="BJ106" i="5"/>
  <c r="BI106" i="5"/>
  <c r="BH106" i="5"/>
  <c r="BG106" i="5"/>
  <c r="BF106" i="5"/>
  <c r="BJ105" i="5"/>
  <c r="BI105" i="5"/>
  <c r="BH105" i="5"/>
  <c r="BG105" i="5"/>
  <c r="BF105" i="5"/>
  <c r="BJ104" i="5"/>
  <c r="BI104" i="5"/>
  <c r="BH104" i="5"/>
  <c r="BG104" i="5"/>
  <c r="BF104" i="5"/>
  <c r="BJ103" i="5"/>
  <c r="BI103" i="5"/>
  <c r="BH103" i="5"/>
  <c r="BG103" i="5"/>
  <c r="BF103" i="5"/>
  <c r="BJ102" i="5"/>
  <c r="BI102" i="5"/>
  <c r="BH102" i="5"/>
  <c r="BG102" i="5"/>
  <c r="BF102" i="5"/>
  <c r="BJ101" i="5"/>
  <c r="BI101" i="5"/>
  <c r="BH101" i="5"/>
  <c r="BG101" i="5"/>
  <c r="BF101" i="5"/>
  <c r="BJ100" i="5"/>
  <c r="BI100" i="5"/>
  <c r="BH100" i="5"/>
  <c r="BG100" i="5"/>
  <c r="BF100" i="5"/>
  <c r="BJ99" i="5"/>
  <c r="BI99" i="5"/>
  <c r="BH99" i="5"/>
  <c r="BG99" i="5"/>
  <c r="BF99" i="5"/>
  <c r="BJ98" i="5"/>
  <c r="BI98" i="5"/>
  <c r="BH98" i="5"/>
  <c r="BG98" i="5"/>
  <c r="BF98" i="5"/>
  <c r="BJ97" i="5"/>
  <c r="BI97" i="5"/>
  <c r="BH97" i="5"/>
  <c r="BG97" i="5"/>
  <c r="BF97" i="5"/>
  <c r="BJ96" i="5"/>
  <c r="BI96" i="5"/>
  <c r="BH96" i="5"/>
  <c r="BG96" i="5"/>
  <c r="BF96" i="5"/>
  <c r="BJ95" i="5"/>
  <c r="BI95" i="5"/>
  <c r="BH95" i="5"/>
  <c r="BG95" i="5"/>
  <c r="BF95" i="5"/>
  <c r="BJ94" i="5"/>
  <c r="BI94" i="5"/>
  <c r="BH94" i="5"/>
  <c r="BG94" i="5"/>
  <c r="BF94" i="5"/>
  <c r="BJ93" i="5"/>
  <c r="BI93" i="5"/>
  <c r="BH93" i="5"/>
  <c r="BG93" i="5"/>
  <c r="BF93" i="5"/>
  <c r="BJ92" i="5"/>
  <c r="BI92" i="5"/>
  <c r="BH92" i="5"/>
  <c r="BG92" i="5"/>
  <c r="BF92" i="5"/>
  <c r="BJ91" i="5"/>
  <c r="BI91" i="5"/>
  <c r="BH91" i="5"/>
  <c r="BG91" i="5"/>
  <c r="BF91" i="5"/>
  <c r="BJ90" i="5"/>
  <c r="BI90" i="5"/>
  <c r="BH90" i="5"/>
  <c r="BG90" i="5"/>
  <c r="BF90" i="5"/>
  <c r="BJ89" i="5"/>
  <c r="BI89" i="5"/>
  <c r="BH89" i="5"/>
  <c r="BG89" i="5"/>
  <c r="BF89" i="5"/>
  <c r="BJ88" i="5"/>
  <c r="BI88" i="5"/>
  <c r="BH88" i="5"/>
  <c r="BG88" i="5"/>
  <c r="BF88" i="5"/>
  <c r="BJ87" i="5"/>
  <c r="BI87" i="5"/>
  <c r="BH87" i="5"/>
  <c r="BG87" i="5"/>
  <c r="BF87" i="5"/>
  <c r="BJ86" i="5"/>
  <c r="BI86" i="5"/>
  <c r="BH86" i="5"/>
  <c r="BG86" i="5"/>
  <c r="BF86" i="5"/>
  <c r="BJ85" i="5"/>
  <c r="BI85" i="5"/>
  <c r="BH85" i="5"/>
  <c r="BG85" i="5"/>
  <c r="BF85" i="5"/>
  <c r="BJ84" i="5"/>
  <c r="BI84" i="5"/>
  <c r="BH84" i="5"/>
  <c r="BG84" i="5"/>
  <c r="BF84" i="5"/>
  <c r="BJ83" i="5"/>
  <c r="BI83" i="5"/>
  <c r="BH83" i="5"/>
  <c r="BG83" i="5"/>
  <c r="BF83" i="5"/>
  <c r="BJ82" i="5"/>
  <c r="BI82" i="5"/>
  <c r="BH82" i="5"/>
  <c r="BG82" i="5"/>
  <c r="BF82" i="5"/>
  <c r="BJ81" i="5"/>
  <c r="BI81" i="5"/>
  <c r="BH81" i="5"/>
  <c r="BG81" i="5"/>
  <c r="BF81" i="5"/>
  <c r="BJ80" i="5"/>
  <c r="BI80" i="5"/>
  <c r="BH80" i="5"/>
  <c r="BG80" i="5"/>
  <c r="BF80" i="5"/>
  <c r="BJ79" i="5"/>
  <c r="BI79" i="5"/>
  <c r="BH79" i="5"/>
  <c r="BG79" i="5"/>
  <c r="BF79" i="5"/>
  <c r="BJ78" i="5"/>
  <c r="BI78" i="5"/>
  <c r="BH78" i="5"/>
  <c r="BG78" i="5"/>
  <c r="BF78" i="5"/>
  <c r="BJ77" i="5"/>
  <c r="BI77" i="5"/>
  <c r="BH77" i="5"/>
  <c r="BG77" i="5"/>
  <c r="BF77" i="5"/>
  <c r="BJ76" i="5"/>
  <c r="BI76" i="5"/>
  <c r="BH76" i="5"/>
  <c r="BG76" i="5"/>
  <c r="BF76" i="5"/>
  <c r="BJ75" i="5"/>
  <c r="BI75" i="5"/>
  <c r="BH75" i="5"/>
  <c r="BG75" i="5"/>
  <c r="BF75" i="5"/>
  <c r="BJ74" i="5"/>
  <c r="BI74" i="5"/>
  <c r="BH74" i="5"/>
  <c r="BG74" i="5"/>
  <c r="BF74" i="5"/>
  <c r="BJ73" i="5"/>
  <c r="BI73" i="5"/>
  <c r="BH73" i="5"/>
  <c r="BG73" i="5"/>
  <c r="BF73" i="5"/>
  <c r="BJ72" i="5"/>
  <c r="BI72" i="5"/>
  <c r="BH72" i="5"/>
  <c r="BG72" i="5"/>
  <c r="BF72" i="5"/>
  <c r="BJ71" i="5"/>
  <c r="BI71" i="5"/>
  <c r="BH71" i="5"/>
  <c r="BG71" i="5"/>
  <c r="BF71" i="5"/>
  <c r="BJ70" i="5"/>
  <c r="BI70" i="5"/>
  <c r="BH70" i="5"/>
  <c r="BG70" i="5"/>
  <c r="BF70" i="5"/>
  <c r="BJ69" i="5"/>
  <c r="BI69" i="5"/>
  <c r="BH69" i="5"/>
  <c r="BG69" i="5"/>
  <c r="BF69" i="5"/>
  <c r="BJ68" i="5"/>
  <c r="BI68" i="5"/>
  <c r="BH68" i="5"/>
  <c r="BG68" i="5"/>
  <c r="BF68" i="5"/>
  <c r="BJ67" i="5"/>
  <c r="BI67" i="5"/>
  <c r="BH67" i="5"/>
  <c r="BG67" i="5"/>
  <c r="BF67" i="5"/>
  <c r="BJ66" i="5"/>
  <c r="BI66" i="5"/>
  <c r="BH66" i="5"/>
  <c r="BG66" i="5"/>
  <c r="BF66" i="5"/>
  <c r="BJ65" i="5"/>
  <c r="BI65" i="5"/>
  <c r="BH65" i="5"/>
  <c r="BG65" i="5"/>
  <c r="BF65" i="5"/>
  <c r="BJ64" i="5"/>
  <c r="BI64" i="5"/>
  <c r="BH64" i="5"/>
  <c r="BG64" i="5"/>
  <c r="BF64" i="5"/>
  <c r="BJ63" i="5"/>
  <c r="BI63" i="5"/>
  <c r="BH63" i="5"/>
  <c r="BG63" i="5"/>
  <c r="BF63" i="5"/>
  <c r="BJ62" i="5"/>
  <c r="BI62" i="5"/>
  <c r="BH62" i="5"/>
  <c r="BG62" i="5"/>
  <c r="BF62" i="5"/>
  <c r="BJ61" i="5"/>
  <c r="BI61" i="5"/>
  <c r="BH61" i="5"/>
  <c r="BG61" i="5"/>
  <c r="BF61" i="5"/>
  <c r="BJ60" i="5"/>
  <c r="BI60" i="5"/>
  <c r="BH60" i="5"/>
  <c r="BG60" i="5"/>
  <c r="BF60" i="5"/>
  <c r="BJ59" i="5"/>
  <c r="BI59" i="5"/>
  <c r="BH59" i="5"/>
  <c r="BG59" i="5"/>
  <c r="BF59" i="5"/>
  <c r="BJ58" i="5"/>
  <c r="BI58" i="5"/>
  <c r="BH58" i="5"/>
  <c r="BG58" i="5"/>
  <c r="BF58" i="5"/>
  <c r="BJ57" i="5"/>
  <c r="BI57" i="5"/>
  <c r="BH57" i="5"/>
  <c r="BG57" i="5"/>
  <c r="BF57" i="5"/>
  <c r="BI56" i="5"/>
  <c r="BH56" i="5"/>
  <c r="BG56" i="5"/>
  <c r="BF56" i="5"/>
  <c r="BI55" i="5"/>
  <c r="BH55" i="5"/>
  <c r="BG55" i="5"/>
  <c r="BF55" i="5"/>
  <c r="BI54" i="5"/>
  <c r="BH54" i="5"/>
  <c r="BG54" i="5"/>
  <c r="BF54" i="5"/>
  <c r="BI53" i="5"/>
  <c r="BH53" i="5"/>
  <c r="BG53" i="5"/>
  <c r="BF53" i="5"/>
  <c r="BI52" i="5"/>
  <c r="BH52" i="5"/>
  <c r="BG52" i="5"/>
  <c r="BF52" i="5"/>
  <c r="BI51" i="5"/>
  <c r="BH51" i="5"/>
  <c r="BG51" i="5"/>
  <c r="BF51" i="5"/>
  <c r="BI50" i="5"/>
  <c r="BH50" i="5"/>
  <c r="BG50" i="5"/>
  <c r="BF50" i="5"/>
  <c r="BI49" i="5"/>
  <c r="BH49" i="5"/>
  <c r="BG49" i="5"/>
  <c r="BF49" i="5"/>
  <c r="BI48" i="5"/>
  <c r="BH48" i="5"/>
  <c r="BG48" i="5"/>
  <c r="BF48" i="5"/>
  <c r="BI47" i="5"/>
  <c r="BH47" i="5"/>
  <c r="BG47" i="5"/>
  <c r="BF47" i="5"/>
  <c r="BI46" i="5"/>
  <c r="BH46" i="5"/>
  <c r="BG46" i="5"/>
  <c r="BF46" i="5"/>
  <c r="BI45" i="5"/>
  <c r="BH45" i="5"/>
  <c r="BG45" i="5"/>
  <c r="BF45" i="5"/>
  <c r="BJ44" i="5"/>
  <c r="BI44" i="5"/>
  <c r="BH44" i="5"/>
  <c r="BG44" i="5"/>
  <c r="BF44" i="5"/>
  <c r="BJ43" i="5"/>
  <c r="BI43" i="5"/>
  <c r="BH43" i="5"/>
  <c r="BG43" i="5"/>
  <c r="BF43" i="5"/>
  <c r="BJ42" i="5"/>
  <c r="BI42" i="5"/>
  <c r="BH42" i="5"/>
  <c r="BG42" i="5"/>
  <c r="BF42" i="5"/>
  <c r="BJ41" i="5"/>
  <c r="BI41" i="5"/>
  <c r="BH41" i="5"/>
  <c r="BG41" i="5"/>
  <c r="BF41" i="5"/>
  <c r="BJ40" i="5"/>
  <c r="BI40" i="5"/>
  <c r="BH40" i="5"/>
  <c r="BG40" i="5"/>
  <c r="BF40" i="5"/>
  <c r="BJ39" i="5"/>
  <c r="BI39" i="5"/>
  <c r="BH39" i="5"/>
  <c r="BG39" i="5"/>
  <c r="BF39" i="5"/>
  <c r="BJ38" i="5"/>
  <c r="BI38" i="5"/>
  <c r="BH38" i="5"/>
  <c r="BG38" i="5"/>
  <c r="BF38" i="5"/>
  <c r="BJ37" i="5"/>
  <c r="BI37" i="5"/>
  <c r="BH37" i="5"/>
  <c r="BG37" i="5"/>
  <c r="BF37" i="5"/>
  <c r="BJ36" i="5"/>
  <c r="BI36" i="5"/>
  <c r="BH36" i="5"/>
  <c r="BG36" i="5"/>
  <c r="BF36" i="5"/>
  <c r="BJ35" i="5"/>
  <c r="BI35" i="5"/>
  <c r="BH35" i="5"/>
  <c r="BG35" i="5"/>
  <c r="BF35" i="5"/>
  <c r="BJ34" i="5"/>
  <c r="BI34" i="5"/>
  <c r="BH34" i="5"/>
  <c r="BG34" i="5"/>
  <c r="BF34" i="5"/>
  <c r="BJ33" i="5"/>
  <c r="BI33" i="5"/>
  <c r="BH33" i="5"/>
  <c r="BG33" i="5"/>
  <c r="BF33" i="5"/>
  <c r="BJ32" i="5"/>
  <c r="BI32" i="5"/>
  <c r="BH32" i="5"/>
  <c r="BG32" i="5"/>
  <c r="BF32" i="5"/>
  <c r="BJ31" i="5"/>
  <c r="BI31" i="5"/>
  <c r="BH31" i="5"/>
  <c r="BG31" i="5"/>
  <c r="BF31" i="5"/>
  <c r="BJ30" i="5"/>
  <c r="BI30" i="5"/>
  <c r="BH30" i="5"/>
  <c r="BG30" i="5"/>
  <c r="BF30" i="5"/>
  <c r="BJ29" i="5"/>
  <c r="BI29" i="5"/>
  <c r="BH29" i="5"/>
  <c r="BG29" i="5"/>
  <c r="BF29" i="5"/>
  <c r="BJ28" i="5"/>
  <c r="BI28" i="5"/>
  <c r="BH28" i="5"/>
  <c r="BG28" i="5"/>
  <c r="BF28" i="5"/>
  <c r="BJ27" i="5"/>
  <c r="BI27" i="5"/>
  <c r="BH27" i="5"/>
  <c r="BG27" i="5"/>
  <c r="BF27" i="5"/>
  <c r="BJ26" i="5"/>
  <c r="BI26" i="5"/>
  <c r="BH26" i="5"/>
  <c r="BG26" i="5"/>
  <c r="BF26" i="5"/>
  <c r="BJ25" i="5"/>
  <c r="BI25" i="5"/>
  <c r="BH25" i="5"/>
  <c r="BG25" i="5"/>
  <c r="BF25" i="5"/>
  <c r="BJ24" i="5"/>
  <c r="BI24" i="5"/>
  <c r="BH24" i="5"/>
  <c r="BG24" i="5"/>
  <c r="BF24" i="5"/>
  <c r="BJ23" i="5"/>
  <c r="BI23" i="5"/>
  <c r="BH23" i="5"/>
  <c r="BG23" i="5"/>
  <c r="BF23" i="5"/>
  <c r="BJ22" i="5"/>
  <c r="BI22" i="5"/>
  <c r="BH22" i="5"/>
  <c r="BG22" i="5"/>
  <c r="BF22" i="5"/>
  <c r="BJ21" i="5"/>
  <c r="BI21" i="5"/>
  <c r="BH21" i="5"/>
  <c r="BG21" i="5"/>
  <c r="BF21" i="5"/>
  <c r="BJ20" i="5"/>
  <c r="BI20" i="5"/>
  <c r="BH20" i="5"/>
  <c r="BG20" i="5"/>
  <c r="BF20" i="5"/>
  <c r="BI19" i="5"/>
  <c r="BH19" i="5"/>
  <c r="BG19" i="5"/>
  <c r="BF19" i="5"/>
  <c r="BI18" i="5"/>
  <c r="BH18" i="5"/>
  <c r="BG18" i="5"/>
  <c r="BF18" i="5"/>
  <c r="BI17" i="5"/>
  <c r="BH17" i="5"/>
  <c r="BG17" i="5"/>
  <c r="BF17" i="5"/>
  <c r="BI16" i="5"/>
  <c r="BH16" i="5"/>
  <c r="BG16" i="5"/>
  <c r="BF16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16" i="5"/>
  <c r="N41" i="5"/>
  <c r="N42" i="5"/>
  <c r="N43" i="5"/>
  <c r="N44" i="5"/>
  <c r="N45" i="5"/>
  <c r="N46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6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7" i="5"/>
  <c r="L18" i="5"/>
  <c r="L19" i="5"/>
  <c r="P20" i="5"/>
  <c r="P21" i="5"/>
  <c r="P22" i="5"/>
  <c r="P23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J8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<sst xmlns="http://schemas.openxmlformats.org/spreadsheetml/2006/main" count="1077" uniqueCount="270">
  <si>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</si>
  <si>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</si>
  <si>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</si>
  <si>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</si>
  <si>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</si>
  <si>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</si>
  <si>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</si>
  <si>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</si>
  <si>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</si>
  <si>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</si>
  <si>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</si>
  <si>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</si>
  <si>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</si>
  <si>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</si>
  <si>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</si>
  <si>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</si>
  <si>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</si>
  <si>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</si>
  <si>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</si>
  <si>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</si>
  <si>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</si>
  <si>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</si>
  <si>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</si>
  <si>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</si>
  <si>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</si>
  <si>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</si>
  <si>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</si>
  <si>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</si>
  <si>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</si>
  <si>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</si>
  <si>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</si>
  <si>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</si>
  <si>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</si>
  <si>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</si>
  <si>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</si>
  <si>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</si>
  <si>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</si>
  <si>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</si>
  <si>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</si>
  <si>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</si>
  <si>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</si>
  <si>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</si>
  <si>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</si>
  <si>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</si>
  <si>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</si>
  <si>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</si>
  <si>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</si>
  <si>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</si>
  <si>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</si>
  <si>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</si>
  <si>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</si>
  <si>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</si>
  <si>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</si>
  <si>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</si>
  <si>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</si>
  <si>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</si>
  <si>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</si>
  <si>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</si>
  <si>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</si>
  <si>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</si>
  <si>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</si>
  <si>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</si>
  <si>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</si>
  <si>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</si>
  <si>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</si>
  <si>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</si>
  <si>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</si>
  <si>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</si>
  <si>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</si>
  <si>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</si>
  <si>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</si>
  <si>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</si>
  <si>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</si>
  <si>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</si>
  <si>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</si>
  <si>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</si>
  <si>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</si>
  <si>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</si>
  <si>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</si>
  <si>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</si>
  <si>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</si>
  <si>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</si>
  <si>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</si>
  <si>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</si>
  <si>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</si>
  <si>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</si>
  <si>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</si>
  <si>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</si>
  <si>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</si>
  <si>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</si>
  <si>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</si>
  <si>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</si>
  <si>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</si>
  <si>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</si>
  <si>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</si>
  <si>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</si>
  <si>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Mass [kg]</t>
  </si>
  <si>
    <t>TP/MP flange</t>
  </si>
  <si>
    <t>Airtight platform</t>
  </si>
  <si>
    <t>Skirt</t>
  </si>
  <si>
    <t>TP-sided flange to tower</t>
  </si>
  <si>
    <t>Service Platform</t>
  </si>
  <si>
    <t>Junction Box Platform</t>
  </si>
  <si>
    <t>Internal Access System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</si>
  <si>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</si>
  <si>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</si>
  <si>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</si>
  <si>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</si>
  <si>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</si>
  <si>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</si>
  <si>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</si>
  <si>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</si>
  <si>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</si>
  <si>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</si>
  <si>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</si>
  <si>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</si>
  <si>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</si>
  <si>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</si>
  <si>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</si>
  <si>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</si>
  <si>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</si>
  <si>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</si>
  <si>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</si>
  <si>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</si>
  <si>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</si>
  <si>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</si>
  <si>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</si>
  <si>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</si>
  <si>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</si>
  <si>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</si>
  <si>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</si>
  <si>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</si>
  <si>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</si>
  <si>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</si>
  <si>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</si>
  <si>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</si>
  <si>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</si>
  <si>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</si>
  <si>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</si>
  <si>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</si>
  <si>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</si>
  <si>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</si>
  <si>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</si>
  <si>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</si>
  <si>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</si>
  <si>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</si>
  <si>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</si>
  <si>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</si>
  <si>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</si>
  <si>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</si>
  <si>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</si>
  <si>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</si>
  <si>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</si>
  <si>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</si>
  <si>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</si>
  <si>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</si>
  <si>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</si>
  <si>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</si>
  <si>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</si>
  <si>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</si>
  <si>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</si>
  <si>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</si>
  <si>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</si>
  <si>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</si>
  <si>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</si>
  <si>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</si>
  <si>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</si>
  <si>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</si>
  <si>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</si>
  <si>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</si>
  <si>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</si>
  <si>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</si>
  <si>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</si>
  <si>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</si>
  <si>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</si>
  <si>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</si>
  <si>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</si>
  <si>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</si>
  <si>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</si>
  <si>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</si>
  <si>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</si>
  <si>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</si>
  <si>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</si>
  <si>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</si>
  <si>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</si>
  <si>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</si>
  <si>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</si>
  <si>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</si>
  <si>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</si>
  <si>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</si>
  <si>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</si>
  <si>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</si>
  <si>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</si>
  <si>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</si>
  <si>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</si>
  <si>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</si>
  <si>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</si>
  <si>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</si>
  <si>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</si>
  <si>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</si>
  <si>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</si>
  <si>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</si>
  <si>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</si>
  <si>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</si>
  <si>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</si>
  <si>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</si>
  <si>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</si>
  <si>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</si>
  <si>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</si>
  <si>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</si>
  <si>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</si>
  <si>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</si>
  <si>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</si>
  <si>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</si>
  <si>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</si>
  <si>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</si>
  <si>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</si>
  <si>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</si>
  <si>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</si>
  <si>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</si>
  <si>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</si>
  <si>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</si>
  <si>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</si>
  <si>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</si>
  <si>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</si>
  <si>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</si>
  <si>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</si>
  <si>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</si>
  <si>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</si>
  <si>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</si>
  <si>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</si>
  <si>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</si>
  <si>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</si>
  <si>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</si>
  <si>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</si>
  <si>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</si>
  <si>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</si>
  <si>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</si>
  <si>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</si>
  <si>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</si>
  <si>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</si>
  <si>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</si>
  <si>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</si>
  <si>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</si>
  <si>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^^</t>
  </si>
  <si>
    <t xml:space="preserve">Use For (WL: Waveload generator, AM: Additional Masses) 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</si>
  <si>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</si>
  <si>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</si>
  <si>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</si>
  <si>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</si>
  <si>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</si>
  <si>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</si>
  <si>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</si>
  <si>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</si>
  <si>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</si>
  <si>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I:\2024\A\24A525_EnBW_Dreekant_FEED\03_Lasten\01_LILA\01_Model\DP-A2_15MW_L0G2S1\GeomConv_V1.18_Dreekant-15MW236-N12.1_DP-A2_L0G2S1.xlsm</t>
  </si>
  <si>
    <t>Vestas mass</t>
  </si>
  <si>
    <t>dummy to have same number of nodes as 22 MW MP</t>
  </si>
  <si>
    <t>DP-A2</t>
  </si>
  <si>
    <t>24A525_FEED_DP-A2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</si>
  <si>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</si>
  <si>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</si>
  <si>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</si>
  <si>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</si>
  <si>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</si>
  <si>
    <t>C:\Users\aaron.lange\Desktop\JBOOSTTest</t>
  </si>
  <si>
    <t>Name</t>
  </si>
  <si>
    <t>Name+R37</t>
  </si>
  <si>
    <t>INVALID</t>
  </si>
  <si>
    <t>fthjf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</si>
</sst>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20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17" xfId="0" applyFont="1" applyFill="1" applyBorder="1"/>
    <xf numFmtId="0" fontId="2" fillId="14" borderId="18" xfId="0" applyFont="1" applyFill="1" applyBorder="1"/>
    <xf numFmtId="0" fontId="0" fillId="15" borderId="19" xfId="0" applyFill="1" applyBorder="1" applyAlignment="1">
      <alignment horizontal="center"/>
    </xf>
    <xf numFmtId="1" fontId="0" fillId="15" borderId="19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2" fillId="14" borderId="17" xfId="0" applyFont="1" applyFill="1" applyBorder="1" applyAlignment="1">
      <alignment horizontal="left"/>
    </xf>
    <xf numFmtId="0" fontId="2" fillId="14" borderId="20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21" xfId="0" applyFill="1" applyBorder="1"/>
    <xf numFmtId="0" fontId="0" fillId="0" borderId="21" xfId="0" applyBorder="1"/>
    <xf numFmtId="0" fontId="0" fillId="15" borderId="22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2" fillId="0" borderId="22" xfId="0" applyFont="1" applyBorder="1"/>
    <xf numFmtId="49" fontId="0" fillId="0" borderId="0" xfId="0" applyNumberFormat="1" applyAlignment="1">
      <alignment horizontal="left"/>
    </xf>
    <xf numFmtId="0" fontId="2" fillId="14" borderId="22" xfId="0" applyFont="1" applyFill="1" applyBorder="1"/>
    <xf numFmtId="11" fontId="0" fillId="0" borderId="22" xfId="0" applyNumberFormat="1" applyBorder="1" applyAlignment="1">
      <alignment horizontal="center"/>
    </xf>
    <xf numFmtId="0" fontId="0" fillId="0" borderId="18" xfId="0" applyBorder="1"/>
    <xf numFmtId="0" fontId="0" fillId="0" borderId="22" xfId="0" applyBorder="1" applyAlignment="1">
      <alignment horizontal="left"/>
    </xf>
    <xf numFmtId="0" fontId="0" fillId="15" borderId="22" xfId="0" applyFill="1" applyBorder="1" applyAlignment="1">
      <alignment horizontal="left"/>
    </xf>
    <xf numFmtId="0" fontId="0" fillId="15" borderId="21" xfId="0" applyFill="1" applyBorder="1" applyAlignment="1">
      <alignment horizontal="left"/>
    </xf>
    <xf numFmtId="0" fontId="2" fillId="14" borderId="22" xfId="0" applyFont="1" applyFill="1" applyBorder="1" applyAlignment="1">
      <alignment horizontal="left"/>
    </xf>
    <xf numFmtId="0" fontId="2" fillId="14" borderId="23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2" fillId="14" borderId="0" xfId="0" applyFont="1" applyFill="1" applyBorder="1"/>
    <xf numFmtId="0" fontId="0" fillId="0" borderId="0" xfId="0" applyBorder="1"/>
    <xf numFmtId="0" fontId="3" fillId="0" borderId="0" xfId="0" applyFont="1" applyBorder="1"/>
    <xf numFmtId="0" fontId="3" fillId="16" borderId="0" xfId="0" applyFont="1" applyFill="1" applyBorder="1"/>
    <xf numFmtId="0" fontId="9" fillId="0" borderId="0" xfId="0" applyFont="1" applyBorder="1"/>
    <xf numFmtId="0" fontId="0" fillId="16" borderId="0" xfId="0" applyFill="1" applyBorder="1"/>
    <xf numFmtId="0" fontId="0" fillId="0" borderId="0" xfId="0" applyBorder="1" applyAlignment="1">
      <alignment vertical="center"/>
    </xf>
    <xf numFmtId="0" fontId="5" fillId="0" borderId="0" xfId="0" applyFont="1" applyBorder="1"/>
    <xf numFmtId="0" fontId="0" fillId="0" borderId="0" xfId="0" applyFill="1" applyBorder="1"/>
    <xf numFmtId="2" fontId="0" fillId="0" borderId="0" xfId="0" applyNumberForma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13" borderId="0" xfId="0" applyFill="1" applyBorder="1"/>
    <xf numFmtId="0" fontId="2" fillId="14" borderId="0" xfId="0" applyFont="1" applyFill="1" applyBorder="1" applyAlignment="1">
      <alignment horizontal="left"/>
    </xf>
    <xf numFmtId="168" fontId="0" fillId="0" borderId="0" xfId="0" applyNumberFormat="1" applyFill="1" applyBorder="1"/>
    <xf numFmtId="168" fontId="0" fillId="0" borderId="0" xfId="0" applyNumberFormat="1" applyBorder="1"/>
    <xf numFmtId="2" fontId="0" fillId="13" borderId="0" xfId="0" applyNumberFormat="1" applyFill="1" applyBorder="1"/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2" fontId="12" fillId="0" borderId="0" xfId="0" applyNumberFormat="1" applyFont="1" applyBorder="1" applyAlignment="1" applyProtection="1">
      <alignment horizontal="center" vertical="center"/>
      <protection locked="0"/>
    </xf>
    <xf numFmtId="0" fontId="0" fillId="13" borderId="0" xfId="0" applyFill="1" applyBorder="1" applyAlignment="1">
      <alignment horizontal="center"/>
    </xf>
    <xf numFmtId="2" fontId="0" fillId="0" borderId="0" xfId="0" applyNumberFormat="1" applyFill="1" applyBorder="1"/>
    <xf numFmtId="0" fontId="2" fillId="0" borderId="0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10" xfId="0" applyFont="1" applyBorder="1" applyAlignment="1">
      <alignment horizontal="right"/>
    </xf>
    <xf numFmtId="0" fontId="0" fillId="0" borderId="10" xfId="0" applyBorder="1" applyAlignment="1">
      <alignment horizontal="right"/>
    </xf>
  </cellXfs>
  <cellStyles count="2">
    <cellStyle name="Standard" xfId="0" builtinId="0"/>
    <cellStyle name="Standard 4" xfId="1" xr:uid="{7C2E7282-4006-4D40-8AAC-8E6944058B8E}"/>
  </cellStyles>
  <dxfs count="352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26" noThreeD="1" sel="1" val="0">
  <itemLst>
    <item val="24A525_FEED_DP-A2"/>
  </itemLst>
</formControlPr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USE_TP" lockText="1" noThreeD="1"/>
</file>

<file path=xl/ctrlProps/ctrlProp22.xml><?xml version="1.0" encoding="utf-8"?>
<formControlPr xmlns="http://schemas.microsoft.com/office/spreadsheetml/2009/9/main" objectType="CheckBox" checked="Checked" fmlaLink="Use_MP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UseMPGeomConv" lockText="1" noThreeD="1"/>
</file>

<file path=xl/ctrlProps/ctrlProp33.xml><?xml version="1.0" encoding="utf-8"?>
<formControlPr xmlns="http://schemas.microsoft.com/office/spreadsheetml/2009/9/main" objectType="CheckBox" fmlaLink="UseTPGeomConv" lockText="1" noThreeD="1"/>
</file>

<file path=xl/ctrlProps/ctrlProp34.xml><?xml version="1.0" encoding="utf-8"?>
<formControlPr xmlns="http://schemas.microsoft.com/office/spreadsheetml/2009/9/main" objectType="CheckBox" fmlaLink="UseTOWERGeomConv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37.xml><?xml version="1.0" encoding="utf-8"?>
<formControlPr xmlns="http://schemas.microsoft.com/office/spreadsheetml/2009/9/main" objectType="Drop" dropStyle="combo" dx="26" noThreeD="1" sel="13" val="5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8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39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228600</xdr:rowOff>
        </xdr:from>
        <xdr:to>
          <xdr:col>144</xdr:col>
          <xdr:colOff>1146265</xdr:colOff>
          <xdr:row>6</xdr:row>
          <xdr:rowOff>84908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3</xdr:row>
          <xdr:rowOff>30480</xdr:rowOff>
        </xdr:from>
        <xdr:to>
          <xdr:col>5</xdr:col>
          <xdr:colOff>1074420</xdr:colOff>
          <xdr:row>3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22860</xdr:rowOff>
        </xdr:from>
        <xdr:to>
          <xdr:col>18</xdr:col>
          <xdr:colOff>1341120</xdr:colOff>
          <xdr:row>12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365760</xdr:colOff>
          <xdr:row>7</xdr:row>
          <xdr:rowOff>175260</xdr:rowOff>
        </xdr:from>
        <xdr:to>
          <xdr:col>15</xdr:col>
          <xdr:colOff>822960</xdr:colOff>
          <xdr:row>12</xdr:row>
          <xdr:rowOff>137160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138249</xdr:colOff>
          <xdr:row>0</xdr:row>
          <xdr:rowOff>176349</xdr:rowOff>
        </xdr:from>
        <xdr:to>
          <xdr:col>2</xdr:col>
          <xdr:colOff>1099458</xdr:colOff>
          <xdr:row>4</xdr:row>
          <xdr:rowOff>14151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186146</xdr:colOff>
          <xdr:row>15</xdr:row>
          <xdr:rowOff>99061</xdr:rowOff>
        </xdr:from>
        <xdr:to>
          <xdr:col>2</xdr:col>
          <xdr:colOff>1153886</xdr:colOff>
          <xdr:row>18</xdr:row>
          <xdr:rowOff>142604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30480</xdr:colOff>
          <xdr:row>3</xdr:row>
          <xdr:rowOff>30480</xdr:rowOff>
        </xdr:from>
        <xdr:to>
          <xdr:col>51</xdr:col>
          <xdr:colOff>800100</xdr:colOff>
          <xdr:row>3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792480</xdr:colOff>
          <xdr:row>8</xdr:row>
          <xdr:rowOff>30480</xdr:rowOff>
        </xdr:from>
        <xdr:to>
          <xdr:col>63</xdr:col>
          <xdr:colOff>662940</xdr:colOff>
          <xdr:row>12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274320</xdr:colOff>
          <xdr:row>8</xdr:row>
          <xdr:rowOff>45720</xdr:rowOff>
        </xdr:from>
        <xdr:to>
          <xdr:col>62</xdr:col>
          <xdr:colOff>762000</xdr:colOff>
          <xdr:row>12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4</xdr:row>
          <xdr:rowOff>160020</xdr:rowOff>
        </xdr:from>
        <xdr:to>
          <xdr:col>144</xdr:col>
          <xdr:colOff>1137557</xdr:colOff>
          <xdr:row>6</xdr:row>
          <xdr:rowOff>54428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</xdr:col>
          <xdr:colOff>38100</xdr:colOff>
          <xdr:row>3</xdr:row>
          <xdr:rowOff>38100</xdr:rowOff>
        </xdr:from>
        <xdr:to>
          <xdr:col>97</xdr:col>
          <xdr:colOff>792480</xdr:colOff>
          <xdr:row>3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109</xdr:col>
          <xdr:colOff>868680</xdr:colOff>
          <xdr:row>8</xdr:row>
          <xdr:rowOff>22860</xdr:rowOff>
        </xdr:from>
        <xdr:to>
          <xdr:col>110</xdr:col>
          <xdr:colOff>2171700</xdr:colOff>
          <xdr:row>12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107</xdr:col>
          <xdr:colOff>335280</xdr:colOff>
          <xdr:row>7</xdr:row>
          <xdr:rowOff>175260</xdr:rowOff>
        </xdr:from>
        <xdr:to>
          <xdr:col>109</xdr:col>
          <xdr:colOff>807720</xdr:colOff>
          <xdr:row>12</xdr:row>
          <xdr:rowOff>137160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1097280</xdr:colOff>
          <xdr:row>3</xdr:row>
          <xdr:rowOff>30480</xdr:rowOff>
        </xdr:from>
        <xdr:to>
          <xdr:col>5</xdr:col>
          <xdr:colOff>2552700</xdr:colOff>
          <xdr:row>3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838200</xdr:colOff>
          <xdr:row>3</xdr:row>
          <xdr:rowOff>22860</xdr:rowOff>
        </xdr:from>
        <xdr:to>
          <xdr:col>52</xdr:col>
          <xdr:colOff>0</xdr:colOff>
          <xdr:row>3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97</xdr:col>
          <xdr:colOff>822960</xdr:colOff>
          <xdr:row>3</xdr:row>
          <xdr:rowOff>22860</xdr:rowOff>
        </xdr:from>
        <xdr:to>
          <xdr:col>98</xdr:col>
          <xdr:colOff>7620</xdr:colOff>
          <xdr:row>3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166552</xdr:colOff>
          <xdr:row>16</xdr:row>
          <xdr:rowOff>55517</xdr:rowOff>
        </xdr:from>
        <xdr:to>
          <xdr:col>3</xdr:col>
          <xdr:colOff>974272</xdr:colOff>
          <xdr:row>18</xdr:row>
          <xdr:rowOff>169816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137161</xdr:colOff>
          <xdr:row>15</xdr:row>
          <xdr:rowOff>16329</xdr:rowOff>
        </xdr:from>
        <xdr:to>
          <xdr:col>3</xdr:col>
          <xdr:colOff>1028701</xdr:colOff>
          <xdr:row>17</xdr:row>
          <xdr:rowOff>115389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5</xdr:row>
          <xdr:rowOff>0</xdr:rowOff>
        </xdr:from>
        <xdr:to>
          <xdr:col>11</xdr:col>
          <xdr:colOff>708660</xdr:colOff>
          <xdr:row>5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60960</xdr:colOff>
          <xdr:row>5</xdr:row>
          <xdr:rowOff>0</xdr:rowOff>
        </xdr:from>
        <xdr:to>
          <xdr:col>59</xdr:col>
          <xdr:colOff>731520</xdr:colOff>
          <xdr:row>5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</xdr:col>
          <xdr:colOff>38100</xdr:colOff>
          <xdr:row>3</xdr:row>
          <xdr:rowOff>38100</xdr:rowOff>
        </xdr:from>
        <xdr:to>
          <xdr:col>143</xdr:col>
          <xdr:colOff>792480</xdr:colOff>
          <xdr:row>3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861060</xdr:colOff>
          <xdr:row>4</xdr:row>
          <xdr:rowOff>30480</xdr:rowOff>
        </xdr:from>
        <xdr:to>
          <xdr:col>149</xdr:col>
          <xdr:colOff>1592580</xdr:colOff>
          <xdr:row>6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143</xdr:col>
          <xdr:colOff>822960</xdr:colOff>
          <xdr:row>3</xdr:row>
          <xdr:rowOff>22860</xdr:rowOff>
        </xdr:from>
        <xdr:to>
          <xdr:col>144</xdr:col>
          <xdr:colOff>7620</xdr:colOff>
          <xdr:row>3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20</xdr:row>
          <xdr:rowOff>81643</xdr:rowOff>
        </xdr:from>
        <xdr:to>
          <xdr:col>2</xdr:col>
          <xdr:colOff>1077686</xdr:colOff>
          <xdr:row>23</xdr:row>
          <xdr:rowOff>30480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20</xdr:row>
          <xdr:rowOff>38100</xdr:rowOff>
        </xdr:from>
        <xdr:to>
          <xdr:col>3</xdr:col>
          <xdr:colOff>952500</xdr:colOff>
          <xdr:row>22</xdr:row>
          <xdr:rowOff>48986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21</xdr:row>
          <xdr:rowOff>45720</xdr:rowOff>
        </xdr:from>
        <xdr:to>
          <xdr:col>3</xdr:col>
          <xdr:colOff>876300</xdr:colOff>
          <xdr:row>23</xdr:row>
          <xdr:rowOff>174172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22</xdr:row>
          <xdr:rowOff>76200</xdr:rowOff>
        </xdr:from>
        <xdr:to>
          <xdr:col>3</xdr:col>
          <xdr:colOff>876300</xdr:colOff>
          <xdr:row>25</xdr:row>
          <xdr:rowOff>11975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77288</xdr:colOff>
          <xdr:row>0</xdr:row>
          <xdr:rowOff>109946</xdr:rowOff>
        </xdr:from>
        <xdr:to>
          <xdr:col>3</xdr:col>
          <xdr:colOff>1867988</xdr:colOff>
          <xdr:row>3</xdr:row>
          <xdr:rowOff>182881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CB7ED5B6-0653-A8FF-B6A6-4D9F92C48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87086</xdr:colOff>
          <xdr:row>4</xdr:row>
          <xdr:rowOff>77287</xdr:rowOff>
        </xdr:from>
        <xdr:to>
          <xdr:col>3</xdr:col>
          <xdr:colOff>1854926</xdr:colOff>
          <xdr:row>7</xdr:row>
          <xdr:rowOff>145868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5738BF49-D41F-CE7B-5F9E-10554F822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89263</xdr:colOff>
          <xdr:row>8</xdr:row>
          <xdr:rowOff>26126</xdr:rowOff>
        </xdr:from>
        <xdr:to>
          <xdr:col>3</xdr:col>
          <xdr:colOff>1857103</xdr:colOff>
          <xdr:row>10</xdr:row>
          <xdr:rowOff>136072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7664B8F1-7C49-7454-1C21-1EA48F4CE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102326</xdr:colOff>
          <xdr:row>10</xdr:row>
          <xdr:rowOff>175260</xdr:rowOff>
        </xdr:from>
        <xdr:to>
          <xdr:col>3</xdr:col>
          <xdr:colOff>1870166</xdr:colOff>
          <xdr:row>13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4BA20B2B-F46F-3272-4031-A5C4F3E58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79664</xdr:colOff>
          <xdr:row>4</xdr:row>
          <xdr:rowOff>173874</xdr:rowOff>
        </xdr:from>
        <xdr:to>
          <xdr:col>144</xdr:col>
          <xdr:colOff>1169323</xdr:colOff>
          <xdr:row>6</xdr:row>
          <xdr:rowOff>62345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9AD796-E657-BB33-3EBE-8E364E0FA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143</xdr:col>
          <xdr:colOff>56803</xdr:colOff>
          <xdr:row>5</xdr:row>
          <xdr:rowOff>46413</xdr:rowOff>
        </xdr:from>
        <xdr:to>
          <xdr:col>144</xdr:col>
          <xdr:colOff>1192183</xdr:colOff>
          <xdr:row>6</xdr:row>
          <xdr:rowOff>127462</xdr:rowOff>
        </xdr:to>
        <xdr:sp macro="" textlink="">
          <xdr:nvSpPr>
            <xdr:cNvPr id="4150" name="Dropdown_RNA_Structures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93B4F058-56F0-CDC5-05FB-C990DA314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117763</xdr:colOff>
          <xdr:row>4</xdr:row>
          <xdr:rowOff>161406</xdr:rowOff>
        </xdr:from>
        <xdr:to>
          <xdr:col>144</xdr:col>
          <xdr:colOff>1173480</xdr:colOff>
          <xdr:row>6</xdr:row>
          <xdr:rowOff>47106</xdr:rowOff>
        </xdr:to>
        <xdr:sp macro="" textlink="">
          <xdr:nvSpPr>
            <xdr:cNvPr id="4152" name="Dropdown_TP_Structures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2FEA8AC2-A5E5-D84F-20A7-8D11900F9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74121</xdr:colOff>
          <xdr:row>4</xdr:row>
          <xdr:rowOff>160020</xdr:rowOff>
        </xdr:from>
        <xdr:to>
          <xdr:col>144</xdr:col>
          <xdr:colOff>1169324</xdr:colOff>
          <xdr:row>6</xdr:row>
          <xdr:rowOff>56111</xdr:rowOff>
        </xdr:to>
        <xdr:sp macro="" textlink="">
          <xdr:nvSpPr>
            <xdr:cNvPr id="4153" name="Dropdown_TP_Structures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2FFCFC20-A438-3011-C6E4-F7684473E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2156460</xdr:colOff>
          <xdr:row>3</xdr:row>
          <xdr:rowOff>167640</xdr:rowOff>
        </xdr:from>
        <xdr:to>
          <xdr:col>2</xdr:col>
          <xdr:colOff>1173480</xdr:colOff>
          <xdr:row>5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F9:L10" totalsRowShown="0" headerRowDxfId="351" dataDxfId="206">
  <autoFilter ref="F9:L10" xr:uid="{51AF5F9E-A6E5-4BA1-83BE-2546351DAE06}"/>
  <tableColumns count="7">
    <tableColumn id="1" xr3:uid="{8004DE55-01A0-4AB5-A007-D379F8ED184F}" name="Identifier" dataDxfId="205"/>
    <tableColumn id="2" xr3:uid="{73AEE22B-B9CF-4401-B31E-64902257C6A9}" name="Project ID" dataDxfId="204"/>
    <tableColumn id="3" xr3:uid="{6CD7BEF9-707B-4F7D-A334-46DB51B6F454}" name="Phase" dataDxfId="203"/>
    <tableColumn id="4" xr3:uid="{5572AB9F-884A-4001-85E7-5E708A2DFC71}" name="Structure ID" dataDxfId="202"/>
    <tableColumn id="5" xr3:uid="{AFCB5F1D-C5C1-4D21-A7C0-310C0D52F9E4}" name="Water Depth [m]" dataDxfId="201"/>
    <tableColumn id="6" xr3:uid="{149EEBB8-62A5-42C4-97FD-484848DB0825}" name="Height Reference" dataDxfId="200"/>
    <tableColumn id="7" xr3:uid="{82ECC3EB-0382-490B-8CE7-963B13E4D1A1}" name="Comments" dataDxfId="1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F12:L13" insertRow="1" totalsRowShown="0" headerRowDxfId="350" dataDxfId="349">
  <autoFilter ref="F12:L13" xr:uid="{58117B73-5FCA-4002-A528-31B3F83BDE75}"/>
  <tableColumns count="7">
    <tableColumn id="1" xr3:uid="{5C484AAB-AA0F-4FBD-9543-28D80EB7F84D}" name="Identifier" dataDxfId="198"/>
    <tableColumn id="2" xr3:uid="{87603448-795E-499B-8754-D6455D5FF52F}" name="Project ID" dataDxfId="197"/>
    <tableColumn id="3" xr3:uid="{51EA6487-4EF3-43A9-B440-34893EEEEAB2}" name="Phase" dataDxfId="196"/>
    <tableColumn id="4" xr3:uid="{4AC48BB5-6D2E-492F-89B1-5662010991A8}" name="Structure ID" dataDxfId="195"/>
    <tableColumn id="5" xr3:uid="{2AE3ED2D-7CAB-45B8-AA43-6197A5DBB9C2}" name="Water Depth [m]" dataDxfId="194"/>
    <tableColumn id="6" xr3:uid="{BC0E3E2E-DE67-4FD9-94E9-5C112B52D3FD}" name="Height Reference" dataDxfId="193"/>
    <tableColumn id="7" xr3:uid="{16928D7F-3DB7-43BD-BCF5-5C279A3E16F5}" name="Comments" dataDxfId="1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F15:K38" totalsRowShown="0" headerRowDxfId="348" dataDxfId="207">
  <autoFilter ref="F15:K38" xr:uid="{C9C31EE9-6B44-4D67-9597-BD108F88B355}"/>
  <sortState xmlns:xlrd2="http://schemas.microsoft.com/office/spreadsheetml/2017/richdata2" ref="F16:P40">
    <sortCondition ref="F15:F40"/>
  </sortState>
  <tableColumns count="6">
    <tableColumn id="1" xr3:uid="{15F53C56-04A7-4EA4-A64D-A2A5A78E2AA2}" name="Section" dataDxfId="191"/>
    <tableColumn id="2" xr3:uid="{01B5124C-F6E1-40D2-9236-F2D6BE941DD3}" name="Top [m]" dataDxfId="190"/>
    <tableColumn id="3" xr3:uid="{0537C90E-D320-4AC4-8392-2A7C45CE31A1}" name="Bottom [m]" dataDxfId="189"/>
    <tableColumn id="4" xr3:uid="{3F0DC3DB-26F8-4D70-A358-70EF5E1596F5}" name="D, top [m]" dataDxfId="188"/>
    <tableColumn id="5" xr3:uid="{25F6B1D8-AC49-468F-BDCD-72AC07BB3CD0}" name="D, bottom [m]" dataDxfId="187"/>
    <tableColumn id="6" xr3:uid="{3ED99EE5-BCA8-4244-A3E5-81C6F22A9AB2}" name="t [mm]" dataDxfId="18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AI9:AO10" totalsRowShown="0" headerRowDxfId="347" dataDxfId="346">
  <autoFilter ref="AI9:AO10" xr:uid="{F46B677D-4D25-4464-BE0D-6A1E644518C5}"/>
  <tableColumns count="7">
    <tableColumn id="1" xr3:uid="{ECD0389F-015D-412B-9FF1-D5BEAAD27FC1}" name="Identifier" dataDxfId="185"/>
    <tableColumn id="2" xr3:uid="{90794316-AE1E-4D40-A728-B5B995A9CF65}" name="Project ID" dataDxfId="184"/>
    <tableColumn id="3" xr3:uid="{B8C9242D-AC32-4E57-A861-DB7E615D6A1C}" name="Phase" dataDxfId="183"/>
    <tableColumn id="4" xr3:uid="{1EEB510B-3010-431D-B8C6-870D9180A629}" name="Structure ID" dataDxfId="182"/>
    <tableColumn id="5" xr3:uid="{B6F5C20C-83C1-4B16-B4D3-933D066BB6A0}" name="Water Depth [m]" dataDxfId="181"/>
    <tableColumn id="6" xr3:uid="{26EA3A2D-14E0-4809-9795-74592B4984AD}" name="Height Reference" dataDxfId="180"/>
    <tableColumn id="7" xr3:uid="{9AC62F3C-D12C-40A1-8AF4-F7C9B043F1FB}" name="Comments" dataDxfId="17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AI15:AN38" totalsRowShown="0" headerRowDxfId="343" dataDxfId="342">
  <autoFilter ref="AI15:AN38" xr:uid="{186CFF05-2CD9-405C-829A-5AD7B62A8ACE}"/>
  <sortState xmlns:xlrd2="http://schemas.microsoft.com/office/spreadsheetml/2017/richdata2" ref="AI16:AS40">
    <sortCondition ref="AI15:AI40"/>
  </sortState>
  <tableColumns count="6">
    <tableColumn id="1" xr3:uid="{66D6C4E1-74CA-4A30-A085-277EA5E62B3C}" name="Section" dataDxfId="171"/>
    <tableColumn id="2" xr3:uid="{D0F6ECD2-6414-48B2-9B47-1C3B8BAC860B}" name="Top [m]" dataDxfId="170"/>
    <tableColumn id="3" xr3:uid="{575FC20A-0259-4081-83F8-71040557AEA8}" name="Bottom [m]" dataDxfId="169"/>
    <tableColumn id="4" xr3:uid="{529E5CD0-69F2-4E59-86A7-A3E6F1B39E96}" name="D, top [m]" dataDxfId="168"/>
    <tableColumn id="5" xr3:uid="{7F90AAFA-52D7-47DB-A99D-3E3E0AEE6541}" name="D, bottom [m]" dataDxfId="167"/>
    <tableColumn id="6" xr3:uid="{1B01547B-4485-4B79-8DB3-FCEA1C806B60}" name="t [mm]" dataDxfId="1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Q15:Y18" totalsRowShown="0" dataDxfId="213">
  <autoFilter ref="Q15:Y18" xr:uid="{C2F2D263-B298-4967-B7BA-2043D2636A28}"/>
  <tableColumns count="9">
    <tableColumn id="9" xr3:uid="{983AA3EE-D554-4611-9143-CB18ADA5BC06}" name="Name" dataDxfId="165"/>
    <tableColumn id="2" xr3:uid="{365B74CD-D14D-4F75-ABA6-B5CBD126E6F2}" name="Top [m]" dataDxfId="164"/>
    <tableColumn id="12" xr3:uid="{3CC0B321-8A95-4AEE-8DFB-77DAE8FAB528}" name="Bottom [m]" dataDxfId="163"/>
    <tableColumn id="3" xr3:uid="{29EF80FE-079C-4A10-9ADB-03D595E35311}" name="Mass [kg]" dataDxfId="162"/>
    <tableColumn id="1" xr3:uid="{EB762DF5-D84F-4ED6-9E32-E1B37FE9C38D}" name="Diameter [m]" dataDxfId="161"/>
    <tableColumn id="4" xr3:uid="{7D3C052F-35A7-4A8C-B722-8A6311D56BDC}" name="Orientation [°]" dataDxfId="160"/>
    <tableColumn id="5" xr3:uid="{A094AF7B-AEFB-4B58-9377-0B3B7C131ADC}" name="Distance Axis to Axis" dataDxfId="159"/>
    <tableColumn id="6" xr3:uid="{E15A8DE3-D9C1-4684-A605-26B6F2B8779C}" name="Gap between surfaces" dataDxfId="158"/>
    <tableColumn id="7" xr3:uid="{026563CA-A00A-4D48-9BC2-1AF2FA6C6586}" name="Surface roughness [m]" dataDxfId="1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Z9:BF10" totalsRowShown="0" headerRowDxfId="341" dataDxfId="340">
  <autoFilter ref="AZ9:BF10" xr:uid="{0B04AF76-1113-4DD9-A88C-A478EB316C6E}"/>
  <tableColumns count="7">
    <tableColumn id="1" xr3:uid="{58455F34-16BF-4A81-8A57-F2B2E3E28892}" name="Identifier" dataDxfId="156"/>
    <tableColumn id="2" xr3:uid="{BDC511B7-0336-49CC-A0D7-40D96154D38D}" name="Project ID" dataDxfId="155"/>
    <tableColumn id="3" xr3:uid="{2D75BE55-2BF9-456C-AE5A-2A1218318BAA}" name="Phase" dataDxfId="154"/>
    <tableColumn id="4" xr3:uid="{2B0B47A1-6AA2-4D55-8DF5-A88A949DEAB3}" name="Structure ID" dataDxfId="153"/>
    <tableColumn id="5" xr3:uid="{24994B91-D518-4335-8AFB-5B728F5B9A9A}" name="Water Depth [m]" dataDxfId="152"/>
    <tableColumn id="6" xr3:uid="{BC674145-8AD9-4667-B204-310C7780D8BD}" name="Height Reference" dataDxfId="151"/>
    <tableColumn id="7" xr3:uid="{8574AD8B-5882-49EF-B1C0-6AEBD6820423}" name="Comments" dataDxfId="1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Z12:BF13" totalsRowShown="0" headerRowDxfId="339" dataDxfId="338">
  <autoFilter ref="AZ12:BF13" xr:uid="{05DB58A4-E4A6-44E9-9800-F1D5AD7D9AA7}"/>
  <tableColumns count="7">
    <tableColumn id="1" xr3:uid="{2E834674-089F-43C8-8D07-2A374229A7BC}" name="Identifier" dataDxfId="149"/>
    <tableColumn id="2" xr3:uid="{6BEA972F-3506-4C48-AEB4-7F07A56A7185}" name="Project ID" dataDxfId="148"/>
    <tableColumn id="3" xr3:uid="{4E216AD3-8A97-4909-B2FD-78BAAFF0AD26}" name="Phase" dataDxfId="147"/>
    <tableColumn id="4" xr3:uid="{787011D0-F0FA-4EDD-881B-22121DF4902E}" name="Structure ID" dataDxfId="146"/>
    <tableColumn id="5" xr3:uid="{2067DA19-30E8-4DC2-9605-F5989A843C96}" name="Water Depth [m]" dataDxfId="145"/>
    <tableColumn id="6" xr3:uid="{E1008977-49E5-479B-9DB3-40A483860F73}" name="Height Reference" dataDxfId="144"/>
    <tableColumn id="7" xr3:uid="{F3EB13E3-9193-4095-B8C2-92AB811162B8}" name="Comments" dataDxfId="1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Z15:BE19" totalsRowShown="0" headerRowDxfId="337" dataDxfId="212">
  <autoFilter ref="AZ15:BE19" xr:uid="{463505FA-4645-4E01-B220-9A826ACB16FB}"/>
  <sortState xmlns:xlrd2="http://schemas.microsoft.com/office/spreadsheetml/2017/richdata2" ref="AZ16:BJ40">
    <sortCondition ref="AZ15:AZ40"/>
  </sortState>
  <tableColumns count="6">
    <tableColumn id="1" xr3:uid="{B63189BD-DBD1-4507-A787-F69DD84B759C}" name="Section" dataDxfId="142"/>
    <tableColumn id="2" xr3:uid="{20DD1485-D982-4D84-8836-A1F004AD90A8}" name="Top [m]" dataDxfId="141"/>
    <tableColumn id="3" xr3:uid="{A05F4E1F-5C83-413A-B9BE-2BBE3AB13A3B}" name="Bottom [m]" dataDxfId="140"/>
    <tableColumn id="4" xr3:uid="{EBAC8D31-17F8-4535-9E03-9B656FFD2B81}" name="D, top [m]" dataDxfId="139"/>
    <tableColumn id="5" xr3:uid="{A4A3D92C-C993-453F-AF5C-E4B75CB27682}" name="D, bottom [m]" dataDxfId="138"/>
    <tableColumn id="6" xr3:uid="{32AD350F-83E6-4938-BC67-33A5C8B767FF}" name="t [mm]" dataDxfId="13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CC9:CI10" totalsRowShown="0" headerRowDxfId="336" dataDxfId="335">
  <autoFilter ref="CC9:CI10" xr:uid="{6ED14D31-21E8-495C-899A-C1BE36AC7D57}"/>
  <tableColumns count="7">
    <tableColumn id="1" xr3:uid="{DA9D700C-EEF5-42F6-A311-BAEEF88B1BB7}" name="Identifier" dataDxfId="136"/>
    <tableColumn id="2" xr3:uid="{F3154507-C41A-47B8-8944-C5C95FFA02DB}" name="Project ID" dataDxfId="135"/>
    <tableColumn id="3" xr3:uid="{80771C1F-325D-4BE1-93EC-AEBADAEF8C45}" name="Phase" dataDxfId="134"/>
    <tableColumn id="4" xr3:uid="{58EF9147-D484-4AD2-85BC-FC61A3DF1B06}" name="Structure ID" dataDxfId="133"/>
    <tableColumn id="5" xr3:uid="{08D6C2E1-6DB9-491C-8175-4D57250F03F8}" name="Water Depth [m]" dataDxfId="132"/>
    <tableColumn id="6" xr3:uid="{6D129076-7D09-47E2-9F0F-2301ACE416A2}" name="Height Reference" dataDxfId="131"/>
    <tableColumn id="7" xr3:uid="{F96CE66F-661C-4D0F-869C-6075FFBE1D63}" name="Comments" dataDxfId="13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U16:CA17" totalsRowShown="0" headerRowDxfId="334" dataDxfId="333">
  <autoFilter ref="BU16:CA17" xr:uid="{C3895FE4-33B0-49A8-99F6-25EAD4C42C05}"/>
  <sortState xmlns:xlrd2="http://schemas.microsoft.com/office/spreadsheetml/2017/richdata2" ref="BU17:BY18">
    <sortCondition descending="1" ref="BW16:BW18"/>
  </sortState>
  <tableColumns count="7">
    <tableColumn id="1" xr3:uid="{39574F94-1416-4BF2-B8F9-333B3F24B77C}" name="Identifier" dataDxfId="129"/>
    <tableColumn id="2" xr3:uid="{10221FF0-6669-415E-A4C9-1A925A636E0E}" name="Project ID" dataDxfId="128"/>
    <tableColumn id="3" xr3:uid="{51ED7DEE-637C-4EB3-BD51-712CBF1C3A3F}" name="Phase" dataDxfId="127"/>
    <tableColumn id="4" xr3:uid="{1FA8653A-38E1-49B7-812A-65D83A87164E}" name="Structure ID" dataDxfId="126"/>
    <tableColumn id="5" xr3:uid="{6C9EA130-8028-4AEB-8FB2-AF4D80F48270}" name="Water Depth [m]" dataDxfId="125"/>
    <tableColumn id="6" xr3:uid="{83CD3E29-C555-4D73-9F88-767BB7CFEAA2}" name="Height Reference" dataDxfId="124"/>
    <tableColumn id="7" xr3:uid="{E5776344-EC8E-455B-8C7D-2D48B57F6EF9}" name="Comments" dataDxfId="1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CC15:CH19" totalsRowShown="0" headerRowDxfId="332" dataDxfId="331">
  <autoFilter ref="CC15:CH19" xr:uid="{62A1D9C7-47A9-4F63-8343-1C661E8816F7}"/>
  <sortState xmlns:xlrd2="http://schemas.microsoft.com/office/spreadsheetml/2017/richdata2" ref="CC16:CM40">
    <sortCondition ref="CC15:CC40"/>
  </sortState>
  <tableColumns count="6">
    <tableColumn id="1" xr3:uid="{E243C011-FF5E-4AF1-A1B3-9F3C7CF7C9AA}" name="Section" dataDxfId="122"/>
    <tableColumn id="2" xr3:uid="{00F60C63-2770-42C2-B48C-5D66D3C52BC7}" name="Top [m]" dataDxfId="121"/>
    <tableColumn id="3" xr3:uid="{B0C70BDD-2B8F-4EF1-9287-C431F103B9ED}" name="Bottom [m]" dataDxfId="120"/>
    <tableColumn id="4" xr3:uid="{5762D413-3034-4D8C-93B6-FD4630B02B90}" name="D, top [m]" dataDxfId="119"/>
    <tableColumn id="5" xr3:uid="{14D973BE-EA8A-4E59-909A-5E1466E24A50}" name="D, bottom [m]" dataDxfId="118"/>
    <tableColumn id="6" xr3:uid="{7BFD2029-1F5C-43ED-A6F8-296E86962F79}" name="t [mm]" dataDxfId="11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K15:BS21" totalsRowShown="0" dataDxfId="211" headerRowBorderDxfId="330">
  <autoFilter ref="BK15:BS21" xr:uid="{EF6AB3BF-A5B9-4898-A2AA-B1E2D904FCE0}"/>
  <tableColumns count="9">
    <tableColumn id="1" xr3:uid="{1A53106D-E4B7-4076-A33D-6CE63AD9AC29}" name="Name" dataDxfId="116"/>
    <tableColumn id="2" xr3:uid="{9D7DAE9F-A86B-4D74-801F-55226E9F4D94}" name="Top [m]" dataDxfId="115"/>
    <tableColumn id="3" xr3:uid="{3FD5DC94-754D-4B55-A30B-0CF2D12CDE7F}" name="Bottom [m]" dataDxfId="114"/>
    <tableColumn id="4" xr3:uid="{0713EE80-EC82-4732-84F0-77B89AFD588A}" name="Mass [kg]" dataDxfId="113"/>
    <tableColumn id="5" xr3:uid="{7363E391-5B32-459F-A8AA-B0EFCBDFAC99}" name="Diameter [m]" dataDxfId="112"/>
    <tableColumn id="6" xr3:uid="{B87ECBD8-9D63-4A9D-AE79-3303956D6096}" name="Orientation [°]" dataDxfId="111"/>
    <tableColumn id="7" xr3:uid="{BFDA83B4-3631-484C-B263-2BD31EE8BC59}" name="Distance Axis to Axis" dataDxfId="110"/>
    <tableColumn id="8" xr3:uid="{09EAAC52-3BAA-4466-8EB5-2AB8B9AFA850}" name="Gap between surfaces" dataDxfId="109"/>
    <tableColumn id="9" xr3:uid="{BD2A12D0-B997-4262-8BA0-FF84D018AA93}" name="Surface roughness [m]" dataDxfId="10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T9:CZ10" totalsRowShown="0" headerRowDxfId="329" dataDxfId="328">
  <autoFilter ref="CT9:CZ10" xr:uid="{570D3808-2D33-45AA-AE67-BB82CAED07EC}"/>
  <tableColumns count="7">
    <tableColumn id="1" xr3:uid="{CCDDEDAF-7D35-44BE-9711-5BB94A7933B5}" name="Identifier" dataDxfId="107"/>
    <tableColumn id="2" xr3:uid="{A6622A20-5B2E-4695-A263-CDE9418E44CF}" name="Project ID" dataDxfId="106"/>
    <tableColumn id="3" xr3:uid="{352D7C0A-3620-4627-BAFA-7328A9D0D37D}" name="Phase" dataDxfId="105"/>
    <tableColumn id="4" xr3:uid="{B321ED1F-34C0-412F-A702-8500F62ECCC6}" name="Structure ID" dataDxfId="104"/>
    <tableColumn id="5" xr3:uid="{80D47030-3591-4982-92EF-BACC66E1FE86}" name="Water Depth [m]" dataDxfId="103"/>
    <tableColumn id="6" xr3:uid="{EF78C918-5D9E-4AE9-872B-673153622FEA}" name="Height Reference" dataDxfId="102"/>
    <tableColumn id="7" xr3:uid="{170AACDE-B844-4EEC-A0B3-69E2508B4EDA}" name="Comments" dataDxfId="10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T12:CZ13" totalsRowShown="0" headerRowDxfId="327" dataDxfId="326">
  <autoFilter ref="CT12:CZ13" xr:uid="{35A6DD8B-1B03-4405-8692-950A70C42223}"/>
  <tableColumns count="7">
    <tableColumn id="1" xr3:uid="{1E986C31-3F41-4D2E-A5B3-1F241849BF8F}" name="Identifier" dataDxfId="100"/>
    <tableColumn id="2" xr3:uid="{BFA6A302-1312-44A9-9D24-00404B96F93D}" name="Project ID" dataDxfId="99"/>
    <tableColumn id="3" xr3:uid="{6FC4FB3D-D4AD-4191-B505-D0037CFE0AE6}" name="Phase" dataDxfId="98"/>
    <tableColumn id="4" xr3:uid="{869514EC-8FC7-48A8-9C17-94321EE95FF7}" name="Structure ID" dataDxfId="97"/>
    <tableColumn id="5" xr3:uid="{863DC3E8-E570-4145-B742-09AB28340D03}" name="Water Depth [m]" dataDxfId="96"/>
    <tableColumn id="6" xr3:uid="{9DF4DE17-029C-4704-967A-33C81C46070E}" name="Height Reference" dataDxfId="95"/>
    <tableColumn id="7" xr3:uid="{769D8177-1D18-4F53-87D2-AB6EDE9D675F}" name="Comments" dataDxfId="9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T15:CY105" totalsRowShown="0" headerRowDxfId="325" dataDxfId="210">
  <autoFilter ref="CT15:CY105" xr:uid="{6CCFBE8E-EBFA-4AA0-A18D-3AB7BDB6B464}"/>
  <sortState xmlns:xlrd2="http://schemas.microsoft.com/office/spreadsheetml/2017/richdata2" ref="CT16:DD40">
    <sortCondition ref="CT15:CT40"/>
  </sortState>
  <tableColumns count="6">
    <tableColumn id="1" xr3:uid="{85C28FF3-9287-4D46-8CEF-6A66D92B23F6}" name="Section" dataDxfId="93"/>
    <tableColumn id="2" xr3:uid="{BC63B096-D7B8-47B5-B5E9-FC896BC9868B}" name="Top [m]" dataDxfId="92"/>
    <tableColumn id="3" xr3:uid="{B9C7376D-FAD6-493B-8287-40DCA419DD50}" name="Bottom [m]" dataDxfId="91"/>
    <tableColumn id="4" xr3:uid="{6DC756E0-08B6-443E-9B2C-8D790BB94B8D}" name="D, top [m]" dataDxfId="90"/>
    <tableColumn id="5" xr3:uid="{BBD13E2B-0AEF-41AA-A565-50855C7E6296}" name="D, bottom [m]" dataDxfId="89"/>
    <tableColumn id="6" xr3:uid="{123F9676-EB92-4044-A35A-E032C3EBF8E7}" name="t [mm]" dataDxfId="8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DW9:EC10" totalsRowShown="0" headerRowDxfId="324" dataDxfId="323">
  <autoFilter ref="DW9:EC10" xr:uid="{BC714A6A-8D53-444B-883B-7E7991C4738D}"/>
  <tableColumns count="7">
    <tableColumn id="1" xr3:uid="{2851D88E-C4FF-4F89-9EC3-EAFBEA54B71F}" name="Identifier" dataDxfId="87"/>
    <tableColumn id="2" xr3:uid="{02792EA3-7910-49BB-A8F1-6C715F3370FC}" name="Project ID" dataDxfId="86"/>
    <tableColumn id="3" xr3:uid="{E61B3620-9AD6-47D6-B636-C8C2AD063634}" name="Phase" dataDxfId="85"/>
    <tableColumn id="4" xr3:uid="{605E5017-0F2F-4443-A933-4E5CD08A4C23}" name="Structure ID" dataDxfId="84"/>
    <tableColumn id="5" xr3:uid="{BDF5F12B-CA8B-48E8-87A7-7D0364DE2FB2}" name="Water Depth [m]" dataDxfId="83"/>
    <tableColumn id="6" xr3:uid="{EE01736A-C2DC-472E-BB17-6D42BEB50FD3}" name="Height Reference" dataDxfId="82"/>
    <tableColumn id="7" xr3:uid="{89F52D24-3700-4E96-A3EE-54C0BD6E6850}" name="Comments" dataDxfId="8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DO15:DU16" totalsRowShown="0" headerRowDxfId="322" dataDxfId="321">
  <autoFilter ref="DO15:DU16" xr:uid="{B4707D43-E248-4B9D-AB58-3D0829DFBB4F}"/>
  <sortState xmlns:xlrd2="http://schemas.microsoft.com/office/spreadsheetml/2017/richdata2" ref="DO16:DS17">
    <sortCondition descending="1" ref="DQ15:DQ17"/>
  </sortState>
  <tableColumns count="7">
    <tableColumn id="1" xr3:uid="{7672BA03-0DF7-4E41-B249-02049D4F4A5C}" name="Identifier" dataDxfId="80"/>
    <tableColumn id="2" xr3:uid="{BCD09FD8-ED15-428C-A59B-CFD0BF079641}" name="Project ID" dataDxfId="79"/>
    <tableColumn id="3" xr3:uid="{76AFB3BE-3FC3-4189-A098-6A9EA54A5EC9}" name="Phase" dataDxfId="78"/>
    <tableColumn id="4" xr3:uid="{33378BDF-E99D-44A7-8811-811CD7F1395F}" name="Structure ID" dataDxfId="77"/>
    <tableColumn id="5" xr3:uid="{DE6D6C26-BA61-4AFF-8E06-02AD273B29E8}" name="Water Depth [m]" dataDxfId="76"/>
    <tableColumn id="6" xr3:uid="{B865CAD0-836B-45FC-8185-9945C6562913}" name="Height Reference" dataDxfId="75"/>
    <tableColumn id="7" xr3:uid="{1F656F81-71F7-4B46-A4A6-8B1FC6147EC5}" name="Comments" dataDxfId="7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DW15:EB105" totalsRowShown="0" headerRowDxfId="320" dataDxfId="319">
  <autoFilter ref="DW15:EB105" xr:uid="{DE222362-04CC-46F7-A72F-CA8E23DD0237}"/>
  <sortState xmlns:xlrd2="http://schemas.microsoft.com/office/spreadsheetml/2017/richdata2" ref="DW16:EG40">
    <sortCondition ref="DW15:DW40"/>
  </sortState>
  <tableColumns count="6">
    <tableColumn id="1" xr3:uid="{A9C701CB-47B4-48F4-AFAB-2A8641408C96}" name="Section" dataDxfId="73"/>
    <tableColumn id="2" xr3:uid="{B6685CB3-8DE6-43F6-B6B6-9EE349AFDB7E}" name="Top [m]" dataDxfId="72"/>
    <tableColumn id="3" xr3:uid="{DF0BDC05-BDC5-4912-B19E-FE92634C630E}" name="Bottom [m]" dataDxfId="71"/>
    <tableColumn id="4" xr3:uid="{FE62A509-C225-4EE7-9E1A-92FB7B34D915}" name="D, top [m]" dataDxfId="70"/>
    <tableColumn id="5" xr3:uid="{40198B9A-CE5F-48D3-B6CF-9F426B6E0187}" name="D, bottom [m]" dataDxfId="69"/>
    <tableColumn id="6" xr3:uid="{9098A7F1-A089-4645-9946-FA698633501A}" name="t [mm]" dataDxfId="6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DE15:DM80" totalsRowShown="0" dataDxfId="209" headerRowBorderDxfId="318">
  <autoFilter ref="DE15:DM80" xr:uid="{E785A247-6678-47FD-8A48-16CD1A0703D0}"/>
  <sortState xmlns:xlrd2="http://schemas.microsoft.com/office/spreadsheetml/2017/richdata2" ref="DE16:DG69">
    <sortCondition descending="1" ref="DE15:DE69"/>
  </sortState>
  <tableColumns count="9">
    <tableColumn id="1" xr3:uid="{D015FF14-679F-4C4B-AD11-FD169A799F7D}" name="Name" dataDxfId="67"/>
    <tableColumn id="2" xr3:uid="{F6B0D10D-7C44-41C3-9301-C37A6304C787}" name="Top [m]" dataDxfId="66"/>
    <tableColumn id="3" xr3:uid="{F049C52E-CCD6-4E67-9C8C-52FA82F691D9}" name="Bottom [m]" dataDxfId="65"/>
    <tableColumn id="4" xr3:uid="{881A55B9-B2B1-4A72-A3DC-40E448C3A7E7}" name="Mass [kg]" dataDxfId="64"/>
    <tableColumn id="5" xr3:uid="{6B786E85-78FE-4288-9D59-240BB965DBAB}" name="Diameter [m]" dataDxfId="63"/>
    <tableColumn id="6" xr3:uid="{CCA7F990-23FC-417B-8516-94978103A8A2}" name="Orientation [°]" dataDxfId="62"/>
    <tableColumn id="7" xr3:uid="{C25A5D5B-7EB5-4357-955D-011445552E50}" name="Distance Axis to Axis" dataDxfId="61"/>
    <tableColumn id="8" xr3:uid="{2D190558-C237-4495-A29A-41A1FEE8CDAE}" name="Gap between surfaces" dataDxfId="60"/>
    <tableColumn id="9" xr3:uid="{48B01679-0519-4586-98B3-F0A27C26F8E4}" name="Surface roughness [m]" dataDxfId="5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EN9:EV22" totalsRowShown="0" dataDxfId="208">
  <autoFilter ref="EN9:EV22" xr:uid="{FEE1C0E0-398B-48E1-9521-CCB187180413}"/>
  <sortState xmlns:xlrd2="http://schemas.microsoft.com/office/spreadsheetml/2017/richdata2" ref="EN10:EY34">
    <sortCondition ref="EN9:EN34"/>
  </sortState>
  <tableColumns count="9">
    <tableColumn id="1" xr3:uid="{03A8E757-56E6-48B0-929F-24FBFFC0EAA8}" name="Identifier" dataDxfId="58"/>
    <tableColumn id="2" xr3:uid="{BF4DEE24-7E2F-4B20-9B44-27C601C754F1}" name="Power [MW]" dataDxfId="57"/>
    <tableColumn id="3" xr3:uid="{4CBE937C-DD0F-4596-BD90-BE03828E4CA7}" name="Rotor Diameter [m]" dataDxfId="56"/>
    <tableColumn id="4" xr3:uid="{DE89D440-DA99-4425-B50C-30544DB961F5}" name="Mass of RNA [kg]" dataDxfId="55"/>
    <tableColumn id="5" xr3:uid="{E2FB4084-506E-4EC7-9BC8-8255DFE52EE0}" name="Inertia of RNA fore-aft @COG [kg m^2]" dataDxfId="54"/>
    <tableColumn id="9" xr3:uid="{44DAFC7A-C2DD-41BB-881C-14AD34F8BE60}" name="Inertia of RNA side-side @COG [kg m^2]" dataDxfId="53"/>
    <tableColumn id="6" xr3:uid="{18C2BBB8-192B-4BEC-B9C5-5B12B65B00E4}" name="Vertical Offset TT to HH [m] " dataDxfId="52"/>
    <tableColumn id="7" xr3:uid="{224A58F0-EA11-4A11-9268-3AE211EDB8B3}" name="Vertical Offset TT_COG [m]" dataDxfId="51"/>
    <tableColumn id="8" xr3:uid="{6189FE8D-4B10-4B10-BBA8-06FA82BF9F0C}" name="comment" dataDxfId="5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EX9:FF22" totalsRowShown="0" dataDxfId="317">
  <autoFilter ref="EX9:FF22" xr:uid="{6273375F-28C8-4A14-A545-8B988B5C9E65}"/>
  <tableColumns count="9">
    <tableColumn id="1" xr3:uid="{C3AE8FB7-66D2-47E1-8AA6-F0260BDFFCB8}" name="Identifier" dataDxfId="49"/>
    <tableColumn id="2" xr3:uid="{5F848737-A14E-44D6-9231-85AB48A55526}" name="Power [MW]" dataDxfId="48"/>
    <tableColumn id="3" xr3:uid="{2C93533D-1E27-4EB2-B7E6-3A19FEC55632}" name="Rotor Diameter [m]" dataDxfId="47"/>
    <tableColumn id="4" xr3:uid="{9D1780E5-E668-4D12-AF46-0A1DF433FA8A}" name="Mass of RNA [kg]" dataDxfId="46"/>
    <tableColumn id="5" xr3:uid="{1CA8A517-990E-4959-826C-118C5EC0C261}" name="Inertia of RNA fore-aft @COG [kg m^2]" dataDxfId="45"/>
    <tableColumn id="6" xr3:uid="{9FFE4A1F-E32A-49E7-8031-A24CF653CD8C}" name="Inertia of RNA side-side @COG [kg m^2]" dataDxfId="44"/>
    <tableColumn id="8" xr3:uid="{C481EB76-DD37-4979-8B5D-F3C81E38423E}" name="vertical offset TT to HH [m] " dataDxfId="43"/>
    <tableColumn id="7" xr3:uid="{3BD257A8-5786-4E03-8F1F-6116921828A3}" name="vertical offset TT_COG [m]" dataDxfId="42"/>
    <tableColumn id="9" xr3:uid="{A74BD603-BB70-4B62-BE72-E692B1275ED2}" name="comment" dataDxfId="4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P15:AX18" totalsRowShown="0" dataDxfId="316">
  <autoFilter ref="AP15:AX18" xr:uid="{BDE973CA-C8D2-4A67-ACE1-6BE97A1FF0C7}"/>
  <tableColumns count="9">
    <tableColumn id="9" xr3:uid="{55BF990C-941A-438C-86DE-D99A5424D8A4}" name="Name" dataDxfId="40"/>
    <tableColumn id="2" xr3:uid="{D2CC7DEA-1AC5-4558-B6A8-7A00324F8731}" name="Top [m]" dataDxfId="39"/>
    <tableColumn id="12" xr3:uid="{63B7643C-B71B-4F75-B941-E84BE173CC9A}" name="Bottom [m]" dataDxfId="38"/>
    <tableColumn id="3" xr3:uid="{74DA4B22-9428-450B-B8ED-D23057E6EF7A}" name="Mass [kg]" dataDxfId="37"/>
    <tableColumn id="1" xr3:uid="{45265052-CB7D-44E4-B950-26F73BB47B9B}" name="Diameter [m]" dataDxfId="36"/>
    <tableColumn id="4" xr3:uid="{E80A5184-2DFE-4036-BD65-B61B96122334}" name="Orientation [°]" dataDxfId="35"/>
    <tableColumn id="5" xr3:uid="{F8C744AA-AA7B-4562-BFA1-0E7C53B53FF4}" name="Distance Axis to Axis" dataDxfId="34"/>
    <tableColumn id="6" xr3:uid="{A8D74212-5B24-4FC1-A938-5DFC386726CB}" name="Gap between surfaces" dataDxfId="33"/>
    <tableColumn id="7" xr3:uid="{9576E46D-F632-4BD0-8B5D-9B663892335B}" name="Surface roughness [m]" dataDxfId="3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F045B63-B416-42BF-99C1-20F837A31BCE}" name="TP_MASSES_TRUE" displayName="TP_MASSES_TRUE" ref="CJ15:CR21" totalsRowShown="0" dataDxfId="314" headerRowBorderDxfId="315">
  <autoFilter ref="CJ15:CR21" xr:uid="{1F045B63-B416-42BF-99C1-20F837A31BCE}"/>
  <tableColumns count="9">
    <tableColumn id="1" xr3:uid="{1E006357-E9FA-474C-AA76-A377BD7BAEB9}" name="Name" dataDxfId="31"/>
    <tableColumn id="2" xr3:uid="{97496112-EE61-4A03-A70C-0E42A063A80B}" name="Top [m]" dataDxfId="30"/>
    <tableColumn id="3" xr3:uid="{6A1D249D-F969-4812-AFB7-E9AA5CF3C03F}" name="Bottom [m]" dataDxfId="29"/>
    <tableColumn id="4" xr3:uid="{6B7E0750-D91F-4F54-93A2-BF12CC001309}" name="Mass [kg]" dataDxfId="28"/>
    <tableColumn id="5" xr3:uid="{A6B712F5-2E62-4CB6-902D-034694900194}" name="Diameter [m]" dataDxfId="27"/>
    <tableColumn id="6" xr3:uid="{0855FC7D-54E1-4651-8EFE-5B9D8A4C314A}" name="Orientation [°]" dataDxfId="26"/>
    <tableColumn id="7" xr3:uid="{442EED36-58FF-468D-B238-38C09A88FDE2}" name="Distance Axis to Axis" dataDxfId="25"/>
    <tableColumn id="8" xr3:uid="{D05BE4AC-7418-4F23-AD96-E6E442E84F79}" name="Gap between surfaces" dataDxfId="24"/>
    <tableColumn id="9" xr3:uid="{885A70ED-19E3-40E8-A421-228F57041621}" name="Surface roughness [m]" dataDxfId="2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5DFF3A1-1064-4D95-8605-C0FBFA841E85}" name="TOWER_MASSES_TRUE" displayName="TOWER_MASSES_TRUE" ref="ED15:EL80" totalsRowShown="0" dataDxfId="312" headerRowBorderDxfId="313">
  <autoFilter ref="ED15:EL80" xr:uid="{65DFF3A1-1064-4D95-8605-C0FBFA841E85}"/>
  <sortState xmlns:xlrd2="http://schemas.microsoft.com/office/spreadsheetml/2017/richdata2" ref="ED16:EF69">
    <sortCondition descending="1" ref="ED15:ED69"/>
  </sortState>
  <tableColumns count="9">
    <tableColumn id="1" xr3:uid="{0D1EC3D9-D308-46EC-A44B-5657ACE1F68A}" name="Name" dataDxfId="22"/>
    <tableColumn id="2" xr3:uid="{213D84CC-5418-4980-BFB5-BDA8E1400263}" name="Top [m]" dataDxfId="21"/>
    <tableColumn id="3" xr3:uid="{94036DE0-9D06-4C65-A1D5-F25CC6BA0C03}" name="Bottom [m]" dataDxfId="20"/>
    <tableColumn id="4" xr3:uid="{B86D83EF-63F3-47D1-AFA4-F24F15CD807D}" name="Mass [kg]" dataDxfId="19"/>
    <tableColumn id="5" xr3:uid="{C34DA26C-828A-4AD7-B54B-0E1338188A03}" name="Diameter [m]" dataDxfId="18"/>
    <tableColumn id="6" xr3:uid="{E429ADA0-EE8B-4585-B926-E0E030EFBDF4}" name="Orientation [°]" dataDxfId="17"/>
    <tableColumn id="7" xr3:uid="{EBFC5A41-0636-4479-9EB5-15E275B365A1}" name="Distance Axis to Axis" dataDxfId="16"/>
    <tableColumn id="8" xr3:uid="{4EA54248-9551-4BC1-A756-8D35E64D9158}" name="Gap between surfaces" dataDxfId="15"/>
    <tableColumn id="9" xr3:uid="{AC984C1A-8BDB-4925-8E7A-D22CBDD72808}" name="Surface roughness [m]" dataDxfId="1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15:AG16" totalsRowShown="0" headerRowDxfId="345" dataDxfId="344">
  <autoFilter ref="AA15:AG16" xr:uid="{46FD7C67-BF9C-41F4-B134-682EDE7A007C}"/>
  <sortState xmlns:xlrd2="http://schemas.microsoft.com/office/spreadsheetml/2017/richdata2" ref="AA16:AE17">
    <sortCondition descending="1" ref="AC15:AC17"/>
  </sortState>
  <tableColumns count="7">
    <tableColumn id="1" xr3:uid="{43AB1C43-FBC5-42AE-8DFA-4651B77C56A0}" name="Identifier" dataDxfId="178"/>
    <tableColumn id="2" xr3:uid="{75FB6F15-9784-4F9D-9947-41C8E7DD1CC9}" name="Project ID" dataDxfId="177"/>
    <tableColumn id="3" xr3:uid="{DF3379D9-9371-4EDE-B715-A6A40C072275}" name="Phase" dataDxfId="176"/>
    <tableColumn id="4" xr3:uid="{B2F66CA1-64D8-49D4-A1DA-28FD14EC75C2}" name="Structure ID" dataDxfId="175"/>
    <tableColumn id="5" xr3:uid="{E0EC4989-22E7-49A3-8DAC-034A87568E19}" name="Water Depth [m]" dataDxfId="174"/>
    <tableColumn id="6" xr3:uid="{9873A46F-D488-4AA7-BC64-C1E65C65D808}" name="Height Reference" dataDxfId="173"/>
    <tableColumn id="7" xr3:uid="{CD60E691-17C5-40B2-9E26-571B6CB0C11D}" name="Comments" dataDxfId="17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4:I131" headerRowDxfId="311" dataDxfId="310">
  <autoFilter ref="B14:I131" xr:uid="{6964430C-2D65-45C4-817F-08653037EDFC}"/>
  <tableColumns count="8">
    <tableColumn id="1" xr3:uid="{1C924510-54DB-4186-8521-598E5FD7BF93}" name="Section" totalsRowLabel="Ergebnis" dataDxfId="309" totalsRowDxfId="308"/>
    <tableColumn id="2" xr3:uid="{29F8F207-72DF-4027-A39E-C3D956F79382}" name="Affiliation" dataDxfId="307" totalsRowDxfId="306"/>
    <tableColumn id="3" xr3:uid="{F1A86E12-282B-4FE8-A989-9056549BE251}" name="local Section" dataDxfId="305" totalsRowDxfId="304"/>
    <tableColumn id="4" xr3:uid="{1F0B5480-90D3-4DBF-AAEC-010EB8A46507}" name="Top [m]" dataDxfId="303" totalsRowDxfId="302"/>
    <tableColumn id="5" xr3:uid="{2F9EEEB1-AE18-4058-A215-9A6EAD23E6F0}" name="Bottom [m]" dataDxfId="301" totalsRowDxfId="300"/>
    <tableColumn id="6" xr3:uid="{CAF3E9FD-22BF-4C53-97D3-15DEA70C9DE2}" name="D, top [m]" dataDxfId="299" totalsRowDxfId="298"/>
    <tableColumn id="7" xr3:uid="{EE4449DD-273C-4967-8180-25E33E65F937}" name="D, bottom [m]" dataDxfId="297" totalsRowDxfId="296"/>
    <tableColumn id="8" xr3:uid="{0EE8182A-58FD-432D-A87C-9A474A081C7F}" name="t [mm]" totalsRowFunction="sum" dataDxfId="295" totalsRowDxfId="29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4:X88" totalsRowShown="0" headerRowDxfId="293" dataDxfId="292">
  <autoFilter ref="O14:X88" xr:uid="{99775F4D-8879-4247-BCBB-9E55004F5FE5}"/>
  <tableColumns count="10">
    <tableColumn id="8" xr3:uid="{4222E379-EA2F-436F-A27E-F66347A2B7A2}" name="Affiliation" dataDxfId="291"/>
    <tableColumn id="1" xr3:uid="{00244646-90F3-4DDD-AB6B-0373781AFF60}" name="Name" dataDxfId="290"/>
    <tableColumn id="2" xr3:uid="{6305BA78-EC7F-4D5E-A143-DF4E3CB9A56C}" name="Top [m]" dataDxfId="289"/>
    <tableColumn id="3" xr3:uid="{156C5A02-52CD-48BE-87D5-E9BF8F935E99}" name="Bottom [m]" dataDxfId="288"/>
    <tableColumn id="4" xr3:uid="{BA986155-703C-4151-964B-7F7638569588}" name="Mass [kg]" dataDxfId="287"/>
    <tableColumn id="5" xr3:uid="{5FB39ED9-35A0-4964-ADC5-B9008F43FCB7}" name="Diameter [m]" dataDxfId="286"/>
    <tableColumn id="6" xr3:uid="{094B0EAF-8736-4B85-A464-028FE0E10FAC}" name="Orientation [°]" dataDxfId="285"/>
    <tableColumn id="7" xr3:uid="{F864D980-FF18-446E-8D28-70D3CBCA43E9}" name="Distance Axis to Axis" dataDxfId="284"/>
    <tableColumn id="9" xr3:uid="{FD2E8D1C-F275-49BC-BD8B-D63D6205E6DF}" name="Gap between surfaces" dataDxfId="283"/>
    <tableColumn id="10" xr3:uid="{DFEB932C-31A8-42AF-A99C-78CC47E5676D}" name="Surface roughness [m]" dataDxfId="28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A18:AF19" totalsRowShown="0" headerRowDxfId="281" dataDxfId="279" headerRowBorderDxfId="280" tableBorderDxfId="278" totalsRowBorderDxfId="277">
  <autoFilter ref="AA18:AF19" xr:uid="{A1E86920-59C8-4A34-A4FA-D52D35DC047E}"/>
  <tableColumns count="6">
    <tableColumn id="1" xr3:uid="{D7BA5792-F27A-42AB-84A6-1A5C5073E624}" name="Affiliation" dataDxfId="276"/>
    <tableColumn id="3" xr3:uid="{F299E913-54CD-48A0-BB41-0880A93754FE}" name="Top [m]" dataDxfId="275"/>
    <tableColumn id="4" xr3:uid="{3FE7280C-AE16-43A5-98C5-AC81567063F8}" name="Bottom [m]" dataDxfId="274"/>
    <tableColumn id="5" xr3:uid="{494E1F17-E9F7-4B30-BF2F-0D837AD6C9EB}" name="D, top [m]" dataDxfId="273"/>
    <tableColumn id="6" xr3:uid="{9D18588B-23C1-495C-A81D-3BA5AF2F1DDD}" name="D, bottom [m]" dataDxfId="272"/>
    <tableColumn id="7" xr3:uid="{C3BA2567-9ACF-4834-A3FA-9599A0D98796}" name="t [mm]" dataDxfId="27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A14:AD15" totalsRowShown="0" dataDxfId="269" headerRowBorderDxfId="270" tableBorderDxfId="268">
  <autoFilter ref="AA14:AD15" xr:uid="{CD52EECF-AB78-4C57-8765-66AA1058C0CF}"/>
  <tableColumns count="4">
    <tableColumn id="1" xr3:uid="{035BC3C9-B7CD-47B5-94D2-F8D64A04FD6C}" name="Affiliation" dataDxfId="267"/>
    <tableColumn id="2" xr3:uid="{9093341A-644E-4005-A4B0-0B05612EE421}" name="Elevation [m]" dataDxfId="266"/>
    <tableColumn id="3" xr3:uid="{71FE16E7-7251-4F14-B28B-4C6055F6AED1}" name="Mass [t]" dataDxfId="265"/>
    <tableColumn id="4" xr3:uid="{87F4221A-61DF-4C79-A116-8098A7C6FAAE}" name="comment" dataDxfId="26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R14:AV17" totalsRowShown="0" headerRowDxfId="263" dataDxfId="262">
  <autoFilter ref="AR14:AV17" xr:uid="{8D334D84-754D-4685-9A4A-6A66B2E4FFB9}"/>
  <tableColumns count="5">
    <tableColumn id="1" xr3:uid="{DB673771-BB6D-4B68-81A2-B0DFC2758DC6}" name="Bottom [m]" dataDxfId="261">
      <calculatedColumnFormula>IF(ISBLANK(AS15),"",AS14)</calculatedColumnFormula>
    </tableColumn>
    <tableColumn id="2" xr3:uid="{88DBAEFE-0CE9-43B7-BBD5-30E29A54DD0E}" name="Top [m]" dataDxfId="260"/>
    <tableColumn id="3" xr3:uid="{88F4E89D-F5DC-463C-AE91-5C5F8B82A591}" name="Marine Growth [mm]" dataDxfId="259"/>
    <tableColumn id="4" xr3:uid="{ABEE5949-3D04-400D-9A95-F3EBF7837C0E}" name="Density  [kg/m^3]" dataDxfId="258"/>
    <tableColumn id="5" xr3:uid="{F538BE21-E07F-43DA-9EA7-D7658B55572F}" name="Surface Roughness [m]" dataDxfId="25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X14:BA16" totalsRowShown="0" headerRowDxfId="256">
  <autoFilter ref="AX14:BA16" xr:uid="{87B4A03F-1005-4720-8887-A14737394284}"/>
  <tableColumns count="4">
    <tableColumn id="1" xr3:uid="{79B3039B-DCB3-4DB5-9657-9170C1A7D7A1}" name="Bottom [m]" dataDxfId="255"/>
    <tableColumn id="2" xr3:uid="{798BD679-C372-4555-9ABA-DF12AF1BEB7B}" name="Top [m]" dataDxfId="254"/>
    <tableColumn id="3" xr3:uid="{C28B4B73-F57A-4DF1-B531-CD436CEA398C}" name="cd" dataDxfId="253"/>
    <tableColumn id="4" xr3:uid="{B75141CC-AB54-4904-90B7-845CA3D69A1B}" name="cm" dataDxfId="25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H14:AP15" totalsRowShown="0" dataDxfId="250" headerRowBorderDxfId="251" tableBorderDxfId="249" totalsRowBorderDxfId="248">
  <autoFilter ref="AH14:AP15" xr:uid="{72CE8A2A-6760-4548-BB1E-BCA204D8C1BA}"/>
  <tableColumns count="9">
    <tableColumn id="1" xr3:uid="{46A5A21B-3002-456C-8AD9-5ECB42AC421F}" name="Identifier" dataDxfId="247"/>
    <tableColumn id="2" xr3:uid="{F5B4AC32-29FD-42F7-91EC-62CC42FCE0D7}" name="Power [MW]" dataDxfId="246"/>
    <tableColumn id="3" xr3:uid="{F6A77E93-EA0B-4A7B-91D9-D14361BC8B1A}" name="Rotor Diameter [m]" dataDxfId="245"/>
    <tableColumn id="4" xr3:uid="{324F57B3-0BB2-4A0A-864F-C4E295BA1417}" name="Mass of RNA [kg]" dataDxfId="244"/>
    <tableColumn id="5" xr3:uid="{498958C1-FF10-460A-950F-D28B6D477E67}" name="Inertia of RNA fore-aft @COG [kg m^2]" dataDxfId="243"/>
    <tableColumn id="8" xr3:uid="{234964DC-3BFC-4170-9D6A-7B3DBC67A11F}" name="Inertia of RNA side-side @COG [kg m^2]" dataDxfId="242"/>
    <tableColumn id="6" xr3:uid="{9A250389-A125-48C0-9709-4FC870698E51}" name="Vertical Offset TT to HH [m]" dataDxfId="241"/>
    <tableColumn id="7" xr3:uid="{7481D65D-D15B-4189-850C-213AFF247093}" name="Vertical Offset TT_COG [m]" dataDxfId="240"/>
    <tableColumn id="9" xr3:uid="{DC025F26-D4D4-42D6-A0AC-A10FD5B08484}" name="comment" dataDxfId="23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dataDxfId="238">
  <autoFilter ref="B2:D6" xr:uid="{C35E7AB2-603F-4F8E-A683-CC2DB9E03260}"/>
  <tableColumns count="3">
    <tableColumn id="1" xr3:uid="{249E4AC0-B025-41CE-B64B-B1C47A8B108A}" name="Parameter" dataDxfId="237" totalsRowDxfId="236"/>
    <tableColumn id="2" xr3:uid="{96957327-E448-409A-A132-2F66C10F1B05}" name="Value" dataDxfId="235" totalsRowDxfId="234"/>
    <tableColumn id="3" xr3:uid="{9BA3C973-0D4E-4458-9364-B9F23256E516}" name="Unit" dataDxfId="233" totalsRowDxfId="23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23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59" totalsRowShown="0" headerRowDxfId="230">
  <autoFilter ref="B20:F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229"/>
    <tableColumn id="4" xr3:uid="{E0487E44-0EED-4BFD-B57A-C884FB22266C}" name="default" dataDxfId="228"/>
    <tableColumn id="5" xr3:uid="{92045E4D-F12F-4D16-876C-05D25606D491}" name="SN1" dataDxfId="227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7" totalsRowShown="0" headerRowDxfId="226" dataDxfId="225">
  <autoFilter ref="B8:L17" xr:uid="{71E9ED97-D6B3-4021-B4A0-767262A463AF}"/>
  <tableColumns count="11">
    <tableColumn id="3" xr3:uid="{FEC1B86F-C35E-46DA-A7B6-958218640B32}" name="Use For (WL: Waveload generator, AM: Additional Masses) " dataDxfId="224"/>
    <tableColumn id="12" xr3:uid="{C2A89023-9057-4005-B5BC-7177CA0916E4}" name="Affiliation" dataDxfId="223"/>
    <tableColumn id="8" xr3:uid="{DA5288F4-A6D2-4654-91EF-5216E3A5D06D}" name="Name" dataDxfId="222"/>
    <tableColumn id="1" xr3:uid="{BCF04A15-F7A1-4B02-B968-2B77E93E65C8}" name="Top [m]" dataDxfId="221"/>
    <tableColumn id="2" xr3:uid="{7285DDF2-50C0-437F-A508-26E337365FD6}" name="Bottom [m]" dataDxfId="220"/>
    <tableColumn id="6" xr3:uid="{FF72EB0E-B8A4-4A02-BB1C-1EDDA8FDE8B6}" name="Mass [kg]" dataDxfId="219"/>
    <tableColumn id="4" xr3:uid="{C529D6EA-DB28-489B-9417-E4E43DA45BC2}" name="Diameter [m]" dataDxfId="218"/>
    <tableColumn id="7" xr3:uid="{187EAF26-0053-462C-A746-F4CFDD4FEA26}" name="Orientation [°]" dataDxfId="217"/>
    <tableColumn id="9" xr3:uid="{083E9AAE-21E0-4DD4-92EE-C339CE2D1002}" name="Distance Axis to Axis" dataDxfId="216"/>
    <tableColumn id="13" xr3:uid="{21BE8926-C21A-4E38-9100-554AFA0FA93B}" name="Gap between surfaces" dataDxfId="215"/>
    <tableColumn id="10" xr3:uid="{5E743F44-ADBC-4FED-9125-954BB70B4AA2}" name="Surface roughness [m]" dataDxfId="2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.xml"/><Relationship Id="rId21" Type="http://schemas.openxmlformats.org/officeDocument/2006/relationships/ctrlProp" Target="../ctrlProps/ctrlProp22.xml"/><Relationship Id="rId34" Type="http://schemas.openxmlformats.org/officeDocument/2006/relationships/ctrlProp" Target="../ctrlProps/ctrlProp35.xml"/><Relationship Id="rId42" Type="http://schemas.openxmlformats.org/officeDocument/2006/relationships/table" Target="../tables/table4.xml"/><Relationship Id="rId47" Type="http://schemas.openxmlformats.org/officeDocument/2006/relationships/table" Target="../tables/table9.xml"/><Relationship Id="rId50" Type="http://schemas.openxmlformats.org/officeDocument/2006/relationships/table" Target="../tables/table12.xml"/><Relationship Id="rId55" Type="http://schemas.openxmlformats.org/officeDocument/2006/relationships/table" Target="../tables/table17.xml"/><Relationship Id="rId63" Type="http://schemas.openxmlformats.org/officeDocument/2006/relationships/table" Target="../tables/table25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table" Target="../tables/table2.xml"/><Relationship Id="rId45" Type="http://schemas.openxmlformats.org/officeDocument/2006/relationships/table" Target="../tables/table7.xml"/><Relationship Id="rId53" Type="http://schemas.openxmlformats.org/officeDocument/2006/relationships/table" Target="../tables/table15.xml"/><Relationship Id="rId58" Type="http://schemas.openxmlformats.org/officeDocument/2006/relationships/table" Target="../tables/table20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23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table" Target="../tables/table5.xml"/><Relationship Id="rId48" Type="http://schemas.openxmlformats.org/officeDocument/2006/relationships/table" Target="../tables/table10.xml"/><Relationship Id="rId56" Type="http://schemas.openxmlformats.org/officeDocument/2006/relationships/table" Target="../tables/table18.xml"/><Relationship Id="rId64" Type="http://schemas.openxmlformats.org/officeDocument/2006/relationships/table" Target="../tables/table26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13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8.xml"/><Relationship Id="rId59" Type="http://schemas.openxmlformats.org/officeDocument/2006/relationships/table" Target="../tables/table21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3.xml"/><Relationship Id="rId54" Type="http://schemas.openxmlformats.org/officeDocument/2006/relationships/table" Target="../tables/table16.xml"/><Relationship Id="rId62" Type="http://schemas.openxmlformats.org/officeDocument/2006/relationships/table" Target="../tables/table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11.xml"/><Relationship Id="rId57" Type="http://schemas.openxmlformats.org/officeDocument/2006/relationships/table" Target="../tables/table19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table" Target="../tables/table6.xml"/><Relationship Id="rId52" Type="http://schemas.openxmlformats.org/officeDocument/2006/relationships/table" Target="../tables/table14.xml"/><Relationship Id="rId60" Type="http://schemas.openxmlformats.org/officeDocument/2006/relationships/table" Target="../tables/table2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F33" sqref="F33"/>
    </sheetView>
  </sheetViews>
  <sheetFormatPr baseColWidth="10" defaultRowHeight="14.4" x14ac:dyDescent="0.3"/>
  <cols>
    <col min="2" max="2" width="24.33203125" customWidth="1"/>
  </cols>
  <sheetData>
    <row r="3" spans="2:3" x14ac:dyDescent="0.3">
      <c r="B3" t="s">
        <v>263</v>
      </c>
      <c r="C3" t="s">
        <v>264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topLeftCell="A6" zoomScaleNormal="100" workbookViewId="0">
      <selection activeCell="J28" sqref="J28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85" t="s">
        <v>42</v>
      </c>
      <c r="C4" s="86"/>
      <c r="D4" s="87"/>
      <c r="E4" s="40"/>
      <c r="F4" s="88" t="s">
        <v>26</v>
      </c>
      <c r="G4" s="89"/>
      <c r="H4" s="89"/>
      <c r="I4" s="90"/>
      <c r="J4" s="40"/>
      <c r="K4" s="91" t="s">
        <v>43</v>
      </c>
      <c r="L4" s="92"/>
      <c r="M4" s="93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FG314"/>
  <sheetViews>
    <sheetView zoomScale="55" zoomScaleNormal="55" workbookViewId="0">
      <selection activeCell="E19" sqref="E19"/>
    </sheetView>
  </sheetViews>
  <sheetFormatPr baseColWidth="10" defaultColWidth="22.88671875" defaultRowHeight="14.4" x14ac:dyDescent="0.3"/>
  <cols>
    <col min="1" max="1" width="24.5546875" style="65" customWidth="1"/>
    <col min="2" max="2" width="24.6640625" style="95" customWidth="1"/>
    <col min="3" max="3" width="18.44140625" style="95" customWidth="1"/>
    <col min="4" max="4" width="32.77734375" style="95" customWidth="1"/>
    <col min="5" max="5" width="41.109375" style="66" customWidth="1"/>
    <col min="6" max="25" width="22.88671875" style="95" hidden="1" customWidth="1"/>
    <col min="26" max="26" width="10.21875" style="95" hidden="1" customWidth="1"/>
    <col min="27" max="39" width="22.88671875" style="95" hidden="1" customWidth="1"/>
    <col min="40" max="40" width="25.109375" style="95" hidden="1" customWidth="1"/>
    <col min="41" max="41" width="21.109375" style="95" hidden="1" customWidth="1"/>
    <col min="42" max="42" width="18.21875" style="95" hidden="1" customWidth="1"/>
    <col min="43" max="43" width="18.5546875" style="95" hidden="1" customWidth="1" collapsed="1"/>
    <col min="44" max="44" width="25.21875" style="95" hidden="1" customWidth="1"/>
    <col min="45" max="45" width="20.6640625" style="95" hidden="1" customWidth="1"/>
    <col min="46" max="46" width="16.5546875" style="95" hidden="1" customWidth="1"/>
    <col min="47" max="47" width="20.77734375" style="95" hidden="1" customWidth="1"/>
    <col min="48" max="48" width="13.21875" style="95" hidden="1" customWidth="1"/>
    <col min="49" max="50" width="22.88671875" style="95" hidden="1" customWidth="1"/>
    <col min="51" max="51" width="22.88671875" style="95" hidden="1" customWidth="1" collapsed="1"/>
    <col min="52" max="96" width="22.88671875" style="95" hidden="1" customWidth="1"/>
    <col min="97" max="97" width="22.88671875" style="99" hidden="1" customWidth="1"/>
    <col min="98" max="118" width="22.88671875" style="95" hidden="1" customWidth="1"/>
    <col min="119" max="126" width="22.88671875" hidden="1" customWidth="1"/>
    <col min="127" max="142" width="22.88671875" style="95" hidden="1" customWidth="1"/>
    <col min="143" max="143" width="22.88671875" style="95" hidden="1" customWidth="1" collapsed="1"/>
    <col min="144" max="153" width="22.88671875" style="95" customWidth="1"/>
    <col min="154" max="162" width="22.88671875" style="95" hidden="1" customWidth="1"/>
    <col min="163" max="163" width="22.88671875" style="95" hidden="1" customWidth="1" collapsed="1"/>
    <col min="164" max="164" width="22.88671875" style="95" customWidth="1"/>
    <col min="165" max="16384" width="22.88671875" style="95"/>
  </cols>
  <sheetData>
    <row r="1" spans="1:162" x14ac:dyDescent="0.3">
      <c r="A1" s="115"/>
      <c r="B1" s="116"/>
      <c r="C1" s="116"/>
      <c r="D1" s="116"/>
      <c r="E1" s="117"/>
      <c r="AY1" s="96" t="s">
        <v>141</v>
      </c>
      <c r="CS1" s="97" t="s">
        <v>141</v>
      </c>
      <c r="EM1" s="96"/>
    </row>
    <row r="2" spans="1:162" ht="18" x14ac:dyDescent="0.35">
      <c r="F2" s="98" t="s">
        <v>69</v>
      </c>
      <c r="AZ2" s="98" t="s">
        <v>88</v>
      </c>
      <c r="CT2" s="98" t="s">
        <v>78</v>
      </c>
      <c r="DN2" s="95" t="s">
        <v>75</v>
      </c>
      <c r="EN2" s="98" t="s">
        <v>126</v>
      </c>
    </row>
    <row r="4" spans="1:162" x14ac:dyDescent="0.3">
      <c r="G4" s="100" t="s">
        <v>90</v>
      </c>
      <c r="BA4" s="100" t="s">
        <v>70</v>
      </c>
      <c r="CU4" s="100" t="s">
        <v>89</v>
      </c>
      <c r="EO4" s="100" t="s">
        <v>144</v>
      </c>
    </row>
    <row r="6" spans="1:162" x14ac:dyDescent="0.3">
      <c r="H6" s="95" t="s">
        <v>106</v>
      </c>
      <c r="J6" s="101"/>
      <c r="BD6" s="95" t="s">
        <v>106</v>
      </c>
    </row>
    <row r="9" spans="1:162" ht="24" customHeight="1" x14ac:dyDescent="0.3">
      <c r="E9" s="118" t="s">
        <v>71</v>
      </c>
      <c r="F9" s="95" t="s">
        <v>80</v>
      </c>
      <c r="G9" s="95" t="s">
        <v>81</v>
      </c>
      <c r="H9" s="95" t="s">
        <v>79</v>
      </c>
      <c r="I9" s="95" t="s">
        <v>82</v>
      </c>
      <c r="J9" s="95" t="s">
        <v>134</v>
      </c>
      <c r="K9" s="95" t="s">
        <v>130</v>
      </c>
      <c r="L9" s="95" t="s">
        <v>135</v>
      </c>
      <c r="AI9" s="95" t="s">
        <v>80</v>
      </c>
      <c r="AJ9" s="95" t="s">
        <v>81</v>
      </c>
      <c r="AK9" s="95" t="s">
        <v>79</v>
      </c>
      <c r="AL9" s="95" t="s">
        <v>82</v>
      </c>
      <c r="AM9" s="95" t="s">
        <v>134</v>
      </c>
      <c r="AN9" s="95" t="s">
        <v>130</v>
      </c>
      <c r="AO9" s="95" t="s">
        <v>135</v>
      </c>
      <c r="AZ9" s="95" t="s">
        <v>80</v>
      </c>
      <c r="BA9" s="95" t="s">
        <v>81</v>
      </c>
      <c r="BB9" s="95" t="s">
        <v>79</v>
      </c>
      <c r="BC9" s="95" t="s">
        <v>82</v>
      </c>
      <c r="BD9" s="95" t="s">
        <v>134</v>
      </c>
      <c r="BE9" s="95" t="s">
        <v>130</v>
      </c>
      <c r="BF9" s="95" t="s">
        <v>135</v>
      </c>
      <c r="CC9" s="95" t="s">
        <v>80</v>
      </c>
      <c r="CD9" s="95" t="s">
        <v>81</v>
      </c>
      <c r="CE9" s="95" t="s">
        <v>79</v>
      </c>
      <c r="CF9" s="95" t="s">
        <v>82</v>
      </c>
      <c r="CG9" s="95" t="s">
        <v>134</v>
      </c>
      <c r="CH9" s="95" t="s">
        <v>130</v>
      </c>
      <c r="CI9" s="95" t="s">
        <v>135</v>
      </c>
      <c r="CT9" s="95" t="s">
        <v>80</v>
      </c>
      <c r="CU9" s="95" t="s">
        <v>81</v>
      </c>
      <c r="CV9" s="95" t="s">
        <v>79</v>
      </c>
      <c r="CW9" s="95" t="s">
        <v>82</v>
      </c>
      <c r="CX9" s="95" t="s">
        <v>134</v>
      </c>
      <c r="CY9" s="95" t="s">
        <v>130</v>
      </c>
      <c r="CZ9" s="95" t="s">
        <v>135</v>
      </c>
      <c r="DW9" s="95" t="s">
        <v>80</v>
      </c>
      <c r="DX9" s="95" t="s">
        <v>81</v>
      </c>
      <c r="DY9" s="95" t="s">
        <v>79</v>
      </c>
      <c r="DZ9" s="95" t="s">
        <v>82</v>
      </c>
      <c r="EA9" s="95" t="s">
        <v>134</v>
      </c>
      <c r="EB9" s="95" t="s">
        <v>130</v>
      </c>
      <c r="EC9" s="95" t="s">
        <v>135</v>
      </c>
      <c r="EN9" s="95" t="s">
        <v>80</v>
      </c>
      <c r="EO9" s="95" t="s">
        <v>139</v>
      </c>
      <c r="EP9" s="95" t="s">
        <v>140</v>
      </c>
      <c r="EQ9" s="95" t="s">
        <v>218</v>
      </c>
      <c r="ER9" s="95" t="s">
        <v>227</v>
      </c>
      <c r="ES9" s="95" t="s">
        <v>228</v>
      </c>
      <c r="ET9" s="95" t="s">
        <v>235</v>
      </c>
      <c r="EU9" s="95" t="s">
        <v>236</v>
      </c>
      <c r="EV9" s="95" t="s">
        <v>19</v>
      </c>
      <c r="EX9" s="95" t="s">
        <v>80</v>
      </c>
      <c r="EY9" s="95" t="s">
        <v>139</v>
      </c>
      <c r="EZ9" s="95" t="s">
        <v>140</v>
      </c>
      <c r="FA9" s="95" t="s">
        <v>218</v>
      </c>
      <c r="FB9" s="95" t="s">
        <v>227</v>
      </c>
      <c r="FC9" s="95" t="s">
        <v>228</v>
      </c>
      <c r="FD9" s="95" t="s">
        <v>219</v>
      </c>
      <c r="FE9" s="95" t="s">
        <v>220</v>
      </c>
      <c r="FF9" s="95" t="s">
        <v>19</v>
      </c>
    </row>
    <row r="10" spans="1:162" ht="15" customHeight="1" x14ac:dyDescent="0.3">
      <c r="E10" s="119" t="s">
        <v>77</v>
      </c>
      <c r="F10" s="102" t="s">
        <v>254</v>
      </c>
      <c r="G10" s="102" t="s">
        <v>252</v>
      </c>
      <c r="H10" s="102" t="s">
        <v>83</v>
      </c>
      <c r="I10" s="102" t="s">
        <v>253</v>
      </c>
      <c r="J10" s="102">
        <v>43.5</v>
      </c>
      <c r="K10" s="102" t="s">
        <v>49</v>
      </c>
      <c r="L10" s="102" t="s">
        <v>251</v>
      </c>
      <c r="AI10" s="95" t="s">
        <v>254</v>
      </c>
      <c r="AJ10" s="95" t="s">
        <v>252</v>
      </c>
      <c r="AK10" s="95" t="s">
        <v>83</v>
      </c>
      <c r="AL10" s="95" t="s">
        <v>253</v>
      </c>
      <c r="AM10" s="95">
        <v>43.5</v>
      </c>
      <c r="AN10" s="95" t="s">
        <v>49</v>
      </c>
      <c r="AO10" s="95" t="s">
        <v>251</v>
      </c>
      <c r="AZ10" s="95" t="s">
        <v>254</v>
      </c>
      <c r="BA10" s="95" t="s">
        <v>252</v>
      </c>
      <c r="BB10" s="95" t="s">
        <v>83</v>
      </c>
      <c r="BC10" s="95" t="s">
        <v>253</v>
      </c>
      <c r="BD10" s="95">
        <v>43.5</v>
      </c>
      <c r="BE10" s="95" t="s">
        <v>49</v>
      </c>
      <c r="CC10" s="95" t="s">
        <v>254</v>
      </c>
      <c r="CD10" s="95" t="s">
        <v>252</v>
      </c>
      <c r="CE10" s="95" t="s">
        <v>83</v>
      </c>
      <c r="CF10" s="95" t="s">
        <v>253</v>
      </c>
      <c r="CG10" s="95">
        <v>43.5</v>
      </c>
      <c r="CH10" s="95" t="s">
        <v>49</v>
      </c>
      <c r="CT10" s="95" t="s">
        <v>259</v>
      </c>
      <c r="CU10" s="95" t="s">
        <v>252</v>
      </c>
      <c r="CV10" s="95" t="s">
        <v>83</v>
      </c>
      <c r="CW10" s="95" t="s">
        <v>258</v>
      </c>
      <c r="CX10" s="95">
        <v>43.5</v>
      </c>
      <c r="CY10" s="95" t="s">
        <v>49</v>
      </c>
      <c r="DW10" s="95" t="s">
        <v>259</v>
      </c>
      <c r="DX10" s="95" t="s">
        <v>252</v>
      </c>
      <c r="DY10" s="95" t="s">
        <v>83</v>
      </c>
      <c r="DZ10" s="95" t="s">
        <v>258</v>
      </c>
      <c r="EA10" s="95">
        <v>43.5</v>
      </c>
      <c r="EB10" s="95" t="s">
        <v>49</v>
      </c>
      <c r="EN10" s="103" t="s">
        <v>145</v>
      </c>
      <c r="EO10" s="103">
        <v>3.6</v>
      </c>
      <c r="EP10" s="103">
        <v>120</v>
      </c>
      <c r="EQ10" s="103">
        <v>237804</v>
      </c>
      <c r="ER10" s="103">
        <v>20595330</v>
      </c>
      <c r="ES10" s="103">
        <v>20595330</v>
      </c>
      <c r="ET10" s="103">
        <v>2.2000000000000002</v>
      </c>
      <c r="EU10" s="103">
        <v>2.2000000000000002</v>
      </c>
      <c r="EV10" s="103" t="s">
        <v>156</v>
      </c>
      <c r="EX10" s="104" t="s">
        <v>145</v>
      </c>
      <c r="EY10" s="104">
        <v>3.6</v>
      </c>
      <c r="EZ10" s="95">
        <v>120</v>
      </c>
      <c r="FA10" s="95">
        <v>237804</v>
      </c>
      <c r="FB10" s="104">
        <v>20595330</v>
      </c>
      <c r="FC10" s="104">
        <v>20595330</v>
      </c>
      <c r="FD10" s="104">
        <v>2.2000000000000002</v>
      </c>
      <c r="FE10" s="95">
        <v>2.2000000000000002</v>
      </c>
      <c r="FF10" s="95" t="s">
        <v>156</v>
      </c>
    </row>
    <row r="11" spans="1:162" ht="15.75" customHeight="1" x14ac:dyDescent="0.3">
      <c r="E11" s="119"/>
      <c r="AI11" s="105"/>
      <c r="AJ11" s="105"/>
      <c r="AK11" s="105"/>
      <c r="AL11" s="105"/>
      <c r="AM11" s="105"/>
      <c r="AN11" s="105"/>
      <c r="CC11" s="105"/>
      <c r="CD11" s="105"/>
      <c r="CE11" s="105"/>
      <c r="CF11" s="105"/>
      <c r="CG11" s="105"/>
      <c r="DW11" s="105"/>
      <c r="DX11" s="105"/>
      <c r="DY11" s="105"/>
      <c r="DZ11" s="105"/>
      <c r="EA11" s="105"/>
      <c r="EN11" s="103" t="s">
        <v>146</v>
      </c>
      <c r="EO11" s="103">
        <v>5</v>
      </c>
      <c r="EP11" s="103">
        <v>122</v>
      </c>
      <c r="EQ11" s="103">
        <v>427397</v>
      </c>
      <c r="ER11" s="103">
        <v>37230240</v>
      </c>
      <c r="ES11" s="103">
        <v>37230240</v>
      </c>
      <c r="ET11" s="103">
        <v>3.2</v>
      </c>
      <c r="EU11" s="103">
        <v>3.2</v>
      </c>
      <c r="EV11" s="103" t="s">
        <v>156</v>
      </c>
      <c r="EX11" s="104" t="s">
        <v>146</v>
      </c>
      <c r="EY11" s="104">
        <v>5</v>
      </c>
      <c r="EZ11" s="95">
        <v>122</v>
      </c>
      <c r="FA11" s="95">
        <v>427397</v>
      </c>
      <c r="FB11" s="104">
        <v>37230240</v>
      </c>
      <c r="FC11" s="104">
        <v>37230240</v>
      </c>
      <c r="FD11" s="104">
        <v>3.2</v>
      </c>
      <c r="FE11" s="95">
        <v>3.2</v>
      </c>
      <c r="FF11" s="95" t="s">
        <v>156</v>
      </c>
    </row>
    <row r="12" spans="1:162" ht="15.75" customHeight="1" x14ac:dyDescent="0.3">
      <c r="E12" s="118" t="s">
        <v>72</v>
      </c>
      <c r="F12" s="95" t="s">
        <v>80</v>
      </c>
      <c r="G12" s="95" t="s">
        <v>81</v>
      </c>
      <c r="H12" s="95" t="s">
        <v>79</v>
      </c>
      <c r="I12" s="95" t="s">
        <v>82</v>
      </c>
      <c r="J12" s="95" t="s">
        <v>134</v>
      </c>
      <c r="K12" s="95" t="s">
        <v>130</v>
      </c>
      <c r="L12" s="95" t="s">
        <v>135</v>
      </c>
      <c r="AZ12" s="95" t="s">
        <v>80</v>
      </c>
      <c r="BA12" s="95" t="s">
        <v>81</v>
      </c>
      <c r="BB12" s="95" t="s">
        <v>79</v>
      </c>
      <c r="BC12" s="95" t="s">
        <v>82</v>
      </c>
      <c r="BD12" s="95" t="s">
        <v>134</v>
      </c>
      <c r="BE12" s="95" t="s">
        <v>130</v>
      </c>
      <c r="BF12" s="95" t="s">
        <v>135</v>
      </c>
      <c r="CT12" s="95" t="s">
        <v>80</v>
      </c>
      <c r="CU12" s="95" t="s">
        <v>81</v>
      </c>
      <c r="CV12" s="95" t="s">
        <v>79</v>
      </c>
      <c r="CW12" s="95" t="s">
        <v>82</v>
      </c>
      <c r="CX12" s="95" t="s">
        <v>134</v>
      </c>
      <c r="CY12" s="95" t="s">
        <v>130</v>
      </c>
      <c r="CZ12" s="95" t="s">
        <v>135</v>
      </c>
      <c r="EN12" s="103" t="s">
        <v>147</v>
      </c>
      <c r="EO12" s="103">
        <v>4</v>
      </c>
      <c r="EP12" s="103">
        <v>130</v>
      </c>
      <c r="EQ12" s="103">
        <v>239664</v>
      </c>
      <c r="ER12" s="103">
        <v>23265890</v>
      </c>
      <c r="ES12" s="103">
        <v>23265890</v>
      </c>
      <c r="ET12" s="103">
        <v>2.2000000000000002</v>
      </c>
      <c r="EU12" s="103">
        <v>2.2000000000000002</v>
      </c>
      <c r="EV12" s="103" t="s">
        <v>156</v>
      </c>
      <c r="EX12" s="104" t="s">
        <v>147</v>
      </c>
      <c r="EY12" s="104">
        <v>4</v>
      </c>
      <c r="EZ12" s="95">
        <v>130</v>
      </c>
      <c r="FA12" s="95">
        <v>239664</v>
      </c>
      <c r="FB12" s="104">
        <v>23265890</v>
      </c>
      <c r="FC12" s="104">
        <v>23265890</v>
      </c>
      <c r="FD12" s="104">
        <v>2.2000000000000002</v>
      </c>
      <c r="FE12" s="95">
        <v>2.2000000000000002</v>
      </c>
      <c r="FF12" s="95" t="s">
        <v>156</v>
      </c>
    </row>
    <row r="13" spans="1:162" ht="15.75" customHeight="1" x14ac:dyDescent="0.3">
      <c r="E13" s="119" t="s">
        <v>73</v>
      </c>
      <c r="F13" s="105"/>
      <c r="G13" s="105"/>
      <c r="H13" s="105"/>
      <c r="I13" s="105"/>
      <c r="J13" s="105"/>
      <c r="K13" s="105"/>
      <c r="L13" s="105"/>
      <c r="AI13" s="96" t="s">
        <v>76</v>
      </c>
      <c r="AZ13" s="105"/>
      <c r="BA13" s="105"/>
      <c r="BB13" s="105"/>
      <c r="BC13" s="105"/>
      <c r="BD13" s="105"/>
      <c r="BE13" s="105"/>
      <c r="BF13" s="105"/>
      <c r="CC13" s="96" t="s">
        <v>76</v>
      </c>
      <c r="CU13" s="105"/>
      <c r="CV13" s="105"/>
      <c r="CW13" s="105"/>
      <c r="CX13" s="105"/>
      <c r="CY13" s="105"/>
      <c r="DW13" s="96" t="s">
        <v>76</v>
      </c>
      <c r="EN13" s="103" t="s">
        <v>148</v>
      </c>
      <c r="EO13" s="103">
        <v>6</v>
      </c>
      <c r="EP13" s="103">
        <v>142</v>
      </c>
      <c r="EQ13" s="103">
        <v>312142</v>
      </c>
      <c r="ER13" s="103">
        <v>59416040</v>
      </c>
      <c r="ES13" s="103">
        <v>59416040</v>
      </c>
      <c r="ET13" s="103">
        <v>2.85</v>
      </c>
      <c r="EU13" s="103">
        <v>2.85</v>
      </c>
      <c r="EV13" s="103" t="s">
        <v>156</v>
      </c>
      <c r="EX13" s="104" t="s">
        <v>148</v>
      </c>
      <c r="EY13" s="104">
        <v>6</v>
      </c>
      <c r="EZ13" s="95">
        <v>142</v>
      </c>
      <c r="FA13" s="95">
        <v>312142</v>
      </c>
      <c r="FB13" s="104">
        <v>59416040</v>
      </c>
      <c r="FC13" s="104">
        <v>59416040</v>
      </c>
      <c r="FD13" s="104">
        <v>2.85</v>
      </c>
      <c r="FE13" s="95">
        <v>2.85</v>
      </c>
      <c r="FF13" s="95" t="s">
        <v>156</v>
      </c>
    </row>
    <row r="14" spans="1:162" ht="15.75" customHeight="1" x14ac:dyDescent="0.3">
      <c r="E14" s="119"/>
      <c r="EN14" s="103" t="s">
        <v>149</v>
      </c>
      <c r="EO14" s="103">
        <v>8</v>
      </c>
      <c r="EP14" s="103">
        <v>164</v>
      </c>
      <c r="EQ14" s="103">
        <v>450972</v>
      </c>
      <c r="ER14" s="103">
        <v>72350120</v>
      </c>
      <c r="ES14" s="103">
        <v>72350120</v>
      </c>
      <c r="ET14" s="103">
        <v>2.29</v>
      </c>
      <c r="EU14" s="103">
        <v>2.29</v>
      </c>
      <c r="EV14" s="103" t="s">
        <v>156</v>
      </c>
      <c r="EX14" s="104" t="s">
        <v>149</v>
      </c>
      <c r="EY14" s="104">
        <v>8</v>
      </c>
      <c r="EZ14" s="95">
        <v>164</v>
      </c>
      <c r="FA14" s="95">
        <v>450972</v>
      </c>
      <c r="FB14" s="104">
        <v>72350120</v>
      </c>
      <c r="FC14" s="104">
        <v>72350120</v>
      </c>
      <c r="FD14" s="104">
        <v>2.29</v>
      </c>
      <c r="FE14" s="95">
        <v>2.29</v>
      </c>
      <c r="FF14" s="95" t="s">
        <v>156</v>
      </c>
    </row>
    <row r="15" spans="1:162" ht="15.75" customHeight="1" x14ac:dyDescent="0.3">
      <c r="E15" s="119" t="s">
        <v>74</v>
      </c>
      <c r="F15" s="95" t="s">
        <v>1</v>
      </c>
      <c r="G15" s="95" t="s">
        <v>105</v>
      </c>
      <c r="H15" s="95" t="s">
        <v>104</v>
      </c>
      <c r="I15" s="95" t="s">
        <v>85</v>
      </c>
      <c r="J15" s="95" t="s">
        <v>86</v>
      </c>
      <c r="K15" s="95" t="s">
        <v>87</v>
      </c>
      <c r="L15" s="95" t="s">
        <v>9</v>
      </c>
      <c r="M15" s="95" t="s">
        <v>10</v>
      </c>
      <c r="N15" s="95" t="s">
        <v>11</v>
      </c>
      <c r="O15" s="95" t="s">
        <v>12</v>
      </c>
      <c r="Q15" s="106" t="s">
        <v>266</v>
      </c>
      <c r="R15" s="95" t="s">
        <v>105</v>
      </c>
      <c r="S15" s="95" t="s">
        <v>104</v>
      </c>
      <c r="T15" s="95" t="s">
        <v>96</v>
      </c>
      <c r="U15" s="95" t="s">
        <v>239</v>
      </c>
      <c r="V15" s="95" t="s">
        <v>240</v>
      </c>
      <c r="W15" s="95" t="s">
        <v>241</v>
      </c>
      <c r="X15" s="95" t="s">
        <v>243</v>
      </c>
      <c r="Y15" s="95" t="s">
        <v>242</v>
      </c>
      <c r="AA15" s="95" t="s">
        <v>80</v>
      </c>
      <c r="AB15" s="95" t="s">
        <v>81</v>
      </c>
      <c r="AC15" s="95" t="s">
        <v>79</v>
      </c>
      <c r="AD15" s="95" t="s">
        <v>82</v>
      </c>
      <c r="AE15" s="95" t="s">
        <v>134</v>
      </c>
      <c r="AF15" s="95" t="s">
        <v>130</v>
      </c>
      <c r="AG15" s="95" t="s">
        <v>135</v>
      </c>
      <c r="AI15" s="95" t="s">
        <v>1</v>
      </c>
      <c r="AJ15" s="95" t="s">
        <v>105</v>
      </c>
      <c r="AK15" s="95" t="s">
        <v>104</v>
      </c>
      <c r="AL15" s="95" t="s">
        <v>85</v>
      </c>
      <c r="AM15" s="95" t="s">
        <v>86</v>
      </c>
      <c r="AN15" s="95" t="s">
        <v>87</v>
      </c>
      <c r="AP15" s="106" t="s">
        <v>266</v>
      </c>
      <c r="AQ15" s="95" t="s">
        <v>105</v>
      </c>
      <c r="AR15" s="95" t="s">
        <v>104</v>
      </c>
      <c r="AS15" s="95" t="s">
        <v>96</v>
      </c>
      <c r="AT15" s="95" t="s">
        <v>239</v>
      </c>
      <c r="AU15" s="95" t="s">
        <v>240</v>
      </c>
      <c r="AV15" s="95" t="s">
        <v>241</v>
      </c>
      <c r="AW15" s="95" t="s">
        <v>243</v>
      </c>
      <c r="AX15" s="95" t="s">
        <v>242</v>
      </c>
      <c r="AZ15" s="95" t="s">
        <v>1</v>
      </c>
      <c r="BA15" s="95" t="s">
        <v>105</v>
      </c>
      <c r="BB15" s="95" t="s">
        <v>104</v>
      </c>
      <c r="BC15" s="95" t="s">
        <v>85</v>
      </c>
      <c r="BD15" s="95" t="s">
        <v>86</v>
      </c>
      <c r="BE15" s="95" t="s">
        <v>87</v>
      </c>
      <c r="BF15" s="95" t="s">
        <v>9</v>
      </c>
      <c r="BG15" s="95" t="s">
        <v>10</v>
      </c>
      <c r="BH15" s="95" t="s">
        <v>11</v>
      </c>
      <c r="BI15" s="95" t="s">
        <v>12</v>
      </c>
      <c r="BK15" s="106" t="s">
        <v>266</v>
      </c>
      <c r="BL15" s="94" t="s">
        <v>105</v>
      </c>
      <c r="BM15" s="94" t="s">
        <v>104</v>
      </c>
      <c r="BN15" s="94" t="s">
        <v>96</v>
      </c>
      <c r="BO15" s="94" t="s">
        <v>239</v>
      </c>
      <c r="BP15" s="94" t="s">
        <v>240</v>
      </c>
      <c r="BQ15" s="94" t="s">
        <v>241</v>
      </c>
      <c r="BR15" s="94" t="s">
        <v>243</v>
      </c>
      <c r="BS15" s="94" t="s">
        <v>242</v>
      </c>
      <c r="CC15" s="95" t="s">
        <v>1</v>
      </c>
      <c r="CD15" s="95" t="s">
        <v>105</v>
      </c>
      <c r="CE15" s="95" t="s">
        <v>104</v>
      </c>
      <c r="CF15" s="95" t="s">
        <v>85</v>
      </c>
      <c r="CG15" s="95" t="s">
        <v>86</v>
      </c>
      <c r="CH15" s="95" t="s">
        <v>87</v>
      </c>
      <c r="CJ15" s="106" t="s">
        <v>266</v>
      </c>
      <c r="CK15" s="94" t="s">
        <v>105</v>
      </c>
      <c r="CL15" s="94" t="s">
        <v>104</v>
      </c>
      <c r="CM15" s="94" t="s">
        <v>96</v>
      </c>
      <c r="CN15" s="94" t="s">
        <v>239</v>
      </c>
      <c r="CO15" s="94" t="s">
        <v>240</v>
      </c>
      <c r="CP15" s="94" t="s">
        <v>241</v>
      </c>
      <c r="CQ15" s="94" t="s">
        <v>243</v>
      </c>
      <c r="CR15" s="94" t="s">
        <v>242</v>
      </c>
      <c r="CT15" s="95" t="s">
        <v>1</v>
      </c>
      <c r="CU15" s="95" t="s">
        <v>105</v>
      </c>
      <c r="CV15" s="95" t="s">
        <v>104</v>
      </c>
      <c r="CW15" s="95" t="s">
        <v>85</v>
      </c>
      <c r="CX15" s="95" t="s">
        <v>86</v>
      </c>
      <c r="CY15" s="95" t="s">
        <v>87</v>
      </c>
      <c r="CZ15" s="95" t="s">
        <v>9</v>
      </c>
      <c r="DA15" s="95" t="s">
        <v>10</v>
      </c>
      <c r="DB15" s="95" t="s">
        <v>11</v>
      </c>
      <c r="DC15" s="95" t="s">
        <v>12</v>
      </c>
      <c r="DE15" s="106" t="s">
        <v>266</v>
      </c>
      <c r="DF15" s="94" t="s">
        <v>105</v>
      </c>
      <c r="DG15" s="94" t="s">
        <v>104</v>
      </c>
      <c r="DH15" s="94" t="s">
        <v>96</v>
      </c>
      <c r="DI15" s="94" t="s">
        <v>239</v>
      </c>
      <c r="DJ15" s="94" t="s">
        <v>240</v>
      </c>
      <c r="DK15" s="94" t="s">
        <v>241</v>
      </c>
      <c r="DL15" s="94" t="s">
        <v>243</v>
      </c>
      <c r="DM15" s="94" t="s">
        <v>242</v>
      </c>
      <c r="DO15" s="95" t="s">
        <v>80</v>
      </c>
      <c r="DP15" s="95" t="s">
        <v>81</v>
      </c>
      <c r="DQ15" s="95" t="s">
        <v>79</v>
      </c>
      <c r="DR15" s="95" t="s">
        <v>82</v>
      </c>
      <c r="DS15" s="95" t="s">
        <v>134</v>
      </c>
      <c r="DT15" s="95" t="s">
        <v>130</v>
      </c>
      <c r="DU15" s="95" t="s">
        <v>135</v>
      </c>
      <c r="DW15" s="95" t="s">
        <v>1</v>
      </c>
      <c r="DX15" s="95" t="s">
        <v>105</v>
      </c>
      <c r="DY15" s="95" t="s">
        <v>104</v>
      </c>
      <c r="DZ15" s="95" t="s">
        <v>85</v>
      </c>
      <c r="EA15" s="95" t="s">
        <v>86</v>
      </c>
      <c r="EB15" s="95" t="s">
        <v>87</v>
      </c>
      <c r="ED15" s="106" t="s">
        <v>266</v>
      </c>
      <c r="EE15" s="94" t="s">
        <v>105</v>
      </c>
      <c r="EF15" s="94" t="s">
        <v>104</v>
      </c>
      <c r="EG15" s="94" t="s">
        <v>96</v>
      </c>
      <c r="EH15" s="94" t="s">
        <v>239</v>
      </c>
      <c r="EI15" s="94" t="s">
        <v>240</v>
      </c>
      <c r="EJ15" s="94" t="s">
        <v>241</v>
      </c>
      <c r="EK15" s="94" t="s">
        <v>243</v>
      </c>
      <c r="EL15" s="94" t="s">
        <v>242</v>
      </c>
      <c r="EN15" s="103" t="s">
        <v>150</v>
      </c>
      <c r="EO15" s="103">
        <v>9.5</v>
      </c>
      <c r="EP15" s="103">
        <v>174</v>
      </c>
      <c r="EQ15" s="103">
        <v>484588</v>
      </c>
      <c r="ER15" s="103">
        <v>83636270</v>
      </c>
      <c r="ES15" s="103">
        <v>83636270</v>
      </c>
      <c r="ET15" s="103">
        <v>3.5</v>
      </c>
      <c r="EU15" s="103">
        <v>3.5</v>
      </c>
      <c r="EV15" s="103" t="s">
        <v>156</v>
      </c>
      <c r="EX15" s="104" t="s">
        <v>150</v>
      </c>
      <c r="EY15" s="104">
        <v>9.5</v>
      </c>
      <c r="EZ15" s="95">
        <v>174</v>
      </c>
      <c r="FA15" s="95">
        <v>484588</v>
      </c>
      <c r="FB15" s="104">
        <v>83636270</v>
      </c>
      <c r="FC15" s="104">
        <v>83636270</v>
      </c>
      <c r="FD15" s="104">
        <v>3.5</v>
      </c>
      <c r="FE15" s="95">
        <v>3.5</v>
      </c>
      <c r="FF15" s="95" t="s">
        <v>156</v>
      </c>
    </row>
    <row r="16" spans="1:162" x14ac:dyDescent="0.3">
      <c r="F16" s="107">
        <v>1</v>
      </c>
      <c r="G16" s="107">
        <v>5.6</v>
      </c>
      <c r="H16" s="107">
        <v>1.6</v>
      </c>
      <c r="I16" s="107">
        <v>7.5</v>
      </c>
      <c r="J16" s="107">
        <v>7.5</v>
      </c>
      <c r="K16" s="107">
        <v>108</v>
      </c>
      <c r="L16" s="108">
        <f>IFERROR(MP_DATA[[#This Row],[Bottom '[m']]]-MP_DATA[[#This Row],[D, top '[m']]], "")</f>
        <v>-5.9</v>
      </c>
      <c r="M16" s="108">
        <f>IFERROR(-(MP_DATA[[#This Row],[D, bottom '[m']]]-MP_DATA[[#This Row],[D, top '[m']]])/(MP_DATA[[#This Row],[Bottom '[m']]]-MP_DATA[[#This Row],[Top '[m']]]),"")</f>
        <v>0</v>
      </c>
      <c r="N16" s="108">
        <f t="shared" ref="N16:N46" si="0">IF(7850/1000*(1/3)*PI()*ABS(G16-H16)*((I16/2)^2+(I16/2)*(J16/2)+(J16/2)^2-(I16/2-K16/1000)^2-(I16/2-K16/1000)*(J16/2-K16/1000)-(J16/2-K16/1000)^2)=0,"",7850/1000*(1/3)*PI()*ABS(G16-H16)*((I16/2)^2+(I16/2)*(J16/2)+(J16/2)^2-(I16/2-K16/1000)^2-(I16/2-K16/1000)*(J16/2-K16/1000)-(J16/2-K16/1000)^2))</f>
        <v>78.752660498662593</v>
      </c>
      <c r="O16" s="108">
        <f>IFERROR((MP_DATA[[#This Row],[D, bottom '[m']]]+MP_DATA[[#This Row],[D, top '[m']]])/(2*MP_DATA[[#This Row],[t '[mm']]]/1000),"")</f>
        <v>69.444444444444443</v>
      </c>
      <c r="Q16" s="102" t="s">
        <v>97</v>
      </c>
      <c r="R16" s="102">
        <v>5.6</v>
      </c>
      <c r="S16" s="102">
        <v>5.6</v>
      </c>
      <c r="T16" s="102">
        <v>60000</v>
      </c>
      <c r="U16" s="102"/>
      <c r="V16" s="102"/>
      <c r="W16" s="102"/>
      <c r="X16" s="102"/>
      <c r="Y16" s="102"/>
      <c r="AA16" s="95" t="s">
        <v>254</v>
      </c>
      <c r="AB16" s="95" t="s">
        <v>252</v>
      </c>
      <c r="AC16" s="95" t="s">
        <v>83</v>
      </c>
      <c r="AD16" s="95" t="s">
        <v>253</v>
      </c>
      <c r="AE16" s="95">
        <v>43.5</v>
      </c>
      <c r="AF16" s="95" t="s">
        <v>49</v>
      </c>
      <c r="AG16" s="95" t="s">
        <v>251</v>
      </c>
      <c r="AI16" s="105">
        <v>1</v>
      </c>
      <c r="AJ16" s="109">
        <v>5.6</v>
      </c>
      <c r="AK16" s="109">
        <v>1.6</v>
      </c>
      <c r="AL16" s="95">
        <v>7.5</v>
      </c>
      <c r="AM16" s="105">
        <v>7.5</v>
      </c>
      <c r="AN16" s="95">
        <v>108</v>
      </c>
      <c r="AP16" s="105" t="s">
        <v>97</v>
      </c>
      <c r="AQ16" s="105">
        <v>5.6</v>
      </c>
      <c r="AR16" s="105">
        <v>5.6</v>
      </c>
      <c r="AS16" s="105">
        <v>60000</v>
      </c>
      <c r="AZ16" s="102">
        <v>1</v>
      </c>
      <c r="BA16" s="102">
        <v>20.9</v>
      </c>
      <c r="BB16" s="102">
        <v>17.5</v>
      </c>
      <c r="BC16" s="102">
        <v>7.5</v>
      </c>
      <c r="BD16" s="102">
        <v>7.5</v>
      </c>
      <c r="BE16" s="102">
        <v>86</v>
      </c>
      <c r="BF16" s="108">
        <f>IFERROR(TP_DATA[[#This Row],[Bottom '[m']]]-TP_DATA[[#This Row],[D, top '[m']]], "")</f>
        <v>10</v>
      </c>
      <c r="BG16" s="108">
        <f>IFERROR(-(TP_DATA[[#This Row],[D, bottom '[m']]]-TP_DATA[[#This Row],[D, top '[m']]])/(TP_DATA[[#This Row],[Bottom '[m']]]-TP_DATA[[#This Row],[Top '[m']]]),"")</f>
        <v>0</v>
      </c>
      <c r="BH16" s="108">
        <f t="shared" ref="BH16:BH79" si="1">IF(7850/1000*(1/3)*PI()*ABS(BA16-BB16)*((BC16/2)^2+(BC16/2)*(BD16/2)+(BD16/2)^2-(BC16/2-BE16/1000)^2-(BC16/2-BE16/1000)*(BD16/2-BE16/1000)-(BD16/2-BE16/1000)^2)=0,"",7850/1000*(1/3)*PI()*ABS(BA16-BB16)*((BC16/2)^2+(BC16/2)*(BD16/2)+(BD16/2)^2-(BC16/2-BE16/1000)^2-(BC16/2-BE16/1000)*(BD16/2-BE16/1000)-(BD16/2-BE16/1000)^2))</f>
        <v>53.462526608972695</v>
      </c>
      <c r="BI16" s="108">
        <f>IFERROR((TP_DATA[[#This Row],[D, bottom '[m']]]+TP_DATA[[#This Row],[D, top '[m']]])/(2*TP_DATA[[#This Row],[t '[mm']]]/1000),"")</f>
        <v>87.209302325581405</v>
      </c>
      <c r="BK16" s="102" t="s">
        <v>101</v>
      </c>
      <c r="BL16" s="102">
        <v>20.100000000000001</v>
      </c>
      <c r="BM16" s="102">
        <v>20.100000000000001</v>
      </c>
      <c r="BN16" s="102">
        <v>20000</v>
      </c>
      <c r="BO16" s="102"/>
      <c r="BP16" s="102"/>
      <c r="BQ16" s="102"/>
      <c r="BR16" s="102"/>
      <c r="BS16" s="102"/>
      <c r="BU16" s="95" t="s">
        <v>80</v>
      </c>
      <c r="BV16" s="95" t="s">
        <v>81</v>
      </c>
      <c r="BW16" s="95" t="s">
        <v>79</v>
      </c>
      <c r="BX16" s="95" t="s">
        <v>82</v>
      </c>
      <c r="BY16" s="95" t="s">
        <v>134</v>
      </c>
      <c r="BZ16" s="95" t="s">
        <v>130</v>
      </c>
      <c r="CA16" s="95" t="s">
        <v>135</v>
      </c>
      <c r="CC16" s="105">
        <v>1</v>
      </c>
      <c r="CD16" s="105">
        <v>20.9</v>
      </c>
      <c r="CE16" s="105">
        <v>17.5</v>
      </c>
      <c r="CF16" s="95">
        <v>7.5</v>
      </c>
      <c r="CG16" s="105">
        <v>7.5</v>
      </c>
      <c r="CH16" s="95">
        <v>86</v>
      </c>
      <c r="CJ16" s="95" t="s">
        <v>101</v>
      </c>
      <c r="CK16" s="95">
        <v>20.100000000000001</v>
      </c>
      <c r="CL16" s="95">
        <v>20.100000000000001</v>
      </c>
      <c r="CM16" s="95">
        <v>20000</v>
      </c>
      <c r="CT16" s="102">
        <v>1</v>
      </c>
      <c r="CU16" s="102">
        <v>140.49999999999997</v>
      </c>
      <c r="CV16" s="102">
        <v>140.32499999999996</v>
      </c>
      <c r="CW16" s="102">
        <v>5.6159999999999997</v>
      </c>
      <c r="CX16" s="102">
        <v>5.6159999999999997</v>
      </c>
      <c r="CY16" s="102">
        <v>42</v>
      </c>
      <c r="CZ16" s="108">
        <f>IFERROR(TOWER_DATA[[#This Row],[Top '[m']]]-TOWER_DATA[[#This Row],[Bottom '[m']]], "")</f>
        <v>0.17500000000001137</v>
      </c>
      <c r="DA16" s="108">
        <f>IFERROR(-(TOWER_DATA[[#This Row],[D, bottom '[m']]]-TOWER_DATA[[#This Row],[D, top '[m']]])/(TOWER_DATA[[#This Row],[Bottom '[m']]]-TOWER_DATA[[#This Row],[Top '[m']]]),"")</f>
        <v>0</v>
      </c>
      <c r="DB16" s="108">
        <f t="shared" ref="DB16:DB79" si="2">IF(7850/1000*(1/3)*PI()*ABS(CU16-CV16)*((CW16/2)^2+(CW16/2)*(CX16/2)+(CX16/2)^2-(CW16/2-CY16/1000)^2-(CW16/2-CY16/1000)*(CX16/2-CY16/1000)-(CX16/2-CY16/1000)^2)=0,"",7850/1000*(1/3)*PI()*ABS(CU16-CV16)*((CW16/2)^2+(CW16/2)*(CX16/2)+(CX16/2)^2-(CW16/2-CY16/1000)^2-(CW16/2-CY16/1000)*(CX16/2-CY16/1000)-(CX16/2-CY16/1000)^2))</f>
        <v>1.0103546228354485</v>
      </c>
      <c r="DC16" s="108">
        <f>IFERROR((TOWER_DATA[[#This Row],[D, bottom '[m']]]+TOWER_DATA[[#This Row],[D, top '[m']]])/(2*TOWER_DATA[[#This Row],[t '[mm']]]/1000),"")</f>
        <v>133.71428571428569</v>
      </c>
      <c r="DE16" s="110" t="s">
        <v>256</v>
      </c>
      <c r="DF16" s="110">
        <v>140.49999999999997</v>
      </c>
      <c r="DG16" s="110">
        <v>140.49999999999997</v>
      </c>
      <c r="DH16" s="110">
        <v>6154</v>
      </c>
      <c r="DI16" s="110"/>
      <c r="DJ16" s="110"/>
      <c r="DK16" s="110"/>
      <c r="DL16" s="110"/>
      <c r="DM16" s="110"/>
      <c r="DO16" s="95" t="s">
        <v>259</v>
      </c>
      <c r="DP16" s="95" t="s">
        <v>252</v>
      </c>
      <c r="DQ16" s="95" t="s">
        <v>83</v>
      </c>
      <c r="DR16" s="95" t="s">
        <v>258</v>
      </c>
      <c r="DS16" s="95">
        <v>43.5</v>
      </c>
      <c r="DT16" s="95" t="s">
        <v>49</v>
      </c>
      <c r="DU16" s="95"/>
      <c r="DW16" s="105">
        <v>1</v>
      </c>
      <c r="DX16" s="105">
        <v>140.49999999999997</v>
      </c>
      <c r="DY16" s="105">
        <v>140.32499999999996</v>
      </c>
      <c r="DZ16" s="95">
        <v>5.6159999999999997</v>
      </c>
      <c r="EA16" s="105">
        <v>5.6159999999999997</v>
      </c>
      <c r="EB16" s="95">
        <v>42</v>
      </c>
      <c r="ED16" s="111" t="s">
        <v>256</v>
      </c>
      <c r="EE16" s="111">
        <v>140.49999999999997</v>
      </c>
      <c r="EF16" s="111">
        <v>140.49999999999997</v>
      </c>
      <c r="EG16" s="111">
        <v>6154</v>
      </c>
      <c r="EH16" s="111"/>
      <c r="EI16" s="111"/>
      <c r="EJ16" s="111"/>
      <c r="EK16" s="111"/>
      <c r="EL16" s="111"/>
      <c r="EN16" s="103" t="s">
        <v>151</v>
      </c>
      <c r="EO16" s="103">
        <v>10</v>
      </c>
      <c r="EP16" s="103">
        <v>180</v>
      </c>
      <c r="EQ16" s="103">
        <v>673916</v>
      </c>
      <c r="ER16" s="103">
        <v>102240300</v>
      </c>
      <c r="ES16" s="103">
        <v>102240300</v>
      </c>
      <c r="ET16" s="103">
        <v>3.5</v>
      </c>
      <c r="EU16" s="103">
        <v>3.5</v>
      </c>
      <c r="EV16" s="103" t="s">
        <v>156</v>
      </c>
      <c r="EX16" s="104" t="s">
        <v>151</v>
      </c>
      <c r="EY16" s="104">
        <v>10</v>
      </c>
      <c r="EZ16" s="95">
        <v>180</v>
      </c>
      <c r="FA16" s="95">
        <v>673916</v>
      </c>
      <c r="FB16" s="104">
        <v>102240300</v>
      </c>
      <c r="FC16" s="104">
        <v>102240300</v>
      </c>
      <c r="FD16" s="104">
        <v>3.5</v>
      </c>
      <c r="FE16" s="95">
        <v>3.5</v>
      </c>
      <c r="FF16" s="95" t="s">
        <v>156</v>
      </c>
    </row>
    <row r="17" spans="1:162" x14ac:dyDescent="0.3">
      <c r="F17" s="107">
        <v>2</v>
      </c>
      <c r="G17" s="107">
        <v>1.6</v>
      </c>
      <c r="H17" s="107">
        <v>-2.2999999999999998</v>
      </c>
      <c r="I17" s="107">
        <v>7.5</v>
      </c>
      <c r="J17" s="107">
        <v>7.5</v>
      </c>
      <c r="K17" s="107">
        <v>100</v>
      </c>
      <c r="L17" s="108">
        <f>IFERROR(MP_DATA[[#This Row],[Bottom '[m']]]-MP_DATA[[#This Row],[D, top '[m']]], "")</f>
        <v>-9.8000000000000007</v>
      </c>
      <c r="M17" s="108">
        <f>IFERROR(-(MP_DATA[[#This Row],[D, bottom '[m']]]-MP_DATA[[#This Row],[D, top '[m']]])/(MP_DATA[[#This Row],[Bottom '[m']]]-MP_DATA[[#This Row],[Top '[m']]]),"")</f>
        <v>0</v>
      </c>
      <c r="N17" s="108">
        <f t="shared" si="0"/>
        <v>71.173095726342183</v>
      </c>
      <c r="O17" s="108">
        <f>IFERROR((MP_DATA[[#This Row],[D, bottom '[m']]]+MP_DATA[[#This Row],[D, top '[m']]])/(2*MP_DATA[[#This Row],[t '[mm']]]/1000),"")</f>
        <v>75</v>
      </c>
      <c r="Q17" s="102" t="s">
        <v>98</v>
      </c>
      <c r="R17" s="102">
        <v>4.2</v>
      </c>
      <c r="S17" s="102">
        <v>4.2</v>
      </c>
      <c r="T17" s="102">
        <v>9000</v>
      </c>
      <c r="U17" s="102"/>
      <c r="V17" s="102"/>
      <c r="W17" s="102"/>
      <c r="X17" s="102"/>
      <c r="Y17" s="102"/>
      <c r="AI17" s="105">
        <v>2</v>
      </c>
      <c r="AJ17" s="109">
        <v>1.6</v>
      </c>
      <c r="AK17" s="109">
        <v>-2.2999999999999998</v>
      </c>
      <c r="AL17" s="95">
        <v>7.5</v>
      </c>
      <c r="AM17" s="105">
        <v>7.5</v>
      </c>
      <c r="AN17" s="95">
        <v>100</v>
      </c>
      <c r="AP17" s="105" t="s">
        <v>98</v>
      </c>
      <c r="AQ17" s="105">
        <v>4.2</v>
      </c>
      <c r="AR17" s="105">
        <v>4.2</v>
      </c>
      <c r="AS17" s="105">
        <v>9000</v>
      </c>
      <c r="AZ17" s="102">
        <v>2</v>
      </c>
      <c r="BA17" s="102">
        <v>17.5</v>
      </c>
      <c r="BB17" s="102">
        <v>13.5</v>
      </c>
      <c r="BC17" s="102">
        <v>7.5</v>
      </c>
      <c r="BD17" s="102">
        <v>7.5</v>
      </c>
      <c r="BE17" s="102">
        <v>86</v>
      </c>
      <c r="BF17" s="108">
        <f>IFERROR(TP_DATA[[#This Row],[Bottom '[m']]]-TP_DATA[[#This Row],[D, top '[m']]], "")</f>
        <v>6</v>
      </c>
      <c r="BG17" s="108">
        <f>IFERROR(-(TP_DATA[[#This Row],[D, bottom '[m']]]-TP_DATA[[#This Row],[D, top '[m']]])/(TP_DATA[[#This Row],[Bottom '[m']]]-TP_DATA[[#This Row],[Top '[m']]]),"")</f>
        <v>0</v>
      </c>
      <c r="BH17" s="108">
        <f t="shared" si="1"/>
        <v>62.897090128203196</v>
      </c>
      <c r="BI17" s="108">
        <f>IFERROR((TP_DATA[[#This Row],[D, bottom '[m']]]+TP_DATA[[#This Row],[D, top '[m']]])/(2*TP_DATA[[#This Row],[t '[mm']]]/1000),"")</f>
        <v>87.209302325581405</v>
      </c>
      <c r="BK17" s="102" t="s">
        <v>95</v>
      </c>
      <c r="BL17" s="102">
        <v>19.5</v>
      </c>
      <c r="BM17" s="102">
        <v>19.5</v>
      </c>
      <c r="BN17" s="102">
        <v>5000</v>
      </c>
      <c r="BO17" s="102"/>
      <c r="BP17" s="102"/>
      <c r="BQ17" s="102"/>
      <c r="BR17" s="102"/>
      <c r="BS17" s="102"/>
      <c r="BU17" s="95" t="s">
        <v>254</v>
      </c>
      <c r="BV17" s="95" t="s">
        <v>252</v>
      </c>
      <c r="BW17" s="95" t="s">
        <v>83</v>
      </c>
      <c r="BX17" s="95" t="s">
        <v>253</v>
      </c>
      <c r="BY17" s="95">
        <v>43.5</v>
      </c>
      <c r="BZ17" s="95" t="s">
        <v>49</v>
      </c>
      <c r="CC17" s="105">
        <v>2</v>
      </c>
      <c r="CD17" s="105">
        <v>17.5</v>
      </c>
      <c r="CE17" s="105">
        <v>13.5</v>
      </c>
      <c r="CF17" s="95">
        <v>7.5</v>
      </c>
      <c r="CG17" s="105">
        <v>7.5</v>
      </c>
      <c r="CH17" s="95">
        <v>86</v>
      </c>
      <c r="CJ17" s="95" t="s">
        <v>95</v>
      </c>
      <c r="CK17" s="95">
        <v>19.5</v>
      </c>
      <c r="CL17" s="95">
        <v>19.5</v>
      </c>
      <c r="CM17" s="95">
        <v>5000</v>
      </c>
      <c r="CT17" s="102">
        <v>2</v>
      </c>
      <c r="CU17" s="102">
        <v>140.32499999999996</v>
      </c>
      <c r="CV17" s="102">
        <v>140.27499999999998</v>
      </c>
      <c r="CW17" s="102">
        <v>5.6159999999999997</v>
      </c>
      <c r="CX17" s="102">
        <v>5.609</v>
      </c>
      <c r="CY17" s="102">
        <v>42</v>
      </c>
      <c r="CZ17" s="108">
        <f>IFERROR(TOWER_DATA[[#This Row],[Top '[m']]]-TOWER_DATA[[#This Row],[Bottom '[m']]], "")</f>
        <v>4.9999999999982947E-2</v>
      </c>
      <c r="DA17" s="108">
        <f>IFERROR(-(TOWER_DATA[[#This Row],[D, bottom '[m']]]-TOWER_DATA[[#This Row],[D, top '[m']]])/(TOWER_DATA[[#This Row],[Bottom '[m']]]-TOWER_DATA[[#This Row],[Top '[m']]]),"")</f>
        <v>-0.1400000000000412</v>
      </c>
      <c r="DB17" s="108">
        <f t="shared" si="2"/>
        <v>0.28849148733930929</v>
      </c>
      <c r="DC17" s="108">
        <f>IFERROR((TOWER_DATA[[#This Row],[D, bottom '[m']]]+TOWER_DATA[[#This Row],[D, top '[m']]])/(2*TOWER_DATA[[#This Row],[t '[mm']]]/1000),"")</f>
        <v>133.63095238095238</v>
      </c>
      <c r="DE17" s="110" t="s">
        <v>256</v>
      </c>
      <c r="DF17" s="110">
        <v>140.32499999999996</v>
      </c>
      <c r="DG17" s="110">
        <v>140.32499999999996</v>
      </c>
      <c r="DH17" s="110">
        <v>5</v>
      </c>
      <c r="DI17" s="110"/>
      <c r="DJ17" s="110"/>
      <c r="DK17" s="110"/>
      <c r="DL17" s="110"/>
      <c r="DM17" s="110"/>
      <c r="DW17" s="105">
        <v>2</v>
      </c>
      <c r="DX17" s="105">
        <v>140.32499999999996</v>
      </c>
      <c r="DY17" s="105">
        <v>140.27499999999998</v>
      </c>
      <c r="DZ17" s="95">
        <v>5.6159999999999997</v>
      </c>
      <c r="EA17" s="105">
        <v>5.609</v>
      </c>
      <c r="EB17" s="95">
        <v>42</v>
      </c>
      <c r="ED17" s="111" t="s">
        <v>256</v>
      </c>
      <c r="EE17" s="111">
        <v>140.32499999999996</v>
      </c>
      <c r="EF17" s="111">
        <v>140.32499999999996</v>
      </c>
      <c r="EG17" s="111">
        <v>5</v>
      </c>
      <c r="EH17" s="111"/>
      <c r="EI17" s="111"/>
      <c r="EJ17" s="111"/>
      <c r="EK17" s="111"/>
      <c r="EL17" s="111"/>
      <c r="EN17" s="103" t="s">
        <v>127</v>
      </c>
      <c r="EO17" s="103">
        <v>13</v>
      </c>
      <c r="EP17" s="103">
        <v>210</v>
      </c>
      <c r="EQ17" s="103">
        <v>777534</v>
      </c>
      <c r="ER17" s="103">
        <v>197394400</v>
      </c>
      <c r="ES17" s="103">
        <v>197394400</v>
      </c>
      <c r="ET17" s="103">
        <v>3.4</v>
      </c>
      <c r="EU17" s="103">
        <v>3.4</v>
      </c>
      <c r="EV17" s="103" t="s">
        <v>156</v>
      </c>
      <c r="EX17" s="104" t="s">
        <v>127</v>
      </c>
      <c r="EY17" s="112">
        <v>13</v>
      </c>
      <c r="EZ17" s="95">
        <v>210</v>
      </c>
      <c r="FA17" s="95">
        <v>777534</v>
      </c>
      <c r="FB17" s="104">
        <v>197394400</v>
      </c>
      <c r="FC17" s="104">
        <v>197394400</v>
      </c>
      <c r="FD17" s="104">
        <v>3.4</v>
      </c>
      <c r="FE17" s="95">
        <v>3.4</v>
      </c>
      <c r="FF17" s="95" t="s">
        <v>156</v>
      </c>
    </row>
    <row r="18" spans="1:162" x14ac:dyDescent="0.3">
      <c r="F18" s="107">
        <v>3</v>
      </c>
      <c r="G18" s="107">
        <v>-2.2999999999999998</v>
      </c>
      <c r="H18" s="107">
        <v>-6.2</v>
      </c>
      <c r="I18" s="107">
        <v>7.5</v>
      </c>
      <c r="J18" s="107">
        <v>7.5</v>
      </c>
      <c r="K18" s="107">
        <v>98</v>
      </c>
      <c r="L18" s="108">
        <f>IFERROR(MP_DATA[[#This Row],[Bottom '[m']]]-MP_DATA[[#This Row],[D, top '[m']]], "")</f>
        <v>-13.7</v>
      </c>
      <c r="M18" s="108">
        <f>IFERROR(-(MP_DATA[[#This Row],[D, bottom '[m']]]-MP_DATA[[#This Row],[D, top '[m']]])/(MP_DATA[[#This Row],[Bottom '[m']]]-MP_DATA[[#This Row],[Top '[m']]]),"")</f>
        <v>0</v>
      </c>
      <c r="N18" s="108">
        <f t="shared" si="0"/>
        <v>69.768485064196611</v>
      </c>
      <c r="O18" s="108">
        <f>IFERROR((MP_DATA[[#This Row],[D, bottom '[m']]]+MP_DATA[[#This Row],[D, top '[m']]])/(2*MP_DATA[[#This Row],[t '[mm']]]/1000),"")</f>
        <v>76.530612244897952</v>
      </c>
      <c r="Q18" s="102" t="s">
        <v>99</v>
      </c>
      <c r="R18" s="102">
        <v>2</v>
      </c>
      <c r="S18" s="102">
        <v>2</v>
      </c>
      <c r="T18" s="102">
        <v>80000</v>
      </c>
      <c r="U18" s="102"/>
      <c r="V18" s="102"/>
      <c r="W18" s="102"/>
      <c r="X18" s="102"/>
      <c r="Y18" s="102"/>
      <c r="AI18" s="105">
        <v>3</v>
      </c>
      <c r="AJ18" s="109">
        <v>-2.2999999999999998</v>
      </c>
      <c r="AK18" s="109">
        <v>-6.2</v>
      </c>
      <c r="AL18" s="95">
        <v>7.5</v>
      </c>
      <c r="AM18" s="105">
        <v>7.5</v>
      </c>
      <c r="AN18" s="95">
        <v>98</v>
      </c>
      <c r="AP18" s="105" t="s">
        <v>99</v>
      </c>
      <c r="AQ18" s="105">
        <v>2</v>
      </c>
      <c r="AR18" s="105">
        <v>2</v>
      </c>
      <c r="AS18" s="105">
        <v>80000</v>
      </c>
      <c r="AZ18" s="102">
        <v>3</v>
      </c>
      <c r="BA18" s="102">
        <v>13.5</v>
      </c>
      <c r="BB18" s="102">
        <v>9.5</v>
      </c>
      <c r="BC18" s="102">
        <v>7.5</v>
      </c>
      <c r="BD18" s="102">
        <v>7.5</v>
      </c>
      <c r="BE18" s="102">
        <v>93</v>
      </c>
      <c r="BF18" s="108">
        <f>IFERROR(TP_DATA[[#This Row],[Bottom '[m']]]-TP_DATA[[#This Row],[D, top '[m']]], "")</f>
        <v>2</v>
      </c>
      <c r="BG18" s="108">
        <f>IFERROR(-(TP_DATA[[#This Row],[D, bottom '[m']]]-TP_DATA[[#This Row],[D, top '[m']]])/(TP_DATA[[#This Row],[Bottom '[m']]]-TP_DATA[[#This Row],[Top '[m']]]),"")</f>
        <v>0</v>
      </c>
      <c r="BH18" s="108">
        <f t="shared" si="1"/>
        <v>67.952402167964607</v>
      </c>
      <c r="BI18" s="108">
        <f>IFERROR((TP_DATA[[#This Row],[D, bottom '[m']]]+TP_DATA[[#This Row],[D, top '[m']]])/(2*TP_DATA[[#This Row],[t '[mm']]]/1000),"")</f>
        <v>80.645161290322577</v>
      </c>
      <c r="BK18" s="102" t="s">
        <v>102</v>
      </c>
      <c r="BL18" s="102">
        <v>14</v>
      </c>
      <c r="BM18" s="102">
        <v>14</v>
      </c>
      <c r="BN18" s="102">
        <v>5000</v>
      </c>
      <c r="BO18" s="102"/>
      <c r="BP18" s="102"/>
      <c r="BQ18" s="102"/>
      <c r="BR18" s="102"/>
      <c r="BS18" s="102"/>
      <c r="CC18" s="105">
        <v>3</v>
      </c>
      <c r="CD18" s="105">
        <v>13.5</v>
      </c>
      <c r="CE18" s="105">
        <v>9.5</v>
      </c>
      <c r="CF18" s="95">
        <v>7.5</v>
      </c>
      <c r="CG18" s="105">
        <v>7.5</v>
      </c>
      <c r="CH18" s="95">
        <v>93</v>
      </c>
      <c r="CJ18" s="95" t="s">
        <v>102</v>
      </c>
      <c r="CK18" s="95">
        <v>14</v>
      </c>
      <c r="CL18" s="95">
        <v>14</v>
      </c>
      <c r="CM18" s="95">
        <v>5000</v>
      </c>
      <c r="CT18" s="102">
        <v>3</v>
      </c>
      <c r="CU18" s="102">
        <v>140.27499999999998</v>
      </c>
      <c r="CV18" s="102">
        <v>138.62499999999997</v>
      </c>
      <c r="CW18" s="102">
        <v>5.609</v>
      </c>
      <c r="CX18" s="102">
        <v>5.9039999999999999</v>
      </c>
      <c r="CY18" s="102">
        <v>35</v>
      </c>
      <c r="CZ18" s="108">
        <f>IFERROR(TOWER_DATA[[#This Row],[Top '[m']]]-TOWER_DATA[[#This Row],[Bottom '[m']]], "")</f>
        <v>1.6500000000000057</v>
      </c>
      <c r="DA18" s="108">
        <f>IFERROR(-(TOWER_DATA[[#This Row],[D, bottom '[m']]]-TOWER_DATA[[#This Row],[D, top '[m']]])/(TOWER_DATA[[#This Row],[Bottom '[m']]]-TOWER_DATA[[#This Row],[Top '[m']]]),"")</f>
        <v>0.17878787878787814</v>
      </c>
      <c r="DB18" s="108">
        <f t="shared" si="2"/>
        <v>8.1485703675329084</v>
      </c>
      <c r="DC18" s="108">
        <f>IFERROR((TOWER_DATA[[#This Row],[D, bottom '[m']]]+TOWER_DATA[[#This Row],[D, top '[m']]])/(2*TOWER_DATA[[#This Row],[t '[mm']]]/1000),"")</f>
        <v>164.47142857142856</v>
      </c>
      <c r="DE18" s="110" t="s">
        <v>256</v>
      </c>
      <c r="DF18" s="110">
        <v>140.27499999999998</v>
      </c>
      <c r="DG18" s="110">
        <v>140.27499999999998</v>
      </c>
      <c r="DH18" s="110">
        <v>2</v>
      </c>
      <c r="DI18" s="110"/>
      <c r="DJ18" s="110"/>
      <c r="DK18" s="110"/>
      <c r="DL18" s="110"/>
      <c r="DM18" s="110"/>
      <c r="DW18" s="105">
        <v>3</v>
      </c>
      <c r="DX18" s="105">
        <v>140.27499999999998</v>
      </c>
      <c r="DY18" s="105">
        <v>138.62499999999997</v>
      </c>
      <c r="DZ18" s="95">
        <v>5.609</v>
      </c>
      <c r="EA18" s="105">
        <v>5.9039999999999999</v>
      </c>
      <c r="EB18" s="95">
        <v>35</v>
      </c>
      <c r="ED18" s="111" t="s">
        <v>256</v>
      </c>
      <c r="EE18" s="111">
        <v>140.27499999999998</v>
      </c>
      <c r="EF18" s="111">
        <v>140.27499999999998</v>
      </c>
      <c r="EG18" s="111">
        <v>2</v>
      </c>
      <c r="EH18" s="111"/>
      <c r="EI18" s="111"/>
      <c r="EJ18" s="111"/>
      <c r="EK18" s="111"/>
      <c r="EL18" s="111"/>
      <c r="EN18" s="103" t="s">
        <v>152</v>
      </c>
      <c r="EO18" s="103">
        <v>12</v>
      </c>
      <c r="EP18" s="103">
        <v>220</v>
      </c>
      <c r="EQ18" s="103">
        <v>775567</v>
      </c>
      <c r="ER18" s="103">
        <v>198819700</v>
      </c>
      <c r="ES18" s="103">
        <v>198819700</v>
      </c>
      <c r="ET18" s="103">
        <v>3.4</v>
      </c>
      <c r="EU18" s="103">
        <v>3.4</v>
      </c>
      <c r="EV18" s="103" t="s">
        <v>156</v>
      </c>
      <c r="EX18" s="104" t="s">
        <v>152</v>
      </c>
      <c r="EY18" s="104">
        <v>12</v>
      </c>
      <c r="EZ18" s="95">
        <v>220</v>
      </c>
      <c r="FA18" s="95">
        <v>775567</v>
      </c>
      <c r="FB18" s="104">
        <v>198819700</v>
      </c>
      <c r="FC18" s="104">
        <v>198819700</v>
      </c>
      <c r="FD18" s="104">
        <v>3.4</v>
      </c>
      <c r="FE18" s="95">
        <v>3.4</v>
      </c>
      <c r="FF18" s="95" t="s">
        <v>156</v>
      </c>
    </row>
    <row r="19" spans="1:162" ht="23.4" customHeight="1" x14ac:dyDescent="0.3">
      <c r="F19" s="107">
        <v>4</v>
      </c>
      <c r="G19" s="107">
        <v>-6.2</v>
      </c>
      <c r="H19" s="107">
        <v>-10.1</v>
      </c>
      <c r="I19" s="107">
        <v>7.5</v>
      </c>
      <c r="J19" s="107">
        <v>7.8282999999999996</v>
      </c>
      <c r="K19" s="107">
        <v>98</v>
      </c>
      <c r="L19" s="108">
        <f>IFERROR(MP_DATA[[#This Row],[Bottom '[m']]]-MP_DATA[[#This Row],[D, top '[m']]], "")</f>
        <v>-17.600000000000001</v>
      </c>
      <c r="M19" s="108">
        <f>IFERROR(-(MP_DATA[[#This Row],[D, bottom '[m']]]-MP_DATA[[#This Row],[D, top '[m']]])/(MP_DATA[[#This Row],[Bottom '[m']]]-MP_DATA[[#This Row],[Top '[m']]]),"")</f>
        <v>8.4179487179487089E-2</v>
      </c>
      <c r="N19" s="108">
        <f t="shared" si="0"/>
        <v>71.315701603414155</v>
      </c>
      <c r="O19" s="108">
        <f>IFERROR((MP_DATA[[#This Row],[D, bottom '[m']]]+MP_DATA[[#This Row],[D, top '[m']]])/(2*MP_DATA[[#This Row],[t '[mm']]]/1000),"")</f>
        <v>78.205612244897949</v>
      </c>
      <c r="AI19" s="105">
        <v>4</v>
      </c>
      <c r="AJ19" s="109">
        <v>-6.2</v>
      </c>
      <c r="AK19" s="109">
        <v>-10.1</v>
      </c>
      <c r="AL19" s="95">
        <v>7.5</v>
      </c>
      <c r="AM19" s="105">
        <v>7.8282999999999996</v>
      </c>
      <c r="AN19" s="95">
        <v>98</v>
      </c>
      <c r="AZ19" s="102">
        <v>4</v>
      </c>
      <c r="BA19" s="102">
        <v>9.5</v>
      </c>
      <c r="BB19" s="102">
        <v>5.6</v>
      </c>
      <c r="BC19" s="102">
        <v>7.5</v>
      </c>
      <c r="BD19" s="102">
        <v>7.5</v>
      </c>
      <c r="BE19" s="102">
        <v>100</v>
      </c>
      <c r="BF19" s="108">
        <f>IFERROR(TP_DATA[[#This Row],[Bottom '[m']]]-TP_DATA[[#This Row],[D, top '[m']]], "")</f>
        <v>-1.9000000000000004</v>
      </c>
      <c r="BG19" s="108">
        <f>IFERROR(-(TP_DATA[[#This Row],[D, bottom '[m']]]-TP_DATA[[#This Row],[D, top '[m']]])/(TP_DATA[[#This Row],[Bottom '[m']]]-TP_DATA[[#This Row],[Top '[m']]]),"")</f>
        <v>0</v>
      </c>
      <c r="BH19" s="108">
        <f t="shared" si="1"/>
        <v>71.173095726342197</v>
      </c>
      <c r="BI19" s="108">
        <f>IFERROR((TP_DATA[[#This Row],[D, bottom '[m']]]+TP_DATA[[#This Row],[D, top '[m']]])/(2*TP_DATA[[#This Row],[t '[mm']]]/1000),"")</f>
        <v>75</v>
      </c>
      <c r="BK19" s="102" t="s">
        <v>257</v>
      </c>
      <c r="BL19" s="102">
        <v>11</v>
      </c>
      <c r="BM19" s="102">
        <v>11</v>
      </c>
      <c r="BN19" s="102">
        <v>1</v>
      </c>
      <c r="BO19" s="102"/>
      <c r="BP19" s="102"/>
      <c r="BQ19" s="102"/>
      <c r="BR19" s="102"/>
      <c r="BS19" s="102"/>
      <c r="CC19" s="105">
        <v>4</v>
      </c>
      <c r="CD19" s="105">
        <v>9.5</v>
      </c>
      <c r="CE19" s="105">
        <v>5.6</v>
      </c>
      <c r="CF19" s="95">
        <v>7.5</v>
      </c>
      <c r="CG19" s="105">
        <v>7.5</v>
      </c>
      <c r="CH19" s="95">
        <v>100</v>
      </c>
      <c r="CJ19" s="95" t="s">
        <v>257</v>
      </c>
      <c r="CK19" s="95">
        <v>11</v>
      </c>
      <c r="CL19" s="95">
        <v>11</v>
      </c>
      <c r="CM19" s="95">
        <v>1</v>
      </c>
      <c r="CT19" s="102">
        <v>4</v>
      </c>
      <c r="CU19" s="102">
        <v>138.62499999999997</v>
      </c>
      <c r="CV19" s="102">
        <v>136.97499999999997</v>
      </c>
      <c r="CW19" s="102">
        <v>5.9039999999999999</v>
      </c>
      <c r="CX19" s="102">
        <v>6.258</v>
      </c>
      <c r="CY19" s="102">
        <v>40</v>
      </c>
      <c r="CZ19" s="108">
        <f>IFERROR(TOWER_DATA[[#This Row],[Top '[m']]]-TOWER_DATA[[#This Row],[Bottom '[m']]], "")</f>
        <v>1.6500000000000057</v>
      </c>
      <c r="DA19" s="108">
        <f>IFERROR(-(TOWER_DATA[[#This Row],[D, bottom '[m']]]-TOWER_DATA[[#This Row],[D, top '[m']]])/(TOWER_DATA[[#This Row],[Bottom '[m']]]-TOWER_DATA[[#This Row],[Top '[m']]]),"")</f>
        <v>0.21454545454545387</v>
      </c>
      <c r="DB19" s="108">
        <f t="shared" si="2"/>
        <v>9.8326889482561182</v>
      </c>
      <c r="DC19" s="108">
        <f>IFERROR((TOWER_DATA[[#This Row],[D, bottom '[m']]]+TOWER_DATA[[#This Row],[D, top '[m']]])/(2*TOWER_DATA[[#This Row],[t '[mm']]]/1000),"")</f>
        <v>152.02499999999998</v>
      </c>
      <c r="DE19" s="110" t="s">
        <v>256</v>
      </c>
      <c r="DF19" s="110">
        <v>138.23499999999999</v>
      </c>
      <c r="DG19" s="110">
        <v>138.23499999999999</v>
      </c>
      <c r="DH19" s="110">
        <v>1981</v>
      </c>
      <c r="DI19" s="110"/>
      <c r="DJ19" s="110"/>
      <c r="DK19" s="110"/>
      <c r="DL19" s="110"/>
      <c r="DM19" s="110"/>
      <c r="DW19" s="105">
        <v>4</v>
      </c>
      <c r="DX19" s="105">
        <v>138.62499999999997</v>
      </c>
      <c r="DY19" s="105">
        <v>136.97499999999997</v>
      </c>
      <c r="DZ19" s="95">
        <v>5.9039999999999999</v>
      </c>
      <c r="EA19" s="105">
        <v>6.258</v>
      </c>
      <c r="EB19" s="95">
        <v>40</v>
      </c>
      <c r="ED19" s="111" t="s">
        <v>256</v>
      </c>
      <c r="EE19" s="111">
        <v>138.23499999999999</v>
      </c>
      <c r="EF19" s="111">
        <v>138.23499999999999</v>
      </c>
      <c r="EG19" s="111">
        <v>1981</v>
      </c>
      <c r="EH19" s="111"/>
      <c r="EI19" s="111"/>
      <c r="EJ19" s="111"/>
      <c r="EK19" s="111"/>
      <c r="EL19" s="111"/>
      <c r="EN19" s="103" t="s">
        <v>153</v>
      </c>
      <c r="EO19" s="103">
        <v>15</v>
      </c>
      <c r="EP19" s="103">
        <v>220</v>
      </c>
      <c r="EQ19" s="103">
        <v>1166238</v>
      </c>
      <c r="ER19" s="103">
        <v>205031400</v>
      </c>
      <c r="ES19" s="103">
        <v>205031400</v>
      </c>
      <c r="ET19" s="103">
        <v>3.4</v>
      </c>
      <c r="EU19" s="103">
        <v>3.4</v>
      </c>
      <c r="EV19" s="103" t="s">
        <v>156</v>
      </c>
      <c r="EX19" s="104" t="s">
        <v>153</v>
      </c>
      <c r="EY19" s="104">
        <v>15</v>
      </c>
      <c r="EZ19" s="95">
        <v>220</v>
      </c>
      <c r="FA19" s="95">
        <v>1166238</v>
      </c>
      <c r="FB19" s="104">
        <v>205031400</v>
      </c>
      <c r="FC19" s="104">
        <v>205031400</v>
      </c>
      <c r="FD19" s="104">
        <v>3.4</v>
      </c>
      <c r="FE19" s="95">
        <v>3.4</v>
      </c>
      <c r="FF19" s="95" t="s">
        <v>156</v>
      </c>
    </row>
    <row r="20" spans="1:162" ht="21.6" customHeight="1" x14ac:dyDescent="0.3">
      <c r="F20" s="107">
        <v>5</v>
      </c>
      <c r="G20" s="107">
        <v>-10.1</v>
      </c>
      <c r="H20" s="107">
        <v>-14</v>
      </c>
      <c r="I20" s="107">
        <v>7.8282999999999996</v>
      </c>
      <c r="J20" s="107">
        <v>8.1565999999999992</v>
      </c>
      <c r="K20" s="107">
        <v>104</v>
      </c>
      <c r="L20" s="108">
        <f>IFERROR(MP_DATA[[#This Row],[Bottom '[m']]]-MP_DATA[[#This Row],[D, top '[m']]], "")</f>
        <v>-21.828299999999999</v>
      </c>
      <c r="M20" s="108">
        <f>IFERROR(-(MP_DATA[[#This Row],[D, bottom '[m']]]-MP_DATA[[#This Row],[D, top '[m']]])/(MP_DATA[[#This Row],[Bottom '[m']]]-MP_DATA[[#This Row],[Top '[m']]]),"")</f>
        <v>8.4179487179487061E-2</v>
      </c>
      <c r="N20" s="108">
        <f t="shared" si="0"/>
        <v>78.905840981319429</v>
      </c>
      <c r="O20" s="108">
        <f>IFERROR((MP_DATA[[#This Row],[D, bottom '[m']]]+MP_DATA[[#This Row],[D, top '[m']]])/(2*MP_DATA[[#This Row],[t '[mm']]]/1000),"")</f>
        <v>76.850480769230771</v>
      </c>
      <c r="P20" s="108" t="str">
        <f>IFERROR((MP_DATA[[#This Row],[D, bottom '[m']]]+#REF!)/(2*#REF!/1000),"")</f>
        <v/>
      </c>
      <c r="AI20" s="105">
        <v>5</v>
      </c>
      <c r="AJ20" s="109">
        <v>-10.1</v>
      </c>
      <c r="AK20" s="109">
        <v>-14</v>
      </c>
      <c r="AL20" s="105">
        <v>7.8282999999999996</v>
      </c>
      <c r="AM20" s="105">
        <v>8.1565999999999992</v>
      </c>
      <c r="AN20" s="105">
        <v>104</v>
      </c>
      <c r="BF20" s="108" t="str">
        <f>IFERROR(TP_DATA[[#This Row],[Bottom '[m']]]-TP_DATA[[#This Row],[D, top '[m']]], "")</f>
        <v/>
      </c>
      <c r="BG20" s="108" t="str">
        <f>IFERROR(-(TP_DATA[[#This Row],[D, bottom '[m']]]-TP_DATA[[#This Row],[D, top '[m']]])/(TP_DATA[[#This Row],[Bottom '[m']]]-TP_DATA[[#This Row],[Top '[m']]]),"")</f>
        <v/>
      </c>
      <c r="BH20" s="108" t="str">
        <f t="shared" si="1"/>
        <v/>
      </c>
      <c r="BI20" s="108" t="str">
        <f>IFERROR((TP_DATA[[#This Row],[D, bottom '[m']]]+TP_DATA[[#This Row],[D, top '[m']]])/(2*TP_DATA[[#This Row],[t '[mm']]]/1000),"")</f>
        <v/>
      </c>
      <c r="BJ20" s="108" t="str">
        <f>IFERROR((TP_DATA[[#This Row],[D, bottom '[m']]]+#REF!)/(2*#REF!/1000),"")</f>
        <v/>
      </c>
      <c r="BK20" s="102" t="s">
        <v>103</v>
      </c>
      <c r="BL20" s="102">
        <v>6.1</v>
      </c>
      <c r="BM20" s="102">
        <v>6.1</v>
      </c>
      <c r="BN20" s="102">
        <v>200</v>
      </c>
      <c r="BO20" s="102"/>
      <c r="BP20" s="102"/>
      <c r="BQ20" s="102"/>
      <c r="BR20" s="102"/>
      <c r="BS20" s="102"/>
      <c r="CC20" s="105"/>
      <c r="CD20" s="105"/>
      <c r="CE20" s="105"/>
      <c r="CF20" s="105"/>
      <c r="CG20" s="105"/>
      <c r="CH20" s="105"/>
      <c r="CJ20" s="95" t="s">
        <v>103</v>
      </c>
      <c r="CK20" s="95">
        <v>6.1</v>
      </c>
      <c r="CL20" s="95">
        <v>6.1</v>
      </c>
      <c r="CM20" s="95">
        <v>200</v>
      </c>
      <c r="CT20" s="102">
        <v>5</v>
      </c>
      <c r="CU20" s="102">
        <v>136.97499999999997</v>
      </c>
      <c r="CV20" s="102">
        <v>136.38899999999998</v>
      </c>
      <c r="CW20" s="102">
        <v>6.258</v>
      </c>
      <c r="CX20" s="102">
        <v>6.258</v>
      </c>
      <c r="CY20" s="102">
        <v>58</v>
      </c>
      <c r="CZ20" s="108">
        <f>IFERROR(TOWER_DATA[[#This Row],[Top '[m']]]-TOWER_DATA[[#This Row],[Bottom '[m']]], "")</f>
        <v>0.58599999999998431</v>
      </c>
      <c r="DA20" s="108">
        <f>IFERROR(-(TOWER_DATA[[#This Row],[D, bottom '[m']]]-TOWER_DATA[[#This Row],[D, top '[m']]])/(TOWER_DATA[[#This Row],[Bottom '[m']]]-TOWER_DATA[[#This Row],[Top '[m']]]),"")</f>
        <v>0</v>
      </c>
      <c r="DB20" s="108">
        <f t="shared" si="2"/>
        <v>5.1968098755337806</v>
      </c>
      <c r="DC20" s="108">
        <f>IFERROR((TOWER_DATA[[#This Row],[D, bottom '[m']]]+TOWER_DATA[[#This Row],[D, top '[m']]])/(2*TOWER_DATA[[#This Row],[t '[mm']]]/1000),"")</f>
        <v>107.89655172413792</v>
      </c>
      <c r="DD20" s="108" t="str">
        <f>IFERROR((TOWER_DATA[[#This Row],[D, bottom '[m']]]+#REF!)/(2*#REF!/1000),"")</f>
        <v/>
      </c>
      <c r="DE20" s="110" t="s">
        <v>256</v>
      </c>
      <c r="DF20" s="110">
        <v>136.58499999999998</v>
      </c>
      <c r="DG20" s="110">
        <v>136.58499999999998</v>
      </c>
      <c r="DH20" s="110">
        <v>82</v>
      </c>
      <c r="DI20" s="110"/>
      <c r="DJ20" s="110"/>
      <c r="DK20" s="110"/>
      <c r="DL20" s="110"/>
      <c r="DM20" s="110"/>
      <c r="DW20" s="105">
        <v>5</v>
      </c>
      <c r="DX20" s="105">
        <v>136.97499999999997</v>
      </c>
      <c r="DY20" s="105">
        <v>136.38899999999998</v>
      </c>
      <c r="DZ20" s="105">
        <v>6.258</v>
      </c>
      <c r="EA20" s="105">
        <v>6.258</v>
      </c>
      <c r="EB20" s="105">
        <v>58</v>
      </c>
      <c r="ED20" s="111" t="s">
        <v>256</v>
      </c>
      <c r="EE20" s="111">
        <v>136.58499999999998</v>
      </c>
      <c r="EF20" s="111">
        <v>136.58499999999998</v>
      </c>
      <c r="EG20" s="111">
        <v>82</v>
      </c>
      <c r="EH20" s="111"/>
      <c r="EI20" s="111"/>
      <c r="EJ20" s="111"/>
      <c r="EK20" s="111"/>
      <c r="EL20" s="111"/>
      <c r="EN20" s="103" t="s">
        <v>154</v>
      </c>
      <c r="EO20" s="103"/>
      <c r="EP20" s="103">
        <v>236</v>
      </c>
      <c r="EQ20" s="103">
        <v>565481</v>
      </c>
      <c r="ER20" s="103">
        <v>241746700</v>
      </c>
      <c r="ES20" s="103">
        <v>241746700</v>
      </c>
      <c r="ET20" s="103">
        <v>3.5</v>
      </c>
      <c r="EU20" s="103">
        <v>3.5</v>
      </c>
      <c r="EV20" s="103" t="s">
        <v>156</v>
      </c>
      <c r="EX20" s="104" t="s">
        <v>154</v>
      </c>
      <c r="EY20" s="104"/>
      <c r="EZ20" s="95">
        <v>236</v>
      </c>
      <c r="FA20" s="95">
        <v>565481</v>
      </c>
      <c r="FB20" s="104">
        <v>241746700</v>
      </c>
      <c r="FC20" s="104">
        <v>241746700</v>
      </c>
      <c r="FD20" s="104">
        <v>3.5</v>
      </c>
      <c r="FE20" s="95">
        <v>3.5</v>
      </c>
      <c r="FF20" s="95" t="s">
        <v>156</v>
      </c>
    </row>
    <row r="21" spans="1:162" ht="21.6" customHeight="1" x14ac:dyDescent="0.3">
      <c r="F21" s="107">
        <v>6</v>
      </c>
      <c r="G21" s="107">
        <v>-14</v>
      </c>
      <c r="H21" s="107">
        <v>-17.899999999999999</v>
      </c>
      <c r="I21" s="107">
        <v>8.1565999999999992</v>
      </c>
      <c r="J21" s="107">
        <v>8.4847999999999999</v>
      </c>
      <c r="K21" s="107">
        <v>98</v>
      </c>
      <c r="L21" s="108">
        <f>IFERROR(MP_DATA[[#This Row],[Bottom '[m']]]-MP_DATA[[#This Row],[D, top '[m']]], "")</f>
        <v>-26.056599999999996</v>
      </c>
      <c r="M21" s="108">
        <f>IFERROR(-(MP_DATA[[#This Row],[D, bottom '[m']]]-MP_DATA[[#This Row],[D, top '[m']]])/(MP_DATA[[#This Row],[Bottom '[m']]]-MP_DATA[[#This Row],[Top '[m']]]),"")</f>
        <v>8.4153846153846371E-2</v>
      </c>
      <c r="N21" s="108">
        <f t="shared" si="0"/>
        <v>77.504096478974631</v>
      </c>
      <c r="O21" s="108">
        <f>IFERROR((MP_DATA[[#This Row],[D, bottom '[m']]]+MP_DATA[[#This Row],[D, top '[m']]])/(2*MP_DATA[[#This Row],[t '[mm']]]/1000),"")</f>
        <v>84.905102040816303</v>
      </c>
      <c r="P21" s="108" t="str">
        <f>IFERROR((MP_DATA[[#This Row],[D, bottom '[m']]]+#REF!)/(2*#REF!/1000),"")</f>
        <v/>
      </c>
      <c r="AI21" s="105">
        <v>6</v>
      </c>
      <c r="AJ21" s="109">
        <v>-14</v>
      </c>
      <c r="AK21" s="109">
        <v>-17.899999999999999</v>
      </c>
      <c r="AL21" s="105">
        <v>8.1565999999999992</v>
      </c>
      <c r="AM21" s="105">
        <v>8.4847999999999999</v>
      </c>
      <c r="AN21" s="105">
        <v>98</v>
      </c>
      <c r="BF21" s="108" t="str">
        <f>IFERROR(TP_DATA[[#This Row],[Bottom '[m']]]-TP_DATA[[#This Row],[D, top '[m']]], "")</f>
        <v/>
      </c>
      <c r="BG21" s="108" t="str">
        <f>IFERROR(-(TP_DATA[[#This Row],[D, bottom '[m']]]-TP_DATA[[#This Row],[D, top '[m']]])/(TP_DATA[[#This Row],[Bottom '[m']]]-TP_DATA[[#This Row],[Top '[m']]]),"")</f>
        <v/>
      </c>
      <c r="BH21" s="108" t="str">
        <f t="shared" si="1"/>
        <v/>
      </c>
      <c r="BI21" s="108" t="str">
        <f>IFERROR((TP_DATA[[#This Row],[D, bottom '[m']]]+TP_DATA[[#This Row],[D, top '[m']]])/(2*TP_DATA[[#This Row],[t '[mm']]]/1000),"")</f>
        <v/>
      </c>
      <c r="BJ21" s="108" t="str">
        <f>IFERROR((TP_DATA[[#This Row],[D, bottom '[m']]]+#REF!)/(2*#REF!/1000),"")</f>
        <v/>
      </c>
      <c r="BK21" s="102" t="s">
        <v>97</v>
      </c>
      <c r="BL21" s="102">
        <v>5.6</v>
      </c>
      <c r="BM21" s="102">
        <v>5.6</v>
      </c>
      <c r="BN21" s="102">
        <v>60000</v>
      </c>
      <c r="BO21" s="102"/>
      <c r="BP21" s="102"/>
      <c r="BQ21" s="102"/>
      <c r="BR21" s="102"/>
      <c r="BS21" s="102"/>
      <c r="CC21" s="105"/>
      <c r="CD21" s="105"/>
      <c r="CE21" s="105"/>
      <c r="CF21" s="105"/>
      <c r="CG21" s="105"/>
      <c r="CH21" s="105"/>
      <c r="CJ21" s="95" t="s">
        <v>97</v>
      </c>
      <c r="CK21" s="95">
        <v>5.6</v>
      </c>
      <c r="CL21" s="95">
        <v>5.6</v>
      </c>
      <c r="CM21" s="95">
        <v>60000</v>
      </c>
      <c r="CT21" s="102">
        <v>6</v>
      </c>
      <c r="CU21" s="102">
        <v>136.38899999999998</v>
      </c>
      <c r="CV21" s="102">
        <v>135.29999999999998</v>
      </c>
      <c r="CW21" s="102">
        <v>6.258</v>
      </c>
      <c r="CX21" s="102">
        <v>6.258</v>
      </c>
      <c r="CY21" s="102">
        <v>58</v>
      </c>
      <c r="CZ21" s="108">
        <f>IFERROR(TOWER_DATA[[#This Row],[Top '[m']]]-TOWER_DATA[[#This Row],[Bottom '[m']]], "")</f>
        <v>1.0889999999999986</v>
      </c>
      <c r="DA21" s="108">
        <f>IFERROR(-(TOWER_DATA[[#This Row],[D, bottom '[m']]]-TOWER_DATA[[#This Row],[D, top '[m']]])/(TOWER_DATA[[#This Row],[Bottom '[m']]]-TOWER_DATA[[#This Row],[Top '[m']]]),"")</f>
        <v>0</v>
      </c>
      <c r="DB21" s="108">
        <f t="shared" si="2"/>
        <v>9.6575528233044903</v>
      </c>
      <c r="DC21" s="108">
        <f>IFERROR((TOWER_DATA[[#This Row],[D, bottom '[m']]]+TOWER_DATA[[#This Row],[D, top '[m']]])/(2*TOWER_DATA[[#This Row],[t '[mm']]]/1000),"")</f>
        <v>107.89655172413792</v>
      </c>
      <c r="DD21" s="108" t="str">
        <f>IFERROR((TOWER_DATA[[#This Row],[D, bottom '[m']]]+#REF!)/(2*#REF!/1000),"")</f>
        <v/>
      </c>
      <c r="DE21" s="110" t="s">
        <v>256</v>
      </c>
      <c r="DF21" s="110">
        <v>135.999</v>
      </c>
      <c r="DG21" s="110">
        <v>135.999</v>
      </c>
      <c r="DH21" s="110">
        <v>88</v>
      </c>
      <c r="DI21" s="110"/>
      <c r="DJ21" s="110"/>
      <c r="DK21" s="110"/>
      <c r="DL21" s="110"/>
      <c r="DM21" s="110"/>
      <c r="DW21" s="105">
        <v>6</v>
      </c>
      <c r="DX21" s="105">
        <v>136.38899999999998</v>
      </c>
      <c r="DY21" s="105">
        <v>135.29999999999998</v>
      </c>
      <c r="DZ21" s="105">
        <v>6.258</v>
      </c>
      <c r="EA21" s="105">
        <v>6.258</v>
      </c>
      <c r="EB21" s="105">
        <v>58</v>
      </c>
      <c r="ED21" s="111" t="s">
        <v>256</v>
      </c>
      <c r="EE21" s="111">
        <v>135.999</v>
      </c>
      <c r="EF21" s="111">
        <v>135.999</v>
      </c>
      <c r="EG21" s="111">
        <v>88</v>
      </c>
      <c r="EH21" s="111"/>
      <c r="EI21" s="111"/>
      <c r="EJ21" s="111"/>
      <c r="EK21" s="111"/>
      <c r="EL21" s="111"/>
      <c r="EN21" s="103" t="s">
        <v>155</v>
      </c>
      <c r="EO21" s="103">
        <v>15</v>
      </c>
      <c r="EP21" s="103">
        <v>240</v>
      </c>
      <c r="EQ21" s="103">
        <v>1102065</v>
      </c>
      <c r="ER21" s="103">
        <v>276287200</v>
      </c>
      <c r="ES21" s="103">
        <v>276287200</v>
      </c>
      <c r="ET21" s="103">
        <v>3.4</v>
      </c>
      <c r="EU21" s="113">
        <v>3.4</v>
      </c>
      <c r="EV21" s="103" t="s">
        <v>156</v>
      </c>
      <c r="EX21" s="104" t="s">
        <v>155</v>
      </c>
      <c r="EY21" s="104">
        <v>15</v>
      </c>
      <c r="EZ21" s="95">
        <v>240</v>
      </c>
      <c r="FA21" s="95">
        <v>1102065</v>
      </c>
      <c r="FB21" s="104">
        <v>276287200</v>
      </c>
      <c r="FC21" s="104">
        <v>276287200</v>
      </c>
      <c r="FD21" s="104">
        <v>3.4</v>
      </c>
      <c r="FE21" s="95">
        <v>3.4</v>
      </c>
      <c r="FF21" s="95" t="s">
        <v>156</v>
      </c>
    </row>
    <row r="22" spans="1:162" x14ac:dyDescent="0.3">
      <c r="F22" s="107">
        <v>7</v>
      </c>
      <c r="G22" s="107">
        <v>-17.899999999999999</v>
      </c>
      <c r="H22" s="107">
        <v>-21.8</v>
      </c>
      <c r="I22" s="107">
        <v>8.4847999999999999</v>
      </c>
      <c r="J22" s="107">
        <v>8.8131000000000004</v>
      </c>
      <c r="K22" s="107">
        <v>94</v>
      </c>
      <c r="L22" s="108">
        <f>IFERROR(MP_DATA[[#This Row],[Bottom '[m']]]-MP_DATA[[#This Row],[D, top '[m']]], "")</f>
        <v>-30.284800000000001</v>
      </c>
      <c r="M22" s="108">
        <f>IFERROR(-(MP_DATA[[#This Row],[D, bottom '[m']]]-MP_DATA[[#This Row],[D, top '[m']]])/(MP_DATA[[#This Row],[Bottom '[m']]]-MP_DATA[[#This Row],[Top '[m']]]),"")</f>
        <v>8.4179487179487256E-2</v>
      </c>
      <c r="N22" s="108">
        <f t="shared" si="0"/>
        <v>77.34450523878759</v>
      </c>
      <c r="O22" s="108">
        <f>IFERROR((MP_DATA[[#This Row],[D, bottom '[m']]]+MP_DATA[[#This Row],[D, top '[m']]])/(2*MP_DATA[[#This Row],[t '[mm']]]/1000),"")</f>
        <v>92.010106382978719</v>
      </c>
      <c r="P22" s="108" t="str">
        <f>IFERROR((MP_DATA[[#This Row],[D, bottom '[m']]]+#REF!)/(2*#REF!/1000),"")</f>
        <v/>
      </c>
      <c r="V22" s="114" t="s">
        <v>267</v>
      </c>
      <c r="AI22" s="105">
        <v>7</v>
      </c>
      <c r="AJ22" s="109">
        <v>-17.899999999999999</v>
      </c>
      <c r="AK22" s="109">
        <v>-21.8</v>
      </c>
      <c r="AL22" s="105">
        <v>8.4847999999999999</v>
      </c>
      <c r="AM22" s="105">
        <v>8.8131000000000004</v>
      </c>
      <c r="AN22" s="105">
        <v>94</v>
      </c>
      <c r="BF22" s="108" t="str">
        <f>IFERROR(TP_DATA[[#This Row],[Bottom '[m']]]-TP_DATA[[#This Row],[D, top '[m']]], "")</f>
        <v/>
      </c>
      <c r="BG22" s="108" t="str">
        <f>IFERROR(-(TP_DATA[[#This Row],[D, bottom '[m']]]-TP_DATA[[#This Row],[D, top '[m']]])/(TP_DATA[[#This Row],[Bottom '[m']]]-TP_DATA[[#This Row],[Top '[m']]]),"")</f>
        <v/>
      </c>
      <c r="BH22" s="108" t="str">
        <f t="shared" si="1"/>
        <v/>
      </c>
      <c r="BI22" s="108" t="str">
        <f>IFERROR((TP_DATA[[#This Row],[D, bottom '[m']]]+TP_DATA[[#This Row],[D, top '[m']]])/(2*TP_DATA[[#This Row],[t '[mm']]]/1000),"")</f>
        <v/>
      </c>
      <c r="BJ22" s="108" t="str">
        <f>IFERROR((TP_DATA[[#This Row],[D, bottom '[m']]]+#REF!)/(2*#REF!/1000),"")</f>
        <v/>
      </c>
      <c r="CC22" s="105"/>
      <c r="CD22" s="105"/>
      <c r="CE22" s="105"/>
      <c r="CF22" s="105"/>
      <c r="CG22" s="105"/>
      <c r="CH22" s="105"/>
      <c r="CT22" s="102">
        <v>7</v>
      </c>
      <c r="CU22" s="102">
        <v>135.29999999999998</v>
      </c>
      <c r="CV22" s="102">
        <v>133.47499999999997</v>
      </c>
      <c r="CW22" s="102">
        <v>6.258</v>
      </c>
      <c r="CX22" s="102">
        <v>6.2229999999999999</v>
      </c>
      <c r="CY22" s="102">
        <v>58</v>
      </c>
      <c r="CZ22" s="108">
        <f>IFERROR(TOWER_DATA[[#This Row],[Top '[m']]]-TOWER_DATA[[#This Row],[Bottom '[m']]], "")</f>
        <v>1.8250000000000171</v>
      </c>
      <c r="DA22" s="108">
        <f>IFERROR(-(TOWER_DATA[[#This Row],[D, bottom '[m']]]-TOWER_DATA[[#This Row],[D, top '[m']]])/(TOWER_DATA[[#This Row],[Bottom '[m']]]-TOWER_DATA[[#This Row],[Top '[m']]]),"")</f>
        <v>-1.9178082191780719E-2</v>
      </c>
      <c r="DB22" s="108">
        <f t="shared" si="2"/>
        <v>16.138921784175626</v>
      </c>
      <c r="DC22" s="108">
        <f>IFERROR((TOWER_DATA[[#This Row],[D, bottom '[m']]]+TOWER_DATA[[#This Row],[D, top '[m']]])/(2*TOWER_DATA[[#This Row],[t '[mm']]]/1000),"")</f>
        <v>107.59482758620689</v>
      </c>
      <c r="DD22" s="108" t="str">
        <f>IFERROR((TOWER_DATA[[#This Row],[D, bottom '[m']]]+#REF!)/(2*#REF!/1000),"")</f>
        <v/>
      </c>
      <c r="DE22" s="110" t="s">
        <v>256</v>
      </c>
      <c r="DF22" s="110">
        <v>134.91</v>
      </c>
      <c r="DG22" s="110">
        <v>134.91</v>
      </c>
      <c r="DH22" s="110">
        <v>41600</v>
      </c>
      <c r="DI22" s="110"/>
      <c r="DJ22" s="110"/>
      <c r="DK22" s="110"/>
      <c r="DL22" s="110"/>
      <c r="DM22" s="110"/>
      <c r="DW22" s="105">
        <v>7</v>
      </c>
      <c r="DX22" s="105">
        <v>135.29999999999998</v>
      </c>
      <c r="DY22" s="105">
        <v>133.47499999999997</v>
      </c>
      <c r="DZ22" s="105">
        <v>6.258</v>
      </c>
      <c r="EA22" s="105">
        <v>6.2229999999999999</v>
      </c>
      <c r="EB22" s="105">
        <v>58</v>
      </c>
      <c r="ED22" s="111" t="s">
        <v>256</v>
      </c>
      <c r="EE22" s="111">
        <v>134.91</v>
      </c>
      <c r="EF22" s="111">
        <v>134.91</v>
      </c>
      <c r="EG22" s="111">
        <v>41600</v>
      </c>
      <c r="EH22" s="111"/>
      <c r="EI22" s="111"/>
      <c r="EJ22" s="111"/>
      <c r="EK22" s="111"/>
      <c r="EL22" s="111"/>
      <c r="EN22" s="103" t="s">
        <v>250</v>
      </c>
      <c r="EO22" s="103" t="s">
        <v>156</v>
      </c>
      <c r="EP22" s="103" t="s">
        <v>156</v>
      </c>
      <c r="EQ22" s="103">
        <v>1394251</v>
      </c>
      <c r="ER22" s="103">
        <v>382420000</v>
      </c>
      <c r="ES22" s="103">
        <v>639730000</v>
      </c>
      <c r="ET22" s="103">
        <v>6.59</v>
      </c>
      <c r="EU22" s="103">
        <v>5.74</v>
      </c>
      <c r="EV22" s="103" t="s">
        <v>260</v>
      </c>
      <c r="EX22" s="104" t="s">
        <v>250</v>
      </c>
      <c r="EY22" s="104" t="s">
        <v>156</v>
      </c>
      <c r="EZ22" s="95" t="s">
        <v>156</v>
      </c>
      <c r="FA22" s="95">
        <v>1394251</v>
      </c>
      <c r="FB22" s="104">
        <v>382420000</v>
      </c>
      <c r="FC22" s="104">
        <v>639730000</v>
      </c>
      <c r="FD22" s="95">
        <v>6.59</v>
      </c>
      <c r="FE22" s="95">
        <v>5.74</v>
      </c>
      <c r="FF22" s="95" t="s">
        <v>260</v>
      </c>
    </row>
    <row r="23" spans="1:162" x14ac:dyDescent="0.3">
      <c r="F23" s="107">
        <v>8</v>
      </c>
      <c r="G23" s="107">
        <v>-21.8</v>
      </c>
      <c r="H23" s="107">
        <v>-25.7</v>
      </c>
      <c r="I23" s="107">
        <v>8.8131000000000004</v>
      </c>
      <c r="J23" s="107">
        <v>9.1414000000000009</v>
      </c>
      <c r="K23" s="107">
        <v>92</v>
      </c>
      <c r="L23" s="108">
        <f>IFERROR(MP_DATA[[#This Row],[Bottom '[m']]]-MP_DATA[[#This Row],[D, top '[m']]], "")</f>
        <v>-34.513100000000001</v>
      </c>
      <c r="M23" s="108">
        <f>IFERROR(-(MP_DATA[[#This Row],[D, bottom '[m']]]-MP_DATA[[#This Row],[D, top '[m']]])/(MP_DATA[[#This Row],[Bottom '[m']]]-MP_DATA[[#This Row],[Top '[m']]]),"")</f>
        <v>8.4179487179487339E-2</v>
      </c>
      <c r="N23" s="108">
        <f t="shared" si="0"/>
        <v>78.621552553821701</v>
      </c>
      <c r="O23" s="108">
        <f>IFERROR((MP_DATA[[#This Row],[D, bottom '[m']]]+MP_DATA[[#This Row],[D, top '[m']]])/(2*MP_DATA[[#This Row],[t '[mm']]]/1000),"")</f>
        <v>97.578804347826107</v>
      </c>
      <c r="P23" s="108" t="str">
        <f>IFERROR((MP_DATA[[#This Row],[D, bottom '[m']]]+#REF!)/(2*#REF!/1000),"")</f>
        <v/>
      </c>
      <c r="AI23" s="105">
        <v>8</v>
      </c>
      <c r="AJ23" s="109">
        <v>-21.8</v>
      </c>
      <c r="AK23" s="109">
        <v>-25.7</v>
      </c>
      <c r="AL23" s="105">
        <v>8.8131000000000004</v>
      </c>
      <c r="AM23" s="105">
        <v>9.1414000000000009</v>
      </c>
      <c r="AN23" s="105">
        <v>92</v>
      </c>
      <c r="BF23" s="108" t="str">
        <f>IFERROR(TP_DATA[[#This Row],[Bottom '[m']]]-TP_DATA[[#This Row],[D, top '[m']]], "")</f>
        <v/>
      </c>
      <c r="BG23" s="108" t="str">
        <f>IFERROR(-(TP_DATA[[#This Row],[D, bottom '[m']]]-TP_DATA[[#This Row],[D, top '[m']]])/(TP_DATA[[#This Row],[Bottom '[m']]]-TP_DATA[[#This Row],[Top '[m']]]),"")</f>
        <v/>
      </c>
      <c r="BH23" s="108" t="str">
        <f t="shared" si="1"/>
        <v/>
      </c>
      <c r="BI23" s="108" t="str">
        <f>IFERROR((TP_DATA[[#This Row],[D, bottom '[m']]]+TP_DATA[[#This Row],[D, top '[m']]])/(2*TP_DATA[[#This Row],[t '[mm']]]/1000),"")</f>
        <v/>
      </c>
      <c r="BJ23" s="108" t="str">
        <f>IFERROR((TP_DATA[[#This Row],[D, bottom '[m']]]+#REF!)/(2*#REF!/1000),"")</f>
        <v/>
      </c>
      <c r="CC23" s="105"/>
      <c r="CD23" s="105"/>
      <c r="CE23" s="105"/>
      <c r="CF23" s="105"/>
      <c r="CG23" s="105"/>
      <c r="CH23" s="105"/>
      <c r="CT23" s="102">
        <v>8</v>
      </c>
      <c r="CU23" s="102">
        <v>133.47499999999997</v>
      </c>
      <c r="CV23" s="102">
        <v>131.23999999999998</v>
      </c>
      <c r="CW23" s="102">
        <v>6.2229999999999999</v>
      </c>
      <c r="CX23" s="102">
        <v>6.2229999999999999</v>
      </c>
      <c r="CY23" s="102">
        <v>23</v>
      </c>
      <c r="CZ23" s="108">
        <f>IFERROR(TOWER_DATA[[#This Row],[Top '[m']]]-TOWER_DATA[[#This Row],[Bottom '[m']]], "")</f>
        <v>2.2349999999999852</v>
      </c>
      <c r="DA23" s="108">
        <f>IFERROR(-(TOWER_DATA[[#This Row],[D, bottom '[m']]]-TOWER_DATA[[#This Row],[D, top '[m']]])/(TOWER_DATA[[#This Row],[Bottom '[m']]]-TOWER_DATA[[#This Row],[Top '[m']]]),"")</f>
        <v>0</v>
      </c>
      <c r="DB23" s="108">
        <f t="shared" si="2"/>
        <v>7.8598920693133492</v>
      </c>
      <c r="DC23" s="108">
        <f>IFERROR((TOWER_DATA[[#This Row],[D, bottom '[m']]]+TOWER_DATA[[#This Row],[D, top '[m']]])/(2*TOWER_DATA[[#This Row],[t '[mm']]]/1000),"")</f>
        <v>270.56521739130437</v>
      </c>
      <c r="DD23" s="108" t="str">
        <f>IFERROR((TOWER_DATA[[#This Row],[D, bottom '[m']]]+#REF!)/(2*#REF!/1000),"")</f>
        <v/>
      </c>
      <c r="DE23" s="110" t="s">
        <v>256</v>
      </c>
      <c r="DF23" s="110">
        <v>133.08499999999998</v>
      </c>
      <c r="DG23" s="110">
        <v>133.08499999999998</v>
      </c>
      <c r="DH23" s="110">
        <v>88</v>
      </c>
      <c r="DI23" s="110"/>
      <c r="DJ23" s="110"/>
      <c r="DK23" s="110"/>
      <c r="DL23" s="110"/>
      <c r="DM23" s="110"/>
      <c r="DW23" s="105">
        <v>8</v>
      </c>
      <c r="DX23" s="105">
        <v>133.47499999999997</v>
      </c>
      <c r="DY23" s="105">
        <v>131.23999999999998</v>
      </c>
      <c r="DZ23" s="105">
        <v>6.2229999999999999</v>
      </c>
      <c r="EA23" s="105">
        <v>6.2229999999999999</v>
      </c>
      <c r="EB23" s="105">
        <v>23</v>
      </c>
      <c r="ED23" s="111" t="s">
        <v>256</v>
      </c>
      <c r="EE23" s="111">
        <v>133.08499999999998</v>
      </c>
      <c r="EF23" s="111">
        <v>133.08499999999998</v>
      </c>
      <c r="EG23" s="111">
        <v>88</v>
      </c>
      <c r="EH23" s="111"/>
      <c r="EI23" s="111"/>
      <c r="EJ23" s="111"/>
      <c r="EK23" s="111"/>
      <c r="EL23" s="111"/>
      <c r="EU23" s="108"/>
      <c r="EV23" s="108"/>
    </row>
    <row r="24" spans="1:162" x14ac:dyDescent="0.3">
      <c r="F24" s="107">
        <v>9</v>
      </c>
      <c r="G24" s="107">
        <v>-25.7</v>
      </c>
      <c r="H24" s="107">
        <v>-29.6</v>
      </c>
      <c r="I24" s="107">
        <v>9.1414000000000009</v>
      </c>
      <c r="J24" s="107">
        <v>9.4696999999999996</v>
      </c>
      <c r="K24" s="107">
        <v>90</v>
      </c>
      <c r="L24" s="108">
        <f>IFERROR(MP_DATA[[#This Row],[Bottom '[m']]]-MP_DATA[[#This Row],[D, top '[m']]], "")</f>
        <v>-38.741399999999999</v>
      </c>
      <c r="M24" s="108">
        <f>IFERROR(-(MP_DATA[[#This Row],[D, bottom '[m']]]-MP_DATA[[#This Row],[D, top '[m']]])/(MP_DATA[[#This Row],[Bottom '[m']]]-MP_DATA[[#This Row],[Top '[m']]]),"")</f>
        <v>8.4179487179486798E-2</v>
      </c>
      <c r="N24" s="108">
        <f t="shared" si="0"/>
        <v>79.771527039027319</v>
      </c>
      <c r="O24" s="108">
        <f>IFERROR((MP_DATA[[#This Row],[D, bottom '[m']]]+MP_DATA[[#This Row],[D, top '[m']]])/(2*MP_DATA[[#This Row],[t '[mm']]]/1000),"")</f>
        <v>103.39500000000001</v>
      </c>
      <c r="P24" s="108" t="str">
        <f>IFERROR((MP_DATA[[#This Row],[D, bottom '[m']]]+#REF!)/(2*#REF!/1000),"")</f>
        <v/>
      </c>
      <c r="AI24" s="105">
        <v>9</v>
      </c>
      <c r="AJ24" s="109">
        <v>-25.7</v>
      </c>
      <c r="AK24" s="109">
        <v>-29.6</v>
      </c>
      <c r="AL24" s="105">
        <v>9.1414000000000009</v>
      </c>
      <c r="AM24" s="105">
        <v>9.4696999999999996</v>
      </c>
      <c r="AN24" s="105">
        <v>90</v>
      </c>
      <c r="BF24" s="108" t="str">
        <f>IFERROR(TP_DATA[[#This Row],[Bottom '[m']]]-TP_DATA[[#This Row],[D, top '[m']]], "")</f>
        <v/>
      </c>
      <c r="BG24" s="108" t="str">
        <f>IFERROR(-(TP_DATA[[#This Row],[D, bottom '[m']]]-TP_DATA[[#This Row],[D, top '[m']]])/(TP_DATA[[#This Row],[Bottom '[m']]]-TP_DATA[[#This Row],[Top '[m']]]),"")</f>
        <v/>
      </c>
      <c r="BH24" s="108" t="str">
        <f t="shared" si="1"/>
        <v/>
      </c>
      <c r="BI24" s="108" t="str">
        <f>IFERROR((TP_DATA[[#This Row],[D, bottom '[m']]]+TP_DATA[[#This Row],[D, top '[m']]])/(2*TP_DATA[[#This Row],[t '[mm']]]/1000),"")</f>
        <v/>
      </c>
      <c r="BJ24" s="108" t="str">
        <f>IFERROR((TP_DATA[[#This Row],[D, bottom '[m']]]+#REF!)/(2*#REF!/1000),"")</f>
        <v/>
      </c>
      <c r="CC24" s="105"/>
      <c r="CD24" s="105"/>
      <c r="CE24" s="105"/>
      <c r="CF24" s="105"/>
      <c r="CG24" s="105"/>
      <c r="CH24" s="105"/>
      <c r="CT24" s="102">
        <v>9</v>
      </c>
      <c r="CU24" s="102">
        <v>131.23999999999998</v>
      </c>
      <c r="CV24" s="102">
        <v>130.89999999999998</v>
      </c>
      <c r="CW24" s="102">
        <v>6.2229999999999999</v>
      </c>
      <c r="CX24" s="102">
        <v>6.2229999999999999</v>
      </c>
      <c r="CY24" s="102">
        <v>23</v>
      </c>
      <c r="CZ24" s="108">
        <f>IFERROR(TOWER_DATA[[#This Row],[Top '[m']]]-TOWER_DATA[[#This Row],[Bottom '[m']]], "")</f>
        <v>0.34000000000000341</v>
      </c>
      <c r="DA24" s="108">
        <f>IFERROR(-(TOWER_DATA[[#This Row],[D, bottom '[m']]]-TOWER_DATA[[#This Row],[D, top '[m']]])/(TOWER_DATA[[#This Row],[Bottom '[m']]]-TOWER_DATA[[#This Row],[Top '[m']]]),"")</f>
        <v>0</v>
      </c>
      <c r="DB24" s="108">
        <f t="shared" si="2"/>
        <v>1.1956882790007084</v>
      </c>
      <c r="DC24" s="108">
        <f>IFERROR((TOWER_DATA[[#This Row],[D, bottom '[m']]]+TOWER_DATA[[#This Row],[D, top '[m']]])/(2*TOWER_DATA[[#This Row],[t '[mm']]]/1000),"")</f>
        <v>270.56521739130437</v>
      </c>
      <c r="DD24" s="108" t="str">
        <f>IFERROR((TOWER_DATA[[#This Row],[D, bottom '[m']]]+#REF!)/(2*#REF!/1000),"")</f>
        <v/>
      </c>
      <c r="DE24" s="110" t="s">
        <v>256</v>
      </c>
      <c r="DF24" s="110">
        <v>131.23999999999998</v>
      </c>
      <c r="DG24" s="110">
        <v>131.23999999999998</v>
      </c>
      <c r="DH24" s="110">
        <v>92</v>
      </c>
      <c r="DI24" s="110"/>
      <c r="DJ24" s="110"/>
      <c r="DK24" s="110"/>
      <c r="DL24" s="110"/>
      <c r="DM24" s="110"/>
      <c r="DW24" s="105">
        <v>9</v>
      </c>
      <c r="DX24" s="105">
        <v>131.23999999999998</v>
      </c>
      <c r="DY24" s="105">
        <v>130.89999999999998</v>
      </c>
      <c r="DZ24" s="105">
        <v>6.2229999999999999</v>
      </c>
      <c r="EA24" s="105">
        <v>6.2229999999999999</v>
      </c>
      <c r="EB24" s="105">
        <v>23</v>
      </c>
      <c r="ED24" s="111" t="s">
        <v>256</v>
      </c>
      <c r="EE24" s="111">
        <v>131.23999999999998</v>
      </c>
      <c r="EF24" s="111">
        <v>131.23999999999998</v>
      </c>
      <c r="EG24" s="111">
        <v>92</v>
      </c>
      <c r="EH24" s="111"/>
      <c r="EI24" s="111"/>
      <c r="EJ24" s="111"/>
      <c r="EK24" s="111"/>
      <c r="EL24" s="111"/>
      <c r="EU24" s="108"/>
      <c r="EV24" s="108"/>
    </row>
    <row r="25" spans="1:162" x14ac:dyDescent="0.3">
      <c r="A25" s="65" t="s">
        <v>255</v>
      </c>
      <c r="F25" s="107">
        <v>10</v>
      </c>
      <c r="G25" s="102">
        <v>-29.6</v>
      </c>
      <c r="H25" s="107">
        <v>-33.5</v>
      </c>
      <c r="I25" s="102">
        <v>9.4696999999999996</v>
      </c>
      <c r="J25" s="107">
        <v>9.8000000000000007</v>
      </c>
      <c r="K25" s="102">
        <v>90</v>
      </c>
      <c r="L25" s="108">
        <f>IFERROR(MP_DATA[[#This Row],[Bottom '[m']]]-MP_DATA[[#This Row],[D, top '[m']]], "")</f>
        <v>-42.969700000000003</v>
      </c>
      <c r="M25" s="95">
        <f>IFERROR(-(MP_DATA[[#This Row],[D, bottom '[m']]]-MP_DATA[[#This Row],[D, top '[m']]])/(MP_DATA[[#This Row],[Bottom '[m']]]-MP_DATA[[#This Row],[Top '[m']]]),"")</f>
        <v>8.4692307692308011E-2</v>
      </c>
      <c r="N25" s="108">
        <f t="shared" si="0"/>
        <v>82.622009522867344</v>
      </c>
      <c r="O25" s="108">
        <f>IFERROR((MP_DATA[[#This Row],[D, bottom '[m']]]+MP_DATA[[#This Row],[D, top '[m']]])/(2*MP_DATA[[#This Row],[t '[mm']]]/1000),"")</f>
        <v>107.05388888888889</v>
      </c>
      <c r="P25" s="108" t="str">
        <f>IFERROR((MP_DATA[[#This Row],[D, bottom '[m']]]+#REF!)/(2*#REF!/1000),"")</f>
        <v/>
      </c>
      <c r="AI25" s="105">
        <v>10</v>
      </c>
      <c r="AJ25" s="109">
        <v>-29.6</v>
      </c>
      <c r="AK25" s="109">
        <v>-33.5</v>
      </c>
      <c r="AL25" s="105">
        <v>9.4696999999999996</v>
      </c>
      <c r="AM25" s="105">
        <v>9.8000000000000007</v>
      </c>
      <c r="AN25" s="105">
        <v>90</v>
      </c>
      <c r="BF25" s="108" t="str">
        <f>IFERROR(TP_DATA[[#This Row],[Bottom '[m']]]-TP_DATA[[#This Row],[D, top '[m']]], "")</f>
        <v/>
      </c>
      <c r="BG25" s="108" t="str">
        <f>IFERROR(-(TP_DATA[[#This Row],[D, bottom '[m']]]-TP_DATA[[#This Row],[D, top '[m']]])/(TP_DATA[[#This Row],[Bottom '[m']]]-TP_DATA[[#This Row],[Top '[m']]]),"")</f>
        <v/>
      </c>
      <c r="BH25" s="108" t="str">
        <f t="shared" si="1"/>
        <v/>
      </c>
      <c r="BI25" s="108" t="str">
        <f>IFERROR((TP_DATA[[#This Row],[D, bottom '[m']]]+TP_DATA[[#This Row],[D, top '[m']]])/(2*TP_DATA[[#This Row],[t '[mm']]]/1000),"")</f>
        <v/>
      </c>
      <c r="BJ25" s="108" t="str">
        <f>IFERROR((TP_DATA[[#This Row],[D, bottom '[m']]]+#REF!)/(2*#REF!/1000),"")</f>
        <v/>
      </c>
      <c r="CC25" s="105"/>
      <c r="CD25" s="105"/>
      <c r="CE25" s="105"/>
      <c r="CF25" s="105"/>
      <c r="CG25" s="105"/>
      <c r="CH25" s="105"/>
      <c r="CT25" s="102">
        <v>10</v>
      </c>
      <c r="CU25" s="102">
        <v>130.89999999999998</v>
      </c>
      <c r="CV25" s="102">
        <v>128.48999999999998</v>
      </c>
      <c r="CW25" s="102">
        <v>6.2229999999999999</v>
      </c>
      <c r="CX25" s="102">
        <v>6.2229999999999999</v>
      </c>
      <c r="CY25" s="102">
        <v>23</v>
      </c>
      <c r="CZ25" s="108">
        <f>IFERROR(TOWER_DATA[[#This Row],[Top '[m']]]-TOWER_DATA[[#This Row],[Bottom '[m']]], "")</f>
        <v>2.4099999999999966</v>
      </c>
      <c r="DA25" s="108">
        <f>IFERROR(-(TOWER_DATA[[#This Row],[D, bottom '[m']]]-TOWER_DATA[[#This Row],[D, top '[m']]])/(TOWER_DATA[[#This Row],[Bottom '[m']]]-TOWER_DATA[[#This Row],[Top '[m']]]),"")</f>
        <v>0</v>
      </c>
      <c r="DB25" s="108">
        <f t="shared" si="2"/>
        <v>8.475319859975512</v>
      </c>
      <c r="DC25" s="108">
        <f>IFERROR((TOWER_DATA[[#This Row],[D, bottom '[m']]]+TOWER_DATA[[#This Row],[D, top '[m']]])/(2*TOWER_DATA[[#This Row],[t '[mm']]]/1000),"")</f>
        <v>270.56521739130437</v>
      </c>
      <c r="DD25" s="108" t="str">
        <f>IFERROR((TOWER_DATA[[#This Row],[D, bottom '[m']]]+#REF!)/(2*#REF!/1000),"")</f>
        <v/>
      </c>
      <c r="DE25" s="110" t="s">
        <v>256</v>
      </c>
      <c r="DF25" s="110">
        <v>130.89999999999998</v>
      </c>
      <c r="DG25" s="110">
        <v>130.89999999999998</v>
      </c>
      <c r="DH25" s="110">
        <v>138</v>
      </c>
      <c r="DI25" s="110"/>
      <c r="DJ25" s="110"/>
      <c r="DK25" s="110"/>
      <c r="DL25" s="110"/>
      <c r="DM25" s="110"/>
      <c r="DU25" t="s">
        <v>269</v>
      </c>
      <c r="DW25" s="105">
        <v>10</v>
      </c>
      <c r="DX25" s="105">
        <v>130.89999999999998</v>
      </c>
      <c r="DY25" s="105">
        <v>128.48999999999998</v>
      </c>
      <c r="DZ25" s="105">
        <v>6.2229999999999999</v>
      </c>
      <c r="EA25" s="105">
        <v>6.2229999999999999</v>
      </c>
      <c r="EB25" s="105">
        <v>23</v>
      </c>
      <c r="ED25" s="111" t="s">
        <v>256</v>
      </c>
      <c r="EE25" s="111">
        <v>130.89999999999998</v>
      </c>
      <c r="EF25" s="111">
        <v>130.89999999999998</v>
      </c>
      <c r="EG25" s="111">
        <v>138</v>
      </c>
      <c r="EH25" s="111"/>
      <c r="EI25" s="111"/>
      <c r="EJ25" s="111"/>
      <c r="EK25" s="111"/>
      <c r="EL25" s="111"/>
      <c r="EU25" s="108"/>
      <c r="EV25" s="108"/>
    </row>
    <row r="26" spans="1:162" x14ac:dyDescent="0.3">
      <c r="F26" s="107">
        <v>11</v>
      </c>
      <c r="G26" s="102">
        <v>-33.5</v>
      </c>
      <c r="H26" s="107">
        <v>-36.799999999999997</v>
      </c>
      <c r="I26" s="102">
        <v>9.8000000000000007</v>
      </c>
      <c r="J26" s="107">
        <v>9.8000000000000007</v>
      </c>
      <c r="K26" s="102">
        <v>90</v>
      </c>
      <c r="L26" s="108">
        <f>IFERROR(MP_DATA[[#This Row],[Bottom '[m']]]-MP_DATA[[#This Row],[D, top '[m']]], "")</f>
        <v>-46.599999999999994</v>
      </c>
      <c r="M26" s="95">
        <f>IFERROR(-(MP_DATA[[#This Row],[D, bottom '[m']]]-MP_DATA[[#This Row],[D, top '[m']]])/(MP_DATA[[#This Row],[Bottom '[m']]]-MP_DATA[[#This Row],[Top '[m']]]),"")</f>
        <v>0</v>
      </c>
      <c r="N26" s="108">
        <f t="shared" si="0"/>
        <v>71.120566726377618</v>
      </c>
      <c r="O26" s="108">
        <f>IFERROR((MP_DATA[[#This Row],[D, bottom '[m']]]+MP_DATA[[#This Row],[D, top '[m']]])/(2*MP_DATA[[#This Row],[t '[mm']]]/1000),"")</f>
        <v>108.8888888888889</v>
      </c>
      <c r="P26" s="108" t="str">
        <f>IFERROR((MP_DATA[[#This Row],[D, bottom '[m']]]+#REF!)/(2*#REF!/1000),"")</f>
        <v/>
      </c>
      <c r="AI26" s="105">
        <v>11</v>
      </c>
      <c r="AJ26" s="109">
        <v>-33.5</v>
      </c>
      <c r="AK26" s="109">
        <v>-36.799999999999997</v>
      </c>
      <c r="AL26" s="105">
        <v>9.8000000000000007</v>
      </c>
      <c r="AM26" s="105">
        <v>9.8000000000000007</v>
      </c>
      <c r="AN26" s="105">
        <v>90</v>
      </c>
      <c r="BF26" s="108" t="str">
        <f>IFERROR(TP_DATA[[#This Row],[Bottom '[m']]]-TP_DATA[[#This Row],[D, top '[m']]], "")</f>
        <v/>
      </c>
      <c r="BG26" s="108" t="str">
        <f>IFERROR(-(TP_DATA[[#This Row],[D, bottom '[m']]]-TP_DATA[[#This Row],[D, top '[m']]])/(TP_DATA[[#This Row],[Bottom '[m']]]-TP_DATA[[#This Row],[Top '[m']]]),"")</f>
        <v/>
      </c>
      <c r="BH26" s="108" t="str">
        <f t="shared" si="1"/>
        <v/>
      </c>
      <c r="BI26" s="108" t="str">
        <f>IFERROR((TP_DATA[[#This Row],[D, bottom '[m']]]+TP_DATA[[#This Row],[D, top '[m']]])/(2*TP_DATA[[#This Row],[t '[mm']]]/1000),"")</f>
        <v/>
      </c>
      <c r="BJ26" s="108" t="str">
        <f>IFERROR((TP_DATA[[#This Row],[D, bottom '[m']]]+#REF!)/(2*#REF!/1000),"")</f>
        <v/>
      </c>
      <c r="CC26" s="105"/>
      <c r="CD26" s="105"/>
      <c r="CE26" s="105"/>
      <c r="CF26" s="105"/>
      <c r="CG26" s="105"/>
      <c r="CH26" s="105"/>
      <c r="CT26" s="102">
        <v>11</v>
      </c>
      <c r="CU26" s="102">
        <v>128.48999999999998</v>
      </c>
      <c r="CV26" s="102">
        <v>125.74000000000001</v>
      </c>
      <c r="CW26" s="102">
        <v>6.2229999999999999</v>
      </c>
      <c r="CX26" s="102">
        <v>6.2229999999999999</v>
      </c>
      <c r="CY26" s="102">
        <v>23</v>
      </c>
      <c r="CZ26" s="108">
        <f>IFERROR(TOWER_DATA[[#This Row],[Top '[m']]]-TOWER_DATA[[#This Row],[Bottom '[m']]], "")</f>
        <v>2.7499999999999716</v>
      </c>
      <c r="DA26" s="108">
        <f>IFERROR(-(TOWER_DATA[[#This Row],[D, bottom '[m']]]-TOWER_DATA[[#This Row],[D, top '[m']]])/(TOWER_DATA[[#This Row],[Bottom '[m']]]-TOWER_DATA[[#This Row],[Top '[m']]]),"")</f>
        <v>0</v>
      </c>
      <c r="DB26" s="108">
        <f t="shared" si="2"/>
        <v>9.6710081389761218</v>
      </c>
      <c r="DC26" s="108">
        <f>IFERROR((TOWER_DATA[[#This Row],[D, bottom '[m']]]+TOWER_DATA[[#This Row],[D, top '[m']]])/(2*TOWER_DATA[[#This Row],[t '[mm']]]/1000),"")</f>
        <v>270.56521739130437</v>
      </c>
      <c r="DD26" s="108" t="str">
        <f>IFERROR((TOWER_DATA[[#This Row],[D, bottom '[m']]]+#REF!)/(2*#REF!/1000),"")</f>
        <v/>
      </c>
      <c r="DE26" s="110" t="s">
        <v>256</v>
      </c>
      <c r="DF26" s="110">
        <v>125.74</v>
      </c>
      <c r="DG26" s="110">
        <v>125.74</v>
      </c>
      <c r="DH26" s="110">
        <v>138</v>
      </c>
      <c r="DI26" s="110"/>
      <c r="DJ26" s="110"/>
      <c r="DK26" s="110"/>
      <c r="DL26" s="110"/>
      <c r="DM26" s="110"/>
      <c r="DW26" s="105">
        <v>11</v>
      </c>
      <c r="DX26" s="105">
        <v>128.48999999999998</v>
      </c>
      <c r="DY26" s="105">
        <v>125.74000000000001</v>
      </c>
      <c r="DZ26" s="105">
        <v>6.2229999999999999</v>
      </c>
      <c r="EA26" s="105">
        <v>6.2229999999999999</v>
      </c>
      <c r="EB26" s="105">
        <v>23</v>
      </c>
      <c r="ED26" s="111" t="s">
        <v>256</v>
      </c>
      <c r="EE26" s="111">
        <v>125.74</v>
      </c>
      <c r="EF26" s="111">
        <v>125.74</v>
      </c>
      <c r="EG26" s="111">
        <v>138</v>
      </c>
      <c r="EH26" s="111"/>
      <c r="EI26" s="111"/>
      <c r="EJ26" s="111"/>
      <c r="EK26" s="111"/>
      <c r="EL26" s="111"/>
      <c r="EU26" s="108"/>
      <c r="EV26" s="108"/>
    </row>
    <row r="27" spans="1:162" x14ac:dyDescent="0.3">
      <c r="F27" s="107">
        <v>12</v>
      </c>
      <c r="G27" s="102">
        <v>-36.799999999999997</v>
      </c>
      <c r="H27" s="107">
        <v>-40.200000000000003</v>
      </c>
      <c r="I27" s="102">
        <v>9.8000000000000007</v>
      </c>
      <c r="J27" s="107">
        <v>9.8000000000000007</v>
      </c>
      <c r="K27" s="102">
        <v>98</v>
      </c>
      <c r="L27" s="108">
        <f>IFERROR(MP_DATA[[#This Row],[Bottom '[m']]]-MP_DATA[[#This Row],[D, top '[m']]], "")</f>
        <v>-50</v>
      </c>
      <c r="M27" s="95">
        <f>IFERROR(-(MP_DATA[[#This Row],[D, bottom '[m']]]-MP_DATA[[#This Row],[D, top '[m']]])/(MP_DATA[[#This Row],[Bottom '[m']]]-MP_DATA[[#This Row],[Top '[m']]]),"")</f>
        <v>0</v>
      </c>
      <c r="N27" s="108">
        <f t="shared" si="0"/>
        <v>79.723396418003802</v>
      </c>
      <c r="O27" s="108">
        <f>IFERROR((MP_DATA[[#This Row],[D, bottom '[m']]]+MP_DATA[[#This Row],[D, top '[m']]])/(2*MP_DATA[[#This Row],[t '[mm']]]/1000),"")</f>
        <v>100</v>
      </c>
      <c r="P27" s="108" t="str">
        <f>IFERROR((MP_DATA[[#This Row],[D, bottom '[m']]]+#REF!)/(2*#REF!/1000),"")</f>
        <v/>
      </c>
      <c r="AI27" s="105">
        <v>12</v>
      </c>
      <c r="AJ27" s="109">
        <v>-36.799999999999997</v>
      </c>
      <c r="AK27" s="109">
        <v>-40.200000000000003</v>
      </c>
      <c r="AL27" s="105">
        <v>9.8000000000000007</v>
      </c>
      <c r="AM27" s="105">
        <v>9.8000000000000007</v>
      </c>
      <c r="AN27" s="105">
        <v>98</v>
      </c>
      <c r="BF27" s="108" t="str">
        <f>IFERROR(TP_DATA[[#This Row],[Bottom '[m']]]-TP_DATA[[#This Row],[D, top '[m']]], "")</f>
        <v/>
      </c>
      <c r="BG27" s="108" t="str">
        <f>IFERROR(-(TP_DATA[[#This Row],[D, bottom '[m']]]-TP_DATA[[#This Row],[D, top '[m']]])/(TP_DATA[[#This Row],[Bottom '[m']]]-TP_DATA[[#This Row],[Top '[m']]]),"")</f>
        <v/>
      </c>
      <c r="BH27" s="108" t="str">
        <f t="shared" si="1"/>
        <v/>
      </c>
      <c r="BI27" s="108" t="str">
        <f>IFERROR((TP_DATA[[#This Row],[D, bottom '[m']]]+TP_DATA[[#This Row],[D, top '[m']]])/(2*TP_DATA[[#This Row],[t '[mm']]]/1000),"")</f>
        <v/>
      </c>
      <c r="BJ27" s="108" t="str">
        <f>IFERROR((TP_DATA[[#This Row],[D, bottom '[m']]]+#REF!)/(2*#REF!/1000),"")</f>
        <v/>
      </c>
      <c r="CC27" s="105"/>
      <c r="CD27" s="105"/>
      <c r="CE27" s="105"/>
      <c r="CF27" s="105"/>
      <c r="CG27" s="105"/>
      <c r="CH27" s="105"/>
      <c r="CT27" s="102">
        <v>12</v>
      </c>
      <c r="CU27" s="102">
        <v>125.74000000000001</v>
      </c>
      <c r="CV27" s="102">
        <v>123.667</v>
      </c>
      <c r="CW27" s="102">
        <v>6.2229999999999999</v>
      </c>
      <c r="CX27" s="102">
        <v>6.2229999999999999</v>
      </c>
      <c r="CY27" s="102">
        <v>23</v>
      </c>
      <c r="CZ27" s="108">
        <f>IFERROR(TOWER_DATA[[#This Row],[Top '[m']]]-TOWER_DATA[[#This Row],[Bottom '[m']]], "")</f>
        <v>2.0730000000000075</v>
      </c>
      <c r="DA27" s="108">
        <f>IFERROR(-(TOWER_DATA[[#This Row],[D, bottom '[m']]]-TOWER_DATA[[#This Row],[D, top '[m']]])/(TOWER_DATA[[#This Row],[Bottom '[m']]]-TOWER_DATA[[#This Row],[Top '[m']]]),"")</f>
        <v>0</v>
      </c>
      <c r="DB27" s="108">
        <f t="shared" si="2"/>
        <v>7.2901817716719197</v>
      </c>
      <c r="DC27" s="108">
        <f>IFERROR((TOWER_DATA[[#This Row],[D, bottom '[m']]]+TOWER_DATA[[#This Row],[D, top '[m']]])/(2*TOWER_DATA[[#This Row],[t '[mm']]]/1000),"")</f>
        <v>270.56521739130437</v>
      </c>
      <c r="DD27" s="108" t="str">
        <f>IFERROR((TOWER_DATA[[#This Row],[D, bottom '[m']]]+#REF!)/(2*#REF!/1000),"")</f>
        <v/>
      </c>
      <c r="DE27" s="110" t="s">
        <v>256</v>
      </c>
      <c r="DF27" s="110">
        <v>123.66699999999999</v>
      </c>
      <c r="DG27" s="110">
        <v>123.66699999999999</v>
      </c>
      <c r="DH27" s="110">
        <v>147</v>
      </c>
      <c r="DI27" s="110"/>
      <c r="DJ27" s="110"/>
      <c r="DK27" s="110"/>
      <c r="DL27" s="110"/>
      <c r="DM27" s="110"/>
      <c r="DW27" s="105">
        <v>12</v>
      </c>
      <c r="DX27" s="105">
        <v>125.74000000000001</v>
      </c>
      <c r="DY27" s="105">
        <v>123.667</v>
      </c>
      <c r="DZ27" s="105">
        <v>6.2229999999999999</v>
      </c>
      <c r="EA27" s="105">
        <v>6.2229999999999999</v>
      </c>
      <c r="EB27" s="105">
        <v>23</v>
      </c>
      <c r="ED27" s="111" t="s">
        <v>256</v>
      </c>
      <c r="EE27" s="111">
        <v>123.66699999999999</v>
      </c>
      <c r="EF27" s="111">
        <v>123.66699999999999</v>
      </c>
      <c r="EG27" s="111">
        <v>147</v>
      </c>
      <c r="EH27" s="111"/>
      <c r="EI27" s="111"/>
      <c r="EJ27" s="111"/>
      <c r="EK27" s="111"/>
      <c r="EL27" s="111"/>
      <c r="EU27" s="108"/>
      <c r="EV27" s="108"/>
    </row>
    <row r="28" spans="1:162" x14ac:dyDescent="0.3">
      <c r="F28" s="107">
        <v>13</v>
      </c>
      <c r="G28" s="102">
        <v>-40.200000000000003</v>
      </c>
      <c r="H28" s="107">
        <v>-43.8</v>
      </c>
      <c r="I28" s="102">
        <v>9.8000000000000007</v>
      </c>
      <c r="J28" s="107">
        <v>9.8000000000000007</v>
      </c>
      <c r="K28" s="102">
        <v>88</v>
      </c>
      <c r="L28" s="108">
        <f>IFERROR(MP_DATA[[#This Row],[Bottom '[m']]]-MP_DATA[[#This Row],[D, top '[m']]], "")</f>
        <v>-53.599999999999994</v>
      </c>
      <c r="M28" s="95">
        <f>IFERROR(-(MP_DATA[[#This Row],[D, bottom '[m']]]-MP_DATA[[#This Row],[D, top '[m']]])/(MP_DATA[[#This Row],[Bottom '[m']]]-MP_DATA[[#This Row],[Top '[m']]]),"")</f>
        <v>0</v>
      </c>
      <c r="N28" s="108">
        <f t="shared" si="0"/>
        <v>75.87756336934649</v>
      </c>
      <c r="O28" s="108">
        <f>IFERROR((MP_DATA[[#This Row],[D, bottom '[m']]]+MP_DATA[[#This Row],[D, top '[m']]])/(2*MP_DATA[[#This Row],[t '[mm']]]/1000),"")</f>
        <v>111.36363636363637</v>
      </c>
      <c r="P28" s="108" t="str">
        <f>IFERROR((MP_DATA[[#This Row],[D, bottom '[m']]]+#REF!)/(2*#REF!/1000),"")</f>
        <v/>
      </c>
      <c r="AI28" s="105">
        <v>13</v>
      </c>
      <c r="AJ28" s="109">
        <v>-40.200000000000003</v>
      </c>
      <c r="AK28" s="109">
        <v>-43.8</v>
      </c>
      <c r="AL28" s="105">
        <v>9.8000000000000007</v>
      </c>
      <c r="AM28" s="105">
        <v>9.8000000000000007</v>
      </c>
      <c r="AN28" s="105">
        <v>88</v>
      </c>
      <c r="BF28" s="108" t="str">
        <f>IFERROR(TP_DATA[[#This Row],[Bottom '[m']]]-TP_DATA[[#This Row],[D, top '[m']]], "")</f>
        <v/>
      </c>
      <c r="BG28" s="108" t="str">
        <f>IFERROR(-(TP_DATA[[#This Row],[D, bottom '[m']]]-TP_DATA[[#This Row],[D, top '[m']]])/(TP_DATA[[#This Row],[Bottom '[m']]]-TP_DATA[[#This Row],[Top '[m']]]),"")</f>
        <v/>
      </c>
      <c r="BH28" s="108" t="str">
        <f t="shared" si="1"/>
        <v/>
      </c>
      <c r="BI28" s="108" t="str">
        <f>IFERROR((TP_DATA[[#This Row],[D, bottom '[m']]]+TP_DATA[[#This Row],[D, top '[m']]])/(2*TP_DATA[[#This Row],[t '[mm']]]/1000),"")</f>
        <v/>
      </c>
      <c r="BJ28" s="108" t="str">
        <f>IFERROR((TP_DATA[[#This Row],[D, bottom '[m']]]+#REF!)/(2*#REF!/1000),"")</f>
        <v/>
      </c>
      <c r="CC28" s="105"/>
      <c r="CD28" s="105"/>
      <c r="CE28" s="105"/>
      <c r="CF28" s="105"/>
      <c r="CG28" s="105"/>
      <c r="CH28" s="105"/>
      <c r="CT28" s="102">
        <v>13</v>
      </c>
      <c r="CU28" s="102">
        <v>123.667</v>
      </c>
      <c r="CV28" s="102">
        <v>122.81</v>
      </c>
      <c r="CW28" s="102">
        <v>6.2229999999999999</v>
      </c>
      <c r="CX28" s="102">
        <v>6.2229999999999999</v>
      </c>
      <c r="CY28" s="102">
        <v>23</v>
      </c>
      <c r="CZ28" s="108">
        <f>IFERROR(TOWER_DATA[[#This Row],[Top '[m']]]-TOWER_DATA[[#This Row],[Bottom '[m']]], "")</f>
        <v>0.85699999999999932</v>
      </c>
      <c r="DA28" s="108">
        <f>IFERROR(-(TOWER_DATA[[#This Row],[D, bottom '[m']]]-TOWER_DATA[[#This Row],[D, top '[m']]])/(TOWER_DATA[[#This Row],[Bottom '[m']]]-TOWER_DATA[[#This Row],[Top '[m']]]),"")</f>
        <v>0</v>
      </c>
      <c r="DB28" s="108">
        <f t="shared" si="2"/>
        <v>3.0138378091282236</v>
      </c>
      <c r="DC28" s="108">
        <f>IFERROR((TOWER_DATA[[#This Row],[D, bottom '[m']]]+TOWER_DATA[[#This Row],[D, top '[m']]])/(2*TOWER_DATA[[#This Row],[t '[mm']]]/1000),"")</f>
        <v>270.56521739130437</v>
      </c>
      <c r="DD28" s="108" t="str">
        <f>IFERROR((TOWER_DATA[[#This Row],[D, bottom '[m']]]+#REF!)/(2*#REF!/1000),"")</f>
        <v/>
      </c>
      <c r="DE28" s="110" t="s">
        <v>256</v>
      </c>
      <c r="DF28" s="110">
        <v>120.89999999999999</v>
      </c>
      <c r="DG28" s="110">
        <v>120.89999999999999</v>
      </c>
      <c r="DH28" s="110">
        <v>147</v>
      </c>
      <c r="DI28" s="110"/>
      <c r="DJ28" s="110"/>
      <c r="DK28" s="110"/>
      <c r="DL28" s="110"/>
      <c r="DM28" s="110"/>
      <c r="DW28" s="105">
        <v>13</v>
      </c>
      <c r="DX28" s="105">
        <v>123.667</v>
      </c>
      <c r="DY28" s="105">
        <v>122.81</v>
      </c>
      <c r="DZ28" s="105">
        <v>6.2229999999999999</v>
      </c>
      <c r="EA28" s="105">
        <v>6.2229999999999999</v>
      </c>
      <c r="EB28" s="105">
        <v>23</v>
      </c>
      <c r="ED28" s="111" t="s">
        <v>256</v>
      </c>
      <c r="EE28" s="111">
        <v>120.89999999999999</v>
      </c>
      <c r="EF28" s="111">
        <v>120.89999999999999</v>
      </c>
      <c r="EG28" s="111">
        <v>147</v>
      </c>
      <c r="EH28" s="111"/>
      <c r="EI28" s="111"/>
      <c r="EJ28" s="111"/>
      <c r="EK28" s="111"/>
      <c r="EL28" s="111"/>
      <c r="EU28" s="108"/>
      <c r="EV28" s="108"/>
    </row>
    <row r="29" spans="1:162" x14ac:dyDescent="0.3">
      <c r="F29" s="107">
        <v>14</v>
      </c>
      <c r="G29" s="107">
        <v>-43.8</v>
      </c>
      <c r="H29" s="107">
        <v>-47.8</v>
      </c>
      <c r="I29" s="107">
        <v>9.8000000000000007</v>
      </c>
      <c r="J29" s="107">
        <v>9.8000000000000007</v>
      </c>
      <c r="K29" s="107">
        <v>88</v>
      </c>
      <c r="L29" s="108">
        <f>IFERROR(MP_DATA[[#This Row],[Bottom '[m']]]-MP_DATA[[#This Row],[D, top '[m']]], "")</f>
        <v>-57.599999999999994</v>
      </c>
      <c r="M29" s="108">
        <f>IFERROR(-(MP_DATA[[#This Row],[D, bottom '[m']]]-MP_DATA[[#This Row],[D, top '[m']]])/(MP_DATA[[#This Row],[Bottom '[m']]]-MP_DATA[[#This Row],[Top '[m']]]),"")</f>
        <v>0</v>
      </c>
      <c r="N29" s="108">
        <f t="shared" si="0"/>
        <v>84.308403743718472</v>
      </c>
      <c r="O29" s="108">
        <f>IFERROR((MP_DATA[[#This Row],[D, bottom '[m']]]+MP_DATA[[#This Row],[D, top '[m']]])/(2*MP_DATA[[#This Row],[t '[mm']]]/1000),"")</f>
        <v>111.36363636363637</v>
      </c>
      <c r="P29" s="108" t="str">
        <f>IFERROR((MP_DATA[[#This Row],[D, bottom '[m']]]+#REF!)/(2*#REF!/1000),"")</f>
        <v/>
      </c>
      <c r="AI29" s="105">
        <v>14</v>
      </c>
      <c r="AJ29" s="109">
        <v>-43.8</v>
      </c>
      <c r="AK29" s="109">
        <v>-47.8</v>
      </c>
      <c r="AL29" s="105">
        <v>9.8000000000000007</v>
      </c>
      <c r="AM29" s="105">
        <v>9.8000000000000007</v>
      </c>
      <c r="AN29" s="105">
        <v>88</v>
      </c>
      <c r="BF29" s="108" t="str">
        <f>IFERROR(TP_DATA[[#This Row],[Bottom '[m']]]-TP_DATA[[#This Row],[D, top '[m']]], "")</f>
        <v/>
      </c>
      <c r="BG29" s="108" t="str">
        <f>IFERROR(-(TP_DATA[[#This Row],[D, bottom '[m']]]-TP_DATA[[#This Row],[D, top '[m']]])/(TP_DATA[[#This Row],[Bottom '[m']]]-TP_DATA[[#This Row],[Top '[m']]]),"")</f>
        <v/>
      </c>
      <c r="BH29" s="108" t="str">
        <f t="shared" si="1"/>
        <v/>
      </c>
      <c r="BI29" s="108" t="str">
        <f>IFERROR((TP_DATA[[#This Row],[D, bottom '[m']]]+TP_DATA[[#This Row],[D, top '[m']]])/(2*TP_DATA[[#This Row],[t '[mm']]]/1000),"")</f>
        <v/>
      </c>
      <c r="BJ29" s="108" t="str">
        <f>IFERROR((TP_DATA[[#This Row],[D, bottom '[m']]]+#REF!)/(2*#REF!/1000),"")</f>
        <v/>
      </c>
      <c r="CC29" s="105"/>
      <c r="CD29" s="105"/>
      <c r="CE29" s="105"/>
      <c r="CF29" s="105"/>
      <c r="CG29" s="105"/>
      <c r="CH29" s="105"/>
      <c r="CT29" s="102">
        <v>14</v>
      </c>
      <c r="CU29" s="102">
        <v>122.81</v>
      </c>
      <c r="CV29" s="102">
        <v>120.9</v>
      </c>
      <c r="CW29" s="102">
        <v>6.2229999999999999</v>
      </c>
      <c r="CX29" s="102">
        <v>6.2229999999999999</v>
      </c>
      <c r="CY29" s="102">
        <v>23</v>
      </c>
      <c r="CZ29" s="108">
        <f>IFERROR(TOWER_DATA[[#This Row],[Top '[m']]]-TOWER_DATA[[#This Row],[Bottom '[m']]], "")</f>
        <v>1.9099999999999966</v>
      </c>
      <c r="DA29" s="108">
        <f>IFERROR(-(TOWER_DATA[[#This Row],[D, bottom '[m']]]-TOWER_DATA[[#This Row],[D, top '[m']]])/(TOWER_DATA[[#This Row],[Bottom '[m']]]-TOWER_DATA[[#This Row],[Top '[m']]]),"")</f>
        <v>0</v>
      </c>
      <c r="DB29" s="108">
        <f t="shared" si="2"/>
        <v>6.7169547437980182</v>
      </c>
      <c r="DC29" s="108">
        <f>IFERROR((TOWER_DATA[[#This Row],[D, bottom '[m']]]+TOWER_DATA[[#This Row],[D, top '[m']]])/(2*TOWER_DATA[[#This Row],[t '[mm']]]/1000),"")</f>
        <v>270.56521739130437</v>
      </c>
      <c r="DD29" s="108" t="str">
        <f>IFERROR((TOWER_DATA[[#This Row],[D, bottom '[m']]]+#REF!)/(2*#REF!/1000),"")</f>
        <v/>
      </c>
      <c r="DE29" s="110" t="s">
        <v>256</v>
      </c>
      <c r="DF29" s="110">
        <v>119.88</v>
      </c>
      <c r="DG29" s="110">
        <v>119.88</v>
      </c>
      <c r="DH29" s="110">
        <v>1060</v>
      </c>
      <c r="DI29" s="110"/>
      <c r="DJ29" s="110"/>
      <c r="DK29" s="110"/>
      <c r="DL29" s="110"/>
      <c r="DM29" s="110"/>
      <c r="DW29" s="105">
        <v>14</v>
      </c>
      <c r="DX29" s="105">
        <v>122.81</v>
      </c>
      <c r="DY29" s="105">
        <v>120.9</v>
      </c>
      <c r="DZ29" s="105">
        <v>6.2229999999999999</v>
      </c>
      <c r="EA29" s="105">
        <v>6.2229999999999999</v>
      </c>
      <c r="EB29" s="105">
        <v>23</v>
      </c>
      <c r="ED29" s="111" t="s">
        <v>256</v>
      </c>
      <c r="EE29" s="111">
        <v>119.88</v>
      </c>
      <c r="EF29" s="111">
        <v>119.88</v>
      </c>
      <c r="EG29" s="111">
        <v>1060</v>
      </c>
      <c r="EH29" s="111"/>
      <c r="EI29" s="111"/>
      <c r="EJ29" s="111"/>
      <c r="EK29" s="111"/>
      <c r="EL29" s="111"/>
      <c r="EU29" s="108"/>
      <c r="EV29" s="108"/>
    </row>
    <row r="30" spans="1:162" x14ac:dyDescent="0.3">
      <c r="F30" s="107">
        <v>15</v>
      </c>
      <c r="G30" s="107">
        <v>-47.8</v>
      </c>
      <c r="H30" s="107">
        <v>-51.8</v>
      </c>
      <c r="I30" s="107">
        <v>9.8000000000000007</v>
      </c>
      <c r="J30" s="107">
        <v>9.8000000000000007</v>
      </c>
      <c r="K30" s="107">
        <v>88</v>
      </c>
      <c r="L30" s="108">
        <f>IFERROR(MP_DATA[[#This Row],[Bottom '[m']]]-MP_DATA[[#This Row],[D, top '[m']]], "")</f>
        <v>-61.599999999999994</v>
      </c>
      <c r="M30" s="108">
        <f>IFERROR(-(MP_DATA[[#This Row],[D, bottom '[m']]]-MP_DATA[[#This Row],[D, top '[m']]])/(MP_DATA[[#This Row],[Bottom '[m']]]-MP_DATA[[#This Row],[Top '[m']]]),"")</f>
        <v>0</v>
      </c>
      <c r="N30" s="108">
        <f t="shared" si="0"/>
        <v>84.308403743718472</v>
      </c>
      <c r="O30" s="108">
        <f>IFERROR((MP_DATA[[#This Row],[D, bottom '[m']]]+MP_DATA[[#This Row],[D, top '[m']]])/(2*MP_DATA[[#This Row],[t '[mm']]]/1000),"")</f>
        <v>111.36363636363637</v>
      </c>
      <c r="P30" s="108" t="str">
        <f>IFERROR((MP_DATA[[#This Row],[D, bottom '[m']]]+#REF!)/(2*#REF!/1000),"")</f>
        <v/>
      </c>
      <c r="AI30" s="105">
        <v>15</v>
      </c>
      <c r="AJ30" s="109">
        <v>-47.8</v>
      </c>
      <c r="AK30" s="109">
        <v>-51.8</v>
      </c>
      <c r="AL30" s="105">
        <v>9.8000000000000007</v>
      </c>
      <c r="AM30" s="105">
        <v>9.8000000000000007</v>
      </c>
      <c r="AN30" s="105">
        <v>88</v>
      </c>
      <c r="BF30" s="108" t="str">
        <f>IFERROR(TP_DATA[[#This Row],[Bottom '[m']]]-TP_DATA[[#This Row],[D, top '[m']]], "")</f>
        <v/>
      </c>
      <c r="BG30" s="108" t="str">
        <f>IFERROR(-(TP_DATA[[#This Row],[D, bottom '[m']]]-TP_DATA[[#This Row],[D, top '[m']]])/(TP_DATA[[#This Row],[Bottom '[m']]]-TP_DATA[[#This Row],[Top '[m']]]),"")</f>
        <v/>
      </c>
      <c r="BH30" s="108" t="str">
        <f t="shared" si="1"/>
        <v/>
      </c>
      <c r="BI30" s="108" t="str">
        <f>IFERROR((TP_DATA[[#This Row],[D, bottom '[m']]]+TP_DATA[[#This Row],[D, top '[m']]])/(2*TP_DATA[[#This Row],[t '[mm']]]/1000),"")</f>
        <v/>
      </c>
      <c r="BJ30" s="108" t="str">
        <f>IFERROR((TP_DATA[[#This Row],[D, bottom '[m']]]+#REF!)/(2*#REF!/1000),"")</f>
        <v/>
      </c>
      <c r="CC30" s="105"/>
      <c r="CD30" s="105"/>
      <c r="CE30" s="105"/>
      <c r="CF30" s="105"/>
      <c r="CG30" s="105"/>
      <c r="CH30" s="105"/>
      <c r="CT30" s="102">
        <v>15</v>
      </c>
      <c r="CU30" s="102">
        <v>120.9</v>
      </c>
      <c r="CV30" s="102">
        <v>119.88000000000001</v>
      </c>
      <c r="CW30" s="102">
        <v>6.2229999999999999</v>
      </c>
      <c r="CX30" s="102">
        <v>6.2229999999999999</v>
      </c>
      <c r="CY30" s="102">
        <v>23</v>
      </c>
      <c r="CZ30" s="108">
        <f>IFERROR(TOWER_DATA[[#This Row],[Top '[m']]]-TOWER_DATA[[#This Row],[Bottom '[m']]], "")</f>
        <v>1.019999999999996</v>
      </c>
      <c r="DA30" s="108">
        <f>IFERROR(-(TOWER_DATA[[#This Row],[D, bottom '[m']]]-TOWER_DATA[[#This Row],[D, top '[m']]])/(TOWER_DATA[[#This Row],[Bottom '[m']]]-TOWER_DATA[[#This Row],[Top '[m']]]),"")</f>
        <v>0</v>
      </c>
      <c r="DB30" s="108">
        <f t="shared" si="2"/>
        <v>3.587064837002075</v>
      </c>
      <c r="DC30" s="108">
        <f>IFERROR((TOWER_DATA[[#This Row],[D, bottom '[m']]]+TOWER_DATA[[#This Row],[D, top '[m']]])/(2*TOWER_DATA[[#This Row],[t '[mm']]]/1000),"")</f>
        <v>270.56521739130437</v>
      </c>
      <c r="DD30" s="108" t="str">
        <f>IFERROR((TOWER_DATA[[#This Row],[D, bottom '[m']]]+#REF!)/(2*#REF!/1000),"")</f>
        <v/>
      </c>
      <c r="DE30" s="110" t="s">
        <v>256</v>
      </c>
      <c r="DF30" s="110">
        <v>116.94999999999999</v>
      </c>
      <c r="DG30" s="110">
        <v>116.94999999999999</v>
      </c>
      <c r="DH30" s="110">
        <v>147</v>
      </c>
      <c r="DI30" s="110"/>
      <c r="DJ30" s="110"/>
      <c r="DK30" s="110"/>
      <c r="DL30" s="110"/>
      <c r="DM30" s="110"/>
      <c r="DW30" s="105">
        <v>15</v>
      </c>
      <c r="DX30" s="105">
        <v>120.9</v>
      </c>
      <c r="DY30" s="105">
        <v>119.88000000000001</v>
      </c>
      <c r="DZ30" s="105">
        <v>6.2229999999999999</v>
      </c>
      <c r="EA30" s="105">
        <v>6.2229999999999999</v>
      </c>
      <c r="EB30" s="105">
        <v>23</v>
      </c>
      <c r="ED30" s="111" t="s">
        <v>256</v>
      </c>
      <c r="EE30" s="111">
        <v>116.94999999999999</v>
      </c>
      <c r="EF30" s="111">
        <v>116.94999999999999</v>
      </c>
      <c r="EG30" s="111">
        <v>147</v>
      </c>
      <c r="EH30" s="111"/>
      <c r="EI30" s="111"/>
      <c r="EJ30" s="111"/>
      <c r="EK30" s="111"/>
      <c r="EL30" s="111"/>
      <c r="EU30" s="108"/>
      <c r="EV30" s="108"/>
    </row>
    <row r="31" spans="1:162" x14ac:dyDescent="0.3">
      <c r="F31" s="107">
        <v>16</v>
      </c>
      <c r="G31" s="107">
        <v>-51.8</v>
      </c>
      <c r="H31" s="107">
        <v>-55.8</v>
      </c>
      <c r="I31" s="107">
        <v>9.8000000000000007</v>
      </c>
      <c r="J31" s="107">
        <v>9.8000000000000007</v>
      </c>
      <c r="K31" s="107">
        <v>81</v>
      </c>
      <c r="L31" s="108">
        <f>IFERROR(MP_DATA[[#This Row],[Bottom '[m']]]-MP_DATA[[#This Row],[D, top '[m']]], "")</f>
        <v>-65.599999999999994</v>
      </c>
      <c r="M31" s="108">
        <f>IFERROR(-(MP_DATA[[#This Row],[D, bottom '[m']]]-MP_DATA[[#This Row],[D, top '[m']]])/(MP_DATA[[#This Row],[Bottom '[m']]]-MP_DATA[[#This Row],[Top '[m']]]),"")</f>
        <v>0</v>
      </c>
      <c r="N31" s="108">
        <f t="shared" si="0"/>
        <v>77.657985733209031</v>
      </c>
      <c r="O31" s="108">
        <f>IFERROR((MP_DATA[[#This Row],[D, bottom '[m']]]+MP_DATA[[#This Row],[D, top '[m']]])/(2*MP_DATA[[#This Row],[t '[mm']]]/1000),"")</f>
        <v>120.98765432098766</v>
      </c>
      <c r="P31" s="108" t="str">
        <f>IFERROR((MP_DATA[[#This Row],[D, bottom '[m']]]+#REF!)/(2*#REF!/1000),"")</f>
        <v/>
      </c>
      <c r="AI31" s="105">
        <v>16</v>
      </c>
      <c r="AJ31" s="109">
        <v>-51.8</v>
      </c>
      <c r="AK31" s="109">
        <v>-55.8</v>
      </c>
      <c r="AL31" s="105">
        <v>9.8000000000000007</v>
      </c>
      <c r="AM31" s="105">
        <v>9.8000000000000007</v>
      </c>
      <c r="AN31" s="105">
        <v>81</v>
      </c>
      <c r="BF31" s="108" t="str">
        <f>IFERROR(TP_DATA[[#This Row],[Bottom '[m']]]-TP_DATA[[#This Row],[D, top '[m']]], "")</f>
        <v/>
      </c>
      <c r="BG31" s="108" t="str">
        <f>IFERROR(-(TP_DATA[[#This Row],[D, bottom '[m']]]-TP_DATA[[#This Row],[D, top '[m']]])/(TP_DATA[[#This Row],[Bottom '[m']]]-TP_DATA[[#This Row],[Top '[m']]]),"")</f>
        <v/>
      </c>
      <c r="BH31" s="108" t="str">
        <f t="shared" si="1"/>
        <v/>
      </c>
      <c r="BI31" s="108" t="str">
        <f>IFERROR((TP_DATA[[#This Row],[D, bottom '[m']]]+TP_DATA[[#This Row],[D, top '[m']]])/(2*TP_DATA[[#This Row],[t '[mm']]]/1000),"")</f>
        <v/>
      </c>
      <c r="BJ31" s="108" t="str">
        <f>IFERROR((TP_DATA[[#This Row],[D, bottom '[m']]]+#REF!)/(2*#REF!/1000),"")</f>
        <v/>
      </c>
      <c r="CC31" s="105"/>
      <c r="CD31" s="105"/>
      <c r="CE31" s="105"/>
      <c r="CF31" s="105"/>
      <c r="CG31" s="105"/>
      <c r="CH31" s="105"/>
      <c r="CT31" s="102">
        <v>16</v>
      </c>
      <c r="CU31" s="102">
        <v>119.88000000000001</v>
      </c>
      <c r="CV31" s="102">
        <v>116.95</v>
      </c>
      <c r="CW31" s="102">
        <v>6.2229999999999999</v>
      </c>
      <c r="CX31" s="102">
        <v>6.2229999999999999</v>
      </c>
      <c r="CY31" s="102">
        <v>23</v>
      </c>
      <c r="CZ31" s="108">
        <f>IFERROR(TOWER_DATA[[#This Row],[Top '[m']]]-TOWER_DATA[[#This Row],[Bottom '[m']]], "")</f>
        <v>2.9300000000000068</v>
      </c>
      <c r="DA31" s="108">
        <f>IFERROR(-(TOWER_DATA[[#This Row],[D, bottom '[m']]]-TOWER_DATA[[#This Row],[D, top '[m']]])/(TOWER_DATA[[#This Row],[Bottom '[m']]]-TOWER_DATA[[#This Row],[Top '[m']]]),"")</f>
        <v>0</v>
      </c>
      <c r="DB31" s="108">
        <f t="shared" si="2"/>
        <v>10.304019580800142</v>
      </c>
      <c r="DC31" s="108">
        <f>IFERROR((TOWER_DATA[[#This Row],[D, bottom '[m']]]+TOWER_DATA[[#This Row],[D, top '[m']]])/(2*TOWER_DATA[[#This Row],[t '[mm']]]/1000),"")</f>
        <v>270.56521739130437</v>
      </c>
      <c r="DD31" s="108" t="str">
        <f>IFERROR((TOWER_DATA[[#This Row],[D, bottom '[m']]]+#REF!)/(2*#REF!/1000),"")</f>
        <v/>
      </c>
      <c r="DE31" s="110" t="s">
        <v>256</v>
      </c>
      <c r="DF31" s="110">
        <v>115.446</v>
      </c>
      <c r="DG31" s="110">
        <v>115.446</v>
      </c>
      <c r="DH31" s="110">
        <v>147</v>
      </c>
      <c r="DI31" s="110"/>
      <c r="DJ31" s="110"/>
      <c r="DK31" s="110"/>
      <c r="DL31" s="110"/>
      <c r="DM31" s="110"/>
      <c r="DW31" s="105">
        <v>16</v>
      </c>
      <c r="DX31" s="105">
        <v>119.88000000000001</v>
      </c>
      <c r="DY31" s="105">
        <v>116.95</v>
      </c>
      <c r="DZ31" s="105">
        <v>6.2229999999999999</v>
      </c>
      <c r="EA31" s="105">
        <v>6.2229999999999999</v>
      </c>
      <c r="EB31" s="105">
        <v>23</v>
      </c>
      <c r="ED31" s="111" t="s">
        <v>256</v>
      </c>
      <c r="EE31" s="111">
        <v>115.446</v>
      </c>
      <c r="EF31" s="111">
        <v>115.446</v>
      </c>
      <c r="EG31" s="111">
        <v>147</v>
      </c>
      <c r="EH31" s="111"/>
      <c r="EI31" s="111"/>
      <c r="EJ31" s="111"/>
      <c r="EK31" s="111"/>
      <c r="EL31" s="111"/>
      <c r="EU31" s="108"/>
      <c r="EV31" s="108"/>
    </row>
    <row r="32" spans="1:162" x14ac:dyDescent="0.3">
      <c r="F32" s="107">
        <v>17</v>
      </c>
      <c r="G32" s="107">
        <v>-55.8</v>
      </c>
      <c r="H32" s="107">
        <v>-59.8</v>
      </c>
      <c r="I32" s="107">
        <v>9.8000000000000007</v>
      </c>
      <c r="J32" s="107">
        <v>9.8000000000000007</v>
      </c>
      <c r="K32" s="107">
        <v>81</v>
      </c>
      <c r="L32" s="108">
        <f>IFERROR(MP_DATA[[#This Row],[Bottom '[m']]]-MP_DATA[[#This Row],[D, top '[m']]], "")</f>
        <v>-69.599999999999994</v>
      </c>
      <c r="M32" s="108">
        <f>IFERROR(-(MP_DATA[[#This Row],[D, bottom '[m']]]-MP_DATA[[#This Row],[D, top '[m']]])/(MP_DATA[[#This Row],[Bottom '[m']]]-MP_DATA[[#This Row],[Top '[m']]]),"")</f>
        <v>0</v>
      </c>
      <c r="N32" s="108">
        <f t="shared" si="0"/>
        <v>77.657985733209031</v>
      </c>
      <c r="O32" s="108">
        <f>IFERROR((MP_DATA[[#This Row],[D, bottom '[m']]]+MP_DATA[[#This Row],[D, top '[m']]])/(2*MP_DATA[[#This Row],[t '[mm']]]/1000),"")</f>
        <v>120.98765432098766</v>
      </c>
      <c r="P32" s="108" t="str">
        <f>IFERROR((MP_DATA[[#This Row],[D, bottom '[m']]]+#REF!)/(2*#REF!/1000),"")</f>
        <v/>
      </c>
      <c r="AI32" s="105">
        <v>17</v>
      </c>
      <c r="AJ32" s="109">
        <v>-55.8</v>
      </c>
      <c r="AK32" s="109">
        <v>-59.8</v>
      </c>
      <c r="AL32" s="105">
        <v>9.8000000000000007</v>
      </c>
      <c r="AM32" s="105">
        <v>9.8000000000000007</v>
      </c>
      <c r="AN32" s="105">
        <v>81</v>
      </c>
      <c r="BF32" s="108" t="str">
        <f>IFERROR(TP_DATA[[#This Row],[Bottom '[m']]]-TP_DATA[[#This Row],[D, top '[m']]], "")</f>
        <v/>
      </c>
      <c r="BG32" s="108" t="str">
        <f>IFERROR(-(TP_DATA[[#This Row],[D, bottom '[m']]]-TP_DATA[[#This Row],[D, top '[m']]])/(TP_DATA[[#This Row],[Bottom '[m']]]-TP_DATA[[#This Row],[Top '[m']]]),"")</f>
        <v/>
      </c>
      <c r="BH32" s="108" t="str">
        <f t="shared" si="1"/>
        <v/>
      </c>
      <c r="BI32" s="108" t="str">
        <f>IFERROR((TP_DATA[[#This Row],[D, bottom '[m']]]+TP_DATA[[#This Row],[D, top '[m']]])/(2*TP_DATA[[#This Row],[t '[mm']]]/1000),"")</f>
        <v/>
      </c>
      <c r="BJ32" s="108" t="str">
        <f>IFERROR((TP_DATA[[#This Row],[D, bottom '[m']]]+#REF!)/(2*#REF!/1000),"")</f>
        <v/>
      </c>
      <c r="CC32" s="105"/>
      <c r="CD32" s="105"/>
      <c r="CE32" s="105"/>
      <c r="CF32" s="105"/>
      <c r="CG32" s="105"/>
      <c r="CH32" s="105"/>
      <c r="CT32" s="102">
        <v>17</v>
      </c>
      <c r="CU32" s="102">
        <v>116.95</v>
      </c>
      <c r="CV32" s="102">
        <v>115.44600000000001</v>
      </c>
      <c r="CW32" s="102">
        <v>6.2229999999999999</v>
      </c>
      <c r="CX32" s="102">
        <v>6.2229999999999999</v>
      </c>
      <c r="CY32" s="102">
        <v>23</v>
      </c>
      <c r="CZ32" s="108">
        <f>IFERROR(TOWER_DATA[[#This Row],[Top '[m']]]-TOWER_DATA[[#This Row],[Bottom '[m']]], "")</f>
        <v>1.5039999999999907</v>
      </c>
      <c r="DA32" s="108">
        <f>IFERROR(-(TOWER_DATA[[#This Row],[D, bottom '[m']]]-TOWER_DATA[[#This Row],[D, top '[m']]])/(TOWER_DATA[[#This Row],[Bottom '[m']]]-TOWER_DATA[[#This Row],[Top '[m']]]),"")</f>
        <v>0</v>
      </c>
      <c r="DB32" s="108">
        <f t="shared" si="2"/>
        <v>5.2891622694618716</v>
      </c>
      <c r="DC32" s="108">
        <f>IFERROR((TOWER_DATA[[#This Row],[D, bottom '[m']]]+TOWER_DATA[[#This Row],[D, top '[m']]])/(2*TOWER_DATA[[#This Row],[t '[mm']]]/1000),"")</f>
        <v>270.56521739130437</v>
      </c>
      <c r="DD32" s="108" t="str">
        <f>IFERROR((TOWER_DATA[[#This Row],[D, bottom '[m']]]+#REF!)/(2*#REF!/1000),"")</f>
        <v/>
      </c>
      <c r="DE32" s="110" t="s">
        <v>256</v>
      </c>
      <c r="DF32" s="110">
        <v>111.08999999999999</v>
      </c>
      <c r="DG32" s="110">
        <v>111.08999999999999</v>
      </c>
      <c r="DH32" s="110">
        <v>147</v>
      </c>
      <c r="DI32" s="110"/>
      <c r="DJ32" s="110"/>
      <c r="DK32" s="110"/>
      <c r="DL32" s="110"/>
      <c r="DM32" s="110"/>
      <c r="DW32" s="105">
        <v>17</v>
      </c>
      <c r="DX32" s="105">
        <v>116.95</v>
      </c>
      <c r="DY32" s="105">
        <v>115.44600000000001</v>
      </c>
      <c r="DZ32" s="105">
        <v>6.2229999999999999</v>
      </c>
      <c r="EA32" s="105">
        <v>6.2229999999999999</v>
      </c>
      <c r="EB32" s="105">
        <v>23</v>
      </c>
      <c r="ED32" s="111" t="s">
        <v>256</v>
      </c>
      <c r="EE32" s="111">
        <v>111.08999999999999</v>
      </c>
      <c r="EF32" s="111">
        <v>111.08999999999999</v>
      </c>
      <c r="EG32" s="111">
        <v>147</v>
      </c>
      <c r="EH32" s="111"/>
      <c r="EI32" s="111"/>
      <c r="EJ32" s="111"/>
      <c r="EK32" s="111"/>
      <c r="EL32" s="111"/>
      <c r="EU32" s="108"/>
      <c r="EV32" s="108"/>
    </row>
    <row r="33" spans="6:152" x14ac:dyDescent="0.3">
      <c r="F33" s="107">
        <v>18</v>
      </c>
      <c r="G33" s="107">
        <v>-59.8</v>
      </c>
      <c r="H33" s="107">
        <v>-63.8</v>
      </c>
      <c r="I33" s="107">
        <v>9.8000000000000007</v>
      </c>
      <c r="J33" s="107">
        <v>9.8000000000000007</v>
      </c>
      <c r="K33" s="107">
        <v>81</v>
      </c>
      <c r="L33" s="108">
        <f>IFERROR(MP_DATA[[#This Row],[Bottom '[m']]]-MP_DATA[[#This Row],[D, top '[m']]], "")</f>
        <v>-73.599999999999994</v>
      </c>
      <c r="M33" s="108">
        <f>IFERROR(-(MP_DATA[[#This Row],[D, bottom '[m']]]-MP_DATA[[#This Row],[D, top '[m']]])/(MP_DATA[[#This Row],[Bottom '[m']]]-MP_DATA[[#This Row],[Top '[m']]]),"")</f>
        <v>0</v>
      </c>
      <c r="N33" s="108">
        <f t="shared" si="0"/>
        <v>77.657985733209031</v>
      </c>
      <c r="O33" s="108">
        <f>IFERROR((MP_DATA[[#This Row],[D, bottom '[m']]]+MP_DATA[[#This Row],[D, top '[m']]])/(2*MP_DATA[[#This Row],[t '[mm']]]/1000),"")</f>
        <v>120.98765432098766</v>
      </c>
      <c r="P33" s="108" t="str">
        <f>IFERROR((MP_DATA[[#This Row],[D, bottom '[m']]]+#REF!)/(2*#REF!/1000),"")</f>
        <v/>
      </c>
      <c r="AI33" s="105">
        <v>18</v>
      </c>
      <c r="AJ33" s="109">
        <v>-59.8</v>
      </c>
      <c r="AK33" s="109">
        <v>-63.8</v>
      </c>
      <c r="AL33" s="105">
        <v>9.8000000000000007</v>
      </c>
      <c r="AM33" s="105">
        <v>9.8000000000000007</v>
      </c>
      <c r="AN33" s="105">
        <v>81</v>
      </c>
      <c r="BF33" s="108" t="str">
        <f>IFERROR(TP_DATA[[#This Row],[Bottom '[m']]]-TP_DATA[[#This Row],[D, top '[m']]], "")</f>
        <v/>
      </c>
      <c r="BG33" s="108" t="str">
        <f>IFERROR(-(TP_DATA[[#This Row],[D, bottom '[m']]]-TP_DATA[[#This Row],[D, top '[m']]])/(TP_DATA[[#This Row],[Bottom '[m']]]-TP_DATA[[#This Row],[Top '[m']]]),"")</f>
        <v/>
      </c>
      <c r="BH33" s="108" t="str">
        <f t="shared" si="1"/>
        <v/>
      </c>
      <c r="BI33" s="108" t="str">
        <f>IFERROR((TP_DATA[[#This Row],[D, bottom '[m']]]+TP_DATA[[#This Row],[D, top '[m']]])/(2*TP_DATA[[#This Row],[t '[mm']]]/1000),"")</f>
        <v/>
      </c>
      <c r="BJ33" s="108" t="str">
        <f>IFERROR((TP_DATA[[#This Row],[D, bottom '[m']]]+#REF!)/(2*#REF!/1000),"")</f>
        <v/>
      </c>
      <c r="CC33" s="105"/>
      <c r="CD33" s="105"/>
      <c r="CE33" s="105"/>
      <c r="CF33" s="105"/>
      <c r="CG33" s="105"/>
      <c r="CH33" s="105"/>
      <c r="CT33" s="102">
        <v>18</v>
      </c>
      <c r="CU33" s="102">
        <v>115.44600000000001</v>
      </c>
      <c r="CV33" s="102">
        <v>114.02000000000001</v>
      </c>
      <c r="CW33" s="102">
        <v>6.2229999999999999</v>
      </c>
      <c r="CX33" s="102">
        <v>6.2240000000000002</v>
      </c>
      <c r="CY33" s="102">
        <v>23</v>
      </c>
      <c r="CZ33" s="108">
        <f>IFERROR(TOWER_DATA[[#This Row],[Top '[m']]]-TOWER_DATA[[#This Row],[Bottom '[m']]], "")</f>
        <v>1.4260000000000019</v>
      </c>
      <c r="DA33" s="108">
        <f>IFERROR(-(TOWER_DATA[[#This Row],[D, bottom '[m']]]-TOWER_DATA[[#This Row],[D, top '[m']]])/(TOWER_DATA[[#This Row],[Bottom '[m']]]-TOWER_DATA[[#This Row],[Top '[m']]]),"")</f>
        <v>7.0126227208999476E-4</v>
      </c>
      <c r="DB33" s="108">
        <f t="shared" si="2"/>
        <v>5.0152617353149624</v>
      </c>
      <c r="DC33" s="108">
        <f>IFERROR((TOWER_DATA[[#This Row],[D, bottom '[m']]]+TOWER_DATA[[#This Row],[D, top '[m']]])/(2*TOWER_DATA[[#This Row],[t '[mm']]]/1000),"")</f>
        <v>270.58695652173913</v>
      </c>
      <c r="DD33" s="108" t="str">
        <f>IFERROR((TOWER_DATA[[#This Row],[D, bottom '[m']]]+#REF!)/(2*#REF!/1000),"")</f>
        <v/>
      </c>
      <c r="DE33" s="110" t="s">
        <v>256</v>
      </c>
      <c r="DF33" s="110">
        <v>110.89999999999999</v>
      </c>
      <c r="DG33" s="110">
        <v>110.89999999999999</v>
      </c>
      <c r="DH33" s="110">
        <v>147</v>
      </c>
      <c r="DI33" s="110"/>
      <c r="DJ33" s="110"/>
      <c r="DK33" s="110"/>
      <c r="DL33" s="110"/>
      <c r="DM33" s="110"/>
      <c r="DW33" s="105">
        <v>18</v>
      </c>
      <c r="DX33" s="105">
        <v>115.44600000000001</v>
      </c>
      <c r="DY33" s="105">
        <v>114.02000000000001</v>
      </c>
      <c r="DZ33" s="105">
        <v>6.2229999999999999</v>
      </c>
      <c r="EA33" s="105">
        <v>6.2240000000000002</v>
      </c>
      <c r="EB33" s="105">
        <v>23</v>
      </c>
      <c r="ED33" s="111" t="s">
        <v>256</v>
      </c>
      <c r="EE33" s="111">
        <v>110.89999999999999</v>
      </c>
      <c r="EF33" s="111">
        <v>110.89999999999999</v>
      </c>
      <c r="EG33" s="111">
        <v>147</v>
      </c>
      <c r="EH33" s="111"/>
      <c r="EI33" s="111"/>
      <c r="EJ33" s="111"/>
      <c r="EK33" s="111"/>
      <c r="EL33" s="111"/>
      <c r="EU33" s="108"/>
      <c r="EV33" s="108"/>
    </row>
    <row r="34" spans="6:152" x14ac:dyDescent="0.3">
      <c r="F34" s="107">
        <v>19</v>
      </c>
      <c r="G34" s="107">
        <v>-63.8</v>
      </c>
      <c r="H34" s="107">
        <v>-67.599999999999994</v>
      </c>
      <c r="I34" s="107">
        <v>9.8000000000000007</v>
      </c>
      <c r="J34" s="107">
        <v>9.8000000000000007</v>
      </c>
      <c r="K34" s="107">
        <v>81</v>
      </c>
      <c r="L34" s="108">
        <f>IFERROR(MP_DATA[[#This Row],[Bottom '[m']]]-MP_DATA[[#This Row],[D, top '[m']]], "")</f>
        <v>-77.399999999999991</v>
      </c>
      <c r="M34" s="108">
        <f>IFERROR(-(MP_DATA[[#This Row],[D, bottom '[m']]]-MP_DATA[[#This Row],[D, top '[m']]])/(MP_DATA[[#This Row],[Bottom '[m']]]-MP_DATA[[#This Row],[Top '[m']]]),"")</f>
        <v>0</v>
      </c>
      <c r="N34" s="108">
        <f t="shared" si="0"/>
        <v>73.775086446548514</v>
      </c>
      <c r="O34" s="108">
        <f>IFERROR((MP_DATA[[#This Row],[D, bottom '[m']]]+MP_DATA[[#This Row],[D, top '[m']]])/(2*MP_DATA[[#This Row],[t '[mm']]]/1000),"")</f>
        <v>120.98765432098766</v>
      </c>
      <c r="P34" s="108" t="str">
        <f>IFERROR((MP_DATA[[#This Row],[D, bottom '[m']]]+#REF!)/(2*#REF!/1000),"")</f>
        <v/>
      </c>
      <c r="AI34" s="105">
        <v>19</v>
      </c>
      <c r="AJ34" s="109">
        <v>-63.8</v>
      </c>
      <c r="AK34" s="109">
        <v>-67.599999999999994</v>
      </c>
      <c r="AL34" s="105">
        <v>9.8000000000000007</v>
      </c>
      <c r="AM34" s="105">
        <v>9.8000000000000007</v>
      </c>
      <c r="AN34" s="105">
        <v>81</v>
      </c>
      <c r="BF34" s="108" t="str">
        <f>IFERROR(TP_DATA[[#This Row],[Bottom '[m']]]-TP_DATA[[#This Row],[D, top '[m']]], "")</f>
        <v/>
      </c>
      <c r="BG34" s="108" t="str">
        <f>IFERROR(-(TP_DATA[[#This Row],[D, bottom '[m']]]-TP_DATA[[#This Row],[D, top '[m']]])/(TP_DATA[[#This Row],[Bottom '[m']]]-TP_DATA[[#This Row],[Top '[m']]]),"")</f>
        <v/>
      </c>
      <c r="BH34" s="108" t="str">
        <f t="shared" si="1"/>
        <v/>
      </c>
      <c r="BI34" s="108" t="str">
        <f>IFERROR((TP_DATA[[#This Row],[D, bottom '[m']]]+TP_DATA[[#This Row],[D, top '[m']]])/(2*TP_DATA[[#This Row],[t '[mm']]]/1000),"")</f>
        <v/>
      </c>
      <c r="BJ34" s="108" t="str">
        <f>IFERROR((TP_DATA[[#This Row],[D, bottom '[m']]]+#REF!)/(2*#REF!/1000),"")</f>
        <v/>
      </c>
      <c r="CC34" s="105"/>
      <c r="CD34" s="105"/>
      <c r="CE34" s="105"/>
      <c r="CF34" s="105"/>
      <c r="CG34" s="105"/>
      <c r="CH34" s="105"/>
      <c r="CT34" s="102">
        <v>19</v>
      </c>
      <c r="CU34" s="102">
        <v>114.02000000000001</v>
      </c>
      <c r="CV34" s="102">
        <v>111.09</v>
      </c>
      <c r="CW34" s="102">
        <v>6.2240000000000002</v>
      </c>
      <c r="CX34" s="102">
        <v>6.2249999999999996</v>
      </c>
      <c r="CY34" s="102">
        <v>24</v>
      </c>
      <c r="CZ34" s="108">
        <f>IFERROR(TOWER_DATA[[#This Row],[Top '[m']]]-TOWER_DATA[[#This Row],[Bottom '[m']]], "")</f>
        <v>2.9300000000000068</v>
      </c>
      <c r="DA34" s="108">
        <f>IFERROR(-(TOWER_DATA[[#This Row],[D, bottom '[m']]]-TOWER_DATA[[#This Row],[D, top '[m']]])/(TOWER_DATA[[#This Row],[Bottom '[m']]]-TOWER_DATA[[#This Row],[Top '[m']]]),"")</f>
        <v>3.412969283274551E-4</v>
      </c>
      <c r="DB34" s="108">
        <f t="shared" si="2"/>
        <v>10.752887530560983</v>
      </c>
      <c r="DC34" s="108">
        <f>IFERROR((TOWER_DATA[[#This Row],[D, bottom '[m']]]+TOWER_DATA[[#This Row],[D, top '[m']]])/(2*TOWER_DATA[[#This Row],[t '[mm']]]/1000),"")</f>
        <v>259.35416666666669</v>
      </c>
      <c r="DD34" s="108" t="str">
        <f>IFERROR((TOWER_DATA[[#This Row],[D, bottom '[m']]]+#REF!)/(2*#REF!/1000),"")</f>
        <v/>
      </c>
      <c r="DE34" s="110" t="s">
        <v>256</v>
      </c>
      <c r="DF34" s="110">
        <v>107.22399999999999</v>
      </c>
      <c r="DG34" s="110">
        <v>107.22399999999999</v>
      </c>
      <c r="DH34" s="110">
        <v>147</v>
      </c>
      <c r="DI34" s="110"/>
      <c r="DJ34" s="110"/>
      <c r="DK34" s="110"/>
      <c r="DL34" s="110"/>
      <c r="DM34" s="110"/>
      <c r="DW34" s="105">
        <v>19</v>
      </c>
      <c r="DX34" s="105">
        <v>114.02000000000001</v>
      </c>
      <c r="DY34" s="105">
        <v>111.09</v>
      </c>
      <c r="DZ34" s="105">
        <v>6.2240000000000002</v>
      </c>
      <c r="EA34" s="105">
        <v>6.2249999999999996</v>
      </c>
      <c r="EB34" s="105">
        <v>24</v>
      </c>
      <c r="ED34" s="111" t="s">
        <v>256</v>
      </c>
      <c r="EE34" s="111">
        <v>107.22399999999999</v>
      </c>
      <c r="EF34" s="111">
        <v>107.22399999999999</v>
      </c>
      <c r="EG34" s="111">
        <v>147</v>
      </c>
      <c r="EH34" s="111"/>
      <c r="EI34" s="111"/>
      <c r="EJ34" s="111"/>
      <c r="EK34" s="111"/>
      <c r="EL34" s="111"/>
      <c r="EU34" s="108"/>
      <c r="EV34" s="108"/>
    </row>
    <row r="35" spans="6:152" x14ac:dyDescent="0.3">
      <c r="F35" s="107">
        <v>20</v>
      </c>
      <c r="G35" s="107">
        <v>-67.599999999999994</v>
      </c>
      <c r="H35" s="107">
        <v>-70.7</v>
      </c>
      <c r="I35" s="107">
        <v>9.8000000000000007</v>
      </c>
      <c r="J35" s="107">
        <v>9.8000000000000007</v>
      </c>
      <c r="K35" s="107">
        <v>81</v>
      </c>
      <c r="L35" s="108">
        <f>IFERROR(MP_DATA[[#This Row],[Bottom '[m']]]-MP_DATA[[#This Row],[D, top '[m']]], "")</f>
        <v>-80.5</v>
      </c>
      <c r="M35" s="108">
        <f>IFERROR(-(MP_DATA[[#This Row],[D, bottom '[m']]]-MP_DATA[[#This Row],[D, top '[m']]])/(MP_DATA[[#This Row],[Bottom '[m']]]-MP_DATA[[#This Row],[Top '[m']]]),"")</f>
        <v>0</v>
      </c>
      <c r="N35" s="108">
        <f t="shared" si="0"/>
        <v>60.184938943237157</v>
      </c>
      <c r="O35" s="108">
        <f>IFERROR((MP_DATA[[#This Row],[D, bottom '[m']]]+MP_DATA[[#This Row],[D, top '[m']]])/(2*MP_DATA[[#This Row],[t '[mm']]]/1000),"")</f>
        <v>120.98765432098766</v>
      </c>
      <c r="P35" s="108" t="str">
        <f>IFERROR((MP_DATA[[#This Row],[D, bottom '[m']]]+#REF!)/(2*#REF!/1000),"")</f>
        <v/>
      </c>
      <c r="AI35" s="105">
        <v>20</v>
      </c>
      <c r="AJ35" s="109">
        <v>-67.599999999999994</v>
      </c>
      <c r="AK35" s="109">
        <v>-70.7</v>
      </c>
      <c r="AL35" s="105">
        <v>9.8000000000000007</v>
      </c>
      <c r="AM35" s="105">
        <v>9.8000000000000007</v>
      </c>
      <c r="AN35" s="105">
        <v>81</v>
      </c>
      <c r="BF35" s="108" t="str">
        <f>IFERROR(TP_DATA[[#This Row],[Bottom '[m']]]-TP_DATA[[#This Row],[D, top '[m']]], "")</f>
        <v/>
      </c>
      <c r="BG35" s="108" t="str">
        <f>IFERROR(-(TP_DATA[[#This Row],[D, bottom '[m']]]-TP_DATA[[#This Row],[D, top '[m']]])/(TP_DATA[[#This Row],[Bottom '[m']]]-TP_DATA[[#This Row],[Top '[m']]]),"")</f>
        <v/>
      </c>
      <c r="BH35" s="108" t="str">
        <f t="shared" si="1"/>
        <v/>
      </c>
      <c r="BI35" s="108" t="str">
        <f>IFERROR((TP_DATA[[#This Row],[D, bottom '[m']]]+TP_DATA[[#This Row],[D, top '[m']]])/(2*TP_DATA[[#This Row],[t '[mm']]]/1000),"")</f>
        <v/>
      </c>
      <c r="BJ35" s="108" t="str">
        <f>IFERROR((TP_DATA[[#This Row],[D, bottom '[m']]]+#REF!)/(2*#REF!/1000),"")</f>
        <v/>
      </c>
      <c r="CC35" s="105"/>
      <c r="CD35" s="105"/>
      <c r="CE35" s="105"/>
      <c r="CF35" s="105"/>
      <c r="CG35" s="105"/>
      <c r="CH35" s="105"/>
      <c r="CT35" s="102">
        <v>20</v>
      </c>
      <c r="CU35" s="102">
        <v>111.09</v>
      </c>
      <c r="CV35" s="102">
        <v>110.9</v>
      </c>
      <c r="CW35" s="102">
        <v>6.2249999999999996</v>
      </c>
      <c r="CX35" s="102">
        <v>6.2249999999999996</v>
      </c>
      <c r="CY35" s="102">
        <v>25</v>
      </c>
      <c r="CZ35" s="108">
        <f>IFERROR(TOWER_DATA[[#This Row],[Top '[m']]]-TOWER_DATA[[#This Row],[Bottom '[m']]], "")</f>
        <v>0.18999999999999773</v>
      </c>
      <c r="DA35" s="108">
        <f>IFERROR(-(TOWER_DATA[[#This Row],[D, bottom '[m']]]-TOWER_DATA[[#This Row],[D, top '[m']]])/(TOWER_DATA[[#This Row],[Bottom '[m']]]-TOWER_DATA[[#This Row],[Top '[m']]]),"")</f>
        <v>0</v>
      </c>
      <c r="DB35" s="108">
        <f t="shared" si="2"/>
        <v>0.72628124363851332</v>
      </c>
      <c r="DC35" s="108">
        <f>IFERROR((TOWER_DATA[[#This Row],[D, bottom '[m']]]+TOWER_DATA[[#This Row],[D, top '[m']]])/(2*TOWER_DATA[[#This Row],[t '[mm']]]/1000),"")</f>
        <v>248.99999999999997</v>
      </c>
      <c r="DD35" s="108" t="str">
        <f>IFERROR((TOWER_DATA[[#This Row],[D, bottom '[m']]]+#REF!)/(2*#REF!/1000),"")</f>
        <v/>
      </c>
      <c r="DE35" s="110" t="s">
        <v>256</v>
      </c>
      <c r="DF35" s="110">
        <v>102.3</v>
      </c>
      <c r="DG35" s="110">
        <v>102.3</v>
      </c>
      <c r="DH35" s="110">
        <v>147</v>
      </c>
      <c r="DI35" s="110"/>
      <c r="DJ35" s="110"/>
      <c r="DK35" s="110"/>
      <c r="DL35" s="110"/>
      <c r="DM35" s="110"/>
      <c r="DW35" s="105">
        <v>20</v>
      </c>
      <c r="DX35" s="105">
        <v>111.09</v>
      </c>
      <c r="DY35" s="105">
        <v>110.9</v>
      </c>
      <c r="DZ35" s="105">
        <v>6.2249999999999996</v>
      </c>
      <c r="EA35" s="105">
        <v>6.2249999999999996</v>
      </c>
      <c r="EB35" s="105">
        <v>25</v>
      </c>
      <c r="ED35" s="111" t="s">
        <v>256</v>
      </c>
      <c r="EE35" s="111">
        <v>102.3</v>
      </c>
      <c r="EF35" s="111">
        <v>102.3</v>
      </c>
      <c r="EG35" s="111">
        <v>147</v>
      </c>
      <c r="EH35" s="111"/>
      <c r="EI35" s="111"/>
      <c r="EJ35" s="111"/>
      <c r="EK35" s="111"/>
      <c r="EL35" s="111"/>
      <c r="EU35" s="108"/>
      <c r="EV35" s="108"/>
    </row>
    <row r="36" spans="6:152" x14ac:dyDescent="0.3">
      <c r="F36" s="107">
        <v>21</v>
      </c>
      <c r="G36" s="107">
        <v>-70.7</v>
      </c>
      <c r="H36" s="107">
        <v>-73.7</v>
      </c>
      <c r="I36" s="107">
        <v>9.8000000000000007</v>
      </c>
      <c r="J36" s="107">
        <v>9.8000000000000007</v>
      </c>
      <c r="K36" s="107">
        <v>87</v>
      </c>
      <c r="L36" s="108">
        <f>IFERROR(MP_DATA[[#This Row],[Bottom '[m']]]-MP_DATA[[#This Row],[D, top '[m']]], "")</f>
        <v>-83.5</v>
      </c>
      <c r="M36" s="108">
        <f>IFERROR(-(MP_DATA[[#This Row],[D, bottom '[m']]]-MP_DATA[[#This Row],[D, top '[m']]])/(MP_DATA[[#This Row],[Bottom '[m']]]-MP_DATA[[#This Row],[Top '[m']]]),"")</f>
        <v>0</v>
      </c>
      <c r="N36" s="108">
        <f t="shared" si="0"/>
        <v>62.519201927990139</v>
      </c>
      <c r="O36" s="108">
        <f>IFERROR((MP_DATA[[#This Row],[D, bottom '[m']]]+MP_DATA[[#This Row],[D, top '[m']]])/(2*MP_DATA[[#This Row],[t '[mm']]]/1000),"")</f>
        <v>112.64367816091955</v>
      </c>
      <c r="P36" s="108" t="str">
        <f>IFERROR((MP_DATA[[#This Row],[D, bottom '[m']]]+#REF!)/(2*#REF!/1000),"")</f>
        <v/>
      </c>
      <c r="AI36" s="105">
        <v>21</v>
      </c>
      <c r="AJ36" s="109">
        <v>-70.7</v>
      </c>
      <c r="AK36" s="109">
        <v>-73.7</v>
      </c>
      <c r="AL36" s="105">
        <v>9.8000000000000007</v>
      </c>
      <c r="AM36" s="105">
        <v>9.8000000000000007</v>
      </c>
      <c r="AN36" s="105">
        <v>87</v>
      </c>
      <c r="BF36" s="108" t="str">
        <f>IFERROR(TP_DATA[[#This Row],[Bottom '[m']]]-TP_DATA[[#This Row],[D, top '[m']]], "")</f>
        <v/>
      </c>
      <c r="BG36" s="108" t="str">
        <f>IFERROR(-(TP_DATA[[#This Row],[D, bottom '[m']]]-TP_DATA[[#This Row],[D, top '[m']]])/(TP_DATA[[#This Row],[Bottom '[m']]]-TP_DATA[[#This Row],[Top '[m']]]),"")</f>
        <v/>
      </c>
      <c r="BH36" s="108" t="str">
        <f t="shared" si="1"/>
        <v/>
      </c>
      <c r="BI36" s="108" t="str">
        <f>IFERROR((TP_DATA[[#This Row],[D, bottom '[m']]]+TP_DATA[[#This Row],[D, top '[m']]])/(2*TP_DATA[[#This Row],[t '[mm']]]/1000),"")</f>
        <v/>
      </c>
      <c r="BJ36" s="108" t="str">
        <f>IFERROR((TP_DATA[[#This Row],[D, bottom '[m']]]+#REF!)/(2*#REF!/1000),"")</f>
        <v/>
      </c>
      <c r="CC36" s="105"/>
      <c r="CD36" s="105"/>
      <c r="CE36" s="105"/>
      <c r="CF36" s="105"/>
      <c r="CG36" s="105"/>
      <c r="CH36" s="105"/>
      <c r="CT36" s="102">
        <v>21</v>
      </c>
      <c r="CU36" s="102">
        <v>110.9</v>
      </c>
      <c r="CV36" s="102">
        <v>108.16000000000001</v>
      </c>
      <c r="CW36" s="102">
        <v>6.2249999999999996</v>
      </c>
      <c r="CX36" s="102">
        <v>6.226</v>
      </c>
      <c r="CY36" s="102">
        <v>25</v>
      </c>
      <c r="CZ36" s="108">
        <f>IFERROR(TOWER_DATA[[#This Row],[Top '[m']]]-TOWER_DATA[[#This Row],[Bottom '[m']]], "")</f>
        <v>2.7399999999999949</v>
      </c>
      <c r="DA36" s="108">
        <f>IFERROR(-(TOWER_DATA[[#This Row],[D, bottom '[m']]]-TOWER_DATA[[#This Row],[D, top '[m']]])/(TOWER_DATA[[#This Row],[Bottom '[m']]]-TOWER_DATA[[#This Row],[Top '[m']]]),"")</f>
        <v>3.6496350364975758E-4</v>
      </c>
      <c r="DB36" s="108">
        <f t="shared" si="2"/>
        <v>10.474584696294533</v>
      </c>
      <c r="DC36" s="108">
        <f>IFERROR((TOWER_DATA[[#This Row],[D, bottom '[m']]]+TOWER_DATA[[#This Row],[D, top '[m']]])/(2*TOWER_DATA[[#This Row],[t '[mm']]]/1000),"")</f>
        <v>249.02</v>
      </c>
      <c r="DD36" s="108" t="str">
        <f>IFERROR((TOWER_DATA[[#This Row],[D, bottom '[m']]]+#REF!)/(2*#REF!/1000),"")</f>
        <v/>
      </c>
      <c r="DE36" s="110" t="s">
        <v>256</v>
      </c>
      <c r="DF36" s="110">
        <v>102.25999999999999</v>
      </c>
      <c r="DG36" s="110">
        <v>102.25999999999999</v>
      </c>
      <c r="DH36" s="110">
        <v>5610</v>
      </c>
      <c r="DI36" s="110"/>
      <c r="DJ36" s="110"/>
      <c r="DK36" s="110"/>
      <c r="DL36" s="110"/>
      <c r="DM36" s="110"/>
      <c r="DW36" s="105">
        <v>21</v>
      </c>
      <c r="DX36" s="105">
        <v>110.9</v>
      </c>
      <c r="DY36" s="105">
        <v>108.16000000000001</v>
      </c>
      <c r="DZ36" s="105">
        <v>6.2249999999999996</v>
      </c>
      <c r="EA36" s="105">
        <v>6.226</v>
      </c>
      <c r="EB36" s="105">
        <v>25</v>
      </c>
      <c r="ED36" s="111" t="s">
        <v>256</v>
      </c>
      <c r="EE36" s="111">
        <v>102.25999999999999</v>
      </c>
      <c r="EF36" s="111">
        <v>102.25999999999999</v>
      </c>
      <c r="EG36" s="111">
        <v>5610</v>
      </c>
      <c r="EH36" s="111"/>
      <c r="EI36" s="111"/>
      <c r="EJ36" s="111"/>
      <c r="EK36" s="111"/>
      <c r="EL36" s="111"/>
      <c r="EU36" s="108"/>
      <c r="EV36" s="108"/>
    </row>
    <row r="37" spans="6:152" x14ac:dyDescent="0.3">
      <c r="F37" s="107">
        <v>22</v>
      </c>
      <c r="G37" s="107">
        <v>-73.7</v>
      </c>
      <c r="H37" s="107">
        <v>-76.8</v>
      </c>
      <c r="I37" s="107">
        <v>9.8000000000000007</v>
      </c>
      <c r="J37" s="107">
        <v>9.8000000000000007</v>
      </c>
      <c r="K37" s="107">
        <v>95</v>
      </c>
      <c r="L37" s="108">
        <f>IFERROR(MP_DATA[[#This Row],[Bottom '[m']]]-MP_DATA[[#This Row],[D, top '[m']]], "")</f>
        <v>-86.6</v>
      </c>
      <c r="M37" s="108">
        <f>IFERROR(-(MP_DATA[[#This Row],[D, bottom '[m']]]-MP_DATA[[#This Row],[D, top '[m']]])/(MP_DATA[[#This Row],[Bottom '[m']]]-MP_DATA[[#This Row],[Top '[m']]]),"")</f>
        <v>0</v>
      </c>
      <c r="N37" s="108">
        <f t="shared" si="0"/>
        <v>70.485594695118522</v>
      </c>
      <c r="O37" s="108">
        <f>IFERROR((MP_DATA[[#This Row],[D, bottom '[m']]]+MP_DATA[[#This Row],[D, top '[m']]])/(2*MP_DATA[[#This Row],[t '[mm']]]/1000),"")</f>
        <v>103.15789473684211</v>
      </c>
      <c r="P37" s="108" t="str">
        <f>IFERROR((MP_DATA[[#This Row],[D, bottom '[m']]]+#REF!)/(2*#REF!/1000),"")</f>
        <v/>
      </c>
      <c r="AI37" s="105">
        <v>22</v>
      </c>
      <c r="AJ37" s="109">
        <v>-73.7</v>
      </c>
      <c r="AK37" s="109">
        <v>-76.8</v>
      </c>
      <c r="AL37" s="105">
        <v>9.8000000000000007</v>
      </c>
      <c r="AM37" s="105">
        <v>9.8000000000000007</v>
      </c>
      <c r="AN37" s="105">
        <v>95</v>
      </c>
      <c r="BF37" s="108" t="str">
        <f>IFERROR(TP_DATA[[#This Row],[Bottom '[m']]]-TP_DATA[[#This Row],[D, top '[m']]], "")</f>
        <v/>
      </c>
      <c r="BG37" s="108" t="str">
        <f>IFERROR(-(TP_DATA[[#This Row],[D, bottom '[m']]]-TP_DATA[[#This Row],[D, top '[m']]])/(TP_DATA[[#This Row],[Bottom '[m']]]-TP_DATA[[#This Row],[Top '[m']]]),"")</f>
        <v/>
      </c>
      <c r="BH37" s="108" t="str">
        <f t="shared" si="1"/>
        <v/>
      </c>
      <c r="BI37" s="108" t="str">
        <f>IFERROR((TP_DATA[[#This Row],[D, bottom '[m']]]+TP_DATA[[#This Row],[D, top '[m']]])/(2*TP_DATA[[#This Row],[t '[mm']]]/1000),"")</f>
        <v/>
      </c>
      <c r="BJ37" s="108" t="str">
        <f>IFERROR((TP_DATA[[#This Row],[D, bottom '[m']]]+#REF!)/(2*#REF!/1000),"")</f>
        <v/>
      </c>
      <c r="CC37" s="105"/>
      <c r="CD37" s="105"/>
      <c r="CE37" s="105"/>
      <c r="CF37" s="105"/>
      <c r="CG37" s="105"/>
      <c r="CH37" s="105"/>
      <c r="CT37" s="102">
        <v>22</v>
      </c>
      <c r="CU37" s="102">
        <v>108.16000000000001</v>
      </c>
      <c r="CV37" s="102">
        <v>107.224</v>
      </c>
      <c r="CW37" s="102">
        <v>6.226</v>
      </c>
      <c r="CX37" s="102">
        <v>6.226</v>
      </c>
      <c r="CY37" s="102">
        <v>26</v>
      </c>
      <c r="CZ37" s="108">
        <f>IFERROR(TOWER_DATA[[#This Row],[Top '[m']]]-TOWER_DATA[[#This Row],[Bottom '[m']]], "")</f>
        <v>0.93600000000000705</v>
      </c>
      <c r="DA37" s="108">
        <f>IFERROR(-(TOWER_DATA[[#This Row],[D, bottom '[m']]]-TOWER_DATA[[#This Row],[D, top '[m']]])/(TOWER_DATA[[#This Row],[Bottom '[m']]]-TOWER_DATA[[#This Row],[Top '[m']]]),"")</f>
        <v>0</v>
      </c>
      <c r="DB37" s="108">
        <f t="shared" si="2"/>
        <v>3.7210063884604585</v>
      </c>
      <c r="DC37" s="108">
        <f>IFERROR((TOWER_DATA[[#This Row],[D, bottom '[m']]]+TOWER_DATA[[#This Row],[D, top '[m']]])/(2*TOWER_DATA[[#This Row],[t '[mm']]]/1000),"")</f>
        <v>239.46153846153848</v>
      </c>
      <c r="DD37" s="108" t="str">
        <f>IFERROR((TOWER_DATA[[#This Row],[D, bottom '[m']]]+#REF!)/(2*#REF!/1000),"")</f>
        <v/>
      </c>
      <c r="DE37" s="110" t="s">
        <v>256</v>
      </c>
      <c r="DF37" s="110">
        <v>102.1</v>
      </c>
      <c r="DG37" s="110">
        <v>102.1</v>
      </c>
      <c r="DH37" s="110">
        <v>8160</v>
      </c>
      <c r="DI37" s="110"/>
      <c r="DJ37" s="110"/>
      <c r="DK37" s="110"/>
      <c r="DL37" s="110"/>
      <c r="DM37" s="110"/>
      <c r="DW37" s="105">
        <v>22</v>
      </c>
      <c r="DX37" s="105">
        <v>108.16000000000001</v>
      </c>
      <c r="DY37" s="105">
        <v>107.224</v>
      </c>
      <c r="DZ37" s="105">
        <v>6.226</v>
      </c>
      <c r="EA37" s="105">
        <v>6.226</v>
      </c>
      <c r="EB37" s="105">
        <v>26</v>
      </c>
      <c r="ED37" s="111" t="s">
        <v>256</v>
      </c>
      <c r="EE37" s="111">
        <v>102.1</v>
      </c>
      <c r="EF37" s="111">
        <v>102.1</v>
      </c>
      <c r="EG37" s="111">
        <v>8160</v>
      </c>
      <c r="EH37" s="111"/>
      <c r="EI37" s="111"/>
      <c r="EJ37" s="111"/>
      <c r="EK37" s="111"/>
      <c r="EL37" s="111"/>
      <c r="EU37" s="108"/>
      <c r="EV37" s="108"/>
    </row>
    <row r="38" spans="6:152" x14ac:dyDescent="0.3">
      <c r="F38" s="107">
        <v>23</v>
      </c>
      <c r="G38" s="102">
        <v>-76.8</v>
      </c>
      <c r="H38" s="107">
        <v>-79.8</v>
      </c>
      <c r="I38" s="102">
        <v>9.8000000000000007</v>
      </c>
      <c r="J38" s="107">
        <v>9.8000000000000007</v>
      </c>
      <c r="K38" s="102">
        <v>105</v>
      </c>
      <c r="L38" s="108">
        <f>IFERROR(MP_DATA[[#This Row],[Bottom '[m']]]-MP_DATA[[#This Row],[D, top '[m']]], "")</f>
        <v>-89.6</v>
      </c>
      <c r="M38" s="95">
        <f>IFERROR(-(MP_DATA[[#This Row],[D, bottom '[m']]]-MP_DATA[[#This Row],[D, top '[m']]])/(MP_DATA[[#This Row],[Bottom '[m']]]-MP_DATA[[#This Row],[Top '[m']]]),"")</f>
        <v>0</v>
      </c>
      <c r="N38" s="108">
        <f t="shared" si="0"/>
        <v>75.314378505222052</v>
      </c>
      <c r="O38" s="108">
        <f>IFERROR((MP_DATA[[#This Row],[D, bottom '[m']]]+MP_DATA[[#This Row],[D, top '[m']]])/(2*MP_DATA[[#This Row],[t '[mm']]]/1000),"")</f>
        <v>93.333333333333343</v>
      </c>
      <c r="P38" s="108" t="str">
        <f>IFERROR((MP_DATA[[#This Row],[D, bottom '[m']]]+#REF!)/(2*#REF!/1000),"")</f>
        <v/>
      </c>
      <c r="AI38" s="105">
        <v>23</v>
      </c>
      <c r="AJ38" s="109">
        <v>-76.8</v>
      </c>
      <c r="AK38" s="109">
        <v>-79.8</v>
      </c>
      <c r="AL38" s="105">
        <v>9.8000000000000007</v>
      </c>
      <c r="AM38" s="105">
        <v>9.8000000000000007</v>
      </c>
      <c r="AN38" s="105">
        <v>105</v>
      </c>
      <c r="BF38" s="108" t="str">
        <f>IFERROR(TP_DATA[[#This Row],[Bottom '[m']]]-TP_DATA[[#This Row],[D, top '[m']]], "")</f>
        <v/>
      </c>
      <c r="BG38" s="108" t="str">
        <f>IFERROR(-(TP_DATA[[#This Row],[D, bottom '[m']]]-TP_DATA[[#This Row],[D, top '[m']]])/(TP_DATA[[#This Row],[Bottom '[m']]]-TP_DATA[[#This Row],[Top '[m']]]),"")</f>
        <v/>
      </c>
      <c r="BH38" s="108" t="str">
        <f t="shared" si="1"/>
        <v/>
      </c>
      <c r="BI38" s="108" t="str">
        <f>IFERROR((TP_DATA[[#This Row],[D, bottom '[m']]]+TP_DATA[[#This Row],[D, top '[m']]])/(2*TP_DATA[[#This Row],[t '[mm']]]/1000),"")</f>
        <v/>
      </c>
      <c r="BJ38" s="108" t="str">
        <f>IFERROR((TP_DATA[[#This Row],[D, bottom '[m']]]+#REF!)/(2*#REF!/1000),"")</f>
        <v/>
      </c>
      <c r="CC38" s="105"/>
      <c r="CD38" s="105"/>
      <c r="CE38" s="105"/>
      <c r="CF38" s="105"/>
      <c r="CG38" s="105"/>
      <c r="CH38" s="105"/>
      <c r="CT38" s="102">
        <v>23</v>
      </c>
      <c r="CU38" s="102">
        <v>107.224</v>
      </c>
      <c r="CV38" s="102">
        <v>105.23</v>
      </c>
      <c r="CW38" s="102">
        <v>6.226</v>
      </c>
      <c r="CX38" s="102">
        <v>6.226</v>
      </c>
      <c r="CY38" s="102">
        <v>26</v>
      </c>
      <c r="CZ38" s="108">
        <f>IFERROR(TOWER_DATA[[#This Row],[Top '[m']]]-TOWER_DATA[[#This Row],[Bottom '[m']]], "")</f>
        <v>1.9939999999999998</v>
      </c>
      <c r="DA38" s="108">
        <f>IFERROR(-(TOWER_DATA[[#This Row],[D, bottom '[m']]]-TOWER_DATA[[#This Row],[D, top '[m']]])/(TOWER_DATA[[#This Row],[Bottom '[m']]]-TOWER_DATA[[#This Row],[Top '[m']]]),"")</f>
        <v>0</v>
      </c>
      <c r="DB38" s="108">
        <f t="shared" si="2"/>
        <v>7.9270157463569424</v>
      </c>
      <c r="DC38" s="108">
        <f>IFERROR((TOWER_DATA[[#This Row],[D, bottom '[m']]]+TOWER_DATA[[#This Row],[D, top '[m']]])/(2*TOWER_DATA[[#This Row],[t '[mm']]]/1000),"")</f>
        <v>239.46153846153848</v>
      </c>
      <c r="DD38" s="108" t="str">
        <f>IFERROR((TOWER_DATA[[#This Row],[D, bottom '[m']]]+#REF!)/(2*#REF!/1000),"")</f>
        <v/>
      </c>
      <c r="DE38" s="110" t="s">
        <v>256</v>
      </c>
      <c r="DF38" s="110">
        <v>101.94</v>
      </c>
      <c r="DG38" s="110">
        <v>101.94</v>
      </c>
      <c r="DH38" s="110">
        <v>5</v>
      </c>
      <c r="DI38" s="110"/>
      <c r="DJ38" s="110"/>
      <c r="DK38" s="110"/>
      <c r="DL38" s="110"/>
      <c r="DM38" s="110"/>
      <c r="DW38" s="105">
        <v>23</v>
      </c>
      <c r="DX38" s="105">
        <v>107.224</v>
      </c>
      <c r="DY38" s="105">
        <v>105.23</v>
      </c>
      <c r="DZ38" s="105">
        <v>6.226</v>
      </c>
      <c r="EA38" s="105">
        <v>6.226</v>
      </c>
      <c r="EB38" s="105">
        <v>26</v>
      </c>
      <c r="ED38" s="111" t="s">
        <v>256</v>
      </c>
      <c r="EE38" s="111">
        <v>101.94</v>
      </c>
      <c r="EF38" s="111">
        <v>101.94</v>
      </c>
      <c r="EG38" s="111">
        <v>5</v>
      </c>
      <c r="EH38" s="111"/>
      <c r="EI38" s="111"/>
      <c r="EJ38" s="111"/>
      <c r="EK38" s="111"/>
      <c r="EL38" s="111"/>
      <c r="EU38" s="108"/>
      <c r="EV38" s="108"/>
    </row>
    <row r="39" spans="6:152" x14ac:dyDescent="0.3">
      <c r="F39" s="108"/>
      <c r="H39" s="108"/>
      <c r="J39" s="108"/>
      <c r="L39" s="108" t="str">
        <f>IFERROR(MP_DATA[[#This Row],[Bottom '[m']]]-MP_DATA[[#This Row],[D, top '[m']]], "")</f>
        <v/>
      </c>
      <c r="M39" s="95" t="str">
        <f>IFERROR(-(MP_DATA[[#This Row],[D, bottom '[m']]]-MP_DATA[[#This Row],[D, top '[m']]])/(MP_DATA[[#This Row],[Bottom '[m']]]-MP_DATA[[#This Row],[Top '[m']]]),"")</f>
        <v/>
      </c>
      <c r="N39" s="108" t="str">
        <f t="shared" si="0"/>
        <v/>
      </c>
      <c r="O39" s="108" t="str">
        <f>IFERROR((MP_DATA[[#This Row],[D, bottom '[m']]]+MP_DATA[[#This Row],[D, top '[m']]])/(2*MP_DATA[[#This Row],[t '[mm']]]/1000),"")</f>
        <v/>
      </c>
      <c r="P39" s="108" t="str">
        <f>IFERROR((MP_DATA[[#This Row],[D, bottom '[m']]]+#REF!)/(2*#REF!/1000),"")</f>
        <v/>
      </c>
      <c r="AI39" s="105"/>
      <c r="AJ39" s="109"/>
      <c r="AK39" s="109"/>
      <c r="AL39" s="105"/>
      <c r="AM39" s="105"/>
      <c r="AN39" s="105"/>
      <c r="BF39" s="108" t="str">
        <f>IFERROR(TP_DATA[[#This Row],[Bottom '[m']]]-TP_DATA[[#This Row],[D, top '[m']]], "")</f>
        <v/>
      </c>
      <c r="BG39" s="108" t="str">
        <f>IFERROR(-(TP_DATA[[#This Row],[D, bottom '[m']]]-TP_DATA[[#This Row],[D, top '[m']]])/(TP_DATA[[#This Row],[Bottom '[m']]]-TP_DATA[[#This Row],[Top '[m']]]),"")</f>
        <v/>
      </c>
      <c r="BH39" s="108" t="str">
        <f t="shared" si="1"/>
        <v/>
      </c>
      <c r="BI39" s="108" t="str">
        <f>IFERROR((TP_DATA[[#This Row],[D, bottom '[m']]]+TP_DATA[[#This Row],[D, top '[m']]])/(2*TP_DATA[[#This Row],[t '[mm']]]/1000),"")</f>
        <v/>
      </c>
      <c r="BJ39" s="108" t="str">
        <f>IFERROR((TP_DATA[[#This Row],[D, bottom '[m']]]+#REF!)/(2*#REF!/1000),"")</f>
        <v/>
      </c>
      <c r="CC39" s="105"/>
      <c r="CD39" s="105"/>
      <c r="CE39" s="105"/>
      <c r="CF39" s="105"/>
      <c r="CG39" s="105"/>
      <c r="CH39" s="105"/>
      <c r="CT39" s="102">
        <v>24</v>
      </c>
      <c r="CU39" s="102">
        <v>105.23</v>
      </c>
      <c r="CV39" s="102">
        <v>102.30000000000001</v>
      </c>
      <c r="CW39" s="102">
        <v>6.226</v>
      </c>
      <c r="CX39" s="102">
        <v>6.2279999999999998</v>
      </c>
      <c r="CY39" s="102">
        <v>26</v>
      </c>
      <c r="CZ39" s="108">
        <f>IFERROR(TOWER_DATA[[#This Row],[Top '[m']]]-TOWER_DATA[[#This Row],[Bottom '[m']]], "")</f>
        <v>2.9299999999999926</v>
      </c>
      <c r="DA39" s="108">
        <f>IFERROR(-(TOWER_DATA[[#This Row],[D, bottom '[m']]]-TOWER_DATA[[#This Row],[D, top '[m']]])/(TOWER_DATA[[#This Row],[Bottom '[m']]]-TOWER_DATA[[#This Row],[Top '[m']]]),"")</f>
        <v>6.825938566552166E-4</v>
      </c>
      <c r="DB39" s="108">
        <f t="shared" si="2"/>
        <v>11.64990084806473</v>
      </c>
      <c r="DC39" s="108">
        <f>IFERROR((TOWER_DATA[[#This Row],[D, bottom '[m']]]+TOWER_DATA[[#This Row],[D, top '[m']]])/(2*TOWER_DATA[[#This Row],[t '[mm']]]/1000),"")</f>
        <v>239.50000000000003</v>
      </c>
      <c r="DD39" s="108" t="str">
        <f>IFERROR((TOWER_DATA[[#This Row],[D, bottom '[m']]]+#REF!)/(2*#REF!/1000),"")</f>
        <v/>
      </c>
      <c r="DE39" s="110" t="s">
        <v>256</v>
      </c>
      <c r="DF39" s="110">
        <v>101.89999999999999</v>
      </c>
      <c r="DG39" s="110">
        <v>101.89999999999999</v>
      </c>
      <c r="DH39" s="110">
        <v>1</v>
      </c>
      <c r="DI39" s="110"/>
      <c r="DJ39" s="110"/>
      <c r="DK39" s="110"/>
      <c r="DL39" s="110"/>
      <c r="DM39" s="110"/>
      <c r="DW39" s="105">
        <v>24</v>
      </c>
      <c r="DX39" s="105">
        <v>105.23</v>
      </c>
      <c r="DY39" s="105">
        <v>102.30000000000001</v>
      </c>
      <c r="DZ39" s="105">
        <v>6.226</v>
      </c>
      <c r="EA39" s="105">
        <v>6.2279999999999998</v>
      </c>
      <c r="EB39" s="105">
        <v>26</v>
      </c>
      <c r="ED39" s="111" t="s">
        <v>256</v>
      </c>
      <c r="EE39" s="111">
        <v>101.89999999999999</v>
      </c>
      <c r="EF39" s="111">
        <v>101.89999999999999</v>
      </c>
      <c r="EG39" s="111">
        <v>1</v>
      </c>
      <c r="EH39" s="111"/>
      <c r="EI39" s="111"/>
      <c r="EJ39" s="111"/>
      <c r="EK39" s="111"/>
      <c r="EL39" s="111"/>
      <c r="EU39" s="108"/>
      <c r="EV39" s="108"/>
    </row>
    <row r="40" spans="6:152" x14ac:dyDescent="0.3">
      <c r="F40" s="108"/>
      <c r="H40" s="108"/>
      <c r="J40" s="108"/>
      <c r="L40" s="108" t="str">
        <f>IFERROR(MP_DATA[[#This Row],[Bottom '[m']]]-MP_DATA[[#This Row],[D, top '[m']]], "")</f>
        <v/>
      </c>
      <c r="M40" s="95" t="str">
        <f>IFERROR(-(MP_DATA[[#This Row],[D, bottom '[m']]]-MP_DATA[[#This Row],[D, top '[m']]])/(MP_DATA[[#This Row],[Bottom '[m']]]-MP_DATA[[#This Row],[Top '[m']]]),"")</f>
        <v/>
      </c>
      <c r="N40" s="108" t="str">
        <f t="shared" si="0"/>
        <v/>
      </c>
      <c r="O40" s="108" t="str">
        <f>IFERROR((MP_DATA[[#This Row],[D, bottom '[m']]]+MP_DATA[[#This Row],[D, top '[m']]])/(2*MP_DATA[[#This Row],[t '[mm']]]/1000),"")</f>
        <v/>
      </c>
      <c r="P40" s="108" t="str">
        <f>IFERROR((MP_DATA[[#This Row],[D, bottom '[m']]]+#REF!)/(2*#REF!/1000),"")</f>
        <v/>
      </c>
      <c r="AI40" s="105"/>
      <c r="AJ40" s="109"/>
      <c r="AK40" s="109"/>
      <c r="AL40" s="105"/>
      <c r="AM40" s="105"/>
      <c r="AN40" s="105"/>
      <c r="BF40" s="108" t="str">
        <f>IFERROR(TP_DATA[[#This Row],[Bottom '[m']]]-TP_DATA[[#This Row],[D, top '[m']]], "")</f>
        <v/>
      </c>
      <c r="BG40" s="108" t="str">
        <f>IFERROR(-(TP_DATA[[#This Row],[D, bottom '[m']]]-TP_DATA[[#This Row],[D, top '[m']]])/(TP_DATA[[#This Row],[Bottom '[m']]]-TP_DATA[[#This Row],[Top '[m']]]),"")</f>
        <v/>
      </c>
      <c r="BH40" s="108" t="str">
        <f t="shared" si="1"/>
        <v/>
      </c>
      <c r="BI40" s="108" t="str">
        <f>IFERROR((TP_DATA[[#This Row],[D, bottom '[m']]]+TP_DATA[[#This Row],[D, top '[m']]])/(2*TP_DATA[[#This Row],[t '[mm']]]/1000),"")</f>
        <v/>
      </c>
      <c r="BJ40" s="108" t="str">
        <f>IFERROR((TP_DATA[[#This Row],[D, bottom '[m']]]+#REF!)/(2*#REF!/1000),"")</f>
        <v/>
      </c>
      <c r="CC40" s="105"/>
      <c r="CD40" s="105"/>
      <c r="CE40" s="105"/>
      <c r="CF40" s="105"/>
      <c r="CG40" s="105"/>
      <c r="CH40" s="105"/>
      <c r="CT40" s="102">
        <v>25</v>
      </c>
      <c r="CU40" s="102">
        <v>102.30000000000001</v>
      </c>
      <c r="CV40" s="102">
        <v>102.26</v>
      </c>
      <c r="CW40" s="102">
        <v>6.2279999999999998</v>
      </c>
      <c r="CX40" s="102">
        <v>6.2279999999999998</v>
      </c>
      <c r="CY40" s="102">
        <v>28</v>
      </c>
      <c r="CZ40" s="108">
        <f>IFERROR(TOWER_DATA[[#This Row],[Top '[m']]]-TOWER_DATA[[#This Row],[Bottom '[m']]], "")</f>
        <v>4.0000000000006253E-2</v>
      </c>
      <c r="DA40" s="108">
        <f>IFERROR(-(TOWER_DATA[[#This Row],[D, bottom '[m']]]-TOWER_DATA[[#This Row],[D, top '[m']]])/(TOWER_DATA[[#This Row],[Bottom '[m']]]-TOWER_DATA[[#This Row],[Top '[m']]]),"")</f>
        <v>0</v>
      </c>
      <c r="DB40" s="108">
        <f t="shared" si="2"/>
        <v>0.17124947218426703</v>
      </c>
      <c r="DC40" s="108">
        <f>IFERROR((TOWER_DATA[[#This Row],[D, bottom '[m']]]+TOWER_DATA[[#This Row],[D, top '[m']]])/(2*TOWER_DATA[[#This Row],[t '[mm']]]/1000),"")</f>
        <v>222.42857142857142</v>
      </c>
      <c r="DD40" s="108" t="str">
        <f>IFERROR((TOWER_DATA[[#This Row],[D, bottom '[m']]]+#REF!)/(2*#REF!/1000),"")</f>
        <v/>
      </c>
      <c r="DE40" s="110" t="s">
        <v>256</v>
      </c>
      <c r="DF40" s="110">
        <v>100.89999999999999</v>
      </c>
      <c r="DG40" s="110">
        <v>100.89999999999999</v>
      </c>
      <c r="DH40" s="110">
        <v>1003</v>
      </c>
      <c r="DI40" s="110"/>
      <c r="DJ40" s="110"/>
      <c r="DK40" s="110"/>
      <c r="DL40" s="110"/>
      <c r="DM40" s="110"/>
      <c r="DW40" s="105">
        <v>25</v>
      </c>
      <c r="DX40" s="105">
        <v>102.30000000000001</v>
      </c>
      <c r="DY40" s="105">
        <v>102.26</v>
      </c>
      <c r="DZ40" s="105">
        <v>6.2279999999999998</v>
      </c>
      <c r="EA40" s="105">
        <v>6.2279999999999998</v>
      </c>
      <c r="EB40" s="105">
        <v>28</v>
      </c>
      <c r="ED40" s="111" t="s">
        <v>256</v>
      </c>
      <c r="EE40" s="111">
        <v>100.89999999999999</v>
      </c>
      <c r="EF40" s="111">
        <v>100.89999999999999</v>
      </c>
      <c r="EG40" s="111">
        <v>1003</v>
      </c>
      <c r="EH40" s="111"/>
      <c r="EI40" s="111"/>
      <c r="EJ40" s="111"/>
      <c r="EK40" s="111"/>
      <c r="EL40" s="111"/>
      <c r="EU40" s="108"/>
      <c r="EV40" s="108"/>
    </row>
    <row r="41" spans="6:152" x14ac:dyDescent="0.3">
      <c r="F41" s="108"/>
      <c r="H41" s="108"/>
      <c r="J41" s="108"/>
      <c r="L41" s="108" t="str">
        <f>IFERROR(MP_DATA[[#This Row],[Bottom '[m']]]-MP_DATA[[#This Row],[D, top '[m']]], "")</f>
        <v/>
      </c>
      <c r="M41" s="95" t="str">
        <f>IFERROR(-(MP_DATA[[#This Row],[D, bottom '[m']]]-MP_DATA[[#This Row],[D, top '[m']]])/(MP_DATA[[#This Row],[Bottom '[m']]]-MP_DATA[[#This Row],[Top '[m']]]),"")</f>
        <v/>
      </c>
      <c r="N41" s="108" t="str">
        <f t="shared" si="0"/>
        <v/>
      </c>
      <c r="O41" s="108" t="str">
        <f>IFERROR((MP_DATA[[#This Row],[D, bottom '[m']]]+MP_DATA[[#This Row],[D, top '[m']]])/(2*MP_DATA[[#This Row],[t '[mm']]]/1000),"")</f>
        <v/>
      </c>
      <c r="P41" s="108" t="str">
        <f>IFERROR((MP_DATA[[#This Row],[D, bottom '[m']]]+#REF!)/(2*#REF!/1000),"")</f>
        <v/>
      </c>
      <c r="BF41" s="108" t="str">
        <f>IFERROR(TP_DATA[[#This Row],[Bottom '[m']]]-TP_DATA[[#This Row],[D, top '[m']]], "")</f>
        <v/>
      </c>
      <c r="BG41" s="108" t="str">
        <f>IFERROR(-(TP_DATA[[#This Row],[D, bottom '[m']]]-TP_DATA[[#This Row],[D, top '[m']]])/(TP_DATA[[#This Row],[Bottom '[m']]]-TP_DATA[[#This Row],[Top '[m']]]),"")</f>
        <v/>
      </c>
      <c r="BH41" s="108" t="str">
        <f t="shared" si="1"/>
        <v/>
      </c>
      <c r="BI41" s="108" t="str">
        <f>IFERROR((TP_DATA[[#This Row],[D, bottom '[m']]]+TP_DATA[[#This Row],[D, top '[m']]])/(2*TP_DATA[[#This Row],[t '[mm']]]/1000),"")</f>
        <v/>
      </c>
      <c r="BJ41" s="108" t="str">
        <f>IFERROR((TP_DATA[[#This Row],[D, bottom '[m']]]+#REF!)/(2*#REF!/1000),"")</f>
        <v/>
      </c>
      <c r="CT41" s="102">
        <v>26</v>
      </c>
      <c r="CU41" s="102">
        <v>102.26</v>
      </c>
      <c r="CV41" s="102">
        <v>102.10000000000001</v>
      </c>
      <c r="CW41" s="102">
        <v>6.2279999999999998</v>
      </c>
      <c r="CX41" s="102">
        <v>6.2279999999999998</v>
      </c>
      <c r="CY41" s="102">
        <v>28</v>
      </c>
      <c r="CZ41" s="108">
        <f>IFERROR(TOWER_DATA[[#This Row],[Top '[m']]]-TOWER_DATA[[#This Row],[Bottom '[m']]], "")</f>
        <v>0.15999999999999659</v>
      </c>
      <c r="DA41" s="108">
        <f>IFERROR(-(TOWER_DATA[[#This Row],[D, bottom '[m']]]-TOWER_DATA[[#This Row],[D, top '[m']]])/(TOWER_DATA[[#This Row],[Bottom '[m']]]-TOWER_DATA[[#This Row],[Top '[m']]]),"")</f>
        <v>0</v>
      </c>
      <c r="DB41" s="108">
        <f t="shared" si="2"/>
        <v>0.68499788873694645</v>
      </c>
      <c r="DC41" s="108">
        <f>IFERROR((TOWER_DATA[[#This Row],[D, bottom '[m']]]+TOWER_DATA[[#This Row],[D, top '[m']]])/(2*TOWER_DATA[[#This Row],[t '[mm']]]/1000),"")</f>
        <v>222.42857142857142</v>
      </c>
      <c r="DD41" s="108" t="str">
        <f>IFERROR((TOWER_DATA[[#This Row],[D, bottom '[m']]]+#REF!)/(2*#REF!/1000),"")</f>
        <v/>
      </c>
      <c r="DE41" s="110" t="s">
        <v>256</v>
      </c>
      <c r="DF41" s="110">
        <v>99.002999999999986</v>
      </c>
      <c r="DG41" s="110">
        <v>99.002999999999986</v>
      </c>
      <c r="DH41" s="110">
        <v>137</v>
      </c>
      <c r="DI41" s="110"/>
      <c r="DJ41" s="110"/>
      <c r="DK41" s="110"/>
      <c r="DL41" s="110"/>
      <c r="DM41" s="110"/>
      <c r="DW41" s="105">
        <v>26</v>
      </c>
      <c r="DX41" s="105">
        <v>102.26</v>
      </c>
      <c r="DY41" s="105">
        <v>102.10000000000001</v>
      </c>
      <c r="DZ41" s="105">
        <v>6.2279999999999998</v>
      </c>
      <c r="EA41" s="105">
        <v>6.2279999999999998</v>
      </c>
      <c r="EB41" s="105">
        <v>28</v>
      </c>
      <c r="ED41" s="111" t="s">
        <v>256</v>
      </c>
      <c r="EE41" s="111">
        <v>99.002999999999986</v>
      </c>
      <c r="EF41" s="111">
        <v>99.002999999999986</v>
      </c>
      <c r="EG41" s="111">
        <v>137</v>
      </c>
      <c r="EH41" s="111"/>
      <c r="EI41" s="111"/>
      <c r="EJ41" s="111"/>
      <c r="EK41" s="111"/>
      <c r="EL41" s="111"/>
      <c r="EU41" s="108"/>
      <c r="EV41" s="108"/>
    </row>
    <row r="42" spans="6:152" x14ac:dyDescent="0.3">
      <c r="F42" s="108"/>
      <c r="G42" s="108"/>
      <c r="H42" s="108"/>
      <c r="I42" s="108"/>
      <c r="J42" s="108"/>
      <c r="K42" s="108"/>
      <c r="L42" s="108" t="str">
        <f>IFERROR(MP_DATA[[#This Row],[Bottom '[m']]]-MP_DATA[[#This Row],[D, top '[m']]], "")</f>
        <v/>
      </c>
      <c r="M42" s="108" t="str">
        <f>IFERROR(-(MP_DATA[[#This Row],[D, bottom '[m']]]-MP_DATA[[#This Row],[D, top '[m']]])/(MP_DATA[[#This Row],[Bottom '[m']]]-MP_DATA[[#This Row],[Top '[m']]]),"")</f>
        <v/>
      </c>
      <c r="N42" s="108" t="str">
        <f t="shared" si="0"/>
        <v/>
      </c>
      <c r="O42" s="108" t="str">
        <f>IFERROR((MP_DATA[[#This Row],[D, bottom '[m']]]+MP_DATA[[#This Row],[D, top '[m']]])/(2*MP_DATA[[#This Row],[t '[mm']]]/1000),"")</f>
        <v/>
      </c>
      <c r="P42" s="108" t="str">
        <f>IFERROR((MP_DATA[[#This Row],[D, bottom '[m']]]+#REF!)/(2*#REF!/1000),"")</f>
        <v/>
      </c>
      <c r="BF42" s="108" t="str">
        <f>IFERROR(TP_DATA[[#This Row],[Bottom '[m']]]-TP_DATA[[#This Row],[D, top '[m']]], "")</f>
        <v/>
      </c>
      <c r="BG42" s="108" t="str">
        <f>IFERROR(-(TP_DATA[[#This Row],[D, bottom '[m']]]-TP_DATA[[#This Row],[D, top '[m']]])/(TP_DATA[[#This Row],[Bottom '[m']]]-TP_DATA[[#This Row],[Top '[m']]]),"")</f>
        <v/>
      </c>
      <c r="BH42" s="108" t="str">
        <f t="shared" si="1"/>
        <v/>
      </c>
      <c r="BI42" s="108" t="str">
        <f>IFERROR((TP_DATA[[#This Row],[D, bottom '[m']]]+TP_DATA[[#This Row],[D, top '[m']]])/(2*TP_DATA[[#This Row],[t '[mm']]]/1000),"")</f>
        <v/>
      </c>
      <c r="BJ42" s="108" t="str">
        <f>IFERROR((TP_DATA[[#This Row],[D, bottom '[m']]]+#REF!)/(2*#REF!/1000),"")</f>
        <v/>
      </c>
      <c r="CT42" s="102">
        <v>27</v>
      </c>
      <c r="CU42" s="102">
        <v>102.10000000000001</v>
      </c>
      <c r="CV42" s="102">
        <v>101.94000000000001</v>
      </c>
      <c r="CW42" s="102">
        <v>6.2279999999999998</v>
      </c>
      <c r="CX42" s="102">
        <v>6.2279999999999998</v>
      </c>
      <c r="CY42" s="102">
        <v>28</v>
      </c>
      <c r="CZ42" s="108">
        <f>IFERROR(TOWER_DATA[[#This Row],[Top '[m']]]-TOWER_DATA[[#This Row],[Bottom '[m']]], "")</f>
        <v>0.15999999999999659</v>
      </c>
      <c r="DA42" s="108">
        <f>IFERROR(-(TOWER_DATA[[#This Row],[D, bottom '[m']]]-TOWER_DATA[[#This Row],[D, top '[m']]])/(TOWER_DATA[[#This Row],[Bottom '[m']]]-TOWER_DATA[[#This Row],[Top '[m']]]),"")</f>
        <v>0</v>
      </c>
      <c r="DB42" s="108">
        <f t="shared" si="2"/>
        <v>0.68499788873694645</v>
      </c>
      <c r="DC42" s="108">
        <f>IFERROR((TOWER_DATA[[#This Row],[D, bottom '[m']]]+TOWER_DATA[[#This Row],[D, top '[m']]])/(2*TOWER_DATA[[#This Row],[t '[mm']]]/1000),"")</f>
        <v>222.42857142857142</v>
      </c>
      <c r="DD42" s="108" t="str">
        <f>IFERROR((TOWER_DATA[[#This Row],[D, bottom '[m']]]+#REF!)/(2*#REF!/1000),"")</f>
        <v/>
      </c>
      <c r="DE42" s="110" t="s">
        <v>256</v>
      </c>
      <c r="DF42" s="110">
        <v>94.891999999999996</v>
      </c>
      <c r="DG42" s="110">
        <v>94.891999999999996</v>
      </c>
      <c r="DH42" s="110">
        <v>138</v>
      </c>
      <c r="DI42" s="110"/>
      <c r="DJ42" s="110"/>
      <c r="DK42" s="110"/>
      <c r="DL42" s="110"/>
      <c r="DM42" s="110"/>
      <c r="DW42" s="105">
        <v>27</v>
      </c>
      <c r="DX42" s="105">
        <v>102.10000000000001</v>
      </c>
      <c r="DY42" s="105">
        <v>101.94000000000001</v>
      </c>
      <c r="DZ42" s="105">
        <v>6.2279999999999998</v>
      </c>
      <c r="EA42" s="105">
        <v>6.2279999999999998</v>
      </c>
      <c r="EB42" s="105">
        <v>28</v>
      </c>
      <c r="ED42" s="111" t="s">
        <v>256</v>
      </c>
      <c r="EE42" s="111">
        <v>94.891999999999996</v>
      </c>
      <c r="EF42" s="111">
        <v>94.891999999999996</v>
      </c>
      <c r="EG42" s="111">
        <v>138</v>
      </c>
      <c r="EH42" s="111"/>
      <c r="EI42" s="111"/>
      <c r="EJ42" s="111"/>
      <c r="EK42" s="111"/>
      <c r="EL42" s="111"/>
      <c r="EU42" s="108"/>
      <c r="EV42" s="108"/>
    </row>
    <row r="43" spans="6:152" x14ac:dyDescent="0.3">
      <c r="F43" s="108"/>
      <c r="G43" s="108"/>
      <c r="H43" s="108"/>
      <c r="I43" s="108"/>
      <c r="J43" s="108"/>
      <c r="K43" s="108"/>
      <c r="L43" s="108" t="str">
        <f>IFERROR(MP_DATA[[#This Row],[Bottom '[m']]]-MP_DATA[[#This Row],[D, top '[m']]], "")</f>
        <v/>
      </c>
      <c r="M43" s="108" t="str">
        <f>IFERROR(-(MP_DATA[[#This Row],[D, bottom '[m']]]-MP_DATA[[#This Row],[D, top '[m']]])/(MP_DATA[[#This Row],[Bottom '[m']]]-MP_DATA[[#This Row],[Top '[m']]]),"")</f>
        <v/>
      </c>
      <c r="N43" s="108" t="str">
        <f t="shared" si="0"/>
        <v/>
      </c>
      <c r="O43" s="108" t="str">
        <f>IFERROR((MP_DATA[[#This Row],[D, bottom '[m']]]+MP_DATA[[#This Row],[D, top '[m']]])/(2*MP_DATA[[#This Row],[t '[mm']]]/1000),"")</f>
        <v/>
      </c>
      <c r="P43" s="108" t="str">
        <f>IFERROR((MP_DATA[[#This Row],[D, bottom '[m']]]+#REF!)/(2*#REF!/1000),"")</f>
        <v/>
      </c>
      <c r="BF43" s="108" t="str">
        <f>IFERROR(TP_DATA[[#This Row],[Bottom '[m']]]-TP_DATA[[#This Row],[D, top '[m']]], "")</f>
        <v/>
      </c>
      <c r="BG43" s="108" t="str">
        <f>IFERROR(-(TP_DATA[[#This Row],[D, bottom '[m']]]-TP_DATA[[#This Row],[D, top '[m']]])/(TP_DATA[[#This Row],[Bottom '[m']]]-TP_DATA[[#This Row],[Top '[m']]]),"")</f>
        <v/>
      </c>
      <c r="BH43" s="108" t="str">
        <f t="shared" si="1"/>
        <v/>
      </c>
      <c r="BI43" s="108" t="str">
        <f>IFERROR((TP_DATA[[#This Row],[D, bottom '[m']]]+TP_DATA[[#This Row],[D, top '[m']]])/(2*TP_DATA[[#This Row],[t '[mm']]]/1000),"")</f>
        <v/>
      </c>
      <c r="BJ43" s="108" t="str">
        <f>IFERROR((TP_DATA[[#This Row],[D, bottom '[m']]]+#REF!)/(2*#REF!/1000),"")</f>
        <v/>
      </c>
      <c r="CT43" s="102">
        <v>28</v>
      </c>
      <c r="CU43" s="102">
        <v>101.94000000000001</v>
      </c>
      <c r="CV43" s="102">
        <v>101.9</v>
      </c>
      <c r="CW43" s="102">
        <v>6.2279999999999998</v>
      </c>
      <c r="CX43" s="102">
        <v>6.23</v>
      </c>
      <c r="CY43" s="102">
        <v>28</v>
      </c>
      <c r="CZ43" s="108">
        <f>IFERROR(TOWER_DATA[[#This Row],[Top '[m']]]-TOWER_DATA[[#This Row],[Bottom '[m']]], "")</f>
        <v>4.0000000000006253E-2</v>
      </c>
      <c r="DA43" s="108">
        <f>IFERROR(-(TOWER_DATA[[#This Row],[D, bottom '[m']]]-TOWER_DATA[[#This Row],[D, top '[m']]])/(TOWER_DATA[[#This Row],[Bottom '[m']]]-TOWER_DATA[[#This Row],[Top '[m']]]),"")</f>
        <v>5.0000000000008885E-2</v>
      </c>
      <c r="DB43" s="108">
        <f t="shared" si="2"/>
        <v>0.1712770930668801</v>
      </c>
      <c r="DC43" s="108">
        <f>IFERROR((TOWER_DATA[[#This Row],[D, bottom '[m']]]+TOWER_DATA[[#This Row],[D, top '[m']]])/(2*TOWER_DATA[[#This Row],[t '[mm']]]/1000),"")</f>
        <v>222.46428571428572</v>
      </c>
      <c r="DD43" s="108" t="str">
        <f>IFERROR((TOWER_DATA[[#This Row],[D, bottom '[m']]]+#REF!)/(2*#REF!/1000),"")</f>
        <v/>
      </c>
      <c r="DE43" s="110" t="s">
        <v>256</v>
      </c>
      <c r="DF43" s="110">
        <v>91.005999999999986</v>
      </c>
      <c r="DG43" s="110">
        <v>91.005999999999986</v>
      </c>
      <c r="DH43" s="110">
        <v>138</v>
      </c>
      <c r="DI43" s="110"/>
      <c r="DJ43" s="110"/>
      <c r="DK43" s="110"/>
      <c r="DL43" s="110"/>
      <c r="DM43" s="110"/>
      <c r="DW43" s="105">
        <v>28</v>
      </c>
      <c r="DX43" s="105">
        <v>101.94000000000001</v>
      </c>
      <c r="DY43" s="105">
        <v>101.9</v>
      </c>
      <c r="DZ43" s="105">
        <v>6.2279999999999998</v>
      </c>
      <c r="EA43" s="105">
        <v>6.23</v>
      </c>
      <c r="EB43" s="105">
        <v>28</v>
      </c>
      <c r="ED43" s="111" t="s">
        <v>256</v>
      </c>
      <c r="EE43" s="111">
        <v>91.005999999999986</v>
      </c>
      <c r="EF43" s="111">
        <v>91.005999999999986</v>
      </c>
      <c r="EG43" s="111">
        <v>138</v>
      </c>
      <c r="EH43" s="111"/>
      <c r="EI43" s="111"/>
      <c r="EJ43" s="111"/>
      <c r="EK43" s="111"/>
      <c r="EL43" s="111"/>
      <c r="EU43" s="108"/>
      <c r="EV43" s="108"/>
    </row>
    <row r="44" spans="6:152" x14ac:dyDescent="0.3">
      <c r="F44" s="108"/>
      <c r="G44" s="108"/>
      <c r="H44" s="108"/>
      <c r="I44" s="108"/>
      <c r="J44" s="108"/>
      <c r="K44" s="108"/>
      <c r="L44" s="108" t="str">
        <f>IFERROR(MP_DATA[[#This Row],[Bottom '[m']]]-MP_DATA[[#This Row],[D, top '[m']]], "")</f>
        <v/>
      </c>
      <c r="M44" s="108" t="str">
        <f>IFERROR(-(MP_DATA[[#This Row],[D, bottom '[m']]]-MP_DATA[[#This Row],[D, top '[m']]])/(MP_DATA[[#This Row],[Bottom '[m']]]-MP_DATA[[#This Row],[Top '[m']]]),"")</f>
        <v/>
      </c>
      <c r="N44" s="108" t="str">
        <f t="shared" si="0"/>
        <v/>
      </c>
      <c r="O44" s="108" t="str">
        <f>IFERROR((MP_DATA[[#This Row],[D, bottom '[m']]]+MP_DATA[[#This Row],[D, top '[m']]])/(2*MP_DATA[[#This Row],[t '[mm']]]/1000),"")</f>
        <v/>
      </c>
      <c r="P44" s="108" t="str">
        <f>IFERROR((MP_DATA[[#This Row],[D, bottom '[m']]]+#REF!)/(2*#REF!/1000),"")</f>
        <v/>
      </c>
      <c r="BF44" s="108" t="str">
        <f>IFERROR(TP_DATA[[#This Row],[Bottom '[m']]]-TP_DATA[[#This Row],[D, top '[m']]], "")</f>
        <v/>
      </c>
      <c r="BG44" s="108" t="str">
        <f>IFERROR(-(TP_DATA[[#This Row],[D, bottom '[m']]]-TP_DATA[[#This Row],[D, top '[m']]])/(TP_DATA[[#This Row],[Bottom '[m']]]-TP_DATA[[#This Row],[Top '[m']]]),"")</f>
        <v/>
      </c>
      <c r="BH44" s="108" t="str">
        <f t="shared" si="1"/>
        <v/>
      </c>
      <c r="BI44" s="108" t="str">
        <f>IFERROR((TP_DATA[[#This Row],[D, bottom '[m']]]+TP_DATA[[#This Row],[D, top '[m']]])/(2*TP_DATA[[#This Row],[t '[mm']]]/1000),"")</f>
        <v/>
      </c>
      <c r="BJ44" s="108" t="str">
        <f>IFERROR((TP_DATA[[#This Row],[D, bottom '[m']]]+#REF!)/(2*#REF!/1000),"")</f>
        <v/>
      </c>
      <c r="CT44" s="102">
        <v>29</v>
      </c>
      <c r="CU44" s="102">
        <v>101.9</v>
      </c>
      <c r="CV44" s="102">
        <v>100.9</v>
      </c>
      <c r="CW44" s="102">
        <v>6.23</v>
      </c>
      <c r="CX44" s="102">
        <v>6.2530000000000001</v>
      </c>
      <c r="CY44" s="102">
        <v>30.099999999999998</v>
      </c>
      <c r="CZ44" s="108">
        <f>IFERROR(TOWER_DATA[[#This Row],[Top '[m']]]-TOWER_DATA[[#This Row],[Bottom '[m']]], "")</f>
        <v>1</v>
      </c>
      <c r="DA44" s="108">
        <f>IFERROR(-(TOWER_DATA[[#This Row],[D, bottom '[m']]]-TOWER_DATA[[#This Row],[D, top '[m']]])/(TOWER_DATA[[#This Row],[Bottom '[m']]]-TOWER_DATA[[#This Row],[Top '[m']]]),"")</f>
        <v>2.2999999999999687E-2</v>
      </c>
      <c r="DB44" s="108">
        <f t="shared" si="2"/>
        <v>4.610791912861246</v>
      </c>
      <c r="DC44" s="108">
        <f>IFERROR((TOWER_DATA[[#This Row],[D, bottom '[m']]]+TOWER_DATA[[#This Row],[D, top '[m']]])/(2*TOWER_DATA[[#This Row],[t '[mm']]]/1000),"")</f>
        <v>207.358803986711</v>
      </c>
      <c r="DD44" s="108" t="str">
        <f>IFERROR((TOWER_DATA[[#This Row],[D, bottom '[m']]]+#REF!)/(2*#REF!/1000),"")</f>
        <v/>
      </c>
      <c r="DE44" s="110" t="s">
        <v>256</v>
      </c>
      <c r="DF44" s="110">
        <v>90.899999999999991</v>
      </c>
      <c r="DG44" s="110">
        <v>90.899999999999991</v>
      </c>
      <c r="DH44" s="110">
        <v>139</v>
      </c>
      <c r="DI44" s="110"/>
      <c r="DJ44" s="110"/>
      <c r="DK44" s="110"/>
      <c r="DL44" s="110"/>
      <c r="DM44" s="110"/>
      <c r="DW44" s="105">
        <v>29</v>
      </c>
      <c r="DX44" s="105">
        <v>101.9</v>
      </c>
      <c r="DY44" s="105">
        <v>100.9</v>
      </c>
      <c r="DZ44" s="105">
        <v>6.23</v>
      </c>
      <c r="EA44" s="105">
        <v>6.2530000000000001</v>
      </c>
      <c r="EB44" s="105">
        <v>30.099999999999998</v>
      </c>
      <c r="ED44" s="111" t="s">
        <v>256</v>
      </c>
      <c r="EE44" s="111">
        <v>90.899999999999991</v>
      </c>
      <c r="EF44" s="111">
        <v>90.899999999999991</v>
      </c>
      <c r="EG44" s="111">
        <v>139</v>
      </c>
      <c r="EH44" s="111"/>
      <c r="EI44" s="111"/>
      <c r="EJ44" s="111"/>
      <c r="EK44" s="111"/>
      <c r="EL44" s="111"/>
      <c r="EU44" s="108"/>
      <c r="EV44" s="108"/>
    </row>
    <row r="45" spans="6:152" x14ac:dyDescent="0.3">
      <c r="F45" s="108"/>
      <c r="G45" s="108"/>
      <c r="H45" s="108"/>
      <c r="I45" s="108"/>
      <c r="J45" s="108"/>
      <c r="K45" s="108"/>
      <c r="L45" s="108" t="str">
        <f>IFERROR(MP_DATA[[#This Row],[Bottom '[m']]]-MP_DATA[[#This Row],[D, top '[m']]], "")</f>
        <v/>
      </c>
      <c r="M45" s="108" t="str">
        <f>IFERROR(-(MP_DATA[[#This Row],[D, bottom '[m']]]-MP_DATA[[#This Row],[D, top '[m']]])/(MP_DATA[[#This Row],[Bottom '[m']]]-MP_DATA[[#This Row],[Top '[m']]]),"")</f>
        <v/>
      </c>
      <c r="N45" s="108" t="str">
        <f t="shared" si="0"/>
        <v/>
      </c>
      <c r="O45" s="108" t="str">
        <f>IFERROR((MP_DATA[[#This Row],[D, bottom '[m']]]+MP_DATA[[#This Row],[D, top '[m']]])/(2*MP_DATA[[#This Row],[t '[mm']]]/1000),"")</f>
        <v/>
      </c>
      <c r="P45" s="108"/>
      <c r="BF45" s="108" t="str">
        <f>IFERROR(TP_DATA[[#This Row],[Bottom '[m']]]-TP_DATA[[#This Row],[D, top '[m']]], "")</f>
        <v/>
      </c>
      <c r="BG45" s="108" t="str">
        <f>IFERROR(-(TP_DATA[[#This Row],[D, bottom '[m']]]-TP_DATA[[#This Row],[D, top '[m']]])/(TP_DATA[[#This Row],[Bottom '[m']]]-TP_DATA[[#This Row],[Top '[m']]]),"")</f>
        <v/>
      </c>
      <c r="BH45" s="108" t="str">
        <f t="shared" si="1"/>
        <v/>
      </c>
      <c r="BI45" s="108" t="str">
        <f>IFERROR((TP_DATA[[#This Row],[D, bottom '[m']]]+TP_DATA[[#This Row],[D, top '[m']]])/(2*TP_DATA[[#This Row],[t '[mm']]]/1000),"")</f>
        <v/>
      </c>
      <c r="BJ45" s="108"/>
      <c r="CT45" s="102">
        <v>30</v>
      </c>
      <c r="CU45" s="102">
        <v>100.9</v>
      </c>
      <c r="CV45" s="102">
        <v>99.172000000000011</v>
      </c>
      <c r="CW45" s="102">
        <v>6.2530000000000001</v>
      </c>
      <c r="CX45" s="102">
        <v>6.2889999999999997</v>
      </c>
      <c r="CY45" s="102">
        <v>30.099999999999998</v>
      </c>
      <c r="CZ45" s="108">
        <f>IFERROR(TOWER_DATA[[#This Row],[Top '[m']]]-TOWER_DATA[[#This Row],[Bottom '[m']]], "")</f>
        <v>1.7279999999999944</v>
      </c>
      <c r="DA45" s="108">
        <f>IFERROR(-(TOWER_DATA[[#This Row],[D, bottom '[m']]]-TOWER_DATA[[#This Row],[D, top '[m']]])/(TOWER_DATA[[#This Row],[Bottom '[m']]]-TOWER_DATA[[#This Row],[Top '[m']]]),"")</f>
        <v>2.0833333333333162E-2</v>
      </c>
      <c r="DB45" s="108">
        <f t="shared" si="2"/>
        <v>8.0052884821827153</v>
      </c>
      <c r="DC45" s="108">
        <f>IFERROR((TOWER_DATA[[#This Row],[D, bottom '[m']]]+TOWER_DATA[[#This Row],[D, top '[m']]])/(2*TOWER_DATA[[#This Row],[t '[mm']]]/1000),"")</f>
        <v>208.3388704318937</v>
      </c>
      <c r="DD45" s="108"/>
      <c r="DE45" s="110" t="s">
        <v>256</v>
      </c>
      <c r="DF45" s="110">
        <v>86.670999999999992</v>
      </c>
      <c r="DG45" s="110">
        <v>86.670999999999992</v>
      </c>
      <c r="DH45" s="110">
        <v>139</v>
      </c>
      <c r="DI45" s="110"/>
      <c r="DJ45" s="110"/>
      <c r="DK45" s="110"/>
      <c r="DL45" s="110"/>
      <c r="DM45" s="110"/>
      <c r="DW45" s="105">
        <v>30</v>
      </c>
      <c r="DX45" s="105">
        <v>100.9</v>
      </c>
      <c r="DY45" s="105">
        <v>99.172000000000011</v>
      </c>
      <c r="DZ45" s="105">
        <v>6.2530000000000001</v>
      </c>
      <c r="EA45" s="105">
        <v>6.2889999999999997</v>
      </c>
      <c r="EB45" s="105">
        <v>30.099999999999998</v>
      </c>
      <c r="ED45" s="111" t="s">
        <v>256</v>
      </c>
      <c r="EE45" s="111">
        <v>86.670999999999992</v>
      </c>
      <c r="EF45" s="111">
        <v>86.670999999999992</v>
      </c>
      <c r="EG45" s="111">
        <v>139</v>
      </c>
      <c r="EH45" s="111"/>
      <c r="EI45" s="111"/>
      <c r="EJ45" s="111"/>
      <c r="EK45" s="111"/>
      <c r="EL45" s="111"/>
      <c r="EU45" s="108"/>
      <c r="EV45" s="108"/>
    </row>
    <row r="46" spans="6:152" x14ac:dyDescent="0.3">
      <c r="F46" s="108"/>
      <c r="G46" s="108"/>
      <c r="H46" s="108"/>
      <c r="I46" s="108"/>
      <c r="J46" s="108"/>
      <c r="K46" s="108"/>
      <c r="L46" s="108" t="str">
        <f>IFERROR(MP_DATA[[#This Row],[Bottom '[m']]]-MP_DATA[[#This Row],[D, top '[m']]], "")</f>
        <v/>
      </c>
      <c r="M46" s="108" t="str">
        <f>IFERROR(-(MP_DATA[[#This Row],[D, bottom '[m']]]-MP_DATA[[#This Row],[D, top '[m']]])/(MP_DATA[[#This Row],[Bottom '[m']]]-MP_DATA[[#This Row],[Top '[m']]]),"")</f>
        <v/>
      </c>
      <c r="N46" s="108" t="str">
        <f t="shared" si="0"/>
        <v/>
      </c>
      <c r="O46" s="108" t="str">
        <f>IFERROR((MP_DATA[[#This Row],[D, bottom '[m']]]+MP_DATA[[#This Row],[D, top '[m']]])/(2*MP_DATA[[#This Row],[t '[mm']]]/1000),"")</f>
        <v/>
      </c>
      <c r="P46" s="108"/>
      <c r="BF46" s="108" t="str">
        <f>IFERROR(TP_DATA[[#This Row],[Bottom '[m']]]-TP_DATA[[#This Row],[D, top '[m']]], "")</f>
        <v/>
      </c>
      <c r="BG46" s="108" t="str">
        <f>IFERROR(-(TP_DATA[[#This Row],[D, bottom '[m']]]-TP_DATA[[#This Row],[D, top '[m']]])/(TP_DATA[[#This Row],[Bottom '[m']]]-TP_DATA[[#This Row],[Top '[m']]]),"")</f>
        <v/>
      </c>
      <c r="BH46" s="108" t="str">
        <f t="shared" si="1"/>
        <v/>
      </c>
      <c r="BI46" s="108" t="str">
        <f>IFERROR((TP_DATA[[#This Row],[D, bottom '[m']]]+TP_DATA[[#This Row],[D, top '[m']]])/(2*TP_DATA[[#This Row],[t '[mm']]]/1000),"")</f>
        <v/>
      </c>
      <c r="BJ46" s="108"/>
      <c r="CT46" s="102">
        <v>31</v>
      </c>
      <c r="CU46" s="102">
        <v>99.172000000000011</v>
      </c>
      <c r="CV46" s="102">
        <v>99.003</v>
      </c>
      <c r="CW46" s="102">
        <v>6.2889999999999997</v>
      </c>
      <c r="CX46" s="102">
        <v>6.2919999999999998</v>
      </c>
      <c r="CY46" s="102">
        <v>26.5</v>
      </c>
      <c r="CZ46" s="108">
        <f>IFERROR(TOWER_DATA[[#This Row],[Top '[m']]]-TOWER_DATA[[#This Row],[Bottom '[m']]], "")</f>
        <v>0.16900000000001114</v>
      </c>
      <c r="DA46" s="108">
        <f>IFERROR(-(TOWER_DATA[[#This Row],[D, bottom '[m']]]-TOWER_DATA[[#This Row],[D, top '[m']]])/(TOWER_DATA[[#This Row],[Bottom '[m']]]-TOWER_DATA[[#This Row],[Top '[m']]]),"")</f>
        <v>1.7751479289940329E-2</v>
      </c>
      <c r="DB46" s="108">
        <f t="shared" si="2"/>
        <v>0.69183711520936486</v>
      </c>
      <c r="DC46" s="108">
        <f>IFERROR((TOWER_DATA[[#This Row],[D, bottom '[m']]]+TOWER_DATA[[#This Row],[D, top '[m']]])/(2*TOWER_DATA[[#This Row],[t '[mm']]]/1000),"")</f>
        <v>237.37735849056602</v>
      </c>
      <c r="DD46" s="108"/>
      <c r="DE46" s="110" t="s">
        <v>256</v>
      </c>
      <c r="DF46" s="110">
        <v>82.839999999999989</v>
      </c>
      <c r="DG46" s="110">
        <v>82.839999999999989</v>
      </c>
      <c r="DH46" s="110">
        <v>140</v>
      </c>
      <c r="DI46" s="110"/>
      <c r="DJ46" s="110"/>
      <c r="DK46" s="110"/>
      <c r="DL46" s="110"/>
      <c r="DM46" s="110"/>
      <c r="DW46" s="105">
        <v>31</v>
      </c>
      <c r="DX46" s="105">
        <v>99.172000000000011</v>
      </c>
      <c r="DY46" s="105">
        <v>99.003</v>
      </c>
      <c r="DZ46" s="105">
        <v>6.2889999999999997</v>
      </c>
      <c r="EA46" s="105">
        <v>6.2919999999999998</v>
      </c>
      <c r="EB46" s="105">
        <v>26.5</v>
      </c>
      <c r="ED46" s="111" t="s">
        <v>256</v>
      </c>
      <c r="EE46" s="111">
        <v>82.839999999999989</v>
      </c>
      <c r="EF46" s="111">
        <v>82.839999999999989</v>
      </c>
      <c r="EG46" s="111">
        <v>140</v>
      </c>
      <c r="EH46" s="111"/>
      <c r="EI46" s="111"/>
      <c r="EJ46" s="111"/>
      <c r="EK46" s="111"/>
      <c r="EL46" s="111"/>
      <c r="EU46" s="108"/>
      <c r="EV46" s="108"/>
    </row>
    <row r="47" spans="6:152" x14ac:dyDescent="0.3">
      <c r="F47" s="108"/>
      <c r="G47" s="108"/>
      <c r="H47" s="108"/>
      <c r="I47" s="108"/>
      <c r="J47" s="108"/>
      <c r="K47" s="108"/>
      <c r="L47" s="108" t="str">
        <f>IFERROR(MP_DATA[[#This Row],[Bottom '[m']]]-MP_DATA[[#This Row],[D, top '[m']]], "")</f>
        <v/>
      </c>
      <c r="M47" s="108" t="str">
        <f>IFERROR(-(MP_DATA[[#This Row],[D, bottom '[m']]]-MP_DATA[[#This Row],[D, top '[m']]])/(MP_DATA[[#This Row],[Bottom '[m']]]-MP_DATA[[#This Row],[Top '[m']]]),"")</f>
        <v/>
      </c>
      <c r="N47" s="108" t="str">
        <f t="shared" ref="N47:N78" si="3">IF(7850/1000*(1/3)*PI()*ABS(G106-H106)*((I106/2)^2+(I106/2)*(J106/2)+(J106/2)^2-(I106/2-K106/1000)^2-(I106/2-K106/1000)*(J106/2-K106/1000)-(J106/2-K106/1000)^2)=0,"",7850/1000*(1/3)*PI()*ABS(G106-H106)*((I106/2)^2+(I106/2)*(J106/2)+(J106/2)^2-(I106/2-K106/1000)^2-(I106/2-K106/1000)*(J106/2-K106/1000)-(J106/2-K106/1000)^2))</f>
        <v/>
      </c>
      <c r="O47" s="108" t="str">
        <f>IFERROR((MP_DATA[[#This Row],[D, bottom '[m']]]+MP_DATA[[#This Row],[D, top '[m']]])/(2*MP_DATA[[#This Row],[t '[mm']]]/1000),"")</f>
        <v/>
      </c>
      <c r="P47" s="108"/>
      <c r="BF47" s="108" t="str">
        <f>IFERROR(TP_DATA[[#This Row],[Bottom '[m']]]-TP_DATA[[#This Row],[D, top '[m']]], "")</f>
        <v/>
      </c>
      <c r="BG47" s="108" t="str">
        <f>IFERROR(-(TP_DATA[[#This Row],[D, bottom '[m']]]-TP_DATA[[#This Row],[D, top '[m']]])/(TP_DATA[[#This Row],[Bottom '[m']]]-TP_DATA[[#This Row],[Top '[m']]]),"")</f>
        <v/>
      </c>
      <c r="BH47" s="108" t="str">
        <f t="shared" si="1"/>
        <v/>
      </c>
      <c r="BI47" s="108" t="str">
        <f>IFERROR((TP_DATA[[#This Row],[D, bottom '[m']]]+TP_DATA[[#This Row],[D, top '[m']]])/(2*TP_DATA[[#This Row],[t '[mm']]]/1000),"")</f>
        <v/>
      </c>
      <c r="BJ47" s="108"/>
      <c r="CT47" s="102">
        <v>32</v>
      </c>
      <c r="CU47" s="102">
        <v>99.003</v>
      </c>
      <c r="CV47" s="102">
        <v>96.45</v>
      </c>
      <c r="CW47" s="102">
        <v>6.2919999999999998</v>
      </c>
      <c r="CX47" s="102">
        <v>6.351</v>
      </c>
      <c r="CY47" s="102">
        <v>26.5</v>
      </c>
      <c r="CZ47" s="108">
        <f>IFERROR(TOWER_DATA[[#This Row],[Top '[m']]]-TOWER_DATA[[#This Row],[Bottom '[m']]], "")</f>
        <v>2.5529999999999973</v>
      </c>
      <c r="DA47" s="108">
        <f>IFERROR(-(TOWER_DATA[[#This Row],[D, bottom '[m']]]-TOWER_DATA[[#This Row],[D, top '[m']]])/(TOWER_DATA[[#This Row],[Bottom '[m']]]-TOWER_DATA[[#This Row],[Top '[m']]]),"")</f>
        <v>2.3110066588327545E-2</v>
      </c>
      <c r="DB47" s="108">
        <f t="shared" si="2"/>
        <v>10.502965831367973</v>
      </c>
      <c r="DC47" s="108">
        <f>IFERROR((TOWER_DATA[[#This Row],[D, bottom '[m']]]+TOWER_DATA[[#This Row],[D, top '[m']]])/(2*TOWER_DATA[[#This Row],[t '[mm']]]/1000),"")</f>
        <v>238.54716981132077</v>
      </c>
      <c r="DD47" s="108"/>
      <c r="DE47" s="110" t="s">
        <v>256</v>
      </c>
      <c r="DF47" s="110">
        <v>80.899999999999991</v>
      </c>
      <c r="DG47" s="110">
        <v>80.899999999999991</v>
      </c>
      <c r="DH47" s="110">
        <v>140</v>
      </c>
      <c r="DI47" s="110"/>
      <c r="DJ47" s="110"/>
      <c r="DK47" s="110"/>
      <c r="DL47" s="110"/>
      <c r="DM47" s="110"/>
      <c r="DW47" s="105">
        <v>32</v>
      </c>
      <c r="DX47" s="105">
        <v>99.003</v>
      </c>
      <c r="DY47" s="105">
        <v>96.45</v>
      </c>
      <c r="DZ47" s="105">
        <v>6.2919999999999998</v>
      </c>
      <c r="EA47" s="105">
        <v>6.351</v>
      </c>
      <c r="EB47" s="105">
        <v>26.5</v>
      </c>
      <c r="ED47" s="111" t="s">
        <v>256</v>
      </c>
      <c r="EE47" s="111">
        <v>80.899999999999991</v>
      </c>
      <c r="EF47" s="111">
        <v>80.899999999999991</v>
      </c>
      <c r="EG47" s="111">
        <v>140</v>
      </c>
      <c r="EH47" s="111"/>
      <c r="EI47" s="111"/>
      <c r="EJ47" s="111"/>
      <c r="EK47" s="111"/>
      <c r="EL47" s="111"/>
      <c r="EU47" s="108"/>
      <c r="EV47" s="108"/>
    </row>
    <row r="48" spans="6:152" x14ac:dyDescent="0.3">
      <c r="F48" s="108"/>
      <c r="G48" s="108"/>
      <c r="H48" s="108"/>
      <c r="I48" s="108"/>
      <c r="J48" s="108"/>
      <c r="K48" s="108"/>
      <c r="L48" s="108" t="str">
        <f>IFERROR(MP_DATA[[#This Row],[Bottom '[m']]]-MP_DATA[[#This Row],[D, top '[m']]], "")</f>
        <v/>
      </c>
      <c r="M48" s="108" t="str">
        <f>IFERROR(-(MP_DATA[[#This Row],[D, bottom '[m']]]-MP_DATA[[#This Row],[D, top '[m']]])/(MP_DATA[[#This Row],[Bottom '[m']]]-MP_DATA[[#This Row],[Top '[m']]]),"")</f>
        <v/>
      </c>
      <c r="N48" s="108" t="str">
        <f t="shared" si="3"/>
        <v/>
      </c>
      <c r="O48" s="108" t="str">
        <f>IFERROR((MP_DATA[[#This Row],[D, bottom '[m']]]+MP_DATA[[#This Row],[D, top '[m']]])/(2*MP_DATA[[#This Row],[t '[mm']]]/1000),"")</f>
        <v/>
      </c>
      <c r="P48" s="108"/>
      <c r="BF48" s="108" t="str">
        <f>IFERROR(TP_DATA[[#This Row],[Bottom '[m']]]-TP_DATA[[#This Row],[D, top '[m']]], "")</f>
        <v/>
      </c>
      <c r="BG48" s="108" t="str">
        <f>IFERROR(-(TP_DATA[[#This Row],[D, bottom '[m']]]-TP_DATA[[#This Row],[D, top '[m']]])/(TP_DATA[[#This Row],[Bottom '[m']]]-TP_DATA[[#This Row],[Top '[m']]]),"")</f>
        <v/>
      </c>
      <c r="BH48" s="108" t="str">
        <f t="shared" si="1"/>
        <v/>
      </c>
      <c r="BI48" s="108" t="str">
        <f>IFERROR((TP_DATA[[#This Row],[D, bottom '[m']]]+TP_DATA[[#This Row],[D, top '[m']]])/(2*TP_DATA[[#This Row],[t '[mm']]]/1000),"")</f>
        <v/>
      </c>
      <c r="BJ48" s="108"/>
      <c r="CT48" s="102">
        <v>33</v>
      </c>
      <c r="CU48" s="102">
        <v>96.45</v>
      </c>
      <c r="CV48" s="102">
        <v>94.89200000000001</v>
      </c>
      <c r="CW48" s="102">
        <v>6.351</v>
      </c>
      <c r="CX48" s="102">
        <v>6.3869999999999996</v>
      </c>
      <c r="CY48" s="102">
        <v>28</v>
      </c>
      <c r="CZ48" s="108">
        <f>IFERROR(TOWER_DATA[[#This Row],[Top '[m']]]-TOWER_DATA[[#This Row],[Bottom '[m']]], "")</f>
        <v>1.5579999999999927</v>
      </c>
      <c r="DA48" s="108">
        <f>IFERROR(-(TOWER_DATA[[#This Row],[D, bottom '[m']]]-TOWER_DATA[[#This Row],[D, top '[m']]])/(TOWER_DATA[[#This Row],[Bottom '[m']]]-TOWER_DATA[[#This Row],[Top '[m']]]),"")</f>
        <v>2.3106546854942078E-2</v>
      </c>
      <c r="DB48" s="108">
        <f t="shared" si="2"/>
        <v>6.8218594478281238</v>
      </c>
      <c r="DC48" s="108">
        <f>IFERROR((TOWER_DATA[[#This Row],[D, bottom '[m']]]+TOWER_DATA[[#This Row],[D, top '[m']]])/(2*TOWER_DATA[[#This Row],[t '[mm']]]/1000),"")</f>
        <v>227.46428571428569</v>
      </c>
      <c r="DD48" s="108"/>
      <c r="DE48" s="110" t="s">
        <v>256</v>
      </c>
      <c r="DF48" s="110">
        <v>78.449999999999989</v>
      </c>
      <c r="DG48" s="110">
        <v>78.449999999999989</v>
      </c>
      <c r="DH48" s="110">
        <v>141</v>
      </c>
      <c r="DI48" s="110"/>
      <c r="DJ48" s="110"/>
      <c r="DK48" s="110"/>
      <c r="DL48" s="110"/>
      <c r="DM48" s="110"/>
      <c r="DW48" s="105">
        <v>33</v>
      </c>
      <c r="DX48" s="105">
        <v>96.45</v>
      </c>
      <c r="DY48" s="105">
        <v>94.89200000000001</v>
      </c>
      <c r="DZ48" s="105">
        <v>6.351</v>
      </c>
      <c r="EA48" s="105">
        <v>6.3869999999999996</v>
      </c>
      <c r="EB48" s="105">
        <v>28</v>
      </c>
      <c r="ED48" s="111" t="s">
        <v>256</v>
      </c>
      <c r="EE48" s="111">
        <v>78.449999999999989</v>
      </c>
      <c r="EF48" s="111">
        <v>78.449999999999989</v>
      </c>
      <c r="EG48" s="111">
        <v>141</v>
      </c>
      <c r="EH48" s="111"/>
      <c r="EI48" s="111"/>
      <c r="EJ48" s="111"/>
      <c r="EK48" s="111"/>
      <c r="EL48" s="111"/>
      <c r="EU48" s="108"/>
      <c r="EV48" s="108"/>
    </row>
    <row r="49" spans="6:152" x14ac:dyDescent="0.3">
      <c r="F49" s="108"/>
      <c r="G49" s="108"/>
      <c r="H49" s="108"/>
      <c r="I49" s="108"/>
      <c r="J49" s="108"/>
      <c r="K49" s="108"/>
      <c r="L49" s="108" t="str">
        <f>IFERROR(MP_DATA[[#This Row],[Bottom '[m']]]-MP_DATA[[#This Row],[D, top '[m']]], "")</f>
        <v/>
      </c>
      <c r="M49" s="108" t="str">
        <f>IFERROR(-(MP_DATA[[#This Row],[D, bottom '[m']]]-MP_DATA[[#This Row],[D, top '[m']]])/(MP_DATA[[#This Row],[Bottom '[m']]]-MP_DATA[[#This Row],[Top '[m']]]),"")</f>
        <v/>
      </c>
      <c r="N49" s="108" t="str">
        <f t="shared" si="3"/>
        <v/>
      </c>
      <c r="O49" s="108" t="str">
        <f>IFERROR((MP_DATA[[#This Row],[D, bottom '[m']]]+MP_DATA[[#This Row],[D, top '[m']]])/(2*MP_DATA[[#This Row],[t '[mm']]]/1000),"")</f>
        <v/>
      </c>
      <c r="P49" s="108"/>
      <c r="BF49" s="108" t="str">
        <f>IFERROR(TP_DATA[[#This Row],[Bottom '[m']]]-TP_DATA[[#This Row],[D, top '[m']]], "")</f>
        <v/>
      </c>
      <c r="BG49" s="108" t="str">
        <f>IFERROR(-(TP_DATA[[#This Row],[D, bottom '[m']]]-TP_DATA[[#This Row],[D, top '[m']]])/(TP_DATA[[#This Row],[Bottom '[m']]]-TP_DATA[[#This Row],[Top '[m']]]),"")</f>
        <v/>
      </c>
      <c r="BH49" s="108" t="str">
        <f t="shared" si="1"/>
        <v/>
      </c>
      <c r="BI49" s="108" t="str">
        <f>IFERROR((TP_DATA[[#This Row],[D, bottom '[m']]]+TP_DATA[[#This Row],[D, top '[m']]])/(2*TP_DATA[[#This Row],[t '[mm']]]/1000),"")</f>
        <v/>
      </c>
      <c r="BJ49" s="108"/>
      <c r="CT49" s="102">
        <v>34</v>
      </c>
      <c r="CU49" s="102">
        <v>94.89200000000001</v>
      </c>
      <c r="CV49" s="102">
        <v>93.728000000000009</v>
      </c>
      <c r="CW49" s="102">
        <v>6.3869999999999996</v>
      </c>
      <c r="CX49" s="102">
        <v>6.4139999999999997</v>
      </c>
      <c r="CY49" s="102">
        <v>28</v>
      </c>
      <c r="CZ49" s="108">
        <f>IFERROR(TOWER_DATA[[#This Row],[Top '[m']]]-TOWER_DATA[[#This Row],[Bottom '[m']]], "")</f>
        <v>1.1640000000000015</v>
      </c>
      <c r="DA49" s="108">
        <f>IFERROR(-(TOWER_DATA[[#This Row],[D, bottom '[m']]]-TOWER_DATA[[#This Row],[D, top '[m']]])/(TOWER_DATA[[#This Row],[Bottom '[m']]]-TOWER_DATA[[#This Row],[Top '[m']]]),"")</f>
        <v>2.3195876288659881E-2</v>
      </c>
      <c r="DB49" s="108">
        <f t="shared" si="2"/>
        <v>5.1220095660448148</v>
      </c>
      <c r="DC49" s="108">
        <f>IFERROR((TOWER_DATA[[#This Row],[D, bottom '[m']]]+TOWER_DATA[[#This Row],[D, top '[m']]])/(2*TOWER_DATA[[#This Row],[t '[mm']]]/1000),"")</f>
        <v>228.58928571428569</v>
      </c>
      <c r="DD49" s="108"/>
      <c r="DE49" s="110" t="s">
        <v>256</v>
      </c>
      <c r="DF49" s="110">
        <v>74.673999999999992</v>
      </c>
      <c r="DG49" s="110">
        <v>74.673999999999992</v>
      </c>
      <c r="DH49" s="110">
        <v>141</v>
      </c>
      <c r="DI49" s="110"/>
      <c r="DJ49" s="110"/>
      <c r="DK49" s="110"/>
      <c r="DL49" s="110"/>
      <c r="DM49" s="110"/>
      <c r="DW49" s="105">
        <v>34</v>
      </c>
      <c r="DX49" s="105">
        <v>94.89200000000001</v>
      </c>
      <c r="DY49" s="105">
        <v>93.728000000000009</v>
      </c>
      <c r="DZ49" s="105">
        <v>6.3869999999999996</v>
      </c>
      <c r="EA49" s="105">
        <v>6.4139999999999997</v>
      </c>
      <c r="EB49" s="105">
        <v>28</v>
      </c>
      <c r="ED49" s="111" t="s">
        <v>256</v>
      </c>
      <c r="EE49" s="111">
        <v>74.673999999999992</v>
      </c>
      <c r="EF49" s="111">
        <v>74.673999999999992</v>
      </c>
      <c r="EG49" s="111">
        <v>141</v>
      </c>
      <c r="EH49" s="111"/>
      <c r="EI49" s="111"/>
      <c r="EJ49" s="111"/>
      <c r="EK49" s="111"/>
      <c r="EL49" s="111"/>
      <c r="EU49" s="108"/>
      <c r="EV49" s="108"/>
    </row>
    <row r="50" spans="6:152" x14ac:dyDescent="0.3">
      <c r="F50" s="108"/>
      <c r="G50" s="108"/>
      <c r="H50" s="108"/>
      <c r="I50" s="108"/>
      <c r="J50" s="108"/>
      <c r="K50" s="108"/>
      <c r="L50" s="108" t="str">
        <f>IFERROR(MP_DATA[[#This Row],[Bottom '[m']]]-MP_DATA[[#This Row],[D, top '[m']]], "")</f>
        <v/>
      </c>
      <c r="M50" s="108" t="str">
        <f>IFERROR(-(MP_DATA[[#This Row],[D, bottom '[m']]]-MP_DATA[[#This Row],[D, top '[m']]])/(MP_DATA[[#This Row],[Bottom '[m']]]-MP_DATA[[#This Row],[Top '[m']]]),"")</f>
        <v/>
      </c>
      <c r="N50" s="108" t="str">
        <f t="shared" si="3"/>
        <v/>
      </c>
      <c r="O50" s="108" t="str">
        <f>IFERROR((MP_DATA[[#This Row],[D, bottom '[m']]]+MP_DATA[[#This Row],[D, top '[m']]])/(2*MP_DATA[[#This Row],[t '[mm']]]/1000),"")</f>
        <v/>
      </c>
      <c r="P50" s="108"/>
      <c r="BF50" s="108" t="str">
        <f>IFERROR(TP_DATA[[#This Row],[Bottom '[m']]]-TP_DATA[[#This Row],[D, top '[m']]], "")</f>
        <v/>
      </c>
      <c r="BG50" s="108" t="str">
        <f>IFERROR(-(TP_DATA[[#This Row],[D, bottom '[m']]]-TP_DATA[[#This Row],[D, top '[m']]])/(TP_DATA[[#This Row],[Bottom '[m']]]-TP_DATA[[#This Row],[Top '[m']]]),"")</f>
        <v/>
      </c>
      <c r="BH50" s="108" t="str">
        <f t="shared" si="1"/>
        <v/>
      </c>
      <c r="BI50" s="108" t="str">
        <f>IFERROR((TP_DATA[[#This Row],[D, bottom '[m']]]+TP_DATA[[#This Row],[D, top '[m']]])/(2*TP_DATA[[#This Row],[t '[mm']]]/1000),"")</f>
        <v/>
      </c>
      <c r="BJ50" s="108"/>
      <c r="CT50" s="102">
        <v>35</v>
      </c>
      <c r="CU50" s="102">
        <v>93.728000000000009</v>
      </c>
      <c r="CV50" s="102">
        <v>91.006</v>
      </c>
      <c r="CW50" s="102">
        <v>6.4139999999999997</v>
      </c>
      <c r="CX50" s="102">
        <v>6.4749999999999996</v>
      </c>
      <c r="CY50" s="102">
        <v>28.6</v>
      </c>
      <c r="CZ50" s="108">
        <f>IFERROR(TOWER_DATA[[#This Row],[Top '[m']]]-TOWER_DATA[[#This Row],[Bottom '[m']]], "")</f>
        <v>2.7220000000000084</v>
      </c>
      <c r="DA50" s="108">
        <f>IFERROR(-(TOWER_DATA[[#This Row],[D, bottom '[m']]]-TOWER_DATA[[#This Row],[D, top '[m']]])/(TOWER_DATA[[#This Row],[Bottom '[m']]]-TOWER_DATA[[#This Row],[Top '[m']]]),"")</f>
        <v>2.2409992652461335E-2</v>
      </c>
      <c r="DB50" s="108">
        <f t="shared" si="2"/>
        <v>12.317746718159135</v>
      </c>
      <c r="DC50" s="108">
        <f>IFERROR((TOWER_DATA[[#This Row],[D, bottom '[m']]]+TOWER_DATA[[#This Row],[D, top '[m']]])/(2*TOWER_DATA[[#This Row],[t '[mm']]]/1000),"")</f>
        <v>225.33216783216781</v>
      </c>
      <c r="DD50" s="108"/>
      <c r="DE50" s="110" t="s">
        <v>256</v>
      </c>
      <c r="DF50" s="110">
        <v>71.951999999999984</v>
      </c>
      <c r="DG50" s="110">
        <v>71.951999999999984</v>
      </c>
      <c r="DH50" s="110">
        <v>142</v>
      </c>
      <c r="DI50" s="110"/>
      <c r="DJ50" s="110"/>
      <c r="DK50" s="110"/>
      <c r="DL50" s="110"/>
      <c r="DM50" s="110"/>
      <c r="DW50" s="105">
        <v>35</v>
      </c>
      <c r="DX50" s="105">
        <v>93.728000000000009</v>
      </c>
      <c r="DY50" s="105">
        <v>91.006</v>
      </c>
      <c r="DZ50" s="105">
        <v>6.4139999999999997</v>
      </c>
      <c r="EA50" s="105">
        <v>6.4749999999999996</v>
      </c>
      <c r="EB50" s="105">
        <v>28.6</v>
      </c>
      <c r="ED50" s="111" t="s">
        <v>256</v>
      </c>
      <c r="EE50" s="111">
        <v>71.951999999999984</v>
      </c>
      <c r="EF50" s="111">
        <v>71.951999999999984</v>
      </c>
      <c r="EG50" s="111">
        <v>142</v>
      </c>
      <c r="EH50" s="111"/>
      <c r="EI50" s="111"/>
      <c r="EJ50" s="111"/>
      <c r="EK50" s="111"/>
      <c r="EL50" s="111"/>
      <c r="EU50" s="108"/>
      <c r="EV50" s="108"/>
    </row>
    <row r="51" spans="6:152" x14ac:dyDescent="0.3">
      <c r="F51" s="108"/>
      <c r="H51" s="108"/>
      <c r="J51" s="108"/>
      <c r="L51" s="108" t="str">
        <f>IFERROR(MP_DATA[[#This Row],[Bottom '[m']]]-MP_DATA[[#This Row],[D, top '[m']]], "")</f>
        <v/>
      </c>
      <c r="M51" s="95" t="str">
        <f>IFERROR(-(MP_DATA[[#This Row],[D, bottom '[m']]]-MP_DATA[[#This Row],[D, top '[m']]])/(MP_DATA[[#This Row],[Bottom '[m']]]-MP_DATA[[#This Row],[Top '[m']]]),"")</f>
        <v/>
      </c>
      <c r="N51" s="108" t="str">
        <f t="shared" si="3"/>
        <v/>
      </c>
      <c r="O51" s="108" t="str">
        <f>IFERROR((MP_DATA[[#This Row],[D, bottom '[m']]]+MP_DATA[[#This Row],[D, top '[m']]])/(2*MP_DATA[[#This Row],[t '[mm']]]/1000),"")</f>
        <v/>
      </c>
      <c r="P51" s="108"/>
      <c r="BF51" s="108" t="str">
        <f>IFERROR(TP_DATA[[#This Row],[Bottom '[m']]]-TP_DATA[[#This Row],[D, top '[m']]], "")</f>
        <v/>
      </c>
      <c r="BG51" s="108" t="str">
        <f>IFERROR(-(TP_DATA[[#This Row],[D, bottom '[m']]]-TP_DATA[[#This Row],[D, top '[m']]])/(TP_DATA[[#This Row],[Bottom '[m']]]-TP_DATA[[#This Row],[Top '[m']]]),"")</f>
        <v/>
      </c>
      <c r="BH51" s="108" t="str">
        <f t="shared" si="1"/>
        <v/>
      </c>
      <c r="BI51" s="108" t="str">
        <f>IFERROR((TP_DATA[[#This Row],[D, bottom '[m']]]+TP_DATA[[#This Row],[D, top '[m']]])/(2*TP_DATA[[#This Row],[t '[mm']]]/1000),"")</f>
        <v/>
      </c>
      <c r="BJ51" s="108"/>
      <c r="CT51" s="102">
        <v>36</v>
      </c>
      <c r="CU51" s="102">
        <v>91.006</v>
      </c>
      <c r="CV51" s="102">
        <v>90.9</v>
      </c>
      <c r="CW51" s="102">
        <v>6.4749999999999996</v>
      </c>
      <c r="CX51" s="102">
        <v>6.4779999999999998</v>
      </c>
      <c r="CY51" s="102">
        <v>29.4</v>
      </c>
      <c r="CZ51" s="108">
        <f>IFERROR(TOWER_DATA[[#This Row],[Top '[m']]]-TOWER_DATA[[#This Row],[Bottom '[m']]], "")</f>
        <v>0.10599999999999454</v>
      </c>
      <c r="DA51" s="108">
        <f>IFERROR(-(TOWER_DATA[[#This Row],[D, bottom '[m']]]-TOWER_DATA[[#This Row],[D, top '[m']]])/(TOWER_DATA[[#This Row],[Bottom '[m']]]-TOWER_DATA[[#This Row],[Top '[m']]]),"")</f>
        <v>2.830188679245536E-2</v>
      </c>
      <c r="DB51" s="108">
        <f t="shared" si="2"/>
        <v>0.49549255301145406</v>
      </c>
      <c r="DC51" s="108">
        <f>IFERROR((TOWER_DATA[[#This Row],[D, bottom '[m']]]+TOWER_DATA[[#This Row],[D, top '[m']]])/(2*TOWER_DATA[[#This Row],[t '[mm']]]/1000),"")</f>
        <v>220.28911564625849</v>
      </c>
      <c r="DD51" s="108"/>
      <c r="DE51" s="110" t="s">
        <v>256</v>
      </c>
      <c r="DF51" s="110">
        <v>70.899999999999991</v>
      </c>
      <c r="DG51" s="110">
        <v>70.899999999999991</v>
      </c>
      <c r="DH51" s="110">
        <v>143</v>
      </c>
      <c r="DI51" s="110"/>
      <c r="DJ51" s="110"/>
      <c r="DK51" s="110"/>
      <c r="DL51" s="110"/>
      <c r="DM51" s="110"/>
      <c r="DW51" s="105">
        <v>36</v>
      </c>
      <c r="DX51" s="105">
        <v>91.006</v>
      </c>
      <c r="DY51" s="105">
        <v>90.9</v>
      </c>
      <c r="DZ51" s="105">
        <v>6.4749999999999996</v>
      </c>
      <c r="EA51" s="105">
        <v>6.4779999999999998</v>
      </c>
      <c r="EB51" s="105">
        <v>29.4</v>
      </c>
      <c r="ED51" s="111" t="s">
        <v>256</v>
      </c>
      <c r="EE51" s="111">
        <v>70.899999999999991</v>
      </c>
      <c r="EF51" s="111">
        <v>70.899999999999991</v>
      </c>
      <c r="EG51" s="111">
        <v>143</v>
      </c>
      <c r="EH51" s="111"/>
      <c r="EI51" s="111"/>
      <c r="EJ51" s="111"/>
      <c r="EK51" s="111"/>
      <c r="EL51" s="111"/>
      <c r="EU51" s="108"/>
      <c r="EV51" s="108"/>
    </row>
    <row r="52" spans="6:152" x14ac:dyDescent="0.3">
      <c r="F52" s="108"/>
      <c r="H52" s="108"/>
      <c r="J52" s="108"/>
      <c r="L52" s="108" t="str">
        <f>IFERROR(MP_DATA[[#This Row],[Bottom '[m']]]-MP_DATA[[#This Row],[D, top '[m']]], "")</f>
        <v/>
      </c>
      <c r="M52" s="95" t="str">
        <f>IFERROR(-(MP_DATA[[#This Row],[D, bottom '[m']]]-MP_DATA[[#This Row],[D, top '[m']]])/(MP_DATA[[#This Row],[Bottom '[m']]]-MP_DATA[[#This Row],[Top '[m']]]),"")</f>
        <v/>
      </c>
      <c r="N52" s="108" t="str">
        <f t="shared" si="3"/>
        <v/>
      </c>
      <c r="O52" s="108" t="str">
        <f>IFERROR((MP_DATA[[#This Row],[D, bottom '[m']]]+MP_DATA[[#This Row],[D, top '[m']]])/(2*MP_DATA[[#This Row],[t '[mm']]]/1000),"")</f>
        <v/>
      </c>
      <c r="P52" s="108"/>
      <c r="BF52" s="108" t="str">
        <f>IFERROR(TP_DATA[[#This Row],[Bottom '[m']]]-TP_DATA[[#This Row],[D, top '[m']]], "")</f>
        <v/>
      </c>
      <c r="BG52" s="108" t="str">
        <f>IFERROR(-(TP_DATA[[#This Row],[D, bottom '[m']]]-TP_DATA[[#This Row],[D, top '[m']]])/(TP_DATA[[#This Row],[Bottom '[m']]]-TP_DATA[[#This Row],[Top '[m']]]),"")</f>
        <v/>
      </c>
      <c r="BH52" s="108" t="str">
        <f t="shared" si="1"/>
        <v/>
      </c>
      <c r="BI52" s="108" t="str">
        <f>IFERROR((TP_DATA[[#This Row],[D, bottom '[m']]]+TP_DATA[[#This Row],[D, top '[m']]])/(2*TP_DATA[[#This Row],[t '[mm']]]/1000),"")</f>
        <v/>
      </c>
      <c r="BJ52" s="108"/>
      <c r="CT52" s="102">
        <v>37</v>
      </c>
      <c r="CU52" s="102">
        <v>90.9</v>
      </c>
      <c r="CV52" s="102">
        <v>88.284000000000006</v>
      </c>
      <c r="CW52" s="102">
        <v>6.4779999999999998</v>
      </c>
      <c r="CX52" s="102">
        <v>6.5380000000000003</v>
      </c>
      <c r="CY52" s="102">
        <v>29.4</v>
      </c>
      <c r="CZ52" s="108">
        <f>IFERROR(TOWER_DATA[[#This Row],[Top '[m']]]-TOWER_DATA[[#This Row],[Bottom '[m']]], "")</f>
        <v>2.6159999999999997</v>
      </c>
      <c r="DA52" s="108">
        <f>IFERROR(-(TOWER_DATA[[#This Row],[D, bottom '[m']]]-TOWER_DATA[[#This Row],[D, top '[m']]])/(TOWER_DATA[[#This Row],[Bottom '[m']]]-TOWER_DATA[[#This Row],[Top '[m']]]),"")</f>
        <v>2.2935779816513954E-2</v>
      </c>
      <c r="DB52" s="108">
        <f t="shared" si="2"/>
        <v>12.288129120958363</v>
      </c>
      <c r="DC52" s="108">
        <f>IFERROR((TOWER_DATA[[#This Row],[D, bottom '[m']]]+TOWER_DATA[[#This Row],[D, top '[m']]])/(2*TOWER_DATA[[#This Row],[t '[mm']]]/1000),"")</f>
        <v>221.36054421768708</v>
      </c>
      <c r="DD52" s="108"/>
      <c r="DE52" s="110" t="s">
        <v>256</v>
      </c>
      <c r="DF52" s="110">
        <v>66.489999999999995</v>
      </c>
      <c r="DG52" s="110">
        <v>66.489999999999995</v>
      </c>
      <c r="DH52" s="110">
        <v>144</v>
      </c>
      <c r="DI52" s="110"/>
      <c r="DJ52" s="110"/>
      <c r="DK52" s="110"/>
      <c r="DL52" s="110"/>
      <c r="DM52" s="110"/>
      <c r="DW52" s="105">
        <v>37</v>
      </c>
      <c r="DX52" s="105">
        <v>90.9</v>
      </c>
      <c r="DY52" s="105">
        <v>88.284000000000006</v>
      </c>
      <c r="DZ52" s="105">
        <v>6.4779999999999998</v>
      </c>
      <c r="EA52" s="105">
        <v>6.5380000000000003</v>
      </c>
      <c r="EB52" s="105">
        <v>29.4</v>
      </c>
      <c r="ED52" s="111" t="s">
        <v>256</v>
      </c>
      <c r="EE52" s="111">
        <v>66.489999999999995</v>
      </c>
      <c r="EF52" s="111">
        <v>66.489999999999995</v>
      </c>
      <c r="EG52" s="111">
        <v>144</v>
      </c>
      <c r="EH52" s="111"/>
      <c r="EI52" s="111"/>
      <c r="EJ52" s="111"/>
      <c r="EK52" s="111"/>
      <c r="EL52" s="111"/>
      <c r="EU52" s="108"/>
      <c r="EV52" s="108"/>
    </row>
    <row r="53" spans="6:152" x14ac:dyDescent="0.3">
      <c r="F53" s="108"/>
      <c r="H53" s="108"/>
      <c r="J53" s="108"/>
      <c r="L53" s="108" t="str">
        <f>IFERROR(MP_DATA[[#This Row],[Bottom '[m']]]-MP_DATA[[#This Row],[D, top '[m']]], "")</f>
        <v/>
      </c>
      <c r="M53" s="95" t="str">
        <f>IFERROR(-(MP_DATA[[#This Row],[D, bottom '[m']]]-MP_DATA[[#This Row],[D, top '[m']]])/(MP_DATA[[#This Row],[Bottom '[m']]]-MP_DATA[[#This Row],[Top '[m']]]),"")</f>
        <v/>
      </c>
      <c r="N53" s="108" t="str">
        <f t="shared" si="3"/>
        <v/>
      </c>
      <c r="O53" s="108" t="str">
        <f>IFERROR((MP_DATA[[#This Row],[D, bottom '[m']]]+MP_DATA[[#This Row],[D, top '[m']]])/(2*MP_DATA[[#This Row],[t '[mm']]]/1000),"")</f>
        <v/>
      </c>
      <c r="P53" s="108"/>
      <c r="BF53" s="108" t="str">
        <f>IFERROR(TP_DATA[[#This Row],[Bottom '[m']]]-TP_DATA[[#This Row],[D, top '[m']]], "")</f>
        <v/>
      </c>
      <c r="BG53" s="108" t="str">
        <f>IFERROR(-(TP_DATA[[#This Row],[D, bottom '[m']]]-TP_DATA[[#This Row],[D, top '[m']]])/(TP_DATA[[#This Row],[Bottom '[m']]]-TP_DATA[[#This Row],[Top '[m']]]),"")</f>
        <v/>
      </c>
      <c r="BH53" s="108" t="str">
        <f t="shared" si="1"/>
        <v/>
      </c>
      <c r="BI53" s="108" t="str">
        <f>IFERROR((TP_DATA[[#This Row],[D, bottom '[m']]]+TP_DATA[[#This Row],[D, top '[m']]])/(2*TP_DATA[[#This Row],[t '[mm']]]/1000),"")</f>
        <v/>
      </c>
      <c r="BJ53" s="108"/>
      <c r="CT53" s="102">
        <v>38</v>
      </c>
      <c r="CU53" s="102">
        <v>88.284000000000006</v>
      </c>
      <c r="CV53" s="102">
        <v>86.671000000000006</v>
      </c>
      <c r="CW53" s="102">
        <v>6.5380000000000003</v>
      </c>
      <c r="CX53" s="102">
        <v>6.5739999999999998</v>
      </c>
      <c r="CY53" s="102">
        <v>29.5</v>
      </c>
      <c r="CZ53" s="108">
        <f>IFERROR(TOWER_DATA[[#This Row],[Top '[m']]]-TOWER_DATA[[#This Row],[Bottom '[m']]], "")</f>
        <v>1.6129999999999995</v>
      </c>
      <c r="DA53" s="108">
        <f>IFERROR(-(TOWER_DATA[[#This Row],[D, bottom '[m']]]-TOWER_DATA[[#This Row],[D, top '[m']]])/(TOWER_DATA[[#This Row],[Bottom '[m']]]-TOWER_DATA[[#This Row],[Top '[m']]]),"")</f>
        <v>2.2318660880346931E-2</v>
      </c>
      <c r="DB53" s="108">
        <f t="shared" si="2"/>
        <v>7.6587211107854793</v>
      </c>
      <c r="DC53" s="108">
        <f>IFERROR((TOWER_DATA[[#This Row],[D, bottom '[m']]]+TOWER_DATA[[#This Row],[D, top '[m']]])/(2*TOWER_DATA[[#This Row],[t '[mm']]]/1000),"")</f>
        <v>222.23728813559325</v>
      </c>
      <c r="DD53" s="108"/>
      <c r="DE53" s="110" t="s">
        <v>256</v>
      </c>
      <c r="DF53" s="110">
        <v>66.444999999999993</v>
      </c>
      <c r="DG53" s="110">
        <v>66.444999999999993</v>
      </c>
      <c r="DH53" s="110">
        <v>7316</v>
      </c>
      <c r="DI53" s="110"/>
      <c r="DJ53" s="110"/>
      <c r="DK53" s="110"/>
      <c r="DL53" s="110"/>
      <c r="DM53" s="110"/>
      <c r="DW53" s="105">
        <v>38</v>
      </c>
      <c r="DX53" s="105">
        <v>88.284000000000006</v>
      </c>
      <c r="DY53" s="105">
        <v>86.671000000000006</v>
      </c>
      <c r="DZ53" s="105">
        <v>6.5380000000000003</v>
      </c>
      <c r="EA53" s="105">
        <v>6.5739999999999998</v>
      </c>
      <c r="EB53" s="105">
        <v>29.5</v>
      </c>
      <c r="ED53" s="111" t="s">
        <v>256</v>
      </c>
      <c r="EE53" s="111">
        <v>66.444999999999993</v>
      </c>
      <c r="EF53" s="111">
        <v>66.444999999999993</v>
      </c>
      <c r="EG53" s="111">
        <v>7316</v>
      </c>
      <c r="EH53" s="111"/>
      <c r="EI53" s="111"/>
      <c r="EJ53" s="111"/>
      <c r="EK53" s="111"/>
      <c r="EL53" s="111"/>
      <c r="EU53" s="108"/>
      <c r="EV53" s="108"/>
    </row>
    <row r="54" spans="6:152" x14ac:dyDescent="0.3">
      <c r="F54" s="108"/>
      <c r="H54" s="108"/>
      <c r="J54" s="108"/>
      <c r="L54" s="108" t="str">
        <f>IFERROR(MP_DATA[[#This Row],[Bottom '[m']]]-MP_DATA[[#This Row],[D, top '[m']]], "")</f>
        <v/>
      </c>
      <c r="M54" s="95" t="str">
        <f>IFERROR(-(MP_DATA[[#This Row],[D, bottom '[m']]]-MP_DATA[[#This Row],[D, top '[m']]])/(MP_DATA[[#This Row],[Bottom '[m']]]-MP_DATA[[#This Row],[Top '[m']]]),"")</f>
        <v/>
      </c>
      <c r="N54" s="108" t="str">
        <f t="shared" si="3"/>
        <v/>
      </c>
      <c r="O54" s="108" t="str">
        <f>IFERROR((MP_DATA[[#This Row],[D, bottom '[m']]]+MP_DATA[[#This Row],[D, top '[m']]])/(2*MP_DATA[[#This Row],[t '[mm']]]/1000),"")</f>
        <v/>
      </c>
      <c r="P54" s="108"/>
      <c r="BF54" s="108" t="str">
        <f>IFERROR(TP_DATA[[#This Row],[Bottom '[m']]]-TP_DATA[[#This Row],[D, top '[m']]], "")</f>
        <v/>
      </c>
      <c r="BG54" s="108" t="str">
        <f>IFERROR(-(TP_DATA[[#This Row],[D, bottom '[m']]]-TP_DATA[[#This Row],[D, top '[m']]])/(TP_DATA[[#This Row],[Bottom '[m']]]-TP_DATA[[#This Row],[Top '[m']]]),"")</f>
        <v/>
      </c>
      <c r="BH54" s="108" t="str">
        <f t="shared" si="1"/>
        <v/>
      </c>
      <c r="BI54" s="108" t="str">
        <f>IFERROR((TP_DATA[[#This Row],[D, bottom '[m']]]+TP_DATA[[#This Row],[D, top '[m']]])/(2*TP_DATA[[#This Row],[t '[mm']]]/1000),"")</f>
        <v/>
      </c>
      <c r="BJ54" s="108"/>
      <c r="CT54" s="102">
        <v>39</v>
      </c>
      <c r="CU54" s="102">
        <v>86.671000000000006</v>
      </c>
      <c r="CV54" s="102">
        <v>85.562000000000012</v>
      </c>
      <c r="CW54" s="102">
        <v>6.5739999999999998</v>
      </c>
      <c r="CX54" s="102">
        <v>6.601</v>
      </c>
      <c r="CY54" s="102">
        <v>29.5</v>
      </c>
      <c r="CZ54" s="108">
        <f>IFERROR(TOWER_DATA[[#This Row],[Top '[m']]]-TOWER_DATA[[#This Row],[Bottom '[m']]], "")</f>
        <v>1.1089999999999947</v>
      </c>
      <c r="DA54" s="108">
        <f>IFERROR(-(TOWER_DATA[[#This Row],[D, bottom '[m']]]-TOWER_DATA[[#This Row],[D, top '[m']]])/(TOWER_DATA[[#This Row],[Bottom '[m']]]-TOWER_DATA[[#This Row],[Top '[m']]]),"")</f>
        <v>2.4346257889991223E-2</v>
      </c>
      <c r="DB54" s="108">
        <f t="shared" si="2"/>
        <v>5.2910821427568031</v>
      </c>
      <c r="DC54" s="108">
        <f>IFERROR((TOWER_DATA[[#This Row],[D, bottom '[m']]]+TOWER_DATA[[#This Row],[D, top '[m']]])/(2*TOWER_DATA[[#This Row],[t '[mm']]]/1000),"")</f>
        <v>223.30508474576274</v>
      </c>
      <c r="DD54" s="108"/>
      <c r="DE54" s="110" t="s">
        <v>256</v>
      </c>
      <c r="DF54" s="110">
        <v>66.259999999999991</v>
      </c>
      <c r="DG54" s="110">
        <v>66.259999999999991</v>
      </c>
      <c r="DH54" s="110">
        <v>10048</v>
      </c>
      <c r="DI54" s="110"/>
      <c r="DJ54" s="110"/>
      <c r="DK54" s="110"/>
      <c r="DL54" s="110"/>
      <c r="DM54" s="110"/>
      <c r="DW54" s="105">
        <v>39</v>
      </c>
      <c r="DX54" s="105">
        <v>86.671000000000006</v>
      </c>
      <c r="DY54" s="105">
        <v>85.562000000000012</v>
      </c>
      <c r="DZ54" s="105">
        <v>6.5739999999999998</v>
      </c>
      <c r="EA54" s="105">
        <v>6.601</v>
      </c>
      <c r="EB54" s="105">
        <v>29.5</v>
      </c>
      <c r="ED54" s="111" t="s">
        <v>256</v>
      </c>
      <c r="EE54" s="111">
        <v>66.259999999999991</v>
      </c>
      <c r="EF54" s="111">
        <v>66.259999999999991</v>
      </c>
      <c r="EG54" s="111">
        <v>10048</v>
      </c>
      <c r="EH54" s="111"/>
      <c r="EI54" s="111"/>
      <c r="EJ54" s="111"/>
      <c r="EK54" s="111"/>
      <c r="EL54" s="111"/>
      <c r="EU54" s="108"/>
      <c r="EV54" s="108"/>
    </row>
    <row r="55" spans="6:152" x14ac:dyDescent="0.3">
      <c r="F55" s="108"/>
      <c r="G55" s="108"/>
      <c r="H55" s="108"/>
      <c r="I55" s="108"/>
      <c r="J55" s="108"/>
      <c r="K55" s="108"/>
      <c r="L55" s="108" t="str">
        <f>IFERROR(MP_DATA[[#This Row],[Bottom '[m']]]-MP_DATA[[#This Row],[D, top '[m']]], "")</f>
        <v/>
      </c>
      <c r="M55" s="108" t="str">
        <f>IFERROR(-(MP_DATA[[#This Row],[D, bottom '[m']]]-MP_DATA[[#This Row],[D, top '[m']]])/(MP_DATA[[#This Row],[Bottom '[m']]]-MP_DATA[[#This Row],[Top '[m']]]),"")</f>
        <v/>
      </c>
      <c r="N55" s="108" t="str">
        <f t="shared" si="3"/>
        <v/>
      </c>
      <c r="O55" s="108" t="str">
        <f>IFERROR((MP_DATA[[#This Row],[D, bottom '[m']]]+MP_DATA[[#This Row],[D, top '[m']]])/(2*MP_DATA[[#This Row],[t '[mm']]]/1000),"")</f>
        <v/>
      </c>
      <c r="P55" s="108"/>
      <c r="BF55" s="108" t="str">
        <f>IFERROR(TP_DATA[[#This Row],[Bottom '[m']]]-TP_DATA[[#This Row],[D, top '[m']]], "")</f>
        <v/>
      </c>
      <c r="BG55" s="108" t="str">
        <f>IFERROR(-(TP_DATA[[#This Row],[D, bottom '[m']]]-TP_DATA[[#This Row],[D, top '[m']]])/(TP_DATA[[#This Row],[Bottom '[m']]]-TP_DATA[[#This Row],[Top '[m']]]),"")</f>
        <v/>
      </c>
      <c r="BH55" s="108" t="str">
        <f t="shared" si="1"/>
        <v/>
      </c>
      <c r="BI55" s="108" t="str">
        <f>IFERROR((TP_DATA[[#This Row],[D, bottom '[m']]]+TP_DATA[[#This Row],[D, top '[m']]])/(2*TP_DATA[[#This Row],[t '[mm']]]/1000),"")</f>
        <v/>
      </c>
      <c r="BJ55" s="108"/>
      <c r="CT55" s="102">
        <v>40</v>
      </c>
      <c r="CU55" s="102">
        <v>85.562000000000012</v>
      </c>
      <c r="CV55" s="102">
        <v>82.84</v>
      </c>
      <c r="CW55" s="102">
        <v>6.601</v>
      </c>
      <c r="CX55" s="102">
        <v>6.6619999999999999</v>
      </c>
      <c r="CY55" s="102">
        <v>31.5</v>
      </c>
      <c r="CZ55" s="108">
        <f>IFERROR(TOWER_DATA[[#This Row],[Top '[m']]]-TOWER_DATA[[#This Row],[Bottom '[m']]], "")</f>
        <v>2.7220000000000084</v>
      </c>
      <c r="DA55" s="108">
        <f>IFERROR(-(TOWER_DATA[[#This Row],[D, bottom '[m']]]-TOWER_DATA[[#This Row],[D, top '[m']]])/(TOWER_DATA[[#This Row],[Bottom '[m']]]-TOWER_DATA[[#This Row],[Top '[m']]]),"")</f>
        <v>2.2409992652461335E-2</v>
      </c>
      <c r="DB55" s="108">
        <f t="shared" si="2"/>
        <v>13.956037882640588</v>
      </c>
      <c r="DC55" s="108">
        <f>IFERROR((TOWER_DATA[[#This Row],[D, bottom '[m']]]+TOWER_DATA[[#This Row],[D, top '[m']]])/(2*TOWER_DATA[[#This Row],[t '[mm']]]/1000),"")</f>
        <v>210.52380952380952</v>
      </c>
      <c r="DD55" s="108"/>
      <c r="DE55" s="110" t="s">
        <v>256</v>
      </c>
      <c r="DF55" s="110">
        <v>66.074999999999989</v>
      </c>
      <c r="DG55" s="110">
        <v>66.074999999999989</v>
      </c>
      <c r="DH55" s="110">
        <v>6</v>
      </c>
      <c r="DI55" s="110"/>
      <c r="DJ55" s="110"/>
      <c r="DK55" s="110"/>
      <c r="DL55" s="110"/>
      <c r="DM55" s="110"/>
      <c r="DW55" s="105">
        <v>40</v>
      </c>
      <c r="DX55" s="105">
        <v>85.562000000000012</v>
      </c>
      <c r="DY55" s="105">
        <v>82.84</v>
      </c>
      <c r="DZ55" s="105">
        <v>6.601</v>
      </c>
      <c r="EA55" s="105">
        <v>6.6619999999999999</v>
      </c>
      <c r="EB55" s="105">
        <v>31.5</v>
      </c>
      <c r="ED55" s="111" t="s">
        <v>256</v>
      </c>
      <c r="EE55" s="111">
        <v>66.074999999999989</v>
      </c>
      <c r="EF55" s="111">
        <v>66.074999999999989</v>
      </c>
      <c r="EG55" s="111">
        <v>6</v>
      </c>
      <c r="EH55" s="111"/>
      <c r="EI55" s="111"/>
      <c r="EJ55" s="111"/>
      <c r="EK55" s="111"/>
      <c r="EL55" s="111"/>
      <c r="EU55" s="108"/>
      <c r="EV55" s="108"/>
    </row>
    <row r="56" spans="6:152" x14ac:dyDescent="0.3">
      <c r="F56" s="108"/>
      <c r="G56" s="108"/>
      <c r="H56" s="108"/>
      <c r="I56" s="108"/>
      <c r="J56" s="108"/>
      <c r="K56" s="108"/>
      <c r="L56" s="108" t="str">
        <f>IFERROR(MP_DATA[[#This Row],[Bottom '[m']]]-MP_DATA[[#This Row],[D, top '[m']]], "")</f>
        <v/>
      </c>
      <c r="M56" s="108" t="str">
        <f>IFERROR(-(MP_DATA[[#This Row],[D, bottom '[m']]]-MP_DATA[[#This Row],[D, top '[m']]])/(MP_DATA[[#This Row],[Bottom '[m']]]-MP_DATA[[#This Row],[Top '[m']]]),"")</f>
        <v/>
      </c>
      <c r="N56" s="108" t="str">
        <f t="shared" si="3"/>
        <v/>
      </c>
      <c r="O56" s="108" t="str">
        <f>IFERROR((MP_DATA[[#This Row],[D, bottom '[m']]]+MP_DATA[[#This Row],[D, top '[m']]])/(2*MP_DATA[[#This Row],[t '[mm']]]/1000),"")</f>
        <v/>
      </c>
      <c r="P56" s="108"/>
      <c r="BF56" s="108" t="str">
        <f>IFERROR(TP_DATA[[#This Row],[Bottom '[m']]]-TP_DATA[[#This Row],[D, top '[m']]], "")</f>
        <v/>
      </c>
      <c r="BG56" s="108" t="str">
        <f>IFERROR(-(TP_DATA[[#This Row],[D, bottom '[m']]]-TP_DATA[[#This Row],[D, top '[m']]])/(TP_DATA[[#This Row],[Bottom '[m']]]-TP_DATA[[#This Row],[Top '[m']]]),"")</f>
        <v/>
      </c>
      <c r="BH56" s="108" t="str">
        <f t="shared" si="1"/>
        <v/>
      </c>
      <c r="BI56" s="108" t="str">
        <f>IFERROR((TP_DATA[[#This Row],[D, bottom '[m']]]+TP_DATA[[#This Row],[D, top '[m']]])/(2*TP_DATA[[#This Row],[t '[mm']]]/1000),"")</f>
        <v/>
      </c>
      <c r="BJ56" s="108"/>
      <c r="CT56" s="102">
        <v>41</v>
      </c>
      <c r="CU56" s="102">
        <v>82.84</v>
      </c>
      <c r="CV56" s="102">
        <v>82.56</v>
      </c>
      <c r="CW56" s="102">
        <v>6.6619999999999999</v>
      </c>
      <c r="CX56" s="102">
        <v>6.6689999999999996</v>
      </c>
      <c r="CY56" s="102">
        <v>31.2</v>
      </c>
      <c r="CZ56" s="108">
        <f>IFERROR(TOWER_DATA[[#This Row],[Top '[m']]]-TOWER_DATA[[#This Row],[Bottom '[m']]], "")</f>
        <v>0.28000000000000114</v>
      </c>
      <c r="DA56" s="108">
        <f>IFERROR(-(TOWER_DATA[[#This Row],[D, bottom '[m']]]-TOWER_DATA[[#This Row],[D, top '[m']]])/(TOWER_DATA[[#This Row],[Bottom '[m']]]-TOWER_DATA[[#This Row],[Top '[m']]]),"")</f>
        <v>2.4999999999998732E-2</v>
      </c>
      <c r="DB56" s="108">
        <f t="shared" si="2"/>
        <v>1.4293127277149946</v>
      </c>
      <c r="DC56" s="108">
        <f>IFERROR((TOWER_DATA[[#This Row],[D, bottom '[m']]]+TOWER_DATA[[#This Row],[D, top '[m']]])/(2*TOWER_DATA[[#This Row],[t '[mm']]]/1000),"")</f>
        <v>213.63782051282053</v>
      </c>
      <c r="DD56" s="108"/>
      <c r="DE56" s="110" t="s">
        <v>256</v>
      </c>
      <c r="DF56" s="110">
        <v>66.029999999999987</v>
      </c>
      <c r="DG56" s="110">
        <v>66.029999999999987</v>
      </c>
      <c r="DH56" s="110">
        <v>1061</v>
      </c>
      <c r="DI56" s="110"/>
      <c r="DJ56" s="110"/>
      <c r="DK56" s="110"/>
      <c r="DL56" s="110"/>
      <c r="DM56" s="110"/>
      <c r="DW56" s="105">
        <v>41</v>
      </c>
      <c r="DX56" s="105">
        <v>82.84</v>
      </c>
      <c r="DY56" s="105">
        <v>82.56</v>
      </c>
      <c r="DZ56" s="105">
        <v>6.6619999999999999</v>
      </c>
      <c r="EA56" s="105">
        <v>6.6689999999999996</v>
      </c>
      <c r="EB56" s="105">
        <v>31.2</v>
      </c>
      <c r="ED56" s="111" t="s">
        <v>256</v>
      </c>
      <c r="EE56" s="111">
        <v>66.029999999999987</v>
      </c>
      <c r="EF56" s="111">
        <v>66.029999999999987</v>
      </c>
      <c r="EG56" s="111">
        <v>1061</v>
      </c>
      <c r="EH56" s="111"/>
      <c r="EI56" s="111"/>
      <c r="EJ56" s="111"/>
      <c r="EK56" s="111"/>
      <c r="EL56" s="111"/>
      <c r="EU56" s="108"/>
      <c r="EV56" s="108"/>
    </row>
    <row r="57" spans="6:152" x14ac:dyDescent="0.3">
      <c r="F57" s="108"/>
      <c r="G57" s="108"/>
      <c r="H57" s="108"/>
      <c r="I57" s="108"/>
      <c r="J57" s="108"/>
      <c r="K57" s="108"/>
      <c r="L57" s="108" t="str">
        <f>IFERROR(MP_DATA[[#This Row],[Bottom '[m']]]-MP_DATA[[#This Row],[D, top '[m']]], "")</f>
        <v/>
      </c>
      <c r="M57" s="108" t="str">
        <f>IFERROR(-(MP_DATA[[#This Row],[D, bottom '[m']]]-MP_DATA[[#This Row],[D, top '[m']]])/(MP_DATA[[#This Row],[Bottom '[m']]]-MP_DATA[[#This Row],[Top '[m']]]),"")</f>
        <v/>
      </c>
      <c r="N57" s="108" t="str">
        <f t="shared" si="3"/>
        <v/>
      </c>
      <c r="O57" s="108" t="str">
        <f>IFERROR((MP_DATA[[#This Row],[D, bottom '[m']]]+MP_DATA[[#This Row],[D, top '[m']]])/(2*MP_DATA[[#This Row],[t '[mm']]]/1000),"")</f>
        <v/>
      </c>
      <c r="P57" s="108" t="str">
        <f>IFERROR((MP_DATA[[#This Row],[D, bottom '[m']]]+#REF!)/(2*#REF!/1000),"")</f>
        <v/>
      </c>
      <c r="BF57" s="108" t="str">
        <f>IFERROR(TP_DATA[[#This Row],[Bottom '[m']]]-TP_DATA[[#This Row],[D, top '[m']]], "")</f>
        <v/>
      </c>
      <c r="BG57" s="108" t="str">
        <f>IFERROR(-(TP_DATA[[#This Row],[D, bottom '[m']]]-TP_DATA[[#This Row],[D, top '[m']]])/(TP_DATA[[#This Row],[Bottom '[m']]]-TP_DATA[[#This Row],[Top '[m']]]),"")</f>
        <v/>
      </c>
      <c r="BH57" s="108" t="str">
        <f t="shared" si="1"/>
        <v/>
      </c>
      <c r="BI57" s="108" t="str">
        <f>IFERROR((TP_DATA[[#This Row],[D, bottom '[m']]]+TP_DATA[[#This Row],[D, top '[m']]])/(2*TP_DATA[[#This Row],[t '[mm']]]/1000),"")</f>
        <v/>
      </c>
      <c r="BJ57" s="108" t="str">
        <f>IFERROR((TP_DATA[[#This Row],[D, bottom '[m']]]+#REF!)/(2*#REF!/1000),"")</f>
        <v/>
      </c>
      <c r="CT57" s="102">
        <v>42</v>
      </c>
      <c r="CU57" s="102">
        <v>82.56</v>
      </c>
      <c r="CV57" s="102">
        <v>80.900000000000006</v>
      </c>
      <c r="CW57" s="102">
        <v>6.6689999999999996</v>
      </c>
      <c r="CX57" s="102">
        <v>6.7060000000000004</v>
      </c>
      <c r="CY57" s="102">
        <v>31.2</v>
      </c>
      <c r="CZ57" s="108">
        <f>IFERROR(TOWER_DATA[[#This Row],[Top '[m']]]-TOWER_DATA[[#This Row],[Bottom '[m']]], "")</f>
        <v>1.6599999999999966</v>
      </c>
      <c r="DA57" s="108">
        <f>IFERROR(-(TOWER_DATA[[#This Row],[D, bottom '[m']]]-TOWER_DATA[[#This Row],[D, top '[m']]])/(TOWER_DATA[[#This Row],[Bottom '[m']]]-TOWER_DATA[[#This Row],[Top '[m']]]),"")</f>
        <v>2.2289156626506559E-2</v>
      </c>
      <c r="DB57" s="108">
        <f t="shared" si="2"/>
        <v>8.5018825076561395</v>
      </c>
      <c r="DC57" s="108">
        <f>IFERROR((TOWER_DATA[[#This Row],[D, bottom '[m']]]+TOWER_DATA[[#This Row],[D, top '[m']]])/(2*TOWER_DATA[[#This Row],[t '[mm']]]/1000),"")</f>
        <v>214.34294871794873</v>
      </c>
      <c r="DD57" s="108" t="str">
        <f>IFERROR((TOWER_DATA[[#This Row],[D, bottom '[m']]]+#REF!)/(2*#REF!/1000),"")</f>
        <v/>
      </c>
      <c r="DE57" s="110" t="s">
        <v>256</v>
      </c>
      <c r="DF57" s="110">
        <v>63.308000000000007</v>
      </c>
      <c r="DG57" s="110">
        <v>63.308000000000007</v>
      </c>
      <c r="DH57" s="110">
        <v>143</v>
      </c>
      <c r="DI57" s="110"/>
      <c r="DJ57" s="110"/>
      <c r="DK57" s="110"/>
      <c r="DL57" s="110"/>
      <c r="DM57" s="110"/>
      <c r="DW57" s="105">
        <v>42</v>
      </c>
      <c r="DX57" s="105">
        <v>82.56</v>
      </c>
      <c r="DY57" s="105">
        <v>80.900000000000006</v>
      </c>
      <c r="DZ57" s="105">
        <v>6.6689999999999996</v>
      </c>
      <c r="EA57" s="105">
        <v>6.7060000000000004</v>
      </c>
      <c r="EB57" s="105">
        <v>31.2</v>
      </c>
      <c r="ED57" s="111" t="s">
        <v>256</v>
      </c>
      <c r="EE57" s="111">
        <v>63.308000000000007</v>
      </c>
      <c r="EF57" s="111">
        <v>63.308000000000007</v>
      </c>
      <c r="EG57" s="111">
        <v>143</v>
      </c>
      <c r="EH57" s="111"/>
      <c r="EI57" s="111"/>
      <c r="EJ57" s="111"/>
      <c r="EK57" s="111"/>
      <c r="EL57" s="111"/>
      <c r="EU57" s="108"/>
      <c r="EV57" s="108"/>
    </row>
    <row r="58" spans="6:152" x14ac:dyDescent="0.3">
      <c r="F58" s="108"/>
      <c r="G58" s="108"/>
      <c r="H58" s="108"/>
      <c r="I58" s="108"/>
      <c r="J58" s="108"/>
      <c r="K58" s="108"/>
      <c r="L58" s="108" t="str">
        <f>IFERROR(MP_DATA[[#This Row],[Bottom '[m']]]-MP_DATA[[#This Row],[D, top '[m']]], "")</f>
        <v/>
      </c>
      <c r="M58" s="108" t="str">
        <f>IFERROR(-(MP_DATA[[#This Row],[D, bottom '[m']]]-MP_DATA[[#This Row],[D, top '[m']]])/(MP_DATA[[#This Row],[Bottom '[m']]]-MP_DATA[[#This Row],[Top '[m']]]),"")</f>
        <v/>
      </c>
      <c r="N58" s="108" t="str">
        <f t="shared" si="3"/>
        <v/>
      </c>
      <c r="O58" s="108" t="str">
        <f>IFERROR((MP_DATA[[#This Row],[D, bottom '[m']]]+MP_DATA[[#This Row],[D, top '[m']]])/(2*MP_DATA[[#This Row],[t '[mm']]]/1000),"")</f>
        <v/>
      </c>
      <c r="P58" s="108" t="str">
        <f>IFERROR((MP_DATA[[#This Row],[D, bottom '[m']]]+#REF!)/(2*#REF!/1000),"")</f>
        <v/>
      </c>
      <c r="BF58" s="108" t="str">
        <f>IFERROR(TP_DATA[[#This Row],[Bottom '[m']]]-TP_DATA[[#This Row],[D, top '[m']]], "")</f>
        <v/>
      </c>
      <c r="BG58" s="108" t="str">
        <f>IFERROR(-(TP_DATA[[#This Row],[D, bottom '[m']]]-TP_DATA[[#This Row],[D, top '[m']]])/(TP_DATA[[#This Row],[Bottom '[m']]]-TP_DATA[[#This Row],[Top '[m']]]),"")</f>
        <v/>
      </c>
      <c r="BH58" s="108" t="str">
        <f t="shared" si="1"/>
        <v/>
      </c>
      <c r="BI58" s="108" t="str">
        <f>IFERROR((TP_DATA[[#This Row],[D, bottom '[m']]]+TP_DATA[[#This Row],[D, top '[m']]])/(2*TP_DATA[[#This Row],[t '[mm']]]/1000),"")</f>
        <v/>
      </c>
      <c r="BJ58" s="108" t="str">
        <f>IFERROR((TP_DATA[[#This Row],[D, bottom '[m']]]+#REF!)/(2*#REF!/1000),"")</f>
        <v/>
      </c>
      <c r="CT58" s="102">
        <v>43</v>
      </c>
      <c r="CU58" s="102">
        <v>80.900000000000006</v>
      </c>
      <c r="CV58" s="102">
        <v>80.118000000000009</v>
      </c>
      <c r="CW58" s="102">
        <v>6.7060000000000004</v>
      </c>
      <c r="CX58" s="102">
        <v>6.7240000000000002</v>
      </c>
      <c r="CY58" s="102">
        <v>31.2</v>
      </c>
      <c r="CZ58" s="108">
        <f>IFERROR(TOWER_DATA[[#This Row],[Top '[m']]]-TOWER_DATA[[#This Row],[Bottom '[m']]], "")</f>
        <v>0.78199999999999648</v>
      </c>
      <c r="DA58" s="108">
        <f>IFERROR(-(TOWER_DATA[[#This Row],[D, bottom '[m']]]-TOWER_DATA[[#This Row],[D, top '[m']]])/(TOWER_DATA[[#This Row],[Bottom '[m']]]-TOWER_DATA[[#This Row],[Top '[m']]]),"")</f>
        <v>2.3017902813299074E-2</v>
      </c>
      <c r="DB58" s="108">
        <f t="shared" si="2"/>
        <v>4.0216504702994413</v>
      </c>
      <c r="DC58" s="108">
        <f>IFERROR((TOWER_DATA[[#This Row],[D, bottom '[m']]]+TOWER_DATA[[#This Row],[D, top '[m']]])/(2*TOWER_DATA[[#This Row],[t '[mm']]]/1000),"")</f>
        <v>215.22435897435898</v>
      </c>
      <c r="DD58" s="108" t="str">
        <f>IFERROR((TOWER_DATA[[#This Row],[D, bottom '[m']]]+#REF!)/(2*#REF!/1000),"")</f>
        <v/>
      </c>
      <c r="DE58" s="110" t="s">
        <v>256</v>
      </c>
      <c r="DF58" s="110">
        <v>62.007000000000005</v>
      </c>
      <c r="DG58" s="110">
        <v>62.007000000000005</v>
      </c>
      <c r="DH58" s="110">
        <v>144</v>
      </c>
      <c r="DI58" s="110"/>
      <c r="DJ58" s="110"/>
      <c r="DK58" s="110"/>
      <c r="DL58" s="110"/>
      <c r="DM58" s="110"/>
      <c r="DW58" s="105">
        <v>43</v>
      </c>
      <c r="DX58" s="105">
        <v>80.900000000000006</v>
      </c>
      <c r="DY58" s="105">
        <v>80.118000000000009</v>
      </c>
      <c r="DZ58" s="105">
        <v>6.7060000000000004</v>
      </c>
      <c r="EA58" s="105">
        <v>6.7240000000000002</v>
      </c>
      <c r="EB58" s="105">
        <v>31.2</v>
      </c>
      <c r="ED58" s="111" t="s">
        <v>256</v>
      </c>
      <c r="EE58" s="111">
        <v>62.007000000000005</v>
      </c>
      <c r="EF58" s="111">
        <v>62.007000000000005</v>
      </c>
      <c r="EG58" s="111">
        <v>144</v>
      </c>
      <c r="EH58" s="111"/>
      <c r="EI58" s="111"/>
      <c r="EJ58" s="111"/>
      <c r="EK58" s="111"/>
      <c r="EL58" s="111"/>
      <c r="EU58" s="108"/>
      <c r="EV58" s="108"/>
    </row>
    <row r="59" spans="6:152" x14ac:dyDescent="0.3">
      <c r="F59" s="108"/>
      <c r="G59" s="108"/>
      <c r="H59" s="108"/>
      <c r="I59" s="108"/>
      <c r="J59" s="108"/>
      <c r="K59" s="108"/>
      <c r="L59" s="108" t="str">
        <f>IFERROR(MP_DATA[[#This Row],[Bottom '[m']]]-MP_DATA[[#This Row],[D, top '[m']]], "")</f>
        <v/>
      </c>
      <c r="M59" s="108" t="str">
        <f>IFERROR(-(MP_DATA[[#This Row],[D, bottom '[m']]]-MP_DATA[[#This Row],[D, top '[m']]])/(MP_DATA[[#This Row],[Bottom '[m']]]-MP_DATA[[#This Row],[Top '[m']]]),"")</f>
        <v/>
      </c>
      <c r="N59" s="108" t="str">
        <f t="shared" si="3"/>
        <v/>
      </c>
      <c r="O59" s="108" t="str">
        <f>IFERROR((MP_DATA[[#This Row],[D, bottom '[m']]]+MP_DATA[[#This Row],[D, top '[m']]])/(2*MP_DATA[[#This Row],[t '[mm']]]/1000),"")</f>
        <v/>
      </c>
      <c r="P59" s="108" t="str">
        <f>IFERROR((MP_DATA[[#This Row],[D, bottom '[m']]]+#REF!)/(2*#REF!/1000),"")</f>
        <v/>
      </c>
      <c r="BF59" s="108" t="str">
        <f>IFERROR(TP_DATA[[#This Row],[Bottom '[m']]]-TP_DATA[[#This Row],[D, top '[m']]], "")</f>
        <v/>
      </c>
      <c r="BG59" s="108" t="str">
        <f>IFERROR(-(TP_DATA[[#This Row],[D, bottom '[m']]]-TP_DATA[[#This Row],[D, top '[m']]])/(TP_DATA[[#This Row],[Bottom '[m']]]-TP_DATA[[#This Row],[Top '[m']]]),"")</f>
        <v/>
      </c>
      <c r="BH59" s="108" t="str">
        <f t="shared" si="1"/>
        <v/>
      </c>
      <c r="BI59" s="108" t="str">
        <f>IFERROR((TP_DATA[[#This Row],[D, bottom '[m']]]+TP_DATA[[#This Row],[D, top '[m']]])/(2*TP_DATA[[#This Row],[t '[mm']]]/1000),"")</f>
        <v/>
      </c>
      <c r="BJ59" s="108" t="str">
        <f>IFERROR((TP_DATA[[#This Row],[D, bottom '[m']]]+#REF!)/(2*#REF!/1000),"")</f>
        <v/>
      </c>
      <c r="CT59" s="102">
        <v>44</v>
      </c>
      <c r="CU59" s="102">
        <v>80.118000000000009</v>
      </c>
      <c r="CV59" s="102">
        <v>78.45</v>
      </c>
      <c r="CW59" s="102">
        <v>6.7240000000000002</v>
      </c>
      <c r="CX59" s="102">
        <v>6.7619999999999996</v>
      </c>
      <c r="CY59" s="102">
        <v>31.7</v>
      </c>
      <c r="CZ59" s="108">
        <f>IFERROR(TOWER_DATA[[#This Row],[Top '[m']]]-TOWER_DATA[[#This Row],[Bottom '[m']]], "")</f>
        <v>1.6680000000000064</v>
      </c>
      <c r="DA59" s="108">
        <f>IFERROR(-(TOWER_DATA[[#This Row],[D, bottom '[m']]]-TOWER_DATA[[#This Row],[D, top '[m']]])/(TOWER_DATA[[#This Row],[Bottom '[m']]]-TOWER_DATA[[#This Row],[Top '[m']]]),"")</f>
        <v>2.2781774580335264E-2</v>
      </c>
      <c r="DB59" s="108">
        <f t="shared" si="2"/>
        <v>8.751479715240583</v>
      </c>
      <c r="DC59" s="108">
        <f>IFERROR((TOWER_DATA[[#This Row],[D, bottom '[m']]]+TOWER_DATA[[#This Row],[D, top '[m']]])/(2*TOWER_DATA[[#This Row],[t '[mm']]]/1000),"")</f>
        <v>212.71293375394325</v>
      </c>
      <c r="DD59" s="108" t="str">
        <f>IFERROR((TOWER_DATA[[#This Row],[D, bottom '[m']]]+#REF!)/(2*#REF!/1000),"")</f>
        <v/>
      </c>
      <c r="DE59" s="110" t="s">
        <v>256</v>
      </c>
      <c r="DF59" s="110">
        <v>57.896000000000001</v>
      </c>
      <c r="DG59" s="110">
        <v>57.896000000000001</v>
      </c>
      <c r="DH59" s="110">
        <v>144</v>
      </c>
      <c r="DI59" s="110"/>
      <c r="DJ59" s="110"/>
      <c r="DK59" s="110"/>
      <c r="DL59" s="110"/>
      <c r="DM59" s="110"/>
      <c r="DW59" s="105">
        <v>44</v>
      </c>
      <c r="DX59" s="105">
        <v>80.118000000000009</v>
      </c>
      <c r="DY59" s="105">
        <v>78.45</v>
      </c>
      <c r="DZ59" s="105">
        <v>6.7240000000000002</v>
      </c>
      <c r="EA59" s="105">
        <v>6.7619999999999996</v>
      </c>
      <c r="EB59" s="105">
        <v>31.7</v>
      </c>
      <c r="ED59" s="111" t="s">
        <v>256</v>
      </c>
      <c r="EE59" s="111">
        <v>57.896000000000001</v>
      </c>
      <c r="EF59" s="111">
        <v>57.896000000000001</v>
      </c>
      <c r="EG59" s="111">
        <v>144</v>
      </c>
      <c r="EH59" s="111"/>
      <c r="EI59" s="111"/>
      <c r="EJ59" s="111"/>
      <c r="EK59" s="111"/>
      <c r="EL59" s="111"/>
      <c r="EU59" s="108"/>
      <c r="EV59" s="108"/>
    </row>
    <row r="60" spans="6:152" x14ac:dyDescent="0.3">
      <c r="F60" s="108"/>
      <c r="G60" s="108"/>
      <c r="H60" s="108"/>
      <c r="I60" s="108"/>
      <c r="J60" s="108"/>
      <c r="K60" s="108"/>
      <c r="L60" s="108" t="str">
        <f>IFERROR(MP_DATA[[#This Row],[Bottom '[m']]]-MP_DATA[[#This Row],[D, top '[m']]], "")</f>
        <v/>
      </c>
      <c r="M60" s="108" t="str">
        <f>IFERROR(-(MP_DATA[[#This Row],[D, bottom '[m']]]-MP_DATA[[#This Row],[D, top '[m']]])/(MP_DATA[[#This Row],[Bottom '[m']]]-MP_DATA[[#This Row],[Top '[m']]]),"")</f>
        <v/>
      </c>
      <c r="N60" s="108" t="str">
        <f t="shared" si="3"/>
        <v/>
      </c>
      <c r="O60" s="108" t="str">
        <f>IFERROR((MP_DATA[[#This Row],[D, bottom '[m']]]+MP_DATA[[#This Row],[D, top '[m']]])/(2*MP_DATA[[#This Row],[t '[mm']]]/1000),"")</f>
        <v/>
      </c>
      <c r="P60" s="108" t="str">
        <f>IFERROR((MP_DATA[[#This Row],[D, bottom '[m']]]+#REF!)/(2*#REF!/1000),"")</f>
        <v/>
      </c>
      <c r="BF60" s="108" t="str">
        <f>IFERROR(TP_DATA[[#This Row],[Bottom '[m']]]-TP_DATA[[#This Row],[D, top '[m']]], "")</f>
        <v/>
      </c>
      <c r="BG60" s="108" t="str">
        <f>IFERROR(-(TP_DATA[[#This Row],[D, bottom '[m']]]-TP_DATA[[#This Row],[D, top '[m']]])/(TP_DATA[[#This Row],[Bottom '[m']]]-TP_DATA[[#This Row],[Top '[m']]]),"")</f>
        <v/>
      </c>
      <c r="BH60" s="108" t="str">
        <f t="shared" si="1"/>
        <v/>
      </c>
      <c r="BI60" s="108" t="str">
        <f>IFERROR((TP_DATA[[#This Row],[D, bottom '[m']]]+TP_DATA[[#This Row],[D, top '[m']]])/(2*TP_DATA[[#This Row],[t '[mm']]]/1000),"")</f>
        <v/>
      </c>
      <c r="BJ60" s="108" t="str">
        <f>IFERROR((TP_DATA[[#This Row],[D, bottom '[m']]]+#REF!)/(2*#REF!/1000),"")</f>
        <v/>
      </c>
      <c r="CT60" s="102">
        <v>45</v>
      </c>
      <c r="CU60" s="102">
        <v>78.45</v>
      </c>
      <c r="CV60" s="102">
        <v>77.396000000000001</v>
      </c>
      <c r="CW60" s="102">
        <v>6.7619999999999996</v>
      </c>
      <c r="CX60" s="102">
        <v>6.7859999999999996</v>
      </c>
      <c r="CY60" s="102">
        <v>31.7</v>
      </c>
      <c r="CZ60" s="108">
        <f>IFERROR(TOWER_DATA[[#This Row],[Top '[m']]]-TOWER_DATA[[#This Row],[Bottom '[m']]], "")</f>
        <v>1.054000000000002</v>
      </c>
      <c r="DA60" s="108">
        <f>IFERROR(-(TOWER_DATA[[#This Row],[D, bottom '[m']]]-TOWER_DATA[[#This Row],[D, top '[m']]])/(TOWER_DATA[[#This Row],[Bottom '[m']]]-TOWER_DATA[[#This Row],[Top '[m']]]),"")</f>
        <v>2.277039848197341E-2</v>
      </c>
      <c r="DB60" s="108">
        <f t="shared" si="2"/>
        <v>5.5555553031988758</v>
      </c>
      <c r="DC60" s="108">
        <f>IFERROR((TOWER_DATA[[#This Row],[D, bottom '[m']]]+TOWER_DATA[[#This Row],[D, top '[m']]])/(2*TOWER_DATA[[#This Row],[t '[mm']]]/1000),"")</f>
        <v>213.69085173501574</v>
      </c>
      <c r="DD60" s="108" t="str">
        <f>IFERROR((TOWER_DATA[[#This Row],[D, bottom '[m']]]+#REF!)/(2*#REF!/1000),"")</f>
        <v/>
      </c>
      <c r="DE60" s="110" t="s">
        <v>256</v>
      </c>
      <c r="DF60" s="110">
        <v>55.153999999999996</v>
      </c>
      <c r="DG60" s="110">
        <v>55.153999999999996</v>
      </c>
      <c r="DH60" s="110">
        <v>144</v>
      </c>
      <c r="DI60" s="110"/>
      <c r="DJ60" s="110"/>
      <c r="DK60" s="110"/>
      <c r="DL60" s="110"/>
      <c r="DM60" s="110"/>
      <c r="DW60" s="105">
        <v>45</v>
      </c>
      <c r="DX60" s="105">
        <v>78.45</v>
      </c>
      <c r="DY60" s="105">
        <v>77.396000000000001</v>
      </c>
      <c r="DZ60" s="105">
        <v>6.7619999999999996</v>
      </c>
      <c r="EA60" s="105">
        <v>6.7859999999999996</v>
      </c>
      <c r="EB60" s="105">
        <v>31.7</v>
      </c>
      <c r="ED60" s="111" t="s">
        <v>256</v>
      </c>
      <c r="EE60" s="111">
        <v>55.153999999999996</v>
      </c>
      <c r="EF60" s="111">
        <v>55.153999999999996</v>
      </c>
      <c r="EG60" s="111">
        <v>144</v>
      </c>
      <c r="EH60" s="111"/>
      <c r="EI60" s="111"/>
      <c r="EJ60" s="111"/>
      <c r="EK60" s="111"/>
      <c r="EL60" s="111"/>
      <c r="EU60" s="108"/>
      <c r="EV60" s="108"/>
    </row>
    <row r="61" spans="6:152" x14ac:dyDescent="0.3">
      <c r="F61" s="108"/>
      <c r="G61" s="108"/>
      <c r="H61" s="108"/>
      <c r="I61" s="108"/>
      <c r="J61" s="108"/>
      <c r="K61" s="108"/>
      <c r="L61" s="108" t="str">
        <f>IFERROR(MP_DATA[[#This Row],[Bottom '[m']]]-MP_DATA[[#This Row],[D, top '[m']]], "")</f>
        <v/>
      </c>
      <c r="M61" s="108" t="str">
        <f>IFERROR(-(MP_DATA[[#This Row],[D, bottom '[m']]]-MP_DATA[[#This Row],[D, top '[m']]])/(MP_DATA[[#This Row],[Bottom '[m']]]-MP_DATA[[#This Row],[Top '[m']]]),"")</f>
        <v/>
      </c>
      <c r="N61" s="108" t="str">
        <f t="shared" si="3"/>
        <v/>
      </c>
      <c r="O61" s="108" t="str">
        <f>IFERROR((MP_DATA[[#This Row],[D, bottom '[m']]]+MP_DATA[[#This Row],[D, top '[m']]])/(2*MP_DATA[[#This Row],[t '[mm']]]/1000),"")</f>
        <v/>
      </c>
      <c r="P61" s="108" t="str">
        <f>IFERROR((MP_DATA[[#This Row],[D, bottom '[m']]]+#REF!)/(2*#REF!/1000),"")</f>
        <v/>
      </c>
      <c r="BF61" s="108" t="str">
        <f>IFERROR(TP_DATA[[#This Row],[Bottom '[m']]]-TP_DATA[[#This Row],[D, top '[m']]], "")</f>
        <v/>
      </c>
      <c r="BG61" s="108" t="str">
        <f>IFERROR(-(TP_DATA[[#This Row],[D, bottom '[m']]]-TP_DATA[[#This Row],[D, top '[m']]])/(TP_DATA[[#This Row],[Bottom '[m']]]-TP_DATA[[#This Row],[Top '[m']]]),"")</f>
        <v/>
      </c>
      <c r="BH61" s="108" t="str">
        <f t="shared" si="1"/>
        <v/>
      </c>
      <c r="BI61" s="108" t="str">
        <f>IFERROR((TP_DATA[[#This Row],[D, bottom '[m']]]+TP_DATA[[#This Row],[D, top '[m']]])/(2*TP_DATA[[#This Row],[t '[mm']]]/1000),"")</f>
        <v/>
      </c>
      <c r="BJ61" s="108" t="str">
        <f>IFERROR((TP_DATA[[#This Row],[D, bottom '[m']]]+#REF!)/(2*#REF!/1000),"")</f>
        <v/>
      </c>
      <c r="CT61" s="102">
        <v>46</v>
      </c>
      <c r="CU61" s="102">
        <v>77.396000000000001</v>
      </c>
      <c r="CV61" s="102">
        <v>74.674000000000007</v>
      </c>
      <c r="CW61" s="102">
        <v>6.7859999999999996</v>
      </c>
      <c r="CX61" s="102">
        <v>6.8479999999999999</v>
      </c>
      <c r="CY61" s="102">
        <v>32.200000000000003</v>
      </c>
      <c r="CZ61" s="108">
        <f>IFERROR(TOWER_DATA[[#This Row],[Top '[m']]]-TOWER_DATA[[#This Row],[Bottom '[m']]], "")</f>
        <v>2.7219999999999942</v>
      </c>
      <c r="DA61" s="108">
        <f>IFERROR(-(TOWER_DATA[[#This Row],[D, bottom '[m']]]-TOWER_DATA[[#This Row],[D, top '[m']]])/(TOWER_DATA[[#This Row],[Bottom '[m']]]-TOWER_DATA[[#This Row],[Top '[m']]]),"")</f>
        <v>2.2777369581190452E-2</v>
      </c>
      <c r="DB61" s="108">
        <f t="shared" si="2"/>
        <v>14.665624875429092</v>
      </c>
      <c r="DC61" s="108">
        <f>IFERROR((TOWER_DATA[[#This Row],[D, bottom '[m']]]+TOWER_DATA[[#This Row],[D, top '[m']]])/(2*TOWER_DATA[[#This Row],[t '[mm']]]/1000),"")</f>
        <v>211.70807453416151</v>
      </c>
      <c r="DD61" s="108" t="str">
        <f>IFERROR((TOWER_DATA[[#This Row],[D, bottom '[m']]]+#REF!)/(2*#REF!/1000),"")</f>
        <v/>
      </c>
      <c r="DE61" s="110" t="s">
        <v>256</v>
      </c>
      <c r="DF61" s="110">
        <v>53.786000000000001</v>
      </c>
      <c r="DG61" s="110">
        <v>53.786000000000001</v>
      </c>
      <c r="DH61" s="110">
        <v>145</v>
      </c>
      <c r="DI61" s="110"/>
      <c r="DJ61" s="110"/>
      <c r="DK61" s="110"/>
      <c r="DL61" s="110"/>
      <c r="DM61" s="110"/>
      <c r="DW61" s="105">
        <v>46</v>
      </c>
      <c r="DX61" s="105">
        <v>77.396000000000001</v>
      </c>
      <c r="DY61" s="105">
        <v>74.674000000000007</v>
      </c>
      <c r="DZ61" s="105">
        <v>6.7859999999999996</v>
      </c>
      <c r="EA61" s="105">
        <v>6.8479999999999999</v>
      </c>
      <c r="EB61" s="105">
        <v>32.200000000000003</v>
      </c>
      <c r="ED61" s="111" t="s">
        <v>256</v>
      </c>
      <c r="EE61" s="111">
        <v>53.786000000000001</v>
      </c>
      <c r="EF61" s="111">
        <v>53.786000000000001</v>
      </c>
      <c r="EG61" s="111">
        <v>145</v>
      </c>
      <c r="EH61" s="111"/>
      <c r="EI61" s="111"/>
      <c r="EJ61" s="111"/>
      <c r="EK61" s="111"/>
      <c r="EL61" s="111"/>
      <c r="EU61" s="108"/>
      <c r="EV61" s="108"/>
    </row>
    <row r="62" spans="6:152" x14ac:dyDescent="0.3">
      <c r="F62" s="108"/>
      <c r="G62" s="108"/>
      <c r="H62" s="108"/>
      <c r="I62" s="108"/>
      <c r="J62" s="108"/>
      <c r="K62" s="108"/>
      <c r="L62" s="108" t="str">
        <f>IFERROR(MP_DATA[[#This Row],[Bottom '[m']]]-MP_DATA[[#This Row],[D, top '[m']]], "")</f>
        <v/>
      </c>
      <c r="M62" s="108" t="str">
        <f>IFERROR(-(MP_DATA[[#This Row],[D, bottom '[m']]]-MP_DATA[[#This Row],[D, top '[m']]])/(MP_DATA[[#This Row],[Bottom '[m']]]-MP_DATA[[#This Row],[Top '[m']]]),"")</f>
        <v/>
      </c>
      <c r="N62" s="108" t="str">
        <f t="shared" si="3"/>
        <v/>
      </c>
      <c r="O62" s="108" t="str">
        <f>IFERROR((MP_DATA[[#This Row],[D, bottom '[m']]]+MP_DATA[[#This Row],[D, top '[m']]])/(2*MP_DATA[[#This Row],[t '[mm']]]/1000),"")</f>
        <v/>
      </c>
      <c r="P62" s="108" t="str">
        <f>IFERROR((MP_DATA[[#This Row],[D, bottom '[m']]]+#REF!)/(2*#REF!/1000),"")</f>
        <v/>
      </c>
      <c r="BF62" s="108" t="str">
        <f>IFERROR(TP_DATA[[#This Row],[Bottom '[m']]]-TP_DATA[[#This Row],[D, top '[m']]], "")</f>
        <v/>
      </c>
      <c r="BG62" s="108" t="str">
        <f>IFERROR(-(TP_DATA[[#This Row],[D, bottom '[m']]]-TP_DATA[[#This Row],[D, top '[m']]])/(TP_DATA[[#This Row],[Bottom '[m']]]-TP_DATA[[#This Row],[Top '[m']]]),"")</f>
        <v/>
      </c>
      <c r="BH62" s="108" t="str">
        <f t="shared" si="1"/>
        <v/>
      </c>
      <c r="BI62" s="108" t="str">
        <f>IFERROR((TP_DATA[[#This Row],[D, bottom '[m']]]+TP_DATA[[#This Row],[D, top '[m']]])/(2*TP_DATA[[#This Row],[t '[mm']]]/1000),"")</f>
        <v/>
      </c>
      <c r="BJ62" s="108" t="str">
        <f>IFERROR((TP_DATA[[#This Row],[D, bottom '[m']]]+#REF!)/(2*#REF!/1000),"")</f>
        <v/>
      </c>
      <c r="CT62" s="102">
        <v>47</v>
      </c>
      <c r="CU62" s="102">
        <v>74.674000000000007</v>
      </c>
      <c r="CV62" s="102">
        <v>71.951999999999998</v>
      </c>
      <c r="CW62" s="102">
        <v>6.8479999999999999</v>
      </c>
      <c r="CX62" s="102">
        <v>6.9109999999999996</v>
      </c>
      <c r="CY62" s="102">
        <v>32.5</v>
      </c>
      <c r="CZ62" s="108">
        <f>IFERROR(TOWER_DATA[[#This Row],[Top '[m']]]-TOWER_DATA[[#This Row],[Bottom '[m']]], "")</f>
        <v>2.7220000000000084</v>
      </c>
      <c r="DA62" s="108">
        <f>IFERROR(-(TOWER_DATA[[#This Row],[D, bottom '[m']]]-TOWER_DATA[[#This Row],[D, top '[m']]])/(TOWER_DATA[[#This Row],[Bottom '[m']]]-TOWER_DATA[[#This Row],[Top '[m']]]),"")</f>
        <v>2.3144746509919004E-2</v>
      </c>
      <c r="DB62" s="108">
        <f t="shared" si="2"/>
        <v>14.937961615821818</v>
      </c>
      <c r="DC62" s="108">
        <f>IFERROR((TOWER_DATA[[#This Row],[D, bottom '[m']]]+TOWER_DATA[[#This Row],[D, top '[m']]])/(2*TOWER_DATA[[#This Row],[t '[mm']]]/1000),"")</f>
        <v>211.67692307692309</v>
      </c>
      <c r="DD62" s="108" t="str">
        <f>IFERROR((TOWER_DATA[[#This Row],[D, bottom '[m']]]+#REF!)/(2*#REF!/1000),"")</f>
        <v/>
      </c>
      <c r="DE62" s="110" t="s">
        <v>256</v>
      </c>
      <c r="DF62" s="110">
        <v>50.900000000000006</v>
      </c>
      <c r="DG62" s="110">
        <v>50.900000000000006</v>
      </c>
      <c r="DH62" s="110">
        <v>145</v>
      </c>
      <c r="DI62" s="110"/>
      <c r="DJ62" s="110"/>
      <c r="DK62" s="110"/>
      <c r="DL62" s="110"/>
      <c r="DM62" s="110"/>
      <c r="DW62" s="105">
        <v>47</v>
      </c>
      <c r="DX62" s="105">
        <v>74.674000000000007</v>
      </c>
      <c r="DY62" s="105">
        <v>71.951999999999998</v>
      </c>
      <c r="DZ62" s="105">
        <v>6.8479999999999999</v>
      </c>
      <c r="EA62" s="105">
        <v>6.9109999999999996</v>
      </c>
      <c r="EB62" s="105">
        <v>32.5</v>
      </c>
      <c r="ED62" s="111" t="s">
        <v>256</v>
      </c>
      <c r="EE62" s="111">
        <v>50.900000000000006</v>
      </c>
      <c r="EF62" s="111">
        <v>50.900000000000006</v>
      </c>
      <c r="EG62" s="111">
        <v>145</v>
      </c>
      <c r="EH62" s="111"/>
      <c r="EI62" s="111"/>
      <c r="EJ62" s="111"/>
      <c r="EK62" s="111"/>
      <c r="EL62" s="111"/>
      <c r="EU62" s="108"/>
      <c r="EV62" s="108"/>
    </row>
    <row r="63" spans="6:152" x14ac:dyDescent="0.3">
      <c r="F63" s="108"/>
      <c r="G63" s="108"/>
      <c r="H63" s="108"/>
      <c r="I63" s="108"/>
      <c r="J63" s="108"/>
      <c r="K63" s="108"/>
      <c r="L63" s="108" t="str">
        <f>IFERROR(MP_DATA[[#This Row],[Bottom '[m']]]-MP_DATA[[#This Row],[D, top '[m']]], "")</f>
        <v/>
      </c>
      <c r="M63" s="108" t="str">
        <f>IFERROR(-(MP_DATA[[#This Row],[D, bottom '[m']]]-MP_DATA[[#This Row],[D, top '[m']]])/(MP_DATA[[#This Row],[Bottom '[m']]]-MP_DATA[[#This Row],[Top '[m']]]),"")</f>
        <v/>
      </c>
      <c r="N63" s="108" t="str">
        <f t="shared" si="3"/>
        <v/>
      </c>
      <c r="O63" s="108" t="str">
        <f>IFERROR((MP_DATA[[#This Row],[D, bottom '[m']]]+MP_DATA[[#This Row],[D, top '[m']]])/(2*MP_DATA[[#This Row],[t '[mm']]]/1000),"")</f>
        <v/>
      </c>
      <c r="P63" s="108" t="str">
        <f>IFERROR((MP_DATA[[#This Row],[D, bottom '[m']]]+#REF!)/(2*#REF!/1000),"")</f>
        <v/>
      </c>
      <c r="BF63" s="108" t="str">
        <f>IFERROR(TP_DATA[[#This Row],[Bottom '[m']]]-TP_DATA[[#This Row],[D, top '[m']]], "")</f>
        <v/>
      </c>
      <c r="BG63" s="108" t="str">
        <f>IFERROR(-(TP_DATA[[#This Row],[D, bottom '[m']]]-TP_DATA[[#This Row],[D, top '[m']]])/(TP_DATA[[#This Row],[Bottom '[m']]]-TP_DATA[[#This Row],[Top '[m']]]),"")</f>
        <v/>
      </c>
      <c r="BH63" s="108" t="str">
        <f t="shared" si="1"/>
        <v/>
      </c>
      <c r="BI63" s="108" t="str">
        <f>IFERROR((TP_DATA[[#This Row],[D, bottom '[m']]]+TP_DATA[[#This Row],[D, top '[m']]])/(2*TP_DATA[[#This Row],[t '[mm']]]/1000),"")</f>
        <v/>
      </c>
      <c r="BJ63" s="108" t="str">
        <f>IFERROR((TP_DATA[[#This Row],[D, bottom '[m']]]+#REF!)/(2*#REF!/1000),"")</f>
        <v/>
      </c>
      <c r="CT63" s="102">
        <v>48</v>
      </c>
      <c r="CU63" s="102">
        <v>71.951999999999998</v>
      </c>
      <c r="CV63" s="102">
        <v>70.900000000000006</v>
      </c>
      <c r="CW63" s="102">
        <v>6.9109999999999996</v>
      </c>
      <c r="CX63" s="102">
        <v>6.9340000000000002</v>
      </c>
      <c r="CY63" s="102">
        <v>33.5</v>
      </c>
      <c r="CZ63" s="108">
        <f>IFERROR(TOWER_DATA[[#This Row],[Top '[m']]]-TOWER_DATA[[#This Row],[Bottom '[m']]], "")</f>
        <v>1.0519999999999925</v>
      </c>
      <c r="DA63" s="108">
        <f>IFERROR(-(TOWER_DATA[[#This Row],[D, bottom '[m']]]-TOWER_DATA[[#This Row],[D, top '[m']]])/(TOWER_DATA[[#This Row],[Bottom '[m']]]-TOWER_DATA[[#This Row],[Top '[m']]]),"")</f>
        <v>2.1863117870723137E-2</v>
      </c>
      <c r="DB63" s="108">
        <f t="shared" si="2"/>
        <v>5.9873722621344063</v>
      </c>
      <c r="DC63" s="108">
        <f>IFERROR((TOWER_DATA[[#This Row],[D, bottom '[m']]]+TOWER_DATA[[#This Row],[D, top '[m']]])/(2*TOWER_DATA[[#This Row],[t '[mm']]]/1000),"")</f>
        <v>206.64179104477608</v>
      </c>
      <c r="DD63" s="108" t="str">
        <f>IFERROR((TOWER_DATA[[#This Row],[D, bottom '[m']]]+#REF!)/(2*#REF!/1000),"")</f>
        <v/>
      </c>
      <c r="DE63" s="110" t="s">
        <v>256</v>
      </c>
      <c r="DF63" s="110">
        <v>49.674999999999997</v>
      </c>
      <c r="DG63" s="110">
        <v>49.674999999999997</v>
      </c>
      <c r="DH63" s="110">
        <v>145</v>
      </c>
      <c r="DI63" s="110"/>
      <c r="DJ63" s="110"/>
      <c r="DK63" s="110"/>
      <c r="DL63" s="110"/>
      <c r="DM63" s="110"/>
      <c r="DW63" s="105">
        <v>48</v>
      </c>
      <c r="DX63" s="105">
        <v>71.951999999999998</v>
      </c>
      <c r="DY63" s="105">
        <v>70.900000000000006</v>
      </c>
      <c r="DZ63" s="105">
        <v>6.9109999999999996</v>
      </c>
      <c r="EA63" s="105">
        <v>6.9340000000000002</v>
      </c>
      <c r="EB63" s="105">
        <v>33.5</v>
      </c>
      <c r="ED63" s="111" t="s">
        <v>256</v>
      </c>
      <c r="EE63" s="111">
        <v>49.674999999999997</v>
      </c>
      <c r="EF63" s="111">
        <v>49.674999999999997</v>
      </c>
      <c r="EG63" s="111">
        <v>145</v>
      </c>
      <c r="EH63" s="111"/>
      <c r="EI63" s="111"/>
      <c r="EJ63" s="111"/>
      <c r="EK63" s="111"/>
      <c r="EL63" s="111"/>
      <c r="EU63" s="108"/>
      <c r="EV63" s="108"/>
    </row>
    <row r="64" spans="6:152" x14ac:dyDescent="0.3">
      <c r="F64" s="108"/>
      <c r="H64" s="108"/>
      <c r="J64" s="108"/>
      <c r="L64" s="108" t="str">
        <f>IFERROR(MP_DATA[[#This Row],[Bottom '[m']]]-MP_DATA[[#This Row],[D, top '[m']]], "")</f>
        <v/>
      </c>
      <c r="M64" s="95" t="str">
        <f>IFERROR(-(MP_DATA[[#This Row],[D, bottom '[m']]]-MP_DATA[[#This Row],[D, top '[m']]])/(MP_DATA[[#This Row],[Bottom '[m']]]-MP_DATA[[#This Row],[Top '[m']]]),"")</f>
        <v/>
      </c>
      <c r="N64" s="108" t="str">
        <f t="shared" si="3"/>
        <v/>
      </c>
      <c r="O64" s="108" t="str">
        <f>IFERROR((MP_DATA[[#This Row],[D, bottom '[m']]]+MP_DATA[[#This Row],[D, top '[m']]])/(2*MP_DATA[[#This Row],[t '[mm']]]/1000),"")</f>
        <v/>
      </c>
      <c r="P64" s="108" t="str">
        <f>IFERROR((MP_DATA[[#This Row],[D, bottom '[m']]]+#REF!)/(2*#REF!/1000),"")</f>
        <v/>
      </c>
      <c r="BF64" s="108" t="str">
        <f>IFERROR(TP_DATA[[#This Row],[Bottom '[m']]]-TP_DATA[[#This Row],[D, top '[m']]], "")</f>
        <v/>
      </c>
      <c r="BG64" s="108" t="str">
        <f>IFERROR(-(TP_DATA[[#This Row],[D, bottom '[m']]]-TP_DATA[[#This Row],[D, top '[m']]])/(TP_DATA[[#This Row],[Bottom '[m']]]-TP_DATA[[#This Row],[Top '[m']]]),"")</f>
        <v/>
      </c>
      <c r="BH64" s="108" t="str">
        <f t="shared" si="1"/>
        <v/>
      </c>
      <c r="BI64" s="108" t="str">
        <f>IFERROR((TP_DATA[[#This Row],[D, bottom '[m']]]+TP_DATA[[#This Row],[D, top '[m']]])/(2*TP_DATA[[#This Row],[t '[mm']]]/1000),"")</f>
        <v/>
      </c>
      <c r="BJ64" s="108" t="str">
        <f>IFERROR((TP_DATA[[#This Row],[D, bottom '[m']]]+#REF!)/(2*#REF!/1000),"")</f>
        <v/>
      </c>
      <c r="CT64" s="102">
        <v>49</v>
      </c>
      <c r="CU64" s="102">
        <v>70.900000000000006</v>
      </c>
      <c r="CV64" s="102">
        <v>69.225000000000009</v>
      </c>
      <c r="CW64" s="102">
        <v>6.9340000000000002</v>
      </c>
      <c r="CX64" s="102">
        <v>6.9720000000000004</v>
      </c>
      <c r="CY64" s="102">
        <v>33.5</v>
      </c>
      <c r="CZ64" s="108">
        <f>IFERROR(TOWER_DATA[[#This Row],[Top '[m']]]-TOWER_DATA[[#This Row],[Bottom '[m']]], "")</f>
        <v>1.6749999999999972</v>
      </c>
      <c r="DA64" s="108">
        <f>IFERROR(-(TOWER_DATA[[#This Row],[D, bottom '[m']]]-TOWER_DATA[[#This Row],[D, top '[m']]])/(TOWER_DATA[[#This Row],[Bottom '[m']]]-TOWER_DATA[[#This Row],[Top '[m']]]),"")</f>
        <v>2.2686567164179296E-2</v>
      </c>
      <c r="DB64" s="108">
        <f t="shared" si="2"/>
        <v>9.5753324534747843</v>
      </c>
      <c r="DC64" s="108">
        <f>IFERROR((TOWER_DATA[[#This Row],[D, bottom '[m']]]+TOWER_DATA[[#This Row],[D, top '[m']]])/(2*TOWER_DATA[[#This Row],[t '[mm']]]/1000),"")</f>
        <v>207.55223880597015</v>
      </c>
      <c r="DD64" s="108" t="str">
        <f>IFERROR((TOWER_DATA[[#This Row],[D, bottom '[m']]]+#REF!)/(2*#REF!/1000),"")</f>
        <v/>
      </c>
      <c r="DE64" s="110" t="s">
        <v>256</v>
      </c>
      <c r="DF64" s="110">
        <v>45.564000000000007</v>
      </c>
      <c r="DG64" s="110">
        <v>45.564000000000007</v>
      </c>
      <c r="DH64" s="110">
        <v>146</v>
      </c>
      <c r="DI64" s="110"/>
      <c r="DJ64" s="110"/>
      <c r="DK64" s="110"/>
      <c r="DL64" s="110"/>
      <c r="DM64" s="110"/>
      <c r="DW64" s="105">
        <v>49</v>
      </c>
      <c r="DX64" s="105">
        <v>70.900000000000006</v>
      </c>
      <c r="DY64" s="105">
        <v>69.225000000000009</v>
      </c>
      <c r="DZ64" s="105">
        <v>6.9340000000000002</v>
      </c>
      <c r="EA64" s="105">
        <v>6.9720000000000004</v>
      </c>
      <c r="EB64" s="105">
        <v>33.5</v>
      </c>
      <c r="ED64" s="111" t="s">
        <v>256</v>
      </c>
      <c r="EE64" s="111">
        <v>45.564000000000007</v>
      </c>
      <c r="EF64" s="111">
        <v>45.564000000000007</v>
      </c>
      <c r="EG64" s="111">
        <v>146</v>
      </c>
      <c r="EH64" s="111"/>
      <c r="EI64" s="111"/>
      <c r="EJ64" s="111"/>
      <c r="EK64" s="111"/>
      <c r="EL64" s="111"/>
      <c r="EU64" s="108"/>
      <c r="EV64" s="108"/>
    </row>
    <row r="65" spans="6:152" x14ac:dyDescent="0.3">
      <c r="F65" s="108"/>
      <c r="H65" s="108"/>
      <c r="J65" s="108"/>
      <c r="L65" s="108" t="str">
        <f>IFERROR(MP_DATA[[#This Row],[Bottom '[m']]]-MP_DATA[[#This Row],[D, top '[m']]], "")</f>
        <v/>
      </c>
      <c r="M65" s="95" t="str">
        <f>IFERROR(-(MP_DATA[[#This Row],[D, bottom '[m']]]-MP_DATA[[#This Row],[D, top '[m']]])/(MP_DATA[[#This Row],[Bottom '[m']]]-MP_DATA[[#This Row],[Top '[m']]]),"")</f>
        <v/>
      </c>
      <c r="N65" s="108" t="str">
        <f t="shared" si="3"/>
        <v/>
      </c>
      <c r="O65" s="108" t="str">
        <f>IFERROR((MP_DATA[[#This Row],[D, bottom '[m']]]+MP_DATA[[#This Row],[D, top '[m']]])/(2*MP_DATA[[#This Row],[t '[mm']]]/1000),"")</f>
        <v/>
      </c>
      <c r="P65" s="108" t="str">
        <f>IFERROR((MP_DATA[[#This Row],[D, bottom '[m']]]+#REF!)/(2*#REF!/1000),"")</f>
        <v/>
      </c>
      <c r="BF65" s="108" t="str">
        <f>IFERROR(TP_DATA[[#This Row],[Bottom '[m']]]-TP_DATA[[#This Row],[D, top '[m']]], "")</f>
        <v/>
      </c>
      <c r="BG65" s="108" t="str">
        <f>IFERROR(-(TP_DATA[[#This Row],[D, bottom '[m']]]-TP_DATA[[#This Row],[D, top '[m']]])/(TP_DATA[[#This Row],[Bottom '[m']]]-TP_DATA[[#This Row],[Top '[m']]]),"")</f>
        <v/>
      </c>
      <c r="BH65" s="108" t="str">
        <f t="shared" si="1"/>
        <v/>
      </c>
      <c r="BI65" s="108" t="str">
        <f>IFERROR((TP_DATA[[#This Row],[D, bottom '[m']]]+TP_DATA[[#This Row],[D, top '[m']]])/(2*TP_DATA[[#This Row],[t '[mm']]]/1000),"")</f>
        <v/>
      </c>
      <c r="BJ65" s="108" t="str">
        <f>IFERROR((TP_DATA[[#This Row],[D, bottom '[m']]]+#REF!)/(2*#REF!/1000),"")</f>
        <v/>
      </c>
      <c r="CT65" s="102">
        <v>50</v>
      </c>
      <c r="CU65" s="102">
        <v>69.225000000000009</v>
      </c>
      <c r="CV65" s="102">
        <v>66.490000000000009</v>
      </c>
      <c r="CW65" s="102">
        <v>6.9720000000000004</v>
      </c>
      <c r="CX65" s="102">
        <v>7.0380000000000003</v>
      </c>
      <c r="CY65" s="102">
        <v>34</v>
      </c>
      <c r="CZ65" s="108">
        <f>IFERROR(TOWER_DATA[[#This Row],[Top '[m']]]-TOWER_DATA[[#This Row],[Bottom '[m']]], "")</f>
        <v>2.7349999999999994</v>
      </c>
      <c r="DA65" s="108">
        <f>IFERROR(-(TOWER_DATA[[#This Row],[D, bottom '[m']]]-TOWER_DATA[[#This Row],[D, top '[m']]])/(TOWER_DATA[[#This Row],[Bottom '[m']]]-TOWER_DATA[[#This Row],[Top '[m']]]),"")</f>
        <v>2.4131627056672707E-2</v>
      </c>
      <c r="DB65" s="108">
        <f t="shared" si="2"/>
        <v>15.986406792159258</v>
      </c>
      <c r="DC65" s="108">
        <f>IFERROR((TOWER_DATA[[#This Row],[D, bottom '[m']]]+TOWER_DATA[[#This Row],[D, top '[m']]])/(2*TOWER_DATA[[#This Row],[t '[mm']]]/1000),"")</f>
        <v>206.02941176470588</v>
      </c>
      <c r="DD65" s="108" t="str">
        <f>IFERROR((TOWER_DATA[[#This Row],[D, bottom '[m']]]+#REF!)/(2*#REF!/1000),"")</f>
        <v/>
      </c>
      <c r="DE65" s="110" t="s">
        <v>256</v>
      </c>
      <c r="DF65" s="110">
        <v>41.561000000000007</v>
      </c>
      <c r="DG65" s="110">
        <v>41.561000000000007</v>
      </c>
      <c r="DH65" s="110">
        <v>146</v>
      </c>
      <c r="DI65" s="110"/>
      <c r="DJ65" s="110"/>
      <c r="DK65" s="110"/>
      <c r="DL65" s="110"/>
      <c r="DM65" s="110"/>
      <c r="DW65" s="105">
        <v>50</v>
      </c>
      <c r="DX65" s="105">
        <v>69.225000000000009</v>
      </c>
      <c r="DY65" s="105">
        <v>66.490000000000009</v>
      </c>
      <c r="DZ65" s="105">
        <v>6.9720000000000004</v>
      </c>
      <c r="EA65" s="105">
        <v>7.0380000000000003</v>
      </c>
      <c r="EB65" s="105">
        <v>34</v>
      </c>
      <c r="ED65" s="111" t="s">
        <v>256</v>
      </c>
      <c r="EE65" s="111">
        <v>41.561000000000007</v>
      </c>
      <c r="EF65" s="111">
        <v>41.561000000000007</v>
      </c>
      <c r="EG65" s="111">
        <v>146</v>
      </c>
      <c r="EH65" s="111"/>
      <c r="EI65" s="111"/>
      <c r="EJ65" s="111"/>
      <c r="EK65" s="111"/>
      <c r="EL65" s="111"/>
      <c r="EU65" s="108"/>
      <c r="EV65" s="108"/>
    </row>
    <row r="66" spans="6:152" x14ac:dyDescent="0.3">
      <c r="F66" s="108"/>
      <c r="H66" s="108"/>
      <c r="J66" s="108"/>
      <c r="L66" s="108" t="str">
        <f>IFERROR(MP_DATA[[#This Row],[Bottom '[m']]]-MP_DATA[[#This Row],[D, top '[m']]], "")</f>
        <v/>
      </c>
      <c r="M66" s="95" t="str">
        <f>IFERROR(-(MP_DATA[[#This Row],[D, bottom '[m']]]-MP_DATA[[#This Row],[D, top '[m']]])/(MP_DATA[[#This Row],[Bottom '[m']]]-MP_DATA[[#This Row],[Top '[m']]]),"")</f>
        <v/>
      </c>
      <c r="N66" s="108" t="str">
        <f t="shared" si="3"/>
        <v/>
      </c>
      <c r="O66" s="108" t="str">
        <f>IFERROR((MP_DATA[[#This Row],[D, bottom '[m']]]+MP_DATA[[#This Row],[D, top '[m']]])/(2*MP_DATA[[#This Row],[t '[mm']]]/1000),"")</f>
        <v/>
      </c>
      <c r="P66" s="108" t="str">
        <f>IFERROR((MP_DATA[[#This Row],[D, bottom '[m']]]+#REF!)/(2*#REF!/1000),"")</f>
        <v/>
      </c>
      <c r="BF66" s="108" t="str">
        <f>IFERROR(TP_DATA[[#This Row],[Bottom '[m']]]-TP_DATA[[#This Row],[D, top '[m']]], "")</f>
        <v/>
      </c>
      <c r="BG66" s="108" t="str">
        <f>IFERROR(-(TP_DATA[[#This Row],[D, bottom '[m']]]-TP_DATA[[#This Row],[D, top '[m']]])/(TP_DATA[[#This Row],[Bottom '[m']]]-TP_DATA[[#This Row],[Top '[m']]]),"")</f>
        <v/>
      </c>
      <c r="BH66" s="108" t="str">
        <f t="shared" si="1"/>
        <v/>
      </c>
      <c r="BI66" s="108" t="str">
        <f>IFERROR((TP_DATA[[#This Row],[D, bottom '[m']]]+TP_DATA[[#This Row],[D, top '[m']]])/(2*TP_DATA[[#This Row],[t '[mm']]]/1000),"")</f>
        <v/>
      </c>
      <c r="BJ66" s="108" t="str">
        <f>IFERROR((TP_DATA[[#This Row],[D, bottom '[m']]]+#REF!)/(2*#REF!/1000),"")</f>
        <v/>
      </c>
      <c r="CT66" s="102">
        <v>51</v>
      </c>
      <c r="CU66" s="102">
        <v>66.490000000000009</v>
      </c>
      <c r="CV66" s="102">
        <v>66.445000000000007</v>
      </c>
      <c r="CW66" s="102">
        <v>7.0380000000000003</v>
      </c>
      <c r="CX66" s="102">
        <v>7.0380000000000003</v>
      </c>
      <c r="CY66" s="102">
        <v>38</v>
      </c>
      <c r="CZ66" s="108">
        <f>IFERROR(TOWER_DATA[[#This Row],[Top '[m']]]-TOWER_DATA[[#This Row],[Bottom '[m']]], "")</f>
        <v>4.5000000000001705E-2</v>
      </c>
      <c r="DA66" s="108">
        <f>IFERROR(-(TOWER_DATA[[#This Row],[D, bottom '[m']]]-TOWER_DATA[[#This Row],[D, top '[m']]])/(TOWER_DATA[[#This Row],[Bottom '[m']]]-TOWER_DATA[[#This Row],[Top '[m']]]),"")</f>
        <v>0</v>
      </c>
      <c r="DB66" s="108">
        <f t="shared" si="2"/>
        <v>0.29519818289824729</v>
      </c>
      <c r="DC66" s="108">
        <f>IFERROR((TOWER_DATA[[#This Row],[D, bottom '[m']]]+TOWER_DATA[[#This Row],[D, top '[m']]])/(2*TOWER_DATA[[#This Row],[t '[mm']]]/1000),"")</f>
        <v>185.21052631578948</v>
      </c>
      <c r="DD66" s="108" t="str">
        <f>IFERROR((TOWER_DATA[[#This Row],[D, bottom '[m']]]+#REF!)/(2*#REF!/1000),"")</f>
        <v/>
      </c>
      <c r="DE66" s="110" t="s">
        <v>256</v>
      </c>
      <c r="DF66" s="110">
        <v>40.900000000000006</v>
      </c>
      <c r="DG66" s="110">
        <v>40.900000000000006</v>
      </c>
      <c r="DH66" s="110">
        <v>150</v>
      </c>
      <c r="DI66" s="110"/>
      <c r="DJ66" s="110"/>
      <c r="DK66" s="110"/>
      <c r="DL66" s="110"/>
      <c r="DM66" s="110"/>
      <c r="DW66" s="105">
        <v>51</v>
      </c>
      <c r="DX66" s="105">
        <v>66.490000000000009</v>
      </c>
      <c r="DY66" s="105">
        <v>66.445000000000007</v>
      </c>
      <c r="DZ66" s="105">
        <v>7.0380000000000003</v>
      </c>
      <c r="EA66" s="105">
        <v>7.0380000000000003</v>
      </c>
      <c r="EB66" s="105">
        <v>38</v>
      </c>
      <c r="ED66" s="111" t="s">
        <v>256</v>
      </c>
      <c r="EE66" s="111">
        <v>40.900000000000006</v>
      </c>
      <c r="EF66" s="111">
        <v>40.900000000000006</v>
      </c>
      <c r="EG66" s="111">
        <v>150</v>
      </c>
      <c r="EH66" s="111"/>
      <c r="EI66" s="111"/>
      <c r="EJ66" s="111"/>
      <c r="EK66" s="111"/>
      <c r="EL66" s="111"/>
      <c r="EU66" s="108"/>
      <c r="EV66" s="108"/>
    </row>
    <row r="67" spans="6:152" x14ac:dyDescent="0.3">
      <c r="F67" s="108"/>
      <c r="H67" s="108"/>
      <c r="J67" s="108"/>
      <c r="L67" s="108" t="str">
        <f>IFERROR(MP_DATA[[#This Row],[Bottom '[m']]]-MP_DATA[[#This Row],[D, top '[m']]], "")</f>
        <v/>
      </c>
      <c r="M67" s="95" t="str">
        <f>IFERROR(-(MP_DATA[[#This Row],[D, bottom '[m']]]-MP_DATA[[#This Row],[D, top '[m']]])/(MP_DATA[[#This Row],[Bottom '[m']]]-MP_DATA[[#This Row],[Top '[m']]]),"")</f>
        <v/>
      </c>
      <c r="N67" s="108" t="str">
        <f t="shared" si="3"/>
        <v/>
      </c>
      <c r="O67" s="108" t="str">
        <f>IFERROR((MP_DATA[[#This Row],[D, bottom '[m']]]+MP_DATA[[#This Row],[D, top '[m']]])/(2*MP_DATA[[#This Row],[t '[mm']]]/1000),"")</f>
        <v/>
      </c>
      <c r="P67" s="108" t="str">
        <f>IFERROR((MP_DATA[[#This Row],[D, bottom '[m']]]+#REF!)/(2*#REF!/1000),"")</f>
        <v/>
      </c>
      <c r="BF67" s="108" t="str">
        <f>IFERROR(TP_DATA[[#This Row],[Bottom '[m']]]-TP_DATA[[#This Row],[D, top '[m']]], "")</f>
        <v/>
      </c>
      <c r="BG67" s="108" t="str">
        <f>IFERROR(-(TP_DATA[[#This Row],[D, bottom '[m']]]-TP_DATA[[#This Row],[D, top '[m']]])/(TP_DATA[[#This Row],[Bottom '[m']]]-TP_DATA[[#This Row],[Top '[m']]]),"")</f>
        <v/>
      </c>
      <c r="BH67" s="108" t="str">
        <f t="shared" si="1"/>
        <v/>
      </c>
      <c r="BI67" s="108" t="str">
        <f>IFERROR((TP_DATA[[#This Row],[D, bottom '[m']]]+TP_DATA[[#This Row],[D, top '[m']]])/(2*TP_DATA[[#This Row],[t '[mm']]]/1000),"")</f>
        <v/>
      </c>
      <c r="BJ67" s="108" t="str">
        <f>IFERROR((TP_DATA[[#This Row],[D, bottom '[m']]]+#REF!)/(2*#REF!/1000),"")</f>
        <v/>
      </c>
      <c r="CT67" s="102">
        <v>52</v>
      </c>
      <c r="CU67" s="102">
        <v>66.445000000000007</v>
      </c>
      <c r="CV67" s="102">
        <v>66.260000000000005</v>
      </c>
      <c r="CW67" s="102">
        <v>7.0380000000000003</v>
      </c>
      <c r="CX67" s="102">
        <v>7.0380000000000003</v>
      </c>
      <c r="CY67" s="102">
        <v>38</v>
      </c>
      <c r="CZ67" s="108">
        <f>IFERROR(TOWER_DATA[[#This Row],[Top '[m']]]-TOWER_DATA[[#This Row],[Bottom '[m']]], "")</f>
        <v>0.18500000000000227</v>
      </c>
      <c r="DA67" s="108">
        <f>IFERROR(-(TOWER_DATA[[#This Row],[D, bottom '[m']]]-TOWER_DATA[[#This Row],[D, top '[m']]])/(TOWER_DATA[[#This Row],[Bottom '[m']]]-TOWER_DATA[[#This Row],[Top '[m']]]),"")</f>
        <v>0</v>
      </c>
      <c r="DB67" s="108">
        <f t="shared" si="2"/>
        <v>1.2135925296927634</v>
      </c>
      <c r="DC67" s="108">
        <f>IFERROR((TOWER_DATA[[#This Row],[D, bottom '[m']]]+TOWER_DATA[[#This Row],[D, top '[m']]])/(2*TOWER_DATA[[#This Row],[t '[mm']]]/1000),"")</f>
        <v>185.21052631578948</v>
      </c>
      <c r="DD67" s="108" t="str">
        <f>IFERROR((TOWER_DATA[[#This Row],[D, bottom '[m']]]+#REF!)/(2*#REF!/1000),"")</f>
        <v/>
      </c>
      <c r="DE67" s="110" t="s">
        <v>256</v>
      </c>
      <c r="DF67" s="110">
        <v>38.725000000000001</v>
      </c>
      <c r="DG67" s="110">
        <v>38.725000000000001</v>
      </c>
      <c r="DH67" s="110">
        <v>7072</v>
      </c>
      <c r="DI67" s="110"/>
      <c r="DJ67" s="110"/>
      <c r="DK67" s="110"/>
      <c r="DL67" s="110"/>
      <c r="DM67" s="110"/>
      <c r="DW67" s="105">
        <v>52</v>
      </c>
      <c r="DX67" s="105">
        <v>66.445000000000007</v>
      </c>
      <c r="DY67" s="105">
        <v>66.260000000000005</v>
      </c>
      <c r="DZ67" s="105">
        <v>7.0380000000000003</v>
      </c>
      <c r="EA67" s="105">
        <v>7.0380000000000003</v>
      </c>
      <c r="EB67" s="105">
        <v>38</v>
      </c>
      <c r="ED67" s="111" t="s">
        <v>256</v>
      </c>
      <c r="EE67" s="111">
        <v>38.725000000000001</v>
      </c>
      <c r="EF67" s="111">
        <v>38.725000000000001</v>
      </c>
      <c r="EG67" s="111">
        <v>7072</v>
      </c>
      <c r="EH67" s="111"/>
      <c r="EI67" s="111"/>
      <c r="EJ67" s="111"/>
      <c r="EK67" s="111"/>
      <c r="EL67" s="111"/>
      <c r="EU67" s="108"/>
      <c r="EV67" s="108"/>
    </row>
    <row r="68" spans="6:152" x14ac:dyDescent="0.3">
      <c r="F68" s="108"/>
      <c r="G68" s="108"/>
      <c r="H68" s="108"/>
      <c r="I68" s="108"/>
      <c r="J68" s="108"/>
      <c r="K68" s="108"/>
      <c r="L68" s="108" t="str">
        <f>IFERROR(MP_DATA[[#This Row],[Bottom '[m']]]-MP_DATA[[#This Row],[D, top '[m']]], "")</f>
        <v/>
      </c>
      <c r="M68" s="108" t="str">
        <f>IFERROR(-(MP_DATA[[#This Row],[D, bottom '[m']]]-MP_DATA[[#This Row],[D, top '[m']]])/(MP_DATA[[#This Row],[Bottom '[m']]]-MP_DATA[[#This Row],[Top '[m']]]),"")</f>
        <v/>
      </c>
      <c r="N68" s="108" t="str">
        <f t="shared" si="3"/>
        <v/>
      </c>
      <c r="O68" s="108" t="str">
        <f>IFERROR((MP_DATA[[#This Row],[D, bottom '[m']]]+MP_DATA[[#This Row],[D, top '[m']]])/(2*MP_DATA[[#This Row],[t '[mm']]]/1000),"")</f>
        <v/>
      </c>
      <c r="P68" s="108" t="str">
        <f>IFERROR((MP_DATA[[#This Row],[D, bottom '[m']]]+#REF!)/(2*#REF!/1000),"")</f>
        <v/>
      </c>
      <c r="BF68" s="108" t="str">
        <f>IFERROR(TP_DATA[[#This Row],[Bottom '[m']]]-TP_DATA[[#This Row],[D, top '[m']]], "")</f>
        <v/>
      </c>
      <c r="BG68" s="108" t="str">
        <f>IFERROR(-(TP_DATA[[#This Row],[D, bottom '[m']]]-TP_DATA[[#This Row],[D, top '[m']]])/(TP_DATA[[#This Row],[Bottom '[m']]]-TP_DATA[[#This Row],[Top '[m']]]),"")</f>
        <v/>
      </c>
      <c r="BH68" s="108" t="str">
        <f t="shared" si="1"/>
        <v/>
      </c>
      <c r="BI68" s="108" t="str">
        <f>IFERROR((TP_DATA[[#This Row],[D, bottom '[m']]]+TP_DATA[[#This Row],[D, top '[m']]])/(2*TP_DATA[[#This Row],[t '[mm']]]/1000),"")</f>
        <v/>
      </c>
      <c r="BJ68" s="108" t="str">
        <f>IFERROR((TP_DATA[[#This Row],[D, bottom '[m']]]+#REF!)/(2*#REF!/1000),"")</f>
        <v/>
      </c>
      <c r="CT68" s="102">
        <v>53</v>
      </c>
      <c r="CU68" s="102">
        <v>66.260000000000005</v>
      </c>
      <c r="CV68" s="102">
        <v>66.075000000000003</v>
      </c>
      <c r="CW68" s="102">
        <v>7.0380000000000003</v>
      </c>
      <c r="CX68" s="102">
        <v>7.0380000000000003</v>
      </c>
      <c r="CY68" s="102">
        <v>38</v>
      </c>
      <c r="CZ68" s="108">
        <f>IFERROR(TOWER_DATA[[#This Row],[Top '[m']]]-TOWER_DATA[[#This Row],[Bottom '[m']]], "")</f>
        <v>0.18500000000000227</v>
      </c>
      <c r="DA68" s="108">
        <f>IFERROR(-(TOWER_DATA[[#This Row],[D, bottom '[m']]]-TOWER_DATA[[#This Row],[D, top '[m']]])/(TOWER_DATA[[#This Row],[Bottom '[m']]]-TOWER_DATA[[#This Row],[Top '[m']]]),"")</f>
        <v>0</v>
      </c>
      <c r="DB68" s="108">
        <f t="shared" si="2"/>
        <v>1.2135925296927634</v>
      </c>
      <c r="DC68" s="108">
        <f>IFERROR((TOWER_DATA[[#This Row],[D, bottom '[m']]]+TOWER_DATA[[#This Row],[D, top '[m']]])/(2*TOWER_DATA[[#This Row],[t '[mm']]]/1000),"")</f>
        <v>185.21052631578948</v>
      </c>
      <c r="DD68" s="108" t="str">
        <f>IFERROR((TOWER_DATA[[#This Row],[D, bottom '[m']]]+#REF!)/(2*#REF!/1000),"")</f>
        <v/>
      </c>
      <c r="DE68" s="110" t="s">
        <v>256</v>
      </c>
      <c r="DF68" s="110">
        <v>38.540000000000006</v>
      </c>
      <c r="DG68" s="110">
        <v>38.540000000000006</v>
      </c>
      <c r="DH68" s="110">
        <v>11176</v>
      </c>
      <c r="DI68" s="110"/>
      <c r="DJ68" s="110"/>
      <c r="DK68" s="110"/>
      <c r="DL68" s="110"/>
      <c r="DM68" s="110"/>
      <c r="DW68" s="105">
        <v>53</v>
      </c>
      <c r="DX68" s="105">
        <v>66.260000000000005</v>
      </c>
      <c r="DY68" s="105">
        <v>66.075000000000003</v>
      </c>
      <c r="DZ68" s="105">
        <v>7.0380000000000003</v>
      </c>
      <c r="EA68" s="105">
        <v>7.0380000000000003</v>
      </c>
      <c r="EB68" s="105">
        <v>38</v>
      </c>
      <c r="ED68" s="111" t="s">
        <v>256</v>
      </c>
      <c r="EE68" s="111">
        <v>38.540000000000006</v>
      </c>
      <c r="EF68" s="111">
        <v>38.540000000000006</v>
      </c>
      <c r="EG68" s="111">
        <v>11176</v>
      </c>
      <c r="EH68" s="111"/>
      <c r="EI68" s="111"/>
      <c r="EJ68" s="111"/>
      <c r="EK68" s="111"/>
      <c r="EL68" s="111"/>
      <c r="EU68" s="108"/>
      <c r="EV68" s="108"/>
    </row>
    <row r="69" spans="6:152" x14ac:dyDescent="0.3">
      <c r="F69" s="108"/>
      <c r="G69" s="108"/>
      <c r="H69" s="108"/>
      <c r="I69" s="108"/>
      <c r="J69" s="108"/>
      <c r="K69" s="108"/>
      <c r="L69" s="108" t="str">
        <f>IFERROR(MP_DATA[[#This Row],[Bottom '[m']]]-MP_DATA[[#This Row],[D, top '[m']]], "")</f>
        <v/>
      </c>
      <c r="M69" s="108" t="str">
        <f>IFERROR(-(MP_DATA[[#This Row],[D, bottom '[m']]]-MP_DATA[[#This Row],[D, top '[m']]])/(MP_DATA[[#This Row],[Bottom '[m']]]-MP_DATA[[#This Row],[Top '[m']]]),"")</f>
        <v/>
      </c>
      <c r="N69" s="108" t="str">
        <f t="shared" si="3"/>
        <v/>
      </c>
      <c r="O69" s="108" t="str">
        <f>IFERROR((MP_DATA[[#This Row],[D, bottom '[m']]]+MP_DATA[[#This Row],[D, top '[m']]])/(2*MP_DATA[[#This Row],[t '[mm']]]/1000),"")</f>
        <v/>
      </c>
      <c r="P69" s="108" t="str">
        <f>IFERROR((MP_DATA[[#This Row],[D, bottom '[m']]]+#REF!)/(2*#REF!/1000),"")</f>
        <v/>
      </c>
      <c r="BF69" s="108" t="str">
        <f>IFERROR(TP_DATA[[#This Row],[Bottom '[m']]]-TP_DATA[[#This Row],[D, top '[m']]], "")</f>
        <v/>
      </c>
      <c r="BG69" s="108" t="str">
        <f>IFERROR(-(TP_DATA[[#This Row],[D, bottom '[m']]]-TP_DATA[[#This Row],[D, top '[m']]])/(TP_DATA[[#This Row],[Bottom '[m']]]-TP_DATA[[#This Row],[Top '[m']]]),"")</f>
        <v/>
      </c>
      <c r="BH69" s="108" t="str">
        <f t="shared" si="1"/>
        <v/>
      </c>
      <c r="BI69" s="108" t="str">
        <f>IFERROR((TP_DATA[[#This Row],[D, bottom '[m']]]+TP_DATA[[#This Row],[D, top '[m']]])/(2*TP_DATA[[#This Row],[t '[mm']]]/1000),"")</f>
        <v/>
      </c>
      <c r="BJ69" s="108" t="str">
        <f>IFERROR((TP_DATA[[#This Row],[D, bottom '[m']]]+#REF!)/(2*#REF!/1000),"")</f>
        <v/>
      </c>
      <c r="CT69" s="102">
        <v>54</v>
      </c>
      <c r="CU69" s="102">
        <v>66.075000000000003</v>
      </c>
      <c r="CV69" s="102">
        <v>66.03</v>
      </c>
      <c r="CW69" s="102">
        <v>7.0380000000000003</v>
      </c>
      <c r="CX69" s="102">
        <v>7.032</v>
      </c>
      <c r="CY69" s="102">
        <v>38</v>
      </c>
      <c r="CZ69" s="108">
        <f>IFERROR(TOWER_DATA[[#This Row],[Top '[m']]]-TOWER_DATA[[#This Row],[Bottom '[m']]], "")</f>
        <v>4.5000000000001705E-2</v>
      </c>
      <c r="DA69" s="108">
        <f>IFERROR(-(TOWER_DATA[[#This Row],[D, bottom '[m']]]-TOWER_DATA[[#This Row],[D, top '[m']]])/(TOWER_DATA[[#This Row],[Bottom '[m']]]-TOWER_DATA[[#This Row],[Top '[m']]]),"")</f>
        <v>-0.13333333333333333</v>
      </c>
      <c r="DB69" s="108">
        <f t="shared" si="2"/>
        <v>0.29507166939129226</v>
      </c>
      <c r="DC69" s="108">
        <f>IFERROR((TOWER_DATA[[#This Row],[D, bottom '[m']]]+TOWER_DATA[[#This Row],[D, top '[m']]])/(2*TOWER_DATA[[#This Row],[t '[mm']]]/1000),"")</f>
        <v>185.13157894736844</v>
      </c>
      <c r="DD69" s="108" t="str">
        <f>IFERROR((TOWER_DATA[[#This Row],[D, bottom '[m']]]+#REF!)/(2*#REF!/1000),"")</f>
        <v/>
      </c>
      <c r="DE69" s="110" t="s">
        <v>256</v>
      </c>
      <c r="DF69" s="110">
        <v>38.355000000000004</v>
      </c>
      <c r="DG69" s="110">
        <v>38.355000000000004</v>
      </c>
      <c r="DH69" s="110">
        <v>6</v>
      </c>
      <c r="DI69" s="110"/>
      <c r="DJ69" s="110"/>
      <c r="DK69" s="110"/>
      <c r="DL69" s="110"/>
      <c r="DM69" s="110"/>
      <c r="DW69" s="105">
        <v>54</v>
      </c>
      <c r="DX69" s="105">
        <v>66.075000000000003</v>
      </c>
      <c r="DY69" s="105">
        <v>66.03</v>
      </c>
      <c r="DZ69" s="105">
        <v>7.0380000000000003</v>
      </c>
      <c r="EA69" s="105">
        <v>7.032</v>
      </c>
      <c r="EB69" s="105">
        <v>38</v>
      </c>
      <c r="ED69" s="111" t="s">
        <v>256</v>
      </c>
      <c r="EE69" s="111">
        <v>38.355000000000004</v>
      </c>
      <c r="EF69" s="111">
        <v>38.355000000000004</v>
      </c>
      <c r="EG69" s="111">
        <v>6</v>
      </c>
      <c r="EH69" s="111"/>
      <c r="EI69" s="111"/>
      <c r="EJ69" s="111"/>
      <c r="EK69" s="111"/>
      <c r="EL69" s="111"/>
      <c r="EU69" s="108"/>
      <c r="EV69" s="108"/>
    </row>
    <row r="70" spans="6:152" x14ac:dyDescent="0.3">
      <c r="F70" s="108"/>
      <c r="G70" s="108"/>
      <c r="H70" s="108"/>
      <c r="I70" s="108"/>
      <c r="J70" s="108"/>
      <c r="K70" s="108"/>
      <c r="L70" s="108" t="str">
        <f>IFERROR(MP_DATA[[#This Row],[Bottom '[m']]]-MP_DATA[[#This Row],[D, top '[m']]], "")</f>
        <v/>
      </c>
      <c r="M70" s="108" t="str">
        <f>IFERROR(-(MP_DATA[[#This Row],[D, bottom '[m']]]-MP_DATA[[#This Row],[D, top '[m']]])/(MP_DATA[[#This Row],[Bottom '[m']]]-MP_DATA[[#This Row],[Top '[m']]]),"")</f>
        <v/>
      </c>
      <c r="N70" s="108" t="str">
        <f t="shared" si="3"/>
        <v/>
      </c>
      <c r="O70" s="108" t="str">
        <f>IFERROR((MP_DATA[[#This Row],[D, bottom '[m']]]+MP_DATA[[#This Row],[D, top '[m']]])/(2*MP_DATA[[#This Row],[t '[mm']]]/1000),"")</f>
        <v/>
      </c>
      <c r="P70" s="108" t="str">
        <f>IFERROR((MP_DATA[[#This Row],[D, bottom '[m']]]+#REF!)/(2*#REF!/1000),"")</f>
        <v/>
      </c>
      <c r="BF70" s="108" t="str">
        <f>IFERROR(TP_DATA[[#This Row],[Bottom '[m']]]-TP_DATA[[#This Row],[D, top '[m']]], "")</f>
        <v/>
      </c>
      <c r="BG70" s="108" t="str">
        <f>IFERROR(-(TP_DATA[[#This Row],[D, bottom '[m']]]-TP_DATA[[#This Row],[D, top '[m']]])/(TP_DATA[[#This Row],[Bottom '[m']]]-TP_DATA[[#This Row],[Top '[m']]]),"")</f>
        <v/>
      </c>
      <c r="BH70" s="108" t="str">
        <f t="shared" si="1"/>
        <v/>
      </c>
      <c r="BI70" s="108" t="str">
        <f>IFERROR((TP_DATA[[#This Row],[D, bottom '[m']]]+TP_DATA[[#This Row],[D, top '[m']]])/(2*TP_DATA[[#This Row],[t '[mm']]]/1000),"")</f>
        <v/>
      </c>
      <c r="BJ70" s="108" t="str">
        <f>IFERROR((TP_DATA[[#This Row],[D, bottom '[m']]]+#REF!)/(2*#REF!/1000),"")</f>
        <v/>
      </c>
      <c r="CT70" s="102">
        <v>55</v>
      </c>
      <c r="CU70" s="102">
        <v>66.03</v>
      </c>
      <c r="CV70" s="102">
        <v>63.308000000000007</v>
      </c>
      <c r="CW70" s="102">
        <v>7.032</v>
      </c>
      <c r="CX70" s="102">
        <v>7.0759999999999996</v>
      </c>
      <c r="CY70" s="102">
        <v>32</v>
      </c>
      <c r="CZ70" s="108">
        <f>IFERROR(TOWER_DATA[[#This Row],[Top '[m']]]-TOWER_DATA[[#This Row],[Bottom '[m']]], "")</f>
        <v>2.7219999999999942</v>
      </c>
      <c r="DA70" s="108">
        <f>IFERROR(-(TOWER_DATA[[#This Row],[D, bottom '[m']]]-TOWER_DATA[[#This Row],[D, top '[m']]])/(TOWER_DATA[[#This Row],[Bottom '[m']]]-TOWER_DATA[[#This Row],[Top '[m']]]),"")</f>
        <v>1.6164584864070422E-2</v>
      </c>
      <c r="DB70" s="108">
        <f t="shared" si="2"/>
        <v>15.0840670340591</v>
      </c>
      <c r="DC70" s="108">
        <f>IFERROR((TOWER_DATA[[#This Row],[D, bottom '[m']]]+TOWER_DATA[[#This Row],[D, top '[m']]])/(2*TOWER_DATA[[#This Row],[t '[mm']]]/1000),"")</f>
        <v>220.4375</v>
      </c>
      <c r="DD70" s="108" t="str">
        <f>IFERROR((TOWER_DATA[[#This Row],[D, bottom '[m']]]+#REF!)/(2*#REF!/1000),"")</f>
        <v/>
      </c>
      <c r="DE70" s="110" t="s">
        <v>256</v>
      </c>
      <c r="DF70" s="110">
        <v>38.305000000000007</v>
      </c>
      <c r="DG70" s="110">
        <v>38.305000000000007</v>
      </c>
      <c r="DH70" s="110">
        <v>2</v>
      </c>
      <c r="DI70" s="110"/>
      <c r="DJ70" s="110"/>
      <c r="DK70" s="110"/>
      <c r="DL70" s="110"/>
      <c r="DM70" s="110"/>
      <c r="DW70" s="105">
        <v>55</v>
      </c>
      <c r="DX70" s="105">
        <v>66.03</v>
      </c>
      <c r="DY70" s="105">
        <v>63.308000000000007</v>
      </c>
      <c r="DZ70" s="105">
        <v>7.032</v>
      </c>
      <c r="EA70" s="105">
        <v>7.0759999999999996</v>
      </c>
      <c r="EB70" s="105">
        <v>32</v>
      </c>
      <c r="ED70" s="111" t="s">
        <v>256</v>
      </c>
      <c r="EE70" s="111">
        <v>38.305000000000007</v>
      </c>
      <c r="EF70" s="111">
        <v>38.305000000000007</v>
      </c>
      <c r="EG70" s="111">
        <v>2</v>
      </c>
      <c r="EH70" s="111"/>
      <c r="EI70" s="111"/>
      <c r="EJ70" s="111"/>
      <c r="EK70" s="111"/>
      <c r="EL70" s="111"/>
      <c r="EU70" s="108"/>
      <c r="EV70" s="108"/>
    </row>
    <row r="71" spans="6:152" x14ac:dyDescent="0.3">
      <c r="F71" s="108"/>
      <c r="G71" s="108"/>
      <c r="H71" s="108"/>
      <c r="I71" s="108"/>
      <c r="J71" s="108"/>
      <c r="K71" s="108"/>
      <c r="L71" s="108" t="str">
        <f>IFERROR(MP_DATA[[#This Row],[Bottom '[m']]]-MP_DATA[[#This Row],[D, top '[m']]], "")</f>
        <v/>
      </c>
      <c r="M71" s="108" t="str">
        <f>IFERROR(-(MP_DATA[[#This Row],[D, bottom '[m']]]-MP_DATA[[#This Row],[D, top '[m']]])/(MP_DATA[[#This Row],[Bottom '[m']]]-MP_DATA[[#This Row],[Top '[m']]]),"")</f>
        <v/>
      </c>
      <c r="N71" s="108" t="str">
        <f t="shared" si="3"/>
        <v/>
      </c>
      <c r="O71" s="108" t="str">
        <f>IFERROR((MP_DATA[[#This Row],[D, bottom '[m']]]+MP_DATA[[#This Row],[D, top '[m']]])/(2*MP_DATA[[#This Row],[t '[mm']]]/1000),"")</f>
        <v/>
      </c>
      <c r="P71" s="108" t="str">
        <f>IFERROR((MP_DATA[[#This Row],[D, bottom '[m']]]+#REF!)/(2*#REF!/1000),"")</f>
        <v/>
      </c>
      <c r="BF71" s="108" t="str">
        <f>IFERROR(TP_DATA[[#This Row],[Bottom '[m']]]-TP_DATA[[#This Row],[D, top '[m']]], "")</f>
        <v/>
      </c>
      <c r="BG71" s="108" t="str">
        <f>IFERROR(-(TP_DATA[[#This Row],[D, bottom '[m']]]-TP_DATA[[#This Row],[D, top '[m']]])/(TP_DATA[[#This Row],[Bottom '[m']]]-TP_DATA[[#This Row],[Top '[m']]]),"")</f>
        <v/>
      </c>
      <c r="BH71" s="108" t="str">
        <f t="shared" si="1"/>
        <v/>
      </c>
      <c r="BI71" s="108" t="str">
        <f>IFERROR((TP_DATA[[#This Row],[D, bottom '[m']]]+TP_DATA[[#This Row],[D, top '[m']]])/(2*TP_DATA[[#This Row],[t '[mm']]]/1000),"")</f>
        <v/>
      </c>
      <c r="BJ71" s="108" t="str">
        <f>IFERROR((TP_DATA[[#This Row],[D, bottom '[m']]]+#REF!)/(2*#REF!/1000),"")</f>
        <v/>
      </c>
      <c r="CT71" s="102">
        <v>56</v>
      </c>
      <c r="CU71" s="102">
        <v>63.308000000000007</v>
      </c>
      <c r="CV71" s="102">
        <v>62.007000000000005</v>
      </c>
      <c r="CW71" s="102">
        <v>7.0759999999999996</v>
      </c>
      <c r="CX71" s="102">
        <v>7.0970000000000004</v>
      </c>
      <c r="CY71" s="102">
        <v>33</v>
      </c>
      <c r="CZ71" s="108">
        <f>IFERROR(TOWER_DATA[[#This Row],[Top '[m']]]-TOWER_DATA[[#This Row],[Bottom '[m']]], "")</f>
        <v>1.3010000000000019</v>
      </c>
      <c r="DA71" s="108">
        <f>IFERROR(-(TOWER_DATA[[#This Row],[D, bottom '[m']]]-TOWER_DATA[[#This Row],[D, top '[m']]])/(TOWER_DATA[[#This Row],[Bottom '[m']]]-TOWER_DATA[[#This Row],[Top '[m']]]),"")</f>
        <v>1.6141429669485598E-2</v>
      </c>
      <c r="DB71" s="108">
        <f t="shared" si="2"/>
        <v>7.4681913438982228</v>
      </c>
      <c r="DC71" s="108">
        <f>IFERROR((TOWER_DATA[[#This Row],[D, bottom '[m']]]+TOWER_DATA[[#This Row],[D, top '[m']]])/(2*TOWER_DATA[[#This Row],[t '[mm']]]/1000),"")</f>
        <v>214.74242424242422</v>
      </c>
      <c r="DD71" s="108" t="str">
        <f>IFERROR((TOWER_DATA[[#This Row],[D, bottom '[m']]]+#REF!)/(2*#REF!/1000),"")</f>
        <v/>
      </c>
      <c r="DE71" s="110" t="s">
        <v>256</v>
      </c>
      <c r="DF71" s="110">
        <v>37.343000000000004</v>
      </c>
      <c r="DG71" s="110">
        <v>37.343000000000004</v>
      </c>
      <c r="DH71" s="110">
        <v>1318</v>
      </c>
      <c r="DI71" s="110"/>
      <c r="DJ71" s="110"/>
      <c r="DK71" s="110"/>
      <c r="DL71" s="110"/>
      <c r="DM71" s="110"/>
      <c r="DW71" s="105">
        <v>56</v>
      </c>
      <c r="DX71" s="105">
        <v>63.308000000000007</v>
      </c>
      <c r="DY71" s="105">
        <v>62.007000000000005</v>
      </c>
      <c r="DZ71" s="105">
        <v>7.0759999999999996</v>
      </c>
      <c r="EA71" s="105">
        <v>7.0970000000000004</v>
      </c>
      <c r="EB71" s="105">
        <v>33</v>
      </c>
      <c r="ED71" s="111" t="s">
        <v>256</v>
      </c>
      <c r="EE71" s="111">
        <v>37.343000000000004</v>
      </c>
      <c r="EF71" s="111">
        <v>37.343000000000004</v>
      </c>
      <c r="EG71" s="111">
        <v>1318</v>
      </c>
      <c r="EH71" s="111"/>
      <c r="EI71" s="111"/>
      <c r="EJ71" s="111"/>
      <c r="EK71" s="111"/>
      <c r="EL71" s="111"/>
      <c r="EU71" s="108"/>
      <c r="EV71" s="108"/>
    </row>
    <row r="72" spans="6:152" x14ac:dyDescent="0.3">
      <c r="F72" s="108"/>
      <c r="G72" s="108"/>
      <c r="H72" s="108"/>
      <c r="I72" s="108"/>
      <c r="J72" s="108"/>
      <c r="K72" s="108"/>
      <c r="L72" s="108" t="str">
        <f>IFERROR(MP_DATA[[#This Row],[Bottom '[m']]]-MP_DATA[[#This Row],[D, top '[m']]], "")</f>
        <v/>
      </c>
      <c r="M72" s="108" t="str">
        <f>IFERROR(-(MP_DATA[[#This Row],[D, bottom '[m']]]-MP_DATA[[#This Row],[D, top '[m']]])/(MP_DATA[[#This Row],[Bottom '[m']]]-MP_DATA[[#This Row],[Top '[m']]]),"")</f>
        <v/>
      </c>
      <c r="N72" s="108" t="str">
        <f t="shared" si="3"/>
        <v/>
      </c>
      <c r="O72" s="108" t="str">
        <f>IFERROR((MP_DATA[[#This Row],[D, bottom '[m']]]+MP_DATA[[#This Row],[D, top '[m']]])/(2*MP_DATA[[#This Row],[t '[mm']]]/1000),"")</f>
        <v/>
      </c>
      <c r="P72" s="108" t="str">
        <f>IFERROR((MP_DATA[[#This Row],[D, bottom '[m']]]+#REF!)/(2*#REF!/1000),"")</f>
        <v/>
      </c>
      <c r="BF72" s="108" t="str">
        <f>IFERROR(TP_DATA[[#This Row],[Bottom '[m']]]-TP_DATA[[#This Row],[D, top '[m']]], "")</f>
        <v/>
      </c>
      <c r="BG72" s="108" t="str">
        <f>IFERROR(-(TP_DATA[[#This Row],[D, bottom '[m']]]-TP_DATA[[#This Row],[D, top '[m']]])/(TP_DATA[[#This Row],[Bottom '[m']]]-TP_DATA[[#This Row],[Top '[m']]]),"")</f>
        <v/>
      </c>
      <c r="BH72" s="108" t="str">
        <f t="shared" si="1"/>
        <v/>
      </c>
      <c r="BI72" s="108" t="str">
        <f>IFERROR((TP_DATA[[#This Row],[D, bottom '[m']]]+TP_DATA[[#This Row],[D, top '[m']]])/(2*TP_DATA[[#This Row],[t '[mm']]]/1000),"")</f>
        <v/>
      </c>
      <c r="BJ72" s="108" t="str">
        <f>IFERROR((TP_DATA[[#This Row],[D, bottom '[m']]]+#REF!)/(2*#REF!/1000),"")</f>
        <v/>
      </c>
      <c r="CT72" s="102">
        <v>57</v>
      </c>
      <c r="CU72" s="102">
        <v>62.007000000000005</v>
      </c>
      <c r="CV72" s="102">
        <v>60.900000000000006</v>
      </c>
      <c r="CW72" s="102">
        <v>7.0970000000000004</v>
      </c>
      <c r="CX72" s="102">
        <v>7.1139999999999999</v>
      </c>
      <c r="CY72" s="102">
        <v>33</v>
      </c>
      <c r="CZ72" s="108">
        <f>IFERROR(TOWER_DATA[[#This Row],[Top '[m']]]-TOWER_DATA[[#This Row],[Bottom '[m']]], "")</f>
        <v>1.1069999999999993</v>
      </c>
      <c r="DA72" s="108">
        <f>IFERROR(-(TOWER_DATA[[#This Row],[D, bottom '[m']]]-TOWER_DATA[[#This Row],[D, top '[m']]])/(TOWER_DATA[[#This Row],[Bottom '[m']]]-TOWER_DATA[[#This Row],[Top '[m']]]),"")</f>
        <v>1.5356820234868536E-2</v>
      </c>
      <c r="DB72" s="108">
        <f t="shared" si="2"/>
        <v>6.3716813187634509</v>
      </c>
      <c r="DC72" s="108">
        <f>IFERROR((TOWER_DATA[[#This Row],[D, bottom '[m']]]+TOWER_DATA[[#This Row],[D, top '[m']]])/(2*TOWER_DATA[[#This Row],[t '[mm']]]/1000),"")</f>
        <v>215.31818181818181</v>
      </c>
      <c r="DD72" s="108" t="str">
        <f>IFERROR((TOWER_DATA[[#This Row],[D, bottom '[m']]]+#REF!)/(2*#REF!/1000),"")</f>
        <v/>
      </c>
      <c r="DE72" s="110" t="s">
        <v>256</v>
      </c>
      <c r="DF72" s="110">
        <v>33.231999999999999</v>
      </c>
      <c r="DG72" s="110">
        <v>33.231999999999999</v>
      </c>
      <c r="DH72" s="110">
        <v>158</v>
      </c>
      <c r="DI72" s="110"/>
      <c r="DJ72" s="110"/>
      <c r="DK72" s="110"/>
      <c r="DL72" s="110"/>
      <c r="DM72" s="110"/>
      <c r="DW72" s="105">
        <v>57</v>
      </c>
      <c r="DX72" s="105">
        <v>62.007000000000005</v>
      </c>
      <c r="DY72" s="105">
        <v>60.900000000000006</v>
      </c>
      <c r="DZ72" s="105">
        <v>7.0970000000000004</v>
      </c>
      <c r="EA72" s="105">
        <v>7.1139999999999999</v>
      </c>
      <c r="EB72" s="105">
        <v>33</v>
      </c>
      <c r="ED72" s="111" t="s">
        <v>256</v>
      </c>
      <c r="EE72" s="111">
        <v>33.231999999999999</v>
      </c>
      <c r="EF72" s="111">
        <v>33.231999999999999</v>
      </c>
      <c r="EG72" s="111">
        <v>158</v>
      </c>
      <c r="EH72" s="111"/>
      <c r="EI72" s="111"/>
      <c r="EJ72" s="111"/>
      <c r="EK72" s="111"/>
      <c r="EL72" s="111"/>
      <c r="EU72" s="108"/>
      <c r="EV72" s="108"/>
    </row>
    <row r="73" spans="6:152" x14ac:dyDescent="0.3">
      <c r="F73" s="108"/>
      <c r="G73" s="108"/>
      <c r="H73" s="108"/>
      <c r="I73" s="108"/>
      <c r="J73" s="108"/>
      <c r="K73" s="108"/>
      <c r="L73" s="108" t="str">
        <f>IFERROR(MP_DATA[[#This Row],[Bottom '[m']]]-MP_DATA[[#This Row],[D, top '[m']]], "")</f>
        <v/>
      </c>
      <c r="M73" s="108" t="str">
        <f>IFERROR(-(MP_DATA[[#This Row],[D, bottom '[m']]]-MP_DATA[[#This Row],[D, top '[m']]])/(MP_DATA[[#This Row],[Bottom '[m']]]-MP_DATA[[#This Row],[Top '[m']]]),"")</f>
        <v/>
      </c>
      <c r="N73" s="108" t="str">
        <f t="shared" si="3"/>
        <v/>
      </c>
      <c r="O73" s="108" t="str">
        <f>IFERROR((MP_DATA[[#This Row],[D, bottom '[m']]]+MP_DATA[[#This Row],[D, top '[m']]])/(2*MP_DATA[[#This Row],[t '[mm']]]/1000),"")</f>
        <v/>
      </c>
      <c r="P73" s="108" t="str">
        <f>IFERROR((MP_DATA[[#This Row],[D, bottom '[m']]]+#REF!)/(2*#REF!/1000),"")</f>
        <v/>
      </c>
      <c r="BF73" s="108" t="str">
        <f>IFERROR(TP_DATA[[#This Row],[Bottom '[m']]]-TP_DATA[[#This Row],[D, top '[m']]], "")</f>
        <v/>
      </c>
      <c r="BG73" s="108" t="str">
        <f>IFERROR(-(TP_DATA[[#This Row],[D, bottom '[m']]]-TP_DATA[[#This Row],[D, top '[m']]])/(TP_DATA[[#This Row],[Bottom '[m']]]-TP_DATA[[#This Row],[Top '[m']]]),"")</f>
        <v/>
      </c>
      <c r="BH73" s="108" t="str">
        <f t="shared" si="1"/>
        <v/>
      </c>
      <c r="BI73" s="108" t="str">
        <f>IFERROR((TP_DATA[[#This Row],[D, bottom '[m']]]+TP_DATA[[#This Row],[D, top '[m']]])/(2*TP_DATA[[#This Row],[t '[mm']]]/1000),"")</f>
        <v/>
      </c>
      <c r="BJ73" s="108" t="str">
        <f>IFERROR((TP_DATA[[#This Row],[D, bottom '[m']]]+#REF!)/(2*#REF!/1000),"")</f>
        <v/>
      </c>
      <c r="CT73" s="102">
        <v>58</v>
      </c>
      <c r="CU73" s="102">
        <v>60.900000000000006</v>
      </c>
      <c r="CV73" s="102">
        <v>60.59</v>
      </c>
      <c r="CW73" s="102">
        <v>7.1139999999999999</v>
      </c>
      <c r="CX73" s="102">
        <v>7.1189999999999998</v>
      </c>
      <c r="CY73" s="102">
        <v>33</v>
      </c>
      <c r="CZ73" s="108">
        <f>IFERROR(TOWER_DATA[[#This Row],[Top '[m']]]-TOWER_DATA[[#This Row],[Bottom '[m']]], "")</f>
        <v>0.31000000000000227</v>
      </c>
      <c r="DA73" s="108">
        <f>IFERROR(-(TOWER_DATA[[#This Row],[D, bottom '[m']]]-TOWER_DATA[[#This Row],[D, top '[m']]])/(TOWER_DATA[[#This Row],[Bottom '[m']]]-TOWER_DATA[[#This Row],[Top '[m']]]),"")</f>
        <v>1.6129032258064054E-2</v>
      </c>
      <c r="DB73" s="108">
        <f t="shared" si="2"/>
        <v>1.7870761604983658</v>
      </c>
      <c r="DC73" s="108">
        <f>IFERROR((TOWER_DATA[[#This Row],[D, bottom '[m']]]+TOWER_DATA[[#This Row],[D, top '[m']]])/(2*TOWER_DATA[[#This Row],[t '[mm']]]/1000),"")</f>
        <v>215.65151515151516</v>
      </c>
      <c r="DD73" s="108" t="str">
        <f>IFERROR((TOWER_DATA[[#This Row],[D, bottom '[m']]]+#REF!)/(2*#REF!/1000),"")</f>
        <v/>
      </c>
      <c r="DE73" s="110" t="s">
        <v>256</v>
      </c>
      <c r="DF73" s="110">
        <v>30.900000000000002</v>
      </c>
      <c r="DG73" s="110">
        <v>30.900000000000002</v>
      </c>
      <c r="DH73" s="110">
        <v>158</v>
      </c>
      <c r="DI73" s="110"/>
      <c r="DJ73" s="110"/>
      <c r="DK73" s="110"/>
      <c r="DL73" s="110"/>
      <c r="DM73" s="110"/>
      <c r="DW73" s="105">
        <v>58</v>
      </c>
      <c r="DX73" s="105">
        <v>60.900000000000006</v>
      </c>
      <c r="DY73" s="105">
        <v>60.59</v>
      </c>
      <c r="DZ73" s="105">
        <v>7.1139999999999999</v>
      </c>
      <c r="EA73" s="105">
        <v>7.1189999999999998</v>
      </c>
      <c r="EB73" s="105">
        <v>33</v>
      </c>
      <c r="ED73" s="111" t="s">
        <v>256</v>
      </c>
      <c r="EE73" s="111">
        <v>30.900000000000002</v>
      </c>
      <c r="EF73" s="111">
        <v>30.900000000000002</v>
      </c>
      <c r="EG73" s="111">
        <v>158</v>
      </c>
      <c r="EH73" s="111"/>
      <c r="EI73" s="111"/>
      <c r="EJ73" s="111"/>
      <c r="EK73" s="111"/>
      <c r="EL73" s="111"/>
      <c r="EU73" s="108"/>
      <c r="EV73" s="108"/>
    </row>
    <row r="74" spans="6:152" x14ac:dyDescent="0.3">
      <c r="F74" s="108"/>
      <c r="G74" s="108"/>
      <c r="H74" s="108"/>
      <c r="I74" s="108"/>
      <c r="J74" s="108"/>
      <c r="K74" s="108"/>
      <c r="L74" s="108" t="str">
        <f>IFERROR(MP_DATA[[#This Row],[Bottom '[m']]]-MP_DATA[[#This Row],[D, top '[m']]], "")</f>
        <v/>
      </c>
      <c r="M74" s="108" t="str">
        <f>IFERROR(-(MP_DATA[[#This Row],[D, bottom '[m']]]-MP_DATA[[#This Row],[D, top '[m']]])/(MP_DATA[[#This Row],[Bottom '[m']]]-MP_DATA[[#This Row],[Top '[m']]]),"")</f>
        <v/>
      </c>
      <c r="N74" s="108" t="str">
        <f t="shared" si="3"/>
        <v/>
      </c>
      <c r="O74" s="108" t="str">
        <f>IFERROR((MP_DATA[[#This Row],[D, bottom '[m']]]+MP_DATA[[#This Row],[D, top '[m']]])/(2*MP_DATA[[#This Row],[t '[mm']]]/1000),"")</f>
        <v/>
      </c>
      <c r="P74" s="108" t="str">
        <f>IFERROR((MP_DATA[[#This Row],[D, bottom '[m']]]+#REF!)/(2*#REF!/1000),"")</f>
        <v/>
      </c>
      <c r="BF74" s="108" t="str">
        <f>IFERROR(TP_DATA[[#This Row],[Bottom '[m']]]-TP_DATA[[#This Row],[D, top '[m']]], "")</f>
        <v/>
      </c>
      <c r="BG74" s="108" t="str">
        <f>IFERROR(-(TP_DATA[[#This Row],[D, bottom '[m']]]-TP_DATA[[#This Row],[D, top '[m']]])/(TP_DATA[[#This Row],[Bottom '[m']]]-TP_DATA[[#This Row],[Top '[m']]]),"")</f>
        <v/>
      </c>
      <c r="BH74" s="108" t="str">
        <f t="shared" si="1"/>
        <v/>
      </c>
      <c r="BI74" s="108" t="str">
        <f>IFERROR((TP_DATA[[#This Row],[D, bottom '[m']]]+TP_DATA[[#This Row],[D, top '[m']]])/(2*TP_DATA[[#This Row],[t '[mm']]]/1000),"")</f>
        <v/>
      </c>
      <c r="BJ74" s="108" t="str">
        <f>IFERROR((TP_DATA[[#This Row],[D, bottom '[m']]]+#REF!)/(2*#REF!/1000),"")</f>
        <v/>
      </c>
      <c r="CT74" s="102">
        <v>59</v>
      </c>
      <c r="CU74" s="102">
        <v>60.59</v>
      </c>
      <c r="CV74" s="102">
        <v>57.896000000000001</v>
      </c>
      <c r="CW74" s="102">
        <v>7.1189999999999998</v>
      </c>
      <c r="CX74" s="102">
        <v>7.1619999999999999</v>
      </c>
      <c r="CY74" s="102">
        <v>33</v>
      </c>
      <c r="CZ74" s="108">
        <f>IFERROR(TOWER_DATA[[#This Row],[Top '[m']]]-TOWER_DATA[[#This Row],[Bottom '[m']]], "")</f>
        <v>2.6940000000000026</v>
      </c>
      <c r="DA74" s="108">
        <f>IFERROR(-(TOWER_DATA[[#This Row],[D, bottom '[m']]]-TOWER_DATA[[#This Row],[D, top '[m']]])/(TOWER_DATA[[#This Row],[Bottom '[m']]]-TOWER_DATA[[#This Row],[Top '[m']]]),"")</f>
        <v>1.5961395694135155E-2</v>
      </c>
      <c r="DB74" s="108">
        <f t="shared" si="2"/>
        <v>15.582887276036354</v>
      </c>
      <c r="DC74" s="108">
        <f>IFERROR((TOWER_DATA[[#This Row],[D, bottom '[m']]]+TOWER_DATA[[#This Row],[D, top '[m']]])/(2*TOWER_DATA[[#This Row],[t '[mm']]]/1000),"")</f>
        <v>216.37878787878785</v>
      </c>
      <c r="DD74" s="108" t="str">
        <f>IFERROR((TOWER_DATA[[#This Row],[D, bottom '[m']]]+#REF!)/(2*#REF!/1000),"")</f>
        <v/>
      </c>
      <c r="DE74" s="110" t="s">
        <v>256</v>
      </c>
      <c r="DF74" s="110">
        <v>29.121000000000002</v>
      </c>
      <c r="DG74" s="110">
        <v>29.121000000000002</v>
      </c>
      <c r="DH74" s="110">
        <v>158</v>
      </c>
      <c r="DI74" s="110"/>
      <c r="DJ74" s="110"/>
      <c r="DK74" s="110"/>
      <c r="DL74" s="110"/>
      <c r="DM74" s="110"/>
      <c r="DW74" s="105">
        <v>59</v>
      </c>
      <c r="DX74" s="105">
        <v>60.59</v>
      </c>
      <c r="DY74" s="105">
        <v>57.896000000000001</v>
      </c>
      <c r="DZ74" s="105">
        <v>7.1189999999999998</v>
      </c>
      <c r="EA74" s="105">
        <v>7.1619999999999999</v>
      </c>
      <c r="EB74" s="105">
        <v>33</v>
      </c>
      <c r="ED74" s="111" t="s">
        <v>256</v>
      </c>
      <c r="EE74" s="111">
        <v>29.121000000000002</v>
      </c>
      <c r="EF74" s="111">
        <v>29.121000000000002</v>
      </c>
      <c r="EG74" s="111">
        <v>158</v>
      </c>
      <c r="EH74" s="111"/>
      <c r="EI74" s="111"/>
      <c r="EJ74" s="111"/>
      <c r="EK74" s="111"/>
      <c r="EL74" s="111"/>
      <c r="EU74" s="108"/>
      <c r="EV74" s="108"/>
    </row>
    <row r="75" spans="6:152" x14ac:dyDescent="0.3">
      <c r="F75" s="108"/>
      <c r="G75" s="108"/>
      <c r="H75" s="108"/>
      <c r="I75" s="108"/>
      <c r="J75" s="108"/>
      <c r="K75" s="108"/>
      <c r="L75" s="108" t="str">
        <f>IFERROR(MP_DATA[[#This Row],[Bottom '[m']]]-MP_DATA[[#This Row],[D, top '[m']]], "")</f>
        <v/>
      </c>
      <c r="M75" s="108" t="str">
        <f>IFERROR(-(MP_DATA[[#This Row],[D, bottom '[m']]]-MP_DATA[[#This Row],[D, top '[m']]])/(MP_DATA[[#This Row],[Bottom '[m']]]-MP_DATA[[#This Row],[Top '[m']]]),"")</f>
        <v/>
      </c>
      <c r="N75" s="108" t="str">
        <f t="shared" si="3"/>
        <v/>
      </c>
      <c r="O75" s="108" t="str">
        <f>IFERROR((MP_DATA[[#This Row],[D, bottom '[m']]]+MP_DATA[[#This Row],[D, top '[m']]])/(2*MP_DATA[[#This Row],[t '[mm']]]/1000),"")</f>
        <v/>
      </c>
      <c r="P75" s="108" t="str">
        <f>IFERROR((MP_DATA[[#This Row],[D, bottom '[m']]]+#REF!)/(2*#REF!/1000),"")</f>
        <v/>
      </c>
      <c r="BF75" s="108" t="str">
        <f>IFERROR(TP_DATA[[#This Row],[Bottom '[m']]]-TP_DATA[[#This Row],[D, top '[m']]], "")</f>
        <v/>
      </c>
      <c r="BG75" s="108" t="str">
        <f>IFERROR(-(TP_DATA[[#This Row],[D, bottom '[m']]]-TP_DATA[[#This Row],[D, top '[m']]])/(TP_DATA[[#This Row],[Bottom '[m']]]-TP_DATA[[#This Row],[Top '[m']]]),"")</f>
        <v/>
      </c>
      <c r="BH75" s="108" t="str">
        <f t="shared" si="1"/>
        <v/>
      </c>
      <c r="BI75" s="108" t="str">
        <f>IFERROR((TP_DATA[[#This Row],[D, bottom '[m']]]+TP_DATA[[#This Row],[D, top '[m']]])/(2*TP_DATA[[#This Row],[t '[mm']]]/1000),"")</f>
        <v/>
      </c>
      <c r="BJ75" s="108" t="str">
        <f>IFERROR((TP_DATA[[#This Row],[D, bottom '[m']]]+#REF!)/(2*#REF!/1000),"")</f>
        <v/>
      </c>
      <c r="CT75" s="102">
        <v>60</v>
      </c>
      <c r="CU75" s="102">
        <v>57.896000000000001</v>
      </c>
      <c r="CV75" s="102">
        <v>57.872</v>
      </c>
      <c r="CW75" s="102">
        <v>7.1619999999999999</v>
      </c>
      <c r="CX75" s="102">
        <v>7.1630000000000003</v>
      </c>
      <c r="CY75" s="102">
        <v>33</v>
      </c>
      <c r="CZ75" s="108">
        <f>IFERROR(TOWER_DATA[[#This Row],[Top '[m']]]-TOWER_DATA[[#This Row],[Bottom '[m']]], "")</f>
        <v>2.4000000000000909E-2</v>
      </c>
      <c r="DA75" s="108">
        <f>IFERROR(-(TOWER_DATA[[#This Row],[D, bottom '[m']]]-TOWER_DATA[[#This Row],[D, top '[m']]])/(TOWER_DATA[[#This Row],[Bottom '[m']]]-TOWER_DATA[[#This Row],[Top '[m']]]),"")</f>
        <v>4.1666666666679002E-2</v>
      </c>
      <c r="DB75" s="108">
        <f t="shared" si="2"/>
        <v>0.13925275124633829</v>
      </c>
      <c r="DC75" s="108">
        <f>IFERROR((TOWER_DATA[[#This Row],[D, bottom '[m']]]+TOWER_DATA[[#This Row],[D, top '[m']]])/(2*TOWER_DATA[[#This Row],[t '[mm']]]/1000),"")</f>
        <v>217.04545454545453</v>
      </c>
      <c r="DD75" s="108" t="str">
        <f>IFERROR((TOWER_DATA[[#This Row],[D, bottom '[m']]]+#REF!)/(2*#REF!/1000),"")</f>
        <v/>
      </c>
      <c r="DE75" s="110" t="s">
        <v>256</v>
      </c>
      <c r="DF75" s="110">
        <v>25.050000000000004</v>
      </c>
      <c r="DG75" s="110">
        <v>25.050000000000004</v>
      </c>
      <c r="DH75" s="110">
        <v>86</v>
      </c>
      <c r="DI75" s="110"/>
      <c r="DJ75" s="110"/>
      <c r="DK75" s="110"/>
      <c r="DL75" s="110"/>
      <c r="DM75" s="110"/>
      <c r="DW75" s="105">
        <v>60</v>
      </c>
      <c r="DX75" s="105">
        <v>57.896000000000001</v>
      </c>
      <c r="DY75" s="105">
        <v>57.872</v>
      </c>
      <c r="DZ75" s="105">
        <v>7.1619999999999999</v>
      </c>
      <c r="EA75" s="105">
        <v>7.1630000000000003</v>
      </c>
      <c r="EB75" s="105">
        <v>33</v>
      </c>
      <c r="ED75" s="111" t="s">
        <v>256</v>
      </c>
      <c r="EE75" s="111">
        <v>25.050000000000004</v>
      </c>
      <c r="EF75" s="111">
        <v>25.050000000000004</v>
      </c>
      <c r="EG75" s="111">
        <v>86</v>
      </c>
      <c r="EH75" s="111"/>
      <c r="EI75" s="111"/>
      <c r="EJ75" s="111"/>
      <c r="EK75" s="111"/>
      <c r="EL75" s="111"/>
      <c r="EU75" s="108"/>
      <c r="EV75" s="108"/>
    </row>
    <row r="76" spans="6:152" x14ac:dyDescent="0.3">
      <c r="F76" s="108"/>
      <c r="G76" s="108"/>
      <c r="H76" s="108"/>
      <c r="I76" s="108"/>
      <c r="J76" s="108"/>
      <c r="K76" s="108"/>
      <c r="L76" s="108" t="str">
        <f>IFERROR(MP_DATA[[#This Row],[Bottom '[m']]]-MP_DATA[[#This Row],[D, top '[m']]], "")</f>
        <v/>
      </c>
      <c r="M76" s="108" t="str">
        <f>IFERROR(-(MP_DATA[[#This Row],[D, bottom '[m']]]-MP_DATA[[#This Row],[D, top '[m']]])/(MP_DATA[[#This Row],[Bottom '[m']]]-MP_DATA[[#This Row],[Top '[m']]]),"")</f>
        <v/>
      </c>
      <c r="N76" s="108" t="str">
        <f t="shared" si="3"/>
        <v/>
      </c>
      <c r="O76" s="108" t="str">
        <f>IFERROR((MP_DATA[[#This Row],[D, bottom '[m']]]+MP_DATA[[#This Row],[D, top '[m']]])/(2*MP_DATA[[#This Row],[t '[mm']]]/1000),"")</f>
        <v/>
      </c>
      <c r="P76" s="108" t="str">
        <f>IFERROR((MP_DATA[[#This Row],[D, bottom '[m']]]+#REF!)/(2*#REF!/1000),"")</f>
        <v/>
      </c>
      <c r="BF76" s="108" t="str">
        <f>IFERROR(TP_DATA[[#This Row],[Bottom '[m']]]-TP_DATA[[#This Row],[D, top '[m']]], "")</f>
        <v/>
      </c>
      <c r="BG76" s="108" t="str">
        <f>IFERROR(-(TP_DATA[[#This Row],[D, bottom '[m']]]-TP_DATA[[#This Row],[D, top '[m']]])/(TP_DATA[[#This Row],[Bottom '[m']]]-TP_DATA[[#This Row],[Top '[m']]]),"")</f>
        <v/>
      </c>
      <c r="BH76" s="108" t="str">
        <f t="shared" si="1"/>
        <v/>
      </c>
      <c r="BI76" s="108" t="str">
        <f>IFERROR((TP_DATA[[#This Row],[D, bottom '[m']]]+TP_DATA[[#This Row],[D, top '[m']]])/(2*TP_DATA[[#This Row],[t '[mm']]]/1000),"")</f>
        <v/>
      </c>
      <c r="BJ76" s="108" t="str">
        <f>IFERROR((TP_DATA[[#This Row],[D, bottom '[m']]]+#REF!)/(2*#REF!/1000),"")</f>
        <v/>
      </c>
      <c r="CT76" s="102">
        <v>61</v>
      </c>
      <c r="CU76" s="102">
        <v>57.872</v>
      </c>
      <c r="CV76" s="102">
        <v>55.153999999999996</v>
      </c>
      <c r="CW76" s="102">
        <v>7.1630000000000003</v>
      </c>
      <c r="CX76" s="102">
        <v>7.21</v>
      </c>
      <c r="CY76" s="102">
        <v>34</v>
      </c>
      <c r="CZ76" s="108">
        <f>IFERROR(TOWER_DATA[[#This Row],[Top '[m']]]-TOWER_DATA[[#This Row],[Bottom '[m']]], "")</f>
        <v>2.7180000000000035</v>
      </c>
      <c r="DA76" s="108">
        <f>IFERROR(-(TOWER_DATA[[#This Row],[D, bottom '[m']]]-TOWER_DATA[[#This Row],[D, top '[m']]])/(TOWER_DATA[[#This Row],[Bottom '[m']]]-TOWER_DATA[[#This Row],[Top '[m']]]),"")</f>
        <v>1.7292126563649615E-2</v>
      </c>
      <c r="DB76" s="108">
        <f t="shared" si="2"/>
        <v>16.300681633570363</v>
      </c>
      <c r="DC76" s="108">
        <f>IFERROR((TOWER_DATA[[#This Row],[D, bottom '[m']]]+TOWER_DATA[[#This Row],[D, top '[m']]])/(2*TOWER_DATA[[#This Row],[t '[mm']]]/1000),"")</f>
        <v>211.36764705882354</v>
      </c>
      <c r="DD76" s="108" t="str">
        <f>IFERROR((TOWER_DATA[[#This Row],[D, bottom '[m']]]+#REF!)/(2*#REF!/1000),"")</f>
        <v/>
      </c>
      <c r="DE76" s="110" t="s">
        <v>256</v>
      </c>
      <c r="DF76" s="110">
        <v>25.011000000000003</v>
      </c>
      <c r="DG76" s="110">
        <v>25.011000000000003</v>
      </c>
      <c r="DH76" s="110">
        <v>688</v>
      </c>
      <c r="DI76" s="110"/>
      <c r="DJ76" s="110"/>
      <c r="DK76" s="110"/>
      <c r="DL76" s="110"/>
      <c r="DM76" s="110"/>
      <c r="DW76" s="105">
        <v>61</v>
      </c>
      <c r="DX76" s="105">
        <v>57.872</v>
      </c>
      <c r="DY76" s="105">
        <v>55.153999999999996</v>
      </c>
      <c r="DZ76" s="105">
        <v>7.1630000000000003</v>
      </c>
      <c r="EA76" s="105">
        <v>7.21</v>
      </c>
      <c r="EB76" s="105">
        <v>34</v>
      </c>
      <c r="ED76" s="111" t="s">
        <v>256</v>
      </c>
      <c r="EE76" s="111">
        <v>25.011000000000003</v>
      </c>
      <c r="EF76" s="111">
        <v>25.011000000000003</v>
      </c>
      <c r="EG76" s="111">
        <v>688</v>
      </c>
      <c r="EH76" s="111"/>
      <c r="EI76" s="111"/>
      <c r="EJ76" s="111"/>
      <c r="EK76" s="111"/>
      <c r="EL76" s="111"/>
      <c r="EU76" s="108"/>
      <c r="EV76" s="108"/>
    </row>
    <row r="77" spans="6:152" x14ac:dyDescent="0.3">
      <c r="F77" s="108"/>
      <c r="H77" s="108"/>
      <c r="J77" s="108"/>
      <c r="L77" s="108" t="str">
        <f>IFERROR(MP_DATA[[#This Row],[Bottom '[m']]]-MP_DATA[[#This Row],[D, top '[m']]], "")</f>
        <v/>
      </c>
      <c r="M77" s="95" t="str">
        <f>IFERROR(-(MP_DATA[[#This Row],[D, bottom '[m']]]-MP_DATA[[#This Row],[D, top '[m']]])/(MP_DATA[[#This Row],[Bottom '[m']]]-MP_DATA[[#This Row],[Top '[m']]]),"")</f>
        <v/>
      </c>
      <c r="N77" s="108" t="str">
        <f t="shared" si="3"/>
        <v/>
      </c>
      <c r="O77" s="108" t="str">
        <f>IFERROR((MP_DATA[[#This Row],[D, bottom '[m']]]+MP_DATA[[#This Row],[D, top '[m']]])/(2*MP_DATA[[#This Row],[t '[mm']]]/1000),"")</f>
        <v/>
      </c>
      <c r="P77" s="108" t="str">
        <f>IFERROR((MP_DATA[[#This Row],[D, bottom '[m']]]+#REF!)/(2*#REF!/1000),"")</f>
        <v/>
      </c>
      <c r="BF77" s="108" t="str">
        <f>IFERROR(TP_DATA[[#This Row],[Bottom '[m']]]-TP_DATA[[#This Row],[D, top '[m']]], "")</f>
        <v/>
      </c>
      <c r="BG77" s="108" t="str">
        <f>IFERROR(-(TP_DATA[[#This Row],[D, bottom '[m']]]-TP_DATA[[#This Row],[D, top '[m']]])/(TP_DATA[[#This Row],[Bottom '[m']]]-TP_DATA[[#This Row],[Top '[m']]]),"")</f>
        <v/>
      </c>
      <c r="BH77" s="108" t="str">
        <f t="shared" si="1"/>
        <v/>
      </c>
      <c r="BI77" s="108" t="str">
        <f>IFERROR((TP_DATA[[#This Row],[D, bottom '[m']]]+TP_DATA[[#This Row],[D, top '[m']]])/(2*TP_DATA[[#This Row],[t '[mm']]]/1000),"")</f>
        <v/>
      </c>
      <c r="BJ77" s="108" t="str">
        <f>IFERROR((TP_DATA[[#This Row],[D, bottom '[m']]]+#REF!)/(2*#REF!/1000),"")</f>
        <v/>
      </c>
      <c r="CT77" s="102">
        <v>62</v>
      </c>
      <c r="CU77" s="102">
        <v>55.153999999999996</v>
      </c>
      <c r="CV77" s="102">
        <v>53.786000000000001</v>
      </c>
      <c r="CW77" s="102">
        <v>7.21</v>
      </c>
      <c r="CX77" s="102">
        <v>7.2309999999999999</v>
      </c>
      <c r="CY77" s="102">
        <v>38.199999999999996</v>
      </c>
      <c r="CZ77" s="108">
        <f>IFERROR(TOWER_DATA[[#This Row],[Top '[m']]]-TOWER_DATA[[#This Row],[Bottom '[m']]], "")</f>
        <v>1.367999999999995</v>
      </c>
      <c r="DA77" s="108">
        <f>IFERROR(-(TOWER_DATA[[#This Row],[D, bottom '[m']]]-TOWER_DATA[[#This Row],[D, top '[m']]])/(TOWER_DATA[[#This Row],[Bottom '[m']]]-TOWER_DATA[[#This Row],[Top '[m']]]),"")</f>
        <v>1.5350877192982445E-2</v>
      </c>
      <c r="DB77" s="108">
        <f t="shared" si="2"/>
        <v>9.2561957628509823</v>
      </c>
      <c r="DC77" s="108">
        <f>IFERROR((TOWER_DATA[[#This Row],[D, bottom '[m']]]+TOWER_DATA[[#This Row],[D, top '[m']]])/(2*TOWER_DATA[[#This Row],[t '[mm']]]/1000),"")</f>
        <v>189.01832460732984</v>
      </c>
      <c r="DD77" s="108" t="str">
        <f>IFERROR((TOWER_DATA[[#This Row],[D, bottom '[m']]]+#REF!)/(2*#REF!/1000),"")</f>
        <v/>
      </c>
      <c r="DE77" s="110" t="s">
        <v>256</v>
      </c>
      <c r="DF77" s="110">
        <v>22.12</v>
      </c>
      <c r="DG77" s="110">
        <v>22.12</v>
      </c>
      <c r="DH77" s="110">
        <v>13900</v>
      </c>
      <c r="DI77" s="110"/>
      <c r="DJ77" s="110"/>
      <c r="DK77" s="110"/>
      <c r="DL77" s="110"/>
      <c r="DM77" s="110"/>
      <c r="DW77" s="105">
        <v>62</v>
      </c>
      <c r="DX77" s="105">
        <v>55.153999999999996</v>
      </c>
      <c r="DY77" s="105">
        <v>53.786000000000001</v>
      </c>
      <c r="DZ77" s="105">
        <v>7.21</v>
      </c>
      <c r="EA77" s="105">
        <v>7.2309999999999999</v>
      </c>
      <c r="EB77" s="105">
        <v>38.199999999999996</v>
      </c>
      <c r="ED77" s="111" t="s">
        <v>256</v>
      </c>
      <c r="EE77" s="111">
        <v>22.12</v>
      </c>
      <c r="EF77" s="111">
        <v>22.12</v>
      </c>
      <c r="EG77" s="111">
        <v>13900</v>
      </c>
      <c r="EH77" s="111"/>
      <c r="EI77" s="111"/>
      <c r="EJ77" s="111"/>
      <c r="EK77" s="111"/>
      <c r="EL77" s="111"/>
      <c r="EU77" s="108"/>
      <c r="EV77" s="108"/>
    </row>
    <row r="78" spans="6:152" x14ac:dyDescent="0.3">
      <c r="F78" s="108"/>
      <c r="H78" s="108"/>
      <c r="J78" s="108"/>
      <c r="L78" s="108" t="str">
        <f>IFERROR(MP_DATA[[#This Row],[Bottom '[m']]]-MP_DATA[[#This Row],[D, top '[m']]], "")</f>
        <v/>
      </c>
      <c r="M78" s="95" t="str">
        <f>IFERROR(-(MP_DATA[[#This Row],[D, bottom '[m']]]-MP_DATA[[#This Row],[D, top '[m']]])/(MP_DATA[[#This Row],[Bottom '[m']]]-MP_DATA[[#This Row],[Top '[m']]]),"")</f>
        <v/>
      </c>
      <c r="N78" s="108" t="str">
        <f t="shared" si="3"/>
        <v/>
      </c>
      <c r="O78" s="108" t="str">
        <f>IFERROR((MP_DATA[[#This Row],[D, bottom '[m']]]+MP_DATA[[#This Row],[D, top '[m']]])/(2*MP_DATA[[#This Row],[t '[mm']]]/1000),"")</f>
        <v/>
      </c>
      <c r="P78" s="108" t="str">
        <f>IFERROR((MP_DATA[[#This Row],[D, bottom '[m']]]+#REF!)/(2*#REF!/1000),"")</f>
        <v/>
      </c>
      <c r="BF78" s="108" t="str">
        <f>IFERROR(TP_DATA[[#This Row],[Bottom '[m']]]-TP_DATA[[#This Row],[D, top '[m']]], "")</f>
        <v/>
      </c>
      <c r="BG78" s="108" t="str">
        <f>IFERROR(-(TP_DATA[[#This Row],[D, bottom '[m']]]-TP_DATA[[#This Row],[D, top '[m']]])/(TP_DATA[[#This Row],[Bottom '[m']]]-TP_DATA[[#This Row],[Top '[m']]]),"")</f>
        <v/>
      </c>
      <c r="BH78" s="108" t="str">
        <f t="shared" si="1"/>
        <v/>
      </c>
      <c r="BI78" s="108" t="str">
        <f>IFERROR((TP_DATA[[#This Row],[D, bottom '[m']]]+TP_DATA[[#This Row],[D, top '[m']]])/(2*TP_DATA[[#This Row],[t '[mm']]]/1000),"")</f>
        <v/>
      </c>
      <c r="BJ78" s="108" t="str">
        <f>IFERROR((TP_DATA[[#This Row],[D, bottom '[m']]]+#REF!)/(2*#REF!/1000),"")</f>
        <v/>
      </c>
      <c r="CT78" s="102">
        <v>63</v>
      </c>
      <c r="CU78" s="102">
        <v>53.786000000000001</v>
      </c>
      <c r="CV78" s="102">
        <v>52.436000000000007</v>
      </c>
      <c r="CW78" s="102">
        <v>7.2309999999999999</v>
      </c>
      <c r="CX78" s="102">
        <v>7.2519999999999998</v>
      </c>
      <c r="CY78" s="102">
        <v>38.199999999999996</v>
      </c>
      <c r="CZ78" s="108">
        <f>IFERROR(TOWER_DATA[[#This Row],[Top '[m']]]-TOWER_DATA[[#This Row],[Bottom '[m']]], "")</f>
        <v>1.3499999999999943</v>
      </c>
      <c r="DA78" s="108">
        <f>IFERROR(-(TOWER_DATA[[#This Row],[D, bottom '[m']]]-TOWER_DATA[[#This Row],[D, top '[m']]])/(TOWER_DATA[[#This Row],[Bottom '[m']]]-TOWER_DATA[[#This Row],[Top '[m']]]),"")</f>
        <v>1.5555555555555553E-2</v>
      </c>
      <c r="DB78" s="108">
        <f t="shared" si="2"/>
        <v>9.1611113805187827</v>
      </c>
      <c r="DC78" s="108">
        <f>IFERROR((TOWER_DATA[[#This Row],[D, bottom '[m']]]+TOWER_DATA[[#This Row],[D, top '[m']]])/(2*TOWER_DATA[[#This Row],[t '[mm']]]/1000),"")</f>
        <v>189.56806282722516</v>
      </c>
      <c r="DD78" s="108" t="str">
        <f>IFERROR((TOWER_DATA[[#This Row],[D, bottom '[m']]]+#REF!)/(2*#REF!/1000),"")</f>
        <v/>
      </c>
      <c r="DE78" s="110" t="s">
        <v>256</v>
      </c>
      <c r="DF78" s="110">
        <v>21.14</v>
      </c>
      <c r="DG78" s="110">
        <v>21.14</v>
      </c>
      <c r="DH78" s="110">
        <v>53</v>
      </c>
      <c r="DI78" s="110"/>
      <c r="DJ78" s="110"/>
      <c r="DK78" s="110"/>
      <c r="DL78" s="110"/>
      <c r="DM78" s="110"/>
      <c r="DW78" s="105">
        <v>63</v>
      </c>
      <c r="DX78" s="105">
        <v>53.786000000000001</v>
      </c>
      <c r="DY78" s="105">
        <v>52.436000000000007</v>
      </c>
      <c r="DZ78" s="105">
        <v>7.2309999999999999</v>
      </c>
      <c r="EA78" s="105">
        <v>7.2519999999999998</v>
      </c>
      <c r="EB78" s="105">
        <v>38.199999999999996</v>
      </c>
      <c r="ED78" s="111" t="s">
        <v>256</v>
      </c>
      <c r="EE78" s="111">
        <v>21.14</v>
      </c>
      <c r="EF78" s="111">
        <v>21.14</v>
      </c>
      <c r="EG78" s="111">
        <v>53</v>
      </c>
      <c r="EH78" s="111"/>
      <c r="EI78" s="111"/>
      <c r="EJ78" s="111"/>
      <c r="EK78" s="111"/>
      <c r="EL78" s="111"/>
      <c r="EU78" s="108"/>
      <c r="EV78" s="108"/>
    </row>
    <row r="79" spans="6:152" x14ac:dyDescent="0.3">
      <c r="F79" s="108"/>
      <c r="H79" s="108"/>
      <c r="J79" s="108"/>
      <c r="L79" s="108" t="str">
        <f>IFERROR(MP_DATA[[#This Row],[Bottom '[m']]]-MP_DATA[[#This Row],[D, top '[m']]], "")</f>
        <v/>
      </c>
      <c r="M79" s="95" t="str">
        <f>IFERROR(-(MP_DATA[[#This Row],[D, bottom '[m']]]-MP_DATA[[#This Row],[D, top '[m']]])/(MP_DATA[[#This Row],[Bottom '[m']]]-MP_DATA[[#This Row],[Top '[m']]]),"")</f>
        <v/>
      </c>
      <c r="N79" s="108" t="str">
        <f t="shared" ref="N79:N110" si="4">IF(7850/1000*(1/3)*PI()*ABS(G138-H138)*((I138/2)^2+(I138/2)*(J138/2)+(J138/2)^2-(I138/2-K138/1000)^2-(I138/2-K138/1000)*(J138/2-K138/1000)-(J138/2-K138/1000)^2)=0,"",7850/1000*(1/3)*PI()*ABS(G138-H138)*((I138/2)^2+(I138/2)*(J138/2)+(J138/2)^2-(I138/2-K138/1000)^2-(I138/2-K138/1000)*(J138/2-K138/1000)-(J138/2-K138/1000)^2))</f>
        <v/>
      </c>
      <c r="O79" s="108" t="str">
        <f>IFERROR((MP_DATA[[#This Row],[D, bottom '[m']]]+MP_DATA[[#This Row],[D, top '[m']]])/(2*MP_DATA[[#This Row],[t '[mm']]]/1000),"")</f>
        <v/>
      </c>
      <c r="P79" s="108" t="str">
        <f>IFERROR((MP_DATA[[#This Row],[D, bottom '[m']]]+#REF!)/(2*#REF!/1000),"")</f>
        <v/>
      </c>
      <c r="BF79" s="108" t="str">
        <f>IFERROR(TP_DATA[[#This Row],[Bottom '[m']]]-TP_DATA[[#This Row],[D, top '[m']]], "")</f>
        <v/>
      </c>
      <c r="BG79" s="108" t="str">
        <f>IFERROR(-(TP_DATA[[#This Row],[D, bottom '[m']]]-TP_DATA[[#This Row],[D, top '[m']]])/(TP_DATA[[#This Row],[Bottom '[m']]]-TP_DATA[[#This Row],[Top '[m']]]),"")</f>
        <v/>
      </c>
      <c r="BH79" s="108" t="str">
        <f t="shared" si="1"/>
        <v/>
      </c>
      <c r="BI79" s="108" t="str">
        <f>IFERROR((TP_DATA[[#This Row],[D, bottom '[m']]]+TP_DATA[[#This Row],[D, top '[m']]])/(2*TP_DATA[[#This Row],[t '[mm']]]/1000),"")</f>
        <v/>
      </c>
      <c r="BJ79" s="108" t="str">
        <f>IFERROR((TP_DATA[[#This Row],[D, bottom '[m']]]+#REF!)/(2*#REF!/1000),"")</f>
        <v/>
      </c>
      <c r="CT79" s="102">
        <v>64</v>
      </c>
      <c r="CU79" s="102">
        <v>52.436000000000007</v>
      </c>
      <c r="CV79" s="102">
        <v>50.900000000000006</v>
      </c>
      <c r="CW79" s="102">
        <v>7.2519999999999998</v>
      </c>
      <c r="CX79" s="102">
        <v>7.2770000000000001</v>
      </c>
      <c r="CY79" s="102">
        <v>38.199999999999996</v>
      </c>
      <c r="CZ79" s="108">
        <f>IFERROR(TOWER_DATA[[#This Row],[Top '[m']]]-TOWER_DATA[[#This Row],[Bottom '[m']]], "")</f>
        <v>1.5360000000000014</v>
      </c>
      <c r="DA79" s="108">
        <f>IFERROR(-(TOWER_DATA[[#This Row],[D, bottom '[m']]]-TOWER_DATA[[#This Row],[D, top '[m']]])/(TOWER_DATA[[#This Row],[Bottom '[m']]]-TOWER_DATA[[#This Row],[Top '[m']]]),"")</f>
        <v>1.6276041666666883E-2</v>
      </c>
      <c r="DB79" s="108">
        <f t="shared" si="2"/>
        <v>10.456590375877102</v>
      </c>
      <c r="DC79" s="108">
        <f>IFERROR((TOWER_DATA[[#This Row],[D, bottom '[m']]]+TOWER_DATA[[#This Row],[D, top '[m']]])/(2*TOWER_DATA[[#This Row],[t '[mm']]]/1000),"")</f>
        <v>190.17015706806285</v>
      </c>
      <c r="DD79" s="108" t="str">
        <f>IFERROR((TOWER_DATA[[#This Row],[D, bottom '[m']]]+#REF!)/(2*#REF!/1000),"")</f>
        <v/>
      </c>
      <c r="DE79" s="110" t="s">
        <v>256</v>
      </c>
      <c r="DF79" s="110">
        <v>21.080000000000002</v>
      </c>
      <c r="DG79" s="110">
        <v>21.080000000000002</v>
      </c>
      <c r="DH79" s="110">
        <v>14132</v>
      </c>
      <c r="DI79" s="110"/>
      <c r="DJ79" s="110"/>
      <c r="DK79" s="110"/>
      <c r="DL79" s="110"/>
      <c r="DM79" s="110"/>
      <c r="DW79" s="105">
        <v>64</v>
      </c>
      <c r="DX79" s="105">
        <v>52.436000000000007</v>
      </c>
      <c r="DY79" s="105">
        <v>50.900000000000006</v>
      </c>
      <c r="DZ79" s="105">
        <v>7.2519999999999998</v>
      </c>
      <c r="EA79" s="105">
        <v>7.2770000000000001</v>
      </c>
      <c r="EB79" s="105">
        <v>38.199999999999996</v>
      </c>
      <c r="ED79" s="111" t="s">
        <v>256</v>
      </c>
      <c r="EE79" s="111">
        <v>21.080000000000002</v>
      </c>
      <c r="EF79" s="111">
        <v>21.080000000000002</v>
      </c>
      <c r="EG79" s="111">
        <v>14132</v>
      </c>
      <c r="EH79" s="111"/>
      <c r="EI79" s="111"/>
      <c r="EJ79" s="111"/>
      <c r="EK79" s="111"/>
      <c r="EL79" s="111"/>
      <c r="EU79" s="108"/>
      <c r="EV79" s="108"/>
    </row>
    <row r="80" spans="6:152" x14ac:dyDescent="0.3">
      <c r="F80" s="108"/>
      <c r="H80" s="108"/>
      <c r="J80" s="108"/>
      <c r="L80" s="108" t="str">
        <f>IFERROR(MP_DATA[[#This Row],[Bottom '[m']]]-MP_DATA[[#This Row],[D, top '[m']]], "")</f>
        <v/>
      </c>
      <c r="M80" s="95" t="str">
        <f>IFERROR(-(MP_DATA[[#This Row],[D, bottom '[m']]]-MP_DATA[[#This Row],[D, top '[m']]])/(MP_DATA[[#This Row],[Bottom '[m']]]-MP_DATA[[#This Row],[Top '[m']]]),"")</f>
        <v/>
      </c>
      <c r="N80" s="108" t="str">
        <f t="shared" si="4"/>
        <v/>
      </c>
      <c r="O80" s="108" t="str">
        <f>IFERROR((MP_DATA[[#This Row],[D, bottom '[m']]]+MP_DATA[[#This Row],[D, top '[m']]])/(2*MP_DATA[[#This Row],[t '[mm']]]/1000),"")</f>
        <v/>
      </c>
      <c r="P80" s="108" t="str">
        <f>IFERROR((MP_DATA[[#This Row],[D, bottom '[m']]]+#REF!)/(2*#REF!/1000),"")</f>
        <v/>
      </c>
      <c r="BF80" s="108" t="str">
        <f>IFERROR(TP_DATA[[#This Row],[Bottom '[m']]]-TP_DATA[[#This Row],[D, top '[m']]], "")</f>
        <v/>
      </c>
      <c r="BG80" s="108" t="str">
        <f>IFERROR(-(TP_DATA[[#This Row],[D, bottom '[m']]]-TP_DATA[[#This Row],[D, top '[m']]])/(TP_DATA[[#This Row],[Bottom '[m']]]-TP_DATA[[#This Row],[Top '[m']]]),"")</f>
        <v/>
      </c>
      <c r="BH80" s="108" t="str">
        <f t="shared" ref="BH80:BH86" si="5">IF(7850/1000*(1/3)*PI()*ABS(BA80-BB80)*((BC80/2)^2+(BC80/2)*(BD80/2)+(BD80/2)^2-(BC80/2-BE80/1000)^2-(BC80/2-BE80/1000)*(BD80/2-BE80/1000)-(BD80/2-BE80/1000)^2)=0,"",7850/1000*(1/3)*PI()*ABS(BA80-BB80)*((BC80/2)^2+(BC80/2)*(BD80/2)+(BD80/2)^2-(BC80/2-BE80/1000)^2-(BC80/2-BE80/1000)*(BD80/2-BE80/1000)-(BD80/2-BE80/1000)^2))</f>
        <v/>
      </c>
      <c r="BI80" s="108" t="str">
        <f>IFERROR((TP_DATA[[#This Row],[D, bottom '[m']]]+TP_DATA[[#This Row],[D, top '[m']]])/(2*TP_DATA[[#This Row],[t '[mm']]]/1000),"")</f>
        <v/>
      </c>
      <c r="BJ80" s="108" t="str">
        <f>IFERROR((TP_DATA[[#This Row],[D, bottom '[m']]]+#REF!)/(2*#REF!/1000),"")</f>
        <v/>
      </c>
      <c r="CT80" s="102">
        <v>65</v>
      </c>
      <c r="CU80" s="102">
        <v>50.900000000000006</v>
      </c>
      <c r="CV80" s="102">
        <v>49.718000000000004</v>
      </c>
      <c r="CW80" s="102">
        <v>7.2770000000000001</v>
      </c>
      <c r="CX80" s="102">
        <v>7.2919999999999998</v>
      </c>
      <c r="CY80" s="102">
        <v>38.199999999999996</v>
      </c>
      <c r="CZ80" s="108">
        <f>IFERROR(TOWER_DATA[[#This Row],[Top '[m']]]-TOWER_DATA[[#This Row],[Bottom '[m']]], "")</f>
        <v>1.1820000000000022</v>
      </c>
      <c r="DA80" s="108">
        <f>IFERROR(-(TOWER_DATA[[#This Row],[D, bottom '[m']]]-TOWER_DATA[[#This Row],[D, top '[m']]])/(TOWER_DATA[[#This Row],[Bottom '[m']]]-TOWER_DATA[[#This Row],[Top '[m']]]),"")</f>
        <v>1.2690355329948945E-2</v>
      </c>
      <c r="DB80" s="108">
        <f t="shared" ref="DB80:DB105" si="6">IF(7850/1000*(1/3)*PI()*ABS(CU80-CV80)*((CW80/2)^2+(CW80/2)*(CX80/2)+(CX80/2)^2-(CW80/2-CY80/1000)^2-(CW80/2-CY80/1000)*(CX80/2-CY80/1000)-(CX80/2-CY80/1000)^2)=0,"",7850/1000*(1/3)*PI()*ABS(CU80-CV80)*((CW80/2)^2+(CW80/2)*(CX80/2)+(CX80/2)^2-(CW80/2-CY80/1000)^2-(CW80/2-CY80/1000)*(CX80/2-CY80/1000)-(CX80/2-CY80/1000)^2))</f>
        <v>8.0689435830434757</v>
      </c>
      <c r="DC80" s="108">
        <f>IFERROR((TOWER_DATA[[#This Row],[D, bottom '[m']]]+TOWER_DATA[[#This Row],[D, top '[m']]])/(2*TOWER_DATA[[#This Row],[t '[mm']]]/1000),"")</f>
        <v>190.69371727748691</v>
      </c>
      <c r="DD80" s="108" t="str">
        <f>IFERROR((TOWER_DATA[[#This Row],[D, bottom '[m']]]+#REF!)/(2*#REF!/1000),"")</f>
        <v/>
      </c>
      <c r="DE80" s="110" t="s">
        <v>100</v>
      </c>
      <c r="DF80" s="110">
        <v>20.900000000000002</v>
      </c>
      <c r="DG80" s="110">
        <v>20.900000000000002</v>
      </c>
      <c r="DH80" s="110">
        <v>28000</v>
      </c>
      <c r="DI80" s="110"/>
      <c r="DJ80" s="110"/>
      <c r="DK80" s="110"/>
      <c r="DL80" s="110"/>
      <c r="DM80" s="110"/>
      <c r="DW80" s="105">
        <v>65</v>
      </c>
      <c r="DX80" s="105">
        <v>50.900000000000006</v>
      </c>
      <c r="DY80" s="105">
        <v>49.718000000000004</v>
      </c>
      <c r="DZ80" s="105">
        <v>7.2770000000000001</v>
      </c>
      <c r="EA80" s="105">
        <v>7.2919999999999998</v>
      </c>
      <c r="EB80" s="105">
        <v>38.199999999999996</v>
      </c>
      <c r="ED80" s="111" t="s">
        <v>100</v>
      </c>
      <c r="EE80" s="111">
        <v>20.900000000000002</v>
      </c>
      <c r="EF80" s="111">
        <v>20.900000000000002</v>
      </c>
      <c r="EG80" s="111">
        <v>28000</v>
      </c>
      <c r="EH80" s="111"/>
      <c r="EI80" s="111"/>
      <c r="EJ80" s="111"/>
      <c r="EK80" s="111"/>
      <c r="EL80" s="111"/>
      <c r="EU80" s="108"/>
      <c r="EV80" s="108"/>
    </row>
    <row r="81" spans="6:152" x14ac:dyDescent="0.3">
      <c r="F81" s="108"/>
      <c r="G81" s="108"/>
      <c r="H81" s="108"/>
      <c r="I81" s="108"/>
      <c r="J81" s="108"/>
      <c r="K81" s="108"/>
      <c r="L81" s="108" t="str">
        <f>IFERROR(MP_DATA[[#This Row],[Bottom '[m']]]-MP_DATA[[#This Row],[D, top '[m']]], "")</f>
        <v/>
      </c>
      <c r="M81" s="108" t="str">
        <f>IFERROR(-(MP_DATA[[#This Row],[D, bottom '[m']]]-MP_DATA[[#This Row],[D, top '[m']]])/(MP_DATA[[#This Row],[Bottom '[m']]]-MP_DATA[[#This Row],[Top '[m']]]),"")</f>
        <v/>
      </c>
      <c r="N81" s="108" t="str">
        <f t="shared" si="4"/>
        <v/>
      </c>
      <c r="O81" s="108" t="str">
        <f>IFERROR((MP_DATA[[#This Row],[D, bottom '[m']]]+MP_DATA[[#This Row],[D, top '[m']]])/(2*MP_DATA[[#This Row],[t '[mm']]]/1000),"")</f>
        <v/>
      </c>
      <c r="P81" s="108" t="str">
        <f>IFERROR((MP_DATA[[#This Row],[D, bottom '[m']]]+#REF!)/(2*#REF!/1000),"")</f>
        <v/>
      </c>
      <c r="BF81" s="108" t="str">
        <f>IFERROR(TP_DATA[[#This Row],[Bottom '[m']]]-TP_DATA[[#This Row],[D, top '[m']]], "")</f>
        <v/>
      </c>
      <c r="BG81" s="108" t="str">
        <f>IFERROR(-(TP_DATA[[#This Row],[D, bottom '[m']]]-TP_DATA[[#This Row],[D, top '[m']]])/(TP_DATA[[#This Row],[Bottom '[m']]]-TP_DATA[[#This Row],[Top '[m']]]),"")</f>
        <v/>
      </c>
      <c r="BH81" s="108" t="str">
        <f t="shared" si="5"/>
        <v/>
      </c>
      <c r="BI81" s="108" t="str">
        <f>IFERROR((TP_DATA[[#This Row],[D, bottom '[m']]]+TP_DATA[[#This Row],[D, top '[m']]])/(2*TP_DATA[[#This Row],[t '[mm']]]/1000),"")</f>
        <v/>
      </c>
      <c r="BJ81" s="108" t="str">
        <f>IFERROR((TP_DATA[[#This Row],[D, bottom '[m']]]+#REF!)/(2*#REF!/1000),"")</f>
        <v/>
      </c>
      <c r="CT81" s="102">
        <v>66</v>
      </c>
      <c r="CU81" s="102">
        <v>49.718000000000004</v>
      </c>
      <c r="CV81" s="102">
        <v>49.674999999999997</v>
      </c>
      <c r="CW81" s="102">
        <v>7.2919999999999998</v>
      </c>
      <c r="CX81" s="102">
        <v>7.2919999999999998</v>
      </c>
      <c r="CY81" s="102">
        <v>34.5</v>
      </c>
      <c r="CZ81" s="108">
        <f>IFERROR(TOWER_DATA[[#This Row],[Top '[m']]]-TOWER_DATA[[#This Row],[Bottom '[m']]], "")</f>
        <v>4.3000000000006366E-2</v>
      </c>
      <c r="DA81" s="108">
        <f>IFERROR(-(TOWER_DATA[[#This Row],[D, bottom '[m']]]-TOWER_DATA[[#This Row],[D, top '[m']]])/(TOWER_DATA[[#This Row],[Bottom '[m']]]-TOWER_DATA[[#This Row],[Top '[m']]]),"")</f>
        <v>0</v>
      </c>
      <c r="DB81" s="108">
        <f t="shared" si="6"/>
        <v>0.26551809567018186</v>
      </c>
      <c r="DC81" s="108">
        <f>IFERROR((TOWER_DATA[[#This Row],[D, bottom '[m']]]+TOWER_DATA[[#This Row],[D, top '[m']]])/(2*TOWER_DATA[[#This Row],[t '[mm']]]/1000),"")</f>
        <v>211.36231884057969</v>
      </c>
      <c r="DD81" s="108" t="str">
        <f>IFERROR((TOWER_DATA[[#This Row],[D, bottom '[m']]]+#REF!)/(2*#REF!/1000),"")</f>
        <v/>
      </c>
      <c r="DE81" s="111"/>
      <c r="DF81" s="111"/>
      <c r="DG81" s="111"/>
      <c r="DH81" s="111"/>
      <c r="DI81" s="111"/>
      <c r="DJ81" s="111"/>
      <c r="DK81" s="111"/>
      <c r="DL81" s="111"/>
      <c r="DM81" s="111"/>
      <c r="DW81" s="105">
        <v>66</v>
      </c>
      <c r="DX81" s="105">
        <v>49.718000000000004</v>
      </c>
      <c r="DY81" s="105">
        <v>49.674999999999997</v>
      </c>
      <c r="DZ81" s="105">
        <v>7.2919999999999998</v>
      </c>
      <c r="EA81" s="105">
        <v>7.2919999999999998</v>
      </c>
      <c r="EB81" s="105">
        <v>34.5</v>
      </c>
      <c r="ED81" s="105"/>
      <c r="EE81" s="105"/>
      <c r="EF81" s="105"/>
      <c r="EG81" s="105"/>
      <c r="EH81" s="105"/>
      <c r="EI81" s="105"/>
      <c r="EJ81" s="105"/>
      <c r="EK81" s="105"/>
      <c r="EL81" s="105"/>
      <c r="EU81" s="108"/>
      <c r="EV81" s="108"/>
    </row>
    <row r="82" spans="6:152" x14ac:dyDescent="0.3">
      <c r="F82" s="108"/>
      <c r="G82" s="108"/>
      <c r="H82" s="108"/>
      <c r="I82" s="108"/>
      <c r="J82" s="108"/>
      <c r="K82" s="108"/>
      <c r="L82" s="108" t="str">
        <f>IFERROR(MP_DATA[[#This Row],[Bottom '[m']]]-MP_DATA[[#This Row],[D, top '[m']]], "")</f>
        <v/>
      </c>
      <c r="M82" s="108" t="str">
        <f>IFERROR(-(MP_DATA[[#This Row],[D, bottom '[m']]]-MP_DATA[[#This Row],[D, top '[m']]])/(MP_DATA[[#This Row],[Bottom '[m']]]-MP_DATA[[#This Row],[Top '[m']]]),"")</f>
        <v/>
      </c>
      <c r="N82" s="108" t="str">
        <f t="shared" si="4"/>
        <v/>
      </c>
      <c r="O82" s="108" t="str">
        <f>IFERROR((MP_DATA[[#This Row],[D, bottom '[m']]]+MP_DATA[[#This Row],[D, top '[m']]])/(2*MP_DATA[[#This Row],[t '[mm']]]/1000),"")</f>
        <v/>
      </c>
      <c r="P82" s="108" t="str">
        <f>IFERROR((MP_DATA[[#This Row],[D, bottom '[m']]]+#REF!)/(2*#REF!/1000),"")</f>
        <v/>
      </c>
      <c r="BF82" s="108" t="str">
        <f>IFERROR(TP_DATA[[#This Row],[Bottom '[m']]]-TP_DATA[[#This Row],[D, top '[m']]], "")</f>
        <v/>
      </c>
      <c r="BG82" s="108" t="str">
        <f>IFERROR(-(TP_DATA[[#This Row],[D, bottom '[m']]]-TP_DATA[[#This Row],[D, top '[m']]])/(TP_DATA[[#This Row],[Bottom '[m']]]-TP_DATA[[#This Row],[Top '[m']]]),"")</f>
        <v/>
      </c>
      <c r="BH82" s="108" t="str">
        <f t="shared" si="5"/>
        <v/>
      </c>
      <c r="BI82" s="108" t="str">
        <f>IFERROR((TP_DATA[[#This Row],[D, bottom '[m']]]+TP_DATA[[#This Row],[D, top '[m']]])/(2*TP_DATA[[#This Row],[t '[mm']]]/1000),"")</f>
        <v/>
      </c>
      <c r="BJ82" s="108" t="str">
        <f>IFERROR((TP_DATA[[#This Row],[D, bottom '[m']]]+#REF!)/(2*#REF!/1000),"")</f>
        <v/>
      </c>
      <c r="CT82" s="102">
        <v>67</v>
      </c>
      <c r="CU82" s="102">
        <v>49.674999999999997</v>
      </c>
      <c r="CV82" s="102">
        <v>47</v>
      </c>
      <c r="CW82" s="102">
        <v>7.2919999999999998</v>
      </c>
      <c r="CX82" s="102">
        <v>7.335</v>
      </c>
      <c r="CY82" s="102">
        <v>34.5</v>
      </c>
      <c r="CZ82" s="108">
        <f>IFERROR(TOWER_DATA[[#This Row],[Top '[m']]]-TOWER_DATA[[#This Row],[Bottom '[m']]], "")</f>
        <v>2.6749999999999972</v>
      </c>
      <c r="DA82" s="108">
        <f>IFERROR(-(TOWER_DATA[[#This Row],[D, bottom '[m']]]-TOWER_DATA[[#This Row],[D, top '[m']]])/(TOWER_DATA[[#This Row],[Bottom '[m']]]-TOWER_DATA[[#This Row],[Top '[m']]]),"")</f>
        <v>1.6074766355140258E-2</v>
      </c>
      <c r="DB82" s="108">
        <f t="shared" si="6"/>
        <v>16.566628376977938</v>
      </c>
      <c r="DC82" s="108">
        <f>IFERROR((TOWER_DATA[[#This Row],[D, bottom '[m']]]+TOWER_DATA[[#This Row],[D, top '[m']]])/(2*TOWER_DATA[[#This Row],[t '[mm']]]/1000),"")</f>
        <v>211.98550724637678</v>
      </c>
      <c r="DD82" s="108" t="str">
        <f>IFERROR((TOWER_DATA[[#This Row],[D, bottom '[m']]]+#REF!)/(2*#REF!/1000),"")</f>
        <v/>
      </c>
      <c r="DE82" s="111"/>
      <c r="DF82" s="111"/>
      <c r="DG82" s="111"/>
      <c r="DH82" s="111"/>
      <c r="DI82" s="111"/>
      <c r="DJ82" s="111"/>
      <c r="DK82" s="111"/>
      <c r="DL82" s="111"/>
      <c r="DM82" s="111"/>
      <c r="DW82" s="105">
        <v>67</v>
      </c>
      <c r="DX82" s="105">
        <v>49.674999999999997</v>
      </c>
      <c r="DY82" s="105">
        <v>47</v>
      </c>
      <c r="DZ82" s="105">
        <v>7.2919999999999998</v>
      </c>
      <c r="EA82" s="105">
        <v>7.335</v>
      </c>
      <c r="EB82" s="105">
        <v>34.5</v>
      </c>
      <c r="ED82" s="105"/>
      <c r="EE82" s="105"/>
      <c r="EF82" s="105"/>
      <c r="EG82" s="105"/>
      <c r="EH82" s="105"/>
      <c r="EI82" s="105"/>
      <c r="EJ82" s="105"/>
      <c r="EK82" s="105"/>
      <c r="EL82" s="105"/>
      <c r="EU82" s="108"/>
      <c r="EV82" s="108"/>
    </row>
    <row r="83" spans="6:152" x14ac:dyDescent="0.3">
      <c r="F83" s="108"/>
      <c r="G83" s="108"/>
      <c r="H83" s="108"/>
      <c r="I83" s="108"/>
      <c r="J83" s="108"/>
      <c r="K83" s="108"/>
      <c r="L83" s="108" t="str">
        <f>IFERROR(MP_DATA[[#This Row],[Bottom '[m']]]-MP_DATA[[#This Row],[D, top '[m']]], "")</f>
        <v/>
      </c>
      <c r="M83" s="108" t="str">
        <f>IFERROR(-(MP_DATA[[#This Row],[D, bottom '[m']]]-MP_DATA[[#This Row],[D, top '[m']]])/(MP_DATA[[#This Row],[Bottom '[m']]]-MP_DATA[[#This Row],[Top '[m']]]),"")</f>
        <v/>
      </c>
      <c r="N83" s="108" t="str">
        <f t="shared" si="4"/>
        <v/>
      </c>
      <c r="O83" s="108" t="str">
        <f>IFERROR((MP_DATA[[#This Row],[D, bottom '[m']]]+MP_DATA[[#This Row],[D, top '[m']]])/(2*MP_DATA[[#This Row],[t '[mm']]]/1000),"")</f>
        <v/>
      </c>
      <c r="P83" s="108" t="str">
        <f>IFERROR((MP_DATA[[#This Row],[D, bottom '[m']]]+#REF!)/(2*#REF!/1000),"")</f>
        <v/>
      </c>
      <c r="BF83" s="108" t="str">
        <f>IFERROR(TP_DATA[[#This Row],[Bottom '[m']]]-TP_DATA[[#This Row],[D, top '[m']]], "")</f>
        <v/>
      </c>
      <c r="BG83" s="108" t="str">
        <f>IFERROR(-(TP_DATA[[#This Row],[D, bottom '[m']]]-TP_DATA[[#This Row],[D, top '[m']]])/(TP_DATA[[#This Row],[Bottom '[m']]]-TP_DATA[[#This Row],[Top '[m']]]),"")</f>
        <v/>
      </c>
      <c r="BH83" s="108" t="str">
        <f t="shared" si="5"/>
        <v/>
      </c>
      <c r="BI83" s="108" t="str">
        <f>IFERROR((TP_DATA[[#This Row],[D, bottom '[m']]]+TP_DATA[[#This Row],[D, top '[m']]])/(2*TP_DATA[[#This Row],[t '[mm']]]/1000),"")</f>
        <v/>
      </c>
      <c r="BJ83" s="108" t="str">
        <f>IFERROR((TP_DATA[[#This Row],[D, bottom '[m']]]+#REF!)/(2*#REF!/1000),"")</f>
        <v/>
      </c>
      <c r="CT83" s="102">
        <v>68</v>
      </c>
      <c r="CU83" s="102">
        <v>47</v>
      </c>
      <c r="CV83" s="102">
        <v>45.564000000000007</v>
      </c>
      <c r="CW83" s="102">
        <v>7.335</v>
      </c>
      <c r="CX83" s="102">
        <v>7.3579999999999997</v>
      </c>
      <c r="CY83" s="102">
        <v>35</v>
      </c>
      <c r="CZ83" s="108">
        <f>IFERROR(TOWER_DATA[[#This Row],[Top '[m']]]-TOWER_DATA[[#This Row],[Bottom '[m']]], "")</f>
        <v>1.4359999999999928</v>
      </c>
      <c r="DA83" s="108">
        <f>IFERROR(-(TOWER_DATA[[#This Row],[D, bottom '[m']]]-TOWER_DATA[[#This Row],[D, top '[m']]])/(TOWER_DATA[[#This Row],[Bottom '[m']]]-TOWER_DATA[[#This Row],[Top '[m']]]),"")</f>
        <v>1.6016713091921868E-2</v>
      </c>
      <c r="DB83" s="108">
        <f t="shared" si="6"/>
        <v>9.0625099838538912</v>
      </c>
      <c r="DC83" s="108">
        <f>IFERROR((TOWER_DATA[[#This Row],[D, bottom '[m']]]+TOWER_DATA[[#This Row],[D, top '[m']]])/(2*TOWER_DATA[[#This Row],[t '[mm']]]/1000),"")</f>
        <v>209.89999999999998</v>
      </c>
      <c r="DD83" s="108" t="str">
        <f>IFERROR((TOWER_DATA[[#This Row],[D, bottom '[m']]]+#REF!)/(2*#REF!/1000),"")</f>
        <v/>
      </c>
      <c r="DE83" s="111"/>
      <c r="DF83" s="111"/>
      <c r="DG83" s="111"/>
      <c r="DH83" s="111"/>
      <c r="DI83" s="111"/>
      <c r="DJ83" s="111"/>
      <c r="DK83" s="111"/>
      <c r="DL83" s="111"/>
      <c r="DM83" s="111"/>
      <c r="DW83" s="105">
        <v>68</v>
      </c>
      <c r="DX83" s="105">
        <v>47</v>
      </c>
      <c r="DY83" s="105">
        <v>45.564000000000007</v>
      </c>
      <c r="DZ83" s="105">
        <v>7.335</v>
      </c>
      <c r="EA83" s="105">
        <v>7.3579999999999997</v>
      </c>
      <c r="EB83" s="105">
        <v>35</v>
      </c>
      <c r="ED83" s="105"/>
      <c r="EE83" s="105"/>
      <c r="EF83" s="105"/>
      <c r="EG83" s="105"/>
      <c r="EH83" s="105"/>
      <c r="EI83" s="105"/>
      <c r="EJ83" s="105"/>
      <c r="EK83" s="105"/>
      <c r="EL83" s="105"/>
      <c r="EU83" s="108"/>
      <c r="EV83" s="108"/>
    </row>
    <row r="84" spans="6:152" x14ac:dyDescent="0.3">
      <c r="F84" s="108"/>
      <c r="G84" s="108"/>
      <c r="H84" s="108"/>
      <c r="I84" s="108"/>
      <c r="J84" s="108"/>
      <c r="K84" s="108"/>
      <c r="L84" s="108" t="str">
        <f>IFERROR(MP_DATA[[#This Row],[Bottom '[m']]]-MP_DATA[[#This Row],[D, top '[m']]], "")</f>
        <v/>
      </c>
      <c r="M84" s="108" t="str">
        <f>IFERROR(-(MP_DATA[[#This Row],[D, bottom '[m']]]-MP_DATA[[#This Row],[D, top '[m']]])/(MP_DATA[[#This Row],[Bottom '[m']]]-MP_DATA[[#This Row],[Top '[m']]]),"")</f>
        <v/>
      </c>
      <c r="N84" s="108" t="str">
        <f t="shared" si="4"/>
        <v/>
      </c>
      <c r="O84" s="108" t="str">
        <f>IFERROR((MP_DATA[[#This Row],[D, bottom '[m']]]+MP_DATA[[#This Row],[D, top '[m']]])/(2*MP_DATA[[#This Row],[t '[mm']]]/1000),"")</f>
        <v/>
      </c>
      <c r="P84" s="108" t="str">
        <f>IFERROR((MP_DATA[[#This Row],[D, bottom '[m']]]+#REF!)/(2*#REF!/1000),"")</f>
        <v/>
      </c>
      <c r="BF84" s="108" t="str">
        <f>IFERROR(TP_DATA[[#This Row],[Bottom '[m']]]-TP_DATA[[#This Row],[D, top '[m']]], "")</f>
        <v/>
      </c>
      <c r="BG84" s="108" t="str">
        <f>IFERROR(-(TP_DATA[[#This Row],[D, bottom '[m']]]-TP_DATA[[#This Row],[D, top '[m']]])/(TP_DATA[[#This Row],[Bottom '[m']]]-TP_DATA[[#This Row],[Top '[m']]]),"")</f>
        <v/>
      </c>
      <c r="BH84" s="108" t="str">
        <f t="shared" si="5"/>
        <v/>
      </c>
      <c r="BI84" s="108" t="str">
        <f>IFERROR((TP_DATA[[#This Row],[D, bottom '[m']]]+TP_DATA[[#This Row],[D, top '[m']]])/(2*TP_DATA[[#This Row],[t '[mm']]]/1000),"")</f>
        <v/>
      </c>
      <c r="BJ84" s="108" t="str">
        <f>IFERROR((TP_DATA[[#This Row],[D, bottom '[m']]]+#REF!)/(2*#REF!/1000),"")</f>
        <v/>
      </c>
      <c r="CT84" s="102">
        <v>69</v>
      </c>
      <c r="CU84" s="102">
        <v>45.564000000000007</v>
      </c>
      <c r="CV84" s="102">
        <v>44.282000000000004</v>
      </c>
      <c r="CW84" s="102">
        <v>7.3579999999999997</v>
      </c>
      <c r="CX84" s="102">
        <v>7.3789999999999996</v>
      </c>
      <c r="CY84" s="102">
        <v>35</v>
      </c>
      <c r="CZ84" s="108">
        <f>IFERROR(TOWER_DATA[[#This Row],[Top '[m']]]-TOWER_DATA[[#This Row],[Bottom '[m']]], "")</f>
        <v>1.2820000000000036</v>
      </c>
      <c r="DA84" s="108">
        <f>IFERROR(-(TOWER_DATA[[#This Row],[D, bottom '[m']]]-TOWER_DATA[[#This Row],[D, top '[m']]])/(TOWER_DATA[[#This Row],[Bottom '[m']]]-TOWER_DATA[[#This Row],[Top '[m']]]),"")</f>
        <v>1.6380655226208931E-2</v>
      </c>
      <c r="DB84" s="108">
        <f t="shared" si="6"/>
        <v>8.1149695638373931</v>
      </c>
      <c r="DC84" s="108">
        <f>IFERROR((TOWER_DATA[[#This Row],[D, bottom '[m']]]+TOWER_DATA[[#This Row],[D, top '[m']]])/(2*TOWER_DATA[[#This Row],[t '[mm']]]/1000),"")</f>
        <v>210.52857142857138</v>
      </c>
      <c r="DD84" s="108" t="str">
        <f>IFERROR((TOWER_DATA[[#This Row],[D, bottom '[m']]]+#REF!)/(2*#REF!/1000),"")</f>
        <v/>
      </c>
      <c r="DE84" s="111"/>
      <c r="DF84" s="111"/>
      <c r="DG84" s="111"/>
      <c r="DH84" s="111"/>
      <c r="DI84" s="111"/>
      <c r="DJ84" s="111"/>
      <c r="DK84" s="111"/>
      <c r="DL84" s="111"/>
      <c r="DM84" s="111"/>
      <c r="DW84" s="105">
        <v>69</v>
      </c>
      <c r="DX84" s="105">
        <v>45.564000000000007</v>
      </c>
      <c r="DY84" s="105">
        <v>44.282000000000004</v>
      </c>
      <c r="DZ84" s="105">
        <v>7.3579999999999997</v>
      </c>
      <c r="EA84" s="105">
        <v>7.3789999999999996</v>
      </c>
      <c r="EB84" s="105">
        <v>35</v>
      </c>
      <c r="ED84" s="105"/>
      <c r="EE84" s="105"/>
      <c r="EF84" s="105"/>
      <c r="EG84" s="105"/>
      <c r="EH84" s="105"/>
      <c r="EI84" s="105"/>
      <c r="EJ84" s="105"/>
      <c r="EK84" s="105"/>
      <c r="EL84" s="105"/>
      <c r="EU84" s="108"/>
      <c r="EV84" s="108"/>
    </row>
    <row r="85" spans="6:152" x14ac:dyDescent="0.3">
      <c r="F85" s="108"/>
      <c r="G85" s="108"/>
      <c r="H85" s="108"/>
      <c r="I85" s="108"/>
      <c r="J85" s="108"/>
      <c r="K85" s="108"/>
      <c r="L85" s="108" t="str">
        <f>IFERROR(MP_DATA[[#This Row],[Bottom '[m']]]-MP_DATA[[#This Row],[D, top '[m']]], "")</f>
        <v/>
      </c>
      <c r="M85" s="108" t="str">
        <f>IFERROR(-(MP_DATA[[#This Row],[D, bottom '[m']]]-MP_DATA[[#This Row],[D, top '[m']]])/(MP_DATA[[#This Row],[Bottom '[m']]]-MP_DATA[[#This Row],[Top '[m']]]),"")</f>
        <v/>
      </c>
      <c r="N85" s="108" t="str">
        <f t="shared" si="4"/>
        <v/>
      </c>
      <c r="O85" s="108" t="str">
        <f>IFERROR((MP_DATA[[#This Row],[D, bottom '[m']]]+MP_DATA[[#This Row],[D, top '[m']]])/(2*MP_DATA[[#This Row],[t '[mm']]]/1000),"")</f>
        <v/>
      </c>
      <c r="P85" s="108" t="str">
        <f>IFERROR((MP_DATA[[#This Row],[D, bottom '[m']]]+#REF!)/(2*#REF!/1000),"")</f>
        <v/>
      </c>
      <c r="BF85" s="108" t="str">
        <f>IFERROR(TP_DATA[[#This Row],[Bottom '[m']]]-TP_DATA[[#This Row],[D, top '[m']]], "")</f>
        <v/>
      </c>
      <c r="BG85" s="108" t="str">
        <f>IFERROR(-(TP_DATA[[#This Row],[D, bottom '[m']]]-TP_DATA[[#This Row],[D, top '[m']]])/(TP_DATA[[#This Row],[Bottom '[m']]]-TP_DATA[[#This Row],[Top '[m']]]),"")</f>
        <v/>
      </c>
      <c r="BH85" s="108" t="str">
        <f t="shared" si="5"/>
        <v/>
      </c>
      <c r="BI85" s="108" t="str">
        <f>IFERROR((TP_DATA[[#This Row],[D, bottom '[m']]]+TP_DATA[[#This Row],[D, top '[m']]])/(2*TP_DATA[[#This Row],[t '[mm']]]/1000),"")</f>
        <v/>
      </c>
      <c r="BJ85" s="108" t="str">
        <f>IFERROR((TP_DATA[[#This Row],[D, bottom '[m']]]+#REF!)/(2*#REF!/1000),"")</f>
        <v/>
      </c>
      <c r="CT85" s="102">
        <v>70</v>
      </c>
      <c r="CU85" s="102">
        <v>44.282000000000004</v>
      </c>
      <c r="CV85" s="102">
        <v>41.561000000000007</v>
      </c>
      <c r="CW85" s="102">
        <v>7.3789999999999996</v>
      </c>
      <c r="CX85" s="102">
        <v>7.4249999999999998</v>
      </c>
      <c r="CY85" s="102">
        <v>35.799999999999997</v>
      </c>
      <c r="CZ85" s="108">
        <f>IFERROR(TOWER_DATA[[#This Row],[Top '[m']]]-TOWER_DATA[[#This Row],[Bottom '[m']]], "")</f>
        <v>2.7209999999999965</v>
      </c>
      <c r="DA85" s="108">
        <f>IFERROR(-(TOWER_DATA[[#This Row],[D, bottom '[m']]]-TOWER_DATA[[#This Row],[D, top '[m']]])/(TOWER_DATA[[#This Row],[Bottom '[m']]]-TOWER_DATA[[#This Row],[Top '[m']]]),"")</f>
        <v>1.6905549430356603E-2</v>
      </c>
      <c r="DB85" s="108">
        <f t="shared" si="6"/>
        <v>17.695979401197722</v>
      </c>
      <c r="DC85" s="108">
        <f>IFERROR((TOWER_DATA[[#This Row],[D, bottom '[m']]]+TOWER_DATA[[#This Row],[D, top '[m']]])/(2*TOWER_DATA[[#This Row],[t '[mm']]]/1000),"")</f>
        <v>206.75977653631284</v>
      </c>
      <c r="DD85" s="108" t="str">
        <f>IFERROR((TOWER_DATA[[#This Row],[D, bottom '[m']]]+#REF!)/(2*#REF!/1000),"")</f>
        <v/>
      </c>
      <c r="DE85" s="111"/>
      <c r="DF85" s="111"/>
      <c r="DG85" s="111"/>
      <c r="DH85" s="111"/>
      <c r="DI85" s="111"/>
      <c r="DJ85" s="111"/>
      <c r="DK85" s="111"/>
      <c r="DL85" s="111"/>
      <c r="DM85" s="111"/>
      <c r="DW85" s="105">
        <v>70</v>
      </c>
      <c r="DX85" s="105">
        <v>44.282000000000004</v>
      </c>
      <c r="DY85" s="105">
        <v>41.561000000000007</v>
      </c>
      <c r="DZ85" s="105">
        <v>7.3789999999999996</v>
      </c>
      <c r="EA85" s="105">
        <v>7.4249999999999998</v>
      </c>
      <c r="EB85" s="105">
        <v>35.799999999999997</v>
      </c>
      <c r="ED85" s="105"/>
      <c r="EE85" s="105"/>
      <c r="EF85" s="105"/>
      <c r="EG85" s="105"/>
      <c r="EH85" s="105"/>
      <c r="EI85" s="105"/>
      <c r="EJ85" s="105"/>
      <c r="EK85" s="105"/>
      <c r="EL85" s="105"/>
      <c r="EU85" s="108" t="str">
        <f>IF(7850/1000*(1/3)*PI()*ABS(EO85-EP85)*((EQ85/2)^2+(EQ85/2)*(ER85/2)+(ER85/2)^2-(EQ85/2-ET85/1000)^2-(EQ85/2-ET85/1000)*(ER85/2-ET85/1000)-(ER85/2-ET85/1000)^2)=0,"",7850/1000*(1/3)*PI()*ABS(EO85-EP85)*((EQ85/2)^2+(EQ85/2)*(ER85/2)+(ER85/2)^2-(EQ85/2-ET85/1000)^2-(EQ85/2-ET85/1000)*(ER85/2-ET85/1000)-(ER85/2-ET85/1000)^2))</f>
        <v/>
      </c>
      <c r="EV85" s="108"/>
    </row>
    <row r="86" spans="6:152" x14ac:dyDescent="0.3">
      <c r="F86" s="108"/>
      <c r="G86" s="108"/>
      <c r="H86" s="108"/>
      <c r="I86" s="108"/>
      <c r="J86" s="108"/>
      <c r="K86" s="108"/>
      <c r="L86" s="108" t="str">
        <f>IFERROR(MP_DATA[[#This Row],[Bottom '[m']]]-MP_DATA[[#This Row],[D, top '[m']]], "")</f>
        <v/>
      </c>
      <c r="M86" s="108" t="str">
        <f>IFERROR(-(MP_DATA[[#This Row],[D, bottom '[m']]]-MP_DATA[[#This Row],[D, top '[m']]])/(MP_DATA[[#This Row],[Bottom '[m']]]-MP_DATA[[#This Row],[Top '[m']]]),"")</f>
        <v/>
      </c>
      <c r="N86" s="108" t="str">
        <f t="shared" si="4"/>
        <v/>
      </c>
      <c r="O86" s="108" t="str">
        <f>IFERROR((MP_DATA[[#This Row],[D, bottom '[m']]]+MP_DATA[[#This Row],[D, top '[m']]])/(2*MP_DATA[[#This Row],[t '[mm']]]/1000),"")</f>
        <v/>
      </c>
      <c r="P86" s="108" t="str">
        <f>IFERROR((MP_DATA[[#This Row],[D, bottom '[m']]]+#REF!)/(2*#REF!/1000),"")</f>
        <v/>
      </c>
      <c r="BF86" s="108" t="str">
        <f>IFERROR(TP_DATA[[#This Row],[Bottom '[m']]]-TP_DATA[[#This Row],[D, top '[m']]], "")</f>
        <v/>
      </c>
      <c r="BG86" s="108" t="str">
        <f>IFERROR(-(TP_DATA[[#This Row],[D, bottom '[m']]]-TP_DATA[[#This Row],[D, top '[m']]])/(TP_DATA[[#This Row],[Bottom '[m']]]-TP_DATA[[#This Row],[Top '[m']]]),"")</f>
        <v/>
      </c>
      <c r="BH86" s="108" t="str">
        <f t="shared" si="5"/>
        <v/>
      </c>
      <c r="BI86" s="108" t="str">
        <f>IFERROR((TP_DATA[[#This Row],[D, bottom '[m']]]+TP_DATA[[#This Row],[D, top '[m']]])/(2*TP_DATA[[#This Row],[t '[mm']]]/1000),"")</f>
        <v/>
      </c>
      <c r="BJ86" s="108" t="str">
        <f>IFERROR((TP_DATA[[#This Row],[D, bottom '[m']]]+#REF!)/(2*#REF!/1000),"")</f>
        <v/>
      </c>
      <c r="CT86" s="102">
        <v>71</v>
      </c>
      <c r="CU86" s="102">
        <v>41.561000000000007</v>
      </c>
      <c r="CV86" s="102">
        <v>40.900000000000006</v>
      </c>
      <c r="CW86" s="102">
        <v>7.4249999999999998</v>
      </c>
      <c r="CX86" s="102">
        <v>7.4349999999999996</v>
      </c>
      <c r="CY86" s="102">
        <v>39</v>
      </c>
      <c r="CZ86" s="108">
        <f>IFERROR(TOWER_DATA[[#This Row],[Top '[m']]]-TOWER_DATA[[#This Row],[Bottom '[m']]], "")</f>
        <v>0.66100000000000136</v>
      </c>
      <c r="DA86" s="108">
        <f>IFERROR(-(TOWER_DATA[[#This Row],[D, bottom '[m']]]-TOWER_DATA[[#This Row],[D, top '[m']]])/(TOWER_DATA[[#This Row],[Bottom '[m']]]-TOWER_DATA[[#This Row],[Top '[m']]]),"")</f>
        <v>1.5128593040846848E-2</v>
      </c>
      <c r="DB86" s="108">
        <f t="shared" si="6"/>
        <v>4.6988198876939959</v>
      </c>
      <c r="DC86" s="108">
        <f>IFERROR((TOWER_DATA[[#This Row],[D, bottom '[m']]]+TOWER_DATA[[#This Row],[D, top '[m']]])/(2*TOWER_DATA[[#This Row],[t '[mm']]]/1000),"")</f>
        <v>190.5128205128205</v>
      </c>
      <c r="DD86" s="108" t="str">
        <f>IFERROR((TOWER_DATA[[#This Row],[D, bottom '[m']]]+#REF!)/(2*#REF!/1000),"")</f>
        <v/>
      </c>
      <c r="DE86" s="111"/>
      <c r="DF86" s="111"/>
      <c r="DG86" s="111"/>
      <c r="DH86" s="111"/>
      <c r="DI86" s="111"/>
      <c r="DJ86" s="111"/>
      <c r="DK86" s="111"/>
      <c r="DL86" s="111"/>
      <c r="DM86" s="111"/>
      <c r="DW86" s="105">
        <v>71</v>
      </c>
      <c r="DX86" s="105">
        <v>41.561000000000007</v>
      </c>
      <c r="DY86" s="105">
        <v>40.900000000000006</v>
      </c>
      <c r="DZ86" s="105">
        <v>7.4249999999999998</v>
      </c>
      <c r="EA86" s="105">
        <v>7.4349999999999996</v>
      </c>
      <c r="EB86" s="105">
        <v>39</v>
      </c>
      <c r="ED86" s="105"/>
      <c r="EE86" s="105"/>
      <c r="EF86" s="105"/>
      <c r="EG86" s="105"/>
      <c r="EH86" s="105"/>
      <c r="EI86" s="105"/>
      <c r="EJ86" s="105"/>
      <c r="EK86" s="105"/>
      <c r="EL86" s="105"/>
      <c r="EU86" s="108" t="str">
        <f>IF(7850/1000*(1/3)*PI()*ABS(EO86-EP86)*((EQ86/2)^2+(EQ86/2)*(ER86/2)+(ER86/2)^2-(EQ86/2-ET86/1000)^2-(EQ86/2-ET86/1000)*(ER86/2-ET86/1000)-(ER86/2-ET86/1000)^2)=0,"",7850/1000*(1/3)*PI()*ABS(EO86-EP86)*((EQ86/2)^2+(EQ86/2)*(ER86/2)+(ER86/2)^2-(EQ86/2-ET86/1000)^2-(EQ86/2-ET86/1000)*(ER86/2-ET86/1000)-(ER86/2-ET86/1000)^2))</f>
        <v/>
      </c>
      <c r="EV86" s="108"/>
    </row>
    <row r="87" spans="6:152" x14ac:dyDescent="0.3">
      <c r="F87" s="108"/>
      <c r="G87" s="108"/>
      <c r="H87" s="108"/>
      <c r="I87" s="108"/>
      <c r="J87" s="108"/>
      <c r="K87" s="108"/>
      <c r="L87" s="108" t="str">
        <f>IFERROR(MP_DATA[[#This Row],[Bottom '[m']]]-MP_DATA[[#This Row],[D, top '[m']]], "")</f>
        <v/>
      </c>
      <c r="M87" s="108" t="str">
        <f>IFERROR(-(MP_DATA[[#This Row],[D, bottom '[m']]]-MP_DATA[[#This Row],[D, top '[m']]])/(MP_DATA[[#This Row],[Bottom '[m']]]-MP_DATA[[#This Row],[Top '[m']]]),"")</f>
        <v/>
      </c>
      <c r="N87" s="108" t="str">
        <f t="shared" si="4"/>
        <v/>
      </c>
      <c r="O87" s="108" t="str">
        <f>IFERROR((MP_DATA[[#This Row],[D, bottom '[m']]]+MP_DATA[[#This Row],[D, top '[m']]])/(2*MP_DATA[[#This Row],[t '[mm']]]/1000),"")</f>
        <v/>
      </c>
      <c r="P87" s="108" t="str">
        <f>IFERROR((MP_DATA[[#This Row],[D, bottom '[m']]]+#REF!)/(2*#REF!/1000),"")</f>
        <v/>
      </c>
      <c r="BF87" s="108" t="str">
        <f>IFERROR(TP_DATA[[#This Row],[Bottom '[m']]]-TP_DATA[[#This Row],[D, top '[m']]], "")</f>
        <v/>
      </c>
      <c r="BG87" s="108" t="str">
        <f>IFERROR(-(TP_DATA[[#This Row],[D, bottom '[m']]]-TP_DATA[[#This Row],[D, top '[m']]])/(TP_DATA[[#This Row],[Bottom '[m']]]-TP_DATA[[#This Row],[Top '[m']]]),"")</f>
        <v/>
      </c>
      <c r="BH87" s="108" t="str">
        <f t="shared" ref="BH87:BH120" si="7">IF(7850/1000*(1/3)*PI()*ABS(BA87-BB87)*((BC87/2)^2+(BC87/2)*(BD87/2)+(BD87/2)^2-(BC87/2-BE87/1000)^2-(BC87/2-BE87/1000)*(BD87/2-BE87/1000)-(BD87/2-BE87/1000)^2)=0,"",7850/1000*(1/3)*PI()*ABS(BA87-BB87)*((BC87/2)^2+(BC87/2)*(BD87/2)+(BD87/2)^2-(BC87/2-BE87/1000)^2-(BC87/2-BE87/1000)*(BD87/2-BE87/1000)-(BD87/2-BE87/1000)^2))</f>
        <v/>
      </c>
      <c r="BI87" s="108" t="str">
        <f>IFERROR((TP_DATA[[#This Row],[D, bottom '[m']]]+TP_DATA[[#This Row],[D, top '[m']]])/(2*TP_DATA[[#This Row],[t '[mm']]]/1000),"")</f>
        <v/>
      </c>
      <c r="BJ87" s="108" t="str">
        <f>IFERROR((TP_DATA[[#This Row],[D, bottom '[m']]]+#REF!)/(2*#REF!/1000),"")</f>
        <v/>
      </c>
      <c r="CT87" s="102">
        <v>72</v>
      </c>
      <c r="CU87" s="102">
        <v>40.900000000000006</v>
      </c>
      <c r="CV87" s="102">
        <v>38.775000000000006</v>
      </c>
      <c r="CW87" s="102">
        <v>7.4349999999999996</v>
      </c>
      <c r="CX87" s="102">
        <v>7.476</v>
      </c>
      <c r="CY87" s="102">
        <v>39</v>
      </c>
      <c r="CZ87" s="108">
        <f>IFERROR(TOWER_DATA[[#This Row],[Top '[m']]]-TOWER_DATA[[#This Row],[Bottom '[m']]], "")</f>
        <v>2.125</v>
      </c>
      <c r="DA87" s="108">
        <f>IFERROR(-(TOWER_DATA[[#This Row],[D, bottom '[m']]]-TOWER_DATA[[#This Row],[D, top '[m']]])/(TOWER_DATA[[#This Row],[Bottom '[m']]]-TOWER_DATA[[#This Row],[Top '[m']]]),"")</f>
        <v>1.9294117647058996E-2</v>
      </c>
      <c r="DB87" s="108">
        <f t="shared" si="6"/>
        <v>15.158005904941108</v>
      </c>
      <c r="DC87" s="108">
        <f>IFERROR((TOWER_DATA[[#This Row],[D, bottom '[m']]]+TOWER_DATA[[#This Row],[D, top '[m']]])/(2*TOWER_DATA[[#This Row],[t '[mm']]]/1000),"")</f>
        <v>191.16666666666666</v>
      </c>
      <c r="DD87" s="108" t="str">
        <f>IFERROR((TOWER_DATA[[#This Row],[D, bottom '[m']]]+#REF!)/(2*#REF!/1000),"")</f>
        <v/>
      </c>
      <c r="DE87" s="111"/>
      <c r="DF87" s="111"/>
      <c r="DG87" s="111"/>
      <c r="DH87" s="111"/>
      <c r="DI87" s="111"/>
      <c r="DJ87" s="111"/>
      <c r="DK87" s="111"/>
      <c r="DL87" s="111"/>
      <c r="DM87" s="111"/>
      <c r="DW87" s="105">
        <v>72</v>
      </c>
      <c r="DX87" s="105">
        <v>40.900000000000006</v>
      </c>
      <c r="DY87" s="105">
        <v>38.775000000000006</v>
      </c>
      <c r="DZ87" s="105">
        <v>7.4349999999999996</v>
      </c>
      <c r="EA87" s="105">
        <v>7.476</v>
      </c>
      <c r="EB87" s="105">
        <v>39</v>
      </c>
      <c r="ED87" s="105"/>
      <c r="EE87" s="105"/>
      <c r="EF87" s="105"/>
      <c r="EG87" s="105"/>
      <c r="EH87" s="105"/>
      <c r="EI87" s="105"/>
      <c r="EJ87" s="105"/>
      <c r="EK87" s="105"/>
      <c r="EL87" s="105"/>
      <c r="EU87" s="108" t="str">
        <f>IF(7850/1000*(1/3)*PI()*ABS(EO87-EP87)*((EQ87/2)^2+(EQ87/2)*(ER87/2)+(ER87/2)^2-(EQ87/2-ET87/1000)^2-(EQ87/2-ET87/1000)*(ER87/2-ET87/1000)-(ER87/2-ET87/1000)^2)=0,"",7850/1000*(1/3)*PI()*ABS(EO87-EP87)*((EQ87/2)^2+(EQ87/2)*(ER87/2)+(ER87/2)^2-(EQ87/2-ET87/1000)^2-(EQ87/2-ET87/1000)*(ER87/2-ET87/1000)-(ER87/2-ET87/1000)^2))</f>
        <v/>
      </c>
      <c r="EV87" s="108"/>
    </row>
    <row r="88" spans="6:152" x14ac:dyDescent="0.3">
      <c r="F88" s="108"/>
      <c r="G88" s="108"/>
      <c r="H88" s="108"/>
      <c r="I88" s="108"/>
      <c r="J88" s="108"/>
      <c r="K88" s="108"/>
      <c r="L88" s="108" t="str">
        <f>IFERROR(MP_DATA[[#This Row],[Bottom '[m']]]-MP_DATA[[#This Row],[D, top '[m']]], "")</f>
        <v/>
      </c>
      <c r="M88" s="108" t="str">
        <f>IFERROR(-(MP_DATA[[#This Row],[D, bottom '[m']]]-MP_DATA[[#This Row],[D, top '[m']]])/(MP_DATA[[#This Row],[Bottom '[m']]]-MP_DATA[[#This Row],[Top '[m']]]),"")</f>
        <v/>
      </c>
      <c r="N88" s="108" t="str">
        <f t="shared" si="4"/>
        <v/>
      </c>
      <c r="O88" s="108" t="str">
        <f>IFERROR((MP_DATA[[#This Row],[D, bottom '[m']]]+MP_DATA[[#This Row],[D, top '[m']]])/(2*MP_DATA[[#This Row],[t '[mm']]]/1000),"")</f>
        <v/>
      </c>
      <c r="P88" s="108" t="str">
        <f>IFERROR((MP_DATA[[#This Row],[D, bottom '[m']]]+#REF!)/(2*#REF!/1000),"")</f>
        <v/>
      </c>
      <c r="BF88" s="108" t="str">
        <f>IFERROR(TP_DATA[[#This Row],[Bottom '[m']]]-TP_DATA[[#This Row],[D, top '[m']]], "")</f>
        <v/>
      </c>
      <c r="BG88" s="108" t="str">
        <f>IFERROR(-(TP_DATA[[#This Row],[D, bottom '[m']]]-TP_DATA[[#This Row],[D, top '[m']]])/(TP_DATA[[#This Row],[Bottom '[m']]]-TP_DATA[[#This Row],[Top '[m']]]),"")</f>
        <v/>
      </c>
      <c r="BH88" s="108" t="str">
        <f t="shared" si="7"/>
        <v/>
      </c>
      <c r="BI88" s="108" t="str">
        <f>IFERROR((TP_DATA[[#This Row],[D, bottom '[m']]]+TP_DATA[[#This Row],[D, top '[m']]])/(2*TP_DATA[[#This Row],[t '[mm']]]/1000),"")</f>
        <v/>
      </c>
      <c r="BJ88" s="108" t="str">
        <f>IFERROR((TP_DATA[[#This Row],[D, bottom '[m']]]+#REF!)/(2*#REF!/1000),"")</f>
        <v/>
      </c>
      <c r="CT88" s="102">
        <v>73</v>
      </c>
      <c r="CU88" s="102">
        <v>38.775000000000006</v>
      </c>
      <c r="CV88" s="102">
        <v>38.725000000000001</v>
      </c>
      <c r="CW88" s="102">
        <v>7.476</v>
      </c>
      <c r="CX88" s="102">
        <v>7.476</v>
      </c>
      <c r="CY88" s="102">
        <v>46</v>
      </c>
      <c r="CZ88" s="108">
        <f>IFERROR(TOWER_DATA[[#This Row],[Top '[m']]]-TOWER_DATA[[#This Row],[Bottom '[m']]], "")</f>
        <v>5.0000000000004263E-2</v>
      </c>
      <c r="DA88" s="108">
        <f>IFERROR(-(TOWER_DATA[[#This Row],[D, bottom '[m']]]-TOWER_DATA[[#This Row],[D, top '[m']]])/(TOWER_DATA[[#This Row],[Bottom '[m']]]-TOWER_DATA[[#This Row],[Top '[m']]]),"")</f>
        <v>0</v>
      </c>
      <c r="DB88" s="108">
        <f t="shared" si="6"/>
        <v>0.42144041332902277</v>
      </c>
      <c r="DC88" s="108">
        <f>IFERROR((TOWER_DATA[[#This Row],[D, bottom '[m']]]+TOWER_DATA[[#This Row],[D, top '[m']]])/(2*TOWER_DATA[[#This Row],[t '[mm']]]/1000),"")</f>
        <v>162.52173913043478</v>
      </c>
      <c r="DD88" s="108" t="str">
        <f>IFERROR((TOWER_DATA[[#This Row],[D, bottom '[m']]]+#REF!)/(2*#REF!/1000),"")</f>
        <v/>
      </c>
      <c r="DE88" s="111"/>
      <c r="DF88" s="111"/>
      <c r="DG88" s="111"/>
      <c r="DH88" s="111"/>
      <c r="DI88" s="111"/>
      <c r="DJ88" s="111"/>
      <c r="DK88" s="111"/>
      <c r="DL88" s="111"/>
      <c r="DM88" s="111"/>
      <c r="DW88" s="105">
        <v>73</v>
      </c>
      <c r="DX88" s="105">
        <v>38.775000000000006</v>
      </c>
      <c r="DY88" s="105">
        <v>38.725000000000001</v>
      </c>
      <c r="DZ88" s="105">
        <v>7.476</v>
      </c>
      <c r="EA88" s="105">
        <v>7.476</v>
      </c>
      <c r="EB88" s="105">
        <v>46</v>
      </c>
      <c r="ED88" s="105"/>
      <c r="EE88" s="105"/>
      <c r="EF88" s="105"/>
      <c r="EG88" s="105"/>
      <c r="EH88" s="105"/>
      <c r="EI88" s="105"/>
      <c r="EJ88" s="105"/>
      <c r="EK88" s="105"/>
      <c r="EL88" s="105"/>
      <c r="EU88" s="108" t="str">
        <f t="shared" ref="EU88:EU121" si="8">IF(7850/1000*(1/3)*PI()*ABS(EO88-EP88)*((EQ88/2)^2+(EQ88/2)*(ER88/2)+(ER88/2)^2-(EQ88/2-ET88/1000)^2-(EQ88/2-ET88/1000)*(ER88/2-ET88/1000)-(ER88/2-ET88/1000)^2)=0,"",7850/1000*(1/3)*PI()*ABS(EO88-EP88)*((EQ88/2)^2+(EQ88/2)*(ER88/2)+(ER88/2)^2-(EQ88/2-ET88/1000)^2-(EQ88/2-ET88/1000)*(ER88/2-ET88/1000)-(ER88/2-ET88/1000)^2))</f>
        <v/>
      </c>
      <c r="EV88" s="108"/>
    </row>
    <row r="89" spans="6:152" x14ac:dyDescent="0.3">
      <c r="F89" s="108"/>
      <c r="G89" s="108"/>
      <c r="H89" s="108"/>
      <c r="I89" s="108"/>
      <c r="J89" s="108"/>
      <c r="K89" s="108"/>
      <c r="L89" s="108" t="str">
        <f>IFERROR(MP_DATA[[#This Row],[Bottom '[m']]]-MP_DATA[[#This Row],[D, top '[m']]], "")</f>
        <v/>
      </c>
      <c r="M89" s="108" t="str">
        <f>IFERROR(-(MP_DATA[[#This Row],[D, bottom '[m']]]-MP_DATA[[#This Row],[D, top '[m']]])/(MP_DATA[[#This Row],[Bottom '[m']]]-MP_DATA[[#This Row],[Top '[m']]]),"")</f>
        <v/>
      </c>
      <c r="N89" s="108" t="str">
        <f t="shared" si="4"/>
        <v/>
      </c>
      <c r="O89" s="108" t="str">
        <f>IFERROR((MP_DATA[[#This Row],[D, bottom '[m']]]+MP_DATA[[#This Row],[D, top '[m']]])/(2*MP_DATA[[#This Row],[t '[mm']]]/1000),"")</f>
        <v/>
      </c>
      <c r="P89" s="108" t="str">
        <f>IFERROR((MP_DATA[[#This Row],[D, bottom '[m']]]+#REF!)/(2*#REF!/1000),"")</f>
        <v/>
      </c>
      <c r="BF89" s="108" t="str">
        <f>IFERROR(TP_DATA[[#This Row],[Bottom '[m']]]-TP_DATA[[#This Row],[D, top '[m']]], "")</f>
        <v/>
      </c>
      <c r="BG89" s="108" t="str">
        <f>IFERROR(-(TP_DATA[[#This Row],[D, bottom '[m']]]-TP_DATA[[#This Row],[D, top '[m']]])/(TP_DATA[[#This Row],[Bottom '[m']]]-TP_DATA[[#This Row],[Top '[m']]]),"")</f>
        <v/>
      </c>
      <c r="BH89" s="108" t="str">
        <f t="shared" si="7"/>
        <v/>
      </c>
      <c r="BI89" s="108" t="str">
        <f>IFERROR((TP_DATA[[#This Row],[D, bottom '[m']]]+TP_DATA[[#This Row],[D, top '[m']]])/(2*TP_DATA[[#This Row],[t '[mm']]]/1000),"")</f>
        <v/>
      </c>
      <c r="BJ89" s="108" t="str">
        <f>IFERROR((TP_DATA[[#This Row],[D, bottom '[m']]]+#REF!)/(2*#REF!/1000),"")</f>
        <v/>
      </c>
      <c r="CT89" s="102">
        <v>74</v>
      </c>
      <c r="CU89" s="102">
        <v>38.725000000000001</v>
      </c>
      <c r="CV89" s="102">
        <v>38.540000000000006</v>
      </c>
      <c r="CW89" s="102">
        <v>7.476</v>
      </c>
      <c r="CX89" s="102">
        <v>7.476</v>
      </c>
      <c r="CY89" s="102">
        <v>46</v>
      </c>
      <c r="CZ89" s="108">
        <f>IFERROR(TOWER_DATA[[#This Row],[Top '[m']]]-TOWER_DATA[[#This Row],[Bottom '[m']]], "")</f>
        <v>0.18499999999999517</v>
      </c>
      <c r="DA89" s="108">
        <f>IFERROR(-(TOWER_DATA[[#This Row],[D, bottom '[m']]]-TOWER_DATA[[#This Row],[D, top '[m']]])/(TOWER_DATA[[#This Row],[Bottom '[m']]]-TOWER_DATA[[#This Row],[Top '[m']]]),"")</f>
        <v>0</v>
      </c>
      <c r="DB89" s="108">
        <f t="shared" si="6"/>
        <v>1.5593295293172105</v>
      </c>
      <c r="DC89" s="108">
        <f>IFERROR((TOWER_DATA[[#This Row],[D, bottom '[m']]]+TOWER_DATA[[#This Row],[D, top '[m']]])/(2*TOWER_DATA[[#This Row],[t '[mm']]]/1000),"")</f>
        <v>162.52173913043478</v>
      </c>
      <c r="DD89" s="108" t="str">
        <f>IFERROR((TOWER_DATA[[#This Row],[D, bottom '[m']]]+#REF!)/(2*#REF!/1000),"")</f>
        <v/>
      </c>
      <c r="DE89" s="111"/>
      <c r="DF89" s="111"/>
      <c r="DG89" s="111"/>
      <c r="DH89" s="111"/>
      <c r="DI89" s="111"/>
      <c r="DJ89" s="111"/>
      <c r="DK89" s="111"/>
      <c r="DL89" s="111"/>
      <c r="DM89" s="111"/>
      <c r="DW89" s="105">
        <v>74</v>
      </c>
      <c r="DX89" s="105">
        <v>38.725000000000001</v>
      </c>
      <c r="DY89" s="105">
        <v>38.540000000000006</v>
      </c>
      <c r="DZ89" s="105">
        <v>7.476</v>
      </c>
      <c r="EA89" s="105">
        <v>7.476</v>
      </c>
      <c r="EB89" s="105">
        <v>46</v>
      </c>
      <c r="ED89" s="105"/>
      <c r="EE89" s="105"/>
      <c r="EF89" s="105"/>
      <c r="EG89" s="105"/>
      <c r="EH89" s="105"/>
      <c r="EI89" s="105"/>
      <c r="EJ89" s="105"/>
      <c r="EK89" s="105"/>
      <c r="EL89" s="105"/>
      <c r="EU89" s="108" t="str">
        <f t="shared" si="8"/>
        <v/>
      </c>
      <c r="EV89" s="108"/>
    </row>
    <row r="90" spans="6:152" x14ac:dyDescent="0.3">
      <c r="F90" s="108"/>
      <c r="H90" s="108"/>
      <c r="J90" s="108"/>
      <c r="L90" s="108" t="str">
        <f>IFERROR(MP_DATA[[#This Row],[Bottom '[m']]]-MP_DATA[[#This Row],[D, top '[m']]], "")</f>
        <v/>
      </c>
      <c r="M90" s="95" t="str">
        <f>IFERROR(-(MP_DATA[[#This Row],[D, bottom '[m']]]-MP_DATA[[#This Row],[D, top '[m']]])/(MP_DATA[[#This Row],[Bottom '[m']]]-MP_DATA[[#This Row],[Top '[m']]]),"")</f>
        <v/>
      </c>
      <c r="N90" s="108" t="str">
        <f t="shared" si="4"/>
        <v/>
      </c>
      <c r="O90" s="108" t="str">
        <f>IFERROR((MP_DATA[[#This Row],[D, bottom '[m']]]+MP_DATA[[#This Row],[D, top '[m']]])/(2*MP_DATA[[#This Row],[t '[mm']]]/1000),"")</f>
        <v/>
      </c>
      <c r="P90" s="108" t="str">
        <f>IFERROR((MP_DATA[[#This Row],[D, bottom '[m']]]+#REF!)/(2*#REF!/1000),"")</f>
        <v/>
      </c>
      <c r="BF90" s="108" t="str">
        <f>IFERROR(TP_DATA[[#This Row],[Bottom '[m']]]-TP_DATA[[#This Row],[D, top '[m']]], "")</f>
        <v/>
      </c>
      <c r="BG90" s="108" t="str">
        <f>IFERROR(-(TP_DATA[[#This Row],[D, bottom '[m']]]-TP_DATA[[#This Row],[D, top '[m']]])/(TP_DATA[[#This Row],[Bottom '[m']]]-TP_DATA[[#This Row],[Top '[m']]]),"")</f>
        <v/>
      </c>
      <c r="BH90" s="108" t="str">
        <f t="shared" si="7"/>
        <v/>
      </c>
      <c r="BI90" s="108" t="str">
        <f>IFERROR((TP_DATA[[#This Row],[D, bottom '[m']]]+TP_DATA[[#This Row],[D, top '[m']]])/(2*TP_DATA[[#This Row],[t '[mm']]]/1000),"")</f>
        <v/>
      </c>
      <c r="BJ90" s="108" t="str">
        <f>IFERROR((TP_DATA[[#This Row],[D, bottom '[m']]]+#REF!)/(2*#REF!/1000),"")</f>
        <v/>
      </c>
      <c r="CT90" s="102">
        <v>75</v>
      </c>
      <c r="CU90" s="102">
        <v>38.540000000000006</v>
      </c>
      <c r="CV90" s="102">
        <v>38.355000000000004</v>
      </c>
      <c r="CW90" s="102">
        <v>7.476</v>
      </c>
      <c r="CX90" s="102">
        <v>7.476</v>
      </c>
      <c r="CY90" s="102">
        <v>46</v>
      </c>
      <c r="CZ90" s="108">
        <f>IFERROR(TOWER_DATA[[#This Row],[Top '[m']]]-TOWER_DATA[[#This Row],[Bottom '[m']]], "")</f>
        <v>0.18500000000000227</v>
      </c>
      <c r="DA90" s="108">
        <f>IFERROR(-(TOWER_DATA[[#This Row],[D, bottom '[m']]]-TOWER_DATA[[#This Row],[D, top '[m']]])/(TOWER_DATA[[#This Row],[Bottom '[m']]]-TOWER_DATA[[#This Row],[Top '[m']]]),"")</f>
        <v>0</v>
      </c>
      <c r="DB90" s="108">
        <f t="shared" si="6"/>
        <v>1.5593295293172704</v>
      </c>
      <c r="DC90" s="108">
        <f>IFERROR((TOWER_DATA[[#This Row],[D, bottom '[m']]]+TOWER_DATA[[#This Row],[D, top '[m']]])/(2*TOWER_DATA[[#This Row],[t '[mm']]]/1000),"")</f>
        <v>162.52173913043478</v>
      </c>
      <c r="DD90" s="108" t="str">
        <f>IFERROR((TOWER_DATA[[#This Row],[D, bottom '[m']]]+#REF!)/(2*#REF!/1000),"")</f>
        <v/>
      </c>
      <c r="DE90" s="111"/>
      <c r="DF90" s="111"/>
      <c r="DG90" s="111"/>
      <c r="DH90" s="111"/>
      <c r="DI90" s="111"/>
      <c r="DJ90" s="111"/>
      <c r="DK90" s="111"/>
      <c r="DL90" s="111"/>
      <c r="DM90" s="111"/>
      <c r="DW90" s="105">
        <v>75</v>
      </c>
      <c r="DX90" s="105">
        <v>38.540000000000006</v>
      </c>
      <c r="DY90" s="105">
        <v>38.355000000000004</v>
      </c>
      <c r="DZ90" s="105">
        <v>7.476</v>
      </c>
      <c r="EA90" s="105">
        <v>7.476</v>
      </c>
      <c r="EB90" s="105">
        <v>46</v>
      </c>
      <c r="ED90" s="105"/>
      <c r="EE90" s="105"/>
      <c r="EF90" s="105"/>
      <c r="EG90" s="105"/>
      <c r="EH90" s="105"/>
      <c r="EI90" s="105"/>
      <c r="EJ90" s="105"/>
      <c r="EK90" s="105"/>
      <c r="EL90" s="105"/>
      <c r="EU90" s="108" t="str">
        <f t="shared" si="8"/>
        <v/>
      </c>
      <c r="EV90" s="108"/>
    </row>
    <row r="91" spans="6:152" x14ac:dyDescent="0.3">
      <c r="F91" s="108"/>
      <c r="H91" s="108"/>
      <c r="J91" s="108"/>
      <c r="L91" s="108" t="str">
        <f>IFERROR(MP_DATA[[#This Row],[Bottom '[m']]]-MP_DATA[[#This Row],[D, top '[m']]], "")</f>
        <v/>
      </c>
      <c r="M91" s="95" t="str">
        <f>IFERROR(-(MP_DATA[[#This Row],[D, bottom '[m']]]-MP_DATA[[#This Row],[D, top '[m']]])/(MP_DATA[[#This Row],[Bottom '[m']]]-MP_DATA[[#This Row],[Top '[m']]]),"")</f>
        <v/>
      </c>
      <c r="N91" s="108" t="str">
        <f t="shared" si="4"/>
        <v/>
      </c>
      <c r="O91" s="108" t="str">
        <f>IFERROR((MP_DATA[[#This Row],[D, bottom '[m']]]+MP_DATA[[#This Row],[D, top '[m']]])/(2*MP_DATA[[#This Row],[t '[mm']]]/1000),"")</f>
        <v/>
      </c>
      <c r="P91" s="108" t="str">
        <f>IFERROR((MP_DATA[[#This Row],[D, bottom '[m']]]+#REF!)/(2*#REF!/1000),"")</f>
        <v/>
      </c>
      <c r="BF91" s="108" t="str">
        <f>IFERROR(TP_DATA[[#This Row],[Bottom '[m']]]-TP_DATA[[#This Row],[D, top '[m']]], "")</f>
        <v/>
      </c>
      <c r="BG91" s="108" t="str">
        <f>IFERROR(-(TP_DATA[[#This Row],[D, bottom '[m']]]-TP_DATA[[#This Row],[D, top '[m']]])/(TP_DATA[[#This Row],[Bottom '[m']]]-TP_DATA[[#This Row],[Top '[m']]]),"")</f>
        <v/>
      </c>
      <c r="BH91" s="108" t="str">
        <f t="shared" si="7"/>
        <v/>
      </c>
      <c r="BI91" s="108" t="str">
        <f>IFERROR((TP_DATA[[#This Row],[D, bottom '[m']]]+TP_DATA[[#This Row],[D, top '[m']]])/(2*TP_DATA[[#This Row],[t '[mm']]]/1000),"")</f>
        <v/>
      </c>
      <c r="BJ91" s="108" t="str">
        <f>IFERROR((TP_DATA[[#This Row],[D, bottom '[m']]]+#REF!)/(2*#REF!/1000),"")</f>
        <v/>
      </c>
      <c r="CT91" s="102">
        <v>76</v>
      </c>
      <c r="CU91" s="102">
        <v>38.355000000000004</v>
      </c>
      <c r="CV91" s="102">
        <v>38.305000000000007</v>
      </c>
      <c r="CW91" s="102">
        <v>7.476</v>
      </c>
      <c r="CX91" s="102">
        <v>7.4740000000000002</v>
      </c>
      <c r="CY91" s="102">
        <v>46</v>
      </c>
      <c r="CZ91" s="108">
        <f>IFERROR(TOWER_DATA[[#This Row],[Top '[m']]]-TOWER_DATA[[#This Row],[Bottom '[m']]], "")</f>
        <v>4.9999999999997158E-2</v>
      </c>
      <c r="DA91" s="108">
        <f>IFERROR(-(TOWER_DATA[[#This Row],[D, bottom '[m']]]-TOWER_DATA[[#This Row],[D, top '[m']]])/(TOWER_DATA[[#This Row],[Bottom '[m']]]-TOWER_DATA[[#This Row],[Top '[m']]]),"")</f>
        <v>-3.9999999999997871E-2</v>
      </c>
      <c r="DB91" s="108">
        <f t="shared" si="6"/>
        <v>0.42138369187360242</v>
      </c>
      <c r="DC91" s="108">
        <f>IFERROR((TOWER_DATA[[#This Row],[D, bottom '[m']]]+TOWER_DATA[[#This Row],[D, top '[m']]])/(2*TOWER_DATA[[#This Row],[t '[mm']]]/1000),"")</f>
        <v>162.5</v>
      </c>
      <c r="DD91" s="108" t="str">
        <f>IFERROR((TOWER_DATA[[#This Row],[D, bottom '[m']]]+#REF!)/(2*#REF!/1000),"")</f>
        <v/>
      </c>
      <c r="DE91" s="111"/>
      <c r="DF91" s="111"/>
      <c r="DG91" s="111"/>
      <c r="DH91" s="111"/>
      <c r="DI91" s="111"/>
      <c r="DJ91" s="111"/>
      <c r="DK91" s="111"/>
      <c r="DL91" s="111"/>
      <c r="DM91" s="111"/>
      <c r="DW91" s="105">
        <v>76</v>
      </c>
      <c r="DX91" s="105">
        <v>38.355000000000004</v>
      </c>
      <c r="DY91" s="105">
        <v>38.305000000000007</v>
      </c>
      <c r="DZ91" s="105">
        <v>7.476</v>
      </c>
      <c r="EA91" s="105">
        <v>7.4740000000000002</v>
      </c>
      <c r="EB91" s="105">
        <v>46</v>
      </c>
      <c r="ED91" s="105"/>
      <c r="EE91" s="105"/>
      <c r="EF91" s="105"/>
      <c r="EG91" s="105"/>
      <c r="EH91" s="105"/>
      <c r="EI91" s="105"/>
      <c r="EJ91" s="105"/>
      <c r="EK91" s="105"/>
      <c r="EL91" s="105"/>
      <c r="EU91" s="108" t="str">
        <f t="shared" si="8"/>
        <v/>
      </c>
      <c r="EV91" s="108"/>
    </row>
    <row r="92" spans="6:152" x14ac:dyDescent="0.3">
      <c r="F92" s="108"/>
      <c r="H92" s="108"/>
      <c r="J92" s="108"/>
      <c r="L92" s="108" t="str">
        <f>IFERROR(MP_DATA[[#This Row],[Bottom '[m']]]-MP_DATA[[#This Row],[D, top '[m']]], "")</f>
        <v/>
      </c>
      <c r="M92" s="95" t="str">
        <f>IFERROR(-(MP_DATA[[#This Row],[D, bottom '[m']]]-MP_DATA[[#This Row],[D, top '[m']]])/(MP_DATA[[#This Row],[Bottom '[m']]]-MP_DATA[[#This Row],[Top '[m']]]),"")</f>
        <v/>
      </c>
      <c r="N92" s="108" t="str">
        <f t="shared" si="4"/>
        <v/>
      </c>
      <c r="O92" s="108" t="str">
        <f>IFERROR((MP_DATA[[#This Row],[D, bottom '[m']]]+MP_DATA[[#This Row],[D, top '[m']]])/(2*MP_DATA[[#This Row],[t '[mm']]]/1000),"")</f>
        <v/>
      </c>
      <c r="P92" s="108" t="str">
        <f>IFERROR((MP_DATA[[#This Row],[D, bottom '[m']]]+#REF!)/(2*#REF!/1000),"")</f>
        <v/>
      </c>
      <c r="BF92" s="108" t="str">
        <f>IFERROR(TP_DATA[[#This Row],[Bottom '[m']]]-TP_DATA[[#This Row],[D, top '[m']]], "")</f>
        <v/>
      </c>
      <c r="BG92" s="108" t="str">
        <f>IFERROR(-(TP_DATA[[#This Row],[D, bottom '[m']]]-TP_DATA[[#This Row],[D, top '[m']]])/(TP_DATA[[#This Row],[Bottom '[m']]]-TP_DATA[[#This Row],[Top '[m']]]),"")</f>
        <v/>
      </c>
      <c r="BH92" s="108" t="str">
        <f t="shared" si="7"/>
        <v/>
      </c>
      <c r="BI92" s="108" t="str">
        <f>IFERROR((TP_DATA[[#This Row],[D, bottom '[m']]]+TP_DATA[[#This Row],[D, top '[m']]])/(2*TP_DATA[[#This Row],[t '[mm']]]/1000),"")</f>
        <v/>
      </c>
      <c r="BJ92" s="108" t="str">
        <f>IFERROR((TP_DATA[[#This Row],[D, bottom '[m']]]+#REF!)/(2*#REF!/1000),"")</f>
        <v/>
      </c>
      <c r="CT92" s="102">
        <v>77</v>
      </c>
      <c r="CU92" s="102">
        <v>38.305000000000007</v>
      </c>
      <c r="CV92" s="102">
        <v>37.343000000000004</v>
      </c>
      <c r="CW92" s="102">
        <v>7.4740000000000002</v>
      </c>
      <c r="CX92" s="102">
        <v>7.4740000000000002</v>
      </c>
      <c r="CY92" s="102">
        <v>44.1</v>
      </c>
      <c r="CZ92" s="108">
        <f>IFERROR(TOWER_DATA[[#This Row],[Top '[m']]]-TOWER_DATA[[#This Row],[Bottom '[m']]], "")</f>
        <v>0.9620000000000033</v>
      </c>
      <c r="DA92" s="108">
        <f>IFERROR(-(TOWER_DATA[[#This Row],[D, bottom '[m']]]-TOWER_DATA[[#This Row],[D, top '[m']]])/(TOWER_DATA[[#This Row],[Bottom '[m']]]-TOWER_DATA[[#This Row],[Top '[m']]]),"")</f>
        <v>0</v>
      </c>
      <c r="DB92" s="108">
        <f t="shared" si="6"/>
        <v>7.7734920638760601</v>
      </c>
      <c r="DC92" s="108">
        <f>IFERROR((TOWER_DATA[[#This Row],[D, bottom '[m']]]+TOWER_DATA[[#This Row],[D, top '[m']]])/(2*TOWER_DATA[[#This Row],[t '[mm']]]/1000),"")</f>
        <v>169.47845804988663</v>
      </c>
      <c r="DD92" s="108" t="str">
        <f>IFERROR((TOWER_DATA[[#This Row],[D, bottom '[m']]]+#REF!)/(2*#REF!/1000),"")</f>
        <v/>
      </c>
      <c r="DE92" s="111"/>
      <c r="DF92" s="111"/>
      <c r="DG92" s="111"/>
      <c r="DH92" s="111"/>
      <c r="DI92" s="111"/>
      <c r="DJ92" s="111"/>
      <c r="DK92" s="111"/>
      <c r="DL92" s="111"/>
      <c r="DM92" s="111"/>
      <c r="DW92" s="105">
        <v>77</v>
      </c>
      <c r="DX92" s="105">
        <v>38.305000000000007</v>
      </c>
      <c r="DY92" s="105">
        <v>37.343000000000004</v>
      </c>
      <c r="DZ92" s="105">
        <v>7.4740000000000002</v>
      </c>
      <c r="EA92" s="105">
        <v>7.4740000000000002</v>
      </c>
      <c r="EB92" s="105">
        <v>44.1</v>
      </c>
      <c r="ED92" s="105"/>
      <c r="EE92" s="105"/>
      <c r="EF92" s="105"/>
      <c r="EG92" s="105"/>
      <c r="EH92" s="105"/>
      <c r="EI92" s="105"/>
      <c r="EJ92" s="105"/>
      <c r="EK92" s="105"/>
      <c r="EL92" s="105"/>
      <c r="EU92" s="108" t="str">
        <f t="shared" si="8"/>
        <v/>
      </c>
      <c r="EV92" s="108"/>
    </row>
    <row r="93" spans="6:152" x14ac:dyDescent="0.3">
      <c r="F93" s="108"/>
      <c r="H93" s="108"/>
      <c r="J93" s="108"/>
      <c r="L93" s="108" t="str">
        <f>IFERROR(MP_DATA[[#This Row],[Bottom '[m']]]-MP_DATA[[#This Row],[D, top '[m']]], "")</f>
        <v/>
      </c>
      <c r="M93" s="95" t="str">
        <f>IFERROR(-(MP_DATA[[#This Row],[D, bottom '[m']]]-MP_DATA[[#This Row],[D, top '[m']]])/(MP_DATA[[#This Row],[Bottom '[m']]]-MP_DATA[[#This Row],[Top '[m']]]),"")</f>
        <v/>
      </c>
      <c r="N93" s="108" t="str">
        <f t="shared" si="4"/>
        <v/>
      </c>
      <c r="O93" s="108" t="str">
        <f>IFERROR((MP_DATA[[#This Row],[D, bottom '[m']]]+MP_DATA[[#This Row],[D, top '[m']]])/(2*MP_DATA[[#This Row],[t '[mm']]]/1000),"")</f>
        <v/>
      </c>
      <c r="P93" s="108" t="str">
        <f>IFERROR((MP_DATA[[#This Row],[D, bottom '[m']]]+#REF!)/(2*#REF!/1000),"")</f>
        <v/>
      </c>
      <c r="BF93" s="108" t="str">
        <f>IFERROR(TP_DATA[[#This Row],[Bottom '[m']]]-TP_DATA[[#This Row],[D, top '[m']]], "")</f>
        <v/>
      </c>
      <c r="BG93" s="108" t="str">
        <f>IFERROR(-(TP_DATA[[#This Row],[D, bottom '[m']]]-TP_DATA[[#This Row],[D, top '[m']]])/(TP_DATA[[#This Row],[Bottom '[m']]]-TP_DATA[[#This Row],[Top '[m']]]),"")</f>
        <v/>
      </c>
      <c r="BH93" s="108" t="str">
        <f t="shared" si="7"/>
        <v/>
      </c>
      <c r="BI93" s="108" t="str">
        <f>IFERROR((TP_DATA[[#This Row],[D, bottom '[m']]]+TP_DATA[[#This Row],[D, top '[m']]])/(2*TP_DATA[[#This Row],[t '[mm']]]/1000),"")</f>
        <v/>
      </c>
      <c r="BJ93" s="108" t="str">
        <f>IFERROR((TP_DATA[[#This Row],[D, bottom '[m']]]+#REF!)/(2*#REF!/1000),"")</f>
        <v/>
      </c>
      <c r="CT93" s="102">
        <v>78</v>
      </c>
      <c r="CU93" s="102">
        <v>37.343000000000004</v>
      </c>
      <c r="CV93" s="102">
        <v>35.43</v>
      </c>
      <c r="CW93" s="102">
        <v>7.4740000000000002</v>
      </c>
      <c r="CX93" s="102">
        <v>7.476</v>
      </c>
      <c r="CY93" s="102">
        <v>44.1</v>
      </c>
      <c r="CZ93" s="108">
        <f>IFERROR(TOWER_DATA[[#This Row],[Top '[m']]]-TOWER_DATA[[#This Row],[Bottom '[m']]], "")</f>
        <v>1.9130000000000038</v>
      </c>
      <c r="DA93" s="108">
        <f>IFERROR(-(TOWER_DATA[[#This Row],[D, bottom '[m']]]-TOWER_DATA[[#This Row],[D, top '[m']]])/(TOWER_DATA[[#This Row],[Bottom '[m']]]-TOWER_DATA[[#This Row],[Top '[m']]]),"")</f>
        <v>1.0454783063250266E-3</v>
      </c>
      <c r="DB93" s="108">
        <f t="shared" si="6"/>
        <v>15.460178569581235</v>
      </c>
      <c r="DC93" s="108">
        <f>IFERROR((TOWER_DATA[[#This Row],[D, bottom '[m']]]+TOWER_DATA[[#This Row],[D, top '[m']]])/(2*TOWER_DATA[[#This Row],[t '[mm']]]/1000),"")</f>
        <v>169.50113378684807</v>
      </c>
      <c r="DD93" s="108" t="str">
        <f>IFERROR((TOWER_DATA[[#This Row],[D, bottom '[m']]]+#REF!)/(2*#REF!/1000),"")</f>
        <v/>
      </c>
      <c r="DE93" s="111"/>
      <c r="DF93" s="111"/>
      <c r="DG93" s="111"/>
      <c r="DH93" s="111"/>
      <c r="DI93" s="111"/>
      <c r="DJ93" s="111"/>
      <c r="DK93" s="111"/>
      <c r="DL93" s="111"/>
      <c r="DM93" s="111"/>
      <c r="DW93" s="105">
        <v>78</v>
      </c>
      <c r="DX93" s="105">
        <v>37.343000000000004</v>
      </c>
      <c r="DY93" s="105">
        <v>35.43</v>
      </c>
      <c r="DZ93" s="105">
        <v>7.4740000000000002</v>
      </c>
      <c r="EA93" s="105">
        <v>7.476</v>
      </c>
      <c r="EB93" s="105">
        <v>44.1</v>
      </c>
      <c r="ED93" s="105"/>
      <c r="EE93" s="105"/>
      <c r="EF93" s="105"/>
      <c r="EG93" s="105"/>
      <c r="EH93" s="105"/>
      <c r="EI93" s="105"/>
      <c r="EJ93" s="105"/>
      <c r="EK93" s="105"/>
      <c r="EL93" s="105"/>
      <c r="EU93" s="108" t="str">
        <f t="shared" si="8"/>
        <v/>
      </c>
      <c r="EV93" s="108"/>
    </row>
    <row r="94" spans="6:152" x14ac:dyDescent="0.3">
      <c r="F94" s="108"/>
      <c r="G94" s="108"/>
      <c r="H94" s="108"/>
      <c r="I94" s="108"/>
      <c r="J94" s="108"/>
      <c r="K94" s="108"/>
      <c r="L94" s="108" t="str">
        <f>IFERROR(MP_DATA[[#This Row],[Bottom '[m']]]-MP_DATA[[#This Row],[D, top '[m']]], "")</f>
        <v/>
      </c>
      <c r="M94" s="108" t="str">
        <f>IFERROR(-(MP_DATA[[#This Row],[D, bottom '[m']]]-MP_DATA[[#This Row],[D, top '[m']]])/(MP_DATA[[#This Row],[Bottom '[m']]]-MP_DATA[[#This Row],[Top '[m']]]),"")</f>
        <v/>
      </c>
      <c r="N94" s="108" t="str">
        <f t="shared" si="4"/>
        <v/>
      </c>
      <c r="O94" s="108" t="str">
        <f>IFERROR((MP_DATA[[#This Row],[D, bottom '[m']]]+MP_DATA[[#This Row],[D, top '[m']]])/(2*MP_DATA[[#This Row],[t '[mm']]]/1000),"")</f>
        <v/>
      </c>
      <c r="P94" s="108" t="str">
        <f>IFERROR((MP_DATA[[#This Row],[D, bottom '[m']]]+#REF!)/(2*#REF!/1000),"")</f>
        <v/>
      </c>
      <c r="BF94" s="108" t="str">
        <f>IFERROR(TP_DATA[[#This Row],[Bottom '[m']]]-TP_DATA[[#This Row],[D, top '[m']]], "")</f>
        <v/>
      </c>
      <c r="BG94" s="108" t="str">
        <f>IFERROR(-(TP_DATA[[#This Row],[D, bottom '[m']]]-TP_DATA[[#This Row],[D, top '[m']]])/(TP_DATA[[#This Row],[Bottom '[m']]]-TP_DATA[[#This Row],[Top '[m']]]),"")</f>
        <v/>
      </c>
      <c r="BH94" s="108" t="str">
        <f t="shared" si="7"/>
        <v/>
      </c>
      <c r="BI94" s="108" t="str">
        <f>IFERROR((TP_DATA[[#This Row],[D, bottom '[m']]]+TP_DATA[[#This Row],[D, top '[m']]])/(2*TP_DATA[[#This Row],[t '[mm']]]/1000),"")</f>
        <v/>
      </c>
      <c r="BJ94" s="108" t="str">
        <f>IFERROR((TP_DATA[[#This Row],[D, bottom '[m']]]+#REF!)/(2*#REF!/1000),"")</f>
        <v/>
      </c>
      <c r="CT94" s="102">
        <v>79</v>
      </c>
      <c r="CU94" s="102">
        <v>35.43</v>
      </c>
      <c r="CV94" s="102">
        <v>33.231999999999999</v>
      </c>
      <c r="CW94" s="102">
        <v>7.476</v>
      </c>
      <c r="CX94" s="102">
        <v>7.476</v>
      </c>
      <c r="CY94" s="102">
        <v>45.6</v>
      </c>
      <c r="CZ94" s="108">
        <f>IFERROR(TOWER_DATA[[#This Row],[Top '[m']]]-TOWER_DATA[[#This Row],[Bottom '[m']]], "")</f>
        <v>2.1980000000000004</v>
      </c>
      <c r="DA94" s="108">
        <f>IFERROR(-(TOWER_DATA[[#This Row],[D, bottom '[m']]]-TOWER_DATA[[#This Row],[D, top '[m']]])/(TOWER_DATA[[#This Row],[Bottom '[m']]]-TOWER_DATA[[#This Row],[Top '[m']]]),"")</f>
        <v>0</v>
      </c>
      <c r="DB94" s="108">
        <f t="shared" si="6"/>
        <v>18.36640910818716</v>
      </c>
      <c r="DC94" s="108">
        <f>IFERROR((TOWER_DATA[[#This Row],[D, bottom '[m']]]+TOWER_DATA[[#This Row],[D, top '[m']]])/(2*TOWER_DATA[[#This Row],[t '[mm']]]/1000),"")</f>
        <v>163.94736842105263</v>
      </c>
      <c r="DD94" s="108" t="str">
        <f>IFERROR((TOWER_DATA[[#This Row],[D, bottom '[m']]]+#REF!)/(2*#REF!/1000),"")</f>
        <v/>
      </c>
      <c r="DE94" s="111"/>
      <c r="DF94" s="111"/>
      <c r="DG94" s="111"/>
      <c r="DH94" s="111"/>
      <c r="DI94" s="111"/>
      <c r="DJ94" s="111"/>
      <c r="DK94" s="111"/>
      <c r="DL94" s="111"/>
      <c r="DM94" s="111"/>
      <c r="DW94" s="105">
        <v>79</v>
      </c>
      <c r="DX94" s="105">
        <v>35.43</v>
      </c>
      <c r="DY94" s="105">
        <v>33.231999999999999</v>
      </c>
      <c r="DZ94" s="105">
        <v>7.476</v>
      </c>
      <c r="EA94" s="105">
        <v>7.476</v>
      </c>
      <c r="EB94" s="105">
        <v>45.6</v>
      </c>
      <c r="ED94" s="105"/>
      <c r="EE94" s="105"/>
      <c r="EF94" s="105"/>
      <c r="EG94" s="105"/>
      <c r="EH94" s="105"/>
      <c r="EI94" s="105"/>
      <c r="EJ94" s="105"/>
      <c r="EK94" s="105"/>
      <c r="EL94" s="105"/>
      <c r="EU94" s="108" t="str">
        <f t="shared" si="8"/>
        <v/>
      </c>
      <c r="EV94" s="108"/>
    </row>
    <row r="95" spans="6:152" x14ac:dyDescent="0.3">
      <c r="F95" s="108"/>
      <c r="G95" s="108"/>
      <c r="H95" s="108"/>
      <c r="I95" s="108"/>
      <c r="J95" s="108"/>
      <c r="K95" s="108"/>
      <c r="L95" s="108" t="str">
        <f>IFERROR(MP_DATA[[#This Row],[Bottom '[m']]]-MP_DATA[[#This Row],[D, top '[m']]], "")</f>
        <v/>
      </c>
      <c r="M95" s="108" t="str">
        <f>IFERROR(-(MP_DATA[[#This Row],[D, bottom '[m']]]-MP_DATA[[#This Row],[D, top '[m']]])/(MP_DATA[[#This Row],[Bottom '[m']]]-MP_DATA[[#This Row],[Top '[m']]]),"")</f>
        <v/>
      </c>
      <c r="N95" s="108" t="str">
        <f t="shared" si="4"/>
        <v/>
      </c>
      <c r="O95" s="108" t="str">
        <f>IFERROR((MP_DATA[[#This Row],[D, bottom '[m']]]+MP_DATA[[#This Row],[D, top '[m']]])/(2*MP_DATA[[#This Row],[t '[mm']]]/1000),"")</f>
        <v/>
      </c>
      <c r="P95" s="108" t="str">
        <f>IFERROR((MP_DATA[[#This Row],[D, bottom '[m']]]+#REF!)/(2*#REF!/1000),"")</f>
        <v/>
      </c>
      <c r="BF95" s="108" t="str">
        <f>IFERROR(TP_DATA[[#This Row],[Bottom '[m']]]-TP_DATA[[#This Row],[D, top '[m']]], "")</f>
        <v/>
      </c>
      <c r="BG95" s="108" t="str">
        <f>IFERROR(-(TP_DATA[[#This Row],[D, bottom '[m']]]-TP_DATA[[#This Row],[D, top '[m']]])/(TP_DATA[[#This Row],[Bottom '[m']]]-TP_DATA[[#This Row],[Top '[m']]]),"")</f>
        <v/>
      </c>
      <c r="BH95" s="108" t="str">
        <f t="shared" si="7"/>
        <v/>
      </c>
      <c r="BI95" s="108" t="str">
        <f>IFERROR((TP_DATA[[#This Row],[D, bottom '[m']]]+TP_DATA[[#This Row],[D, top '[m']]])/(2*TP_DATA[[#This Row],[t '[mm']]]/1000),"")</f>
        <v/>
      </c>
      <c r="BJ95" s="108" t="str">
        <f>IFERROR((TP_DATA[[#This Row],[D, bottom '[m']]]+#REF!)/(2*#REF!/1000),"")</f>
        <v/>
      </c>
      <c r="CT95" s="102">
        <v>80</v>
      </c>
      <c r="CU95" s="102">
        <v>33.231999999999999</v>
      </c>
      <c r="CV95" s="102">
        <v>32.5</v>
      </c>
      <c r="CW95" s="102">
        <v>7.476</v>
      </c>
      <c r="CX95" s="102">
        <v>7.4770000000000003</v>
      </c>
      <c r="CY95" s="102">
        <v>45.6</v>
      </c>
      <c r="CZ95" s="108">
        <f>IFERROR(TOWER_DATA[[#This Row],[Top '[m']]]-TOWER_DATA[[#This Row],[Bottom '[m']]], "")</f>
        <v>0.73199999999999932</v>
      </c>
      <c r="DA95" s="108">
        <f>IFERROR(-(TOWER_DATA[[#This Row],[D, bottom '[m']]]-TOWER_DATA[[#This Row],[D, top '[m']]])/(TOWER_DATA[[#This Row],[Bottom '[m']]]-TOWER_DATA[[#This Row],[Top '[m']]]),"")</f>
        <v>1.3661202185796925E-3</v>
      </c>
      <c r="DB95" s="108">
        <f t="shared" si="6"/>
        <v>6.1169773172667181</v>
      </c>
      <c r="DC95" s="108">
        <f>IFERROR((TOWER_DATA[[#This Row],[D, bottom '[m']]]+TOWER_DATA[[#This Row],[D, top '[m']]])/(2*TOWER_DATA[[#This Row],[t '[mm']]]/1000),"")</f>
        <v>163.95833333333331</v>
      </c>
      <c r="DD95" s="108" t="str">
        <f>IFERROR((TOWER_DATA[[#This Row],[D, bottom '[m']]]+#REF!)/(2*#REF!/1000),"")</f>
        <v/>
      </c>
      <c r="DE95" s="111"/>
      <c r="DF95" s="111"/>
      <c r="DG95" s="111"/>
      <c r="DH95" s="111"/>
      <c r="DI95" s="111"/>
      <c r="DJ95" s="111"/>
      <c r="DK95" s="111"/>
      <c r="DL95" s="111"/>
      <c r="DM95" s="111"/>
      <c r="DW95" s="105">
        <v>80</v>
      </c>
      <c r="DX95" s="105">
        <v>33.231999999999999</v>
      </c>
      <c r="DY95" s="105">
        <v>32.5</v>
      </c>
      <c r="DZ95" s="105">
        <v>7.476</v>
      </c>
      <c r="EA95" s="105">
        <v>7.4770000000000003</v>
      </c>
      <c r="EB95" s="105">
        <v>45.6</v>
      </c>
      <c r="ED95" s="105"/>
      <c r="EE95" s="105"/>
      <c r="EF95" s="105"/>
      <c r="EG95" s="105"/>
      <c r="EH95" s="105"/>
      <c r="EI95" s="105"/>
      <c r="EJ95" s="105"/>
      <c r="EK95" s="105"/>
      <c r="EL95" s="105"/>
      <c r="EU95" s="108" t="str">
        <f t="shared" si="8"/>
        <v/>
      </c>
      <c r="EV95" s="108"/>
    </row>
    <row r="96" spans="6:152" x14ac:dyDescent="0.3">
      <c r="F96" s="108"/>
      <c r="G96" s="108"/>
      <c r="H96" s="108"/>
      <c r="I96" s="108"/>
      <c r="J96" s="108"/>
      <c r="K96" s="108"/>
      <c r="L96" s="108" t="str">
        <f>IFERROR(MP_DATA[[#This Row],[Bottom '[m']]]-MP_DATA[[#This Row],[D, top '[m']]], "")</f>
        <v/>
      </c>
      <c r="M96" s="108" t="str">
        <f>IFERROR(-(MP_DATA[[#This Row],[D, bottom '[m']]]-MP_DATA[[#This Row],[D, top '[m']]])/(MP_DATA[[#This Row],[Bottom '[m']]]-MP_DATA[[#This Row],[Top '[m']]]),"")</f>
        <v/>
      </c>
      <c r="N96" s="108" t="str">
        <f t="shared" si="4"/>
        <v/>
      </c>
      <c r="O96" s="108" t="str">
        <f>IFERROR((MP_DATA[[#This Row],[D, bottom '[m']]]+MP_DATA[[#This Row],[D, top '[m']]])/(2*MP_DATA[[#This Row],[t '[mm']]]/1000),"")</f>
        <v/>
      </c>
      <c r="P96" s="108" t="str">
        <f>IFERROR((MP_DATA[[#This Row],[D, bottom '[m']]]+#REF!)/(2*#REF!/1000),"")</f>
        <v/>
      </c>
      <c r="BF96" s="108" t="str">
        <f>IFERROR(TP_DATA[[#This Row],[Bottom '[m']]]-TP_DATA[[#This Row],[D, top '[m']]], "")</f>
        <v/>
      </c>
      <c r="BG96" s="108" t="str">
        <f>IFERROR(-(TP_DATA[[#This Row],[D, bottom '[m']]]-TP_DATA[[#This Row],[D, top '[m']]])/(TP_DATA[[#This Row],[Bottom '[m']]]-TP_DATA[[#This Row],[Top '[m']]]),"")</f>
        <v/>
      </c>
      <c r="BH96" s="108" t="str">
        <f t="shared" si="7"/>
        <v/>
      </c>
      <c r="BI96" s="108" t="str">
        <f>IFERROR((TP_DATA[[#This Row],[D, bottom '[m']]]+TP_DATA[[#This Row],[D, top '[m']]])/(2*TP_DATA[[#This Row],[t '[mm']]]/1000),"")</f>
        <v/>
      </c>
      <c r="BJ96" s="108" t="str">
        <f>IFERROR((TP_DATA[[#This Row],[D, bottom '[m']]]+#REF!)/(2*#REF!/1000),"")</f>
        <v/>
      </c>
      <c r="CT96" s="102">
        <v>81</v>
      </c>
      <c r="CU96" s="102">
        <v>32.5</v>
      </c>
      <c r="CV96" s="102">
        <v>30.9</v>
      </c>
      <c r="CW96" s="102">
        <v>7.4770000000000003</v>
      </c>
      <c r="CX96" s="102">
        <v>7.4770000000000003</v>
      </c>
      <c r="CY96" s="102">
        <v>47.1</v>
      </c>
      <c r="CZ96" s="108">
        <f>IFERROR(TOWER_DATA[[#This Row],[Top '[m']]]-TOWER_DATA[[#This Row],[Bottom '[m']]], "")</f>
        <v>1.6000000000000014</v>
      </c>
      <c r="DA96" s="108">
        <f>IFERROR(-(TOWER_DATA[[#This Row],[D, bottom '[m']]]-TOWER_DATA[[#This Row],[D, top '[m']]])/(TOWER_DATA[[#This Row],[Bottom '[m']]]-TOWER_DATA[[#This Row],[Top '[m']]]),"")</f>
        <v>0</v>
      </c>
      <c r="DB96" s="108">
        <f t="shared" si="6"/>
        <v>13.808400911123877</v>
      </c>
      <c r="DC96" s="108">
        <f>IFERROR((TOWER_DATA[[#This Row],[D, bottom '[m']]]+TOWER_DATA[[#This Row],[D, top '[m']]])/(2*TOWER_DATA[[#This Row],[t '[mm']]]/1000),"")</f>
        <v>158.74734607218684</v>
      </c>
      <c r="DD96" s="108" t="str">
        <f>IFERROR((TOWER_DATA[[#This Row],[D, bottom '[m']]]+#REF!)/(2*#REF!/1000),"")</f>
        <v/>
      </c>
      <c r="DE96" s="111"/>
      <c r="DF96" s="111"/>
      <c r="DG96" s="111"/>
      <c r="DH96" s="111"/>
      <c r="DI96" s="111"/>
      <c r="DJ96" s="111"/>
      <c r="DK96" s="111"/>
      <c r="DL96" s="111"/>
      <c r="DM96" s="111"/>
      <c r="DW96" s="105">
        <v>81</v>
      </c>
      <c r="DX96" s="105">
        <v>32.5</v>
      </c>
      <c r="DY96" s="105">
        <v>30.9</v>
      </c>
      <c r="DZ96" s="105">
        <v>7.4770000000000003</v>
      </c>
      <c r="EA96" s="105">
        <v>7.4770000000000003</v>
      </c>
      <c r="EB96" s="105">
        <v>47.1</v>
      </c>
      <c r="ED96" s="105"/>
      <c r="EE96" s="105"/>
      <c r="EF96" s="105"/>
      <c r="EG96" s="105"/>
      <c r="EH96" s="105"/>
      <c r="EI96" s="105"/>
      <c r="EJ96" s="105"/>
      <c r="EK96" s="105"/>
      <c r="EL96" s="105"/>
      <c r="EU96" s="108" t="str">
        <f t="shared" si="8"/>
        <v/>
      </c>
      <c r="EV96" s="108"/>
    </row>
    <row r="97" spans="6:152" x14ac:dyDescent="0.3">
      <c r="F97" s="108"/>
      <c r="G97" s="108"/>
      <c r="H97" s="108"/>
      <c r="I97" s="108"/>
      <c r="J97" s="108"/>
      <c r="K97" s="108"/>
      <c r="L97" s="108" t="str">
        <f>IFERROR(MP_DATA[[#This Row],[Bottom '[m']]]-MP_DATA[[#This Row],[D, top '[m']]], "")</f>
        <v/>
      </c>
      <c r="M97" s="108" t="str">
        <f>IFERROR(-(MP_DATA[[#This Row],[D, bottom '[m']]]-MP_DATA[[#This Row],[D, top '[m']]])/(MP_DATA[[#This Row],[Bottom '[m']]]-MP_DATA[[#This Row],[Top '[m']]]),"")</f>
        <v/>
      </c>
      <c r="N97" s="108" t="str">
        <f t="shared" si="4"/>
        <v/>
      </c>
      <c r="O97" s="108" t="str">
        <f>IFERROR((MP_DATA[[#This Row],[D, bottom '[m']]]+MP_DATA[[#This Row],[D, top '[m']]])/(2*MP_DATA[[#This Row],[t '[mm']]]/1000),"")</f>
        <v/>
      </c>
      <c r="P97" s="108" t="str">
        <f>IFERROR((MP_DATA[[#This Row],[D, bottom '[m']]]+#REF!)/(2*#REF!/1000),"")</f>
        <v/>
      </c>
      <c r="BF97" s="108" t="str">
        <f>IFERROR(TP_DATA[[#This Row],[Bottom '[m']]]-TP_DATA[[#This Row],[D, top '[m']]], "")</f>
        <v/>
      </c>
      <c r="BG97" s="108" t="str">
        <f>IFERROR(-(TP_DATA[[#This Row],[D, bottom '[m']]]-TP_DATA[[#This Row],[D, top '[m']]])/(TP_DATA[[#This Row],[Bottom '[m']]]-TP_DATA[[#This Row],[Top '[m']]]),"")</f>
        <v/>
      </c>
      <c r="BH97" s="108" t="str">
        <f t="shared" si="7"/>
        <v/>
      </c>
      <c r="BI97" s="108" t="str">
        <f>IFERROR((TP_DATA[[#This Row],[D, bottom '[m']]]+TP_DATA[[#This Row],[D, top '[m']]])/(2*TP_DATA[[#This Row],[t '[mm']]]/1000),"")</f>
        <v/>
      </c>
      <c r="BJ97" s="108" t="str">
        <f>IFERROR((TP_DATA[[#This Row],[D, bottom '[m']]]+#REF!)/(2*#REF!/1000),"")</f>
        <v/>
      </c>
      <c r="CT97" s="102">
        <v>82</v>
      </c>
      <c r="CU97" s="102">
        <v>30.9</v>
      </c>
      <c r="CV97" s="102">
        <v>29.569999999999997</v>
      </c>
      <c r="CW97" s="102">
        <v>7.4770000000000003</v>
      </c>
      <c r="CX97" s="102">
        <v>7.4790000000000001</v>
      </c>
      <c r="CY97" s="102">
        <v>47.1</v>
      </c>
      <c r="CZ97" s="108">
        <f>IFERROR(TOWER_DATA[[#This Row],[Top '[m']]]-TOWER_DATA[[#This Row],[Bottom '[m']]], "")</f>
        <v>1.3300000000000018</v>
      </c>
      <c r="DA97" s="108">
        <f>IFERROR(-(TOWER_DATA[[#This Row],[D, bottom '[m']]]-TOWER_DATA[[#This Row],[D, top '[m']]])/(TOWER_DATA[[#This Row],[Bottom '[m']]]-TOWER_DATA[[#This Row],[Top '[m']]]),"")</f>
        <v>1.5037593984960729E-3</v>
      </c>
      <c r="DB97" s="108">
        <f t="shared" si="6"/>
        <v>11.47977812786228</v>
      </c>
      <c r="DC97" s="108">
        <f>IFERROR((TOWER_DATA[[#This Row],[D, bottom '[m']]]+TOWER_DATA[[#This Row],[D, top '[m']]])/(2*TOWER_DATA[[#This Row],[t '[mm']]]/1000),"")</f>
        <v>158.76857749469212</v>
      </c>
      <c r="DD97" s="108" t="str">
        <f>IFERROR((TOWER_DATA[[#This Row],[D, bottom '[m']]]+#REF!)/(2*#REF!/1000),"")</f>
        <v/>
      </c>
      <c r="DE97" s="111"/>
      <c r="DF97" s="111"/>
      <c r="DG97" s="111"/>
      <c r="DH97" s="111"/>
      <c r="DI97" s="111"/>
      <c r="DJ97" s="111"/>
      <c r="DK97" s="111"/>
      <c r="DL97" s="111"/>
      <c r="DM97" s="111"/>
      <c r="DW97" s="105">
        <v>82</v>
      </c>
      <c r="DX97" s="105">
        <v>30.9</v>
      </c>
      <c r="DY97" s="105">
        <v>29.569999999999997</v>
      </c>
      <c r="DZ97" s="105">
        <v>7.4770000000000003</v>
      </c>
      <c r="EA97" s="105">
        <v>7.4790000000000001</v>
      </c>
      <c r="EB97" s="105">
        <v>47.1</v>
      </c>
      <c r="ED97" s="105"/>
      <c r="EE97" s="105"/>
      <c r="EF97" s="105"/>
      <c r="EG97" s="105"/>
      <c r="EH97" s="105"/>
      <c r="EI97" s="105"/>
      <c r="EJ97" s="105"/>
      <c r="EK97" s="105"/>
      <c r="EL97" s="105"/>
      <c r="EU97" s="108" t="str">
        <f t="shared" si="8"/>
        <v/>
      </c>
      <c r="EV97" s="108"/>
    </row>
    <row r="98" spans="6:152" x14ac:dyDescent="0.3">
      <c r="F98" s="108"/>
      <c r="G98" s="108"/>
      <c r="H98" s="108"/>
      <c r="I98" s="108"/>
      <c r="J98" s="108"/>
      <c r="K98" s="108"/>
      <c r="L98" s="108" t="str">
        <f>IFERROR(MP_DATA[[#This Row],[Bottom '[m']]]-MP_DATA[[#This Row],[D, top '[m']]], "")</f>
        <v/>
      </c>
      <c r="M98" s="108" t="str">
        <f>IFERROR(-(MP_DATA[[#This Row],[D, bottom '[m']]]-MP_DATA[[#This Row],[D, top '[m']]])/(MP_DATA[[#This Row],[Bottom '[m']]]-MP_DATA[[#This Row],[Top '[m']]]),"")</f>
        <v/>
      </c>
      <c r="N98" s="108" t="str">
        <f t="shared" si="4"/>
        <v/>
      </c>
      <c r="O98" s="108" t="str">
        <f>IFERROR((MP_DATA[[#This Row],[D, bottom '[m']]]+MP_DATA[[#This Row],[D, top '[m']]])/(2*MP_DATA[[#This Row],[t '[mm']]]/1000),"")</f>
        <v/>
      </c>
      <c r="P98" s="108" t="str">
        <f>IFERROR((MP_DATA[[#This Row],[D, bottom '[m']]]+#REF!)/(2*#REF!/1000),"")</f>
        <v/>
      </c>
      <c r="BF98" s="108" t="str">
        <f>IFERROR(TP_DATA[[#This Row],[Bottom '[m']]]-TP_DATA[[#This Row],[D, top '[m']]], "")</f>
        <v/>
      </c>
      <c r="BG98" s="108" t="str">
        <f>IFERROR(-(TP_DATA[[#This Row],[D, bottom '[m']]]-TP_DATA[[#This Row],[D, top '[m']]])/(TP_DATA[[#This Row],[Bottom '[m']]]-TP_DATA[[#This Row],[Top '[m']]]),"")</f>
        <v/>
      </c>
      <c r="BH98" s="108" t="str">
        <f t="shared" si="7"/>
        <v/>
      </c>
      <c r="BI98" s="108" t="str">
        <f>IFERROR((TP_DATA[[#This Row],[D, bottom '[m']]]+TP_DATA[[#This Row],[D, top '[m']]])/(2*TP_DATA[[#This Row],[t '[mm']]]/1000),"")</f>
        <v/>
      </c>
      <c r="BJ98" s="108" t="str">
        <f>IFERROR((TP_DATA[[#This Row],[D, bottom '[m']]]+#REF!)/(2*#REF!/1000),"")</f>
        <v/>
      </c>
      <c r="CT98" s="102">
        <v>83</v>
      </c>
      <c r="CU98" s="102">
        <v>29.569999999999997</v>
      </c>
      <c r="CV98" s="102">
        <v>29.120999999999999</v>
      </c>
      <c r="CW98" s="102">
        <v>7.4790000000000001</v>
      </c>
      <c r="CX98" s="102">
        <v>7.4790000000000001</v>
      </c>
      <c r="CY98" s="102">
        <v>49</v>
      </c>
      <c r="CZ98" s="108">
        <f>IFERROR(TOWER_DATA[[#This Row],[Top '[m']]]-TOWER_DATA[[#This Row],[Bottom '[m']]], "")</f>
        <v>0.44899999999999807</v>
      </c>
      <c r="DA98" s="108">
        <f>IFERROR(-(TOWER_DATA[[#This Row],[D, bottom '[m']]]-TOWER_DATA[[#This Row],[D, top '[m']]])/(TOWER_DATA[[#This Row],[Bottom '[m']]]-TOWER_DATA[[#This Row],[Top '[m']]]),"")</f>
        <v>0</v>
      </c>
      <c r="DB98" s="108">
        <f t="shared" si="6"/>
        <v>4.0313524059352366</v>
      </c>
      <c r="DC98" s="108">
        <f>IFERROR((TOWER_DATA[[#This Row],[D, bottom '[m']]]+TOWER_DATA[[#This Row],[D, top '[m']]])/(2*TOWER_DATA[[#This Row],[t '[mm']]]/1000),"")</f>
        <v>152.63265306122449</v>
      </c>
      <c r="DD98" s="108" t="str">
        <f>IFERROR((TOWER_DATA[[#This Row],[D, bottom '[m']]]+#REF!)/(2*#REF!/1000),"")</f>
        <v/>
      </c>
      <c r="DE98" s="111"/>
      <c r="DF98" s="111"/>
      <c r="DG98" s="111"/>
      <c r="DH98" s="111"/>
      <c r="DI98" s="111"/>
      <c r="DJ98" s="111"/>
      <c r="DK98" s="111"/>
      <c r="DL98" s="111"/>
      <c r="DM98" s="111"/>
      <c r="DW98" s="105">
        <v>83</v>
      </c>
      <c r="DX98" s="105">
        <v>29.569999999999997</v>
      </c>
      <c r="DY98" s="105">
        <v>29.120999999999999</v>
      </c>
      <c r="DZ98" s="105">
        <v>7.4790000000000001</v>
      </c>
      <c r="EA98" s="105">
        <v>7.4790000000000001</v>
      </c>
      <c r="EB98" s="105">
        <v>49</v>
      </c>
      <c r="ED98" s="105"/>
      <c r="EE98" s="105"/>
      <c r="EF98" s="105"/>
      <c r="EG98" s="105"/>
      <c r="EH98" s="105"/>
      <c r="EI98" s="105"/>
      <c r="EJ98" s="105"/>
      <c r="EK98" s="105"/>
      <c r="EL98" s="105"/>
      <c r="EU98" s="108" t="str">
        <f t="shared" si="8"/>
        <v/>
      </c>
      <c r="EV98" s="108"/>
    </row>
    <row r="99" spans="6:152" x14ac:dyDescent="0.3">
      <c r="F99" s="108"/>
      <c r="G99" s="108"/>
      <c r="H99" s="108"/>
      <c r="I99" s="108"/>
      <c r="J99" s="108"/>
      <c r="K99" s="108"/>
      <c r="L99" s="108" t="str">
        <f>IFERROR(MP_DATA[[#This Row],[Bottom '[m']]]-MP_DATA[[#This Row],[D, top '[m']]], "")</f>
        <v/>
      </c>
      <c r="M99" s="108" t="str">
        <f>IFERROR(-(MP_DATA[[#This Row],[D, bottom '[m']]]-MP_DATA[[#This Row],[D, top '[m']]])/(MP_DATA[[#This Row],[Bottom '[m']]]-MP_DATA[[#This Row],[Top '[m']]]),"")</f>
        <v/>
      </c>
      <c r="N99" s="108" t="str">
        <f t="shared" si="4"/>
        <v/>
      </c>
      <c r="O99" s="108" t="str">
        <f>IFERROR((MP_DATA[[#This Row],[D, bottom '[m']]]+MP_DATA[[#This Row],[D, top '[m']]])/(2*MP_DATA[[#This Row],[t '[mm']]]/1000),"")</f>
        <v/>
      </c>
      <c r="P99" s="108" t="str">
        <f>IFERROR((MP_DATA[[#This Row],[D, bottom '[m']]]+#REF!)/(2*#REF!/1000),"")</f>
        <v/>
      </c>
      <c r="BF99" s="108" t="str">
        <f>IFERROR(TP_DATA[[#This Row],[Bottom '[m']]]-TP_DATA[[#This Row],[D, top '[m']]], "")</f>
        <v/>
      </c>
      <c r="BG99" s="108" t="str">
        <f>IFERROR(-(TP_DATA[[#This Row],[D, bottom '[m']]]-TP_DATA[[#This Row],[D, top '[m']]])/(TP_DATA[[#This Row],[Bottom '[m']]]-TP_DATA[[#This Row],[Top '[m']]]),"")</f>
        <v/>
      </c>
      <c r="BH99" s="108" t="str">
        <f t="shared" si="7"/>
        <v/>
      </c>
      <c r="BI99" s="108" t="str">
        <f>IFERROR((TP_DATA[[#This Row],[D, bottom '[m']]]+TP_DATA[[#This Row],[D, top '[m']]])/(2*TP_DATA[[#This Row],[t '[mm']]]/1000),"")</f>
        <v/>
      </c>
      <c r="BJ99" s="108" t="str">
        <f>IFERROR((TP_DATA[[#This Row],[D, bottom '[m']]]+#REF!)/(2*#REF!/1000),"")</f>
        <v/>
      </c>
      <c r="CT99" s="102">
        <v>84</v>
      </c>
      <c r="CU99" s="102">
        <v>29.120999999999999</v>
      </c>
      <c r="CV99" s="102">
        <v>26.639999999999997</v>
      </c>
      <c r="CW99" s="102">
        <v>7.4790000000000001</v>
      </c>
      <c r="CX99" s="102">
        <v>7.5</v>
      </c>
      <c r="CY99" s="102">
        <v>49</v>
      </c>
      <c r="CZ99" s="108">
        <f>IFERROR(TOWER_DATA[[#This Row],[Top '[m']]]-TOWER_DATA[[#This Row],[Bottom '[m']]], "")</f>
        <v>2.4810000000000016</v>
      </c>
      <c r="DA99" s="108">
        <f>IFERROR(-(TOWER_DATA[[#This Row],[D, bottom '[m']]]-TOWER_DATA[[#This Row],[D, top '[m']]])/(TOWER_DATA[[#This Row],[Bottom '[m']]]-TOWER_DATA[[#This Row],[Top '[m']]]),"")</f>
        <v>8.4643288996371999E-3</v>
      </c>
      <c r="DB99" s="108">
        <f t="shared" si="6"/>
        <v>22.307170912766217</v>
      </c>
      <c r="DC99" s="108">
        <f>IFERROR((TOWER_DATA[[#This Row],[D, bottom '[m']]]+TOWER_DATA[[#This Row],[D, top '[m']]])/(2*TOWER_DATA[[#This Row],[t '[mm']]]/1000),"")</f>
        <v>152.84693877551018</v>
      </c>
      <c r="DD99" s="108" t="str">
        <f>IFERROR((TOWER_DATA[[#This Row],[D, bottom '[m']]]+#REF!)/(2*#REF!/1000),"")</f>
        <v/>
      </c>
      <c r="DL99" s="111"/>
      <c r="DM99" s="111"/>
      <c r="DW99" s="105">
        <v>84</v>
      </c>
      <c r="DX99" s="105">
        <v>29.120999999999999</v>
      </c>
      <c r="DY99" s="105">
        <v>26.639999999999997</v>
      </c>
      <c r="DZ99" s="105">
        <v>7.4790000000000001</v>
      </c>
      <c r="EA99" s="105">
        <v>7.5</v>
      </c>
      <c r="EB99" s="105">
        <v>49</v>
      </c>
      <c r="ED99" s="105"/>
      <c r="EE99" s="105"/>
      <c r="EF99" s="105"/>
      <c r="EG99" s="105"/>
      <c r="EH99" s="105"/>
      <c r="EI99" s="105"/>
      <c r="EJ99" s="105"/>
      <c r="EK99" s="105"/>
      <c r="EL99" s="105"/>
      <c r="EU99" s="108" t="str">
        <f t="shared" si="8"/>
        <v/>
      </c>
      <c r="EV99" s="108"/>
    </row>
    <row r="100" spans="6:152" x14ac:dyDescent="0.3">
      <c r="F100" s="108"/>
      <c r="G100" s="108"/>
      <c r="H100" s="108"/>
      <c r="I100" s="108"/>
      <c r="J100" s="108"/>
      <c r="K100" s="108"/>
      <c r="L100" s="108" t="str">
        <f>IFERROR(MP_DATA[[#This Row],[Bottom '[m']]]-MP_DATA[[#This Row],[D, top '[m']]], "")</f>
        <v/>
      </c>
      <c r="M100" s="108" t="str">
        <f>IFERROR(-(MP_DATA[[#This Row],[D, bottom '[m']]]-MP_DATA[[#This Row],[D, top '[m']]])/(MP_DATA[[#This Row],[Bottom '[m']]]-MP_DATA[[#This Row],[Top '[m']]]),"")</f>
        <v/>
      </c>
      <c r="N100" s="108" t="str">
        <f t="shared" si="4"/>
        <v/>
      </c>
      <c r="O100" s="108" t="str">
        <f>IFERROR((MP_DATA[[#This Row],[D, bottom '[m']]]+MP_DATA[[#This Row],[D, top '[m']]])/(2*MP_DATA[[#This Row],[t '[mm']]]/1000),"")</f>
        <v/>
      </c>
      <c r="P100" s="108" t="str">
        <f>IFERROR((MP_DATA[[#This Row],[D, bottom '[m']]]+#REF!)/(2*#REF!/1000),"")</f>
        <v/>
      </c>
      <c r="BF100" s="108" t="str">
        <f>IFERROR(TP_DATA[[#This Row],[Bottom '[m']]]-TP_DATA[[#This Row],[D, top '[m']]], "")</f>
        <v/>
      </c>
      <c r="BG100" s="108" t="str">
        <f>IFERROR(-(TP_DATA[[#This Row],[D, bottom '[m']]]-TP_DATA[[#This Row],[D, top '[m']]])/(TP_DATA[[#This Row],[Bottom '[m']]]-TP_DATA[[#This Row],[Top '[m']]]),"")</f>
        <v/>
      </c>
      <c r="BH100" s="108" t="str">
        <f t="shared" si="7"/>
        <v/>
      </c>
      <c r="BI100" s="108" t="str">
        <f>IFERROR((TP_DATA[[#This Row],[D, bottom '[m']]]+TP_DATA[[#This Row],[D, top '[m']]])/(2*TP_DATA[[#This Row],[t '[mm']]]/1000),"")</f>
        <v/>
      </c>
      <c r="BJ100" s="108" t="str">
        <f>IFERROR((TP_DATA[[#This Row],[D, bottom '[m']]]+#REF!)/(2*#REF!/1000),"")</f>
        <v/>
      </c>
      <c r="CT100" s="102">
        <v>85</v>
      </c>
      <c r="CU100" s="102">
        <v>26.639999999999997</v>
      </c>
      <c r="CV100" s="102">
        <v>25.05</v>
      </c>
      <c r="CW100" s="102">
        <v>7.5</v>
      </c>
      <c r="CX100" s="102">
        <v>7.5</v>
      </c>
      <c r="CY100" s="102">
        <v>70</v>
      </c>
      <c r="CZ100" s="108">
        <f>IFERROR(TOWER_DATA[[#This Row],[Top '[m']]]-TOWER_DATA[[#This Row],[Bottom '[m']]], "")</f>
        <v>1.5899999999999963</v>
      </c>
      <c r="DA100" s="108">
        <f>IFERROR(-(TOWER_DATA[[#This Row],[D, bottom '[m']]]-TOWER_DATA[[#This Row],[D, top '[m']]])/(TOWER_DATA[[#This Row],[Bottom '[m']]]-TOWER_DATA[[#This Row],[Top '[m']]]),"")</f>
        <v>0</v>
      </c>
      <c r="DB100" s="108">
        <f t="shared" si="6"/>
        <v>20.394051305876623</v>
      </c>
      <c r="DC100" s="108">
        <f>IFERROR((TOWER_DATA[[#This Row],[D, bottom '[m']]]+TOWER_DATA[[#This Row],[D, top '[m']]])/(2*TOWER_DATA[[#This Row],[t '[mm']]]/1000),"")</f>
        <v>107.14285714285714</v>
      </c>
      <c r="DD100" s="108" t="str">
        <f>IFERROR((TOWER_DATA[[#This Row],[D, bottom '[m']]]+#REF!)/(2*#REF!/1000),"")</f>
        <v/>
      </c>
      <c r="DL100" s="111"/>
      <c r="DM100" s="111"/>
      <c r="DW100" s="105">
        <v>85</v>
      </c>
      <c r="DX100" s="105">
        <v>26.639999999999997</v>
      </c>
      <c r="DY100" s="105">
        <v>25.05</v>
      </c>
      <c r="DZ100" s="105">
        <v>7.5</v>
      </c>
      <c r="EA100" s="105">
        <v>7.5</v>
      </c>
      <c r="EB100" s="105">
        <v>70</v>
      </c>
      <c r="ED100" s="105"/>
      <c r="EE100" s="105"/>
      <c r="EF100" s="105"/>
      <c r="EG100" s="105"/>
      <c r="EH100" s="105"/>
      <c r="EI100" s="105"/>
      <c r="EJ100" s="105"/>
      <c r="EK100" s="105"/>
      <c r="EL100" s="105"/>
      <c r="EU100" s="108" t="str">
        <f t="shared" si="8"/>
        <v/>
      </c>
      <c r="EV100" s="108"/>
    </row>
    <row r="101" spans="6:152" x14ac:dyDescent="0.3">
      <c r="F101" s="108"/>
      <c r="G101" s="108"/>
      <c r="H101" s="108"/>
      <c r="I101" s="108"/>
      <c r="J101" s="108"/>
      <c r="K101" s="108"/>
      <c r="L101" s="108" t="str">
        <f>IFERROR(MP_DATA[[#This Row],[Bottom '[m']]]-MP_DATA[[#This Row],[D, top '[m']]], "")</f>
        <v/>
      </c>
      <c r="M101" s="108" t="str">
        <f>IFERROR(-(MP_DATA[[#This Row],[D, bottom '[m']]]-MP_DATA[[#This Row],[D, top '[m']]])/(MP_DATA[[#This Row],[Bottom '[m']]]-MP_DATA[[#This Row],[Top '[m']]]),"")</f>
        <v/>
      </c>
      <c r="N101" s="108" t="str">
        <f t="shared" si="4"/>
        <v/>
      </c>
      <c r="O101" s="108" t="str">
        <f>IFERROR((MP_DATA[[#This Row],[D, bottom '[m']]]+MP_DATA[[#This Row],[D, top '[m']]])/(2*MP_DATA[[#This Row],[t '[mm']]]/1000),"")</f>
        <v/>
      </c>
      <c r="P101" s="108" t="str">
        <f>IFERROR((MP_DATA[[#This Row],[D, bottom '[m']]]+#REF!)/(2*#REF!/1000),"")</f>
        <v/>
      </c>
      <c r="BF101" s="108" t="str">
        <f>IFERROR(TP_DATA[[#This Row],[Bottom '[m']]]-TP_DATA[[#This Row],[D, top '[m']]], "")</f>
        <v/>
      </c>
      <c r="BG101" s="108" t="str">
        <f>IFERROR(-(TP_DATA[[#This Row],[D, bottom '[m']]]-TP_DATA[[#This Row],[D, top '[m']]])/(TP_DATA[[#This Row],[Bottom '[m']]]-TP_DATA[[#This Row],[Top '[m']]]),"")</f>
        <v/>
      </c>
      <c r="BH101" s="108" t="str">
        <f t="shared" si="7"/>
        <v/>
      </c>
      <c r="BI101" s="108" t="str">
        <f>IFERROR((TP_DATA[[#This Row],[D, bottom '[m']]]+TP_DATA[[#This Row],[D, top '[m']]])/(2*TP_DATA[[#This Row],[t '[mm']]]/1000),"")</f>
        <v/>
      </c>
      <c r="BJ101" s="108" t="str">
        <f>IFERROR((TP_DATA[[#This Row],[D, bottom '[m']]]+#REF!)/(2*#REF!/1000),"")</f>
        <v/>
      </c>
      <c r="CT101" s="102">
        <v>86</v>
      </c>
      <c r="CU101" s="102">
        <v>25.05</v>
      </c>
      <c r="CV101" s="102">
        <v>25.010999999999999</v>
      </c>
      <c r="CW101" s="102">
        <v>7.5</v>
      </c>
      <c r="CX101" s="102">
        <v>7.5</v>
      </c>
      <c r="CY101" s="102">
        <v>70</v>
      </c>
      <c r="CZ101" s="108">
        <f>IFERROR(TOWER_DATA[[#This Row],[Top '[m']]]-TOWER_DATA[[#This Row],[Bottom '[m']]], "")</f>
        <v>3.9000000000001478E-2</v>
      </c>
      <c r="DA101" s="108">
        <f>IFERROR(-(TOWER_DATA[[#This Row],[D, bottom '[m']]]-TOWER_DATA[[#This Row],[D, top '[m']]])/(TOWER_DATA[[#This Row],[Bottom '[m']]]-TOWER_DATA[[#This Row],[Top '[m']]]),"")</f>
        <v>0</v>
      </c>
      <c r="DB101" s="108">
        <f t="shared" si="6"/>
        <v>0.50023144712529577</v>
      </c>
      <c r="DC101" s="108">
        <f>IFERROR((TOWER_DATA[[#This Row],[D, bottom '[m']]]+TOWER_DATA[[#This Row],[D, top '[m']]])/(2*TOWER_DATA[[#This Row],[t '[mm']]]/1000),"")</f>
        <v>107.14285714285714</v>
      </c>
      <c r="DD101" s="108" t="str">
        <f>IFERROR((TOWER_DATA[[#This Row],[D, bottom '[m']]]+#REF!)/(2*#REF!/1000),"")</f>
        <v/>
      </c>
      <c r="DE101" s="111"/>
      <c r="DF101" s="111"/>
      <c r="DG101" s="111"/>
      <c r="DH101" s="111"/>
      <c r="DI101" s="111"/>
      <c r="DJ101" s="111"/>
      <c r="DK101" s="111"/>
      <c r="DL101" s="111"/>
      <c r="DM101" s="111"/>
      <c r="DW101" s="105">
        <v>86</v>
      </c>
      <c r="DX101" s="105">
        <v>25.05</v>
      </c>
      <c r="DY101" s="105">
        <v>25.010999999999999</v>
      </c>
      <c r="DZ101" s="105">
        <v>7.5</v>
      </c>
      <c r="EA101" s="105">
        <v>7.5</v>
      </c>
      <c r="EB101" s="105">
        <v>70</v>
      </c>
      <c r="ED101" s="105"/>
      <c r="EE101" s="105"/>
      <c r="EF101" s="105"/>
      <c r="EG101" s="105"/>
      <c r="EH101" s="105"/>
      <c r="EI101" s="105"/>
      <c r="EJ101" s="105"/>
      <c r="EK101" s="105"/>
      <c r="EL101" s="105"/>
      <c r="EU101" s="108" t="str">
        <f t="shared" si="8"/>
        <v/>
      </c>
      <c r="EV101" s="108"/>
    </row>
    <row r="102" spans="6:152" x14ac:dyDescent="0.3">
      <c r="F102" s="108"/>
      <c r="G102" s="108"/>
      <c r="H102" s="108"/>
      <c r="I102" s="108"/>
      <c r="J102" s="108"/>
      <c r="K102" s="108"/>
      <c r="L102" s="108" t="str">
        <f>IFERROR(MP_DATA[[#This Row],[Bottom '[m']]]-MP_DATA[[#This Row],[D, top '[m']]], "")</f>
        <v/>
      </c>
      <c r="M102" s="108" t="str">
        <f>IFERROR(-(MP_DATA[[#This Row],[D, bottom '[m']]]-MP_DATA[[#This Row],[D, top '[m']]])/(MP_DATA[[#This Row],[Bottom '[m']]]-MP_DATA[[#This Row],[Top '[m']]]),"")</f>
        <v/>
      </c>
      <c r="N102" s="108" t="str">
        <f t="shared" si="4"/>
        <v/>
      </c>
      <c r="O102" s="108" t="str">
        <f>IFERROR((MP_DATA[[#This Row],[D, bottom '[m']]]+MP_DATA[[#This Row],[D, top '[m']]])/(2*MP_DATA[[#This Row],[t '[mm']]]/1000),"")</f>
        <v/>
      </c>
      <c r="P102" s="108" t="str">
        <f>IFERROR((MP_DATA[[#This Row],[D, bottom '[m']]]+#REF!)/(2*#REF!/1000),"")</f>
        <v/>
      </c>
      <c r="BF102" s="108" t="str">
        <f>IFERROR(TP_DATA[[#This Row],[Bottom '[m']]]-TP_DATA[[#This Row],[D, top '[m']]], "")</f>
        <v/>
      </c>
      <c r="BG102" s="108" t="str">
        <f>IFERROR(-(TP_DATA[[#This Row],[D, bottom '[m']]]-TP_DATA[[#This Row],[D, top '[m']]])/(TP_DATA[[#This Row],[Bottom '[m']]]-TP_DATA[[#This Row],[Top '[m']]]),"")</f>
        <v/>
      </c>
      <c r="BH102" s="108" t="str">
        <f t="shared" si="7"/>
        <v/>
      </c>
      <c r="BI102" s="108" t="str">
        <f>IFERROR((TP_DATA[[#This Row],[D, bottom '[m']]]+TP_DATA[[#This Row],[D, top '[m']]])/(2*TP_DATA[[#This Row],[t '[mm']]]/1000),"")</f>
        <v/>
      </c>
      <c r="BJ102" s="108" t="str">
        <f>IFERROR((TP_DATA[[#This Row],[D, bottom '[m']]]+#REF!)/(2*#REF!/1000),"")</f>
        <v/>
      </c>
      <c r="CT102" s="102">
        <v>87</v>
      </c>
      <c r="CU102" s="102">
        <v>25.010999999999999</v>
      </c>
      <c r="CV102" s="102">
        <v>22.119999999999997</v>
      </c>
      <c r="CW102" s="102">
        <v>7.5</v>
      </c>
      <c r="CX102" s="102">
        <v>7.5</v>
      </c>
      <c r="CY102" s="102">
        <v>70</v>
      </c>
      <c r="CZ102" s="108">
        <f>IFERROR(TOWER_DATA[[#This Row],[Top '[m']]]-TOWER_DATA[[#This Row],[Bottom '[m']]], "")</f>
        <v>2.8910000000000018</v>
      </c>
      <c r="DA102" s="108">
        <f>IFERROR(-(TOWER_DATA[[#This Row],[D, bottom '[m']]]-TOWER_DATA[[#This Row],[D, top '[m']]])/(TOWER_DATA[[#This Row],[Bottom '[m']]]-TOWER_DATA[[#This Row],[Top '[m']]]),"")</f>
        <v>0</v>
      </c>
      <c r="DB102" s="108">
        <f t="shared" si="6"/>
        <v>37.081259324081437</v>
      </c>
      <c r="DC102" s="108">
        <f>IFERROR((TOWER_DATA[[#This Row],[D, bottom '[m']]]+TOWER_DATA[[#This Row],[D, top '[m']]])/(2*TOWER_DATA[[#This Row],[t '[mm']]]/1000),"")</f>
        <v>107.14285714285714</v>
      </c>
      <c r="DD102" s="108" t="str">
        <f>IFERROR((TOWER_DATA[[#This Row],[D, bottom '[m']]]+#REF!)/(2*#REF!/1000),"")</f>
        <v/>
      </c>
      <c r="DE102" s="111"/>
      <c r="DF102" s="111"/>
      <c r="DG102" s="111"/>
      <c r="DH102" s="111"/>
      <c r="DI102" s="111"/>
      <c r="DJ102" s="111"/>
      <c r="DK102" s="111"/>
      <c r="DL102" s="111"/>
      <c r="DM102" s="111"/>
      <c r="DW102" s="105">
        <v>87</v>
      </c>
      <c r="DX102" s="105">
        <v>25.010999999999999</v>
      </c>
      <c r="DY102" s="105">
        <v>22.119999999999997</v>
      </c>
      <c r="DZ102" s="105">
        <v>7.5</v>
      </c>
      <c r="EA102" s="105">
        <v>7.5</v>
      </c>
      <c r="EB102" s="105">
        <v>70</v>
      </c>
      <c r="ED102" s="105"/>
      <c r="EE102" s="105"/>
      <c r="EF102" s="105"/>
      <c r="EG102" s="105"/>
      <c r="EH102" s="105"/>
      <c r="EI102" s="105"/>
      <c r="EJ102" s="105"/>
      <c r="EK102" s="105"/>
      <c r="EL102" s="105"/>
      <c r="EU102" s="108" t="str">
        <f t="shared" si="8"/>
        <v/>
      </c>
      <c r="EV102" s="108"/>
    </row>
    <row r="103" spans="6:152" x14ac:dyDescent="0.3">
      <c r="F103" s="108"/>
      <c r="H103" s="108"/>
      <c r="J103" s="108"/>
      <c r="L103" s="108" t="str">
        <f>IFERROR(MP_DATA[[#This Row],[Bottom '[m']]]-MP_DATA[[#This Row],[D, top '[m']]], "")</f>
        <v/>
      </c>
      <c r="M103" s="95" t="str">
        <f>IFERROR(-(MP_DATA[[#This Row],[D, bottom '[m']]]-MP_DATA[[#This Row],[D, top '[m']]])/(MP_DATA[[#This Row],[Bottom '[m']]]-MP_DATA[[#This Row],[Top '[m']]]),"")</f>
        <v/>
      </c>
      <c r="N103" s="108" t="str">
        <f t="shared" si="4"/>
        <v/>
      </c>
      <c r="O103" s="108" t="str">
        <f>IFERROR((MP_DATA[[#This Row],[D, bottom '[m']]]+MP_DATA[[#This Row],[D, top '[m']]])/(2*MP_DATA[[#This Row],[t '[mm']]]/1000),"")</f>
        <v/>
      </c>
      <c r="P103" s="108" t="str">
        <f>IFERROR((MP_DATA[[#This Row],[D, bottom '[m']]]+#REF!)/(2*#REF!/1000),"")</f>
        <v/>
      </c>
      <c r="BF103" s="108" t="str">
        <f>IFERROR(TP_DATA[[#This Row],[Bottom '[m']]]-TP_DATA[[#This Row],[D, top '[m']]], "")</f>
        <v/>
      </c>
      <c r="BG103" s="108" t="str">
        <f>IFERROR(-(TP_DATA[[#This Row],[D, bottom '[m']]]-TP_DATA[[#This Row],[D, top '[m']]])/(TP_DATA[[#This Row],[Bottom '[m']]]-TP_DATA[[#This Row],[Top '[m']]]),"")</f>
        <v/>
      </c>
      <c r="BH103" s="108" t="str">
        <f t="shared" si="7"/>
        <v/>
      </c>
      <c r="BI103" s="108" t="str">
        <f>IFERROR((TP_DATA[[#This Row],[D, bottom '[m']]]+TP_DATA[[#This Row],[D, top '[m']]])/(2*TP_DATA[[#This Row],[t '[mm']]]/1000),"")</f>
        <v/>
      </c>
      <c r="BJ103" s="108" t="str">
        <f>IFERROR((TP_DATA[[#This Row],[D, bottom '[m']]]+#REF!)/(2*#REF!/1000),"")</f>
        <v/>
      </c>
      <c r="CT103" s="102">
        <v>88</v>
      </c>
      <c r="CU103" s="102">
        <v>22.119999999999997</v>
      </c>
      <c r="CV103" s="102">
        <v>21.139999999999997</v>
      </c>
      <c r="CW103" s="102">
        <v>7.5</v>
      </c>
      <c r="CX103" s="102">
        <v>7.5</v>
      </c>
      <c r="CY103" s="102">
        <v>70</v>
      </c>
      <c r="CZ103" s="108">
        <f>IFERROR(TOWER_DATA[[#This Row],[Top '[m']]]-TOWER_DATA[[#This Row],[Bottom '[m']]], "")</f>
        <v>0.98000000000000043</v>
      </c>
      <c r="DA103" s="108">
        <f>IFERROR(-(TOWER_DATA[[#This Row],[D, bottom '[m']]]-TOWER_DATA[[#This Row],[D, top '[m']]])/(TOWER_DATA[[#This Row],[Bottom '[m']]]-TOWER_DATA[[#This Row],[Top '[m']]]),"")</f>
        <v>0</v>
      </c>
      <c r="DB103" s="108">
        <f t="shared" si="6"/>
        <v>12.569918414942858</v>
      </c>
      <c r="DC103" s="108">
        <f>IFERROR((TOWER_DATA[[#This Row],[D, bottom '[m']]]+TOWER_DATA[[#This Row],[D, top '[m']]])/(2*TOWER_DATA[[#This Row],[t '[mm']]]/1000),"")</f>
        <v>107.14285714285714</v>
      </c>
      <c r="DD103" s="108" t="str">
        <f>IFERROR((TOWER_DATA[[#This Row],[D, bottom '[m']]]+#REF!)/(2*#REF!/1000),"")</f>
        <v/>
      </c>
      <c r="DE103" s="111"/>
      <c r="DF103" s="111"/>
      <c r="DG103" s="111"/>
      <c r="DH103" s="111"/>
      <c r="DI103" s="111"/>
      <c r="DJ103" s="111"/>
      <c r="DK103" s="111"/>
      <c r="DL103" s="111"/>
      <c r="DM103" s="111"/>
      <c r="DW103" s="105">
        <v>88</v>
      </c>
      <c r="DX103" s="105">
        <v>22.119999999999997</v>
      </c>
      <c r="DY103" s="105">
        <v>21.139999999999997</v>
      </c>
      <c r="DZ103" s="105">
        <v>7.5</v>
      </c>
      <c r="EA103" s="105">
        <v>7.5</v>
      </c>
      <c r="EB103" s="105">
        <v>70</v>
      </c>
      <c r="ED103" s="105"/>
      <c r="EE103" s="105"/>
      <c r="EF103" s="105"/>
      <c r="EG103" s="105"/>
      <c r="EH103" s="105"/>
      <c r="EI103" s="105"/>
      <c r="EJ103" s="105"/>
      <c r="EK103" s="105"/>
      <c r="EL103" s="105"/>
      <c r="EU103" s="108" t="str">
        <f t="shared" si="8"/>
        <v/>
      </c>
      <c r="EV103" s="108"/>
    </row>
    <row r="104" spans="6:152" x14ac:dyDescent="0.3">
      <c r="F104" s="108"/>
      <c r="H104" s="108"/>
      <c r="J104" s="108"/>
      <c r="L104" s="108" t="str">
        <f>IFERROR(MP_DATA[[#This Row],[Bottom '[m']]]-MP_DATA[[#This Row],[D, top '[m']]], "")</f>
        <v/>
      </c>
      <c r="M104" s="95" t="str">
        <f>IFERROR(-(MP_DATA[[#This Row],[D, bottom '[m']]]-MP_DATA[[#This Row],[D, top '[m']]])/(MP_DATA[[#This Row],[Bottom '[m']]]-MP_DATA[[#This Row],[Top '[m']]]),"")</f>
        <v/>
      </c>
      <c r="N104" s="108" t="str">
        <f t="shared" si="4"/>
        <v/>
      </c>
      <c r="O104" s="108" t="str">
        <f>IFERROR((MP_DATA[[#This Row],[D, bottom '[m']]]+MP_DATA[[#This Row],[D, top '[m']]])/(2*MP_DATA[[#This Row],[t '[mm']]]/1000),"")</f>
        <v/>
      </c>
      <c r="P104" s="95" t="str">
        <f>IFERROR((MP_DATA[[#This Row],[D, bottom '[m']]]+#REF!)/(2*#REF!/1000),"")</f>
        <v/>
      </c>
      <c r="BF104" s="108" t="str">
        <f>IFERROR(TP_DATA[[#This Row],[Bottom '[m']]]-TP_DATA[[#This Row],[D, top '[m']]], "")</f>
        <v/>
      </c>
      <c r="BG104" s="108" t="str">
        <f>IFERROR(-(TP_DATA[[#This Row],[D, bottom '[m']]]-TP_DATA[[#This Row],[D, top '[m']]])/(TP_DATA[[#This Row],[Bottom '[m']]]-TP_DATA[[#This Row],[Top '[m']]]),"")</f>
        <v/>
      </c>
      <c r="BH104" s="108" t="str">
        <f t="shared" si="7"/>
        <v/>
      </c>
      <c r="BI104" s="108" t="str">
        <f>IFERROR((TP_DATA[[#This Row],[D, bottom '[m']]]+TP_DATA[[#This Row],[D, top '[m']]])/(2*TP_DATA[[#This Row],[t '[mm']]]/1000),"")</f>
        <v/>
      </c>
      <c r="BJ104" s="95" t="str">
        <f>IFERROR((TP_DATA[[#This Row],[D, bottom '[m']]]+#REF!)/(2*#REF!/1000),"")</f>
        <v/>
      </c>
      <c r="CT104" s="102">
        <v>89</v>
      </c>
      <c r="CU104" s="102">
        <v>21.139999999999997</v>
      </c>
      <c r="CV104" s="102">
        <v>21.08</v>
      </c>
      <c r="CW104" s="102">
        <v>7.5</v>
      </c>
      <c r="CX104" s="102">
        <v>7.5</v>
      </c>
      <c r="CY104" s="102">
        <v>70</v>
      </c>
      <c r="CZ104" s="108">
        <f>IFERROR(TOWER_DATA[[#This Row],[Top '[m']]]-TOWER_DATA[[#This Row],[Bottom '[m']]], "")</f>
        <v>5.9999999999998721E-2</v>
      </c>
      <c r="DA104" s="108">
        <f>IFERROR(-(TOWER_DATA[[#This Row],[D, bottom '[m']]]-TOWER_DATA[[#This Row],[D, top '[m']]])/(TOWER_DATA[[#This Row],[Bottom '[m']]]-TOWER_DATA[[#This Row],[Top '[m']]]),"")</f>
        <v>0</v>
      </c>
      <c r="DB104" s="108">
        <f t="shared" si="6"/>
        <v>0.76958684173117875</v>
      </c>
      <c r="DC104" s="108">
        <f>IFERROR((TOWER_DATA[[#This Row],[D, bottom '[m']]]+TOWER_DATA[[#This Row],[D, top '[m']]])/(2*TOWER_DATA[[#This Row],[t '[mm']]]/1000),"")</f>
        <v>107.14285714285714</v>
      </c>
      <c r="DD104" s="95" t="str">
        <f>IFERROR((TOWER_DATA[[#This Row],[D, bottom '[m']]]+#REF!)/(2*#REF!/1000),"")</f>
        <v/>
      </c>
      <c r="DE104" s="111"/>
      <c r="DF104" s="111"/>
      <c r="DG104" s="111"/>
      <c r="DH104" s="111"/>
      <c r="DI104" s="111"/>
      <c r="DJ104" s="111"/>
      <c r="DK104" s="111"/>
      <c r="DL104" s="111"/>
      <c r="DM104" s="111"/>
      <c r="DW104" s="105">
        <v>89</v>
      </c>
      <c r="DX104" s="105">
        <v>21.139999999999997</v>
      </c>
      <c r="DY104" s="105">
        <v>21.08</v>
      </c>
      <c r="DZ104" s="105">
        <v>7.5</v>
      </c>
      <c r="EA104" s="105">
        <v>7.5</v>
      </c>
      <c r="EB104" s="105">
        <v>70</v>
      </c>
      <c r="ED104" s="105"/>
      <c r="EE104" s="105"/>
      <c r="EF104" s="105"/>
      <c r="EG104" s="105"/>
      <c r="EH104" s="105"/>
      <c r="EI104" s="105"/>
      <c r="EJ104" s="105"/>
      <c r="EK104" s="105"/>
      <c r="EL104" s="105"/>
      <c r="EU104" s="108" t="str">
        <f t="shared" si="8"/>
        <v/>
      </c>
      <c r="EV104" s="108"/>
    </row>
    <row r="105" spans="6:152" x14ac:dyDescent="0.3">
      <c r="F105" s="108"/>
      <c r="H105" s="108"/>
      <c r="J105" s="108"/>
      <c r="L105" s="108" t="str">
        <f>IFERROR(MP_DATA[[#This Row],[Bottom '[m']]]-MP_DATA[[#This Row],[D, top '[m']]], "")</f>
        <v/>
      </c>
      <c r="M105" s="95" t="str">
        <f>IFERROR(-(MP_DATA[[#This Row],[D, bottom '[m']]]-MP_DATA[[#This Row],[D, top '[m']]])/(MP_DATA[[#This Row],[Bottom '[m']]]-MP_DATA[[#This Row],[Top '[m']]]),"")</f>
        <v/>
      </c>
      <c r="N105" s="108" t="str">
        <f t="shared" si="4"/>
        <v/>
      </c>
      <c r="O105" s="108" t="str">
        <f>IFERROR((MP_DATA[[#This Row],[D, bottom '[m']]]+MP_DATA[[#This Row],[D, top '[m']]])/(2*MP_DATA[[#This Row],[t '[mm']]]/1000),"")</f>
        <v/>
      </c>
      <c r="P105" s="95" t="str">
        <f>IFERROR((MP_DATA[[#This Row],[D, bottom '[m']]]+#REF!)/(2*#REF!/1000),"")</f>
        <v/>
      </c>
      <c r="BF105" s="108" t="str">
        <f>IFERROR(TP_DATA[[#This Row],[Bottom '[m']]]-TP_DATA[[#This Row],[D, top '[m']]], "")</f>
        <v/>
      </c>
      <c r="BG105" s="108" t="str">
        <f>IFERROR(-(TP_DATA[[#This Row],[D, bottom '[m']]]-TP_DATA[[#This Row],[D, top '[m']]])/(TP_DATA[[#This Row],[Bottom '[m']]]-TP_DATA[[#This Row],[Top '[m']]]),"")</f>
        <v/>
      </c>
      <c r="BH105" s="108" t="str">
        <f t="shared" si="7"/>
        <v/>
      </c>
      <c r="BI105" s="108" t="str">
        <f>IFERROR((TP_DATA[[#This Row],[D, bottom '[m']]]+TP_DATA[[#This Row],[D, top '[m']]])/(2*TP_DATA[[#This Row],[t '[mm']]]/1000),"")</f>
        <v/>
      </c>
      <c r="BJ105" s="95" t="str">
        <f>IFERROR((TP_DATA[[#This Row],[D, bottom '[m']]]+#REF!)/(2*#REF!/1000),"")</f>
        <v/>
      </c>
      <c r="CT105" s="102">
        <v>90</v>
      </c>
      <c r="CU105" s="102">
        <v>21.08</v>
      </c>
      <c r="CV105" s="102">
        <v>20.9</v>
      </c>
      <c r="CW105" s="102">
        <v>7.5</v>
      </c>
      <c r="CX105" s="102">
        <v>7.5</v>
      </c>
      <c r="CY105" s="102">
        <v>70</v>
      </c>
      <c r="CZ105" s="108">
        <f>IFERROR(TOWER_DATA[[#This Row],[Top '[m']]]-TOWER_DATA[[#This Row],[Bottom '[m']]], "")</f>
        <v>0.17999999999999972</v>
      </c>
      <c r="DA105" s="108">
        <f>IFERROR(-(TOWER_DATA[[#This Row],[D, bottom '[m']]]-TOWER_DATA[[#This Row],[D, top '[m']]])/(TOWER_DATA[[#This Row],[Bottom '[m']]]-TOWER_DATA[[#This Row],[Top '[m']]]),"")</f>
        <v>0</v>
      </c>
      <c r="DB105" s="108">
        <f t="shared" si="6"/>
        <v>2.3087605251935819</v>
      </c>
      <c r="DC105" s="108">
        <f>IFERROR((TOWER_DATA[[#This Row],[D, bottom '[m']]]+TOWER_DATA[[#This Row],[D, top '[m']]])/(2*TOWER_DATA[[#This Row],[t '[mm']]]/1000),"")</f>
        <v>107.14285714285714</v>
      </c>
      <c r="DD105" s="95" t="str">
        <f>IFERROR((TOWER_DATA[[#This Row],[D, bottom '[m']]]+#REF!)/(2*#REF!/1000),"")</f>
        <v/>
      </c>
      <c r="DE105" s="111"/>
      <c r="DF105" s="111"/>
      <c r="DG105" s="111"/>
      <c r="DH105" s="111"/>
      <c r="DI105" s="111"/>
      <c r="DJ105" s="111"/>
      <c r="DK105" s="111"/>
      <c r="DL105" s="111"/>
      <c r="DM105" s="111"/>
      <c r="DW105" s="105">
        <v>90</v>
      </c>
      <c r="DX105" s="105">
        <v>21.08</v>
      </c>
      <c r="DY105" s="105">
        <v>20.9</v>
      </c>
      <c r="DZ105" s="105">
        <v>7.5</v>
      </c>
      <c r="EA105" s="105">
        <v>7.5</v>
      </c>
      <c r="EB105" s="105">
        <v>70</v>
      </c>
      <c r="ED105" s="105"/>
      <c r="EE105" s="105"/>
      <c r="EF105" s="105"/>
      <c r="EG105" s="105"/>
      <c r="EH105" s="105"/>
      <c r="EI105" s="105"/>
      <c r="EJ105" s="105"/>
      <c r="EK105" s="105"/>
      <c r="EL105" s="105"/>
      <c r="EU105" s="108" t="str">
        <f t="shared" si="8"/>
        <v/>
      </c>
      <c r="EV105" s="108"/>
    </row>
    <row r="106" spans="6:152" x14ac:dyDescent="0.3">
      <c r="F106" s="108"/>
      <c r="H106" s="108"/>
      <c r="J106" s="108"/>
      <c r="L106" s="108" t="str">
        <f>IFERROR(MP_DATA[[#This Row],[Bottom '[m']]]-MP_DATA[[#This Row],[D, top '[m']]], "")</f>
        <v/>
      </c>
      <c r="M106" s="95" t="str">
        <f>IFERROR(-(MP_DATA[[#This Row],[D, bottom '[m']]]-MP_DATA[[#This Row],[D, top '[m']]])/(MP_DATA[[#This Row],[Bottom '[m']]]-MP_DATA[[#This Row],[Top '[m']]]),"")</f>
        <v/>
      </c>
      <c r="N106" s="108" t="str">
        <f t="shared" si="4"/>
        <v/>
      </c>
      <c r="O106" s="108" t="str">
        <f>IFERROR((MP_DATA[[#This Row],[D, bottom '[m']]]+MP_DATA[[#This Row],[D, top '[m']]])/(2*MP_DATA[[#This Row],[t '[mm']]]/1000),"")</f>
        <v/>
      </c>
      <c r="P106" s="95" t="str">
        <f>IFERROR((MP_DATA[[#This Row],[D, bottom '[m']]]+#REF!)/(2*#REF!/1000),"")</f>
        <v/>
      </c>
      <c r="BF106" s="108" t="str">
        <f>IFERROR(TP_DATA[[#This Row],[Bottom '[m']]]-TP_DATA[[#This Row],[D, top '[m']]], "")</f>
        <v/>
      </c>
      <c r="BG106" s="108" t="str">
        <f>IFERROR(-(TP_DATA[[#This Row],[D, bottom '[m']]]-TP_DATA[[#This Row],[D, top '[m']]])/(TP_DATA[[#This Row],[Bottom '[m']]]-TP_DATA[[#This Row],[Top '[m']]]),"")</f>
        <v/>
      </c>
      <c r="BH106" s="108" t="str">
        <f t="shared" si="7"/>
        <v/>
      </c>
      <c r="BI106" s="108" t="str">
        <f>IFERROR((TP_DATA[[#This Row],[D, bottom '[m']]]+TP_DATA[[#This Row],[D, top '[m']]])/(2*TP_DATA[[#This Row],[t '[mm']]]/1000),"")</f>
        <v/>
      </c>
      <c r="BJ106" s="95" t="str">
        <f>IFERROR((TP_DATA[[#This Row],[D, bottom '[m']]]+#REF!)/(2*#REF!/1000),"")</f>
        <v/>
      </c>
      <c r="CZ106" s="108" t="str">
        <f>IFERROR(TOWER_DATA[[#This Row],[Top '[m']]]-TOWER_DATA[[#This Row],[Bottom '[m']]], "")</f>
        <v/>
      </c>
      <c r="DA106" s="108" t="str">
        <f>IFERROR(-(TOWER_DATA[[#This Row],[D, bottom '[m']]]-TOWER_DATA[[#This Row],[D, top '[m']]])/(TOWER_DATA[[#This Row],[Bottom '[m']]]-TOWER_DATA[[#This Row],[Top '[m']]]),"")</f>
        <v/>
      </c>
      <c r="DB106" s="108" t="str">
        <f t="shared" ref="DB106:DB130" si="9">IF(7850/1000*(1/3)*PI()*ABS(CU106-CV106)*((CW106/2)^2+(CW106/2)*(CX106/2)+(CX106/2)^2-(CW106/2-CY106/1000)^2-(CW106/2-CY106/1000)*(CX106/2-CY106/1000)-(CX106/2-CY106/1000)^2)=0,"",7850/1000*(1/3)*PI()*ABS(CU106-CV106)*((CW106/2)^2+(CW106/2)*(CX106/2)+(CX106/2)^2-(CW106/2-CY106/1000)^2-(CW106/2-CY106/1000)*(CX106/2-CY106/1000)-(CX106/2-CY106/1000)^2))</f>
        <v/>
      </c>
      <c r="DC106" s="108" t="str">
        <f>IFERROR((TOWER_DATA[[#This Row],[D, bottom '[m']]]+TOWER_DATA[[#This Row],[D, top '[m']]])/(2*TOWER_DATA[[#This Row],[t '[mm']]]/1000),"")</f>
        <v/>
      </c>
      <c r="DD106" s="95" t="str">
        <f>IFERROR((TOWER_DATA[[#This Row],[D, bottom '[m']]]+#REF!)/(2*#REF!/1000),"")</f>
        <v/>
      </c>
      <c r="DE106" s="111"/>
      <c r="DF106" s="111"/>
      <c r="DG106" s="111"/>
      <c r="DH106" s="111"/>
      <c r="DI106" s="111"/>
      <c r="DJ106" s="111"/>
      <c r="DK106" s="111"/>
      <c r="DL106" s="111"/>
      <c r="DM106" s="111"/>
      <c r="ED106" s="105"/>
      <c r="EE106" s="105"/>
      <c r="EF106" s="105"/>
      <c r="EG106" s="105"/>
      <c r="EH106" s="105"/>
      <c r="EI106" s="105"/>
      <c r="EJ106" s="105"/>
      <c r="EK106" s="105"/>
      <c r="EL106" s="105"/>
      <c r="EU106" s="108" t="str">
        <f t="shared" si="8"/>
        <v/>
      </c>
      <c r="EV106" s="108"/>
    </row>
    <row r="107" spans="6:152" x14ac:dyDescent="0.3">
      <c r="F107" s="108"/>
      <c r="G107" s="108"/>
      <c r="H107" s="108"/>
      <c r="I107" s="108"/>
      <c r="J107" s="108"/>
      <c r="K107" s="108"/>
      <c r="L107" s="108" t="str">
        <f>IFERROR(MP_DATA[[#This Row],[Bottom '[m']]]-MP_DATA[[#This Row],[D, top '[m']]], "")</f>
        <v/>
      </c>
      <c r="M107" s="108" t="str">
        <f>IFERROR(-(MP_DATA[[#This Row],[D, bottom '[m']]]-MP_DATA[[#This Row],[D, top '[m']]])/(MP_DATA[[#This Row],[Bottom '[m']]]-MP_DATA[[#This Row],[Top '[m']]]),"")</f>
        <v/>
      </c>
      <c r="N107" s="108" t="str">
        <f t="shared" si="4"/>
        <v/>
      </c>
      <c r="O107" s="108" t="str">
        <f>IFERROR((MP_DATA[[#This Row],[D, bottom '[m']]]+MP_DATA[[#This Row],[D, top '[m']]])/(2*MP_DATA[[#This Row],[t '[mm']]]/1000),"")</f>
        <v/>
      </c>
      <c r="P107" s="95" t="str">
        <f>IFERROR((MP_DATA[[#This Row],[D, bottom '[m']]]+#REF!)/(2*#REF!/1000),"")</f>
        <v/>
      </c>
      <c r="BF107" s="108" t="str">
        <f>IFERROR(TP_DATA[[#This Row],[Bottom '[m']]]-TP_DATA[[#This Row],[D, top '[m']]], "")</f>
        <v/>
      </c>
      <c r="BG107" s="108" t="str">
        <f>IFERROR(-(TP_DATA[[#This Row],[D, bottom '[m']]]-TP_DATA[[#This Row],[D, top '[m']]])/(TP_DATA[[#This Row],[Bottom '[m']]]-TP_DATA[[#This Row],[Top '[m']]]),"")</f>
        <v/>
      </c>
      <c r="BH107" s="108" t="str">
        <f t="shared" si="7"/>
        <v/>
      </c>
      <c r="BI107" s="108" t="str">
        <f>IFERROR((TP_DATA[[#This Row],[D, bottom '[m']]]+TP_DATA[[#This Row],[D, top '[m']]])/(2*TP_DATA[[#This Row],[t '[mm']]]/1000),"")</f>
        <v/>
      </c>
      <c r="BJ107" s="95" t="str">
        <f>IFERROR((TP_DATA[[#This Row],[D, bottom '[m']]]+#REF!)/(2*#REF!/1000),"")</f>
        <v/>
      </c>
      <c r="CZ107" s="108" t="str">
        <f>IFERROR(TOWER_DATA[[#This Row],[Top '[m']]]-TOWER_DATA[[#This Row],[Bottom '[m']]], "")</f>
        <v/>
      </c>
      <c r="DA107" s="108" t="str">
        <f>IFERROR(-(TOWER_DATA[[#This Row],[D, bottom '[m']]]-TOWER_DATA[[#This Row],[D, top '[m']]])/(TOWER_DATA[[#This Row],[Bottom '[m']]]-TOWER_DATA[[#This Row],[Top '[m']]]),"")</f>
        <v/>
      </c>
      <c r="DB107" s="108" t="str">
        <f t="shared" si="9"/>
        <v/>
      </c>
      <c r="DC107" s="108" t="str">
        <f>IFERROR((TOWER_DATA[[#This Row],[D, bottom '[m']]]+TOWER_DATA[[#This Row],[D, top '[m']]])/(2*TOWER_DATA[[#This Row],[t '[mm']]]/1000),"")</f>
        <v/>
      </c>
      <c r="DD107" s="95" t="str">
        <f>IFERROR((TOWER_DATA[[#This Row],[D, bottom '[m']]]+#REF!)/(2*#REF!/1000),"")</f>
        <v/>
      </c>
      <c r="DE107" s="111"/>
      <c r="DF107" s="111"/>
      <c r="DG107" s="111"/>
      <c r="DH107" s="111"/>
      <c r="DI107" s="111"/>
      <c r="DJ107" s="111"/>
      <c r="DK107" s="111"/>
      <c r="DL107" s="111"/>
      <c r="DM107" s="111"/>
      <c r="ED107" s="105"/>
      <c r="EE107" s="105"/>
      <c r="EF107" s="105"/>
      <c r="EG107" s="105"/>
      <c r="EH107" s="105"/>
      <c r="EI107" s="105"/>
      <c r="EJ107" s="105"/>
      <c r="EK107" s="105"/>
      <c r="EL107" s="105"/>
      <c r="EU107" s="108" t="str">
        <f t="shared" si="8"/>
        <v/>
      </c>
      <c r="EV107" s="108"/>
    </row>
    <row r="108" spans="6:152" x14ac:dyDescent="0.3">
      <c r="F108" s="108"/>
      <c r="G108" s="108"/>
      <c r="H108" s="108"/>
      <c r="I108" s="108"/>
      <c r="J108" s="108"/>
      <c r="K108" s="108"/>
      <c r="L108" s="108" t="str">
        <f>IFERROR(MP_DATA[[#This Row],[Bottom '[m']]]-MP_DATA[[#This Row],[D, top '[m']]], "")</f>
        <v/>
      </c>
      <c r="M108" s="108" t="str">
        <f>IFERROR(-(MP_DATA[[#This Row],[D, bottom '[m']]]-MP_DATA[[#This Row],[D, top '[m']]])/(MP_DATA[[#This Row],[Bottom '[m']]]-MP_DATA[[#This Row],[Top '[m']]]),"")</f>
        <v/>
      </c>
      <c r="N108" s="108" t="str">
        <f t="shared" si="4"/>
        <v/>
      </c>
      <c r="O108" s="108" t="str">
        <f>IFERROR((MP_DATA[[#This Row],[D, bottom '[m']]]+MP_DATA[[#This Row],[D, top '[m']]])/(2*MP_DATA[[#This Row],[t '[mm']]]/1000),"")</f>
        <v/>
      </c>
      <c r="P108" s="95" t="str">
        <f>IFERROR((MP_DATA[[#This Row],[D, bottom '[m']]]+#REF!)/(2*#REF!/1000),"")</f>
        <v/>
      </c>
      <c r="BF108" s="108" t="str">
        <f>IFERROR(TP_DATA[[#This Row],[Bottom '[m']]]-TP_DATA[[#This Row],[D, top '[m']]], "")</f>
        <v/>
      </c>
      <c r="BG108" s="108" t="str">
        <f>IFERROR(-(TP_DATA[[#This Row],[D, bottom '[m']]]-TP_DATA[[#This Row],[D, top '[m']]])/(TP_DATA[[#This Row],[Bottom '[m']]]-TP_DATA[[#This Row],[Top '[m']]]),"")</f>
        <v/>
      </c>
      <c r="BH108" s="108" t="str">
        <f t="shared" si="7"/>
        <v/>
      </c>
      <c r="BI108" s="108" t="str">
        <f>IFERROR((TP_DATA[[#This Row],[D, bottom '[m']]]+TP_DATA[[#This Row],[D, top '[m']]])/(2*TP_DATA[[#This Row],[t '[mm']]]/1000),"")</f>
        <v/>
      </c>
      <c r="BJ108" s="95" t="str">
        <f>IFERROR((TP_DATA[[#This Row],[D, bottom '[m']]]+#REF!)/(2*#REF!/1000),"")</f>
        <v/>
      </c>
      <c r="CZ108" s="108" t="str">
        <f>IFERROR(TOWER_DATA[[#This Row],[Top '[m']]]-TOWER_DATA[[#This Row],[Bottom '[m']]], "")</f>
        <v/>
      </c>
      <c r="DA108" s="108" t="str">
        <f>IFERROR(-(TOWER_DATA[[#This Row],[D, bottom '[m']]]-TOWER_DATA[[#This Row],[D, top '[m']]])/(TOWER_DATA[[#This Row],[Bottom '[m']]]-TOWER_DATA[[#This Row],[Top '[m']]]),"")</f>
        <v/>
      </c>
      <c r="DB108" s="108" t="str">
        <f t="shared" si="9"/>
        <v/>
      </c>
      <c r="DC108" s="108" t="str">
        <f>IFERROR((TOWER_DATA[[#This Row],[D, bottom '[m']]]+TOWER_DATA[[#This Row],[D, top '[m']]])/(2*TOWER_DATA[[#This Row],[t '[mm']]]/1000),"")</f>
        <v/>
      </c>
      <c r="DD108" s="95" t="str">
        <f>IFERROR((TOWER_DATA[[#This Row],[D, bottom '[m']]]+#REF!)/(2*#REF!/1000),"")</f>
        <v/>
      </c>
      <c r="DE108" s="111"/>
      <c r="DF108" s="111"/>
      <c r="DG108" s="111"/>
      <c r="DH108" s="111"/>
      <c r="DI108" s="111"/>
      <c r="DJ108" s="111"/>
      <c r="DK108" s="111"/>
      <c r="DL108" s="111"/>
      <c r="DM108" s="111"/>
      <c r="ED108" s="105"/>
      <c r="EE108" s="105"/>
      <c r="EF108" s="105"/>
      <c r="EG108" s="105"/>
      <c r="EH108" s="105"/>
      <c r="EI108" s="105"/>
      <c r="EJ108" s="105"/>
      <c r="EK108" s="105"/>
      <c r="EL108" s="105"/>
      <c r="EU108" s="108" t="str">
        <f t="shared" si="8"/>
        <v/>
      </c>
      <c r="EV108" s="108"/>
    </row>
    <row r="109" spans="6:152" x14ac:dyDescent="0.3">
      <c r="F109" s="108"/>
      <c r="G109" s="108"/>
      <c r="H109" s="108"/>
      <c r="I109" s="108"/>
      <c r="J109" s="108"/>
      <c r="K109" s="108"/>
      <c r="L109" s="108" t="str">
        <f>IFERROR(MP_DATA[[#This Row],[Bottom '[m']]]-MP_DATA[[#This Row],[D, top '[m']]], "")</f>
        <v/>
      </c>
      <c r="M109" s="108" t="str">
        <f>IFERROR(-(MP_DATA[[#This Row],[D, bottom '[m']]]-MP_DATA[[#This Row],[D, top '[m']]])/(MP_DATA[[#This Row],[Bottom '[m']]]-MP_DATA[[#This Row],[Top '[m']]]),"")</f>
        <v/>
      </c>
      <c r="N109" s="108" t="str">
        <f t="shared" si="4"/>
        <v/>
      </c>
      <c r="O109" s="108" t="str">
        <f>IFERROR((MP_DATA[[#This Row],[D, bottom '[m']]]+MP_DATA[[#This Row],[D, top '[m']]])/(2*MP_DATA[[#This Row],[t '[mm']]]/1000),"")</f>
        <v/>
      </c>
      <c r="P109" s="95" t="str">
        <f>IFERROR((MP_DATA[[#This Row],[D, bottom '[m']]]+#REF!)/(2*#REF!/1000),"")</f>
        <v/>
      </c>
      <c r="BF109" s="108" t="str">
        <f>IFERROR(TP_DATA[[#This Row],[Bottom '[m']]]-TP_DATA[[#This Row],[D, top '[m']]], "")</f>
        <v/>
      </c>
      <c r="BG109" s="108" t="str">
        <f>IFERROR(-(TP_DATA[[#This Row],[D, bottom '[m']]]-TP_DATA[[#This Row],[D, top '[m']]])/(TP_DATA[[#This Row],[Bottom '[m']]]-TP_DATA[[#This Row],[Top '[m']]]),"")</f>
        <v/>
      </c>
      <c r="BH109" s="108" t="str">
        <f t="shared" si="7"/>
        <v/>
      </c>
      <c r="BI109" s="108" t="str">
        <f>IFERROR((TP_DATA[[#This Row],[D, bottom '[m']]]+TP_DATA[[#This Row],[D, top '[m']]])/(2*TP_DATA[[#This Row],[t '[mm']]]/1000),"")</f>
        <v/>
      </c>
      <c r="BJ109" s="95" t="str">
        <f>IFERROR((TP_DATA[[#This Row],[D, bottom '[m']]]+#REF!)/(2*#REF!/1000),"")</f>
        <v/>
      </c>
      <c r="CZ109" s="108" t="str">
        <f>IFERROR(TOWER_DATA[[#This Row],[Top '[m']]]-TOWER_DATA[[#This Row],[Bottom '[m']]], "")</f>
        <v/>
      </c>
      <c r="DA109" s="108" t="str">
        <f>IFERROR(-(TOWER_DATA[[#This Row],[D, bottom '[m']]]-TOWER_DATA[[#This Row],[D, top '[m']]])/(TOWER_DATA[[#This Row],[Bottom '[m']]]-TOWER_DATA[[#This Row],[Top '[m']]]),"")</f>
        <v/>
      </c>
      <c r="DB109" s="108" t="str">
        <f t="shared" si="9"/>
        <v/>
      </c>
      <c r="DC109" s="108" t="str">
        <f>IFERROR((TOWER_DATA[[#This Row],[D, bottom '[m']]]+TOWER_DATA[[#This Row],[D, top '[m']]])/(2*TOWER_DATA[[#This Row],[t '[mm']]]/1000),"")</f>
        <v/>
      </c>
      <c r="DD109" s="95" t="str">
        <f>IFERROR((TOWER_DATA[[#This Row],[D, bottom '[m']]]+#REF!)/(2*#REF!/1000),"")</f>
        <v/>
      </c>
      <c r="DE109" s="111"/>
      <c r="DF109" s="111"/>
      <c r="DG109" s="111"/>
      <c r="DH109" s="111"/>
      <c r="DI109" s="111"/>
      <c r="DJ109" s="111"/>
      <c r="DK109" s="111"/>
      <c r="DL109" s="111"/>
      <c r="DM109" s="111"/>
      <c r="ED109" s="105"/>
      <c r="EE109" s="105"/>
      <c r="EF109" s="105"/>
      <c r="EG109" s="105"/>
      <c r="EH109" s="105"/>
      <c r="EI109" s="105"/>
      <c r="EJ109" s="105"/>
      <c r="EK109" s="105"/>
      <c r="EL109" s="105"/>
      <c r="EU109" s="108" t="str">
        <f t="shared" si="8"/>
        <v/>
      </c>
      <c r="EV109" s="108"/>
    </row>
    <row r="110" spans="6:152" x14ac:dyDescent="0.3">
      <c r="F110" s="108"/>
      <c r="G110" s="108"/>
      <c r="H110" s="108"/>
      <c r="I110" s="108"/>
      <c r="J110" s="108"/>
      <c r="K110" s="108"/>
      <c r="L110" s="108" t="str">
        <f>IFERROR(MP_DATA[[#This Row],[Bottom '[m']]]-MP_DATA[[#This Row],[D, top '[m']]], "")</f>
        <v/>
      </c>
      <c r="M110" s="108" t="str">
        <f>IFERROR(-(MP_DATA[[#This Row],[D, bottom '[m']]]-MP_DATA[[#This Row],[D, top '[m']]])/(MP_DATA[[#This Row],[Bottom '[m']]]-MP_DATA[[#This Row],[Top '[m']]]),"")</f>
        <v/>
      </c>
      <c r="N110" s="108" t="str">
        <f t="shared" si="4"/>
        <v/>
      </c>
      <c r="O110" s="108" t="str">
        <f>IFERROR((MP_DATA[[#This Row],[D, bottom '[m']]]+MP_DATA[[#This Row],[D, top '[m']]])/(2*MP_DATA[[#This Row],[t '[mm']]]/1000),"")</f>
        <v/>
      </c>
      <c r="BF110" s="108" t="str">
        <f>IFERROR(TP_DATA[[#This Row],[Bottom '[m']]]-TP_DATA[[#This Row],[D, top '[m']]], "")</f>
        <v/>
      </c>
      <c r="BG110" s="108" t="str">
        <f>IFERROR(-(TP_DATA[[#This Row],[D, bottom '[m']]]-TP_DATA[[#This Row],[D, top '[m']]])/(TP_DATA[[#This Row],[Bottom '[m']]]-TP_DATA[[#This Row],[Top '[m']]]),"")</f>
        <v/>
      </c>
      <c r="BH110" s="108" t="str">
        <f t="shared" si="7"/>
        <v/>
      </c>
      <c r="BI110" s="108" t="str">
        <f>IFERROR((TP_DATA[[#This Row],[D, bottom '[m']]]+TP_DATA[[#This Row],[D, top '[m']]])/(2*TP_DATA[[#This Row],[t '[mm']]]/1000),"")</f>
        <v/>
      </c>
      <c r="CZ110" s="108" t="str">
        <f>IFERROR(TOWER_DATA[[#This Row],[Top '[m']]]-TOWER_DATA[[#This Row],[Bottom '[m']]], "")</f>
        <v/>
      </c>
      <c r="DA110" s="108" t="str">
        <f>IFERROR(-(TOWER_DATA[[#This Row],[D, bottom '[m']]]-TOWER_DATA[[#This Row],[D, top '[m']]])/(TOWER_DATA[[#This Row],[Bottom '[m']]]-TOWER_DATA[[#This Row],[Top '[m']]]),"")</f>
        <v/>
      </c>
      <c r="DB110" s="108" t="str">
        <f t="shared" si="9"/>
        <v/>
      </c>
      <c r="DC110" s="108" t="str">
        <f>IFERROR((TOWER_DATA[[#This Row],[D, bottom '[m']]]+TOWER_DATA[[#This Row],[D, top '[m']]])/(2*TOWER_DATA[[#This Row],[t '[mm']]]/1000),"")</f>
        <v/>
      </c>
      <c r="DE110" s="111"/>
      <c r="DF110" s="111"/>
      <c r="DG110" s="111"/>
      <c r="DH110" s="111"/>
      <c r="DI110" s="111"/>
      <c r="DJ110" s="111"/>
      <c r="DK110" s="111"/>
      <c r="DL110" s="111"/>
      <c r="DM110" s="111"/>
      <c r="ED110" s="105"/>
      <c r="EE110" s="105"/>
      <c r="EF110" s="105"/>
      <c r="EG110" s="105"/>
      <c r="EH110" s="105"/>
      <c r="EI110" s="105"/>
      <c r="EJ110" s="105"/>
      <c r="EK110" s="105"/>
      <c r="EL110" s="105"/>
      <c r="EU110" s="108" t="str">
        <f t="shared" si="8"/>
        <v/>
      </c>
      <c r="EV110" s="108"/>
    </row>
    <row r="111" spans="6:152" x14ac:dyDescent="0.3">
      <c r="F111" s="108"/>
      <c r="G111" s="108"/>
      <c r="H111" s="108"/>
      <c r="I111" s="108"/>
      <c r="J111" s="108"/>
      <c r="K111" s="108"/>
      <c r="L111" s="108" t="str">
        <f>IFERROR(MP_DATA[[#This Row],[Bottom '[m']]]-MP_DATA[[#This Row],[D, top '[m']]], "")</f>
        <v/>
      </c>
      <c r="M111" s="108" t="str">
        <f>IFERROR(-(MP_DATA[[#This Row],[D, bottom '[m']]]-MP_DATA[[#This Row],[D, top '[m']]])/(MP_DATA[[#This Row],[Bottom '[m']]]-MP_DATA[[#This Row],[Top '[m']]]),"")</f>
        <v/>
      </c>
      <c r="N111" s="108" t="str">
        <f t="shared" ref="N111:N128" si="10">IF(7850/1000*(1/3)*PI()*ABS(G170-H170)*((I170/2)^2+(I170/2)*(J170/2)+(J170/2)^2-(I170/2-K170/1000)^2-(I170/2-K170/1000)*(J170/2-K170/1000)-(J170/2-K170/1000)^2)=0,"",7850/1000*(1/3)*PI()*ABS(G170-H170)*((I170/2)^2+(I170/2)*(J170/2)+(J170/2)^2-(I170/2-K170/1000)^2-(I170/2-K170/1000)*(J170/2-K170/1000)-(J170/2-K170/1000)^2))</f>
        <v/>
      </c>
      <c r="O111" s="108" t="str">
        <f>IFERROR((MP_DATA[[#This Row],[D, bottom '[m']]]+MP_DATA[[#This Row],[D, top '[m']]])/(2*MP_DATA[[#This Row],[t '[mm']]]/1000),"")</f>
        <v/>
      </c>
      <c r="BF111" s="108" t="str">
        <f>IFERROR(TP_DATA[[#This Row],[Bottom '[m']]]-TP_DATA[[#This Row],[D, top '[m']]], "")</f>
        <v/>
      </c>
      <c r="BG111" s="108" t="str">
        <f>IFERROR(-(TP_DATA[[#This Row],[D, bottom '[m']]]-TP_DATA[[#This Row],[D, top '[m']]])/(TP_DATA[[#This Row],[Bottom '[m']]]-TP_DATA[[#This Row],[Top '[m']]]),"")</f>
        <v/>
      </c>
      <c r="BH111" s="108" t="str">
        <f t="shared" si="7"/>
        <v/>
      </c>
      <c r="BI111" s="108" t="str">
        <f>IFERROR((TP_DATA[[#This Row],[D, bottom '[m']]]+TP_DATA[[#This Row],[D, top '[m']]])/(2*TP_DATA[[#This Row],[t '[mm']]]/1000),"")</f>
        <v/>
      </c>
      <c r="CZ111" s="108" t="str">
        <f>IFERROR(TOWER_DATA[[#This Row],[Top '[m']]]-TOWER_DATA[[#This Row],[Bottom '[m']]], "")</f>
        <v/>
      </c>
      <c r="DA111" s="108" t="str">
        <f>IFERROR(-(TOWER_DATA[[#This Row],[D, bottom '[m']]]-TOWER_DATA[[#This Row],[D, top '[m']]])/(TOWER_DATA[[#This Row],[Bottom '[m']]]-TOWER_DATA[[#This Row],[Top '[m']]]),"")</f>
        <v/>
      </c>
      <c r="DB111" s="108" t="str">
        <f t="shared" si="9"/>
        <v/>
      </c>
      <c r="DC111" s="108" t="str">
        <f>IFERROR((TOWER_DATA[[#This Row],[D, bottom '[m']]]+TOWER_DATA[[#This Row],[D, top '[m']]])/(2*TOWER_DATA[[#This Row],[t '[mm']]]/1000),"")</f>
        <v/>
      </c>
      <c r="DE111" s="111"/>
      <c r="DF111" s="111"/>
      <c r="DG111" s="111"/>
      <c r="DH111" s="111"/>
      <c r="DI111" s="111"/>
      <c r="DJ111" s="111"/>
      <c r="DK111" s="111"/>
      <c r="DL111" s="111"/>
      <c r="DM111" s="111"/>
      <c r="ED111" s="105"/>
      <c r="EE111" s="105"/>
      <c r="EF111" s="105"/>
      <c r="EG111" s="105"/>
      <c r="EH111" s="105"/>
      <c r="EI111" s="105"/>
      <c r="EJ111" s="105"/>
      <c r="EK111" s="105"/>
      <c r="EL111" s="105"/>
      <c r="EU111" s="108" t="str">
        <f t="shared" si="8"/>
        <v/>
      </c>
      <c r="EV111" s="108"/>
    </row>
    <row r="112" spans="6:152" x14ac:dyDescent="0.3">
      <c r="F112" s="108"/>
      <c r="G112" s="108"/>
      <c r="H112" s="108"/>
      <c r="I112" s="108"/>
      <c r="J112" s="108"/>
      <c r="K112" s="108"/>
      <c r="L112" s="108" t="str">
        <f>IFERROR(MP_DATA[[#This Row],[Bottom '[m']]]-MP_DATA[[#This Row],[D, top '[m']]], "")</f>
        <v/>
      </c>
      <c r="M112" s="108" t="str">
        <f>IFERROR(-(MP_DATA[[#This Row],[D, bottom '[m']]]-MP_DATA[[#This Row],[D, top '[m']]])/(MP_DATA[[#This Row],[Bottom '[m']]]-MP_DATA[[#This Row],[Top '[m']]]),"")</f>
        <v/>
      </c>
      <c r="N112" s="108" t="str">
        <f t="shared" si="10"/>
        <v/>
      </c>
      <c r="O112" s="108" t="str">
        <f>IFERROR((MP_DATA[[#This Row],[D, bottom '[m']]]+MP_DATA[[#This Row],[D, top '[m']]])/(2*MP_DATA[[#This Row],[t '[mm']]]/1000),"")</f>
        <v/>
      </c>
      <c r="BF112" s="108" t="str">
        <f>IFERROR(TP_DATA[[#This Row],[Bottom '[m']]]-TP_DATA[[#This Row],[D, top '[m']]], "")</f>
        <v/>
      </c>
      <c r="BG112" s="108" t="str">
        <f>IFERROR(-(TP_DATA[[#This Row],[D, bottom '[m']]]-TP_DATA[[#This Row],[D, top '[m']]])/(TP_DATA[[#This Row],[Bottom '[m']]]-TP_DATA[[#This Row],[Top '[m']]]),"")</f>
        <v/>
      </c>
      <c r="BH112" s="108" t="str">
        <f t="shared" si="7"/>
        <v/>
      </c>
      <c r="BI112" s="108" t="str">
        <f>IFERROR((TP_DATA[[#This Row],[D, bottom '[m']]]+TP_DATA[[#This Row],[D, top '[m']]])/(2*TP_DATA[[#This Row],[t '[mm']]]/1000),"")</f>
        <v/>
      </c>
      <c r="CZ112" s="108" t="str">
        <f>IFERROR(TOWER_DATA[[#This Row],[Top '[m']]]-TOWER_DATA[[#This Row],[Bottom '[m']]], "")</f>
        <v/>
      </c>
      <c r="DA112" s="108" t="str">
        <f>IFERROR(-(TOWER_DATA[[#This Row],[D, bottom '[m']]]-TOWER_DATA[[#This Row],[D, top '[m']]])/(TOWER_DATA[[#This Row],[Bottom '[m']]]-TOWER_DATA[[#This Row],[Top '[m']]]),"")</f>
        <v/>
      </c>
      <c r="DB112" s="108" t="str">
        <f t="shared" si="9"/>
        <v/>
      </c>
      <c r="DC112" s="108" t="str">
        <f>IFERROR((TOWER_DATA[[#This Row],[D, bottom '[m']]]+TOWER_DATA[[#This Row],[D, top '[m']]])/(2*TOWER_DATA[[#This Row],[t '[mm']]]/1000),"")</f>
        <v/>
      </c>
      <c r="DE112" s="111"/>
      <c r="DF112" s="111"/>
      <c r="DG112" s="111"/>
      <c r="DH112" s="111"/>
      <c r="DI112" s="111"/>
      <c r="DJ112" s="111"/>
      <c r="DK112" s="111"/>
      <c r="DL112" s="111"/>
      <c r="DM112" s="111"/>
      <c r="ED112" s="105"/>
      <c r="EE112" s="105"/>
      <c r="EF112" s="105"/>
      <c r="EG112" s="105"/>
      <c r="EH112" s="105"/>
      <c r="EI112" s="105"/>
      <c r="EJ112" s="105"/>
      <c r="EK112" s="105"/>
      <c r="EL112" s="105"/>
      <c r="EU112" s="108" t="str">
        <f t="shared" si="8"/>
        <v/>
      </c>
      <c r="EV112" s="108"/>
    </row>
    <row r="113" spans="6:152" x14ac:dyDescent="0.3">
      <c r="F113" s="108"/>
      <c r="G113" s="108"/>
      <c r="H113" s="108"/>
      <c r="I113" s="108"/>
      <c r="J113" s="108"/>
      <c r="K113" s="108"/>
      <c r="L113" s="108" t="str">
        <f>IFERROR(MP_DATA[[#This Row],[Bottom '[m']]]-MP_DATA[[#This Row],[D, top '[m']]], "")</f>
        <v/>
      </c>
      <c r="M113" s="108" t="str">
        <f>IFERROR(-(MP_DATA[[#This Row],[D, bottom '[m']]]-MP_DATA[[#This Row],[D, top '[m']]])/(MP_DATA[[#This Row],[Bottom '[m']]]-MP_DATA[[#This Row],[Top '[m']]]),"")</f>
        <v/>
      </c>
      <c r="N113" s="108" t="str">
        <f t="shared" si="10"/>
        <v/>
      </c>
      <c r="O113" s="108" t="str">
        <f>IFERROR((MP_DATA[[#This Row],[D, bottom '[m']]]+MP_DATA[[#This Row],[D, top '[m']]])/(2*MP_DATA[[#This Row],[t '[mm']]]/1000),"")</f>
        <v/>
      </c>
      <c r="BF113" s="108" t="str">
        <f>IFERROR(TP_DATA[[#This Row],[Bottom '[m']]]-TP_DATA[[#This Row],[D, top '[m']]], "")</f>
        <v/>
      </c>
      <c r="BG113" s="108" t="str">
        <f>IFERROR(-(TP_DATA[[#This Row],[D, bottom '[m']]]-TP_DATA[[#This Row],[D, top '[m']]])/(TP_DATA[[#This Row],[Bottom '[m']]]-TP_DATA[[#This Row],[Top '[m']]]),"")</f>
        <v/>
      </c>
      <c r="BH113" s="108" t="str">
        <f t="shared" si="7"/>
        <v/>
      </c>
      <c r="BI113" s="108" t="str">
        <f>IFERROR((TP_DATA[[#This Row],[D, bottom '[m']]]+TP_DATA[[#This Row],[D, top '[m']]])/(2*TP_DATA[[#This Row],[t '[mm']]]/1000),"")</f>
        <v/>
      </c>
      <c r="CZ113" s="108" t="str">
        <f>IFERROR(TOWER_DATA[[#This Row],[Top '[m']]]-TOWER_DATA[[#This Row],[Bottom '[m']]], "")</f>
        <v/>
      </c>
      <c r="DA113" s="108" t="str">
        <f>IFERROR(-(TOWER_DATA[[#This Row],[D, bottom '[m']]]-TOWER_DATA[[#This Row],[D, top '[m']]])/(TOWER_DATA[[#This Row],[Bottom '[m']]]-TOWER_DATA[[#This Row],[Top '[m']]]),"")</f>
        <v/>
      </c>
      <c r="DB113" s="108" t="str">
        <f t="shared" si="9"/>
        <v/>
      </c>
      <c r="DC113" s="108" t="str">
        <f>IFERROR((TOWER_DATA[[#This Row],[D, bottom '[m']]]+TOWER_DATA[[#This Row],[D, top '[m']]])/(2*TOWER_DATA[[#This Row],[t '[mm']]]/1000),"")</f>
        <v/>
      </c>
      <c r="DE113" s="111"/>
      <c r="DF113" s="111"/>
      <c r="DG113" s="111"/>
      <c r="DH113" s="111"/>
      <c r="DI113" s="111"/>
      <c r="DJ113" s="111"/>
      <c r="DK113" s="111"/>
      <c r="DL113" s="111"/>
      <c r="DM113" s="111"/>
      <c r="ED113" s="105"/>
      <c r="EE113" s="105"/>
      <c r="EF113" s="105"/>
      <c r="EG113" s="105"/>
      <c r="EH113" s="105"/>
      <c r="EI113" s="105"/>
      <c r="EJ113" s="105"/>
      <c r="EK113" s="105"/>
      <c r="EL113" s="105"/>
      <c r="EU113" s="108" t="str">
        <f t="shared" si="8"/>
        <v/>
      </c>
      <c r="EV113" s="108"/>
    </row>
    <row r="114" spans="6:152" x14ac:dyDescent="0.3">
      <c r="F114" s="108"/>
      <c r="G114" s="108"/>
      <c r="H114" s="108"/>
      <c r="I114" s="108"/>
      <c r="J114" s="108"/>
      <c r="K114" s="108"/>
      <c r="L114" s="108" t="str">
        <f>IFERROR(MP_DATA[[#This Row],[Bottom '[m']]]-MP_DATA[[#This Row],[D, top '[m']]], "")</f>
        <v/>
      </c>
      <c r="M114" s="108" t="str">
        <f>IFERROR(-(MP_DATA[[#This Row],[D, bottom '[m']]]-MP_DATA[[#This Row],[D, top '[m']]])/(MP_DATA[[#This Row],[Bottom '[m']]]-MP_DATA[[#This Row],[Top '[m']]]),"")</f>
        <v/>
      </c>
      <c r="N114" s="108" t="str">
        <f t="shared" si="10"/>
        <v/>
      </c>
      <c r="O114" s="108" t="str">
        <f>IFERROR((MP_DATA[[#This Row],[D, bottom '[m']]]+MP_DATA[[#This Row],[D, top '[m']]])/(2*MP_DATA[[#This Row],[t '[mm']]]/1000),"")</f>
        <v/>
      </c>
      <c r="BF114" s="108" t="str">
        <f>IFERROR(TP_DATA[[#This Row],[Bottom '[m']]]-TP_DATA[[#This Row],[D, top '[m']]], "")</f>
        <v/>
      </c>
      <c r="BG114" s="108" t="str">
        <f>IFERROR(-(TP_DATA[[#This Row],[D, bottom '[m']]]-TP_DATA[[#This Row],[D, top '[m']]])/(TP_DATA[[#This Row],[Bottom '[m']]]-TP_DATA[[#This Row],[Top '[m']]]),"")</f>
        <v/>
      </c>
      <c r="BH114" s="108" t="str">
        <f t="shared" si="7"/>
        <v/>
      </c>
      <c r="BI114" s="108" t="str">
        <f>IFERROR((TP_DATA[[#This Row],[D, bottom '[m']]]+TP_DATA[[#This Row],[D, top '[m']]])/(2*TP_DATA[[#This Row],[t '[mm']]]/1000),"")</f>
        <v/>
      </c>
      <c r="CZ114" s="108" t="str">
        <f>IFERROR(TOWER_DATA[[#This Row],[Top '[m']]]-TOWER_DATA[[#This Row],[Bottom '[m']]], "")</f>
        <v/>
      </c>
      <c r="DA114" s="108" t="str">
        <f>IFERROR(-(TOWER_DATA[[#This Row],[D, bottom '[m']]]-TOWER_DATA[[#This Row],[D, top '[m']]])/(TOWER_DATA[[#This Row],[Bottom '[m']]]-TOWER_DATA[[#This Row],[Top '[m']]]),"")</f>
        <v/>
      </c>
      <c r="DB114" s="108" t="str">
        <f t="shared" si="9"/>
        <v/>
      </c>
      <c r="DC114" s="108" t="str">
        <f>IFERROR((TOWER_DATA[[#This Row],[D, bottom '[m']]]+TOWER_DATA[[#This Row],[D, top '[m']]])/(2*TOWER_DATA[[#This Row],[t '[mm']]]/1000),"")</f>
        <v/>
      </c>
      <c r="DE114" s="111"/>
      <c r="DF114" s="111"/>
      <c r="DG114" s="111"/>
      <c r="DH114" s="111"/>
      <c r="DI114" s="111"/>
      <c r="DJ114" s="111"/>
      <c r="DK114" s="111"/>
      <c r="DL114" s="111"/>
      <c r="DM114" s="111"/>
      <c r="ED114" s="105"/>
      <c r="EE114" s="105"/>
      <c r="EF114" s="105"/>
      <c r="EG114" s="105"/>
      <c r="EH114" s="105"/>
      <c r="EI114" s="105"/>
      <c r="EJ114" s="105"/>
      <c r="EK114" s="105"/>
      <c r="EL114" s="105"/>
      <c r="EU114" s="108" t="str">
        <f t="shared" si="8"/>
        <v/>
      </c>
      <c r="EV114" s="108"/>
    </row>
    <row r="115" spans="6:152" x14ac:dyDescent="0.3">
      <c r="F115" s="108"/>
      <c r="G115" s="108"/>
      <c r="H115" s="108"/>
      <c r="I115" s="108"/>
      <c r="J115" s="108"/>
      <c r="K115" s="108"/>
      <c r="L115" s="108" t="str">
        <f>IFERROR(MP_DATA[[#This Row],[Bottom '[m']]]-MP_DATA[[#This Row],[D, top '[m']]], "")</f>
        <v/>
      </c>
      <c r="M115" s="108" t="str">
        <f>IFERROR(-(MP_DATA[[#This Row],[D, bottom '[m']]]-MP_DATA[[#This Row],[D, top '[m']]])/(MP_DATA[[#This Row],[Bottom '[m']]]-MP_DATA[[#This Row],[Top '[m']]]),"")</f>
        <v/>
      </c>
      <c r="N115" s="108" t="str">
        <f t="shared" si="10"/>
        <v/>
      </c>
      <c r="O115" s="108" t="str">
        <f>IFERROR((MP_DATA[[#This Row],[D, bottom '[m']]]+MP_DATA[[#This Row],[D, top '[m']]])/(2*MP_DATA[[#This Row],[t '[mm']]]/1000),"")</f>
        <v/>
      </c>
      <c r="BF115" s="108" t="str">
        <f>IFERROR(TP_DATA[[#This Row],[Bottom '[m']]]-TP_DATA[[#This Row],[D, top '[m']]], "")</f>
        <v/>
      </c>
      <c r="BG115" s="108" t="str">
        <f>IFERROR(-(TP_DATA[[#This Row],[D, bottom '[m']]]-TP_DATA[[#This Row],[D, top '[m']]])/(TP_DATA[[#This Row],[Bottom '[m']]]-TP_DATA[[#This Row],[Top '[m']]]),"")</f>
        <v/>
      </c>
      <c r="BH115" s="108" t="str">
        <f t="shared" si="7"/>
        <v/>
      </c>
      <c r="BI115" s="108" t="str">
        <f>IFERROR((TP_DATA[[#This Row],[D, bottom '[m']]]+TP_DATA[[#This Row],[D, top '[m']]])/(2*TP_DATA[[#This Row],[t '[mm']]]/1000),"")</f>
        <v/>
      </c>
      <c r="CZ115" s="108" t="str">
        <f>IFERROR(TOWER_DATA[[#This Row],[Top '[m']]]-TOWER_DATA[[#This Row],[Bottom '[m']]], "")</f>
        <v/>
      </c>
      <c r="DA115" s="108" t="str">
        <f>IFERROR(-(TOWER_DATA[[#This Row],[D, bottom '[m']]]-TOWER_DATA[[#This Row],[D, top '[m']]])/(TOWER_DATA[[#This Row],[Bottom '[m']]]-TOWER_DATA[[#This Row],[Top '[m']]]),"")</f>
        <v/>
      </c>
      <c r="DB115" s="108" t="str">
        <f t="shared" si="9"/>
        <v/>
      </c>
      <c r="DC115" s="108" t="str">
        <f>IFERROR((TOWER_DATA[[#This Row],[D, bottom '[m']]]+TOWER_DATA[[#This Row],[D, top '[m']]])/(2*TOWER_DATA[[#This Row],[t '[mm']]]/1000),"")</f>
        <v/>
      </c>
      <c r="DE115" s="111"/>
      <c r="DF115" s="111"/>
      <c r="DG115" s="111"/>
      <c r="DH115" s="111"/>
      <c r="DI115" s="111"/>
      <c r="DJ115" s="111"/>
      <c r="DK115" s="111"/>
      <c r="DL115" s="111"/>
      <c r="DM115" s="111"/>
      <c r="ED115" s="105"/>
      <c r="EE115" s="105"/>
      <c r="EF115" s="105"/>
      <c r="EG115" s="105"/>
      <c r="EH115" s="105"/>
      <c r="EI115" s="105"/>
      <c r="EJ115" s="105"/>
      <c r="EK115" s="105"/>
      <c r="EL115" s="105"/>
      <c r="EU115" s="108" t="str">
        <f t="shared" si="8"/>
        <v/>
      </c>
      <c r="EV115" s="108"/>
    </row>
    <row r="116" spans="6:152" x14ac:dyDescent="0.3">
      <c r="F116" s="108"/>
      <c r="H116" s="108"/>
      <c r="J116" s="108"/>
      <c r="L116" s="108" t="str">
        <f>IFERROR(MP_DATA[[#This Row],[Bottom '[m']]]-MP_DATA[[#This Row],[D, top '[m']]], "")</f>
        <v/>
      </c>
      <c r="M116" s="95" t="str">
        <f>IFERROR(-(MP_DATA[[#This Row],[D, bottom '[m']]]-MP_DATA[[#This Row],[D, top '[m']]])/(MP_DATA[[#This Row],[Bottom '[m']]]-MP_DATA[[#This Row],[Top '[m']]]),"")</f>
        <v/>
      </c>
      <c r="N116" s="108" t="str">
        <f t="shared" si="10"/>
        <v/>
      </c>
      <c r="O116" s="108" t="str">
        <f>IFERROR((MP_DATA[[#This Row],[D, bottom '[m']]]+MP_DATA[[#This Row],[D, top '[m']]])/(2*MP_DATA[[#This Row],[t '[mm']]]/1000),"")</f>
        <v/>
      </c>
      <c r="BF116" s="108" t="str">
        <f>IFERROR(TP_DATA[[#This Row],[Bottom '[m']]]-TP_DATA[[#This Row],[D, top '[m']]], "")</f>
        <v/>
      </c>
      <c r="BG116" s="108" t="str">
        <f>IFERROR(-(TP_DATA[[#This Row],[D, bottom '[m']]]-TP_DATA[[#This Row],[D, top '[m']]])/(TP_DATA[[#This Row],[Bottom '[m']]]-TP_DATA[[#This Row],[Top '[m']]]),"")</f>
        <v/>
      </c>
      <c r="BH116" s="108" t="str">
        <f t="shared" si="7"/>
        <v/>
      </c>
      <c r="BI116" s="108" t="str">
        <f>IFERROR((TP_DATA[[#This Row],[D, bottom '[m']]]+TP_DATA[[#This Row],[D, top '[m']]])/(2*TP_DATA[[#This Row],[t '[mm']]]/1000),"")</f>
        <v/>
      </c>
      <c r="CZ116" s="108" t="str">
        <f>IFERROR(TOWER_DATA[[#This Row],[Top '[m']]]-TOWER_DATA[[#This Row],[Bottom '[m']]], "")</f>
        <v/>
      </c>
      <c r="DA116" s="108" t="str">
        <f>IFERROR(-(TOWER_DATA[[#This Row],[D, bottom '[m']]]-TOWER_DATA[[#This Row],[D, top '[m']]])/(TOWER_DATA[[#This Row],[Bottom '[m']]]-TOWER_DATA[[#This Row],[Top '[m']]]),"")</f>
        <v/>
      </c>
      <c r="DB116" s="108" t="str">
        <f t="shared" si="9"/>
        <v/>
      </c>
      <c r="DC116" s="108" t="str">
        <f>IFERROR((TOWER_DATA[[#This Row],[D, bottom '[m']]]+TOWER_DATA[[#This Row],[D, top '[m']]])/(2*TOWER_DATA[[#This Row],[t '[mm']]]/1000),"")</f>
        <v/>
      </c>
      <c r="DE116" s="111"/>
      <c r="DF116" s="111"/>
      <c r="DG116" s="111"/>
      <c r="DH116" s="111"/>
      <c r="DI116" s="111"/>
      <c r="DJ116" s="111"/>
      <c r="DK116" s="111"/>
      <c r="DL116" s="111"/>
      <c r="DM116" s="111"/>
      <c r="ED116" s="105"/>
      <c r="EE116" s="105"/>
      <c r="EF116" s="105"/>
      <c r="EG116" s="105"/>
      <c r="EH116" s="105"/>
      <c r="EI116" s="105"/>
      <c r="EJ116" s="105"/>
      <c r="EK116" s="105"/>
      <c r="EL116" s="105"/>
      <c r="EU116" s="108" t="str">
        <f t="shared" si="8"/>
        <v/>
      </c>
      <c r="EV116" s="108"/>
    </row>
    <row r="117" spans="6:152" x14ac:dyDescent="0.3">
      <c r="F117" s="108"/>
      <c r="H117" s="108"/>
      <c r="J117" s="108"/>
      <c r="L117" s="108" t="str">
        <f>IFERROR(MP_DATA[[#This Row],[Bottom '[m']]]-MP_DATA[[#This Row],[D, top '[m']]], "")</f>
        <v/>
      </c>
      <c r="M117" s="95" t="str">
        <f>IFERROR(-(MP_DATA[[#This Row],[D, bottom '[m']]]-MP_DATA[[#This Row],[D, top '[m']]])/(MP_DATA[[#This Row],[Bottom '[m']]]-MP_DATA[[#This Row],[Top '[m']]]),"")</f>
        <v/>
      </c>
      <c r="N117" s="108" t="str">
        <f t="shared" si="10"/>
        <v/>
      </c>
      <c r="O117" s="108" t="str">
        <f>IFERROR((MP_DATA[[#This Row],[D, bottom '[m']]]+MP_DATA[[#This Row],[D, top '[m']]])/(2*MP_DATA[[#This Row],[t '[mm']]]/1000),"")</f>
        <v/>
      </c>
      <c r="BF117" s="108" t="str">
        <f>IFERROR(TP_DATA[[#This Row],[Bottom '[m']]]-TP_DATA[[#This Row],[D, top '[m']]], "")</f>
        <v/>
      </c>
      <c r="BG117" s="108" t="str">
        <f>IFERROR(-(TP_DATA[[#This Row],[D, bottom '[m']]]-TP_DATA[[#This Row],[D, top '[m']]])/(TP_DATA[[#This Row],[Bottom '[m']]]-TP_DATA[[#This Row],[Top '[m']]]),"")</f>
        <v/>
      </c>
      <c r="BH117" s="108" t="str">
        <f t="shared" si="7"/>
        <v/>
      </c>
      <c r="BI117" s="108" t="str">
        <f>IFERROR((TP_DATA[[#This Row],[D, bottom '[m']]]+TP_DATA[[#This Row],[D, top '[m']]])/(2*TP_DATA[[#This Row],[t '[mm']]]/1000),"")</f>
        <v/>
      </c>
      <c r="CZ117" s="108" t="str">
        <f>IFERROR(TOWER_DATA[[#This Row],[Top '[m']]]-TOWER_DATA[[#This Row],[Bottom '[m']]], "")</f>
        <v/>
      </c>
      <c r="DA117" s="108" t="str">
        <f>IFERROR(-(TOWER_DATA[[#This Row],[D, bottom '[m']]]-TOWER_DATA[[#This Row],[D, top '[m']]])/(TOWER_DATA[[#This Row],[Bottom '[m']]]-TOWER_DATA[[#This Row],[Top '[m']]]),"")</f>
        <v/>
      </c>
      <c r="DB117" s="108" t="str">
        <f t="shared" si="9"/>
        <v/>
      </c>
      <c r="DC117" s="108" t="str">
        <f>IFERROR((TOWER_DATA[[#This Row],[D, bottom '[m']]]+TOWER_DATA[[#This Row],[D, top '[m']]])/(2*TOWER_DATA[[#This Row],[t '[mm']]]/1000),"")</f>
        <v/>
      </c>
      <c r="DE117" s="111"/>
      <c r="DF117" s="111"/>
      <c r="DG117" s="111"/>
      <c r="DH117" s="111"/>
      <c r="DI117" s="111"/>
      <c r="DJ117" s="111"/>
      <c r="DK117" s="111"/>
      <c r="DL117" s="111"/>
      <c r="DM117" s="111"/>
      <c r="ED117" s="105"/>
      <c r="EE117" s="105"/>
      <c r="EF117" s="105"/>
      <c r="EG117" s="105"/>
      <c r="EH117" s="105"/>
      <c r="EI117" s="105"/>
      <c r="EJ117" s="105"/>
      <c r="EK117" s="105"/>
      <c r="EL117" s="105"/>
      <c r="EU117" s="108" t="str">
        <f t="shared" si="8"/>
        <v/>
      </c>
      <c r="EV117" s="108"/>
    </row>
    <row r="118" spans="6:152" x14ac:dyDescent="0.3">
      <c r="F118" s="108"/>
      <c r="H118" s="108"/>
      <c r="J118" s="108"/>
      <c r="L118" s="108" t="str">
        <f>IFERROR(MP_DATA[[#This Row],[Bottom '[m']]]-MP_DATA[[#This Row],[D, top '[m']]], "")</f>
        <v/>
      </c>
      <c r="M118" s="95" t="str">
        <f>IFERROR(-(MP_DATA[[#This Row],[D, bottom '[m']]]-MP_DATA[[#This Row],[D, top '[m']]])/(MP_DATA[[#This Row],[Bottom '[m']]]-MP_DATA[[#This Row],[Top '[m']]]),"")</f>
        <v/>
      </c>
      <c r="N118" s="108" t="str">
        <f t="shared" si="10"/>
        <v/>
      </c>
      <c r="O118" s="108" t="str">
        <f>IFERROR((MP_DATA[[#This Row],[D, bottom '[m']]]+MP_DATA[[#This Row],[D, top '[m']]])/(2*MP_DATA[[#This Row],[t '[mm']]]/1000),"")</f>
        <v/>
      </c>
      <c r="BF118" s="108" t="str">
        <f>IFERROR(TP_DATA[[#This Row],[Bottom '[m']]]-TP_DATA[[#This Row],[D, top '[m']]], "")</f>
        <v/>
      </c>
      <c r="BG118" s="108" t="str">
        <f>IFERROR(-(TP_DATA[[#This Row],[D, bottom '[m']]]-TP_DATA[[#This Row],[D, top '[m']]])/(TP_DATA[[#This Row],[Bottom '[m']]]-TP_DATA[[#This Row],[Top '[m']]]),"")</f>
        <v/>
      </c>
      <c r="BH118" s="108" t="str">
        <f t="shared" si="7"/>
        <v/>
      </c>
      <c r="BI118" s="108" t="str">
        <f>IFERROR((TP_DATA[[#This Row],[D, bottom '[m']]]+TP_DATA[[#This Row],[D, top '[m']]])/(2*TP_DATA[[#This Row],[t '[mm']]]/1000),"")</f>
        <v/>
      </c>
      <c r="CZ118" s="108" t="str">
        <f>IFERROR(TOWER_DATA[[#This Row],[Top '[m']]]-TOWER_DATA[[#This Row],[Bottom '[m']]], "")</f>
        <v/>
      </c>
      <c r="DA118" s="108" t="str">
        <f>IFERROR(-(TOWER_DATA[[#This Row],[D, bottom '[m']]]-TOWER_DATA[[#This Row],[D, top '[m']]])/(TOWER_DATA[[#This Row],[Bottom '[m']]]-TOWER_DATA[[#This Row],[Top '[m']]]),"")</f>
        <v/>
      </c>
      <c r="DB118" s="108" t="str">
        <f t="shared" si="9"/>
        <v/>
      </c>
      <c r="DC118" s="108" t="str">
        <f>IFERROR((TOWER_DATA[[#This Row],[D, bottom '[m']]]+TOWER_DATA[[#This Row],[D, top '[m']]])/(2*TOWER_DATA[[#This Row],[t '[mm']]]/1000),"")</f>
        <v/>
      </c>
      <c r="DE118" s="111"/>
      <c r="DF118" s="111"/>
      <c r="DG118" s="111"/>
      <c r="DH118" s="111"/>
      <c r="DI118" s="111"/>
      <c r="DJ118" s="111"/>
      <c r="DK118" s="111"/>
      <c r="DL118" s="111"/>
      <c r="DM118" s="111"/>
      <c r="ED118" s="105"/>
      <c r="EE118" s="105"/>
      <c r="EF118" s="105"/>
      <c r="EG118" s="105"/>
      <c r="EH118" s="105"/>
      <c r="EI118" s="105"/>
      <c r="EJ118" s="105"/>
      <c r="EK118" s="105"/>
      <c r="EL118" s="105"/>
      <c r="EU118" s="108" t="str">
        <f t="shared" si="8"/>
        <v/>
      </c>
      <c r="EV118" s="108"/>
    </row>
    <row r="119" spans="6:152" x14ac:dyDescent="0.3">
      <c r="F119" s="108"/>
      <c r="H119" s="108"/>
      <c r="J119" s="108"/>
      <c r="L119" s="108" t="str">
        <f>IFERROR(MP_DATA[[#This Row],[Bottom '[m']]]-MP_DATA[[#This Row],[D, top '[m']]], "")</f>
        <v/>
      </c>
      <c r="M119" s="95" t="str">
        <f>IFERROR(-(MP_DATA[[#This Row],[D, bottom '[m']]]-MP_DATA[[#This Row],[D, top '[m']]])/(MP_DATA[[#This Row],[Bottom '[m']]]-MP_DATA[[#This Row],[Top '[m']]]),"")</f>
        <v/>
      </c>
      <c r="N119" s="108" t="str">
        <f t="shared" si="10"/>
        <v/>
      </c>
      <c r="O119" s="108" t="str">
        <f>IFERROR((MP_DATA[[#This Row],[D, bottom '[m']]]+MP_DATA[[#This Row],[D, top '[m']]])/(2*MP_DATA[[#This Row],[t '[mm']]]/1000),"")</f>
        <v/>
      </c>
      <c r="BF119" s="108" t="str">
        <f>IFERROR(TP_DATA[[#This Row],[Bottom '[m']]]-TP_DATA[[#This Row],[D, top '[m']]], "")</f>
        <v/>
      </c>
      <c r="BG119" s="108" t="str">
        <f>IFERROR(-(TP_DATA[[#This Row],[D, bottom '[m']]]-TP_DATA[[#This Row],[D, top '[m']]])/(TP_DATA[[#This Row],[Bottom '[m']]]-TP_DATA[[#This Row],[Top '[m']]]),"")</f>
        <v/>
      </c>
      <c r="BH119" s="108" t="str">
        <f t="shared" si="7"/>
        <v/>
      </c>
      <c r="BI119" s="108" t="str">
        <f>IFERROR((TP_DATA[[#This Row],[D, bottom '[m']]]+TP_DATA[[#This Row],[D, top '[m']]])/(2*TP_DATA[[#This Row],[t '[mm']]]/1000),"")</f>
        <v/>
      </c>
      <c r="CZ119" s="108" t="str">
        <f>IFERROR(TOWER_DATA[[#This Row],[Top '[m']]]-TOWER_DATA[[#This Row],[Bottom '[m']]], "")</f>
        <v/>
      </c>
      <c r="DA119" s="108" t="str">
        <f>IFERROR(-(TOWER_DATA[[#This Row],[D, bottom '[m']]]-TOWER_DATA[[#This Row],[D, top '[m']]])/(TOWER_DATA[[#This Row],[Bottom '[m']]]-TOWER_DATA[[#This Row],[Top '[m']]]),"")</f>
        <v/>
      </c>
      <c r="DB119" s="108" t="str">
        <f t="shared" si="9"/>
        <v/>
      </c>
      <c r="DC119" s="108" t="str">
        <f>IFERROR((TOWER_DATA[[#This Row],[D, bottom '[m']]]+TOWER_DATA[[#This Row],[D, top '[m']]])/(2*TOWER_DATA[[#This Row],[t '[mm']]]/1000),"")</f>
        <v/>
      </c>
      <c r="DE119" s="111"/>
      <c r="DF119" s="111"/>
      <c r="DG119" s="111"/>
      <c r="DH119" s="111"/>
      <c r="DI119" s="111"/>
      <c r="DJ119" s="111"/>
      <c r="DK119" s="111"/>
      <c r="DL119" s="111"/>
      <c r="DM119" s="111"/>
      <c r="EU119" s="108" t="str">
        <f t="shared" si="8"/>
        <v/>
      </c>
      <c r="EV119" s="108"/>
    </row>
    <row r="120" spans="6:152" x14ac:dyDescent="0.3">
      <c r="F120" s="108"/>
      <c r="G120" s="108"/>
      <c r="H120" s="108"/>
      <c r="I120" s="108"/>
      <c r="J120" s="108"/>
      <c r="K120" s="108"/>
      <c r="L120" s="108" t="str">
        <f>IFERROR(MP_DATA[[#This Row],[Bottom '[m']]]-MP_DATA[[#This Row],[D, top '[m']]], "")</f>
        <v/>
      </c>
      <c r="M120" s="108" t="str">
        <f>IFERROR(-(MP_DATA[[#This Row],[D, bottom '[m']]]-MP_DATA[[#This Row],[D, top '[m']]])/(MP_DATA[[#This Row],[Bottom '[m']]]-MP_DATA[[#This Row],[Top '[m']]]),"")</f>
        <v/>
      </c>
      <c r="N120" s="108" t="str">
        <f t="shared" si="10"/>
        <v/>
      </c>
      <c r="O120" s="108" t="str">
        <f>IFERROR((MP_DATA[[#This Row],[D, bottom '[m']]]+MP_DATA[[#This Row],[D, top '[m']]])/(2*MP_DATA[[#This Row],[t '[mm']]]/1000),"")</f>
        <v/>
      </c>
      <c r="BF120" s="108" t="str">
        <f>IFERROR(TP_DATA[[#This Row],[Bottom '[m']]]-TP_DATA[[#This Row],[D, top '[m']]], "")</f>
        <v/>
      </c>
      <c r="BG120" s="108" t="str">
        <f>IFERROR(-(TP_DATA[[#This Row],[D, bottom '[m']]]-TP_DATA[[#This Row],[D, top '[m']]])/(TP_DATA[[#This Row],[Bottom '[m']]]-TP_DATA[[#This Row],[Top '[m']]]),"")</f>
        <v/>
      </c>
      <c r="BH120" s="108" t="str">
        <f t="shared" si="7"/>
        <v/>
      </c>
      <c r="BI120" s="108" t="str">
        <f>IFERROR((TP_DATA[[#This Row],[D, bottom '[m']]]+TP_DATA[[#This Row],[D, top '[m']]])/(2*TP_DATA[[#This Row],[t '[mm']]]/1000),"")</f>
        <v/>
      </c>
      <c r="CZ120" s="108" t="str">
        <f>IFERROR(TOWER_DATA[[#This Row],[Top '[m']]]-TOWER_DATA[[#This Row],[Bottom '[m']]], "")</f>
        <v/>
      </c>
      <c r="DA120" s="108" t="str">
        <f>IFERROR(-(TOWER_DATA[[#This Row],[D, bottom '[m']]]-TOWER_DATA[[#This Row],[D, top '[m']]])/(TOWER_DATA[[#This Row],[Bottom '[m']]]-TOWER_DATA[[#This Row],[Top '[m']]]),"")</f>
        <v/>
      </c>
      <c r="DB120" s="108" t="str">
        <f t="shared" si="9"/>
        <v/>
      </c>
      <c r="DC120" s="108" t="str">
        <f>IFERROR((TOWER_DATA[[#This Row],[D, bottom '[m']]]+TOWER_DATA[[#This Row],[D, top '[m']]])/(2*TOWER_DATA[[#This Row],[t '[mm']]]/1000),"")</f>
        <v/>
      </c>
      <c r="DE120" s="111"/>
      <c r="DF120" s="111"/>
      <c r="DG120" s="111"/>
      <c r="DH120" s="111"/>
      <c r="DI120" s="111"/>
      <c r="DJ120" s="111"/>
      <c r="DK120" s="111"/>
      <c r="DL120" s="111"/>
      <c r="DM120" s="111"/>
      <c r="EU120" s="108" t="str">
        <f t="shared" si="8"/>
        <v/>
      </c>
      <c r="EV120" s="108"/>
    </row>
    <row r="121" spans="6:152" x14ac:dyDescent="0.3">
      <c r="F121" s="108"/>
      <c r="G121" s="108"/>
      <c r="H121" s="108"/>
      <c r="I121" s="108"/>
      <c r="J121" s="108"/>
      <c r="K121" s="108"/>
      <c r="L121" s="108" t="str">
        <f>IFERROR(MP_DATA[[#This Row],[Bottom '[m']]]-MP_DATA[[#This Row],[D, top '[m']]], "")</f>
        <v/>
      </c>
      <c r="M121" s="108" t="str">
        <f>IFERROR(-(MP_DATA[[#This Row],[D, bottom '[m']]]-MP_DATA[[#This Row],[D, top '[m']]])/(MP_DATA[[#This Row],[Bottom '[m']]]-MP_DATA[[#This Row],[Top '[m']]]),"")</f>
        <v/>
      </c>
      <c r="N121" s="108" t="str">
        <f t="shared" si="10"/>
        <v/>
      </c>
      <c r="O121" s="108" t="str">
        <f>IFERROR((MP_DATA[[#This Row],[D, bottom '[m']]]+MP_DATA[[#This Row],[D, top '[m']]])/(2*MP_DATA[[#This Row],[t '[mm']]]/1000),"")</f>
        <v/>
      </c>
      <c r="BF121" s="108" t="str">
        <f>IFERROR(TP_DATA[[#This Row],[Bottom '[m']]]-TP_DATA[[#This Row],[D, top '[m']]], "")</f>
        <v/>
      </c>
      <c r="BG121" s="108" t="str">
        <f>IFERROR(-(TP_DATA[[#This Row],[D, bottom '[m']]]-TP_DATA[[#This Row],[D, top '[m']]])/(TP_DATA[[#This Row],[Bottom '[m']]]-TP_DATA[[#This Row],[Top '[m']]]),"")</f>
        <v/>
      </c>
      <c r="BH121" s="108" t="str">
        <f t="shared" ref="BH121:BH128" si="11">IF(7850/1000*(1/3)*PI()*ABS(BA121-BB121)*((BC121/2)^2+(BC121/2)*(BD121/2)+(BD121/2)^2-(BC121/2-BE121/1000)^2-(BC121/2-BE121/1000)*(BD121/2-BE121/1000)-(BD121/2-BE121/1000)^2)=0,"",7850/1000*(1/3)*PI()*ABS(BA121-BB121)*((BC121/2)^2+(BC121/2)*(BD121/2)+(BD121/2)^2-(BC121/2-BE121/1000)^2-(BC121/2-BE121/1000)*(BD121/2-BE121/1000)-(BD121/2-BE121/1000)^2))</f>
        <v/>
      </c>
      <c r="BI121" s="108" t="str">
        <f>IFERROR((TP_DATA[[#This Row],[D, bottom '[m']]]+TP_DATA[[#This Row],[D, top '[m']]])/(2*TP_DATA[[#This Row],[t '[mm']]]/1000),"")</f>
        <v/>
      </c>
      <c r="CZ121" s="108" t="str">
        <f>IFERROR(TOWER_DATA[[#This Row],[Top '[m']]]-TOWER_DATA[[#This Row],[Bottom '[m']]], "")</f>
        <v/>
      </c>
      <c r="DA121" s="108" t="str">
        <f>IFERROR(-(TOWER_DATA[[#This Row],[D, bottom '[m']]]-TOWER_DATA[[#This Row],[D, top '[m']]])/(TOWER_DATA[[#This Row],[Bottom '[m']]]-TOWER_DATA[[#This Row],[Top '[m']]]),"")</f>
        <v/>
      </c>
      <c r="DB121" s="108" t="str">
        <f t="shared" si="9"/>
        <v/>
      </c>
      <c r="DC121" s="108" t="str">
        <f>IFERROR((TOWER_DATA[[#This Row],[D, bottom '[m']]]+TOWER_DATA[[#This Row],[D, top '[m']]])/(2*TOWER_DATA[[#This Row],[t '[mm']]]/1000),"")</f>
        <v/>
      </c>
      <c r="DE121" s="111"/>
      <c r="DF121" s="111"/>
      <c r="DG121" s="111"/>
      <c r="DH121" s="111"/>
      <c r="DI121" s="111"/>
      <c r="DJ121" s="111"/>
      <c r="DK121" s="111"/>
      <c r="DL121" s="111"/>
      <c r="DM121" s="111"/>
      <c r="EU121" s="108" t="str">
        <f t="shared" si="8"/>
        <v/>
      </c>
      <c r="EV121" s="108"/>
    </row>
    <row r="122" spans="6:152" x14ac:dyDescent="0.3">
      <c r="F122" s="108"/>
      <c r="G122" s="108"/>
      <c r="H122" s="108"/>
      <c r="I122" s="108"/>
      <c r="J122" s="108"/>
      <c r="K122" s="108"/>
      <c r="L122" s="108" t="str">
        <f>IFERROR(MP_DATA[[#This Row],[Bottom '[m']]]-MP_DATA[[#This Row],[D, top '[m']]], "")</f>
        <v/>
      </c>
      <c r="M122" s="108" t="str">
        <f>IFERROR(-(MP_DATA[[#This Row],[D, bottom '[m']]]-MP_DATA[[#This Row],[D, top '[m']]])/(MP_DATA[[#This Row],[Bottom '[m']]]-MP_DATA[[#This Row],[Top '[m']]]),"")</f>
        <v/>
      </c>
      <c r="N122" s="108" t="str">
        <f t="shared" si="10"/>
        <v/>
      </c>
      <c r="O122" s="108" t="str">
        <f>IFERROR((MP_DATA[[#This Row],[D, bottom '[m']]]+MP_DATA[[#This Row],[D, top '[m']]])/(2*MP_DATA[[#This Row],[t '[mm']]]/1000),"")</f>
        <v/>
      </c>
      <c r="BF122" s="108" t="str">
        <f>IFERROR(TP_DATA[[#This Row],[Bottom '[m']]]-TP_DATA[[#This Row],[D, top '[m']]], "")</f>
        <v/>
      </c>
      <c r="BG122" s="108" t="str">
        <f>IFERROR(-(TP_DATA[[#This Row],[D, bottom '[m']]]-TP_DATA[[#This Row],[D, top '[m']]])/(TP_DATA[[#This Row],[Bottom '[m']]]-TP_DATA[[#This Row],[Top '[m']]]),"")</f>
        <v/>
      </c>
      <c r="BH122" s="108" t="str">
        <f t="shared" si="11"/>
        <v/>
      </c>
      <c r="BI122" s="108" t="str">
        <f>IFERROR((TP_DATA[[#This Row],[D, bottom '[m']]]+TP_DATA[[#This Row],[D, top '[m']]])/(2*TP_DATA[[#This Row],[t '[mm']]]/1000),"")</f>
        <v/>
      </c>
      <c r="CZ122" s="108" t="str">
        <f>IFERROR(TOWER_DATA[[#This Row],[Top '[m']]]-TOWER_DATA[[#This Row],[Bottom '[m']]], "")</f>
        <v/>
      </c>
      <c r="DA122" s="108" t="str">
        <f>IFERROR(-(TOWER_DATA[[#This Row],[D, bottom '[m']]]-TOWER_DATA[[#This Row],[D, top '[m']]])/(TOWER_DATA[[#This Row],[Bottom '[m']]]-TOWER_DATA[[#This Row],[Top '[m']]]),"")</f>
        <v/>
      </c>
      <c r="DB122" s="108" t="str">
        <f t="shared" si="9"/>
        <v/>
      </c>
      <c r="DC122" s="108" t="str">
        <f>IFERROR((TOWER_DATA[[#This Row],[D, bottom '[m']]]+TOWER_DATA[[#This Row],[D, top '[m']]])/(2*TOWER_DATA[[#This Row],[t '[mm']]]/1000),"")</f>
        <v/>
      </c>
      <c r="DE122" s="111"/>
      <c r="DF122" s="111"/>
      <c r="DG122" s="111"/>
      <c r="DH122" s="111"/>
      <c r="DI122" s="111"/>
      <c r="DJ122" s="111"/>
      <c r="DK122" s="111"/>
      <c r="DL122" s="111"/>
      <c r="DM122" s="111"/>
      <c r="EU122" s="108" t="str">
        <f t="shared" ref="EU122:EU131" si="12">IF(7850/1000*(1/3)*PI()*ABS(EO122-EP122)*((EQ122/2)^2+(EQ122/2)*(ER122/2)+(ER122/2)^2-(EQ122/2-ET122/1000)^2-(EQ122/2-ET122/1000)*(ER122/2-ET122/1000)-(ER122/2-ET122/1000)^2)=0,"",7850/1000*(1/3)*PI()*ABS(EO122-EP122)*((EQ122/2)^2+(EQ122/2)*(ER122/2)+(ER122/2)^2-(EQ122/2-ET122/1000)^2-(EQ122/2-ET122/1000)*(ER122/2-ET122/1000)-(ER122/2-ET122/1000)^2))</f>
        <v/>
      </c>
      <c r="EV122" s="108"/>
    </row>
    <row r="123" spans="6:152" x14ac:dyDescent="0.3">
      <c r="F123" s="108"/>
      <c r="G123" s="108"/>
      <c r="H123" s="108"/>
      <c r="I123" s="108"/>
      <c r="J123" s="108"/>
      <c r="K123" s="108"/>
      <c r="L123" s="108" t="str">
        <f>IFERROR(MP_DATA[[#This Row],[Bottom '[m']]]-MP_DATA[[#This Row],[D, top '[m']]], "")</f>
        <v/>
      </c>
      <c r="M123" s="108" t="str">
        <f>IFERROR(-(MP_DATA[[#This Row],[D, bottom '[m']]]-MP_DATA[[#This Row],[D, top '[m']]])/(MP_DATA[[#This Row],[Bottom '[m']]]-MP_DATA[[#This Row],[Top '[m']]]),"")</f>
        <v/>
      </c>
      <c r="N123" s="108" t="str">
        <f t="shared" si="10"/>
        <v/>
      </c>
      <c r="O123" s="108" t="str">
        <f>IFERROR((MP_DATA[[#This Row],[D, bottom '[m']]]+MP_DATA[[#This Row],[D, top '[m']]])/(2*MP_DATA[[#This Row],[t '[mm']]]/1000),"")</f>
        <v/>
      </c>
      <c r="BF123" s="108" t="str">
        <f>IFERROR(TP_DATA[[#This Row],[Bottom '[m']]]-TP_DATA[[#This Row],[D, top '[m']]], "")</f>
        <v/>
      </c>
      <c r="BG123" s="108" t="str">
        <f>IFERROR(-(TP_DATA[[#This Row],[D, bottom '[m']]]-TP_DATA[[#This Row],[D, top '[m']]])/(TP_DATA[[#This Row],[Bottom '[m']]]-TP_DATA[[#This Row],[Top '[m']]]),"")</f>
        <v/>
      </c>
      <c r="BH123" s="108" t="str">
        <f t="shared" si="11"/>
        <v/>
      </c>
      <c r="BI123" s="108" t="str">
        <f>IFERROR((TP_DATA[[#This Row],[D, bottom '[m']]]+TP_DATA[[#This Row],[D, top '[m']]])/(2*TP_DATA[[#This Row],[t '[mm']]]/1000),"")</f>
        <v/>
      </c>
      <c r="CZ123" s="108" t="str">
        <f>IFERROR(TOWER_DATA[[#This Row],[Top '[m']]]-TOWER_DATA[[#This Row],[Bottom '[m']]], "")</f>
        <v/>
      </c>
      <c r="DA123" s="108" t="str">
        <f>IFERROR(-(TOWER_DATA[[#This Row],[D, bottom '[m']]]-TOWER_DATA[[#This Row],[D, top '[m']]])/(TOWER_DATA[[#This Row],[Bottom '[m']]]-TOWER_DATA[[#This Row],[Top '[m']]]),"")</f>
        <v/>
      </c>
      <c r="DB123" s="108" t="str">
        <f t="shared" si="9"/>
        <v/>
      </c>
      <c r="DC123" s="108" t="str">
        <f>IFERROR((TOWER_DATA[[#This Row],[D, bottom '[m']]]+TOWER_DATA[[#This Row],[D, top '[m']]])/(2*TOWER_DATA[[#This Row],[t '[mm']]]/1000),"")</f>
        <v/>
      </c>
      <c r="DE123" s="111"/>
      <c r="DF123" s="111"/>
      <c r="DG123" s="111"/>
      <c r="DH123" s="111"/>
      <c r="DI123" s="111"/>
      <c r="DJ123" s="111"/>
      <c r="DK123" s="111"/>
      <c r="DL123" s="111"/>
      <c r="DM123" s="111"/>
      <c r="EU123" s="108" t="str">
        <f t="shared" si="12"/>
        <v/>
      </c>
      <c r="EV123" s="108"/>
    </row>
    <row r="124" spans="6:152" x14ac:dyDescent="0.3">
      <c r="F124" s="108"/>
      <c r="G124" s="108"/>
      <c r="H124" s="108"/>
      <c r="I124" s="108"/>
      <c r="J124" s="108"/>
      <c r="K124" s="108"/>
      <c r="L124" s="108" t="str">
        <f>IFERROR(MP_DATA[[#This Row],[Bottom '[m']]]-MP_DATA[[#This Row],[D, top '[m']]], "")</f>
        <v/>
      </c>
      <c r="M124" s="108" t="str">
        <f>IFERROR(-(MP_DATA[[#This Row],[D, bottom '[m']]]-MP_DATA[[#This Row],[D, top '[m']]])/(MP_DATA[[#This Row],[Bottom '[m']]]-MP_DATA[[#This Row],[Top '[m']]]),"")</f>
        <v/>
      </c>
      <c r="N124" s="108" t="str">
        <f t="shared" si="10"/>
        <v/>
      </c>
      <c r="O124" s="108" t="str">
        <f>IFERROR((MP_DATA[[#This Row],[D, bottom '[m']]]+MP_DATA[[#This Row],[D, top '[m']]])/(2*MP_DATA[[#This Row],[t '[mm']]]/1000),"")</f>
        <v/>
      </c>
      <c r="BF124" s="108" t="str">
        <f>IFERROR(TP_DATA[[#This Row],[Bottom '[m']]]-TP_DATA[[#This Row],[D, top '[m']]], "")</f>
        <v/>
      </c>
      <c r="BG124" s="108" t="str">
        <f>IFERROR(-(TP_DATA[[#This Row],[D, bottom '[m']]]-TP_DATA[[#This Row],[D, top '[m']]])/(TP_DATA[[#This Row],[Bottom '[m']]]-TP_DATA[[#This Row],[Top '[m']]]),"")</f>
        <v/>
      </c>
      <c r="BH124" s="108" t="str">
        <f t="shared" si="11"/>
        <v/>
      </c>
      <c r="BI124" s="108" t="str">
        <f>IFERROR((TP_DATA[[#This Row],[D, bottom '[m']]]+TP_DATA[[#This Row],[D, top '[m']]])/(2*TP_DATA[[#This Row],[t '[mm']]]/1000),"")</f>
        <v/>
      </c>
      <c r="CZ124" s="108" t="str">
        <f>IFERROR(TOWER_DATA[[#This Row],[Top '[m']]]-TOWER_DATA[[#This Row],[Bottom '[m']]], "")</f>
        <v/>
      </c>
      <c r="DA124" s="108" t="str">
        <f>IFERROR(-(TOWER_DATA[[#This Row],[D, bottom '[m']]]-TOWER_DATA[[#This Row],[D, top '[m']]])/(TOWER_DATA[[#This Row],[Bottom '[m']]]-TOWER_DATA[[#This Row],[Top '[m']]]),"")</f>
        <v/>
      </c>
      <c r="DB124" s="108" t="str">
        <f t="shared" si="9"/>
        <v/>
      </c>
      <c r="DC124" s="108" t="str">
        <f>IFERROR((TOWER_DATA[[#This Row],[D, bottom '[m']]]+TOWER_DATA[[#This Row],[D, top '[m']]])/(2*TOWER_DATA[[#This Row],[t '[mm']]]/1000),"")</f>
        <v/>
      </c>
      <c r="DE124" s="111"/>
      <c r="DF124" s="111"/>
      <c r="DG124" s="111"/>
      <c r="DH124" s="111"/>
      <c r="DI124" s="111"/>
      <c r="DJ124" s="111"/>
      <c r="DK124" s="111"/>
      <c r="DL124" s="111"/>
      <c r="DM124" s="111"/>
      <c r="EU124" s="108" t="str">
        <f t="shared" si="12"/>
        <v/>
      </c>
      <c r="EV124" s="108"/>
    </row>
    <row r="125" spans="6:152" x14ac:dyDescent="0.3">
      <c r="F125" s="108"/>
      <c r="G125" s="108"/>
      <c r="H125" s="108"/>
      <c r="I125" s="108"/>
      <c r="J125" s="108"/>
      <c r="K125" s="108"/>
      <c r="L125" s="108" t="str">
        <f>IFERROR(MP_DATA[[#This Row],[Bottom '[m']]]-MP_DATA[[#This Row],[D, top '[m']]], "")</f>
        <v/>
      </c>
      <c r="M125" s="108" t="str">
        <f>IFERROR(-(MP_DATA[[#This Row],[D, bottom '[m']]]-MP_DATA[[#This Row],[D, top '[m']]])/(MP_DATA[[#This Row],[Bottom '[m']]]-MP_DATA[[#This Row],[Top '[m']]]),"")</f>
        <v/>
      </c>
      <c r="N125" s="108" t="str">
        <f t="shared" si="10"/>
        <v/>
      </c>
      <c r="O125" s="108" t="str">
        <f>IFERROR((MP_DATA[[#This Row],[D, bottom '[m']]]+MP_DATA[[#This Row],[D, top '[m']]])/(2*MP_DATA[[#This Row],[t '[mm']]]/1000),"")</f>
        <v/>
      </c>
      <c r="BF125" s="108" t="str">
        <f>IFERROR(TP_DATA[[#This Row],[Bottom '[m']]]-TP_DATA[[#This Row],[D, top '[m']]], "")</f>
        <v/>
      </c>
      <c r="BG125" s="108" t="str">
        <f>IFERROR(-(TP_DATA[[#This Row],[D, bottom '[m']]]-TP_DATA[[#This Row],[D, top '[m']]])/(TP_DATA[[#This Row],[Bottom '[m']]]-TP_DATA[[#This Row],[Top '[m']]]),"")</f>
        <v/>
      </c>
      <c r="BH125" s="108" t="str">
        <f t="shared" si="11"/>
        <v/>
      </c>
      <c r="BI125" s="108" t="str">
        <f>IFERROR((TP_DATA[[#This Row],[D, bottom '[m']]]+TP_DATA[[#This Row],[D, top '[m']]])/(2*TP_DATA[[#This Row],[t '[mm']]]/1000),"")</f>
        <v/>
      </c>
      <c r="CZ125" s="108" t="str">
        <f>IFERROR(TOWER_DATA[[#This Row],[Top '[m']]]-TOWER_DATA[[#This Row],[Bottom '[m']]], "")</f>
        <v/>
      </c>
      <c r="DA125" s="108" t="str">
        <f>IFERROR(-(TOWER_DATA[[#This Row],[D, bottom '[m']]]-TOWER_DATA[[#This Row],[D, top '[m']]])/(TOWER_DATA[[#This Row],[Bottom '[m']]]-TOWER_DATA[[#This Row],[Top '[m']]]),"")</f>
        <v/>
      </c>
      <c r="DB125" s="108" t="str">
        <f t="shared" si="9"/>
        <v/>
      </c>
      <c r="DC125" s="108" t="str">
        <f>IFERROR((TOWER_DATA[[#This Row],[D, bottom '[m']]]+TOWER_DATA[[#This Row],[D, top '[m']]])/(2*TOWER_DATA[[#This Row],[t '[mm']]]/1000),"")</f>
        <v/>
      </c>
      <c r="DE125" s="111"/>
      <c r="DF125" s="111"/>
      <c r="DG125" s="111"/>
      <c r="DH125" s="111"/>
      <c r="DI125" s="111"/>
      <c r="DJ125" s="111"/>
      <c r="DK125" s="111"/>
      <c r="DL125" s="111"/>
      <c r="DM125" s="111"/>
      <c r="EU125" s="108" t="str">
        <f t="shared" si="12"/>
        <v/>
      </c>
      <c r="EV125" s="108"/>
    </row>
    <row r="126" spans="6:152" x14ac:dyDescent="0.3">
      <c r="F126" s="108"/>
      <c r="G126" s="108"/>
      <c r="H126" s="108"/>
      <c r="I126" s="108"/>
      <c r="J126" s="108"/>
      <c r="K126" s="108"/>
      <c r="L126" s="108" t="str">
        <f>IFERROR(MP_DATA[[#This Row],[Bottom '[m']]]-MP_DATA[[#This Row],[D, top '[m']]], "")</f>
        <v/>
      </c>
      <c r="M126" s="108" t="str">
        <f>IFERROR(-(MP_DATA[[#This Row],[D, bottom '[m']]]-MP_DATA[[#This Row],[D, top '[m']]])/(MP_DATA[[#This Row],[Bottom '[m']]]-MP_DATA[[#This Row],[Top '[m']]]),"")</f>
        <v/>
      </c>
      <c r="N126" s="108" t="str">
        <f t="shared" si="10"/>
        <v/>
      </c>
      <c r="O126" s="108" t="str">
        <f>IFERROR((MP_DATA[[#This Row],[D, bottom '[m']]]+MP_DATA[[#This Row],[D, top '[m']]])/(2*MP_DATA[[#This Row],[t '[mm']]]/1000),"")</f>
        <v/>
      </c>
      <c r="BF126" s="108" t="str">
        <f>IFERROR(TP_DATA[[#This Row],[Bottom '[m']]]-TP_DATA[[#This Row],[D, top '[m']]], "")</f>
        <v/>
      </c>
      <c r="BG126" s="108" t="str">
        <f>IFERROR(-(TP_DATA[[#This Row],[D, bottom '[m']]]-TP_DATA[[#This Row],[D, top '[m']]])/(TP_DATA[[#This Row],[Bottom '[m']]]-TP_DATA[[#This Row],[Top '[m']]]),"")</f>
        <v/>
      </c>
      <c r="BH126" s="108" t="str">
        <f t="shared" si="11"/>
        <v/>
      </c>
      <c r="BI126" s="108" t="str">
        <f>IFERROR((TP_DATA[[#This Row],[D, bottom '[m']]]+TP_DATA[[#This Row],[D, top '[m']]])/(2*TP_DATA[[#This Row],[t '[mm']]]/1000),"")</f>
        <v/>
      </c>
      <c r="CZ126" s="108" t="str">
        <f>IFERROR(TOWER_DATA[[#This Row],[Top '[m']]]-TOWER_DATA[[#This Row],[Bottom '[m']]], "")</f>
        <v/>
      </c>
      <c r="DA126" s="108" t="str">
        <f>IFERROR(-(TOWER_DATA[[#This Row],[D, bottom '[m']]]-TOWER_DATA[[#This Row],[D, top '[m']]])/(TOWER_DATA[[#This Row],[Bottom '[m']]]-TOWER_DATA[[#This Row],[Top '[m']]]),"")</f>
        <v/>
      </c>
      <c r="DB126" s="108" t="str">
        <f t="shared" si="9"/>
        <v/>
      </c>
      <c r="DC126" s="108" t="str">
        <f>IFERROR((TOWER_DATA[[#This Row],[D, bottom '[m']]]+TOWER_DATA[[#This Row],[D, top '[m']]])/(2*TOWER_DATA[[#This Row],[t '[mm']]]/1000),"")</f>
        <v/>
      </c>
      <c r="DE126" s="111"/>
      <c r="DF126" s="111"/>
      <c r="DG126" s="111"/>
      <c r="DH126" s="111"/>
      <c r="DI126" s="111"/>
      <c r="DJ126" s="111"/>
      <c r="DK126" s="111"/>
      <c r="DL126" s="111"/>
      <c r="DM126" s="111"/>
      <c r="EU126" s="108" t="str">
        <f t="shared" si="12"/>
        <v/>
      </c>
      <c r="EV126" s="108"/>
    </row>
    <row r="127" spans="6:152" x14ac:dyDescent="0.3">
      <c r="F127" s="108"/>
      <c r="G127" s="108"/>
      <c r="H127" s="108"/>
      <c r="I127" s="108"/>
      <c r="J127" s="108"/>
      <c r="K127" s="108"/>
      <c r="L127" s="108" t="str">
        <f>IFERROR(MP_DATA[[#This Row],[Bottom '[m']]]-MP_DATA[[#This Row],[D, top '[m']]], "")</f>
        <v/>
      </c>
      <c r="M127" s="108" t="str">
        <f>IFERROR(-(MP_DATA[[#This Row],[D, bottom '[m']]]-MP_DATA[[#This Row],[D, top '[m']]])/(MP_DATA[[#This Row],[Bottom '[m']]]-MP_DATA[[#This Row],[Top '[m']]]),"")</f>
        <v/>
      </c>
      <c r="N127" s="108" t="str">
        <f t="shared" si="10"/>
        <v/>
      </c>
      <c r="O127" s="108" t="str">
        <f>IFERROR((MP_DATA[[#This Row],[D, bottom '[m']]]+MP_DATA[[#This Row],[D, top '[m']]])/(2*MP_DATA[[#This Row],[t '[mm']]]/1000),"")</f>
        <v/>
      </c>
      <c r="BF127" s="108" t="str">
        <f>IFERROR(TP_DATA[[#This Row],[Bottom '[m']]]-TP_DATA[[#This Row],[D, top '[m']]], "")</f>
        <v/>
      </c>
      <c r="BG127" s="108" t="str">
        <f>IFERROR(-(TP_DATA[[#This Row],[D, bottom '[m']]]-TP_DATA[[#This Row],[D, top '[m']]])/(TP_DATA[[#This Row],[Bottom '[m']]]-TP_DATA[[#This Row],[Top '[m']]]),"")</f>
        <v/>
      </c>
      <c r="BH127" s="108" t="str">
        <f t="shared" si="11"/>
        <v/>
      </c>
      <c r="BI127" s="108" t="str">
        <f>IFERROR((TP_DATA[[#This Row],[D, bottom '[m']]]+TP_DATA[[#This Row],[D, top '[m']]])/(2*TP_DATA[[#This Row],[t '[mm']]]/1000),"")</f>
        <v/>
      </c>
      <c r="CZ127" s="108" t="str">
        <f>IFERROR(TOWER_DATA[[#This Row],[Top '[m']]]-TOWER_DATA[[#This Row],[Bottom '[m']]], "")</f>
        <v/>
      </c>
      <c r="DA127" s="108" t="str">
        <f>IFERROR(-(TOWER_DATA[[#This Row],[D, bottom '[m']]]-TOWER_DATA[[#This Row],[D, top '[m']]])/(TOWER_DATA[[#This Row],[Bottom '[m']]]-TOWER_DATA[[#This Row],[Top '[m']]]),"")</f>
        <v/>
      </c>
      <c r="DB127" s="108" t="str">
        <f t="shared" si="9"/>
        <v/>
      </c>
      <c r="DC127" s="108" t="str">
        <f>IFERROR((TOWER_DATA[[#This Row],[D, bottom '[m']]]+TOWER_DATA[[#This Row],[D, top '[m']]])/(2*TOWER_DATA[[#This Row],[t '[mm']]]/1000),"")</f>
        <v/>
      </c>
      <c r="DE127" s="111"/>
      <c r="DF127" s="111"/>
      <c r="DG127" s="111"/>
      <c r="DH127" s="111"/>
      <c r="DI127" s="111"/>
      <c r="DJ127" s="111"/>
      <c r="DK127" s="111"/>
      <c r="DL127" s="111"/>
      <c r="DM127" s="111"/>
      <c r="EU127" s="108" t="str">
        <f t="shared" si="12"/>
        <v/>
      </c>
      <c r="EV127" s="108"/>
    </row>
    <row r="128" spans="6:152" x14ac:dyDescent="0.3">
      <c r="F128" s="108"/>
      <c r="G128" s="108"/>
      <c r="H128" s="108"/>
      <c r="I128" s="108"/>
      <c r="J128" s="108"/>
      <c r="K128" s="108"/>
      <c r="L128" s="108" t="str">
        <f>IFERROR(MP_DATA[[#This Row],[Bottom '[m']]]-MP_DATA[[#This Row],[D, top '[m']]], "")</f>
        <v/>
      </c>
      <c r="M128" s="108" t="str">
        <f>IFERROR(-(MP_DATA[[#This Row],[D, bottom '[m']]]-MP_DATA[[#This Row],[D, top '[m']]])/(MP_DATA[[#This Row],[Bottom '[m']]]-MP_DATA[[#This Row],[Top '[m']]]),"")</f>
        <v/>
      </c>
      <c r="N128" s="108" t="str">
        <f t="shared" si="10"/>
        <v/>
      </c>
      <c r="O128" s="108" t="str">
        <f>IFERROR((MP_DATA[[#This Row],[D, bottom '[m']]]+MP_DATA[[#This Row],[D, top '[m']]])/(2*MP_DATA[[#This Row],[t '[mm']]]/1000),"")</f>
        <v/>
      </c>
      <c r="BF128" s="108" t="str">
        <f>IFERROR(TP_DATA[[#This Row],[Bottom '[m']]]-TP_DATA[[#This Row],[D, top '[m']]], "")</f>
        <v/>
      </c>
      <c r="BG128" s="108" t="str">
        <f>IFERROR(-(TP_DATA[[#This Row],[D, bottom '[m']]]-TP_DATA[[#This Row],[D, top '[m']]])/(TP_DATA[[#This Row],[Bottom '[m']]]-TP_DATA[[#This Row],[Top '[m']]]),"")</f>
        <v/>
      </c>
      <c r="BH128" s="108" t="str">
        <f t="shared" si="11"/>
        <v/>
      </c>
      <c r="BI128" s="108" t="str">
        <f>IFERROR((TP_DATA[[#This Row],[D, bottom '[m']]]+TP_DATA[[#This Row],[D, top '[m']]])/(2*TP_DATA[[#This Row],[t '[mm']]]/1000),"")</f>
        <v/>
      </c>
      <c r="CZ128" s="108" t="str">
        <f>IFERROR(TOWER_DATA[[#This Row],[Top '[m']]]-TOWER_DATA[[#This Row],[Bottom '[m']]], "")</f>
        <v/>
      </c>
      <c r="DA128" s="108" t="str">
        <f>IFERROR(-(TOWER_DATA[[#This Row],[D, bottom '[m']]]-TOWER_DATA[[#This Row],[D, top '[m']]])/(TOWER_DATA[[#This Row],[Bottom '[m']]]-TOWER_DATA[[#This Row],[Top '[m']]]),"")</f>
        <v/>
      </c>
      <c r="DB128" s="108" t="str">
        <f t="shared" si="9"/>
        <v/>
      </c>
      <c r="DC128" s="108" t="str">
        <f>IFERROR((TOWER_DATA[[#This Row],[D, bottom '[m']]]+TOWER_DATA[[#This Row],[D, top '[m']]])/(2*TOWER_DATA[[#This Row],[t '[mm']]]/1000),"")</f>
        <v/>
      </c>
      <c r="DE128" s="111"/>
      <c r="DF128" s="111"/>
      <c r="DG128" s="111"/>
      <c r="DH128" s="111"/>
      <c r="DI128" s="111"/>
      <c r="DJ128" s="111"/>
      <c r="DK128" s="111"/>
      <c r="DL128" s="111"/>
      <c r="DM128" s="111"/>
      <c r="EU128" s="108" t="str">
        <f t="shared" si="12"/>
        <v/>
      </c>
      <c r="EV128" s="108"/>
    </row>
    <row r="129" spans="6:152" x14ac:dyDescent="0.3">
      <c r="F129" s="108"/>
      <c r="H129" s="108"/>
      <c r="J129" s="108"/>
      <c r="L129" s="108" t="str">
        <f>IFERROR(MP_DATA[[#This Row],[Bottom '[m']]]-MP_DATA[[#This Row],[D, top '[m']]], "")</f>
        <v/>
      </c>
      <c r="M129" s="95" t="str">
        <f>IFERROR(-(MP_DATA[[#This Row],[D, bottom '[m']]]-MP_DATA[[#This Row],[D, top '[m']]])/(MP_DATA[[#This Row],[Bottom '[m']]]-MP_DATA[[#This Row],[Top '[m']]]),"")</f>
        <v/>
      </c>
      <c r="O129" s="108" t="str">
        <f>IFERROR((MP_DATA[[#This Row],[D, bottom '[m']]]+MP_DATA[[#This Row],[D, top '[m']]])/(2*MP_DATA[[#This Row],[t '[mm']]]/1000),"")</f>
        <v/>
      </c>
      <c r="BF129" s="108" t="str">
        <f>IFERROR(TP_DATA[[#This Row],[Bottom '[m']]]-TP_DATA[[#This Row],[D, top '[m']]], "")</f>
        <v/>
      </c>
      <c r="BG129" s="108" t="str">
        <f>IFERROR(-(TP_DATA[[#This Row],[D, bottom '[m']]]-TP_DATA[[#This Row],[D, top '[m']]])/(TP_DATA[[#This Row],[Bottom '[m']]]-TP_DATA[[#This Row],[Top '[m']]]),"")</f>
        <v/>
      </c>
      <c r="BI129" s="108" t="str">
        <f>IFERROR((TP_DATA[[#This Row],[D, bottom '[m']]]+TP_DATA[[#This Row],[D, top '[m']]])/(2*TP_DATA[[#This Row],[t '[mm']]]/1000),"")</f>
        <v/>
      </c>
      <c r="CZ129" s="108" t="str">
        <f>IFERROR(TOWER_DATA[[#This Row],[Top '[m']]]-TOWER_DATA[[#This Row],[Bottom '[m']]], "")</f>
        <v/>
      </c>
      <c r="DA129" s="108" t="str">
        <f>IFERROR(-(TOWER_DATA[[#This Row],[D, bottom '[m']]]-TOWER_DATA[[#This Row],[D, top '[m']]])/(TOWER_DATA[[#This Row],[Bottom '[m']]]-TOWER_DATA[[#This Row],[Top '[m']]]),"")</f>
        <v/>
      </c>
      <c r="DB129" s="108" t="str">
        <f t="shared" si="9"/>
        <v/>
      </c>
      <c r="DC129" s="108" t="str">
        <f>IFERROR((TOWER_DATA[[#This Row],[D, bottom '[m']]]+TOWER_DATA[[#This Row],[D, top '[m']]])/(2*TOWER_DATA[[#This Row],[t '[mm']]]/1000),"")</f>
        <v/>
      </c>
      <c r="DE129" s="111"/>
      <c r="DF129" s="111"/>
      <c r="DG129" s="111"/>
      <c r="DH129" s="111"/>
      <c r="DI129" s="111"/>
      <c r="DJ129" s="111"/>
      <c r="DK129" s="111"/>
      <c r="DL129" s="111"/>
      <c r="DM129" s="111"/>
      <c r="EU129" s="108" t="str">
        <f t="shared" si="12"/>
        <v/>
      </c>
      <c r="EV129" s="108"/>
    </row>
    <row r="130" spans="6:152" x14ac:dyDescent="0.3">
      <c r="F130" s="108"/>
      <c r="H130" s="108"/>
      <c r="J130" s="108"/>
      <c r="L130" s="108" t="str">
        <f>IFERROR(MP_DATA[[#This Row],[Bottom '[m']]]-MP_DATA[[#This Row],[D, top '[m']]], "")</f>
        <v/>
      </c>
      <c r="M130" s="95" t="str">
        <f>IFERROR(-(MP_DATA[[#This Row],[D, bottom '[m']]]-MP_DATA[[#This Row],[D, top '[m']]])/(MP_DATA[[#This Row],[Bottom '[m']]]-MP_DATA[[#This Row],[Top '[m']]]),"")</f>
        <v/>
      </c>
      <c r="O130" s="108" t="str">
        <f>IFERROR((MP_DATA[[#This Row],[D, bottom '[m']]]+MP_DATA[[#This Row],[D, top '[m']]])/(2*MP_DATA[[#This Row],[t '[mm']]]/1000),"")</f>
        <v/>
      </c>
      <c r="BF130" s="108" t="str">
        <f>IFERROR(TP_DATA[[#This Row],[Bottom '[m']]]-TP_DATA[[#This Row],[D, top '[m']]], "")</f>
        <v/>
      </c>
      <c r="BG130" s="108" t="str">
        <f>IFERROR(-(TP_DATA[[#This Row],[D, bottom '[m']]]-TP_DATA[[#This Row],[D, top '[m']]])/(TP_DATA[[#This Row],[Bottom '[m']]]-TP_DATA[[#This Row],[Top '[m']]]),"")</f>
        <v/>
      </c>
      <c r="BI130" s="108" t="str">
        <f>IFERROR((TP_DATA[[#This Row],[D, bottom '[m']]]+TP_DATA[[#This Row],[D, top '[m']]])/(2*TP_DATA[[#This Row],[t '[mm']]]/1000),"")</f>
        <v/>
      </c>
      <c r="CZ130" s="108" t="str">
        <f>IFERROR(TOWER_DATA[[#This Row],[Top '[m']]]-TOWER_DATA[[#This Row],[Bottom '[m']]], "")</f>
        <v/>
      </c>
      <c r="DA130" s="108" t="str">
        <f>IFERROR(-(TOWER_DATA[[#This Row],[D, bottom '[m']]]-TOWER_DATA[[#This Row],[D, top '[m']]])/(TOWER_DATA[[#This Row],[Bottom '[m']]]-TOWER_DATA[[#This Row],[Top '[m']]]),"")</f>
        <v/>
      </c>
      <c r="DB130" s="108" t="str">
        <f t="shared" si="9"/>
        <v/>
      </c>
      <c r="DC130" s="108" t="str">
        <f>IFERROR((TOWER_DATA[[#This Row],[D, bottom '[m']]]+TOWER_DATA[[#This Row],[D, top '[m']]])/(2*TOWER_DATA[[#This Row],[t '[mm']]]/1000),"")</f>
        <v/>
      </c>
      <c r="DE130" s="111"/>
      <c r="DF130" s="111"/>
      <c r="DG130" s="111"/>
      <c r="DH130" s="111"/>
      <c r="DI130" s="111"/>
      <c r="DJ130" s="111"/>
      <c r="DK130" s="111"/>
      <c r="DL130" s="111"/>
      <c r="DM130" s="111"/>
      <c r="EU130" s="108" t="str">
        <f t="shared" si="12"/>
        <v/>
      </c>
      <c r="EV130" s="108"/>
    </row>
    <row r="131" spans="6:152" x14ac:dyDescent="0.3">
      <c r="F131" s="108"/>
      <c r="H131" s="108"/>
      <c r="J131" s="108"/>
      <c r="L131" s="108" t="str">
        <f>IFERROR(MP_DATA[[#This Row],[Bottom '[m']]]-MP_DATA[[#This Row],[D, top '[m']]], "")</f>
        <v/>
      </c>
      <c r="M131" s="95" t="str">
        <f>IFERROR(-(MP_DATA[[#This Row],[D, bottom '[m']]]-MP_DATA[[#This Row],[D, top '[m']]])/(MP_DATA[[#This Row],[Bottom '[m']]]-MP_DATA[[#This Row],[Top '[m']]]),"")</f>
        <v/>
      </c>
      <c r="O131" s="108" t="str">
        <f>IFERROR((MP_DATA[[#This Row],[D, bottom '[m']]]+MP_DATA[[#This Row],[D, top '[m']]])/(2*MP_DATA[[#This Row],[t '[mm']]]/1000),"")</f>
        <v/>
      </c>
      <c r="BF131" s="108" t="str">
        <f>IFERROR(TP_DATA[[#This Row],[Bottom '[m']]]-TP_DATA[[#This Row],[D, top '[m']]], "")</f>
        <v/>
      </c>
      <c r="BG131" s="108" t="str">
        <f>IFERROR(-(TP_DATA[[#This Row],[D, bottom '[m']]]-TP_DATA[[#This Row],[D, top '[m']]])/(TP_DATA[[#This Row],[Bottom '[m']]]-TP_DATA[[#This Row],[Top '[m']]]),"")</f>
        <v/>
      </c>
      <c r="BI131" s="108" t="str">
        <f>IFERROR((TP_DATA[[#This Row],[D, bottom '[m']]]+TP_DATA[[#This Row],[D, top '[m']]])/(2*TP_DATA[[#This Row],[t '[mm']]]/1000),"")</f>
        <v/>
      </c>
      <c r="CZ131" s="108" t="str">
        <f>IFERROR(TOWER_DATA[[#This Row],[Top '[m']]]-TOWER_DATA[[#This Row],[Bottom '[m']]], "")</f>
        <v/>
      </c>
      <c r="DA131" s="108" t="str">
        <f>IFERROR(-(TOWER_DATA[[#This Row],[D, bottom '[m']]]-TOWER_DATA[[#This Row],[D, top '[m']]])/(TOWER_DATA[[#This Row],[Bottom '[m']]]-TOWER_DATA[[#This Row],[Top '[m']]]),"")</f>
        <v/>
      </c>
      <c r="DC131" s="108" t="str">
        <f>IFERROR((TOWER_DATA[[#This Row],[D, bottom '[m']]]+TOWER_DATA[[#This Row],[D, top '[m']]])/(2*TOWER_DATA[[#This Row],[t '[mm']]]/1000),"")</f>
        <v/>
      </c>
      <c r="DE131" s="111"/>
      <c r="DF131" s="111"/>
      <c r="DG131" s="111"/>
      <c r="DH131" s="111"/>
      <c r="DI131" s="111"/>
      <c r="DJ131" s="111"/>
      <c r="DK131" s="111"/>
      <c r="DL131" s="111"/>
      <c r="DM131" s="111"/>
      <c r="EU131" s="108" t="str">
        <f t="shared" si="12"/>
        <v/>
      </c>
      <c r="EV131" s="108"/>
    </row>
    <row r="132" spans="6:152" x14ac:dyDescent="0.3">
      <c r="F132" s="108"/>
      <c r="H132" s="108"/>
      <c r="J132" s="108"/>
      <c r="L132" s="108" t="str">
        <f>IFERROR(MP_DATA[[#This Row],[Bottom '[m']]]-MP_DATA[[#This Row],[D, top '[m']]], "")</f>
        <v/>
      </c>
      <c r="M132" s="95" t="str">
        <f>IFERROR(-(MP_DATA[[#This Row],[D, bottom '[m']]]-MP_DATA[[#This Row],[D, top '[m']]])/(MP_DATA[[#This Row],[Bottom '[m']]]-MP_DATA[[#This Row],[Top '[m']]]),"")</f>
        <v/>
      </c>
      <c r="O132" s="108" t="str">
        <f>IFERROR((MP_DATA[[#This Row],[D, bottom '[m']]]+MP_DATA[[#This Row],[D, top '[m']]])/(2*MP_DATA[[#This Row],[t '[mm']]]/1000),"")</f>
        <v/>
      </c>
      <c r="BF132" s="108" t="str">
        <f>IFERROR(TP_DATA[[#This Row],[Bottom '[m']]]-TP_DATA[[#This Row],[D, top '[m']]], "")</f>
        <v/>
      </c>
      <c r="BG132" s="108" t="str">
        <f>IFERROR(-(TP_DATA[[#This Row],[D, bottom '[m']]]-TP_DATA[[#This Row],[D, top '[m']]])/(TP_DATA[[#This Row],[Bottom '[m']]]-TP_DATA[[#This Row],[Top '[m']]]),"")</f>
        <v/>
      </c>
      <c r="BI132" s="108" t="str">
        <f>IFERROR((TP_DATA[[#This Row],[D, bottom '[m']]]+TP_DATA[[#This Row],[D, top '[m']]])/(2*TP_DATA[[#This Row],[t '[mm']]]/1000),"")</f>
        <v/>
      </c>
      <c r="CZ132" s="108" t="str">
        <f>IFERROR(TOWER_DATA[[#This Row],[Top '[m']]]-TOWER_DATA[[#This Row],[Bottom '[m']]], "")</f>
        <v/>
      </c>
      <c r="DA132" s="108" t="str">
        <f>IFERROR(-(TOWER_DATA[[#This Row],[D, bottom '[m']]]-TOWER_DATA[[#This Row],[D, top '[m']]])/(TOWER_DATA[[#This Row],[Bottom '[m']]]-TOWER_DATA[[#This Row],[Top '[m']]]),"")</f>
        <v/>
      </c>
      <c r="DC132" s="108" t="str">
        <f>IFERROR((TOWER_DATA[[#This Row],[D, bottom '[m']]]+TOWER_DATA[[#This Row],[D, top '[m']]])/(2*TOWER_DATA[[#This Row],[t '[mm']]]/1000),"")</f>
        <v/>
      </c>
      <c r="DE132" s="111"/>
      <c r="DF132" s="111"/>
      <c r="DG132" s="111"/>
      <c r="DH132" s="111"/>
      <c r="DI132" s="111"/>
      <c r="DJ132" s="111"/>
      <c r="DK132" s="111"/>
      <c r="DL132" s="111"/>
      <c r="DM132" s="111"/>
    </row>
    <row r="133" spans="6:152" x14ac:dyDescent="0.3">
      <c r="L133" s="108" t="str">
        <f>IFERROR(MP_DATA[[#This Row],[Bottom '[m']]]-MP_DATA[[#This Row],[D, top '[m']]], "")</f>
        <v/>
      </c>
      <c r="M133" s="108" t="str">
        <f>IFERROR(-(MP_DATA[[#This Row],[D, bottom '[m']]]-MP_DATA[[#This Row],[D, top '[m']]])/(MP_DATA[[#This Row],[Bottom '[m']]]-MP_DATA[[#This Row],[Top '[m']]]),"")</f>
        <v/>
      </c>
      <c r="O133" s="108" t="str">
        <f>IFERROR((MP_DATA[[#This Row],[D, bottom '[m']]]+MP_DATA[[#This Row],[D, top '[m']]])/(2*MP_DATA[[#This Row],[t '[mm']]]/1000),"")</f>
        <v/>
      </c>
      <c r="BF133" s="108" t="str">
        <f>IFERROR(TP_DATA[[#This Row],[Bottom '[m']]]-TP_DATA[[#This Row],[D, top '[m']]], "")</f>
        <v/>
      </c>
      <c r="BG133" s="108" t="str">
        <f>IFERROR(-(TP_DATA[[#This Row],[D, bottom '[m']]]-TP_DATA[[#This Row],[D, top '[m']]])/(TP_DATA[[#This Row],[Bottom '[m']]]-TP_DATA[[#This Row],[Top '[m']]]),"")</f>
        <v/>
      </c>
      <c r="BI133" s="108" t="str">
        <f>IFERROR((TP_DATA[[#This Row],[D, bottom '[m']]]+TP_DATA[[#This Row],[D, top '[m']]])/(2*TP_DATA[[#This Row],[t '[mm']]]/1000),"")</f>
        <v/>
      </c>
      <c r="CZ133" s="108" t="str">
        <f>IFERROR(TOWER_DATA[[#This Row],[Top '[m']]]-TOWER_DATA[[#This Row],[Bottom '[m']]], "")</f>
        <v/>
      </c>
      <c r="DA133" s="108" t="str">
        <f>IFERROR(-(TOWER_DATA[[#This Row],[D, bottom '[m']]]-TOWER_DATA[[#This Row],[D, top '[m']]])/(TOWER_DATA[[#This Row],[Bottom '[m']]]-TOWER_DATA[[#This Row],[Top '[m']]]),"")</f>
        <v/>
      </c>
      <c r="DC133" s="108" t="str">
        <f>IFERROR((TOWER_DATA[[#This Row],[D, bottom '[m']]]+TOWER_DATA[[#This Row],[D, top '[m']]])/(2*TOWER_DATA[[#This Row],[t '[mm']]]/1000),"")</f>
        <v/>
      </c>
      <c r="DE133" s="111"/>
      <c r="DF133" s="111"/>
      <c r="DG133" s="111"/>
      <c r="DH133" s="111"/>
      <c r="DI133" s="111"/>
      <c r="DJ133" s="111"/>
      <c r="DK133" s="111"/>
      <c r="DL133" s="111"/>
      <c r="DM133" s="111"/>
    </row>
    <row r="134" spans="6:152" x14ac:dyDescent="0.3">
      <c r="L134" s="108" t="str">
        <f>IFERROR(MP_DATA[[#This Row],[Bottom '[m']]]-MP_DATA[[#This Row],[D, top '[m']]], "")</f>
        <v/>
      </c>
      <c r="M134" s="108" t="str">
        <f>IFERROR(-(MP_DATA[[#This Row],[D, bottom '[m']]]-MP_DATA[[#This Row],[D, top '[m']]])/(MP_DATA[[#This Row],[Bottom '[m']]]-MP_DATA[[#This Row],[Top '[m']]]),"")</f>
        <v/>
      </c>
      <c r="O134" s="108" t="str">
        <f>IFERROR((MP_DATA[[#This Row],[D, bottom '[m']]]+MP_DATA[[#This Row],[D, top '[m']]])/(2*MP_DATA[[#This Row],[t '[mm']]]/1000),"")</f>
        <v/>
      </c>
      <c r="BF134" s="108" t="str">
        <f>IFERROR(TP_DATA[[#This Row],[Bottom '[m']]]-TP_DATA[[#This Row],[D, top '[m']]], "")</f>
        <v/>
      </c>
      <c r="BG134" s="108" t="str">
        <f>IFERROR(-(TP_DATA[[#This Row],[D, bottom '[m']]]-TP_DATA[[#This Row],[D, top '[m']]])/(TP_DATA[[#This Row],[Bottom '[m']]]-TP_DATA[[#This Row],[Top '[m']]]),"")</f>
        <v/>
      </c>
      <c r="BI134" s="108" t="str">
        <f>IFERROR((TP_DATA[[#This Row],[D, bottom '[m']]]+TP_DATA[[#This Row],[D, top '[m']]])/(2*TP_DATA[[#This Row],[t '[mm']]]/1000),"")</f>
        <v/>
      </c>
      <c r="CZ134" s="108" t="str">
        <f>IFERROR(TOWER_DATA[[#This Row],[Top '[m']]]-TOWER_DATA[[#This Row],[Bottom '[m']]], "")</f>
        <v/>
      </c>
      <c r="DA134" s="108" t="str">
        <f>IFERROR(-(TOWER_DATA[[#This Row],[D, bottom '[m']]]-TOWER_DATA[[#This Row],[D, top '[m']]])/(TOWER_DATA[[#This Row],[Bottom '[m']]]-TOWER_DATA[[#This Row],[Top '[m']]]),"")</f>
        <v/>
      </c>
      <c r="DC134" s="108" t="str">
        <f>IFERROR((TOWER_DATA[[#This Row],[D, bottom '[m']]]+TOWER_DATA[[#This Row],[D, top '[m']]])/(2*TOWER_DATA[[#This Row],[t '[mm']]]/1000),"")</f>
        <v/>
      </c>
      <c r="DE134" s="111"/>
      <c r="DF134" s="111"/>
      <c r="DG134" s="111"/>
      <c r="DH134" s="111"/>
      <c r="DI134" s="111"/>
      <c r="DJ134" s="111"/>
      <c r="DK134" s="111"/>
      <c r="DL134" s="111"/>
      <c r="DM134" s="111"/>
    </row>
    <row r="135" spans="6:152" x14ac:dyDescent="0.3">
      <c r="L135" s="108" t="str">
        <f>IFERROR(MP_DATA[[#This Row],[Bottom '[m']]]-MP_DATA[[#This Row],[D, top '[m']]], "")</f>
        <v/>
      </c>
      <c r="O135" s="108" t="str">
        <f>IFERROR((MP_DATA[[#This Row],[D, bottom '[m']]]+MP_DATA[[#This Row],[D, top '[m']]])/(2*MP_DATA[[#This Row],[t '[mm']]]/1000),"")</f>
        <v/>
      </c>
      <c r="CK135" s="108"/>
      <c r="CL135" s="108"/>
      <c r="CM135" s="108"/>
      <c r="CN135" s="108"/>
      <c r="DE135" s="111"/>
      <c r="DF135" s="111"/>
      <c r="DG135" s="111"/>
      <c r="DH135" s="111"/>
      <c r="DI135" s="111"/>
      <c r="DJ135" s="111"/>
      <c r="DK135" s="111"/>
      <c r="DL135" s="111"/>
      <c r="DM135" s="111"/>
    </row>
    <row r="136" spans="6:152" x14ac:dyDescent="0.3">
      <c r="CK136" s="108"/>
      <c r="CL136" s="108"/>
      <c r="CM136" s="108"/>
      <c r="CN136" s="108"/>
      <c r="DE136" s="111"/>
      <c r="DF136" s="111"/>
      <c r="DG136" s="111"/>
      <c r="DH136" s="111"/>
      <c r="DI136" s="111"/>
      <c r="DJ136" s="111"/>
      <c r="DK136" s="111"/>
      <c r="DL136" s="111"/>
      <c r="DM136" s="111"/>
    </row>
    <row r="137" spans="6:152" x14ac:dyDescent="0.3">
      <c r="DE137" s="111"/>
      <c r="DF137" s="111"/>
      <c r="DG137" s="111"/>
      <c r="DH137" s="111"/>
      <c r="DI137" s="111"/>
      <c r="DJ137" s="111"/>
      <c r="DK137" s="111"/>
      <c r="DL137" s="111"/>
      <c r="DM137" s="111"/>
    </row>
    <row r="138" spans="6:152" x14ac:dyDescent="0.3">
      <c r="DE138" s="111"/>
      <c r="DF138" s="111"/>
      <c r="DG138" s="111"/>
      <c r="DH138" s="111"/>
      <c r="DI138" s="111"/>
      <c r="DJ138" s="111"/>
      <c r="DK138" s="111"/>
      <c r="DL138" s="111"/>
      <c r="DM138" s="111"/>
    </row>
    <row r="139" spans="6:152" x14ac:dyDescent="0.3">
      <c r="DE139" s="111"/>
      <c r="DF139" s="111"/>
      <c r="DG139" s="111"/>
      <c r="DH139" s="111"/>
      <c r="DI139" s="111"/>
      <c r="DJ139" s="111"/>
      <c r="DK139" s="111"/>
      <c r="DL139" s="111"/>
      <c r="DM139" s="111"/>
    </row>
    <row r="140" spans="6:152" x14ac:dyDescent="0.3">
      <c r="DE140" s="111"/>
      <c r="DF140" s="111"/>
      <c r="DG140" s="111"/>
      <c r="DH140" s="111"/>
      <c r="DI140" s="111"/>
      <c r="DJ140" s="111"/>
      <c r="DK140" s="111"/>
      <c r="DL140" s="111"/>
      <c r="DM140" s="111"/>
    </row>
    <row r="141" spans="6:152" x14ac:dyDescent="0.3">
      <c r="DE141" s="111"/>
      <c r="DF141" s="111"/>
      <c r="DG141" s="111"/>
      <c r="DH141" s="111"/>
      <c r="DI141" s="111"/>
      <c r="DJ141" s="111"/>
      <c r="DK141" s="111"/>
      <c r="DL141" s="111"/>
      <c r="DM141" s="111"/>
    </row>
    <row r="142" spans="6:152" x14ac:dyDescent="0.3">
      <c r="DE142" s="111"/>
      <c r="DF142" s="111"/>
      <c r="DG142" s="111"/>
      <c r="DH142" s="111"/>
      <c r="DI142" s="111"/>
      <c r="DJ142" s="111"/>
      <c r="DK142" s="111"/>
      <c r="DL142" s="111"/>
      <c r="DM142" s="111"/>
    </row>
    <row r="143" spans="6:152" x14ac:dyDescent="0.3">
      <c r="DE143" s="111"/>
      <c r="DF143" s="111"/>
      <c r="DG143" s="111"/>
      <c r="DH143" s="111"/>
      <c r="DI143" s="111"/>
      <c r="DJ143" s="111"/>
      <c r="DK143" s="111"/>
      <c r="DL143" s="111"/>
      <c r="DM143" s="111"/>
    </row>
    <row r="144" spans="6:152" x14ac:dyDescent="0.3">
      <c r="DE144" s="111"/>
      <c r="DF144" s="111"/>
      <c r="DG144" s="111"/>
      <c r="DH144" s="111"/>
      <c r="DI144" s="111"/>
      <c r="DJ144" s="111"/>
      <c r="DK144" s="111"/>
      <c r="DL144" s="111"/>
      <c r="DM144" s="111"/>
    </row>
    <row r="145" spans="109:117" x14ac:dyDescent="0.3">
      <c r="DE145" s="111"/>
      <c r="DF145" s="111"/>
      <c r="DG145" s="111"/>
      <c r="DH145" s="111"/>
      <c r="DI145" s="111"/>
      <c r="DJ145" s="111"/>
      <c r="DK145" s="111"/>
      <c r="DL145" s="111"/>
      <c r="DM145" s="111"/>
    </row>
    <row r="146" spans="109:117" x14ac:dyDescent="0.3">
      <c r="DE146" s="111"/>
      <c r="DF146" s="111"/>
      <c r="DG146" s="111"/>
      <c r="DH146" s="111"/>
      <c r="DI146" s="111"/>
      <c r="DJ146" s="111"/>
      <c r="DK146" s="111"/>
      <c r="DL146" s="111"/>
      <c r="DM146" s="111"/>
    </row>
    <row r="147" spans="109:117" x14ac:dyDescent="0.3">
      <c r="DE147" s="111"/>
      <c r="DF147" s="111"/>
      <c r="DG147" s="111"/>
      <c r="DH147" s="111"/>
      <c r="DI147" s="111"/>
      <c r="DJ147" s="111"/>
      <c r="DK147" s="111"/>
      <c r="DL147" s="111"/>
      <c r="DM147" s="111"/>
    </row>
    <row r="148" spans="109:117" x14ac:dyDescent="0.3">
      <c r="DE148" s="111"/>
      <c r="DF148" s="111"/>
      <c r="DG148" s="111"/>
      <c r="DH148" s="111"/>
      <c r="DI148" s="111"/>
      <c r="DJ148" s="111"/>
      <c r="DK148" s="111"/>
      <c r="DL148" s="111"/>
      <c r="DM148" s="111"/>
    </row>
    <row r="149" spans="109:117" x14ac:dyDescent="0.3">
      <c r="DE149" s="111"/>
      <c r="DF149" s="111"/>
      <c r="DG149" s="111"/>
      <c r="DH149" s="111"/>
      <c r="DI149" s="111"/>
      <c r="DJ149" s="111"/>
      <c r="DK149" s="111"/>
      <c r="DL149" s="111"/>
      <c r="DM149" s="111"/>
    </row>
    <row r="150" spans="109:117" x14ac:dyDescent="0.3">
      <c r="DE150" s="111"/>
      <c r="DF150" s="111"/>
      <c r="DG150" s="111"/>
      <c r="DH150" s="111"/>
      <c r="DI150" s="111"/>
      <c r="DJ150" s="111"/>
      <c r="DK150" s="111"/>
      <c r="DL150" s="111"/>
      <c r="DM150" s="111"/>
    </row>
    <row r="151" spans="109:117" x14ac:dyDescent="0.3">
      <c r="DE151" s="111"/>
      <c r="DF151" s="111"/>
      <c r="DG151" s="111"/>
      <c r="DH151" s="111"/>
      <c r="DI151" s="111"/>
      <c r="DJ151" s="111"/>
      <c r="DK151" s="111"/>
      <c r="DL151" s="111"/>
      <c r="DM151" s="111"/>
    </row>
    <row r="152" spans="109:117" x14ac:dyDescent="0.3">
      <c r="DE152" s="111"/>
      <c r="DF152" s="111"/>
      <c r="DG152" s="111"/>
      <c r="DH152" s="111"/>
      <c r="DI152" s="111"/>
      <c r="DJ152" s="111"/>
      <c r="DK152" s="111"/>
      <c r="DL152" s="111"/>
      <c r="DM152" s="111"/>
    </row>
    <row r="153" spans="109:117" x14ac:dyDescent="0.3">
      <c r="DE153" s="111"/>
      <c r="DF153" s="111"/>
      <c r="DG153" s="111"/>
      <c r="DH153" s="111"/>
      <c r="DI153" s="111"/>
      <c r="DJ153" s="111"/>
      <c r="DK153" s="111"/>
      <c r="DL153" s="111"/>
      <c r="DM153" s="111"/>
    </row>
    <row r="154" spans="109:117" x14ac:dyDescent="0.3">
      <c r="DE154" s="111"/>
      <c r="DF154" s="111"/>
      <c r="DG154" s="111"/>
      <c r="DH154" s="111"/>
      <c r="DI154" s="111"/>
      <c r="DJ154" s="111"/>
      <c r="DK154" s="111"/>
      <c r="DL154" s="111"/>
      <c r="DM154" s="111"/>
    </row>
    <row r="155" spans="109:117" x14ac:dyDescent="0.3">
      <c r="DE155" s="111"/>
      <c r="DF155" s="111"/>
      <c r="DG155" s="111"/>
      <c r="DH155" s="111"/>
      <c r="DI155" s="111"/>
      <c r="DJ155" s="111"/>
      <c r="DK155" s="111"/>
      <c r="DL155" s="111"/>
      <c r="DM155" s="111"/>
    </row>
    <row r="156" spans="109:117" x14ac:dyDescent="0.3">
      <c r="DE156" s="111"/>
      <c r="DF156" s="111"/>
      <c r="DG156" s="111"/>
      <c r="DH156" s="111"/>
      <c r="DI156" s="111"/>
      <c r="DJ156" s="111"/>
      <c r="DK156" s="111"/>
      <c r="DL156" s="111"/>
      <c r="DM156" s="111"/>
    </row>
    <row r="157" spans="109:117" x14ac:dyDescent="0.3">
      <c r="DE157" s="111"/>
      <c r="DF157" s="111"/>
      <c r="DG157" s="111"/>
      <c r="DH157" s="111"/>
      <c r="DI157" s="111"/>
      <c r="DJ157" s="111"/>
      <c r="DK157" s="111"/>
      <c r="DL157" s="111"/>
      <c r="DM157" s="111"/>
    </row>
    <row r="158" spans="109:117" x14ac:dyDescent="0.3">
      <c r="DE158" s="111"/>
      <c r="DF158" s="111"/>
      <c r="DG158" s="111"/>
      <c r="DH158" s="111"/>
      <c r="DI158" s="111"/>
      <c r="DJ158" s="111"/>
      <c r="DK158" s="111"/>
      <c r="DL158" s="111"/>
      <c r="DM158" s="111"/>
    </row>
    <row r="159" spans="109:117" x14ac:dyDescent="0.3">
      <c r="DE159" s="111"/>
      <c r="DF159" s="111"/>
      <c r="DG159" s="111"/>
      <c r="DH159" s="111"/>
      <c r="DI159" s="111"/>
      <c r="DJ159" s="111"/>
      <c r="DK159" s="111"/>
      <c r="DL159" s="111"/>
      <c r="DM159" s="111"/>
    </row>
    <row r="160" spans="109:117" x14ac:dyDescent="0.3">
      <c r="DE160" s="111"/>
      <c r="DF160" s="111"/>
      <c r="DG160" s="111"/>
      <c r="DH160" s="111"/>
      <c r="DI160" s="111"/>
      <c r="DJ160" s="111"/>
      <c r="DK160" s="111"/>
      <c r="DL160" s="111"/>
      <c r="DM160" s="111"/>
    </row>
    <row r="161" spans="109:117" x14ac:dyDescent="0.3">
      <c r="DE161" s="111"/>
      <c r="DF161" s="111"/>
      <c r="DG161" s="111"/>
      <c r="DH161" s="111"/>
      <c r="DI161" s="111"/>
      <c r="DJ161" s="111"/>
      <c r="DK161" s="111"/>
      <c r="DL161" s="111"/>
      <c r="DM161" s="111"/>
    </row>
    <row r="162" spans="109:117" x14ac:dyDescent="0.3">
      <c r="DE162" s="111"/>
      <c r="DF162" s="111"/>
      <c r="DG162" s="111"/>
      <c r="DH162" s="111"/>
      <c r="DI162" s="111"/>
      <c r="DJ162" s="111"/>
      <c r="DK162" s="111"/>
      <c r="DL162" s="111"/>
      <c r="DM162" s="111"/>
    </row>
    <row r="163" spans="109:117" x14ac:dyDescent="0.3">
      <c r="DE163" s="111"/>
      <c r="DF163" s="111"/>
      <c r="DG163" s="111"/>
      <c r="DH163" s="111"/>
      <c r="DI163" s="111"/>
      <c r="DJ163" s="111"/>
      <c r="DK163" s="111"/>
      <c r="DL163" s="111"/>
      <c r="DM163" s="111"/>
    </row>
    <row r="164" spans="109:117" x14ac:dyDescent="0.3">
      <c r="DE164" s="111"/>
      <c r="DF164" s="111"/>
      <c r="DG164" s="111"/>
      <c r="DH164" s="111"/>
      <c r="DI164" s="111"/>
      <c r="DJ164" s="111"/>
      <c r="DK164" s="111"/>
      <c r="DL164" s="111"/>
      <c r="DM164" s="111"/>
    </row>
    <row r="165" spans="109:117" x14ac:dyDescent="0.3">
      <c r="DE165" s="111"/>
      <c r="DF165" s="111"/>
      <c r="DG165" s="111"/>
      <c r="DH165" s="111"/>
      <c r="DI165" s="111"/>
      <c r="DJ165" s="111"/>
      <c r="DK165" s="111"/>
      <c r="DL165" s="111"/>
      <c r="DM165" s="111"/>
    </row>
    <row r="166" spans="109:117" x14ac:dyDescent="0.3">
      <c r="DE166" s="111"/>
      <c r="DF166" s="111"/>
      <c r="DG166" s="111"/>
      <c r="DH166" s="111"/>
      <c r="DI166" s="111"/>
      <c r="DJ166" s="111"/>
      <c r="DK166" s="111"/>
      <c r="DL166" s="111"/>
      <c r="DM166" s="111"/>
    </row>
    <row r="167" spans="109:117" x14ac:dyDescent="0.3">
      <c r="DE167" s="111"/>
      <c r="DF167" s="111"/>
      <c r="DG167" s="111"/>
      <c r="DH167" s="111"/>
      <c r="DI167" s="111"/>
      <c r="DJ167" s="111"/>
      <c r="DK167" s="111"/>
      <c r="DL167" s="111"/>
      <c r="DM167" s="111"/>
    </row>
    <row r="168" spans="109:117" x14ac:dyDescent="0.3">
      <c r="DE168" s="111"/>
      <c r="DF168" s="111"/>
      <c r="DG168" s="111"/>
      <c r="DH168" s="111"/>
      <c r="DI168" s="111"/>
      <c r="DJ168" s="111"/>
      <c r="DK168" s="111"/>
      <c r="DL168" s="111"/>
      <c r="DM168" s="111"/>
    </row>
    <row r="169" spans="109:117" x14ac:dyDescent="0.3">
      <c r="DE169" s="111"/>
      <c r="DF169" s="111"/>
      <c r="DG169" s="111"/>
      <c r="DH169" s="111"/>
      <c r="DI169" s="111"/>
      <c r="DJ169" s="111"/>
      <c r="DK169" s="111"/>
      <c r="DL169" s="111"/>
      <c r="DM169" s="111"/>
    </row>
    <row r="170" spans="109:117" x14ac:dyDescent="0.3">
      <c r="DE170" s="111"/>
      <c r="DF170" s="111"/>
      <c r="DG170" s="111"/>
      <c r="DH170" s="111"/>
      <c r="DI170" s="111"/>
      <c r="DJ170" s="111"/>
      <c r="DK170" s="111"/>
      <c r="DL170" s="111"/>
      <c r="DM170" s="111"/>
    </row>
    <row r="171" spans="109:117" x14ac:dyDescent="0.3">
      <c r="DE171" s="111"/>
      <c r="DF171" s="111"/>
      <c r="DG171" s="111"/>
      <c r="DH171" s="111"/>
      <c r="DI171" s="111"/>
      <c r="DJ171" s="111"/>
      <c r="DK171" s="111"/>
      <c r="DL171" s="111"/>
      <c r="DM171" s="111"/>
    </row>
    <row r="172" spans="109:117" x14ac:dyDescent="0.3">
      <c r="DE172" s="111"/>
      <c r="DF172" s="111"/>
      <c r="DG172" s="111"/>
      <c r="DH172" s="111"/>
      <c r="DI172" s="111"/>
      <c r="DJ172" s="111"/>
      <c r="DK172" s="111"/>
      <c r="DL172" s="111"/>
      <c r="DM172" s="111"/>
    </row>
    <row r="173" spans="109:117" x14ac:dyDescent="0.3">
      <c r="DE173" s="111"/>
      <c r="DF173" s="111"/>
      <c r="DG173" s="111"/>
      <c r="DH173" s="111"/>
      <c r="DI173" s="111"/>
      <c r="DJ173" s="111"/>
      <c r="DK173" s="111"/>
      <c r="DL173" s="111"/>
      <c r="DM173" s="111"/>
    </row>
    <row r="174" spans="109:117" x14ac:dyDescent="0.3">
      <c r="DE174" s="111"/>
      <c r="DF174" s="111"/>
      <c r="DG174" s="111"/>
      <c r="DH174" s="111"/>
      <c r="DI174" s="111"/>
      <c r="DJ174" s="111"/>
      <c r="DK174" s="111"/>
      <c r="DL174" s="111"/>
      <c r="DM174" s="111"/>
    </row>
    <row r="175" spans="109:117" x14ac:dyDescent="0.3">
      <c r="DE175" s="111"/>
      <c r="DF175" s="111"/>
      <c r="DG175" s="111"/>
      <c r="DH175" s="111"/>
      <c r="DI175" s="111"/>
      <c r="DJ175" s="111"/>
      <c r="DK175" s="111"/>
      <c r="DL175" s="111"/>
      <c r="DM175" s="111"/>
    </row>
    <row r="176" spans="109:117" x14ac:dyDescent="0.3">
      <c r="DE176" s="111"/>
      <c r="DF176" s="111"/>
      <c r="DG176" s="111"/>
      <c r="DH176" s="111"/>
      <c r="DI176" s="111"/>
      <c r="DJ176" s="111"/>
      <c r="DK176" s="111"/>
      <c r="DL176" s="111"/>
      <c r="DM176" s="111"/>
    </row>
    <row r="177" spans="109:117" x14ac:dyDescent="0.3">
      <c r="DE177" s="111"/>
      <c r="DF177" s="111"/>
      <c r="DG177" s="111"/>
      <c r="DH177" s="111"/>
      <c r="DI177" s="111"/>
      <c r="DJ177" s="111"/>
      <c r="DK177" s="111"/>
      <c r="DL177" s="111"/>
      <c r="DM177" s="111"/>
    </row>
    <row r="178" spans="109:117" x14ac:dyDescent="0.3">
      <c r="DE178" s="111"/>
      <c r="DF178" s="111"/>
      <c r="DG178" s="111"/>
      <c r="DH178" s="111"/>
      <c r="DI178" s="111"/>
      <c r="DJ178" s="111"/>
      <c r="DK178" s="111"/>
      <c r="DL178" s="111"/>
      <c r="DM178" s="111"/>
    </row>
    <row r="179" spans="109:117" x14ac:dyDescent="0.3">
      <c r="DE179" s="111"/>
      <c r="DF179" s="111"/>
      <c r="DG179" s="111"/>
      <c r="DH179" s="111"/>
      <c r="DI179" s="111"/>
      <c r="DJ179" s="111"/>
      <c r="DK179" s="111"/>
      <c r="DL179" s="111"/>
      <c r="DM179" s="111"/>
    </row>
    <row r="180" spans="109:117" x14ac:dyDescent="0.3">
      <c r="DE180" s="111"/>
      <c r="DF180" s="111"/>
      <c r="DG180" s="111"/>
      <c r="DH180" s="111"/>
      <c r="DI180" s="111"/>
      <c r="DJ180" s="111"/>
      <c r="DK180" s="111"/>
      <c r="DL180" s="111"/>
      <c r="DM180" s="111"/>
    </row>
    <row r="181" spans="109:117" x14ac:dyDescent="0.3">
      <c r="DE181" s="111"/>
      <c r="DF181" s="111"/>
      <c r="DG181" s="111"/>
      <c r="DH181" s="111"/>
      <c r="DI181" s="111"/>
      <c r="DJ181" s="111"/>
      <c r="DK181" s="111"/>
      <c r="DL181" s="111"/>
      <c r="DM181" s="111"/>
    </row>
    <row r="182" spans="109:117" x14ac:dyDescent="0.3">
      <c r="DE182" s="111"/>
      <c r="DF182" s="111"/>
      <c r="DG182" s="111"/>
      <c r="DH182" s="111"/>
      <c r="DI182" s="111"/>
      <c r="DJ182" s="111"/>
      <c r="DK182" s="111"/>
      <c r="DL182" s="111"/>
      <c r="DM182" s="111"/>
    </row>
    <row r="183" spans="109:117" x14ac:dyDescent="0.3">
      <c r="DE183" s="111"/>
      <c r="DF183" s="111"/>
      <c r="DG183" s="111"/>
      <c r="DH183" s="111"/>
      <c r="DI183" s="111"/>
      <c r="DJ183" s="111"/>
      <c r="DK183" s="111"/>
      <c r="DL183" s="111"/>
      <c r="DM183" s="111"/>
    </row>
    <row r="184" spans="109:117" x14ac:dyDescent="0.3">
      <c r="DE184" s="111"/>
      <c r="DF184" s="111"/>
      <c r="DG184" s="111"/>
      <c r="DH184" s="111"/>
      <c r="DI184" s="111"/>
      <c r="DJ184" s="111"/>
      <c r="DK184" s="111"/>
      <c r="DL184" s="111"/>
      <c r="DM184" s="111"/>
    </row>
    <row r="185" spans="109:117" x14ac:dyDescent="0.3">
      <c r="DE185" s="111"/>
      <c r="DF185" s="111"/>
      <c r="DG185" s="111"/>
      <c r="DH185" s="111"/>
      <c r="DI185" s="111"/>
      <c r="DJ185" s="111"/>
      <c r="DK185" s="111"/>
      <c r="DL185" s="111"/>
      <c r="DM185" s="111"/>
    </row>
    <row r="186" spans="109:117" x14ac:dyDescent="0.3">
      <c r="DE186" s="111"/>
      <c r="DF186" s="111"/>
      <c r="DG186" s="111"/>
      <c r="DH186" s="111"/>
      <c r="DI186" s="111"/>
      <c r="DJ186" s="111"/>
      <c r="DK186" s="111"/>
      <c r="DL186" s="111"/>
      <c r="DM186" s="111"/>
    </row>
    <row r="187" spans="109:117" x14ac:dyDescent="0.3">
      <c r="DE187" s="111"/>
      <c r="DF187" s="111"/>
      <c r="DG187" s="111"/>
      <c r="DH187" s="111"/>
      <c r="DI187" s="111"/>
      <c r="DJ187" s="111"/>
      <c r="DK187" s="111"/>
      <c r="DL187" s="111"/>
      <c r="DM187" s="111"/>
    </row>
    <row r="188" spans="109:117" x14ac:dyDescent="0.3">
      <c r="DE188" s="111"/>
      <c r="DF188" s="111"/>
      <c r="DG188" s="111"/>
      <c r="DH188" s="111"/>
      <c r="DI188" s="111"/>
      <c r="DJ188" s="111"/>
      <c r="DK188" s="111"/>
      <c r="DL188" s="111"/>
      <c r="DM188" s="111"/>
    </row>
    <row r="189" spans="109:117" x14ac:dyDescent="0.3">
      <c r="DE189" s="111"/>
      <c r="DF189" s="111"/>
      <c r="DG189" s="111"/>
      <c r="DH189" s="111"/>
      <c r="DI189" s="111"/>
      <c r="DJ189" s="111"/>
      <c r="DK189" s="111"/>
      <c r="DL189" s="111"/>
      <c r="DM189" s="111"/>
    </row>
    <row r="190" spans="109:117" x14ac:dyDescent="0.3">
      <c r="DE190" s="111"/>
      <c r="DF190" s="111"/>
      <c r="DG190" s="111"/>
      <c r="DH190" s="111"/>
      <c r="DI190" s="111"/>
      <c r="DJ190" s="111"/>
      <c r="DK190" s="111"/>
      <c r="DL190" s="111"/>
      <c r="DM190" s="111"/>
    </row>
    <row r="191" spans="109:117" x14ac:dyDescent="0.3">
      <c r="DE191" s="111"/>
      <c r="DF191" s="111"/>
      <c r="DG191" s="111"/>
      <c r="DH191" s="111"/>
      <c r="DI191" s="111"/>
      <c r="DJ191" s="111"/>
      <c r="DK191" s="111"/>
      <c r="DL191" s="111"/>
      <c r="DM191" s="111"/>
    </row>
    <row r="192" spans="109:117" x14ac:dyDescent="0.3">
      <c r="DE192" s="111"/>
      <c r="DF192" s="111"/>
      <c r="DG192" s="111"/>
      <c r="DH192" s="111"/>
      <c r="DI192" s="111"/>
      <c r="DJ192" s="111"/>
      <c r="DK192" s="111"/>
      <c r="DL192" s="111"/>
      <c r="DM192" s="111"/>
    </row>
    <row r="193" spans="109:117" x14ac:dyDescent="0.3">
      <c r="DE193" s="111"/>
      <c r="DF193" s="111"/>
      <c r="DG193" s="111"/>
      <c r="DH193" s="111"/>
      <c r="DI193" s="111"/>
      <c r="DJ193" s="111"/>
      <c r="DK193" s="111"/>
      <c r="DL193" s="111"/>
      <c r="DM193" s="111"/>
    </row>
    <row r="194" spans="109:117" x14ac:dyDescent="0.3">
      <c r="DE194" s="111"/>
      <c r="DF194" s="111"/>
      <c r="DG194" s="111"/>
      <c r="DH194" s="111"/>
      <c r="DI194" s="111"/>
      <c r="DJ194" s="111"/>
      <c r="DK194" s="111"/>
      <c r="DL194" s="111"/>
      <c r="DM194" s="111"/>
    </row>
    <row r="195" spans="109:117" x14ac:dyDescent="0.3">
      <c r="DE195" s="111"/>
      <c r="DF195" s="111"/>
      <c r="DG195" s="111"/>
      <c r="DH195" s="111"/>
      <c r="DI195" s="111"/>
      <c r="DJ195" s="111"/>
      <c r="DK195" s="111"/>
      <c r="DL195" s="111"/>
      <c r="DM195" s="111"/>
    </row>
    <row r="196" spans="109:117" x14ac:dyDescent="0.3">
      <c r="DE196" s="111"/>
      <c r="DF196" s="111"/>
      <c r="DG196" s="111"/>
      <c r="DH196" s="111"/>
      <c r="DI196" s="111"/>
      <c r="DJ196" s="111"/>
      <c r="DK196" s="111"/>
      <c r="DL196" s="111"/>
      <c r="DM196" s="111"/>
    </row>
    <row r="197" spans="109:117" x14ac:dyDescent="0.3">
      <c r="DE197" s="111"/>
      <c r="DF197" s="111"/>
      <c r="DG197" s="111"/>
      <c r="DH197" s="111"/>
      <c r="DI197" s="111"/>
      <c r="DJ197" s="111"/>
      <c r="DK197" s="111"/>
      <c r="DL197" s="111"/>
      <c r="DM197" s="111"/>
    </row>
    <row r="198" spans="109:117" x14ac:dyDescent="0.3">
      <c r="DE198" s="111"/>
      <c r="DF198" s="111"/>
      <c r="DG198" s="111"/>
      <c r="DH198" s="111"/>
      <c r="DI198" s="111"/>
      <c r="DJ198" s="111"/>
      <c r="DK198" s="111"/>
      <c r="DL198" s="111"/>
      <c r="DM198" s="111"/>
    </row>
    <row r="199" spans="109:117" x14ac:dyDescent="0.3">
      <c r="DE199" s="111"/>
      <c r="DF199" s="111"/>
      <c r="DG199" s="111"/>
      <c r="DH199" s="111"/>
      <c r="DI199" s="111"/>
      <c r="DJ199" s="111"/>
      <c r="DK199" s="111"/>
      <c r="DL199" s="111"/>
      <c r="DM199" s="111"/>
    </row>
    <row r="200" spans="109:117" x14ac:dyDescent="0.3">
      <c r="DE200" s="111"/>
      <c r="DF200" s="111"/>
      <c r="DG200" s="111"/>
      <c r="DH200" s="111"/>
      <c r="DI200" s="111"/>
      <c r="DJ200" s="111"/>
      <c r="DK200" s="111"/>
      <c r="DL200" s="111"/>
      <c r="DM200" s="111"/>
    </row>
    <row r="201" spans="109:117" x14ac:dyDescent="0.3">
      <c r="DE201" s="111"/>
      <c r="DF201" s="111"/>
      <c r="DG201" s="111"/>
      <c r="DH201" s="111"/>
      <c r="DI201" s="111"/>
      <c r="DJ201" s="111"/>
      <c r="DK201" s="111"/>
      <c r="DL201" s="111"/>
      <c r="DM201" s="111"/>
    </row>
    <row r="202" spans="109:117" x14ac:dyDescent="0.3">
      <c r="DE202" s="111"/>
      <c r="DF202" s="111"/>
      <c r="DG202" s="111"/>
      <c r="DH202" s="111"/>
      <c r="DI202" s="111"/>
      <c r="DJ202" s="111"/>
      <c r="DK202" s="111"/>
      <c r="DL202" s="111"/>
      <c r="DM202" s="111"/>
    </row>
    <row r="203" spans="109:117" x14ac:dyDescent="0.3">
      <c r="DE203" s="111"/>
      <c r="DF203" s="111"/>
      <c r="DG203" s="111"/>
      <c r="DH203" s="111"/>
      <c r="DI203" s="111"/>
      <c r="DJ203" s="111"/>
      <c r="DK203" s="111"/>
      <c r="DL203" s="111"/>
      <c r="DM203" s="111"/>
    </row>
    <row r="204" spans="109:117" x14ac:dyDescent="0.3">
      <c r="DE204" s="111"/>
      <c r="DF204" s="111"/>
      <c r="DG204" s="111"/>
      <c r="DH204" s="111"/>
      <c r="DI204" s="111"/>
      <c r="DJ204" s="111"/>
      <c r="DK204" s="111"/>
      <c r="DL204" s="111"/>
      <c r="DM204" s="111"/>
    </row>
    <row r="205" spans="109:117" x14ac:dyDescent="0.3">
      <c r="DE205" s="111"/>
      <c r="DF205" s="111"/>
      <c r="DG205" s="111"/>
      <c r="DH205" s="111"/>
      <c r="DI205" s="111"/>
      <c r="DJ205" s="111"/>
      <c r="DK205" s="111"/>
      <c r="DL205" s="111"/>
      <c r="DM205" s="111"/>
    </row>
    <row r="206" spans="109:117" x14ac:dyDescent="0.3">
      <c r="DE206" s="111"/>
      <c r="DF206" s="111"/>
      <c r="DG206" s="111"/>
      <c r="DH206" s="111"/>
      <c r="DI206" s="111"/>
      <c r="DJ206" s="111"/>
      <c r="DK206" s="111"/>
      <c r="DL206" s="111"/>
      <c r="DM206" s="111"/>
    </row>
    <row r="207" spans="109:117" x14ac:dyDescent="0.3">
      <c r="DE207" s="111"/>
      <c r="DF207" s="111"/>
      <c r="DG207" s="111"/>
      <c r="DH207" s="111"/>
      <c r="DI207" s="111"/>
      <c r="DJ207" s="111"/>
      <c r="DK207" s="111"/>
      <c r="DL207" s="111"/>
      <c r="DM207" s="111"/>
    </row>
    <row r="208" spans="109:117" x14ac:dyDescent="0.3">
      <c r="DE208" s="111"/>
      <c r="DF208" s="111"/>
      <c r="DG208" s="111"/>
      <c r="DH208" s="111"/>
      <c r="DI208" s="111"/>
      <c r="DJ208" s="111"/>
      <c r="DK208" s="111"/>
      <c r="DL208" s="111"/>
      <c r="DM208" s="111"/>
    </row>
    <row r="209" spans="109:117" x14ac:dyDescent="0.3">
      <c r="DE209" s="111"/>
      <c r="DF209" s="111"/>
      <c r="DG209" s="111"/>
      <c r="DH209" s="111"/>
      <c r="DI209" s="111"/>
      <c r="DJ209" s="111"/>
      <c r="DK209" s="111"/>
      <c r="DL209" s="111"/>
      <c r="DM209" s="111"/>
    </row>
    <row r="210" spans="109:117" x14ac:dyDescent="0.3">
      <c r="DE210" s="111"/>
      <c r="DF210" s="111"/>
      <c r="DG210" s="111"/>
      <c r="DH210" s="111"/>
      <c r="DI210" s="111"/>
      <c r="DJ210" s="111"/>
      <c r="DK210" s="111"/>
      <c r="DL210" s="111"/>
      <c r="DM210" s="111"/>
    </row>
    <row r="211" spans="109:117" x14ac:dyDescent="0.3">
      <c r="DE211" s="111"/>
      <c r="DF211" s="111"/>
      <c r="DG211" s="111"/>
      <c r="DH211" s="111"/>
      <c r="DI211" s="111"/>
      <c r="DJ211" s="111"/>
      <c r="DK211" s="111"/>
      <c r="DL211" s="111"/>
      <c r="DM211" s="111"/>
    </row>
    <row r="212" spans="109:117" x14ac:dyDescent="0.3">
      <c r="DE212" s="111"/>
      <c r="DF212" s="111"/>
      <c r="DG212" s="111"/>
      <c r="DH212" s="111"/>
      <c r="DI212" s="111"/>
      <c r="DJ212" s="111"/>
      <c r="DK212" s="111"/>
      <c r="DL212" s="111"/>
      <c r="DM212" s="111"/>
    </row>
    <row r="213" spans="109:117" x14ac:dyDescent="0.3">
      <c r="DE213" s="111"/>
      <c r="DF213" s="111"/>
      <c r="DG213" s="111"/>
      <c r="DH213" s="111"/>
      <c r="DI213" s="111"/>
      <c r="DJ213" s="111"/>
      <c r="DK213" s="111"/>
      <c r="DL213" s="111"/>
      <c r="DM213" s="111"/>
    </row>
    <row r="214" spans="109:117" x14ac:dyDescent="0.3">
      <c r="DE214" s="111"/>
      <c r="DF214" s="111"/>
      <c r="DG214" s="111"/>
      <c r="DH214" s="111"/>
      <c r="DI214" s="111"/>
      <c r="DJ214" s="111"/>
      <c r="DK214" s="111"/>
      <c r="DL214" s="111"/>
      <c r="DM214" s="111"/>
    </row>
    <row r="215" spans="109:117" x14ac:dyDescent="0.3">
      <c r="DE215" s="111"/>
      <c r="DF215" s="111"/>
      <c r="DG215" s="111"/>
      <c r="DH215" s="111"/>
      <c r="DI215" s="111"/>
      <c r="DJ215" s="111"/>
      <c r="DK215" s="111"/>
      <c r="DL215" s="111"/>
      <c r="DM215" s="111"/>
    </row>
    <row r="216" spans="109:117" x14ac:dyDescent="0.3">
      <c r="DE216" s="111"/>
      <c r="DF216" s="111"/>
      <c r="DG216" s="111"/>
      <c r="DH216" s="111"/>
      <c r="DI216" s="111"/>
      <c r="DJ216" s="111"/>
      <c r="DK216" s="111"/>
      <c r="DL216" s="111"/>
      <c r="DM216" s="111"/>
    </row>
    <row r="217" spans="109:117" x14ac:dyDescent="0.3">
      <c r="DE217" s="111"/>
      <c r="DF217" s="111"/>
      <c r="DG217" s="111"/>
      <c r="DH217" s="111"/>
      <c r="DI217" s="111"/>
      <c r="DJ217" s="111"/>
      <c r="DK217" s="111"/>
      <c r="DL217" s="111"/>
      <c r="DM217" s="111"/>
    </row>
    <row r="218" spans="109:117" x14ac:dyDescent="0.3">
      <c r="DE218" s="111"/>
      <c r="DF218" s="111"/>
      <c r="DG218" s="111"/>
      <c r="DH218" s="111"/>
      <c r="DI218" s="111"/>
      <c r="DJ218" s="111"/>
      <c r="DK218" s="111"/>
      <c r="DL218" s="111"/>
      <c r="DM218" s="111"/>
    </row>
    <row r="219" spans="109:117" x14ac:dyDescent="0.3">
      <c r="DE219" s="111"/>
      <c r="DF219" s="111"/>
      <c r="DG219" s="111"/>
      <c r="DH219" s="111"/>
      <c r="DI219" s="111"/>
      <c r="DJ219" s="111"/>
      <c r="DK219" s="111"/>
      <c r="DL219" s="111"/>
      <c r="DM219" s="111"/>
    </row>
    <row r="220" spans="109:117" x14ac:dyDescent="0.3">
      <c r="DE220" s="111"/>
      <c r="DF220" s="111"/>
      <c r="DG220" s="111"/>
      <c r="DH220" s="111"/>
      <c r="DI220" s="111"/>
      <c r="DJ220" s="111"/>
      <c r="DK220" s="111"/>
      <c r="DL220" s="111"/>
      <c r="DM220" s="111"/>
    </row>
    <row r="221" spans="109:117" x14ac:dyDescent="0.3">
      <c r="DE221" s="111"/>
      <c r="DF221" s="111"/>
      <c r="DG221" s="111"/>
      <c r="DH221" s="111"/>
      <c r="DI221" s="111"/>
      <c r="DJ221" s="111"/>
      <c r="DK221" s="111"/>
      <c r="DL221" s="111"/>
      <c r="DM221" s="111"/>
    </row>
    <row r="222" spans="109:117" x14ac:dyDescent="0.3">
      <c r="DE222" s="111"/>
      <c r="DF222" s="111"/>
      <c r="DG222" s="111"/>
      <c r="DH222" s="111"/>
      <c r="DI222" s="111"/>
      <c r="DJ222" s="111"/>
      <c r="DK222" s="111"/>
      <c r="DL222" s="111"/>
      <c r="DM222" s="111"/>
    </row>
    <row r="223" spans="109:117" x14ac:dyDescent="0.3">
      <c r="DE223" s="111"/>
      <c r="DF223" s="111"/>
      <c r="DG223" s="111"/>
      <c r="DH223" s="111"/>
      <c r="DI223" s="111"/>
      <c r="DJ223" s="111"/>
      <c r="DK223" s="111"/>
      <c r="DL223" s="111"/>
      <c r="DM223" s="111"/>
    </row>
    <row r="224" spans="109:117" x14ac:dyDescent="0.3">
      <c r="DE224" s="111"/>
      <c r="DF224" s="111"/>
      <c r="DG224" s="111"/>
      <c r="DH224" s="111"/>
      <c r="DI224" s="111"/>
      <c r="DJ224" s="111"/>
      <c r="DK224" s="111"/>
      <c r="DL224" s="111"/>
      <c r="DM224" s="111"/>
    </row>
    <row r="225" spans="109:117" x14ac:dyDescent="0.3">
      <c r="DE225" s="111"/>
      <c r="DF225" s="111"/>
      <c r="DG225" s="111"/>
      <c r="DH225" s="111"/>
      <c r="DI225" s="111"/>
      <c r="DJ225" s="111"/>
      <c r="DK225" s="111"/>
      <c r="DL225" s="111"/>
      <c r="DM225" s="111"/>
    </row>
    <row r="226" spans="109:117" x14ac:dyDescent="0.3">
      <c r="DE226" s="111"/>
      <c r="DF226" s="111"/>
      <c r="DG226" s="111"/>
      <c r="DH226" s="111"/>
      <c r="DI226" s="111"/>
      <c r="DJ226" s="111"/>
      <c r="DK226" s="111"/>
      <c r="DL226" s="111"/>
      <c r="DM226" s="111"/>
    </row>
    <row r="227" spans="109:117" x14ac:dyDescent="0.3">
      <c r="DE227" s="111"/>
      <c r="DF227" s="111"/>
      <c r="DG227" s="111"/>
      <c r="DH227" s="111"/>
      <c r="DI227" s="111"/>
      <c r="DJ227" s="111"/>
      <c r="DK227" s="111"/>
      <c r="DL227" s="111"/>
      <c r="DM227" s="111"/>
    </row>
    <row r="228" spans="109:117" x14ac:dyDescent="0.3">
      <c r="DE228" s="111"/>
      <c r="DF228" s="111"/>
      <c r="DG228" s="111"/>
      <c r="DH228" s="111"/>
      <c r="DI228" s="111"/>
      <c r="DJ228" s="111"/>
      <c r="DK228" s="111"/>
      <c r="DL228" s="111"/>
      <c r="DM228" s="111"/>
    </row>
    <row r="229" spans="109:117" x14ac:dyDescent="0.3">
      <c r="DE229" s="111"/>
      <c r="DF229" s="111"/>
      <c r="DG229" s="111"/>
      <c r="DH229" s="111"/>
      <c r="DI229" s="111"/>
      <c r="DJ229" s="111"/>
      <c r="DK229" s="111"/>
      <c r="DL229" s="111"/>
      <c r="DM229" s="111"/>
    </row>
    <row r="230" spans="109:117" x14ac:dyDescent="0.3">
      <c r="DE230" s="111"/>
      <c r="DF230" s="111"/>
      <c r="DG230" s="111"/>
      <c r="DH230" s="111"/>
      <c r="DI230" s="111"/>
      <c r="DJ230" s="111"/>
      <c r="DK230" s="111"/>
      <c r="DL230" s="111"/>
      <c r="DM230" s="111"/>
    </row>
    <row r="231" spans="109:117" x14ac:dyDescent="0.3">
      <c r="DE231" s="111"/>
      <c r="DF231" s="111"/>
      <c r="DG231" s="111"/>
      <c r="DH231" s="111"/>
      <c r="DI231" s="111"/>
      <c r="DJ231" s="111"/>
      <c r="DK231" s="111"/>
      <c r="DL231" s="111"/>
      <c r="DM231" s="111"/>
    </row>
    <row r="232" spans="109:117" x14ac:dyDescent="0.3">
      <c r="DE232" s="111"/>
      <c r="DF232" s="111"/>
      <c r="DG232" s="111"/>
      <c r="DH232" s="111"/>
      <c r="DI232" s="111"/>
      <c r="DJ232" s="111"/>
      <c r="DK232" s="111"/>
      <c r="DL232" s="111"/>
      <c r="DM232" s="111"/>
    </row>
    <row r="233" spans="109:117" x14ac:dyDescent="0.3">
      <c r="DE233" s="111"/>
      <c r="DF233" s="111"/>
      <c r="DG233" s="111"/>
      <c r="DH233" s="111"/>
      <c r="DI233" s="111"/>
      <c r="DJ233" s="111"/>
      <c r="DK233" s="111"/>
      <c r="DL233" s="111"/>
      <c r="DM233" s="111"/>
    </row>
    <row r="234" spans="109:117" x14ac:dyDescent="0.3">
      <c r="DE234" s="111"/>
      <c r="DF234" s="111"/>
      <c r="DG234" s="111"/>
      <c r="DH234" s="111"/>
      <c r="DI234" s="111"/>
      <c r="DJ234" s="111"/>
      <c r="DK234" s="111"/>
      <c r="DL234" s="111"/>
      <c r="DM234" s="111"/>
    </row>
    <row r="235" spans="109:117" x14ac:dyDescent="0.3">
      <c r="DE235" s="111"/>
      <c r="DF235" s="111"/>
      <c r="DG235" s="111"/>
      <c r="DH235" s="111"/>
      <c r="DI235" s="111"/>
      <c r="DJ235" s="111"/>
      <c r="DK235" s="111"/>
      <c r="DL235" s="111"/>
      <c r="DM235" s="111"/>
    </row>
    <row r="236" spans="109:117" x14ac:dyDescent="0.3">
      <c r="DE236" s="111"/>
      <c r="DF236" s="111"/>
      <c r="DG236" s="111"/>
      <c r="DH236" s="111"/>
      <c r="DI236" s="111"/>
      <c r="DJ236" s="111"/>
      <c r="DK236" s="111"/>
      <c r="DL236" s="111"/>
      <c r="DM236" s="111"/>
    </row>
    <row r="237" spans="109:117" x14ac:dyDescent="0.3">
      <c r="DE237" s="111"/>
      <c r="DF237" s="111"/>
      <c r="DG237" s="111"/>
      <c r="DH237" s="111"/>
      <c r="DI237" s="111"/>
      <c r="DJ237" s="111"/>
      <c r="DK237" s="111"/>
      <c r="DL237" s="111"/>
      <c r="DM237" s="111"/>
    </row>
    <row r="238" spans="109:117" x14ac:dyDescent="0.3">
      <c r="DE238" s="111"/>
      <c r="DF238" s="111"/>
      <c r="DG238" s="111"/>
      <c r="DH238" s="111"/>
      <c r="DI238" s="111"/>
      <c r="DJ238" s="111"/>
      <c r="DK238" s="111"/>
      <c r="DL238" s="111"/>
      <c r="DM238" s="111"/>
    </row>
    <row r="239" spans="109:117" x14ac:dyDescent="0.3">
      <c r="DE239" s="111"/>
      <c r="DF239" s="111"/>
      <c r="DG239" s="111"/>
      <c r="DH239" s="111"/>
      <c r="DI239" s="111"/>
      <c r="DJ239" s="111"/>
      <c r="DK239" s="111"/>
      <c r="DL239" s="111"/>
      <c r="DM239" s="111"/>
    </row>
    <row r="240" spans="109:117" x14ac:dyDescent="0.3">
      <c r="DE240" s="111"/>
      <c r="DF240" s="111"/>
      <c r="DG240" s="111"/>
      <c r="DH240" s="111"/>
      <c r="DI240" s="111"/>
      <c r="DJ240" s="111"/>
      <c r="DK240" s="111"/>
      <c r="DL240" s="111"/>
      <c r="DM240" s="111"/>
    </row>
    <row r="241" spans="109:117" x14ac:dyDescent="0.3">
      <c r="DE241" s="111"/>
      <c r="DF241" s="111"/>
      <c r="DG241" s="111"/>
      <c r="DH241" s="111"/>
      <c r="DI241" s="111"/>
      <c r="DJ241" s="111"/>
      <c r="DK241" s="111"/>
      <c r="DL241" s="111"/>
      <c r="DM241" s="111"/>
    </row>
    <row r="242" spans="109:117" x14ac:dyDescent="0.3">
      <c r="DE242" s="111"/>
      <c r="DF242" s="111"/>
      <c r="DG242" s="111"/>
      <c r="DH242" s="111"/>
      <c r="DI242" s="111"/>
      <c r="DJ242" s="111"/>
      <c r="DK242" s="111"/>
      <c r="DL242" s="111"/>
      <c r="DM242" s="111"/>
    </row>
    <row r="243" spans="109:117" x14ac:dyDescent="0.3">
      <c r="DE243" s="111"/>
      <c r="DF243" s="111"/>
      <c r="DG243" s="111"/>
      <c r="DH243" s="111"/>
      <c r="DI243" s="111"/>
      <c r="DJ243" s="111"/>
      <c r="DK243" s="111"/>
      <c r="DL243" s="111"/>
      <c r="DM243" s="111"/>
    </row>
    <row r="244" spans="109:117" x14ac:dyDescent="0.3">
      <c r="DE244" s="111"/>
      <c r="DF244" s="111"/>
      <c r="DG244" s="111"/>
      <c r="DH244" s="111"/>
      <c r="DI244" s="111"/>
      <c r="DJ244" s="111"/>
      <c r="DK244" s="111"/>
      <c r="DL244" s="111"/>
      <c r="DM244" s="111"/>
    </row>
    <row r="245" spans="109:117" x14ac:dyDescent="0.3">
      <c r="DE245" s="111"/>
      <c r="DF245" s="111"/>
      <c r="DG245" s="111"/>
      <c r="DH245" s="111"/>
      <c r="DI245" s="111"/>
      <c r="DJ245" s="111"/>
      <c r="DK245" s="111"/>
      <c r="DL245" s="111"/>
      <c r="DM245" s="111"/>
    </row>
    <row r="246" spans="109:117" x14ac:dyDescent="0.3">
      <c r="DE246" s="111"/>
      <c r="DF246" s="111"/>
      <c r="DG246" s="111"/>
      <c r="DH246" s="111"/>
      <c r="DI246" s="111"/>
      <c r="DJ246" s="111"/>
      <c r="DK246" s="111"/>
      <c r="DL246" s="111"/>
      <c r="DM246" s="111"/>
    </row>
    <row r="247" spans="109:117" x14ac:dyDescent="0.3">
      <c r="DE247" s="111"/>
      <c r="DF247" s="111"/>
      <c r="DG247" s="111"/>
      <c r="DH247" s="111"/>
      <c r="DI247" s="111"/>
      <c r="DJ247" s="111"/>
      <c r="DK247" s="111"/>
      <c r="DL247" s="111"/>
      <c r="DM247" s="111"/>
    </row>
    <row r="248" spans="109:117" x14ac:dyDescent="0.3">
      <c r="DE248" s="111"/>
      <c r="DF248" s="111"/>
      <c r="DG248" s="111"/>
      <c r="DH248" s="111"/>
      <c r="DI248" s="111"/>
      <c r="DJ248" s="111"/>
      <c r="DK248" s="111"/>
      <c r="DL248" s="111"/>
      <c r="DM248" s="111"/>
    </row>
    <row r="249" spans="109:117" x14ac:dyDescent="0.3">
      <c r="DE249" s="111"/>
      <c r="DF249" s="111"/>
      <c r="DG249" s="111"/>
      <c r="DH249" s="111"/>
      <c r="DI249" s="111"/>
      <c r="DJ249" s="111"/>
      <c r="DK249" s="111"/>
      <c r="DL249" s="111"/>
      <c r="DM249" s="111"/>
    </row>
    <row r="250" spans="109:117" x14ac:dyDescent="0.3">
      <c r="DE250" s="111"/>
      <c r="DF250" s="111"/>
      <c r="DG250" s="111"/>
      <c r="DH250" s="111"/>
      <c r="DI250" s="111"/>
      <c r="DJ250" s="111"/>
      <c r="DK250" s="111"/>
      <c r="DL250" s="111"/>
      <c r="DM250" s="111"/>
    </row>
    <row r="251" spans="109:117" x14ac:dyDescent="0.3">
      <c r="DE251" s="111"/>
      <c r="DF251" s="111"/>
      <c r="DG251" s="111"/>
      <c r="DH251" s="111"/>
      <c r="DI251" s="111"/>
      <c r="DJ251" s="111"/>
      <c r="DK251" s="111"/>
      <c r="DL251" s="111"/>
      <c r="DM251" s="111"/>
    </row>
    <row r="252" spans="109:117" x14ac:dyDescent="0.3">
      <c r="DE252" s="111"/>
      <c r="DF252" s="111"/>
      <c r="DG252" s="111"/>
      <c r="DH252" s="111"/>
      <c r="DI252" s="111"/>
      <c r="DJ252" s="111"/>
      <c r="DK252" s="111"/>
      <c r="DL252" s="111"/>
      <c r="DM252" s="111"/>
    </row>
    <row r="253" spans="109:117" x14ac:dyDescent="0.3">
      <c r="DE253" s="111"/>
      <c r="DF253" s="111"/>
      <c r="DG253" s="111"/>
      <c r="DH253" s="111"/>
      <c r="DI253" s="111"/>
      <c r="DJ253" s="111"/>
      <c r="DK253" s="111"/>
      <c r="DL253" s="111"/>
      <c r="DM253" s="111"/>
    </row>
    <row r="254" spans="109:117" x14ac:dyDescent="0.3">
      <c r="DE254" s="111"/>
      <c r="DF254" s="111"/>
      <c r="DG254" s="111"/>
      <c r="DH254" s="111"/>
      <c r="DI254" s="111"/>
      <c r="DJ254" s="111"/>
      <c r="DK254" s="111"/>
      <c r="DL254" s="111"/>
      <c r="DM254" s="111"/>
    </row>
    <row r="255" spans="109:117" x14ac:dyDescent="0.3">
      <c r="DE255" s="111"/>
      <c r="DF255" s="111"/>
      <c r="DG255" s="111"/>
      <c r="DH255" s="111"/>
      <c r="DI255" s="111"/>
      <c r="DJ255" s="111"/>
      <c r="DK255" s="111"/>
      <c r="DL255" s="111"/>
      <c r="DM255" s="111"/>
    </row>
    <row r="256" spans="109:117" x14ac:dyDescent="0.3">
      <c r="DE256" s="111"/>
      <c r="DF256" s="111"/>
      <c r="DG256" s="111"/>
      <c r="DH256" s="111"/>
      <c r="DI256" s="111"/>
      <c r="DJ256" s="111"/>
      <c r="DK256" s="111"/>
      <c r="DL256" s="111"/>
      <c r="DM256" s="111"/>
    </row>
    <row r="257" spans="109:117" x14ac:dyDescent="0.3">
      <c r="DE257" s="111"/>
      <c r="DF257" s="111"/>
      <c r="DG257" s="111"/>
      <c r="DH257" s="111"/>
      <c r="DI257" s="111"/>
      <c r="DJ257" s="111"/>
      <c r="DK257" s="111"/>
      <c r="DL257" s="111"/>
      <c r="DM257" s="111"/>
    </row>
    <row r="258" spans="109:117" x14ac:dyDescent="0.3">
      <c r="DE258" s="111"/>
      <c r="DF258" s="111"/>
      <c r="DG258" s="111"/>
      <c r="DH258" s="111"/>
      <c r="DI258" s="111"/>
      <c r="DJ258" s="111"/>
      <c r="DK258" s="111"/>
      <c r="DL258" s="111"/>
      <c r="DM258" s="111"/>
    </row>
    <row r="259" spans="109:117" x14ac:dyDescent="0.3">
      <c r="DE259" s="111"/>
      <c r="DF259" s="111"/>
      <c r="DG259" s="111"/>
      <c r="DH259" s="111"/>
      <c r="DI259" s="111"/>
      <c r="DJ259" s="111"/>
      <c r="DK259" s="111"/>
      <c r="DL259" s="111"/>
      <c r="DM259" s="111"/>
    </row>
    <row r="260" spans="109:117" x14ac:dyDescent="0.3">
      <c r="DE260" s="111"/>
      <c r="DF260" s="111"/>
      <c r="DG260" s="111"/>
      <c r="DH260" s="111"/>
      <c r="DI260" s="111"/>
      <c r="DJ260" s="111"/>
      <c r="DK260" s="111"/>
      <c r="DL260" s="111"/>
      <c r="DM260" s="111"/>
    </row>
    <row r="261" spans="109:117" x14ac:dyDescent="0.3">
      <c r="DE261" s="111"/>
      <c r="DF261" s="111"/>
      <c r="DG261" s="111"/>
      <c r="DH261" s="111"/>
      <c r="DI261" s="111"/>
      <c r="DJ261" s="111"/>
      <c r="DK261" s="111"/>
      <c r="DL261" s="111"/>
      <c r="DM261" s="111"/>
    </row>
    <row r="262" spans="109:117" x14ac:dyDescent="0.3">
      <c r="DE262" s="111"/>
      <c r="DF262" s="111"/>
      <c r="DG262" s="111"/>
      <c r="DH262" s="111"/>
      <c r="DI262" s="111"/>
      <c r="DJ262" s="111"/>
      <c r="DK262" s="111"/>
      <c r="DL262" s="111"/>
      <c r="DM262" s="111"/>
    </row>
    <row r="263" spans="109:117" x14ac:dyDescent="0.3">
      <c r="DE263" s="111"/>
      <c r="DF263" s="111"/>
      <c r="DG263" s="111"/>
      <c r="DH263" s="111"/>
      <c r="DI263" s="111"/>
      <c r="DJ263" s="111"/>
      <c r="DK263" s="111"/>
      <c r="DL263" s="111"/>
      <c r="DM263" s="111"/>
    </row>
    <row r="264" spans="109:117" x14ac:dyDescent="0.3">
      <c r="DE264" s="111"/>
      <c r="DF264" s="111"/>
      <c r="DG264" s="111"/>
      <c r="DH264" s="111"/>
      <c r="DI264" s="111"/>
      <c r="DJ264" s="111"/>
      <c r="DK264" s="111"/>
      <c r="DL264" s="111"/>
      <c r="DM264" s="111"/>
    </row>
    <row r="265" spans="109:117" x14ac:dyDescent="0.3">
      <c r="DE265" s="111"/>
      <c r="DF265" s="111"/>
      <c r="DG265" s="111"/>
      <c r="DH265" s="111"/>
      <c r="DI265" s="111"/>
      <c r="DJ265" s="111"/>
      <c r="DK265" s="111"/>
      <c r="DL265" s="111"/>
      <c r="DM265" s="111"/>
    </row>
    <row r="266" spans="109:117" x14ac:dyDescent="0.3">
      <c r="DE266" s="111"/>
      <c r="DF266" s="111"/>
      <c r="DG266" s="111"/>
      <c r="DH266" s="111"/>
      <c r="DI266" s="111"/>
      <c r="DJ266" s="111"/>
      <c r="DK266" s="111"/>
      <c r="DL266" s="111"/>
      <c r="DM266" s="111"/>
    </row>
    <row r="267" spans="109:117" x14ac:dyDescent="0.3">
      <c r="DE267" s="111"/>
      <c r="DF267" s="111"/>
      <c r="DG267" s="111"/>
      <c r="DH267" s="111"/>
      <c r="DI267" s="111"/>
      <c r="DJ267" s="111"/>
      <c r="DK267" s="111"/>
      <c r="DL267" s="111"/>
      <c r="DM267" s="111"/>
    </row>
    <row r="268" spans="109:117" x14ac:dyDescent="0.3">
      <c r="DE268" s="111"/>
      <c r="DF268" s="111"/>
      <c r="DG268" s="111"/>
      <c r="DH268" s="111"/>
      <c r="DI268" s="111"/>
      <c r="DJ268" s="111"/>
      <c r="DK268" s="111"/>
      <c r="DL268" s="111"/>
      <c r="DM268" s="111"/>
    </row>
    <row r="269" spans="109:117" x14ac:dyDescent="0.3">
      <c r="DE269" s="111"/>
      <c r="DF269" s="111"/>
      <c r="DG269" s="111"/>
      <c r="DH269" s="111"/>
      <c r="DI269" s="111"/>
      <c r="DJ269" s="111"/>
      <c r="DK269" s="111"/>
      <c r="DL269" s="111"/>
      <c r="DM269" s="111"/>
    </row>
    <row r="270" spans="109:117" x14ac:dyDescent="0.3">
      <c r="DE270" s="111"/>
      <c r="DF270" s="111"/>
      <c r="DG270" s="111"/>
      <c r="DH270" s="111"/>
      <c r="DI270" s="111"/>
      <c r="DJ270" s="111"/>
      <c r="DK270" s="111"/>
      <c r="DL270" s="111"/>
      <c r="DM270" s="111"/>
    </row>
    <row r="271" spans="109:117" x14ac:dyDescent="0.3">
      <c r="DE271" s="111"/>
      <c r="DF271" s="111"/>
      <c r="DG271" s="111"/>
      <c r="DH271" s="111"/>
      <c r="DI271" s="111"/>
      <c r="DJ271" s="111"/>
      <c r="DK271" s="111"/>
      <c r="DL271" s="111"/>
      <c r="DM271" s="111"/>
    </row>
    <row r="272" spans="109:117" x14ac:dyDescent="0.3">
      <c r="DE272" s="111"/>
      <c r="DF272" s="111"/>
      <c r="DG272" s="111"/>
      <c r="DH272" s="111"/>
      <c r="DI272" s="111"/>
      <c r="DJ272" s="111"/>
      <c r="DK272" s="111"/>
      <c r="DL272" s="111"/>
      <c r="DM272" s="111"/>
    </row>
    <row r="273" spans="109:117" x14ac:dyDescent="0.3">
      <c r="DE273" s="111"/>
      <c r="DF273" s="111"/>
      <c r="DG273" s="111"/>
      <c r="DH273" s="111"/>
      <c r="DI273" s="111"/>
      <c r="DJ273" s="111"/>
      <c r="DK273" s="111"/>
      <c r="DL273" s="111"/>
      <c r="DM273" s="111"/>
    </row>
    <row r="274" spans="109:117" x14ac:dyDescent="0.3">
      <c r="DE274" s="111"/>
      <c r="DF274" s="111"/>
      <c r="DG274" s="111"/>
      <c r="DH274" s="111"/>
      <c r="DI274" s="111"/>
      <c r="DJ274" s="111"/>
      <c r="DK274" s="111"/>
      <c r="DL274" s="111"/>
      <c r="DM274" s="111"/>
    </row>
    <row r="275" spans="109:117" x14ac:dyDescent="0.3">
      <c r="DE275" s="111"/>
      <c r="DF275" s="111"/>
      <c r="DG275" s="111"/>
      <c r="DH275" s="111"/>
      <c r="DI275" s="111"/>
      <c r="DJ275" s="111"/>
      <c r="DK275" s="111"/>
      <c r="DL275" s="111"/>
      <c r="DM275" s="111"/>
    </row>
    <row r="276" spans="109:117" x14ac:dyDescent="0.3">
      <c r="DE276" s="111"/>
      <c r="DF276" s="111"/>
      <c r="DG276" s="111"/>
      <c r="DH276" s="111"/>
      <c r="DI276" s="111"/>
      <c r="DJ276" s="111"/>
      <c r="DK276" s="111"/>
      <c r="DL276" s="111"/>
      <c r="DM276" s="111"/>
    </row>
    <row r="277" spans="109:117" x14ac:dyDescent="0.3">
      <c r="DE277" s="111"/>
      <c r="DF277" s="111"/>
      <c r="DG277" s="111"/>
      <c r="DH277" s="111"/>
      <c r="DI277" s="111"/>
      <c r="DJ277" s="111"/>
      <c r="DK277" s="111"/>
      <c r="DL277" s="111"/>
      <c r="DM277" s="111"/>
    </row>
    <row r="278" spans="109:117" x14ac:dyDescent="0.3">
      <c r="DE278" s="111"/>
      <c r="DF278" s="111"/>
      <c r="DG278" s="111"/>
      <c r="DH278" s="111"/>
      <c r="DI278" s="111"/>
      <c r="DJ278" s="111"/>
      <c r="DK278" s="111"/>
      <c r="DL278" s="111"/>
      <c r="DM278" s="111"/>
    </row>
    <row r="279" spans="109:117" x14ac:dyDescent="0.3">
      <c r="DE279" s="111"/>
      <c r="DF279" s="111"/>
      <c r="DG279" s="111"/>
      <c r="DH279" s="111"/>
      <c r="DI279" s="111"/>
      <c r="DJ279" s="111"/>
      <c r="DK279" s="111"/>
      <c r="DL279" s="111"/>
      <c r="DM279" s="111"/>
    </row>
    <row r="280" spans="109:117" x14ac:dyDescent="0.3">
      <c r="DE280" s="111"/>
      <c r="DF280" s="111"/>
      <c r="DG280" s="111"/>
      <c r="DH280" s="111"/>
      <c r="DI280" s="111"/>
      <c r="DJ280" s="111"/>
      <c r="DK280" s="111"/>
      <c r="DL280" s="111"/>
      <c r="DM280" s="111"/>
    </row>
    <row r="281" spans="109:117" x14ac:dyDescent="0.3">
      <c r="DE281" s="111"/>
      <c r="DF281" s="111"/>
      <c r="DG281" s="111"/>
      <c r="DH281" s="111"/>
      <c r="DI281" s="111"/>
      <c r="DJ281" s="111"/>
      <c r="DK281" s="111"/>
      <c r="DL281" s="111"/>
      <c r="DM281" s="111"/>
    </row>
    <row r="282" spans="109:117" x14ac:dyDescent="0.3">
      <c r="DE282" s="111"/>
      <c r="DF282" s="111"/>
      <c r="DG282" s="111"/>
      <c r="DH282" s="111"/>
      <c r="DI282" s="111"/>
      <c r="DJ282" s="111"/>
      <c r="DK282" s="111"/>
      <c r="DL282" s="111"/>
      <c r="DM282" s="111"/>
    </row>
    <row r="283" spans="109:117" x14ac:dyDescent="0.3">
      <c r="DE283" s="111"/>
      <c r="DF283" s="111"/>
      <c r="DG283" s="111"/>
      <c r="DH283" s="111"/>
      <c r="DI283" s="111"/>
      <c r="DJ283" s="111"/>
      <c r="DK283" s="111"/>
      <c r="DL283" s="111"/>
      <c r="DM283" s="111"/>
    </row>
    <row r="284" spans="109:117" x14ac:dyDescent="0.3">
      <c r="DE284" s="111"/>
      <c r="DF284" s="111"/>
      <c r="DG284" s="111"/>
      <c r="DH284" s="111"/>
      <c r="DI284" s="111"/>
      <c r="DJ284" s="111"/>
      <c r="DK284" s="111"/>
      <c r="DL284" s="111"/>
      <c r="DM284" s="111"/>
    </row>
    <row r="285" spans="109:117" x14ac:dyDescent="0.3">
      <c r="DE285" s="111"/>
      <c r="DF285" s="111"/>
      <c r="DG285" s="111"/>
      <c r="DH285" s="111"/>
      <c r="DI285" s="111"/>
      <c r="DJ285" s="111"/>
      <c r="DK285" s="111"/>
      <c r="DL285" s="111"/>
      <c r="DM285" s="111"/>
    </row>
    <row r="286" spans="109:117" x14ac:dyDescent="0.3">
      <c r="DE286" s="111"/>
      <c r="DF286" s="111"/>
      <c r="DG286" s="111"/>
      <c r="DH286" s="111"/>
      <c r="DI286" s="111"/>
      <c r="DJ286" s="111"/>
      <c r="DK286" s="111"/>
      <c r="DL286" s="111"/>
      <c r="DM286" s="111"/>
    </row>
    <row r="287" spans="109:117" x14ac:dyDescent="0.3">
      <c r="DE287" s="111"/>
      <c r="DF287" s="111"/>
      <c r="DG287" s="111"/>
      <c r="DH287" s="111"/>
      <c r="DI287" s="111"/>
      <c r="DJ287" s="111"/>
      <c r="DK287" s="111"/>
      <c r="DL287" s="111"/>
      <c r="DM287" s="111"/>
    </row>
    <row r="288" spans="109:117" x14ac:dyDescent="0.3">
      <c r="DE288" s="111"/>
      <c r="DF288" s="111"/>
      <c r="DG288" s="111"/>
      <c r="DH288" s="111"/>
      <c r="DI288" s="111"/>
      <c r="DJ288" s="111"/>
      <c r="DK288" s="111"/>
      <c r="DL288" s="111"/>
      <c r="DM288" s="111"/>
    </row>
    <row r="289" spans="109:117" x14ac:dyDescent="0.3">
      <c r="DE289" s="111"/>
      <c r="DF289" s="111"/>
      <c r="DG289" s="111"/>
      <c r="DH289" s="111"/>
      <c r="DI289" s="111"/>
      <c r="DJ289" s="111"/>
      <c r="DK289" s="111"/>
      <c r="DL289" s="111"/>
      <c r="DM289" s="111"/>
    </row>
    <row r="290" spans="109:117" x14ac:dyDescent="0.3">
      <c r="DE290" s="111"/>
      <c r="DF290" s="111"/>
      <c r="DG290" s="111"/>
      <c r="DH290" s="111"/>
      <c r="DI290" s="111"/>
      <c r="DJ290" s="111"/>
      <c r="DK290" s="111"/>
      <c r="DL290" s="111"/>
      <c r="DM290" s="111"/>
    </row>
    <row r="291" spans="109:117" x14ac:dyDescent="0.3">
      <c r="DE291" s="111"/>
      <c r="DF291" s="111"/>
      <c r="DG291" s="111"/>
      <c r="DH291" s="111"/>
      <c r="DI291" s="111"/>
      <c r="DJ291" s="111"/>
      <c r="DK291" s="111"/>
      <c r="DL291" s="111"/>
      <c r="DM291" s="111"/>
    </row>
    <row r="292" spans="109:117" x14ac:dyDescent="0.3">
      <c r="DE292" s="111"/>
      <c r="DF292" s="111"/>
      <c r="DG292" s="111"/>
      <c r="DH292" s="111"/>
      <c r="DI292" s="111"/>
      <c r="DJ292" s="111"/>
      <c r="DK292" s="111"/>
      <c r="DL292" s="111"/>
      <c r="DM292" s="111"/>
    </row>
    <row r="293" spans="109:117" x14ac:dyDescent="0.3">
      <c r="DE293" s="111"/>
      <c r="DF293" s="111"/>
      <c r="DG293" s="111"/>
      <c r="DH293" s="111"/>
      <c r="DI293" s="111"/>
      <c r="DJ293" s="111"/>
      <c r="DK293" s="111"/>
      <c r="DL293" s="111"/>
      <c r="DM293" s="111"/>
    </row>
    <row r="294" spans="109:117" x14ac:dyDescent="0.3">
      <c r="DE294" s="111"/>
      <c r="DF294" s="111"/>
      <c r="DG294" s="111"/>
      <c r="DH294" s="111"/>
      <c r="DI294" s="111"/>
      <c r="DJ294" s="111"/>
      <c r="DK294" s="111"/>
      <c r="DL294" s="111"/>
      <c r="DM294" s="111"/>
    </row>
    <row r="295" spans="109:117" x14ac:dyDescent="0.3">
      <c r="DE295" s="111"/>
      <c r="DF295" s="111"/>
      <c r="DG295" s="111"/>
      <c r="DH295" s="111"/>
      <c r="DI295" s="111"/>
      <c r="DJ295" s="111"/>
      <c r="DK295" s="111"/>
      <c r="DL295" s="111"/>
      <c r="DM295" s="111"/>
    </row>
    <row r="296" spans="109:117" x14ac:dyDescent="0.3">
      <c r="DE296" s="111"/>
      <c r="DF296" s="111"/>
      <c r="DG296" s="111"/>
      <c r="DH296" s="111"/>
      <c r="DI296" s="111"/>
      <c r="DJ296" s="111"/>
      <c r="DK296" s="111"/>
      <c r="DL296" s="111"/>
      <c r="DM296" s="111"/>
    </row>
    <row r="297" spans="109:117" x14ac:dyDescent="0.3">
      <c r="DE297" s="111"/>
      <c r="DF297" s="111"/>
      <c r="DG297" s="111"/>
      <c r="DH297" s="111"/>
      <c r="DI297" s="111"/>
      <c r="DJ297" s="111"/>
      <c r="DK297" s="111"/>
      <c r="DL297" s="111"/>
      <c r="DM297" s="111"/>
    </row>
    <row r="298" spans="109:117" x14ac:dyDescent="0.3">
      <c r="DE298" s="111"/>
      <c r="DF298" s="111"/>
      <c r="DG298" s="111"/>
      <c r="DH298" s="111"/>
      <c r="DI298" s="111"/>
      <c r="DJ298" s="111"/>
      <c r="DK298" s="111"/>
      <c r="DL298" s="111"/>
      <c r="DM298" s="111"/>
    </row>
    <row r="299" spans="109:117" x14ac:dyDescent="0.3">
      <c r="DE299" s="111"/>
      <c r="DF299" s="111"/>
      <c r="DG299" s="111"/>
      <c r="DH299" s="111"/>
      <c r="DI299" s="111"/>
      <c r="DJ299" s="111"/>
      <c r="DK299" s="111"/>
      <c r="DL299" s="111"/>
      <c r="DM299" s="111"/>
    </row>
    <row r="300" spans="109:117" x14ac:dyDescent="0.3">
      <c r="DE300" s="111"/>
      <c r="DF300" s="111"/>
      <c r="DG300" s="111"/>
      <c r="DH300" s="111"/>
      <c r="DI300" s="111"/>
      <c r="DJ300" s="111"/>
      <c r="DK300" s="111"/>
      <c r="DL300" s="111"/>
      <c r="DM300" s="111"/>
    </row>
    <row r="301" spans="109:117" x14ac:dyDescent="0.3">
      <c r="DE301" s="111"/>
      <c r="DF301" s="111"/>
      <c r="DG301" s="111"/>
      <c r="DH301" s="111"/>
      <c r="DI301" s="111"/>
      <c r="DJ301" s="111"/>
      <c r="DK301" s="111"/>
      <c r="DL301" s="111"/>
      <c r="DM301" s="111"/>
    </row>
    <row r="302" spans="109:117" x14ac:dyDescent="0.3">
      <c r="DE302" s="111"/>
      <c r="DF302" s="111"/>
      <c r="DG302" s="111"/>
      <c r="DH302" s="111"/>
      <c r="DI302" s="111"/>
      <c r="DJ302" s="111"/>
      <c r="DK302" s="111"/>
      <c r="DL302" s="111"/>
      <c r="DM302" s="111"/>
    </row>
    <row r="303" spans="109:117" x14ac:dyDescent="0.3">
      <c r="DE303" s="111"/>
      <c r="DF303" s="111"/>
      <c r="DG303" s="111"/>
      <c r="DH303" s="111"/>
      <c r="DI303" s="111"/>
      <c r="DJ303" s="111"/>
      <c r="DK303" s="111"/>
      <c r="DL303" s="111"/>
      <c r="DM303" s="111"/>
    </row>
    <row r="304" spans="109:117" x14ac:dyDescent="0.3">
      <c r="DE304" s="111"/>
      <c r="DF304" s="111"/>
      <c r="DG304" s="111"/>
      <c r="DH304" s="111"/>
      <c r="DI304" s="111"/>
      <c r="DJ304" s="111"/>
      <c r="DK304" s="111"/>
      <c r="DL304" s="111"/>
      <c r="DM304" s="111"/>
    </row>
    <row r="305" spans="109:117" x14ac:dyDescent="0.3">
      <c r="DE305" s="111"/>
      <c r="DF305" s="111"/>
      <c r="DG305" s="111"/>
      <c r="DH305" s="111"/>
      <c r="DI305" s="111"/>
      <c r="DJ305" s="111"/>
      <c r="DK305" s="111"/>
      <c r="DL305" s="111"/>
      <c r="DM305" s="111"/>
    </row>
    <row r="306" spans="109:117" x14ac:dyDescent="0.3">
      <c r="DE306" s="111"/>
      <c r="DF306" s="111"/>
      <c r="DG306" s="111"/>
      <c r="DH306" s="111"/>
      <c r="DI306" s="111"/>
      <c r="DJ306" s="111"/>
      <c r="DK306" s="111"/>
      <c r="DL306" s="111"/>
      <c r="DM306" s="111"/>
    </row>
    <row r="307" spans="109:117" x14ac:dyDescent="0.3">
      <c r="DE307" s="111"/>
      <c r="DF307" s="111"/>
      <c r="DG307" s="111"/>
      <c r="DH307" s="111"/>
      <c r="DI307" s="111"/>
      <c r="DJ307" s="111"/>
      <c r="DK307" s="111"/>
      <c r="DL307" s="111"/>
      <c r="DM307" s="111"/>
    </row>
    <row r="308" spans="109:117" x14ac:dyDescent="0.3">
      <c r="DE308" s="111"/>
      <c r="DF308" s="111"/>
      <c r="DG308" s="111"/>
      <c r="DH308" s="111"/>
      <c r="DI308" s="111"/>
      <c r="DJ308" s="111"/>
      <c r="DK308" s="111"/>
      <c r="DL308" s="111"/>
      <c r="DM308" s="111"/>
    </row>
    <row r="309" spans="109:117" x14ac:dyDescent="0.3">
      <c r="DE309" s="111"/>
      <c r="DF309" s="111"/>
      <c r="DG309" s="111"/>
      <c r="DH309" s="111"/>
      <c r="DI309" s="111"/>
      <c r="DJ309" s="111"/>
      <c r="DK309" s="111"/>
      <c r="DL309" s="111"/>
      <c r="DM309" s="111"/>
    </row>
    <row r="310" spans="109:117" x14ac:dyDescent="0.3">
      <c r="DE310" s="111"/>
      <c r="DF310" s="111"/>
      <c r="DG310" s="111"/>
      <c r="DH310" s="111"/>
      <c r="DI310" s="111"/>
      <c r="DJ310" s="111"/>
      <c r="DK310" s="111"/>
      <c r="DL310" s="111"/>
      <c r="DM310" s="111"/>
    </row>
    <row r="311" spans="109:117" x14ac:dyDescent="0.3">
      <c r="DE311" s="111"/>
      <c r="DF311" s="111"/>
      <c r="DG311" s="111"/>
      <c r="DH311" s="111"/>
      <c r="DI311" s="111"/>
      <c r="DJ311" s="111"/>
      <c r="DK311" s="111"/>
      <c r="DL311" s="111"/>
      <c r="DM311" s="111"/>
    </row>
    <row r="312" spans="109:117" x14ac:dyDescent="0.3">
      <c r="DE312" s="111"/>
      <c r="DF312" s="111"/>
      <c r="DG312" s="111"/>
      <c r="DH312" s="111"/>
      <c r="DI312" s="111"/>
      <c r="DJ312" s="111"/>
      <c r="DK312" s="111"/>
      <c r="DL312" s="111"/>
      <c r="DM312" s="111"/>
    </row>
    <row r="313" spans="109:117" x14ac:dyDescent="0.3">
      <c r="DE313" s="111"/>
      <c r="DF313" s="111"/>
      <c r="DG313" s="111"/>
      <c r="DH313" s="111"/>
      <c r="DI313" s="111"/>
      <c r="DJ313" s="111"/>
      <c r="DK313" s="111"/>
      <c r="DL313" s="111"/>
      <c r="DM313" s="111"/>
    </row>
    <row r="314" spans="109:117" x14ac:dyDescent="0.3">
      <c r="DE314" s="111"/>
      <c r="DF314" s="111"/>
      <c r="DG314" s="111"/>
      <c r="DH314" s="111"/>
      <c r="DI314" s="111"/>
      <c r="DJ314" s="111"/>
      <c r="DK314" s="111"/>
      <c r="DL314" s="111"/>
      <c r="DM314" s="111"/>
    </row>
  </sheetData>
  <protectedRanges>
    <protectedRange sqref="DE16:DM40 ED16:EL40" name="Bereich1"/>
    <protectedRange sqref="EX10:EY10 EN10:EO10 FB10:FD10 ER10:ET10" name="Bereich1_1"/>
    <protectedRange sqref="G16:H17 H95:J105 H18:H94 G18:G105" name="Eingaben2"/>
    <protectedRange sqref="K84:K105" name="Eingaben2_1"/>
    <protectedRange sqref="I69:K83 I84:J94" name="Eingaben2_2"/>
    <protectedRange sqref="K61 I61 I16:K60" name="Eingaben2_4"/>
    <protectedRange sqref="I62:I68 K62:K68 J61:J67" name="Eingaben2_1_2"/>
  </protectedRanges>
  <dataConsolidate/>
  <phoneticPr fontId="10" type="noConversion"/>
  <conditionalFormatting sqref="F2008">
    <cfRule type="expression" dxfId="13" priority="13">
      <formula>F2007&lt;&gt;_xludf.INDIRECT("B" &amp; _xludf.ROW() + 200)</formula>
    </cfRule>
  </conditionalFormatting>
  <conditionalFormatting sqref="M135:N135 N129:N134 P112:P135 AZ47:BE134 CT106:CY193 EN85:ET172 L136:P159 F133:K218">
    <cfRule type="expression" dxfId="12" priority="15">
      <formula>#REF!&lt;&gt;_xludf.INDIRECT(_xludf.ADDRESS(_xludf.ROW()-200,_xludf.COLUMN()))</formula>
    </cfRule>
  </conditionalFormatting>
  <conditionalFormatting sqref="L174">
    <cfRule type="expression" dxfId="11" priority="17">
      <formula>#REF!&lt;&gt;_xludf.INDIRECT(_xludf.ADDRESS(_xludf.ROW()-200,_xludf.COLUMN()))</formula>
    </cfRule>
  </conditionalFormatting>
  <conditionalFormatting sqref="H220">
    <cfRule type="expression" dxfId="10" priority="20">
      <formula>#REF!&lt;&gt;_xludf.INDIRECT(_xludf.ADDRESS(_xludf.ROW()-200,_xludf.COLUMN()))</formula>
    </cfRule>
  </conditionalFormatting>
  <conditionalFormatting sqref="F219:F223 L160:L164">
    <cfRule type="expression" dxfId="9" priority="38">
      <formula>#REF!&lt;&gt;_xludf.INDIRECT(_xludf.ADDRESS(_xludf.ROW()-200,_xludf.COLUMN()))</formula>
    </cfRule>
  </conditionalFormatting>
  <conditionalFormatting sqref="BH129:BH134 BJ112:BJ134">
    <cfRule type="expression" dxfId="8" priority="3">
      <formula>#REF!&lt;&gt;_xludf.INDIRECT(_xludf.ADDRESS(_xludf.ROW()-200,_xludf.COLUMN()))</formula>
    </cfRule>
  </conditionalFormatting>
  <conditionalFormatting sqref="DB131:DB134 DD112:DD134">
    <cfRule type="expression" dxfId="7" priority="2">
      <formula>#REF!&lt;&gt;_xludf.INDIRECT(_xludf.ADDRESS(_xludf.ROW()-200,_xludf.COLUMN()))</formula>
    </cfRule>
  </conditionalFormatting>
  <conditionalFormatting sqref="EU132:EV135">
    <cfRule type="expression" dxfId="6" priority="1">
      <formula>#REF!&lt;&gt;_xludf.INDIRECT(_xludf.ADDRESS(_xludf.ROW()-200,_xludf.COLUMN()))</formula>
    </cfRule>
  </conditionalFormatting>
  <conditionalFormatting sqref="L175:L182 L165:L173 M165:P182">
    <cfRule type="expression" dxfId="5" priority="44">
      <formula>L20&lt;&gt;_xludf.INDIRECT(_xludf.ADDRESS(_xludf.ROW()-200,_xludf.COLUMN()))</formula>
    </cfRule>
  </conditionalFormatting>
  <conditionalFormatting sqref="K234">
    <cfRule type="expression" dxfId="4" priority="50">
      <formula>L29&lt;&gt;_xludf.INDIRECT(_xludf.ADDRESS(_xludf.ROW()-200,_xludf.COLUMN()))</formula>
    </cfRule>
  </conditionalFormatting>
  <conditionalFormatting sqref="M160:P164">
    <cfRule type="expression" dxfId="3" priority="51">
      <formula>L15&lt;&gt;_xludf.INDIRECT(_xludf.ADDRESS(_xludf.ROW()-200,_xludf.COLUMN()))</formula>
    </cfRule>
  </conditionalFormatting>
  <conditionalFormatting sqref="I220">
    <cfRule type="expression" dxfId="2" priority="56">
      <formula>G16&lt;&gt;_xludf.INDIRECT(_xludf.ADDRESS(_xludf.ROW()-200,_xludf.COLUMN()))</formula>
    </cfRule>
  </conditionalFormatting>
  <conditionalFormatting sqref="K224:K233 F224:J241 K235:K241">
    <cfRule type="expression" dxfId="1" priority="59">
      <formula>F20&lt;&gt;_xludf.INDIRECT(_xludf.ADDRESS(_xludf.ROW()-200,_xludf.COLUMN()))</formula>
    </cfRule>
  </conditionalFormatting>
  <conditionalFormatting sqref="G220:G223 H221:I223 G219:K219 J220:K223">
    <cfRule type="expression" dxfId="0" priority="62">
      <formula>F15&lt;&gt;_xludf.INDIRECT(_xludf.ADDRESS(_xludf.ROW()-200,_xludf.COLUMN()))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2</xdr:col>
                    <xdr:colOff>1097280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5</xdr:col>
                    <xdr:colOff>38100</xdr:colOff>
                    <xdr:row>4</xdr:row>
                    <xdr:rowOff>228600</xdr:rowOff>
                  </from>
                  <to>
                    <xdr:col>144</xdr:col>
                    <xdr:colOff>1150620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5</xdr:col>
                    <xdr:colOff>30480</xdr:colOff>
                    <xdr:row>3</xdr:row>
                    <xdr:rowOff>30480</xdr:rowOff>
                  </from>
                  <to>
                    <xdr:col>5</xdr:col>
                    <xdr:colOff>1074420</xdr:colOff>
                    <xdr:row>3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16</xdr:col>
                    <xdr:colOff>38100</xdr:colOff>
                    <xdr:row>8</xdr:row>
                    <xdr:rowOff>22860</xdr:rowOff>
                  </from>
                  <to>
                    <xdr:col>18</xdr:col>
                    <xdr:colOff>1341120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13</xdr:col>
                    <xdr:colOff>365760</xdr:colOff>
                    <xdr:row>7</xdr:row>
                    <xdr:rowOff>175260</xdr:rowOff>
                  </from>
                  <to>
                    <xdr:col>15</xdr:col>
                    <xdr:colOff>822960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182880</xdr:colOff>
                    <xdr:row>15</xdr:row>
                    <xdr:rowOff>99060</xdr:rowOff>
                  </from>
                  <to>
                    <xdr:col>2</xdr:col>
                    <xdr:colOff>1150620</xdr:colOff>
                    <xdr:row>18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0" name="Button 22">
              <controlPr defaultSize="0" print="0" autoFill="0" autoPict="0" macro="[0]!load_TP_DB">
                <anchor moveWithCells="1" sizeWithCells="1">
                  <from>
                    <xdr:col>51</xdr:col>
                    <xdr:colOff>30480</xdr:colOff>
                    <xdr:row>3</xdr:row>
                    <xdr:rowOff>30480</xdr:rowOff>
                  </from>
                  <to>
                    <xdr:col>51</xdr:col>
                    <xdr:colOff>800100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Button 23">
              <controlPr defaultSize="0" print="0" autoFill="0" autoPict="0" macro="[0]!save_TP_Data">
                <anchor moveWithCells="1" sizeWithCells="1">
                  <from>
                    <xdr:col>62</xdr:col>
                    <xdr:colOff>792480</xdr:colOff>
                    <xdr:row>8</xdr:row>
                    <xdr:rowOff>30480</xdr:rowOff>
                  </from>
                  <to>
                    <xdr:col>63</xdr:col>
                    <xdr:colOff>662940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2" name="Button 24">
              <controlPr defaultSize="0" print="0" autoFill="0" autoPict="0" macro="[0]!delete_TP_Data">
                <anchor moveWithCells="1" sizeWithCells="1">
                  <from>
                    <xdr:col>60</xdr:col>
                    <xdr:colOff>274320</xdr:colOff>
                    <xdr:row>8</xdr:row>
                    <xdr:rowOff>45720</xdr:rowOff>
                  </from>
                  <to>
                    <xdr:col>62</xdr:col>
                    <xdr:colOff>762000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3" name="Dropdown_TOWER_Structures">
              <controlPr defaultSize="0" autoLine="0" autoPict="0" macro="[0]!load_TOWER_Data">
                <anchor moveWithCells="1">
                  <from>
                    <xdr:col>33</xdr:col>
                    <xdr:colOff>0</xdr:colOff>
                    <xdr:row>4</xdr:row>
                    <xdr:rowOff>160020</xdr:rowOff>
                  </from>
                  <to>
                    <xdr:col>144</xdr:col>
                    <xdr:colOff>1135380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4" name="Button 27">
              <controlPr defaultSize="0" print="0" autoFill="0" autoPict="0" macro="[0]!load_TOWER_DB">
                <anchor moveWithCells="1" sizeWithCells="1">
                  <from>
                    <xdr:col>97</xdr:col>
                    <xdr:colOff>38100</xdr:colOff>
                    <xdr:row>3</xdr:row>
                    <xdr:rowOff>38100</xdr:rowOff>
                  </from>
                  <to>
                    <xdr:col>97</xdr:col>
                    <xdr:colOff>792480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5" name="Button 28">
              <controlPr defaultSize="0" print="0" autoFill="0" autoPict="0" macro="[0]!save_TOWER_Data">
                <anchor moveWithCells="1" sizeWithCells="1">
                  <from>
                    <xdr:col>109</xdr:col>
                    <xdr:colOff>868680</xdr:colOff>
                    <xdr:row>8</xdr:row>
                    <xdr:rowOff>22860</xdr:rowOff>
                  </from>
                  <to>
                    <xdr:col>110</xdr:col>
                    <xdr:colOff>2171700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6" name="Button 29">
              <controlPr defaultSize="0" print="0" autoFill="0" autoPict="0" macro="[0]!delete_TOWER_Data">
                <anchor moveWithCells="1" sizeWithCells="1">
                  <from>
                    <xdr:col>107</xdr:col>
                    <xdr:colOff>335280</xdr:colOff>
                    <xdr:row>7</xdr:row>
                    <xdr:rowOff>175260</xdr:rowOff>
                  </from>
                  <to>
                    <xdr:col>109</xdr:col>
                    <xdr:colOff>807720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7" name="Button 31">
              <controlPr defaultSize="0" print="0" autoFill="0" autoPict="0" macro="[0]!reload_MP_DB">
                <anchor moveWithCells="1" sizeWithCells="1">
                  <from>
                    <xdr:col>5</xdr:col>
                    <xdr:colOff>1097280</xdr:colOff>
                    <xdr:row>3</xdr:row>
                    <xdr:rowOff>30480</xdr:rowOff>
                  </from>
                  <to>
                    <xdr:col>5</xdr:col>
                    <xdr:colOff>2552700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8" name="Button 32">
              <controlPr defaultSize="0" print="0" autoFill="0" autoPict="0" macro="[0]!reload_TP_DB">
                <anchor moveWithCells="1" sizeWithCells="1">
                  <from>
                    <xdr:col>51</xdr:col>
                    <xdr:colOff>838200</xdr:colOff>
                    <xdr:row>3</xdr:row>
                    <xdr:rowOff>22860</xdr:rowOff>
                  </from>
                  <to>
                    <xdr:col>52</xdr:col>
                    <xdr:colOff>0</xdr:colOff>
                    <xdr:row>3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9" name="Button 33">
              <controlPr defaultSize="0" print="0" autoFill="0" autoPict="0" macro="[0]!reload_TOWER_DB">
                <anchor moveWithCells="1" sizeWithCells="1">
                  <from>
                    <xdr:col>97</xdr:col>
                    <xdr:colOff>822960</xdr:colOff>
                    <xdr:row>3</xdr:row>
                    <xdr:rowOff>22860</xdr:rowOff>
                  </from>
                  <to>
                    <xdr:col>98</xdr:col>
                    <xdr:colOff>7620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0" name="Import_MP_use_TP">
              <controlPr defaultSize="0" autoFill="0" autoLine="0" autoPict="0">
                <anchor moveWithCells="1">
                  <from>
                    <xdr:col>3</xdr:col>
                    <xdr:colOff>167640</xdr:colOff>
                    <xdr:row>16</xdr:row>
                    <xdr:rowOff>53340</xdr:rowOff>
                  </from>
                  <to>
                    <xdr:col>3</xdr:col>
                    <xdr:colOff>982980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1" name="Import_MP_use_MP">
              <controlPr defaultSize="0" autoFill="0" autoLine="0" autoPict="0">
                <anchor moveWithCells="1">
                  <from>
                    <xdr:col>3</xdr:col>
                    <xdr:colOff>137160</xdr:colOff>
                    <xdr:row>15</xdr:row>
                    <xdr:rowOff>15240</xdr:rowOff>
                  </from>
                  <to>
                    <xdr:col>3</xdr:col>
                    <xdr:colOff>1036320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2" name="Button 36">
              <controlPr defaultSize="0" print="0" autoFill="0" autoPict="0" macro="[0]!move_structure_MP">
                <anchor moveWithCells="1" sizeWithCells="1">
                  <from>
                    <xdr:col>10</xdr:col>
                    <xdr:colOff>30480</xdr:colOff>
                    <xdr:row>5</xdr:row>
                    <xdr:rowOff>0</xdr:rowOff>
                  </from>
                  <to>
                    <xdr:col>11</xdr:col>
                    <xdr:colOff>708660</xdr:colOff>
                    <xdr:row>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3" name="Button 38">
              <controlPr defaultSize="0" print="0" autoFill="0" autoPict="0" macro="[0]!move_structure_TP">
                <anchor moveWithCells="1" sizeWithCells="1">
                  <from>
                    <xdr:col>58</xdr:col>
                    <xdr:colOff>60960</xdr:colOff>
                    <xdr:row>5</xdr:row>
                    <xdr:rowOff>0</xdr:rowOff>
                  </from>
                  <to>
                    <xdr:col>59</xdr:col>
                    <xdr:colOff>731520</xdr:colOff>
                    <xdr:row>5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4" name="Button 40">
              <controlPr defaultSize="0" print="0" autoFill="0" autoPict="0" macro="[0]!load_RNA_DB">
                <anchor moveWithCells="1" sizeWithCells="1">
                  <from>
                    <xdr:col>143</xdr:col>
                    <xdr:colOff>38100</xdr:colOff>
                    <xdr:row>3</xdr:row>
                    <xdr:rowOff>38100</xdr:rowOff>
                  </from>
                  <to>
                    <xdr:col>143</xdr:col>
                    <xdr:colOff>792480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5" name="Button 41">
              <controlPr defaultSize="0" print="0" autoFill="0" autoPict="0" macro="[0]!save_RNA_Data">
                <anchor moveWithCells="1" sizeWithCells="1">
                  <from>
                    <xdr:col>147</xdr:col>
                    <xdr:colOff>861060</xdr:colOff>
                    <xdr:row>4</xdr:row>
                    <xdr:rowOff>30480</xdr:rowOff>
                  </from>
                  <to>
                    <xdr:col>149</xdr:col>
                    <xdr:colOff>1592580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6" name="Button 43">
              <controlPr defaultSize="0" print="0" autoFill="0" autoPict="0" macro="[0]!reload_RNA_DB">
                <anchor moveWithCells="1" sizeWithCells="1">
                  <from>
                    <xdr:col>143</xdr:col>
                    <xdr:colOff>822960</xdr:colOff>
                    <xdr:row>3</xdr:row>
                    <xdr:rowOff>22860</xdr:rowOff>
                  </from>
                  <to>
                    <xdr:col>144</xdr:col>
                    <xdr:colOff>7620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7" name="Button 44">
              <controlPr defaultSize="0" print="0" autoFill="0" autoPict="0" macro="[0]!import_Masses_from_GConverter">
                <anchor moveWithCells="1" sizeWithCells="1">
                  <from>
                    <xdr:col>0</xdr:col>
                    <xdr:colOff>236220</xdr:colOff>
                    <xdr:row>20</xdr:row>
                    <xdr:rowOff>83820</xdr:rowOff>
                  </from>
                  <to>
                    <xdr:col>2</xdr:col>
                    <xdr:colOff>1074420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8" name="Button 48">
              <controlPr defaultSize="0" print="0" autoFill="0" autoPict="0" macro="[0]!show_MP_section">
                <anchor moveWithCells="1" sizeWithCells="1">
                  <from>
                    <xdr:col>3</xdr:col>
                    <xdr:colOff>76200</xdr:colOff>
                    <xdr:row>0</xdr:row>
                    <xdr:rowOff>106680</xdr:rowOff>
                  </from>
                  <to>
                    <xdr:col>3</xdr:col>
                    <xdr:colOff>1866900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9" name="Button 49">
              <controlPr defaultSize="0" print="0" autoFill="0" autoPict="0" macro="[0]!show_TP_section">
                <anchor moveWithCells="1" sizeWithCells="1">
                  <from>
                    <xdr:col>3</xdr:col>
                    <xdr:colOff>83820</xdr:colOff>
                    <xdr:row>4</xdr:row>
                    <xdr:rowOff>76200</xdr:rowOff>
                  </from>
                  <to>
                    <xdr:col>3</xdr:col>
                    <xdr:colOff>1851660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30" name="Button 50">
              <controlPr defaultSize="0" print="0" autoFill="0" autoPict="0" macro="[0]!show_TOWER_section">
                <anchor moveWithCells="1" sizeWithCells="1">
                  <from>
                    <xdr:col>3</xdr:col>
                    <xdr:colOff>91440</xdr:colOff>
                    <xdr:row>8</xdr:row>
                    <xdr:rowOff>22860</xdr:rowOff>
                  </from>
                  <to>
                    <xdr:col>3</xdr:col>
                    <xdr:colOff>1859280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1" name="Import_GeomConv_useMP">
              <controlPr defaultSize="0" autoFill="0" autoLine="0" autoPict="0">
                <anchor moveWithCells="1">
                  <from>
                    <xdr:col>3</xdr:col>
                    <xdr:colOff>60960</xdr:colOff>
                    <xdr:row>20</xdr:row>
                    <xdr:rowOff>38100</xdr:rowOff>
                  </from>
                  <to>
                    <xdr:col>3</xdr:col>
                    <xdr:colOff>952500</xdr:colOff>
                    <xdr:row>22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2" name="Import_GeomConv_useTP">
              <controlPr defaultSize="0" autoFill="0" autoLine="0" autoPict="0">
                <anchor moveWithCells="1">
                  <from>
                    <xdr:col>3</xdr:col>
                    <xdr:colOff>60960</xdr:colOff>
                    <xdr:row>21</xdr:row>
                    <xdr:rowOff>45720</xdr:rowOff>
                  </from>
                  <to>
                    <xdr:col>3</xdr:col>
                    <xdr:colOff>883920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3" name="Import_GeomConv_useTOWER">
              <controlPr defaultSize="0" autoFill="0" autoLine="0" autoPict="0">
                <anchor moveWithCells="1">
                  <from>
                    <xdr:col>3</xdr:col>
                    <xdr:colOff>60960</xdr:colOff>
                    <xdr:row>22</xdr:row>
                    <xdr:rowOff>76200</xdr:rowOff>
                  </from>
                  <to>
                    <xdr:col>3</xdr:col>
                    <xdr:colOff>883920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34" name="Button 51">
              <controlPr defaultSize="0" print="0" autoFill="0" autoPict="0" macro="[0]!show_RNA_section">
                <anchor moveWithCells="1" sizeWithCells="1">
                  <from>
                    <xdr:col>3</xdr:col>
                    <xdr:colOff>99060</xdr:colOff>
                    <xdr:row>10</xdr:row>
                    <xdr:rowOff>175260</xdr:rowOff>
                  </from>
                  <to>
                    <xdr:col>3</xdr:col>
                    <xdr:colOff>1866900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35" name="Dropdown_TP_Structures">
              <controlPr defaultSize="0" autoLine="0" autoPict="0" macro="[0]!load_TP_Data">
                <anchor moveWithCells="1">
                  <from>
                    <xdr:col>51</xdr:col>
                    <xdr:colOff>76200</xdr:colOff>
                    <xdr:row>4</xdr:row>
                    <xdr:rowOff>175260</xdr:rowOff>
                  </from>
                  <to>
                    <xdr:col>144</xdr:col>
                    <xdr:colOff>1181100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36" name="Dropdown_RNA_Structures">
              <controlPr defaultSize="0" autoLine="0" autoPict="0">
                <anchor moveWithCells="1">
                  <from>
                    <xdr:col>143</xdr:col>
                    <xdr:colOff>53340</xdr:colOff>
                    <xdr:row>5</xdr:row>
                    <xdr:rowOff>45720</xdr:rowOff>
                  </from>
                  <to>
                    <xdr:col>144</xdr:col>
                    <xdr:colOff>1188720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37" name="Drop Down 56">
              <controlPr defaultSize="0" autoLine="0" autoPict="0" macro="[0]!load_TP_Data">
                <anchor moveWithCells="1">
                  <from>
                    <xdr:col>97</xdr:col>
                    <xdr:colOff>114300</xdr:colOff>
                    <xdr:row>4</xdr:row>
                    <xdr:rowOff>160020</xdr:rowOff>
                  </from>
                  <to>
                    <xdr:col>144</xdr:col>
                    <xdr:colOff>1181100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38" name="Drop Down 57">
              <controlPr defaultSize="0" autoLine="0" autoPict="0" macro="[0]!load_TP_Data">
                <anchor moveWithCells="1">
                  <from>
                    <xdr:col>51</xdr:col>
                    <xdr:colOff>76200</xdr:colOff>
                    <xdr:row>4</xdr:row>
                    <xdr:rowOff>160020</xdr:rowOff>
                  </from>
                  <to>
                    <xdr:col>144</xdr:col>
                    <xdr:colOff>1165860</xdr:colOff>
                    <xdr:row>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26"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BA454"/>
  <sheetViews>
    <sheetView tabSelected="1" topLeftCell="M32" zoomScale="85" zoomScaleNormal="85" workbookViewId="0">
      <selection activeCell="R42" sqref="R42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664062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5.33203125" style="55" customWidth="1"/>
    <col min="20" max="20" width="23" style="55" customWidth="1"/>
    <col min="21" max="21" width="21.88671875" style="55" customWidth="1"/>
    <col min="22" max="22" width="27.44140625" style="55" customWidth="1"/>
    <col min="23" max="23" width="28.109375" style="55" customWidth="1"/>
    <col min="24" max="24" width="26.88671875" style="55" customWidth="1"/>
    <col min="25" max="25" width="15.33203125" style="55" customWidth="1"/>
    <col min="26" max="26" width="13" style="51" customWidth="1"/>
    <col min="27" max="27" width="14.44140625" style="51" customWidth="1"/>
    <col min="28" max="28" width="19.33203125" style="51" customWidth="1"/>
    <col min="29" max="29" width="14.44140625" style="51"/>
    <col min="30" max="30" width="17.6640625" style="51" customWidth="1"/>
    <col min="31" max="33" width="14.44140625" style="51"/>
    <col min="34" max="34" width="19" customWidth="1"/>
    <col min="35" max="35" width="18.44140625" customWidth="1"/>
    <col min="37" max="37" width="22.6640625" customWidth="1"/>
    <col min="39" max="39" width="20.44140625" customWidth="1"/>
    <col min="43" max="44" width="14.44140625" style="51"/>
    <col min="45" max="45" width="20.44140625" style="51" customWidth="1"/>
    <col min="46" max="46" width="26.6640625" style="51" customWidth="1"/>
    <col min="47" max="47" width="17.44140625" style="51" customWidth="1"/>
    <col min="48" max="16384" width="14.44140625" style="51"/>
  </cols>
  <sheetData>
    <row r="2" spans="2:53" ht="15" customHeight="1" x14ac:dyDescent="0.3">
      <c r="B2" s="51" t="s">
        <v>27</v>
      </c>
      <c r="C2" s="51" t="s">
        <v>116</v>
      </c>
      <c r="D2" s="55" t="s">
        <v>117</v>
      </c>
      <c r="E2" s="55"/>
      <c r="F2" s="55"/>
      <c r="G2" s="55"/>
      <c r="H2" s="55"/>
      <c r="I2" s="55" t="s">
        <v>138</v>
      </c>
      <c r="J2" s="51" t="s">
        <v>116</v>
      </c>
      <c r="K2" s="51" t="s">
        <v>117</v>
      </c>
      <c r="M2" s="55"/>
      <c r="N2" s="55"/>
    </row>
    <row r="3" spans="2:53" x14ac:dyDescent="0.3">
      <c r="B3" s="68" t="s">
        <v>131</v>
      </c>
      <c r="C3" s="70"/>
      <c r="D3" s="73" t="s">
        <v>84</v>
      </c>
      <c r="E3" s="55"/>
      <c r="I3" t="s">
        <v>78</v>
      </c>
      <c r="J3" s="64">
        <f>SUMIF(WHOLE_STRUCTURE[Affiliation], "TOWER", J14:J2252)</f>
        <v>691.70737506686044</v>
      </c>
      <c r="K3" s="51" t="s">
        <v>6</v>
      </c>
      <c r="M3" s="55"/>
      <c r="N3" s="55"/>
    </row>
    <row r="4" spans="2:53" ht="15" customHeight="1" x14ac:dyDescent="0.3">
      <c r="B4" s="68" t="s">
        <v>130</v>
      </c>
      <c r="C4" s="70" t="s">
        <v>49</v>
      </c>
      <c r="D4" s="73" t="s">
        <v>84</v>
      </c>
      <c r="I4" t="s">
        <v>92</v>
      </c>
      <c r="J4" s="64">
        <f>SUMIF(WHOLE_STRUCTURE[Affiliation], "TP", J14:J2252)</f>
        <v>186.6207794303341</v>
      </c>
      <c r="K4" s="51" t="s">
        <v>6</v>
      </c>
      <c r="L4" s="55"/>
      <c r="M4" s="55"/>
      <c r="N4" s="55"/>
    </row>
    <row r="5" spans="2:53" ht="15" customHeight="1" x14ac:dyDescent="0.3">
      <c r="B5" s="69" t="s">
        <v>216</v>
      </c>
      <c r="C5" s="71"/>
      <c r="D5" s="72" t="s">
        <v>132</v>
      </c>
      <c r="I5" t="s">
        <v>69</v>
      </c>
      <c r="J5" s="64">
        <f>SUMIF(WHOLE_STRUCTURE[Affiliation], "MP", J14:J2252)</f>
        <v>1732.2296836474418</v>
      </c>
      <c r="K5" s="51" t="s">
        <v>6</v>
      </c>
      <c r="M5" s="55"/>
      <c r="N5" s="55"/>
    </row>
    <row r="6" spans="2:53" x14ac:dyDescent="0.3">
      <c r="B6" s="68" t="s">
        <v>133</v>
      </c>
      <c r="C6" s="70">
        <v>-43.5</v>
      </c>
      <c r="D6" s="73" t="s">
        <v>132</v>
      </c>
      <c r="I6" t="s">
        <v>126</v>
      </c>
      <c r="J6" s="64" t="str" cm="1">
        <f t="array" ref="J6">RNA[Power '[MW']]</f>
        <v>//</v>
      </c>
      <c r="K6" s="51" t="s">
        <v>6</v>
      </c>
      <c r="M6" s="55"/>
      <c r="N6" s="55"/>
      <c r="AI6" s="74"/>
      <c r="AJ6" s="74"/>
    </row>
    <row r="7" spans="2:53" ht="15" customHeight="1" x14ac:dyDescent="0.3">
      <c r="I7" t="s">
        <v>129</v>
      </c>
      <c r="J7" s="64">
        <f>SUM(Q14:Q1048576)</f>
        <v>5307.4120000000003</v>
      </c>
      <c r="K7" s="51" t="s">
        <v>6</v>
      </c>
      <c r="M7" s="55"/>
      <c r="N7" s="55"/>
      <c r="AT7" s="51" t="s">
        <v>249</v>
      </c>
    </row>
    <row r="8" spans="2:53" ht="15" customHeight="1" x14ac:dyDescent="0.3">
      <c r="B8" s="81" t="s">
        <v>207</v>
      </c>
      <c r="C8" s="70">
        <f xml:space="preserve"> INDEX(WHOLE_STRUCTURE[Top '[m']], 1) + INDEX(RNA[Vertical Offset TT to HH '[m']],1)</f>
        <v>147.08999999999997</v>
      </c>
      <c r="D8" s="73" t="s">
        <v>132</v>
      </c>
      <c r="I8" t="s">
        <v>137</v>
      </c>
      <c r="J8" s="64">
        <f>SUM(J3:J7)</f>
        <v>7917.969838144636</v>
      </c>
      <c r="K8" s="51" t="s">
        <v>6</v>
      </c>
      <c r="M8" s="55"/>
      <c r="N8" s="55"/>
    </row>
    <row r="9" spans="2:53" ht="15" customHeight="1" x14ac:dyDescent="0.3">
      <c r="I9"/>
      <c r="J9" s="64"/>
      <c r="M9" s="55"/>
      <c r="N9" s="55"/>
    </row>
    <row r="10" spans="2:53" ht="15" customHeight="1" x14ac:dyDescent="0.3">
      <c r="B10"/>
      <c r="C10"/>
      <c r="D10"/>
      <c r="E10"/>
      <c r="F10"/>
      <c r="G10"/>
      <c r="H10"/>
      <c r="L10"/>
      <c r="M10"/>
      <c r="N10"/>
      <c r="O10"/>
      <c r="P10"/>
      <c r="Q10"/>
    </row>
    <row r="11" spans="2:53" ht="31.95" customHeight="1" x14ac:dyDescent="0.6">
      <c r="B11" s="63" t="s">
        <v>108</v>
      </c>
      <c r="O11" s="63" t="s">
        <v>109</v>
      </c>
      <c r="AA11" s="63" t="s">
        <v>111</v>
      </c>
      <c r="AH11" s="63" t="s">
        <v>126</v>
      </c>
      <c r="AR11" s="63" t="s">
        <v>20</v>
      </c>
      <c r="AX11" s="63" t="s">
        <v>110</v>
      </c>
    </row>
    <row r="14" spans="2:53" x14ac:dyDescent="0.3">
      <c r="B14" s="51" t="s">
        <v>1</v>
      </c>
      <c r="C14" s="51" t="s">
        <v>94</v>
      </c>
      <c r="D14" s="51" t="s">
        <v>91</v>
      </c>
      <c r="E14" s="51" t="s">
        <v>105</v>
      </c>
      <c r="F14" s="51" t="s">
        <v>104</v>
      </c>
      <c r="G14" s="51" t="s">
        <v>85</v>
      </c>
      <c r="H14" s="51" t="s">
        <v>86</v>
      </c>
      <c r="I14" s="51" t="s">
        <v>87</v>
      </c>
      <c r="J14" s="51" t="s">
        <v>93</v>
      </c>
      <c r="K14" s="51" t="s">
        <v>9</v>
      </c>
      <c r="L14" s="51" t="s">
        <v>10</v>
      </c>
      <c r="M14" s="51" t="s">
        <v>12</v>
      </c>
      <c r="O14" s="55" t="s">
        <v>94</v>
      </c>
      <c r="P14" s="83" t="s">
        <v>266</v>
      </c>
      <c r="Q14" t="s">
        <v>105</v>
      </c>
      <c r="R14" t="s">
        <v>104</v>
      </c>
      <c r="S14" s="51" t="s">
        <v>96</v>
      </c>
      <c r="T14" s="51" t="s">
        <v>239</v>
      </c>
      <c r="U14" s="51" t="s">
        <v>240</v>
      </c>
      <c r="V14" s="51" t="s">
        <v>241</v>
      </c>
      <c r="W14" s="51" t="s">
        <v>243</v>
      </c>
      <c r="X14" s="51" t="s">
        <v>242</v>
      </c>
      <c r="AA14" s="61" t="s">
        <v>94</v>
      </c>
      <c r="AB14" s="57" t="s">
        <v>107</v>
      </c>
      <c r="AC14" s="57" t="s">
        <v>128</v>
      </c>
      <c r="AD14" s="62" t="s">
        <v>19</v>
      </c>
      <c r="AH14" t="s">
        <v>80</v>
      </c>
      <c r="AI14" t="s">
        <v>139</v>
      </c>
      <c r="AJ14" t="s">
        <v>140</v>
      </c>
      <c r="AK14" t="s">
        <v>218</v>
      </c>
      <c r="AL14" t="s">
        <v>227</v>
      </c>
      <c r="AM14" t="s">
        <v>228</v>
      </c>
      <c r="AN14" t="s">
        <v>237</v>
      </c>
      <c r="AO14" t="s">
        <v>236</v>
      </c>
      <c r="AP14" s="78" t="s">
        <v>19</v>
      </c>
      <c r="AR14" s="51" t="s">
        <v>104</v>
      </c>
      <c r="AS14" s="51" t="s">
        <v>105</v>
      </c>
      <c r="AT14" s="51" t="s">
        <v>112</v>
      </c>
      <c r="AU14" s="51" t="s">
        <v>248</v>
      </c>
      <c r="AV14" s="51" t="s">
        <v>247</v>
      </c>
      <c r="AX14" s="51" t="s">
        <v>104</v>
      </c>
      <c r="AY14" s="51" t="s">
        <v>105</v>
      </c>
      <c r="AZ14" s="51" t="s">
        <v>17</v>
      </c>
      <c r="BA14" s="51" t="s">
        <v>18</v>
      </c>
    </row>
    <row r="15" spans="2:53" x14ac:dyDescent="0.3">
      <c r="B15" s="51">
        <v>1</v>
      </c>
      <c r="C15" s="51" t="s">
        <v>78</v>
      </c>
      <c r="D15" s="51">
        <v>1</v>
      </c>
      <c r="E15" s="51">
        <v>140.49999999999997</v>
      </c>
      <c r="F15" s="51">
        <v>140.32499999999996</v>
      </c>
      <c r="G15" s="51">
        <v>5.6159999999999997</v>
      </c>
      <c r="H15" s="51">
        <v>5.6159999999999997</v>
      </c>
      <c r="I15" s="51">
        <v>42</v>
      </c>
      <c r="J15" s="54">
        <f t="shared" ref="J15:J41" si="0">IF(7850/1000*(1/3)*PI()*ABS(E15-F15)*((G15/2)^2+(G15/2)*(H15/2)+(H15/2)^2-(G15/2-I15/1000)^2-(G15/2-I15/1000)*(H15/2-I15/1000)-(H15/2-I15/1000)^2)=0,"",7850/1000*(1/3)*PI()*ABS(E15-F15)*((G15/2)^2+(G15/2)*(H15/2)+(H15/2)^2-(G15/2-I15/1000)^2-(G15/2-I15/1000)*(H15/2-I15/1000)-(H15/2-I15/1000)^2))</f>
        <v>1.0103546228354485</v>
      </c>
      <c r="K15" s="53">
        <f>IFERROR(WHOLE_STRUCTURE[[#This Row],[Bottom '[m']]]-WHOLE_STRUCTURE[[#This Row],[D, top '[m']]], "")</f>
        <v>134.70899999999995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133.71428571428569</v>
      </c>
      <c r="O15" s="55" t="s">
        <v>78</v>
      </c>
      <c r="P15" s="55" t="s">
        <v>256</v>
      </c>
      <c r="Q15" s="55">
        <v>140.49999999999997</v>
      </c>
      <c r="R15" s="55">
        <v>140.49999999999997</v>
      </c>
      <c r="S15" s="51">
        <v>6154</v>
      </c>
      <c r="T15" s="51"/>
      <c r="U15" s="51"/>
      <c r="V15" s="51"/>
      <c r="W15" s="51"/>
      <c r="X15" s="51"/>
      <c r="AB15" s="64"/>
      <c r="AC15" s="64"/>
      <c r="AH15" s="58" t="s">
        <v>250</v>
      </c>
      <c r="AI15" s="58" t="s">
        <v>156</v>
      </c>
      <c r="AJ15" s="58" t="s">
        <v>156</v>
      </c>
      <c r="AK15" s="60">
        <v>1394251</v>
      </c>
      <c r="AL15" s="60">
        <v>382420000</v>
      </c>
      <c r="AM15" s="60">
        <v>639730000</v>
      </c>
      <c r="AN15" s="60">
        <v>6.59</v>
      </c>
      <c r="AO15" s="60">
        <v>5.74</v>
      </c>
      <c r="AP15" s="60" t="s">
        <v>260</v>
      </c>
      <c r="AR15" s="51">
        <v>139</v>
      </c>
      <c r="AS15" s="51">
        <v>4.5999999999999996</v>
      </c>
      <c r="AT15" s="51">
        <v>0</v>
      </c>
      <c r="AU15" s="51">
        <v>1325</v>
      </c>
      <c r="AV15" s="51">
        <v>0.5</v>
      </c>
      <c r="AX15" s="51">
        <v>20</v>
      </c>
      <c r="AY15" s="51">
        <v>6.5</v>
      </c>
      <c r="AZ15" s="51">
        <v>0.9</v>
      </c>
      <c r="BA15" s="51">
        <v>2</v>
      </c>
    </row>
    <row r="16" spans="2:53" x14ac:dyDescent="0.3">
      <c r="B16" s="51">
        <v>2</v>
      </c>
      <c r="C16" s="51" t="s">
        <v>78</v>
      </c>
      <c r="D16" s="51">
        <v>2</v>
      </c>
      <c r="E16" s="51">
        <v>140.32499999999996</v>
      </c>
      <c r="F16" s="51">
        <v>140.27499999999998</v>
      </c>
      <c r="G16" s="51">
        <v>5.6159999999999997</v>
      </c>
      <c r="H16" s="51">
        <v>5.609</v>
      </c>
      <c r="I16" s="51">
        <v>42</v>
      </c>
      <c r="J16" s="54">
        <f t="shared" si="0"/>
        <v>0.28849148733930929</v>
      </c>
      <c r="K16" s="53">
        <f>IFERROR(WHOLE_STRUCTURE[[#This Row],[Bottom '[m']]]-WHOLE_STRUCTURE[[#This Row],[D, top '[m']]], "")</f>
        <v>134.65899999999999</v>
      </c>
      <c r="L16" s="54">
        <f>IFERROR(-(WHOLE_STRUCTURE[[#This Row],[D, bottom '[m']]]-WHOLE_STRUCTURE[[#This Row],[D, top '[m']]])/(WHOLE_STRUCTURE[[#This Row],[Bottom '[m']]]-WHOLE_STRUCTURE[[#This Row],[Top '[m']]]),"")</f>
        <v>-0.1400000000000412</v>
      </c>
      <c r="M16" s="52">
        <f>IFERROR((WHOLE_STRUCTURE[[#This Row],[D, bottom '[m']]]+WHOLE_STRUCTURE[[#This Row],[D, top '[m']]])/(2*WHOLE_STRUCTURE[[#This Row],[t '[mm']]]/1000),"")</f>
        <v>133.63095238095238</v>
      </c>
      <c r="O16" s="55" t="s">
        <v>78</v>
      </c>
      <c r="P16" s="55" t="s">
        <v>256</v>
      </c>
      <c r="Q16" s="55">
        <v>140.32499999999996</v>
      </c>
      <c r="R16" s="55">
        <v>140.32499999999996</v>
      </c>
      <c r="S16" s="51">
        <v>5</v>
      </c>
      <c r="T16" s="51"/>
      <c r="U16" s="51"/>
      <c r="V16" s="51"/>
      <c r="W16" s="51"/>
      <c r="X16" s="51"/>
      <c r="AR16" s="51">
        <f>IF(ISBLANK(AS16),"",AS15)</f>
        <v>4.5999999999999996</v>
      </c>
      <c r="AS16" s="51">
        <v>-9.6</v>
      </c>
      <c r="AT16" s="51">
        <v>250</v>
      </c>
      <c r="AU16" s="51">
        <v>1325</v>
      </c>
      <c r="AV16" s="51">
        <v>0.5</v>
      </c>
      <c r="AX16" s="51">
        <f>IF(ISBLANK(AY16),"",AY15)</f>
        <v>6.5</v>
      </c>
      <c r="AY16" s="51">
        <v>-22</v>
      </c>
      <c r="AZ16" s="51">
        <v>0.9</v>
      </c>
      <c r="BA16" s="51">
        <v>2</v>
      </c>
    </row>
    <row r="17" spans="2:50" x14ac:dyDescent="0.3">
      <c r="B17" s="51">
        <v>3</v>
      </c>
      <c r="C17" s="51" t="s">
        <v>78</v>
      </c>
      <c r="D17" s="51">
        <v>3</v>
      </c>
      <c r="E17" s="51">
        <v>140.27499999999998</v>
      </c>
      <c r="F17" s="51">
        <v>138.62499999999997</v>
      </c>
      <c r="G17" s="51">
        <v>5.609</v>
      </c>
      <c r="H17" s="51">
        <v>5.9039999999999999</v>
      </c>
      <c r="I17" s="51">
        <v>35</v>
      </c>
      <c r="J17" s="54">
        <f t="shared" si="0"/>
        <v>8.1485703675329084</v>
      </c>
      <c r="K17" s="53">
        <f>IFERROR(WHOLE_STRUCTURE[[#This Row],[Bottom '[m']]]-WHOLE_STRUCTURE[[#This Row],[D, top '[m']]], "")</f>
        <v>133.01599999999996</v>
      </c>
      <c r="L17" s="54">
        <f>IFERROR(-(WHOLE_STRUCTURE[[#This Row],[D, bottom '[m']]]-WHOLE_STRUCTURE[[#This Row],[D, top '[m']]])/(WHOLE_STRUCTURE[[#This Row],[Bottom '[m']]]-WHOLE_STRUCTURE[[#This Row],[Top '[m']]]),"")</f>
        <v>0.17878787878787814</v>
      </c>
      <c r="M17" s="52">
        <f>IFERROR((WHOLE_STRUCTURE[[#This Row],[D, bottom '[m']]]+WHOLE_STRUCTURE[[#This Row],[D, top '[m']]])/(2*WHOLE_STRUCTURE[[#This Row],[t '[mm']]]/1000),"")</f>
        <v>164.47142857142856</v>
      </c>
      <c r="O17" s="55" t="s">
        <v>78</v>
      </c>
      <c r="P17" s="55" t="s">
        <v>256</v>
      </c>
      <c r="Q17" s="55">
        <v>140.27499999999998</v>
      </c>
      <c r="R17" s="55">
        <v>140.27499999999998</v>
      </c>
      <c r="S17" s="51">
        <v>2</v>
      </c>
      <c r="T17" s="51"/>
      <c r="U17" s="51"/>
      <c r="V17" s="51"/>
      <c r="W17" s="51"/>
      <c r="X17" s="51"/>
      <c r="AR17" s="51">
        <f t="shared" ref="AR17" si="1">IF(ISBLANK(AS17),"",AS16)</f>
        <v>-9.6</v>
      </c>
      <c r="AS17" s="51">
        <v>-22</v>
      </c>
      <c r="AT17" s="51">
        <v>100</v>
      </c>
      <c r="AU17" s="51">
        <v>1325</v>
      </c>
      <c r="AV17" s="51">
        <v>0.5</v>
      </c>
      <c r="AX17" s="51" t="str">
        <f t="shared" ref="AX17" si="2">IF(ISBLANK(AY17),"",AY16)</f>
        <v/>
      </c>
    </row>
    <row r="18" spans="2:50" x14ac:dyDescent="0.3">
      <c r="B18" s="51">
        <v>4</v>
      </c>
      <c r="C18" s="51" t="s">
        <v>78</v>
      </c>
      <c r="D18" s="51">
        <v>4</v>
      </c>
      <c r="E18" s="51">
        <v>138.62499999999997</v>
      </c>
      <c r="F18" s="51">
        <v>136.97499999999997</v>
      </c>
      <c r="G18" s="51">
        <v>5.9039999999999999</v>
      </c>
      <c r="H18" s="51">
        <v>6.258</v>
      </c>
      <c r="I18" s="51">
        <v>40</v>
      </c>
      <c r="J18" s="54">
        <f t="shared" si="0"/>
        <v>9.8326889482561182</v>
      </c>
      <c r="K18" s="53">
        <f>IFERROR(WHOLE_STRUCTURE[[#This Row],[Bottom '[m']]]-WHOLE_STRUCTURE[[#This Row],[D, top '[m']]], "")</f>
        <v>131.07099999999997</v>
      </c>
      <c r="L18" s="54">
        <f>IFERROR(-(WHOLE_STRUCTURE[[#This Row],[D, bottom '[m']]]-WHOLE_STRUCTURE[[#This Row],[D, top '[m']]])/(WHOLE_STRUCTURE[[#This Row],[Bottom '[m']]]-WHOLE_STRUCTURE[[#This Row],[Top '[m']]]),"")</f>
        <v>0.21454545454545387</v>
      </c>
      <c r="M18" s="52">
        <f>IFERROR((WHOLE_STRUCTURE[[#This Row],[D, bottom '[m']]]+WHOLE_STRUCTURE[[#This Row],[D, top '[m']]])/(2*WHOLE_STRUCTURE[[#This Row],[t '[mm']]]/1000),"")</f>
        <v>152.02499999999998</v>
      </c>
      <c r="O18" s="55" t="s">
        <v>78</v>
      </c>
      <c r="P18" s="55" t="s">
        <v>256</v>
      </c>
      <c r="Q18" s="55">
        <v>138.23499999999999</v>
      </c>
      <c r="R18" s="55">
        <v>138.23499999999999</v>
      </c>
      <c r="S18" s="51">
        <v>1981</v>
      </c>
      <c r="T18" s="51"/>
      <c r="U18" s="51"/>
      <c r="V18" s="51"/>
      <c r="W18" s="51"/>
      <c r="X18" s="51"/>
      <c r="AA18" s="56" t="s">
        <v>94</v>
      </c>
      <c r="AB18" s="57" t="s">
        <v>105</v>
      </c>
      <c r="AC18" s="57" t="s">
        <v>104</v>
      </c>
      <c r="AD18" s="57" t="s">
        <v>85</v>
      </c>
      <c r="AE18" s="57" t="s">
        <v>86</v>
      </c>
      <c r="AF18" s="57" t="s">
        <v>87</v>
      </c>
    </row>
    <row r="19" spans="2:50" x14ac:dyDescent="0.3">
      <c r="B19" s="51">
        <v>5</v>
      </c>
      <c r="C19" s="51" t="s">
        <v>78</v>
      </c>
      <c r="D19" s="51">
        <v>5</v>
      </c>
      <c r="E19" s="51">
        <v>136.97499999999997</v>
      </c>
      <c r="F19" s="51">
        <v>136.38899999999998</v>
      </c>
      <c r="G19" s="51">
        <v>6.258</v>
      </c>
      <c r="H19" s="51">
        <v>6.258</v>
      </c>
      <c r="I19" s="51">
        <v>58</v>
      </c>
      <c r="J19" s="54">
        <f t="shared" si="0"/>
        <v>5.1968098755337806</v>
      </c>
      <c r="K19" s="53">
        <f>IFERROR(WHOLE_STRUCTURE[[#This Row],[Bottom '[m']]]-WHOLE_STRUCTURE[[#This Row],[D, top '[m']]], "")</f>
        <v>130.13099999999997</v>
      </c>
      <c r="L19" s="54">
        <f>IFERROR(-(WHOLE_STRUCTURE[[#This Row],[D, bottom '[m']]]-WHOLE_STRUCTURE[[#This Row],[D, top '[m']]])/(WHOLE_STRUCTURE[[#This Row],[Bottom '[m']]]-WHOLE_STRUCTURE[[#This Row],[Top '[m']]]),"")</f>
        <v>0</v>
      </c>
      <c r="M19" s="52">
        <f>IFERROR((WHOLE_STRUCTURE[[#This Row],[D, bottom '[m']]]+WHOLE_STRUCTURE[[#This Row],[D, top '[m']]])/(2*WHOLE_STRUCTURE[[#This Row],[t '[mm']]]/1000),"")</f>
        <v>107.89655172413792</v>
      </c>
      <c r="O19" s="55" t="s">
        <v>78</v>
      </c>
      <c r="P19" s="55" t="s">
        <v>256</v>
      </c>
      <c r="Q19" s="55">
        <v>136.58499999999998</v>
      </c>
      <c r="R19" s="55">
        <v>136.58499999999998</v>
      </c>
      <c r="S19" s="51">
        <v>82</v>
      </c>
      <c r="T19" s="51"/>
      <c r="U19" s="51"/>
      <c r="V19" s="51"/>
      <c r="W19" s="51"/>
      <c r="X19" s="51"/>
      <c r="AA19" s="58"/>
      <c r="AB19" s="58"/>
      <c r="AC19" s="58"/>
      <c r="AD19" s="58"/>
      <c r="AE19" s="59"/>
      <c r="AF19" s="60"/>
    </row>
    <row r="20" spans="2:50" x14ac:dyDescent="0.3">
      <c r="B20" s="51">
        <v>6</v>
      </c>
      <c r="C20" s="51" t="s">
        <v>78</v>
      </c>
      <c r="D20" s="51">
        <v>6</v>
      </c>
      <c r="E20" s="51">
        <v>136.38899999999998</v>
      </c>
      <c r="F20" s="51">
        <v>135.29999999999998</v>
      </c>
      <c r="G20" s="51">
        <v>6.258</v>
      </c>
      <c r="H20" s="51">
        <v>6.258</v>
      </c>
      <c r="I20" s="51">
        <v>58</v>
      </c>
      <c r="J20" s="54">
        <f t="shared" si="0"/>
        <v>9.6575528233044903</v>
      </c>
      <c r="K20" s="53">
        <f>IFERROR(WHOLE_STRUCTURE[[#This Row],[Bottom '[m']]]-WHOLE_STRUCTURE[[#This Row],[D, top '[m']]], "")</f>
        <v>129.04199999999997</v>
      </c>
      <c r="L20" s="54">
        <f>IFERROR(-(WHOLE_STRUCTURE[[#This Row],[D, bottom '[m']]]-WHOLE_STRUCTURE[[#This Row],[D, top '[m']]])/(WHOLE_STRUCTURE[[#This Row],[Bottom '[m']]]-WHOLE_STRUCTURE[[#This Row],[Top '[m']]]),"")</f>
        <v>0</v>
      </c>
      <c r="M20" s="52">
        <f>IFERROR((WHOLE_STRUCTURE[[#This Row],[D, bottom '[m']]]+WHOLE_STRUCTURE[[#This Row],[D, top '[m']]])/(2*WHOLE_STRUCTURE[[#This Row],[t '[mm']]]/1000),"")</f>
        <v>107.89655172413792</v>
      </c>
      <c r="O20" s="55" t="s">
        <v>78</v>
      </c>
      <c r="P20" s="55" t="s">
        <v>256</v>
      </c>
      <c r="Q20" s="55">
        <v>135.999</v>
      </c>
      <c r="R20" s="55">
        <v>135.999</v>
      </c>
      <c r="S20" s="51">
        <v>88</v>
      </c>
      <c r="T20" s="51"/>
      <c r="U20" s="51"/>
      <c r="V20" s="51"/>
      <c r="W20" s="51"/>
      <c r="X20" s="51"/>
      <c r="AA20" s="58"/>
      <c r="AB20" s="58"/>
      <c r="AC20" s="58"/>
      <c r="AD20" s="58"/>
      <c r="AE20" s="59"/>
      <c r="AF20" s="58"/>
    </row>
    <row r="21" spans="2:50" x14ac:dyDescent="0.3">
      <c r="B21" s="51">
        <v>7</v>
      </c>
      <c r="C21" s="51" t="s">
        <v>78</v>
      </c>
      <c r="D21" s="51">
        <v>7</v>
      </c>
      <c r="E21" s="51">
        <v>135.29999999999998</v>
      </c>
      <c r="F21" s="51">
        <v>133.47499999999997</v>
      </c>
      <c r="G21" s="51">
        <v>6.258</v>
      </c>
      <c r="H21" s="51">
        <v>6.2229999999999999</v>
      </c>
      <c r="I21" s="51">
        <v>58</v>
      </c>
      <c r="J21" s="54">
        <f t="shared" si="0"/>
        <v>16.138921784175626</v>
      </c>
      <c r="K21" s="53">
        <f>IFERROR(WHOLE_STRUCTURE[[#This Row],[Bottom '[m']]]-WHOLE_STRUCTURE[[#This Row],[D, top '[m']]], "")</f>
        <v>127.21699999999997</v>
      </c>
      <c r="L21" s="54">
        <f>IFERROR(-(WHOLE_STRUCTURE[[#This Row],[D, bottom '[m']]]-WHOLE_STRUCTURE[[#This Row],[D, top '[m']]])/(WHOLE_STRUCTURE[[#This Row],[Bottom '[m']]]-WHOLE_STRUCTURE[[#This Row],[Top '[m']]]),"")</f>
        <v>-1.9178082191780719E-2</v>
      </c>
      <c r="M21" s="52">
        <f>IFERROR((WHOLE_STRUCTURE[[#This Row],[D, bottom '[m']]]+WHOLE_STRUCTURE[[#This Row],[D, top '[m']]])/(2*WHOLE_STRUCTURE[[#This Row],[t '[mm']]]/1000),"")</f>
        <v>107.59482758620689</v>
      </c>
      <c r="O21" s="55" t="s">
        <v>78</v>
      </c>
      <c r="P21" s="55" t="s">
        <v>256</v>
      </c>
      <c r="Q21" s="55">
        <v>134.91</v>
      </c>
      <c r="R21" s="55">
        <v>134.91</v>
      </c>
      <c r="S21" s="51">
        <v>41600</v>
      </c>
      <c r="T21" s="51"/>
      <c r="U21" s="51"/>
      <c r="V21" s="51"/>
      <c r="W21" s="51"/>
      <c r="X21" s="51"/>
    </row>
    <row r="22" spans="2:50" x14ac:dyDescent="0.3">
      <c r="B22" s="51">
        <v>8</v>
      </c>
      <c r="C22" s="51" t="s">
        <v>78</v>
      </c>
      <c r="D22" s="51">
        <v>8</v>
      </c>
      <c r="E22" s="51">
        <v>133.47499999999997</v>
      </c>
      <c r="F22" s="51">
        <v>131.23999999999998</v>
      </c>
      <c r="G22" s="51">
        <v>6.2229999999999999</v>
      </c>
      <c r="H22" s="51">
        <v>6.2229999999999999</v>
      </c>
      <c r="I22" s="51">
        <v>23</v>
      </c>
      <c r="J22" s="54">
        <f t="shared" si="0"/>
        <v>7.8598920693133492</v>
      </c>
      <c r="K22" s="53">
        <f>IFERROR(WHOLE_STRUCTURE[[#This Row],[Bottom '[m']]]-WHOLE_STRUCTURE[[#This Row],[D, top '[m']]], "")</f>
        <v>125.01699999999998</v>
      </c>
      <c r="L22" s="54">
        <f>IFERROR(-(WHOLE_STRUCTURE[[#This Row],[D, bottom '[m']]]-WHOLE_STRUCTURE[[#This Row],[D, top '[m']]])/(WHOLE_STRUCTURE[[#This Row],[Bottom '[m']]]-WHOLE_STRUCTURE[[#This Row],[Top '[m']]]),"")</f>
        <v>0</v>
      </c>
      <c r="M22" s="52">
        <f>IFERROR((WHOLE_STRUCTURE[[#This Row],[D, bottom '[m']]]+WHOLE_STRUCTURE[[#This Row],[D, top '[m']]])/(2*WHOLE_STRUCTURE[[#This Row],[t '[mm']]]/1000),"")</f>
        <v>270.56521739130437</v>
      </c>
      <c r="O22" s="55" t="s">
        <v>78</v>
      </c>
      <c r="P22" s="55" t="s">
        <v>256</v>
      </c>
      <c r="Q22" s="55">
        <v>133.08499999999998</v>
      </c>
      <c r="R22" s="55">
        <v>133.08499999999998</v>
      </c>
      <c r="S22" s="51">
        <v>88</v>
      </c>
      <c r="T22" s="51"/>
      <c r="U22" s="51"/>
      <c r="V22" s="51"/>
      <c r="W22" s="51"/>
      <c r="X22" s="51"/>
    </row>
    <row r="23" spans="2:50" x14ac:dyDescent="0.3">
      <c r="B23" s="51">
        <v>9</v>
      </c>
      <c r="C23" s="51" t="s">
        <v>78</v>
      </c>
      <c r="D23" s="51">
        <v>9</v>
      </c>
      <c r="E23" s="51">
        <v>131.23999999999998</v>
      </c>
      <c r="F23" s="51">
        <v>130.89999999999998</v>
      </c>
      <c r="G23" s="51">
        <v>6.2229999999999999</v>
      </c>
      <c r="H23" s="51">
        <v>6.2229999999999999</v>
      </c>
      <c r="I23" s="51">
        <v>23</v>
      </c>
      <c r="J23" s="54">
        <f t="shared" si="0"/>
        <v>1.1956882790007084</v>
      </c>
      <c r="K23" s="53">
        <f>IFERROR(WHOLE_STRUCTURE[[#This Row],[Bottom '[m']]]-WHOLE_STRUCTURE[[#This Row],[D, top '[m']]], "")</f>
        <v>124.67699999999998</v>
      </c>
      <c r="L23" s="54">
        <f>IFERROR(-(WHOLE_STRUCTURE[[#This Row],[D, bottom '[m']]]-WHOLE_STRUCTURE[[#This Row],[D, top '[m']]])/(WHOLE_STRUCTURE[[#This Row],[Bottom '[m']]]-WHOLE_STRUCTURE[[#This Row],[Top '[m']]]),"")</f>
        <v>0</v>
      </c>
      <c r="M23" s="52">
        <f>IFERROR((WHOLE_STRUCTURE[[#This Row],[D, bottom '[m']]]+WHOLE_STRUCTURE[[#This Row],[D, top '[m']]])/(2*WHOLE_STRUCTURE[[#This Row],[t '[mm']]]/1000),"")</f>
        <v>270.56521739130437</v>
      </c>
      <c r="O23" s="55" t="s">
        <v>78</v>
      </c>
      <c r="P23" s="55" t="s">
        <v>256</v>
      </c>
      <c r="Q23" s="55">
        <v>131.23999999999998</v>
      </c>
      <c r="R23" s="55">
        <v>131.23999999999998</v>
      </c>
      <c r="S23" s="51">
        <v>92</v>
      </c>
      <c r="T23" s="51"/>
      <c r="U23" s="51"/>
      <c r="V23" s="51"/>
      <c r="W23" s="51"/>
      <c r="X23" s="51"/>
    </row>
    <row r="24" spans="2:50" x14ac:dyDescent="0.3">
      <c r="B24" s="51">
        <v>10</v>
      </c>
      <c r="C24" s="51" t="s">
        <v>78</v>
      </c>
      <c r="D24" s="51">
        <v>10</v>
      </c>
      <c r="E24" s="51">
        <v>130.89999999999998</v>
      </c>
      <c r="F24" s="51">
        <v>128.48999999999998</v>
      </c>
      <c r="G24" s="51">
        <v>6.2229999999999999</v>
      </c>
      <c r="H24" s="51">
        <v>6.2229999999999999</v>
      </c>
      <c r="I24" s="51">
        <v>23</v>
      </c>
      <c r="J24" s="54">
        <f t="shared" si="0"/>
        <v>8.475319859975512</v>
      </c>
      <c r="K24" s="53">
        <f>IFERROR(WHOLE_STRUCTURE[[#This Row],[Bottom '[m']]]-WHOLE_STRUCTURE[[#This Row],[D, top '[m']]], "")</f>
        <v>122.26699999999998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270.56521739130437</v>
      </c>
      <c r="O24" s="55" t="s">
        <v>78</v>
      </c>
      <c r="P24" s="55" t="s">
        <v>256</v>
      </c>
      <c r="Q24" s="55">
        <v>130.89999999999998</v>
      </c>
      <c r="R24" s="55">
        <v>130.89999999999998</v>
      </c>
      <c r="S24" s="51">
        <v>138</v>
      </c>
      <c r="T24" s="51"/>
      <c r="U24" s="51"/>
      <c r="V24" s="51"/>
      <c r="W24" s="51"/>
      <c r="X24" s="51"/>
    </row>
    <row r="25" spans="2:50" x14ac:dyDescent="0.3">
      <c r="B25" s="51">
        <v>11</v>
      </c>
      <c r="C25" s="51" t="s">
        <v>78</v>
      </c>
      <c r="D25" s="51">
        <v>11</v>
      </c>
      <c r="E25" s="51">
        <v>128.48999999999998</v>
      </c>
      <c r="F25" s="51">
        <v>125.74000000000001</v>
      </c>
      <c r="G25" s="51">
        <v>6.2229999999999999</v>
      </c>
      <c r="H25" s="51">
        <v>6.2229999999999999</v>
      </c>
      <c r="I25" s="51">
        <v>23</v>
      </c>
      <c r="J25" s="54">
        <f t="shared" si="0"/>
        <v>9.6710081389761218</v>
      </c>
      <c r="K25" s="53">
        <f>IFERROR(WHOLE_STRUCTURE[[#This Row],[Bottom '[m']]]-WHOLE_STRUCTURE[[#This Row],[D, top '[m']]], "")</f>
        <v>119.51700000000001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270.56521739130437</v>
      </c>
      <c r="O25" s="55" t="s">
        <v>78</v>
      </c>
      <c r="P25" s="55" t="s">
        <v>256</v>
      </c>
      <c r="Q25" s="55">
        <v>125.74</v>
      </c>
      <c r="R25" s="55">
        <v>125.74</v>
      </c>
      <c r="S25" s="51">
        <v>138</v>
      </c>
      <c r="T25" s="51"/>
      <c r="U25" s="51"/>
      <c r="V25" s="51"/>
      <c r="W25" s="51"/>
      <c r="X25" s="51"/>
    </row>
    <row r="26" spans="2:50" x14ac:dyDescent="0.3">
      <c r="B26" s="51">
        <v>12</v>
      </c>
      <c r="C26" s="51" t="s">
        <v>78</v>
      </c>
      <c r="D26" s="51">
        <v>12</v>
      </c>
      <c r="E26" s="51">
        <v>125.74000000000001</v>
      </c>
      <c r="F26" s="51">
        <v>123.667</v>
      </c>
      <c r="G26" s="51">
        <v>6.2229999999999999</v>
      </c>
      <c r="H26" s="51">
        <v>6.2229999999999999</v>
      </c>
      <c r="I26" s="51">
        <v>23</v>
      </c>
      <c r="J26" s="54">
        <f t="shared" si="0"/>
        <v>7.2901817716719197</v>
      </c>
      <c r="K26" s="53">
        <f>IFERROR(WHOLE_STRUCTURE[[#This Row],[Bottom '[m']]]-WHOLE_STRUCTURE[[#This Row],[D, top '[m']]], "")</f>
        <v>117.444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270.56521739130437</v>
      </c>
      <c r="O26" s="55" t="s">
        <v>78</v>
      </c>
      <c r="P26" s="55" t="s">
        <v>256</v>
      </c>
      <c r="Q26" s="55">
        <v>123.66699999999999</v>
      </c>
      <c r="R26" s="55">
        <v>123.66699999999999</v>
      </c>
      <c r="S26" s="51">
        <v>147</v>
      </c>
      <c r="T26" s="51"/>
      <c r="U26" s="51"/>
      <c r="V26" s="51"/>
      <c r="W26" s="51"/>
      <c r="X26" s="51"/>
    </row>
    <row r="27" spans="2:50" x14ac:dyDescent="0.3">
      <c r="B27" s="51">
        <v>13</v>
      </c>
      <c r="C27" s="51" t="s">
        <v>78</v>
      </c>
      <c r="D27" s="51">
        <v>13</v>
      </c>
      <c r="E27" s="51">
        <v>123.667</v>
      </c>
      <c r="F27" s="51">
        <v>122.81</v>
      </c>
      <c r="G27" s="51">
        <v>6.2229999999999999</v>
      </c>
      <c r="H27" s="51">
        <v>6.2229999999999999</v>
      </c>
      <c r="I27" s="51">
        <v>23</v>
      </c>
      <c r="J27" s="54">
        <f t="shared" si="0"/>
        <v>3.0138378091282236</v>
      </c>
      <c r="K27" s="53">
        <f>IFERROR(WHOLE_STRUCTURE[[#This Row],[Bottom '[m']]]-WHOLE_STRUCTURE[[#This Row],[D, top '[m']]], "")</f>
        <v>116.587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270.56521739130437</v>
      </c>
      <c r="O27" s="55" t="s">
        <v>78</v>
      </c>
      <c r="P27" s="55" t="s">
        <v>256</v>
      </c>
      <c r="Q27" s="55">
        <v>120.89999999999999</v>
      </c>
      <c r="R27" s="55">
        <v>120.89999999999999</v>
      </c>
      <c r="S27" s="51">
        <v>147</v>
      </c>
      <c r="T27" s="51"/>
      <c r="U27" s="51"/>
      <c r="V27" s="51"/>
      <c r="W27" s="51"/>
      <c r="X27" s="51"/>
    </row>
    <row r="28" spans="2:50" x14ac:dyDescent="0.3">
      <c r="B28" s="51">
        <v>14</v>
      </c>
      <c r="C28" s="51" t="s">
        <v>78</v>
      </c>
      <c r="D28" s="51">
        <v>14</v>
      </c>
      <c r="E28" s="51">
        <v>122.81</v>
      </c>
      <c r="F28" s="51">
        <v>120.9</v>
      </c>
      <c r="G28" s="51">
        <v>6.2229999999999999</v>
      </c>
      <c r="H28" s="51">
        <v>6.2229999999999999</v>
      </c>
      <c r="I28" s="51">
        <v>23</v>
      </c>
      <c r="J28" s="54">
        <f t="shared" si="0"/>
        <v>6.7169547437980182</v>
      </c>
      <c r="K28" s="53">
        <f>IFERROR(WHOLE_STRUCTURE[[#This Row],[Bottom '[m']]]-WHOLE_STRUCTURE[[#This Row],[D, top '[m']]], "")</f>
        <v>114.67700000000001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270.56521739130437</v>
      </c>
      <c r="O28" s="55" t="s">
        <v>78</v>
      </c>
      <c r="P28" s="55" t="s">
        <v>256</v>
      </c>
      <c r="Q28" s="55">
        <v>119.88</v>
      </c>
      <c r="R28" s="55">
        <v>119.88</v>
      </c>
      <c r="S28" s="51">
        <v>1060</v>
      </c>
      <c r="T28" s="51"/>
      <c r="U28" s="51"/>
      <c r="V28" s="51"/>
      <c r="W28" s="51"/>
      <c r="X28" s="51"/>
    </row>
    <row r="29" spans="2:50" x14ac:dyDescent="0.3">
      <c r="B29" s="51">
        <v>15</v>
      </c>
      <c r="C29" s="51" t="s">
        <v>78</v>
      </c>
      <c r="D29" s="51">
        <v>15</v>
      </c>
      <c r="E29" s="51">
        <v>120.9</v>
      </c>
      <c r="F29" s="51">
        <v>119.88000000000001</v>
      </c>
      <c r="G29" s="51">
        <v>6.2229999999999999</v>
      </c>
      <c r="H29" s="51">
        <v>6.2229999999999999</v>
      </c>
      <c r="I29" s="51">
        <v>23</v>
      </c>
      <c r="J29" s="54">
        <f t="shared" si="0"/>
        <v>3.587064837002075</v>
      </c>
      <c r="K29" s="53">
        <f>IFERROR(WHOLE_STRUCTURE[[#This Row],[Bottom '[m']]]-WHOLE_STRUCTURE[[#This Row],[D, top '[m']]], "")</f>
        <v>113.65700000000001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270.56521739130437</v>
      </c>
      <c r="O29" s="55" t="s">
        <v>78</v>
      </c>
      <c r="P29" s="55" t="s">
        <v>256</v>
      </c>
      <c r="Q29" s="55">
        <v>116.94999999999999</v>
      </c>
      <c r="R29" s="55">
        <v>116.94999999999999</v>
      </c>
      <c r="S29" s="51">
        <v>147</v>
      </c>
      <c r="T29" s="51"/>
      <c r="U29" s="51"/>
      <c r="V29" s="51"/>
      <c r="W29" s="51"/>
      <c r="X29" s="51"/>
    </row>
    <row r="30" spans="2:50" x14ac:dyDescent="0.3">
      <c r="B30" s="51">
        <v>16</v>
      </c>
      <c r="C30" s="51" t="s">
        <v>78</v>
      </c>
      <c r="D30" s="51">
        <v>16</v>
      </c>
      <c r="E30" s="51">
        <v>119.88000000000001</v>
      </c>
      <c r="F30" s="51">
        <v>116.95</v>
      </c>
      <c r="G30" s="51">
        <v>6.2229999999999999</v>
      </c>
      <c r="H30" s="51">
        <v>6.2229999999999999</v>
      </c>
      <c r="I30" s="51">
        <v>23</v>
      </c>
      <c r="J30" s="54">
        <f t="shared" si="0"/>
        <v>10.304019580800142</v>
      </c>
      <c r="K30" s="53">
        <f>IFERROR(WHOLE_STRUCTURE[[#This Row],[Bottom '[m']]]-WHOLE_STRUCTURE[[#This Row],[D, top '[m']]], "")</f>
        <v>110.727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270.56521739130437</v>
      </c>
      <c r="O30" s="55" t="s">
        <v>78</v>
      </c>
      <c r="P30" s="55" t="s">
        <v>256</v>
      </c>
      <c r="Q30" s="55">
        <v>115.446</v>
      </c>
      <c r="R30" s="55">
        <v>115.446</v>
      </c>
      <c r="S30" s="51">
        <v>147</v>
      </c>
      <c r="T30" s="51"/>
      <c r="U30" s="51"/>
      <c r="V30" s="51"/>
      <c r="W30" s="51"/>
      <c r="X30" s="51"/>
    </row>
    <row r="31" spans="2:50" x14ac:dyDescent="0.3">
      <c r="B31" s="51">
        <v>17</v>
      </c>
      <c r="C31" s="51" t="s">
        <v>78</v>
      </c>
      <c r="D31" s="51">
        <v>17</v>
      </c>
      <c r="E31" s="51">
        <v>116.95</v>
      </c>
      <c r="F31" s="51">
        <v>115.44600000000001</v>
      </c>
      <c r="G31" s="51">
        <v>6.2229999999999999</v>
      </c>
      <c r="H31" s="51">
        <v>6.2229999999999999</v>
      </c>
      <c r="I31" s="51">
        <v>23</v>
      </c>
      <c r="J31" s="54">
        <f t="shared" si="0"/>
        <v>5.2891622694618716</v>
      </c>
      <c r="K31" s="53">
        <f>IFERROR(WHOLE_STRUCTURE[[#This Row],[Bottom '[m']]]-WHOLE_STRUCTURE[[#This Row],[D, top '[m']]], "")</f>
        <v>109.22300000000001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270.56521739130437</v>
      </c>
      <c r="O31" s="55" t="s">
        <v>78</v>
      </c>
      <c r="P31" s="55" t="s">
        <v>256</v>
      </c>
      <c r="Q31" s="55">
        <v>111.08999999999999</v>
      </c>
      <c r="R31" s="55">
        <v>111.08999999999999</v>
      </c>
      <c r="S31" s="51">
        <v>147</v>
      </c>
      <c r="T31" s="51"/>
      <c r="U31" s="51"/>
      <c r="V31" s="51"/>
      <c r="W31" s="51"/>
      <c r="X31" s="51"/>
    </row>
    <row r="32" spans="2:50" x14ac:dyDescent="0.3">
      <c r="B32" s="51">
        <v>18</v>
      </c>
      <c r="C32" s="51" t="s">
        <v>78</v>
      </c>
      <c r="D32" s="51">
        <v>18</v>
      </c>
      <c r="E32" s="51">
        <v>115.44600000000001</v>
      </c>
      <c r="F32" s="51">
        <v>114.02000000000001</v>
      </c>
      <c r="G32" s="51">
        <v>6.2229999999999999</v>
      </c>
      <c r="H32" s="51">
        <v>6.2240000000000002</v>
      </c>
      <c r="I32" s="51">
        <v>23</v>
      </c>
      <c r="J32" s="54">
        <f t="shared" si="0"/>
        <v>5.0152617353149624</v>
      </c>
      <c r="K32" s="53">
        <f>IFERROR(WHOLE_STRUCTURE[[#This Row],[Bottom '[m']]]-WHOLE_STRUCTURE[[#This Row],[D, top '[m']]], "")</f>
        <v>107.79700000000001</v>
      </c>
      <c r="L32" s="54">
        <f>IFERROR(-(WHOLE_STRUCTURE[[#This Row],[D, bottom '[m']]]-WHOLE_STRUCTURE[[#This Row],[D, top '[m']]])/(WHOLE_STRUCTURE[[#This Row],[Bottom '[m']]]-WHOLE_STRUCTURE[[#This Row],[Top '[m']]]),"")</f>
        <v>7.0126227208999476E-4</v>
      </c>
      <c r="M32" s="52">
        <f>IFERROR((WHOLE_STRUCTURE[[#This Row],[D, bottom '[m']]]+WHOLE_STRUCTURE[[#This Row],[D, top '[m']]])/(2*WHOLE_STRUCTURE[[#This Row],[t '[mm']]]/1000),"")</f>
        <v>270.58695652173913</v>
      </c>
      <c r="O32" s="55" t="s">
        <v>78</v>
      </c>
      <c r="P32" s="55" t="s">
        <v>256</v>
      </c>
      <c r="Q32" s="55">
        <v>110.89999999999999</v>
      </c>
      <c r="R32" s="55">
        <v>110.89999999999999</v>
      </c>
      <c r="S32" s="51">
        <v>147</v>
      </c>
      <c r="T32" s="51"/>
      <c r="U32" s="51"/>
      <c r="V32" s="51"/>
      <c r="W32" s="51"/>
      <c r="X32" s="51"/>
    </row>
    <row r="33" spans="2:24" x14ac:dyDescent="0.3">
      <c r="B33" s="51">
        <v>19</v>
      </c>
      <c r="C33" s="51" t="s">
        <v>78</v>
      </c>
      <c r="D33" s="51">
        <v>19</v>
      </c>
      <c r="E33" s="51">
        <v>114.02000000000001</v>
      </c>
      <c r="F33" s="51">
        <v>111.09</v>
      </c>
      <c r="G33" s="51">
        <v>6.2240000000000002</v>
      </c>
      <c r="H33" s="51">
        <v>6.2249999999999996</v>
      </c>
      <c r="I33" s="51">
        <v>24</v>
      </c>
      <c r="J33" s="54">
        <f t="shared" si="0"/>
        <v>10.752887530560983</v>
      </c>
      <c r="K33" s="53">
        <f>IFERROR(WHOLE_STRUCTURE[[#This Row],[Bottom '[m']]]-WHOLE_STRUCTURE[[#This Row],[D, top '[m']]], "")</f>
        <v>104.866</v>
      </c>
      <c r="L33" s="54">
        <f>IFERROR(-(WHOLE_STRUCTURE[[#This Row],[D, bottom '[m']]]-WHOLE_STRUCTURE[[#This Row],[D, top '[m']]])/(WHOLE_STRUCTURE[[#This Row],[Bottom '[m']]]-WHOLE_STRUCTURE[[#This Row],[Top '[m']]]),"")</f>
        <v>3.412969283274551E-4</v>
      </c>
      <c r="M33" s="52">
        <f>IFERROR((WHOLE_STRUCTURE[[#This Row],[D, bottom '[m']]]+WHOLE_STRUCTURE[[#This Row],[D, top '[m']]])/(2*WHOLE_STRUCTURE[[#This Row],[t '[mm']]]/1000),"")</f>
        <v>259.35416666666669</v>
      </c>
      <c r="O33" s="55" t="s">
        <v>78</v>
      </c>
      <c r="P33" s="55" t="s">
        <v>256</v>
      </c>
      <c r="Q33" s="55">
        <v>107.22399999999999</v>
      </c>
      <c r="R33" s="55">
        <v>107.22399999999999</v>
      </c>
      <c r="S33" s="51">
        <v>147</v>
      </c>
      <c r="T33" s="51"/>
      <c r="U33" s="51"/>
      <c r="V33" s="51"/>
      <c r="W33" s="51"/>
      <c r="X33" s="51"/>
    </row>
    <row r="34" spans="2:24" x14ac:dyDescent="0.3">
      <c r="B34" s="51">
        <v>20</v>
      </c>
      <c r="C34" s="51" t="s">
        <v>78</v>
      </c>
      <c r="D34" s="51">
        <v>20</v>
      </c>
      <c r="E34" s="51">
        <v>111.09</v>
      </c>
      <c r="F34" s="51">
        <v>110.9</v>
      </c>
      <c r="G34" s="51">
        <v>6.2249999999999996</v>
      </c>
      <c r="H34" s="51">
        <v>6.2249999999999996</v>
      </c>
      <c r="I34" s="51">
        <v>25</v>
      </c>
      <c r="J34" s="54">
        <f t="shared" si="0"/>
        <v>0.72628124363851332</v>
      </c>
      <c r="K34" s="53">
        <f>IFERROR(WHOLE_STRUCTURE[[#This Row],[Bottom '[m']]]-WHOLE_STRUCTURE[[#This Row],[D, top '[m']]], "")</f>
        <v>104.67500000000001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248.99999999999997</v>
      </c>
      <c r="O34" s="55" t="s">
        <v>78</v>
      </c>
      <c r="P34" s="55" t="s">
        <v>256</v>
      </c>
      <c r="Q34" s="55">
        <v>102.3</v>
      </c>
      <c r="R34" s="55">
        <v>102.3</v>
      </c>
      <c r="S34" s="51">
        <v>147</v>
      </c>
      <c r="T34" s="51"/>
      <c r="U34" s="51"/>
      <c r="V34" s="51"/>
      <c r="W34" s="51"/>
      <c r="X34" s="51"/>
    </row>
    <row r="35" spans="2:24" x14ac:dyDescent="0.3">
      <c r="B35" s="51">
        <v>21</v>
      </c>
      <c r="C35" s="51" t="s">
        <v>78</v>
      </c>
      <c r="D35" s="51">
        <v>21</v>
      </c>
      <c r="E35" s="51">
        <v>110.9</v>
      </c>
      <c r="F35" s="51">
        <v>108.16000000000001</v>
      </c>
      <c r="G35" s="51">
        <v>6.2249999999999996</v>
      </c>
      <c r="H35" s="51">
        <v>6.226</v>
      </c>
      <c r="I35" s="51">
        <v>25</v>
      </c>
      <c r="J35" s="54">
        <f t="shared" si="0"/>
        <v>10.474584696294533</v>
      </c>
      <c r="K35" s="53">
        <f>IFERROR(WHOLE_STRUCTURE[[#This Row],[Bottom '[m']]]-WHOLE_STRUCTURE[[#This Row],[D, top '[m']]], "")</f>
        <v>101.93500000000002</v>
      </c>
      <c r="L35" s="54">
        <f>IFERROR(-(WHOLE_STRUCTURE[[#This Row],[D, bottom '[m']]]-WHOLE_STRUCTURE[[#This Row],[D, top '[m']]])/(WHOLE_STRUCTURE[[#This Row],[Bottom '[m']]]-WHOLE_STRUCTURE[[#This Row],[Top '[m']]]),"")</f>
        <v>3.6496350364975758E-4</v>
      </c>
      <c r="M35" s="52">
        <f>IFERROR((WHOLE_STRUCTURE[[#This Row],[D, bottom '[m']]]+WHOLE_STRUCTURE[[#This Row],[D, top '[m']]])/(2*WHOLE_STRUCTURE[[#This Row],[t '[mm']]]/1000),"")</f>
        <v>249.02</v>
      </c>
      <c r="O35" s="55" t="s">
        <v>78</v>
      </c>
      <c r="P35" s="55" t="s">
        <v>256</v>
      </c>
      <c r="Q35" s="55">
        <v>102.25999999999999</v>
      </c>
      <c r="R35" s="55">
        <v>102.25999999999999</v>
      </c>
      <c r="S35" s="51">
        <v>5610</v>
      </c>
      <c r="T35" s="51"/>
      <c r="U35" s="51"/>
      <c r="V35" s="51"/>
      <c r="W35" s="51"/>
      <c r="X35" s="51"/>
    </row>
    <row r="36" spans="2:24" x14ac:dyDescent="0.3">
      <c r="B36" s="51">
        <v>22</v>
      </c>
      <c r="C36" s="51" t="s">
        <v>78</v>
      </c>
      <c r="D36" s="51">
        <v>22</v>
      </c>
      <c r="E36" s="51">
        <v>108.16000000000001</v>
      </c>
      <c r="F36" s="51">
        <v>107.224</v>
      </c>
      <c r="G36" s="51">
        <v>6.226</v>
      </c>
      <c r="H36" s="51">
        <v>6.226</v>
      </c>
      <c r="I36" s="51">
        <v>26</v>
      </c>
      <c r="J36" s="54">
        <f t="shared" si="0"/>
        <v>3.7210063884604585</v>
      </c>
      <c r="K36" s="53">
        <f>IFERROR(WHOLE_STRUCTURE[[#This Row],[Bottom '[m']]]-WHOLE_STRUCTURE[[#This Row],[D, top '[m']]], "")</f>
        <v>100.998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239.46153846153848</v>
      </c>
      <c r="O36" s="55" t="s">
        <v>78</v>
      </c>
      <c r="P36" s="55" t="s">
        <v>256</v>
      </c>
      <c r="Q36" s="55">
        <v>102.1</v>
      </c>
      <c r="R36" s="55">
        <v>102.1</v>
      </c>
      <c r="S36" s="51">
        <v>8160</v>
      </c>
      <c r="T36" s="51"/>
      <c r="U36" s="51"/>
      <c r="V36" s="51"/>
      <c r="W36" s="51"/>
      <c r="X36" s="51"/>
    </row>
    <row r="37" spans="2:24" x14ac:dyDescent="0.3">
      <c r="B37" s="51">
        <v>23</v>
      </c>
      <c r="C37" s="51" t="s">
        <v>78</v>
      </c>
      <c r="D37" s="51">
        <v>23</v>
      </c>
      <c r="E37" s="51">
        <v>107.224</v>
      </c>
      <c r="F37" s="51">
        <v>105.23</v>
      </c>
      <c r="G37" s="51">
        <v>6.226</v>
      </c>
      <c r="H37" s="51">
        <v>6.226</v>
      </c>
      <c r="I37" s="51">
        <v>26</v>
      </c>
      <c r="J37" s="54">
        <f t="shared" si="0"/>
        <v>7.9270157463569424</v>
      </c>
      <c r="K37" s="53">
        <f>IFERROR(WHOLE_STRUCTURE[[#This Row],[Bottom '[m']]]-WHOLE_STRUCTURE[[#This Row],[D, top '[m']]], "")</f>
        <v>99.004000000000005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239.46153846153848</v>
      </c>
      <c r="O37" s="55" t="s">
        <v>78</v>
      </c>
      <c r="P37" s="55" t="s">
        <v>256</v>
      </c>
      <c r="Q37" s="55">
        <v>101.94</v>
      </c>
      <c r="R37" s="55">
        <v>101.94</v>
      </c>
      <c r="S37" s="51">
        <v>5</v>
      </c>
      <c r="T37" s="51"/>
      <c r="U37" s="51"/>
      <c r="V37" s="51"/>
      <c r="W37" s="51"/>
      <c r="X37" s="51"/>
    </row>
    <row r="38" spans="2:24" x14ac:dyDescent="0.3">
      <c r="B38" s="51">
        <v>24</v>
      </c>
      <c r="C38" s="51" t="s">
        <v>78</v>
      </c>
      <c r="D38" s="51">
        <v>24</v>
      </c>
      <c r="E38" s="51">
        <v>105.23</v>
      </c>
      <c r="F38" s="51">
        <v>102.30000000000001</v>
      </c>
      <c r="G38" s="51">
        <v>6.226</v>
      </c>
      <c r="H38" s="51">
        <v>6.2279999999999998</v>
      </c>
      <c r="I38" s="51">
        <v>26</v>
      </c>
      <c r="J38" s="54">
        <f t="shared" si="0"/>
        <v>11.64990084806473</v>
      </c>
      <c r="K38" s="53">
        <f>IFERROR(WHOLE_STRUCTURE[[#This Row],[Bottom '[m']]]-WHOLE_STRUCTURE[[#This Row],[D, top '[m']]], "")</f>
        <v>96.074000000000012</v>
      </c>
      <c r="L38" s="54">
        <f>IFERROR(-(WHOLE_STRUCTURE[[#This Row],[D, bottom '[m']]]-WHOLE_STRUCTURE[[#This Row],[D, top '[m']]])/(WHOLE_STRUCTURE[[#This Row],[Bottom '[m']]]-WHOLE_STRUCTURE[[#This Row],[Top '[m']]]),"")</f>
        <v>6.825938566552166E-4</v>
      </c>
      <c r="M38" s="52">
        <f>IFERROR((WHOLE_STRUCTURE[[#This Row],[D, bottom '[m']]]+WHOLE_STRUCTURE[[#This Row],[D, top '[m']]])/(2*WHOLE_STRUCTURE[[#This Row],[t '[mm']]]/1000),"")</f>
        <v>239.50000000000003</v>
      </c>
      <c r="O38" s="55" t="s">
        <v>78</v>
      </c>
      <c r="P38" s="55" t="s">
        <v>256</v>
      </c>
      <c r="Q38" s="55">
        <v>101.89999999999999</v>
      </c>
      <c r="R38" s="55">
        <v>101.89999999999999</v>
      </c>
      <c r="S38" s="51">
        <v>1</v>
      </c>
      <c r="T38" s="51"/>
      <c r="U38" s="51"/>
      <c r="V38" s="51"/>
      <c r="W38" s="51"/>
      <c r="X38" s="51"/>
    </row>
    <row r="39" spans="2:24" x14ac:dyDescent="0.3">
      <c r="B39" s="51">
        <v>25</v>
      </c>
      <c r="C39" s="51" t="s">
        <v>78</v>
      </c>
      <c r="D39" s="51">
        <v>25</v>
      </c>
      <c r="E39" s="51">
        <v>102.30000000000001</v>
      </c>
      <c r="F39" s="51">
        <v>102.26</v>
      </c>
      <c r="G39" s="51">
        <v>6.2279999999999998</v>
      </c>
      <c r="H39" s="51">
        <v>6.2279999999999998</v>
      </c>
      <c r="I39" s="51">
        <v>28</v>
      </c>
      <c r="J39" s="54">
        <f t="shared" si="0"/>
        <v>0.17124947218426703</v>
      </c>
      <c r="K39" s="53">
        <f>IFERROR(WHOLE_STRUCTURE[[#This Row],[Bottom '[m']]]-WHOLE_STRUCTURE[[#This Row],[D, top '[m']]], "")</f>
        <v>96.032000000000011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222.42857142857142</v>
      </c>
      <c r="O39" s="55" t="s">
        <v>78</v>
      </c>
      <c r="P39" s="55" t="s">
        <v>256</v>
      </c>
      <c r="Q39" s="55">
        <v>100.89999999999999</v>
      </c>
      <c r="R39" s="55">
        <v>100.89999999999999</v>
      </c>
      <c r="S39" s="51">
        <v>1003</v>
      </c>
      <c r="T39" s="51"/>
      <c r="U39" s="51"/>
      <c r="V39" s="51"/>
      <c r="W39" s="51"/>
      <c r="X39" s="51"/>
    </row>
    <row r="40" spans="2:24" x14ac:dyDescent="0.3">
      <c r="B40" s="51">
        <v>26</v>
      </c>
      <c r="C40" s="51" t="s">
        <v>78</v>
      </c>
      <c r="D40" s="51">
        <v>26</v>
      </c>
      <c r="E40" s="51">
        <v>102.26</v>
      </c>
      <c r="F40" s="51">
        <v>102.10000000000001</v>
      </c>
      <c r="G40" s="51">
        <v>6.2279999999999998</v>
      </c>
      <c r="H40" s="51">
        <v>6.2279999999999998</v>
      </c>
      <c r="I40" s="51">
        <v>28</v>
      </c>
      <c r="J40" s="54">
        <f t="shared" si="0"/>
        <v>0.68499788873694645</v>
      </c>
      <c r="K40" s="53">
        <f>IFERROR(WHOLE_STRUCTURE[[#This Row],[Bottom '[m']]]-WHOLE_STRUCTURE[[#This Row],[D, top '[m']]], "")</f>
        <v>95.872000000000014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222.42857142857142</v>
      </c>
      <c r="O40" s="55" t="s">
        <v>78</v>
      </c>
      <c r="P40" s="55" t="s">
        <v>256</v>
      </c>
      <c r="Q40" s="55">
        <v>99.002999999999986</v>
      </c>
      <c r="R40" s="55">
        <v>99.002999999999986</v>
      </c>
      <c r="S40" s="51">
        <v>137</v>
      </c>
      <c r="T40" s="51"/>
      <c r="U40" s="51"/>
      <c r="V40" s="51"/>
      <c r="W40" s="51"/>
      <c r="X40" s="51"/>
    </row>
    <row r="41" spans="2:24" x14ac:dyDescent="0.3">
      <c r="B41" s="51">
        <v>27</v>
      </c>
      <c r="C41" s="51" t="s">
        <v>78</v>
      </c>
      <c r="D41" s="51">
        <v>27</v>
      </c>
      <c r="E41" s="51">
        <v>102.10000000000001</v>
      </c>
      <c r="F41" s="51">
        <v>101.94000000000001</v>
      </c>
      <c r="G41" s="51">
        <v>6.2279999999999998</v>
      </c>
      <c r="H41" s="51">
        <v>6.2279999999999998</v>
      </c>
      <c r="I41" s="51">
        <v>28</v>
      </c>
      <c r="J41" s="54">
        <f t="shared" si="0"/>
        <v>0.68499788873694645</v>
      </c>
      <c r="K41" s="53">
        <f>IFERROR(WHOLE_STRUCTURE[[#This Row],[Bottom '[m']]]-WHOLE_STRUCTURE[[#This Row],[D, top '[m']]], "")</f>
        <v>95.712000000000018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222.42857142857142</v>
      </c>
      <c r="O41" s="55" t="s">
        <v>78</v>
      </c>
      <c r="P41" s="55" t="s">
        <v>256</v>
      </c>
      <c r="Q41" s="55">
        <v>94.891999999999996</v>
      </c>
      <c r="R41" s="55">
        <v>94.891999999999996</v>
      </c>
      <c r="S41" s="51">
        <v>138</v>
      </c>
      <c r="T41" s="51"/>
      <c r="U41" s="51"/>
      <c r="V41" s="51"/>
      <c r="W41" s="51"/>
      <c r="X41" s="51"/>
    </row>
    <row r="42" spans="2:24" x14ac:dyDescent="0.3">
      <c r="B42" s="51">
        <v>28</v>
      </c>
      <c r="C42" s="51" t="s">
        <v>78</v>
      </c>
      <c r="D42" s="51">
        <v>28</v>
      </c>
      <c r="E42" s="51">
        <v>101.94000000000001</v>
      </c>
      <c r="F42" s="51">
        <v>101.9</v>
      </c>
      <c r="G42" s="51">
        <v>6.2279999999999998</v>
      </c>
      <c r="H42" s="51">
        <v>6.23</v>
      </c>
      <c r="I42" s="51">
        <v>28</v>
      </c>
      <c r="J42" s="54">
        <f t="shared" ref="J42:J68" si="3">IF(7850/1000*(1/3)*PI()*ABS(E42-F42)*((G42/2)^2+(G42/2)*(H42/2)+(H42/2)^2-(G42/2-I42/1000)^2-(G42/2-I42/1000)*(H42/2-I42/1000)-(H42/2-I42/1000)^2)=0,"",7850/1000*(1/3)*PI()*ABS(E42-F42)*((G42/2)^2+(G42/2)*(H42/2)+(H42/2)^2-(G42/2-I42/1000)^2-(G42/2-I42/1000)*(H42/2-I42/1000)-(H42/2-I42/1000)^2))</f>
        <v>0.1712770930668801</v>
      </c>
      <c r="K42" s="53">
        <f>IFERROR(WHOLE_STRUCTURE[[#This Row],[Bottom '[m']]]-WHOLE_STRUCTURE[[#This Row],[D, top '[m']]], "")</f>
        <v>95.672000000000011</v>
      </c>
      <c r="L42" s="54">
        <f>IFERROR(-(WHOLE_STRUCTURE[[#This Row],[D, bottom '[m']]]-WHOLE_STRUCTURE[[#This Row],[D, top '[m']]])/(WHOLE_STRUCTURE[[#This Row],[Bottom '[m']]]-WHOLE_STRUCTURE[[#This Row],[Top '[m']]]),"")</f>
        <v>5.0000000000008885E-2</v>
      </c>
      <c r="M42" s="52">
        <f>IFERROR((WHOLE_STRUCTURE[[#This Row],[D, bottom '[m']]]+WHOLE_STRUCTURE[[#This Row],[D, top '[m']]])/(2*WHOLE_STRUCTURE[[#This Row],[t '[mm']]]/1000),"")</f>
        <v>222.46428571428572</v>
      </c>
      <c r="O42" s="55" t="s">
        <v>78</v>
      </c>
      <c r="P42" s="55" t="s">
        <v>256</v>
      </c>
      <c r="Q42" s="55">
        <v>91.005999999999986</v>
      </c>
      <c r="R42" s="55">
        <v>91.005999999999986</v>
      </c>
      <c r="S42" s="51">
        <v>138</v>
      </c>
      <c r="T42" s="51"/>
      <c r="U42" s="51"/>
      <c r="V42" s="51"/>
      <c r="W42" s="51"/>
      <c r="X42" s="51"/>
    </row>
    <row r="43" spans="2:24" x14ac:dyDescent="0.3">
      <c r="B43" s="51">
        <v>29</v>
      </c>
      <c r="C43" s="51" t="s">
        <v>78</v>
      </c>
      <c r="D43" s="51">
        <v>29</v>
      </c>
      <c r="E43" s="51">
        <v>101.9</v>
      </c>
      <c r="F43" s="51">
        <v>100.9</v>
      </c>
      <c r="G43" s="51">
        <v>6.23</v>
      </c>
      <c r="H43" s="51">
        <v>6.2530000000000001</v>
      </c>
      <c r="I43" s="51">
        <v>30.099999999999998</v>
      </c>
      <c r="J43" s="54">
        <f t="shared" si="3"/>
        <v>4.610791912861246</v>
      </c>
      <c r="K43" s="53">
        <f>IFERROR(WHOLE_STRUCTURE[[#This Row],[Bottom '[m']]]-WHOLE_STRUCTURE[[#This Row],[D, top '[m']]], "")</f>
        <v>94.67</v>
      </c>
      <c r="L43" s="54">
        <f>IFERROR(-(WHOLE_STRUCTURE[[#This Row],[D, bottom '[m']]]-WHOLE_STRUCTURE[[#This Row],[D, top '[m']]])/(WHOLE_STRUCTURE[[#This Row],[Bottom '[m']]]-WHOLE_STRUCTURE[[#This Row],[Top '[m']]]),"")</f>
        <v>2.2999999999999687E-2</v>
      </c>
      <c r="M43" s="52">
        <f>IFERROR((WHOLE_STRUCTURE[[#This Row],[D, bottom '[m']]]+WHOLE_STRUCTURE[[#This Row],[D, top '[m']]])/(2*WHOLE_STRUCTURE[[#This Row],[t '[mm']]]/1000),"")</f>
        <v>207.358803986711</v>
      </c>
      <c r="O43" s="55" t="s">
        <v>78</v>
      </c>
      <c r="P43" s="55" t="s">
        <v>256</v>
      </c>
      <c r="Q43" s="55">
        <v>90.899999999999991</v>
      </c>
      <c r="R43" s="55">
        <v>90.899999999999991</v>
      </c>
      <c r="S43" s="51">
        <v>139</v>
      </c>
      <c r="T43" s="51"/>
      <c r="U43" s="51"/>
      <c r="V43" s="51"/>
      <c r="W43" s="51"/>
      <c r="X43" s="51"/>
    </row>
    <row r="44" spans="2:24" x14ac:dyDescent="0.3">
      <c r="B44" s="51">
        <v>30</v>
      </c>
      <c r="C44" s="51" t="s">
        <v>78</v>
      </c>
      <c r="D44" s="51">
        <v>30</v>
      </c>
      <c r="E44" s="51">
        <v>100.9</v>
      </c>
      <c r="F44" s="51">
        <v>99.172000000000011</v>
      </c>
      <c r="G44" s="51">
        <v>6.2530000000000001</v>
      </c>
      <c r="H44" s="51">
        <v>6.2889999999999997</v>
      </c>
      <c r="I44" s="51">
        <v>30.099999999999998</v>
      </c>
      <c r="J44" s="54">
        <f t="shared" si="3"/>
        <v>8.0052884821827153</v>
      </c>
      <c r="K44" s="53">
        <f>IFERROR(WHOLE_STRUCTURE[[#This Row],[Bottom '[m']]]-WHOLE_STRUCTURE[[#This Row],[D, top '[m']]], "")</f>
        <v>92.919000000000011</v>
      </c>
      <c r="L44" s="54">
        <f>IFERROR(-(WHOLE_STRUCTURE[[#This Row],[D, bottom '[m']]]-WHOLE_STRUCTURE[[#This Row],[D, top '[m']]])/(WHOLE_STRUCTURE[[#This Row],[Bottom '[m']]]-WHOLE_STRUCTURE[[#This Row],[Top '[m']]]),"")</f>
        <v>2.0833333333333162E-2</v>
      </c>
      <c r="M44" s="52">
        <f>IFERROR((WHOLE_STRUCTURE[[#This Row],[D, bottom '[m']]]+WHOLE_STRUCTURE[[#This Row],[D, top '[m']]])/(2*WHOLE_STRUCTURE[[#This Row],[t '[mm']]]/1000),"")</f>
        <v>208.3388704318937</v>
      </c>
      <c r="O44" s="55" t="s">
        <v>78</v>
      </c>
      <c r="P44" s="55" t="s">
        <v>256</v>
      </c>
      <c r="Q44" s="55">
        <v>86.670999999999992</v>
      </c>
      <c r="R44" s="55">
        <v>86.670999999999992</v>
      </c>
      <c r="S44" s="51">
        <v>139</v>
      </c>
      <c r="T44" s="51"/>
      <c r="U44" s="51"/>
      <c r="V44" s="51"/>
      <c r="W44" s="51"/>
      <c r="X44" s="51"/>
    </row>
    <row r="45" spans="2:24" x14ac:dyDescent="0.3">
      <c r="B45" s="51">
        <v>31</v>
      </c>
      <c r="C45" s="51" t="s">
        <v>78</v>
      </c>
      <c r="D45" s="51">
        <v>31</v>
      </c>
      <c r="E45" s="51">
        <v>99.172000000000011</v>
      </c>
      <c r="F45" s="51">
        <v>99.003</v>
      </c>
      <c r="G45" s="51">
        <v>6.2889999999999997</v>
      </c>
      <c r="H45" s="51">
        <v>6.2919999999999998</v>
      </c>
      <c r="I45" s="51">
        <v>26.5</v>
      </c>
      <c r="J45" s="54">
        <f t="shared" si="3"/>
        <v>0.69183711520936486</v>
      </c>
      <c r="K45" s="53">
        <f>IFERROR(WHOLE_STRUCTURE[[#This Row],[Bottom '[m']]]-WHOLE_STRUCTURE[[#This Row],[D, top '[m']]], "")</f>
        <v>92.713999999999999</v>
      </c>
      <c r="L45" s="54">
        <f>IFERROR(-(WHOLE_STRUCTURE[[#This Row],[D, bottom '[m']]]-WHOLE_STRUCTURE[[#This Row],[D, top '[m']]])/(WHOLE_STRUCTURE[[#This Row],[Bottom '[m']]]-WHOLE_STRUCTURE[[#This Row],[Top '[m']]]),"")</f>
        <v>1.7751479289940329E-2</v>
      </c>
      <c r="M45" s="52">
        <f>IFERROR((WHOLE_STRUCTURE[[#This Row],[D, bottom '[m']]]+WHOLE_STRUCTURE[[#This Row],[D, top '[m']]])/(2*WHOLE_STRUCTURE[[#This Row],[t '[mm']]]/1000),"")</f>
        <v>237.37735849056602</v>
      </c>
      <c r="O45" s="55" t="s">
        <v>78</v>
      </c>
      <c r="P45" s="55" t="s">
        <v>256</v>
      </c>
      <c r="Q45" s="55">
        <v>82.839999999999989</v>
      </c>
      <c r="R45" s="55">
        <v>82.839999999999989</v>
      </c>
      <c r="S45" s="51">
        <v>140</v>
      </c>
      <c r="T45" s="51"/>
      <c r="U45" s="51"/>
      <c r="V45" s="51"/>
      <c r="W45" s="51"/>
      <c r="X45" s="51"/>
    </row>
    <row r="46" spans="2:24" x14ac:dyDescent="0.3">
      <c r="B46" s="51">
        <v>32</v>
      </c>
      <c r="C46" s="51" t="s">
        <v>78</v>
      </c>
      <c r="D46" s="51">
        <v>32</v>
      </c>
      <c r="E46" s="51">
        <v>99.003</v>
      </c>
      <c r="F46" s="51">
        <v>96.45</v>
      </c>
      <c r="G46" s="51">
        <v>6.2919999999999998</v>
      </c>
      <c r="H46" s="51">
        <v>6.351</v>
      </c>
      <c r="I46" s="51">
        <v>26.5</v>
      </c>
      <c r="J46" s="54">
        <f t="shared" si="3"/>
        <v>10.502965831367973</v>
      </c>
      <c r="K46" s="53">
        <f>IFERROR(WHOLE_STRUCTURE[[#This Row],[Bottom '[m']]]-WHOLE_STRUCTURE[[#This Row],[D, top '[m']]], "")</f>
        <v>90.158000000000001</v>
      </c>
      <c r="L46" s="54">
        <f>IFERROR(-(WHOLE_STRUCTURE[[#This Row],[D, bottom '[m']]]-WHOLE_STRUCTURE[[#This Row],[D, top '[m']]])/(WHOLE_STRUCTURE[[#This Row],[Bottom '[m']]]-WHOLE_STRUCTURE[[#This Row],[Top '[m']]]),"")</f>
        <v>2.3110066588327545E-2</v>
      </c>
      <c r="M46" s="52">
        <f>IFERROR((WHOLE_STRUCTURE[[#This Row],[D, bottom '[m']]]+WHOLE_STRUCTURE[[#This Row],[D, top '[m']]])/(2*WHOLE_STRUCTURE[[#This Row],[t '[mm']]]/1000),"")</f>
        <v>238.54716981132077</v>
      </c>
      <c r="O46" s="55" t="s">
        <v>78</v>
      </c>
      <c r="P46" s="55" t="s">
        <v>256</v>
      </c>
      <c r="Q46" s="55">
        <v>80.899999999999991</v>
      </c>
      <c r="R46" s="55">
        <v>80.899999999999991</v>
      </c>
      <c r="S46" s="51">
        <v>140</v>
      </c>
      <c r="T46" s="51"/>
      <c r="U46" s="51"/>
      <c r="V46" s="51"/>
      <c r="W46" s="51"/>
      <c r="X46" s="51"/>
    </row>
    <row r="47" spans="2:24" x14ac:dyDescent="0.3">
      <c r="B47" s="51">
        <v>33</v>
      </c>
      <c r="C47" s="51" t="s">
        <v>78</v>
      </c>
      <c r="D47" s="51">
        <v>33</v>
      </c>
      <c r="E47" s="51">
        <v>96.45</v>
      </c>
      <c r="F47" s="51">
        <v>94.89200000000001</v>
      </c>
      <c r="G47" s="51">
        <v>6.351</v>
      </c>
      <c r="H47" s="51">
        <v>6.3869999999999996</v>
      </c>
      <c r="I47" s="51">
        <v>28</v>
      </c>
      <c r="J47" s="54">
        <f t="shared" si="3"/>
        <v>6.8218594478281238</v>
      </c>
      <c r="K47" s="53">
        <f>IFERROR(WHOLE_STRUCTURE[[#This Row],[Bottom '[m']]]-WHOLE_STRUCTURE[[#This Row],[D, top '[m']]], "")</f>
        <v>88.541000000000011</v>
      </c>
      <c r="L47" s="54">
        <f>IFERROR(-(WHOLE_STRUCTURE[[#This Row],[D, bottom '[m']]]-WHOLE_STRUCTURE[[#This Row],[D, top '[m']]])/(WHOLE_STRUCTURE[[#This Row],[Bottom '[m']]]-WHOLE_STRUCTURE[[#This Row],[Top '[m']]]),"")</f>
        <v>2.3106546854942078E-2</v>
      </c>
      <c r="M47" s="52">
        <f>IFERROR((WHOLE_STRUCTURE[[#This Row],[D, bottom '[m']]]+WHOLE_STRUCTURE[[#This Row],[D, top '[m']]])/(2*WHOLE_STRUCTURE[[#This Row],[t '[mm']]]/1000),"")</f>
        <v>227.46428571428569</v>
      </c>
      <c r="O47" s="55" t="s">
        <v>78</v>
      </c>
      <c r="P47" s="55" t="s">
        <v>256</v>
      </c>
      <c r="Q47" s="55">
        <v>78.449999999999989</v>
      </c>
      <c r="R47" s="55">
        <v>78.449999999999989</v>
      </c>
      <c r="S47" s="51">
        <v>141</v>
      </c>
      <c r="T47" s="51"/>
      <c r="U47" s="51"/>
      <c r="V47" s="51"/>
      <c r="W47" s="51"/>
      <c r="X47" s="51"/>
    </row>
    <row r="48" spans="2:24" x14ac:dyDescent="0.3">
      <c r="B48" s="51">
        <v>34</v>
      </c>
      <c r="C48" s="51" t="s">
        <v>78</v>
      </c>
      <c r="D48" s="51">
        <v>34</v>
      </c>
      <c r="E48" s="51">
        <v>94.89200000000001</v>
      </c>
      <c r="F48" s="51">
        <v>93.728000000000009</v>
      </c>
      <c r="G48" s="51">
        <v>6.3869999999999996</v>
      </c>
      <c r="H48" s="51">
        <v>6.4139999999999997</v>
      </c>
      <c r="I48" s="51">
        <v>28</v>
      </c>
      <c r="J48" s="54">
        <f t="shared" si="3"/>
        <v>5.1220095660448148</v>
      </c>
      <c r="K48" s="53">
        <f>IFERROR(WHOLE_STRUCTURE[[#This Row],[Bottom '[m']]]-WHOLE_STRUCTURE[[#This Row],[D, top '[m']]], "")</f>
        <v>87.341000000000008</v>
      </c>
      <c r="L48" s="54">
        <f>IFERROR(-(WHOLE_STRUCTURE[[#This Row],[D, bottom '[m']]]-WHOLE_STRUCTURE[[#This Row],[D, top '[m']]])/(WHOLE_STRUCTURE[[#This Row],[Bottom '[m']]]-WHOLE_STRUCTURE[[#This Row],[Top '[m']]]),"")</f>
        <v>2.3195876288659881E-2</v>
      </c>
      <c r="M48" s="52">
        <f>IFERROR((WHOLE_STRUCTURE[[#This Row],[D, bottom '[m']]]+WHOLE_STRUCTURE[[#This Row],[D, top '[m']]])/(2*WHOLE_STRUCTURE[[#This Row],[t '[mm']]]/1000),"")</f>
        <v>228.58928571428569</v>
      </c>
      <c r="O48" s="55" t="s">
        <v>78</v>
      </c>
      <c r="P48" s="55" t="s">
        <v>256</v>
      </c>
      <c r="Q48" s="55">
        <v>74.673999999999992</v>
      </c>
      <c r="R48" s="55">
        <v>74.673999999999992</v>
      </c>
      <c r="S48" s="51">
        <v>141</v>
      </c>
      <c r="T48" s="51"/>
      <c r="U48" s="51"/>
      <c r="V48" s="51"/>
      <c r="W48" s="51"/>
      <c r="X48" s="51"/>
    </row>
    <row r="49" spans="2:24" x14ac:dyDescent="0.3">
      <c r="B49" s="51">
        <v>35</v>
      </c>
      <c r="C49" s="51" t="s">
        <v>78</v>
      </c>
      <c r="D49" s="51">
        <v>35</v>
      </c>
      <c r="E49" s="51">
        <v>93.728000000000009</v>
      </c>
      <c r="F49" s="51">
        <v>91.006</v>
      </c>
      <c r="G49" s="51">
        <v>6.4139999999999997</v>
      </c>
      <c r="H49" s="51">
        <v>6.4749999999999996</v>
      </c>
      <c r="I49" s="51">
        <v>28.6</v>
      </c>
      <c r="J49" s="54">
        <f t="shared" si="3"/>
        <v>12.317746718159135</v>
      </c>
      <c r="K49" s="53">
        <f>IFERROR(WHOLE_STRUCTURE[[#This Row],[Bottom '[m']]]-WHOLE_STRUCTURE[[#This Row],[D, top '[m']]], "")</f>
        <v>84.591999999999999</v>
      </c>
      <c r="L49" s="54">
        <f>IFERROR(-(WHOLE_STRUCTURE[[#This Row],[D, bottom '[m']]]-WHOLE_STRUCTURE[[#This Row],[D, top '[m']]])/(WHOLE_STRUCTURE[[#This Row],[Bottom '[m']]]-WHOLE_STRUCTURE[[#This Row],[Top '[m']]]),"")</f>
        <v>2.2409992652461335E-2</v>
      </c>
      <c r="M49" s="52">
        <f>IFERROR((WHOLE_STRUCTURE[[#This Row],[D, bottom '[m']]]+WHOLE_STRUCTURE[[#This Row],[D, top '[m']]])/(2*WHOLE_STRUCTURE[[#This Row],[t '[mm']]]/1000),"")</f>
        <v>225.33216783216781</v>
      </c>
      <c r="O49" s="55" t="s">
        <v>78</v>
      </c>
      <c r="P49" s="55" t="s">
        <v>256</v>
      </c>
      <c r="Q49" s="55">
        <v>71.951999999999984</v>
      </c>
      <c r="R49" s="55">
        <v>71.951999999999984</v>
      </c>
      <c r="S49" s="51">
        <v>142</v>
      </c>
      <c r="T49" s="51"/>
      <c r="U49" s="51"/>
      <c r="V49" s="51"/>
      <c r="W49" s="51"/>
      <c r="X49" s="51"/>
    </row>
    <row r="50" spans="2:24" x14ac:dyDescent="0.3">
      <c r="B50" s="51">
        <v>36</v>
      </c>
      <c r="C50" s="51" t="s">
        <v>78</v>
      </c>
      <c r="D50" s="51">
        <v>36</v>
      </c>
      <c r="E50" s="51">
        <v>91.006</v>
      </c>
      <c r="F50" s="51">
        <v>90.9</v>
      </c>
      <c r="G50" s="51">
        <v>6.4749999999999996</v>
      </c>
      <c r="H50" s="51">
        <v>6.4779999999999998</v>
      </c>
      <c r="I50" s="51">
        <v>29.4</v>
      </c>
      <c r="J50" s="54">
        <f t="shared" si="3"/>
        <v>0.49549255301145406</v>
      </c>
      <c r="K50" s="53">
        <f>IFERROR(WHOLE_STRUCTURE[[#This Row],[Bottom '[m']]]-WHOLE_STRUCTURE[[#This Row],[D, top '[m']]], "")</f>
        <v>84.425000000000011</v>
      </c>
      <c r="L50" s="54">
        <f>IFERROR(-(WHOLE_STRUCTURE[[#This Row],[D, bottom '[m']]]-WHOLE_STRUCTURE[[#This Row],[D, top '[m']]])/(WHOLE_STRUCTURE[[#This Row],[Bottom '[m']]]-WHOLE_STRUCTURE[[#This Row],[Top '[m']]]),"")</f>
        <v>2.830188679245536E-2</v>
      </c>
      <c r="M50" s="52">
        <f>IFERROR((WHOLE_STRUCTURE[[#This Row],[D, bottom '[m']]]+WHOLE_STRUCTURE[[#This Row],[D, top '[m']]])/(2*WHOLE_STRUCTURE[[#This Row],[t '[mm']]]/1000),"")</f>
        <v>220.28911564625849</v>
      </c>
      <c r="O50" s="55" t="s">
        <v>78</v>
      </c>
      <c r="P50" s="55" t="s">
        <v>256</v>
      </c>
      <c r="Q50" s="55">
        <v>70.899999999999991</v>
      </c>
      <c r="R50" s="55">
        <v>70.899999999999991</v>
      </c>
      <c r="S50" s="51">
        <v>143</v>
      </c>
      <c r="T50" s="51"/>
      <c r="U50" s="51"/>
      <c r="V50" s="51"/>
      <c r="W50" s="51"/>
      <c r="X50" s="51"/>
    </row>
    <row r="51" spans="2:24" x14ac:dyDescent="0.3">
      <c r="B51" s="51">
        <v>37</v>
      </c>
      <c r="C51" s="51" t="s">
        <v>78</v>
      </c>
      <c r="D51" s="51">
        <v>37</v>
      </c>
      <c r="E51" s="51">
        <v>90.9</v>
      </c>
      <c r="F51" s="51">
        <v>88.284000000000006</v>
      </c>
      <c r="G51" s="51">
        <v>6.4779999999999998</v>
      </c>
      <c r="H51" s="51">
        <v>6.5380000000000003</v>
      </c>
      <c r="I51" s="51">
        <v>29.4</v>
      </c>
      <c r="J51" s="54">
        <f t="shared" si="3"/>
        <v>12.288129120958363</v>
      </c>
      <c r="K51" s="53">
        <f>IFERROR(WHOLE_STRUCTURE[[#This Row],[Bottom '[m']]]-WHOLE_STRUCTURE[[#This Row],[D, top '[m']]], "")</f>
        <v>81.806000000000012</v>
      </c>
      <c r="L51" s="54">
        <f>IFERROR(-(WHOLE_STRUCTURE[[#This Row],[D, bottom '[m']]]-WHOLE_STRUCTURE[[#This Row],[D, top '[m']]])/(WHOLE_STRUCTURE[[#This Row],[Bottom '[m']]]-WHOLE_STRUCTURE[[#This Row],[Top '[m']]]),"")</f>
        <v>2.2935779816513954E-2</v>
      </c>
      <c r="M51" s="52">
        <f>IFERROR((WHOLE_STRUCTURE[[#This Row],[D, bottom '[m']]]+WHOLE_STRUCTURE[[#This Row],[D, top '[m']]])/(2*WHOLE_STRUCTURE[[#This Row],[t '[mm']]]/1000),"")</f>
        <v>221.36054421768708</v>
      </c>
      <c r="O51" s="55" t="s">
        <v>78</v>
      </c>
      <c r="P51" s="55" t="s">
        <v>256</v>
      </c>
      <c r="Q51" s="55">
        <v>66.489999999999995</v>
      </c>
      <c r="R51" s="55">
        <v>66.489999999999995</v>
      </c>
      <c r="S51" s="51">
        <v>144</v>
      </c>
      <c r="T51" s="51"/>
      <c r="U51" s="51"/>
      <c r="V51" s="51"/>
      <c r="W51" s="51"/>
      <c r="X51" s="51"/>
    </row>
    <row r="52" spans="2:24" x14ac:dyDescent="0.3">
      <c r="B52" s="51">
        <v>38</v>
      </c>
      <c r="C52" s="51" t="s">
        <v>78</v>
      </c>
      <c r="D52" s="51">
        <v>38</v>
      </c>
      <c r="E52" s="51">
        <v>88.284000000000006</v>
      </c>
      <c r="F52" s="51">
        <v>86.671000000000006</v>
      </c>
      <c r="G52" s="51">
        <v>6.5380000000000003</v>
      </c>
      <c r="H52" s="51">
        <v>6.5739999999999998</v>
      </c>
      <c r="I52" s="51">
        <v>29.5</v>
      </c>
      <c r="J52" s="54">
        <f t="shared" si="3"/>
        <v>7.6587211107854793</v>
      </c>
      <c r="K52" s="53">
        <f>IFERROR(WHOLE_STRUCTURE[[#This Row],[Bottom '[m']]]-WHOLE_STRUCTURE[[#This Row],[D, top '[m']]], "")</f>
        <v>80.13300000000001</v>
      </c>
      <c r="L52" s="54">
        <f>IFERROR(-(WHOLE_STRUCTURE[[#This Row],[D, bottom '[m']]]-WHOLE_STRUCTURE[[#This Row],[D, top '[m']]])/(WHOLE_STRUCTURE[[#This Row],[Bottom '[m']]]-WHOLE_STRUCTURE[[#This Row],[Top '[m']]]),"")</f>
        <v>2.2318660880346931E-2</v>
      </c>
      <c r="M52" s="52">
        <f>IFERROR((WHOLE_STRUCTURE[[#This Row],[D, bottom '[m']]]+WHOLE_STRUCTURE[[#This Row],[D, top '[m']]])/(2*WHOLE_STRUCTURE[[#This Row],[t '[mm']]]/1000),"")</f>
        <v>222.23728813559325</v>
      </c>
      <c r="O52" s="55" t="s">
        <v>78</v>
      </c>
      <c r="P52" s="55" t="s">
        <v>256</v>
      </c>
      <c r="Q52" s="55">
        <v>66.444999999999993</v>
      </c>
      <c r="R52" s="55">
        <v>66.444999999999993</v>
      </c>
      <c r="S52" s="51">
        <v>7316</v>
      </c>
      <c r="T52" s="51"/>
      <c r="U52" s="51"/>
      <c r="V52" s="51"/>
      <c r="W52" s="51"/>
      <c r="X52" s="51"/>
    </row>
    <row r="53" spans="2:24" x14ac:dyDescent="0.3">
      <c r="B53" s="51">
        <v>39</v>
      </c>
      <c r="C53" s="51" t="s">
        <v>78</v>
      </c>
      <c r="D53" s="51">
        <v>39</v>
      </c>
      <c r="E53" s="51">
        <v>86.671000000000006</v>
      </c>
      <c r="F53" s="51">
        <v>85.562000000000012</v>
      </c>
      <c r="G53" s="51">
        <v>6.5739999999999998</v>
      </c>
      <c r="H53" s="51">
        <v>6.601</v>
      </c>
      <c r="I53" s="51">
        <v>29.5</v>
      </c>
      <c r="J53" s="54">
        <f t="shared" si="3"/>
        <v>5.2910821427568031</v>
      </c>
      <c r="K53" s="53">
        <f>IFERROR(WHOLE_STRUCTURE[[#This Row],[Bottom '[m']]]-WHOLE_STRUCTURE[[#This Row],[D, top '[m']]], "")</f>
        <v>78.988000000000014</v>
      </c>
      <c r="L53" s="54">
        <f>IFERROR(-(WHOLE_STRUCTURE[[#This Row],[D, bottom '[m']]]-WHOLE_STRUCTURE[[#This Row],[D, top '[m']]])/(WHOLE_STRUCTURE[[#This Row],[Bottom '[m']]]-WHOLE_STRUCTURE[[#This Row],[Top '[m']]]),"")</f>
        <v>2.4346257889991223E-2</v>
      </c>
      <c r="M53" s="52">
        <f>IFERROR((WHOLE_STRUCTURE[[#This Row],[D, bottom '[m']]]+WHOLE_STRUCTURE[[#This Row],[D, top '[m']]])/(2*WHOLE_STRUCTURE[[#This Row],[t '[mm']]]/1000),"")</f>
        <v>223.30508474576274</v>
      </c>
      <c r="O53" s="55" t="s">
        <v>78</v>
      </c>
      <c r="P53" s="55" t="s">
        <v>256</v>
      </c>
      <c r="Q53" s="55">
        <v>66.259999999999991</v>
      </c>
      <c r="R53" s="55">
        <v>66.259999999999991</v>
      </c>
      <c r="S53" s="51">
        <v>10048</v>
      </c>
      <c r="T53" s="51"/>
      <c r="U53" s="51"/>
      <c r="V53" s="51"/>
      <c r="W53" s="51"/>
      <c r="X53" s="51"/>
    </row>
    <row r="54" spans="2:24" x14ac:dyDescent="0.3">
      <c r="B54" s="51">
        <v>40</v>
      </c>
      <c r="C54" s="51" t="s">
        <v>78</v>
      </c>
      <c r="D54" s="51">
        <v>40</v>
      </c>
      <c r="E54" s="51">
        <v>85.562000000000012</v>
      </c>
      <c r="F54" s="51">
        <v>82.84</v>
      </c>
      <c r="G54" s="51">
        <v>6.601</v>
      </c>
      <c r="H54" s="51">
        <v>6.6619999999999999</v>
      </c>
      <c r="I54" s="51">
        <v>31.5</v>
      </c>
      <c r="J54" s="54">
        <f t="shared" si="3"/>
        <v>13.956037882640588</v>
      </c>
      <c r="K54" s="53">
        <f>IFERROR(WHOLE_STRUCTURE[[#This Row],[Bottom '[m']]]-WHOLE_STRUCTURE[[#This Row],[D, top '[m']]], "")</f>
        <v>76.239000000000004</v>
      </c>
      <c r="L54" s="54">
        <f>IFERROR(-(WHOLE_STRUCTURE[[#This Row],[D, bottom '[m']]]-WHOLE_STRUCTURE[[#This Row],[D, top '[m']]])/(WHOLE_STRUCTURE[[#This Row],[Bottom '[m']]]-WHOLE_STRUCTURE[[#This Row],[Top '[m']]]),"")</f>
        <v>2.2409992652461335E-2</v>
      </c>
      <c r="M54" s="52">
        <f>IFERROR((WHOLE_STRUCTURE[[#This Row],[D, bottom '[m']]]+WHOLE_STRUCTURE[[#This Row],[D, top '[m']]])/(2*WHOLE_STRUCTURE[[#This Row],[t '[mm']]]/1000),"")</f>
        <v>210.52380952380952</v>
      </c>
      <c r="O54" s="55" t="s">
        <v>78</v>
      </c>
      <c r="P54" s="55" t="s">
        <v>256</v>
      </c>
      <c r="Q54" s="55">
        <v>66.074999999999989</v>
      </c>
      <c r="R54" s="55">
        <v>66.074999999999989</v>
      </c>
      <c r="S54" s="51">
        <v>6</v>
      </c>
      <c r="T54" s="51"/>
      <c r="U54" s="51"/>
      <c r="V54" s="51"/>
      <c r="W54" s="51"/>
      <c r="X54" s="51"/>
    </row>
    <row r="55" spans="2:24" x14ac:dyDescent="0.3">
      <c r="B55" s="51">
        <v>41</v>
      </c>
      <c r="C55" s="51" t="s">
        <v>78</v>
      </c>
      <c r="D55" s="51">
        <v>41</v>
      </c>
      <c r="E55" s="51">
        <v>82.84</v>
      </c>
      <c r="F55" s="51">
        <v>82.56</v>
      </c>
      <c r="G55" s="51">
        <v>6.6619999999999999</v>
      </c>
      <c r="H55" s="51">
        <v>6.6689999999999996</v>
      </c>
      <c r="I55" s="51">
        <v>31.2</v>
      </c>
      <c r="J55" s="54">
        <f t="shared" si="3"/>
        <v>1.4293127277149946</v>
      </c>
      <c r="K55" s="53">
        <f>IFERROR(WHOLE_STRUCTURE[[#This Row],[Bottom '[m']]]-WHOLE_STRUCTURE[[#This Row],[D, top '[m']]], "")</f>
        <v>75.897999999999996</v>
      </c>
      <c r="L55" s="54">
        <f>IFERROR(-(WHOLE_STRUCTURE[[#This Row],[D, bottom '[m']]]-WHOLE_STRUCTURE[[#This Row],[D, top '[m']]])/(WHOLE_STRUCTURE[[#This Row],[Bottom '[m']]]-WHOLE_STRUCTURE[[#This Row],[Top '[m']]]),"")</f>
        <v>2.4999999999998732E-2</v>
      </c>
      <c r="M55" s="52">
        <f>IFERROR((WHOLE_STRUCTURE[[#This Row],[D, bottom '[m']]]+WHOLE_STRUCTURE[[#This Row],[D, top '[m']]])/(2*WHOLE_STRUCTURE[[#This Row],[t '[mm']]]/1000),"")</f>
        <v>213.63782051282053</v>
      </c>
      <c r="O55" s="55" t="s">
        <v>78</v>
      </c>
      <c r="P55" s="55" t="s">
        <v>256</v>
      </c>
      <c r="Q55" s="55">
        <v>66.029999999999987</v>
      </c>
      <c r="R55" s="55">
        <v>66.029999999999987</v>
      </c>
      <c r="S55" s="51">
        <v>1061</v>
      </c>
      <c r="T55" s="51"/>
      <c r="U55" s="51"/>
      <c r="V55" s="51"/>
      <c r="W55" s="51"/>
      <c r="X55" s="51"/>
    </row>
    <row r="56" spans="2:24" x14ac:dyDescent="0.3">
      <c r="B56" s="51">
        <v>42</v>
      </c>
      <c r="C56" s="51" t="s">
        <v>78</v>
      </c>
      <c r="D56" s="51">
        <v>42</v>
      </c>
      <c r="E56" s="51">
        <v>82.56</v>
      </c>
      <c r="F56" s="51">
        <v>80.900000000000006</v>
      </c>
      <c r="G56" s="51">
        <v>6.6689999999999996</v>
      </c>
      <c r="H56" s="51">
        <v>6.7060000000000004</v>
      </c>
      <c r="I56" s="51">
        <v>31.2</v>
      </c>
      <c r="J56" s="54">
        <f t="shared" si="3"/>
        <v>8.5018825076561395</v>
      </c>
      <c r="K56" s="53">
        <f>IFERROR(WHOLE_STRUCTURE[[#This Row],[Bottom '[m']]]-WHOLE_STRUCTURE[[#This Row],[D, top '[m']]], "")</f>
        <v>74.231000000000009</v>
      </c>
      <c r="L56" s="54">
        <f>IFERROR(-(WHOLE_STRUCTURE[[#This Row],[D, bottom '[m']]]-WHOLE_STRUCTURE[[#This Row],[D, top '[m']]])/(WHOLE_STRUCTURE[[#This Row],[Bottom '[m']]]-WHOLE_STRUCTURE[[#This Row],[Top '[m']]]),"")</f>
        <v>2.2289156626506559E-2</v>
      </c>
      <c r="M56" s="52">
        <f>IFERROR((WHOLE_STRUCTURE[[#This Row],[D, bottom '[m']]]+WHOLE_STRUCTURE[[#This Row],[D, top '[m']]])/(2*WHOLE_STRUCTURE[[#This Row],[t '[mm']]]/1000),"")</f>
        <v>214.34294871794873</v>
      </c>
      <c r="O56" s="55" t="s">
        <v>78</v>
      </c>
      <c r="P56" s="55" t="s">
        <v>256</v>
      </c>
      <c r="Q56" s="55">
        <v>63.308000000000007</v>
      </c>
      <c r="R56" s="55">
        <v>63.308000000000007</v>
      </c>
      <c r="S56" s="51">
        <v>143</v>
      </c>
      <c r="T56" s="51"/>
      <c r="U56" s="51"/>
      <c r="V56" s="51"/>
      <c r="W56" s="51"/>
      <c r="X56" s="51"/>
    </row>
    <row r="57" spans="2:24" x14ac:dyDescent="0.3">
      <c r="B57" s="51">
        <v>43</v>
      </c>
      <c r="C57" s="51" t="s">
        <v>78</v>
      </c>
      <c r="D57" s="51">
        <v>43</v>
      </c>
      <c r="E57" s="51">
        <v>80.900000000000006</v>
      </c>
      <c r="F57" s="51">
        <v>80.118000000000009</v>
      </c>
      <c r="G57" s="51">
        <v>6.7060000000000004</v>
      </c>
      <c r="H57" s="51">
        <v>6.7240000000000002</v>
      </c>
      <c r="I57" s="51">
        <v>31.2</v>
      </c>
      <c r="J57" s="54">
        <f t="shared" si="3"/>
        <v>4.0216504702994413</v>
      </c>
      <c r="K57" s="53">
        <f>IFERROR(WHOLE_STRUCTURE[[#This Row],[Bottom '[m']]]-WHOLE_STRUCTURE[[#This Row],[D, top '[m']]], "")</f>
        <v>73.412000000000006</v>
      </c>
      <c r="L57" s="54">
        <f>IFERROR(-(WHOLE_STRUCTURE[[#This Row],[D, bottom '[m']]]-WHOLE_STRUCTURE[[#This Row],[D, top '[m']]])/(WHOLE_STRUCTURE[[#This Row],[Bottom '[m']]]-WHOLE_STRUCTURE[[#This Row],[Top '[m']]]),"")</f>
        <v>2.3017902813299074E-2</v>
      </c>
      <c r="M57" s="52">
        <f>IFERROR((WHOLE_STRUCTURE[[#This Row],[D, bottom '[m']]]+WHOLE_STRUCTURE[[#This Row],[D, top '[m']]])/(2*WHOLE_STRUCTURE[[#This Row],[t '[mm']]]/1000),"")</f>
        <v>215.22435897435898</v>
      </c>
      <c r="O57" s="55" t="s">
        <v>78</v>
      </c>
      <c r="P57" s="55" t="s">
        <v>256</v>
      </c>
      <c r="Q57" s="55">
        <v>62.007000000000005</v>
      </c>
      <c r="R57" s="55">
        <v>62.007000000000005</v>
      </c>
      <c r="S57" s="51">
        <v>144</v>
      </c>
      <c r="T57" s="51"/>
      <c r="U57" s="51"/>
      <c r="V57" s="51"/>
      <c r="W57" s="51"/>
      <c r="X57" s="51"/>
    </row>
    <row r="58" spans="2:24" x14ac:dyDescent="0.3">
      <c r="B58" s="51">
        <v>44</v>
      </c>
      <c r="C58" s="51" t="s">
        <v>78</v>
      </c>
      <c r="D58" s="51">
        <v>44</v>
      </c>
      <c r="E58" s="51">
        <v>80.118000000000009</v>
      </c>
      <c r="F58" s="51">
        <v>78.45</v>
      </c>
      <c r="G58" s="51">
        <v>6.7240000000000002</v>
      </c>
      <c r="H58" s="51">
        <v>6.7619999999999996</v>
      </c>
      <c r="I58" s="51">
        <v>31.7</v>
      </c>
      <c r="J58" s="54">
        <f t="shared" si="3"/>
        <v>8.751479715240583</v>
      </c>
      <c r="K58" s="53">
        <f>IFERROR(WHOLE_STRUCTURE[[#This Row],[Bottom '[m']]]-WHOLE_STRUCTURE[[#This Row],[D, top '[m']]], "")</f>
        <v>71.725999999999999</v>
      </c>
      <c r="L58" s="54">
        <f>IFERROR(-(WHOLE_STRUCTURE[[#This Row],[D, bottom '[m']]]-WHOLE_STRUCTURE[[#This Row],[D, top '[m']]])/(WHOLE_STRUCTURE[[#This Row],[Bottom '[m']]]-WHOLE_STRUCTURE[[#This Row],[Top '[m']]]),"")</f>
        <v>2.2781774580335264E-2</v>
      </c>
      <c r="M58" s="52">
        <f>IFERROR((WHOLE_STRUCTURE[[#This Row],[D, bottom '[m']]]+WHOLE_STRUCTURE[[#This Row],[D, top '[m']]])/(2*WHOLE_STRUCTURE[[#This Row],[t '[mm']]]/1000),"")</f>
        <v>212.71293375394325</v>
      </c>
      <c r="O58" s="55" t="s">
        <v>78</v>
      </c>
      <c r="P58" s="55" t="s">
        <v>256</v>
      </c>
      <c r="Q58" s="55">
        <v>57.896000000000001</v>
      </c>
      <c r="R58" s="55">
        <v>57.896000000000001</v>
      </c>
      <c r="S58" s="51">
        <v>144</v>
      </c>
      <c r="T58" s="51"/>
      <c r="U58" s="51"/>
      <c r="V58" s="51"/>
      <c r="W58" s="51"/>
      <c r="X58" s="51"/>
    </row>
    <row r="59" spans="2:24" x14ac:dyDescent="0.3">
      <c r="B59" s="51">
        <v>45</v>
      </c>
      <c r="C59" s="51" t="s">
        <v>78</v>
      </c>
      <c r="D59" s="51">
        <v>45</v>
      </c>
      <c r="E59" s="51">
        <v>78.45</v>
      </c>
      <c r="F59" s="51">
        <v>77.396000000000001</v>
      </c>
      <c r="G59" s="51">
        <v>6.7619999999999996</v>
      </c>
      <c r="H59" s="51">
        <v>6.7859999999999996</v>
      </c>
      <c r="I59" s="51">
        <v>31.7</v>
      </c>
      <c r="J59" s="54">
        <f t="shared" si="3"/>
        <v>5.5555553031988758</v>
      </c>
      <c r="K59" s="53">
        <f>IFERROR(WHOLE_STRUCTURE[[#This Row],[Bottom '[m']]]-WHOLE_STRUCTURE[[#This Row],[D, top '[m']]], "")</f>
        <v>70.634</v>
      </c>
      <c r="L59" s="54">
        <f>IFERROR(-(WHOLE_STRUCTURE[[#This Row],[D, bottom '[m']]]-WHOLE_STRUCTURE[[#This Row],[D, top '[m']]])/(WHOLE_STRUCTURE[[#This Row],[Bottom '[m']]]-WHOLE_STRUCTURE[[#This Row],[Top '[m']]]),"")</f>
        <v>2.277039848197341E-2</v>
      </c>
      <c r="M59" s="52">
        <f>IFERROR((WHOLE_STRUCTURE[[#This Row],[D, bottom '[m']]]+WHOLE_STRUCTURE[[#This Row],[D, top '[m']]])/(2*WHOLE_STRUCTURE[[#This Row],[t '[mm']]]/1000),"")</f>
        <v>213.69085173501574</v>
      </c>
      <c r="O59" s="55" t="s">
        <v>78</v>
      </c>
      <c r="P59" s="55" t="s">
        <v>256</v>
      </c>
      <c r="Q59" s="55">
        <v>55.153999999999996</v>
      </c>
      <c r="R59" s="55">
        <v>55.153999999999996</v>
      </c>
      <c r="S59" s="51">
        <v>144</v>
      </c>
      <c r="T59" s="51"/>
      <c r="U59" s="51"/>
      <c r="V59" s="51"/>
      <c r="W59" s="51"/>
      <c r="X59" s="51"/>
    </row>
    <row r="60" spans="2:24" x14ac:dyDescent="0.3">
      <c r="B60" s="51">
        <v>46</v>
      </c>
      <c r="C60" s="51" t="s">
        <v>78</v>
      </c>
      <c r="D60" s="51">
        <v>46</v>
      </c>
      <c r="E60" s="51">
        <v>77.396000000000001</v>
      </c>
      <c r="F60" s="51">
        <v>74.674000000000007</v>
      </c>
      <c r="G60" s="51">
        <v>6.7859999999999996</v>
      </c>
      <c r="H60" s="51">
        <v>6.8479999999999999</v>
      </c>
      <c r="I60" s="51">
        <v>32.200000000000003</v>
      </c>
      <c r="J60" s="54">
        <f t="shared" si="3"/>
        <v>14.665624875429092</v>
      </c>
      <c r="K60" s="53">
        <f>IFERROR(WHOLE_STRUCTURE[[#This Row],[Bottom '[m']]]-WHOLE_STRUCTURE[[#This Row],[D, top '[m']]], "")</f>
        <v>67.888000000000005</v>
      </c>
      <c r="L60" s="54">
        <f>IFERROR(-(WHOLE_STRUCTURE[[#This Row],[D, bottom '[m']]]-WHOLE_STRUCTURE[[#This Row],[D, top '[m']]])/(WHOLE_STRUCTURE[[#This Row],[Bottom '[m']]]-WHOLE_STRUCTURE[[#This Row],[Top '[m']]]),"")</f>
        <v>2.2777369581190452E-2</v>
      </c>
      <c r="M60" s="52">
        <f>IFERROR((WHOLE_STRUCTURE[[#This Row],[D, bottom '[m']]]+WHOLE_STRUCTURE[[#This Row],[D, top '[m']]])/(2*WHOLE_STRUCTURE[[#This Row],[t '[mm']]]/1000),"")</f>
        <v>211.70807453416151</v>
      </c>
      <c r="O60" s="55" t="s">
        <v>78</v>
      </c>
      <c r="P60" s="55" t="s">
        <v>256</v>
      </c>
      <c r="Q60" s="55">
        <v>53.786000000000001</v>
      </c>
      <c r="R60" s="55">
        <v>53.786000000000001</v>
      </c>
      <c r="S60" s="51">
        <v>145</v>
      </c>
      <c r="T60" s="51"/>
      <c r="U60" s="51"/>
      <c r="V60" s="51"/>
      <c r="W60" s="51"/>
      <c r="X60" s="51"/>
    </row>
    <row r="61" spans="2:24" x14ac:dyDescent="0.3">
      <c r="B61" s="51">
        <v>47</v>
      </c>
      <c r="C61" s="51" t="s">
        <v>78</v>
      </c>
      <c r="D61" s="51">
        <v>47</v>
      </c>
      <c r="E61" s="51">
        <v>74.674000000000007</v>
      </c>
      <c r="F61" s="51">
        <v>71.951999999999998</v>
      </c>
      <c r="G61" s="51">
        <v>6.8479999999999999</v>
      </c>
      <c r="H61" s="51">
        <v>6.9109999999999996</v>
      </c>
      <c r="I61" s="51">
        <v>32.5</v>
      </c>
      <c r="J61" s="54">
        <f t="shared" si="3"/>
        <v>14.937961615821818</v>
      </c>
      <c r="K61" s="53">
        <f>IFERROR(WHOLE_STRUCTURE[[#This Row],[Bottom '[m']]]-WHOLE_STRUCTURE[[#This Row],[D, top '[m']]], "")</f>
        <v>65.103999999999999</v>
      </c>
      <c r="L61" s="54">
        <f>IFERROR(-(WHOLE_STRUCTURE[[#This Row],[D, bottom '[m']]]-WHOLE_STRUCTURE[[#This Row],[D, top '[m']]])/(WHOLE_STRUCTURE[[#This Row],[Bottom '[m']]]-WHOLE_STRUCTURE[[#This Row],[Top '[m']]]),"")</f>
        <v>2.3144746509919004E-2</v>
      </c>
      <c r="M61" s="52">
        <f>IFERROR((WHOLE_STRUCTURE[[#This Row],[D, bottom '[m']]]+WHOLE_STRUCTURE[[#This Row],[D, top '[m']]])/(2*WHOLE_STRUCTURE[[#This Row],[t '[mm']]]/1000),"")</f>
        <v>211.67692307692309</v>
      </c>
      <c r="O61" s="55" t="s">
        <v>78</v>
      </c>
      <c r="P61" s="55" t="s">
        <v>256</v>
      </c>
      <c r="Q61" s="55">
        <v>50.900000000000006</v>
      </c>
      <c r="R61" s="55">
        <v>50.9</v>
      </c>
      <c r="S61" s="51">
        <v>145</v>
      </c>
      <c r="T61" s="51"/>
      <c r="U61" s="51"/>
      <c r="V61" s="51"/>
      <c r="W61" s="51"/>
      <c r="X61" s="51"/>
    </row>
    <row r="62" spans="2:24" x14ac:dyDescent="0.3">
      <c r="B62" s="51">
        <v>48</v>
      </c>
      <c r="C62" s="51" t="s">
        <v>78</v>
      </c>
      <c r="D62" s="51">
        <v>48</v>
      </c>
      <c r="E62" s="51">
        <v>71.951999999999998</v>
      </c>
      <c r="F62" s="51">
        <v>70.900000000000006</v>
      </c>
      <c r="G62" s="51">
        <v>6.9109999999999996</v>
      </c>
      <c r="H62" s="51">
        <v>6.9340000000000002</v>
      </c>
      <c r="I62" s="51">
        <v>33.5</v>
      </c>
      <c r="J62" s="54">
        <f t="shared" si="3"/>
        <v>5.9873722621344063</v>
      </c>
      <c r="K62" s="53">
        <f>IFERROR(WHOLE_STRUCTURE[[#This Row],[Bottom '[m']]]-WHOLE_STRUCTURE[[#This Row],[D, top '[m']]], "")</f>
        <v>63.989000000000004</v>
      </c>
      <c r="L62" s="54">
        <f>IFERROR(-(WHOLE_STRUCTURE[[#This Row],[D, bottom '[m']]]-WHOLE_STRUCTURE[[#This Row],[D, top '[m']]])/(WHOLE_STRUCTURE[[#This Row],[Bottom '[m']]]-WHOLE_STRUCTURE[[#This Row],[Top '[m']]]),"")</f>
        <v>2.1863117870723137E-2</v>
      </c>
      <c r="M62" s="52">
        <f>IFERROR((WHOLE_STRUCTURE[[#This Row],[D, bottom '[m']]]+WHOLE_STRUCTURE[[#This Row],[D, top '[m']]])/(2*WHOLE_STRUCTURE[[#This Row],[t '[mm']]]/1000),"")</f>
        <v>206.64179104477608</v>
      </c>
      <c r="O62" s="55" t="s">
        <v>78</v>
      </c>
      <c r="P62" s="55" t="s">
        <v>256</v>
      </c>
      <c r="Q62" s="55">
        <v>49.674999999999997</v>
      </c>
      <c r="R62" s="55">
        <v>49.674999999999997</v>
      </c>
      <c r="S62" s="51">
        <v>145</v>
      </c>
      <c r="T62" s="51"/>
      <c r="U62" s="51"/>
      <c r="V62" s="51"/>
      <c r="W62" s="51"/>
      <c r="X62" s="51"/>
    </row>
    <row r="63" spans="2:24" x14ac:dyDescent="0.3">
      <c r="B63" s="51">
        <v>49</v>
      </c>
      <c r="C63" s="51" t="s">
        <v>78</v>
      </c>
      <c r="D63" s="51">
        <v>49</v>
      </c>
      <c r="E63" s="51">
        <v>70.900000000000006</v>
      </c>
      <c r="F63" s="51">
        <v>69.225000000000009</v>
      </c>
      <c r="G63" s="51">
        <v>6.9340000000000002</v>
      </c>
      <c r="H63" s="51">
        <v>6.9720000000000004</v>
      </c>
      <c r="I63" s="51">
        <v>33.5</v>
      </c>
      <c r="J63" s="54">
        <f t="shared" si="3"/>
        <v>9.5753324534747843</v>
      </c>
      <c r="K63" s="53">
        <f>IFERROR(WHOLE_STRUCTURE[[#This Row],[Bottom '[m']]]-WHOLE_STRUCTURE[[#This Row],[D, top '[m']]], "")</f>
        <v>62.291000000000011</v>
      </c>
      <c r="L63" s="54">
        <f>IFERROR(-(WHOLE_STRUCTURE[[#This Row],[D, bottom '[m']]]-WHOLE_STRUCTURE[[#This Row],[D, top '[m']]])/(WHOLE_STRUCTURE[[#This Row],[Bottom '[m']]]-WHOLE_STRUCTURE[[#This Row],[Top '[m']]]),"")</f>
        <v>2.2686567164179296E-2</v>
      </c>
      <c r="M63" s="52">
        <f>IFERROR((WHOLE_STRUCTURE[[#This Row],[D, bottom '[m']]]+WHOLE_STRUCTURE[[#This Row],[D, top '[m']]])/(2*WHOLE_STRUCTURE[[#This Row],[t '[mm']]]/1000),"")</f>
        <v>207.55223880597015</v>
      </c>
      <c r="O63" s="55" t="s">
        <v>78</v>
      </c>
      <c r="P63" s="55" t="s">
        <v>256</v>
      </c>
      <c r="Q63" s="55">
        <v>45.564000000000007</v>
      </c>
      <c r="R63" s="55">
        <v>45.564000000000007</v>
      </c>
      <c r="S63" s="51">
        <v>146</v>
      </c>
      <c r="T63" s="51"/>
      <c r="U63" s="51"/>
      <c r="V63" s="51"/>
      <c r="W63" s="51"/>
      <c r="X63" s="51"/>
    </row>
    <row r="64" spans="2:24" x14ac:dyDescent="0.3">
      <c r="B64" s="51">
        <v>50</v>
      </c>
      <c r="C64" s="51" t="s">
        <v>78</v>
      </c>
      <c r="D64" s="51">
        <v>50</v>
      </c>
      <c r="E64" s="51">
        <v>69.225000000000009</v>
      </c>
      <c r="F64" s="51">
        <v>66.490000000000009</v>
      </c>
      <c r="G64" s="51">
        <v>6.9720000000000004</v>
      </c>
      <c r="H64" s="51">
        <v>7.0380000000000003</v>
      </c>
      <c r="I64" s="51">
        <v>34</v>
      </c>
      <c r="J64" s="54">
        <f t="shared" si="3"/>
        <v>15.986406792159258</v>
      </c>
      <c r="K64" s="53">
        <f>IFERROR(WHOLE_STRUCTURE[[#This Row],[Bottom '[m']]]-WHOLE_STRUCTURE[[#This Row],[D, top '[m']]], "")</f>
        <v>59.518000000000008</v>
      </c>
      <c r="L64" s="54">
        <f>IFERROR(-(WHOLE_STRUCTURE[[#This Row],[D, bottom '[m']]]-WHOLE_STRUCTURE[[#This Row],[D, top '[m']]])/(WHOLE_STRUCTURE[[#This Row],[Bottom '[m']]]-WHOLE_STRUCTURE[[#This Row],[Top '[m']]]),"")</f>
        <v>2.4131627056672707E-2</v>
      </c>
      <c r="M64" s="52">
        <f>IFERROR((WHOLE_STRUCTURE[[#This Row],[D, bottom '[m']]]+WHOLE_STRUCTURE[[#This Row],[D, top '[m']]])/(2*WHOLE_STRUCTURE[[#This Row],[t '[mm']]]/1000),"")</f>
        <v>206.02941176470588</v>
      </c>
      <c r="O64" s="55" t="s">
        <v>78</v>
      </c>
      <c r="P64" s="55" t="s">
        <v>256</v>
      </c>
      <c r="Q64" s="55">
        <v>41.561000000000007</v>
      </c>
      <c r="R64" s="55">
        <v>41.561000000000007</v>
      </c>
      <c r="S64" s="51">
        <v>146</v>
      </c>
      <c r="T64" s="51"/>
      <c r="U64" s="51"/>
      <c r="V64" s="51"/>
      <c r="W64" s="51"/>
      <c r="X64" s="51"/>
    </row>
    <row r="65" spans="2:24" x14ac:dyDescent="0.3">
      <c r="B65" s="51">
        <v>51</v>
      </c>
      <c r="C65" s="51" t="s">
        <v>78</v>
      </c>
      <c r="D65" s="51">
        <v>51</v>
      </c>
      <c r="E65" s="51">
        <v>66.490000000000009</v>
      </c>
      <c r="F65" s="51">
        <v>66.445000000000007</v>
      </c>
      <c r="G65" s="51">
        <v>7.0380000000000003</v>
      </c>
      <c r="H65" s="51">
        <v>7.0380000000000003</v>
      </c>
      <c r="I65" s="51">
        <v>38</v>
      </c>
      <c r="J65" s="54">
        <f t="shared" si="3"/>
        <v>0.29519818289824729</v>
      </c>
      <c r="K65" s="54">
        <f>IFERROR(WHOLE_STRUCTURE[[#This Row],[Bottom '[m']]]-WHOLE_STRUCTURE[[#This Row],[D, top '[m']]], "")</f>
        <v>59.407000000000011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185.21052631578948</v>
      </c>
      <c r="O65" s="55" t="s">
        <v>78</v>
      </c>
      <c r="P65" s="55" t="s">
        <v>256</v>
      </c>
      <c r="Q65" s="55">
        <v>40.900000000000006</v>
      </c>
      <c r="R65" s="55">
        <v>40.900000000000006</v>
      </c>
      <c r="S65" s="51">
        <v>150</v>
      </c>
      <c r="T65" s="51"/>
      <c r="U65" s="51"/>
      <c r="V65" s="51"/>
      <c r="W65" s="51"/>
      <c r="X65" s="51"/>
    </row>
    <row r="66" spans="2:24" x14ac:dyDescent="0.3">
      <c r="B66" s="51">
        <v>52</v>
      </c>
      <c r="C66" s="51" t="s">
        <v>78</v>
      </c>
      <c r="D66" s="51">
        <v>52</v>
      </c>
      <c r="E66" s="51">
        <v>66.445000000000007</v>
      </c>
      <c r="F66" s="51">
        <v>66.260000000000005</v>
      </c>
      <c r="G66" s="51">
        <v>7.0380000000000003</v>
      </c>
      <c r="H66" s="51">
        <v>7.0380000000000003</v>
      </c>
      <c r="I66" s="51">
        <v>38</v>
      </c>
      <c r="J66" s="54">
        <f t="shared" si="3"/>
        <v>1.2135925296927634</v>
      </c>
      <c r="K66" s="54">
        <f>IFERROR(WHOLE_STRUCTURE[[#This Row],[Bottom '[m']]]-WHOLE_STRUCTURE[[#This Row],[D, top '[m']]], "")</f>
        <v>59.222000000000008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185.21052631578948</v>
      </c>
      <c r="O66" s="55" t="s">
        <v>78</v>
      </c>
      <c r="P66" s="55" t="s">
        <v>256</v>
      </c>
      <c r="Q66" s="55">
        <v>38.725000000000001</v>
      </c>
      <c r="R66" s="55">
        <v>38.725000000000001</v>
      </c>
      <c r="S66" s="51">
        <v>7072</v>
      </c>
      <c r="T66" s="51"/>
      <c r="U66" s="51"/>
      <c r="V66" s="51"/>
      <c r="W66" s="51"/>
      <c r="X66" s="51"/>
    </row>
    <row r="67" spans="2:24" x14ac:dyDescent="0.3">
      <c r="B67" s="51">
        <v>53</v>
      </c>
      <c r="C67" s="51" t="s">
        <v>78</v>
      </c>
      <c r="D67" s="51">
        <v>53</v>
      </c>
      <c r="E67" s="51">
        <v>66.260000000000005</v>
      </c>
      <c r="F67" s="51">
        <v>66.075000000000003</v>
      </c>
      <c r="G67" s="51">
        <v>7.0380000000000003</v>
      </c>
      <c r="H67" s="51">
        <v>7.0380000000000003</v>
      </c>
      <c r="I67" s="51">
        <v>38</v>
      </c>
      <c r="J67" s="54">
        <f t="shared" si="3"/>
        <v>1.2135925296927634</v>
      </c>
      <c r="K67" s="54">
        <f>IFERROR(WHOLE_STRUCTURE[[#This Row],[Bottom '[m']]]-WHOLE_STRUCTURE[[#This Row],[D, top '[m']]], "")</f>
        <v>59.037000000000006</v>
      </c>
      <c r="L67" s="54">
        <f>IFERROR(-(WHOLE_STRUCTURE[[#This Row],[D, bottom '[m']]]-WHOLE_STRUCTURE[[#This Row],[D, top '[m']]])/(WHOLE_STRUCTURE[[#This Row],[Bottom '[m']]]-WHOLE_STRUCTURE[[#This Row],[Top '[m']]]),"")</f>
        <v>0</v>
      </c>
      <c r="M67" s="54">
        <f>IFERROR((WHOLE_STRUCTURE[[#This Row],[D, bottom '[m']]]+WHOLE_STRUCTURE[[#This Row],[D, top '[m']]])/(2*WHOLE_STRUCTURE[[#This Row],[t '[mm']]]/1000),"")</f>
        <v>185.21052631578948</v>
      </c>
      <c r="O67" s="55" t="s">
        <v>78</v>
      </c>
      <c r="P67" s="55" t="s">
        <v>256</v>
      </c>
      <c r="Q67" s="55">
        <v>38.540000000000006</v>
      </c>
      <c r="R67" s="55">
        <v>38.540000000000006</v>
      </c>
      <c r="S67" s="51">
        <v>11176</v>
      </c>
      <c r="T67" s="51"/>
      <c r="U67" s="51"/>
      <c r="V67" s="51"/>
      <c r="W67" s="51"/>
      <c r="X67" s="51"/>
    </row>
    <row r="68" spans="2:24" x14ac:dyDescent="0.3">
      <c r="B68" s="51">
        <v>54</v>
      </c>
      <c r="C68" s="51" t="s">
        <v>78</v>
      </c>
      <c r="D68" s="51">
        <v>54</v>
      </c>
      <c r="E68" s="51">
        <v>66.075000000000003</v>
      </c>
      <c r="F68" s="51">
        <v>66.03</v>
      </c>
      <c r="G68" s="51">
        <v>7.0380000000000003</v>
      </c>
      <c r="H68" s="51">
        <v>7.032</v>
      </c>
      <c r="I68" s="51">
        <v>38</v>
      </c>
      <c r="J68" s="54">
        <f t="shared" si="3"/>
        <v>0.29507166939129226</v>
      </c>
      <c r="K68" s="54">
        <f>IFERROR(WHOLE_STRUCTURE[[#This Row],[Bottom '[m']]]-WHOLE_STRUCTURE[[#This Row],[D, top '[m']]], "")</f>
        <v>58.992000000000004</v>
      </c>
      <c r="L68" s="54">
        <f>IFERROR(-(WHOLE_STRUCTURE[[#This Row],[D, bottom '[m']]]-WHOLE_STRUCTURE[[#This Row],[D, top '[m']]])/(WHOLE_STRUCTURE[[#This Row],[Bottom '[m']]]-WHOLE_STRUCTURE[[#This Row],[Top '[m']]]),"")</f>
        <v>-0.13333333333333333</v>
      </c>
      <c r="M68" s="54">
        <f>IFERROR((WHOLE_STRUCTURE[[#This Row],[D, bottom '[m']]]+WHOLE_STRUCTURE[[#This Row],[D, top '[m']]])/(2*WHOLE_STRUCTURE[[#This Row],[t '[mm']]]/1000),"")</f>
        <v>185.13157894736844</v>
      </c>
      <c r="O68" s="55" t="s">
        <v>78</v>
      </c>
      <c r="P68" s="55" t="s">
        <v>256</v>
      </c>
      <c r="Q68" s="55">
        <v>38.355000000000004</v>
      </c>
      <c r="R68" s="55">
        <v>38.355000000000004</v>
      </c>
      <c r="S68" s="51">
        <v>6</v>
      </c>
      <c r="T68" s="51"/>
      <c r="U68" s="51"/>
      <c r="V68" s="51"/>
      <c r="W68" s="51"/>
      <c r="X68" s="51"/>
    </row>
    <row r="69" spans="2:24" x14ac:dyDescent="0.3">
      <c r="B69" s="51">
        <v>55</v>
      </c>
      <c r="C69" s="51" t="s">
        <v>78</v>
      </c>
      <c r="D69" s="51">
        <v>55</v>
      </c>
      <c r="E69" s="51">
        <v>66.03</v>
      </c>
      <c r="F69" s="51">
        <v>63.308000000000007</v>
      </c>
      <c r="G69" s="51">
        <v>7.032</v>
      </c>
      <c r="H69" s="51">
        <v>7.0759999999999996</v>
      </c>
      <c r="I69" s="51">
        <v>32</v>
      </c>
      <c r="J69" s="54">
        <f t="shared" ref="J69:J131" si="4">IF(7850/1000*(1/3)*PI()*ABS(E69-F69)*((G69/2)^2+(G69/2)*(H69/2)+(H69/2)^2-(G69/2-I69/1000)^2-(G69/2-I69/1000)*(H69/2-I69/1000)-(H69/2-I69/1000)^2)=0,"",7850/1000*(1/3)*PI()*ABS(E69-F69)*((G69/2)^2+(G69/2)*(H69/2)+(H69/2)^2-(G69/2-I69/1000)^2-(G69/2-I69/1000)*(H69/2-I69/1000)-(H69/2-I69/1000)^2))</f>
        <v>15.0840670340591</v>
      </c>
      <c r="K69" s="54">
        <f>IFERROR(WHOLE_STRUCTURE[[#This Row],[Bottom '[m']]]-WHOLE_STRUCTURE[[#This Row],[D, top '[m']]], "")</f>
        <v>56.27600000000001</v>
      </c>
      <c r="L69" s="54">
        <f>IFERROR(-(WHOLE_STRUCTURE[[#This Row],[D, bottom '[m']]]-WHOLE_STRUCTURE[[#This Row],[D, top '[m']]])/(WHOLE_STRUCTURE[[#This Row],[Bottom '[m']]]-WHOLE_STRUCTURE[[#This Row],[Top '[m']]]),"")</f>
        <v>1.6164584864070422E-2</v>
      </c>
      <c r="M69" s="54">
        <f>IFERROR((WHOLE_STRUCTURE[[#This Row],[D, bottom '[m']]]+WHOLE_STRUCTURE[[#This Row],[D, top '[m']]])/(2*WHOLE_STRUCTURE[[#This Row],[t '[mm']]]/1000),"")</f>
        <v>220.4375</v>
      </c>
      <c r="O69" s="55" t="s">
        <v>78</v>
      </c>
      <c r="P69" s="55" t="s">
        <v>256</v>
      </c>
      <c r="Q69" s="55">
        <v>38.305000000000007</v>
      </c>
      <c r="R69" s="55">
        <v>38.305000000000007</v>
      </c>
      <c r="S69" s="51">
        <v>2</v>
      </c>
      <c r="T69" s="51"/>
      <c r="U69" s="51"/>
      <c r="V69" s="51"/>
      <c r="W69" s="51"/>
      <c r="X69" s="51"/>
    </row>
    <row r="70" spans="2:24" x14ac:dyDescent="0.3">
      <c r="B70" s="51">
        <v>56</v>
      </c>
      <c r="C70" s="51" t="s">
        <v>78</v>
      </c>
      <c r="D70" s="51">
        <v>56</v>
      </c>
      <c r="E70" s="51">
        <v>63.308000000000007</v>
      </c>
      <c r="F70" s="51">
        <v>62.007000000000005</v>
      </c>
      <c r="G70" s="51">
        <v>7.0759999999999996</v>
      </c>
      <c r="H70" s="51">
        <v>7.0970000000000004</v>
      </c>
      <c r="I70" s="51">
        <v>33</v>
      </c>
      <c r="J70" s="54">
        <f t="shared" si="4"/>
        <v>7.4681913438982228</v>
      </c>
      <c r="K70" s="54">
        <f>IFERROR(WHOLE_STRUCTURE[[#This Row],[Bottom '[m']]]-WHOLE_STRUCTURE[[#This Row],[D, top '[m']]], "")</f>
        <v>54.931000000000004</v>
      </c>
      <c r="L70" s="54">
        <f>IFERROR(-(WHOLE_STRUCTURE[[#This Row],[D, bottom '[m']]]-WHOLE_STRUCTURE[[#This Row],[D, top '[m']]])/(WHOLE_STRUCTURE[[#This Row],[Bottom '[m']]]-WHOLE_STRUCTURE[[#This Row],[Top '[m']]]),"")</f>
        <v>1.6141429669485598E-2</v>
      </c>
      <c r="M70" s="54">
        <f>IFERROR((WHOLE_STRUCTURE[[#This Row],[D, bottom '[m']]]+WHOLE_STRUCTURE[[#This Row],[D, top '[m']]])/(2*WHOLE_STRUCTURE[[#This Row],[t '[mm']]]/1000),"")</f>
        <v>214.74242424242422</v>
      </c>
      <c r="O70" s="55" t="s">
        <v>78</v>
      </c>
      <c r="P70" s="55" t="s">
        <v>256</v>
      </c>
      <c r="Q70" s="55">
        <v>37.343000000000004</v>
      </c>
      <c r="R70" s="55">
        <v>37.343000000000004</v>
      </c>
      <c r="S70" s="51">
        <v>1318</v>
      </c>
      <c r="T70" s="51"/>
      <c r="U70" s="51"/>
      <c r="V70" s="51"/>
      <c r="W70" s="51"/>
      <c r="X70" s="51"/>
    </row>
    <row r="71" spans="2:24" x14ac:dyDescent="0.3">
      <c r="B71" s="51">
        <v>57</v>
      </c>
      <c r="C71" s="51" t="s">
        <v>78</v>
      </c>
      <c r="D71" s="51">
        <v>57</v>
      </c>
      <c r="E71" s="51">
        <v>62.007000000000005</v>
      </c>
      <c r="F71" s="51">
        <v>60.900000000000006</v>
      </c>
      <c r="G71" s="51">
        <v>7.0970000000000004</v>
      </c>
      <c r="H71" s="51">
        <v>7.1139999999999999</v>
      </c>
      <c r="I71" s="51">
        <v>33</v>
      </c>
      <c r="J71" s="54">
        <f t="shared" si="4"/>
        <v>6.3716813187634509</v>
      </c>
      <c r="K71" s="54">
        <f>IFERROR(WHOLE_STRUCTURE[[#This Row],[Bottom '[m']]]-WHOLE_STRUCTURE[[#This Row],[D, top '[m']]], "")</f>
        <v>53.803000000000004</v>
      </c>
      <c r="L71" s="54">
        <f>IFERROR(-(WHOLE_STRUCTURE[[#This Row],[D, bottom '[m']]]-WHOLE_STRUCTURE[[#This Row],[D, top '[m']]])/(WHOLE_STRUCTURE[[#This Row],[Bottom '[m']]]-WHOLE_STRUCTURE[[#This Row],[Top '[m']]]),"")</f>
        <v>1.5356820234868536E-2</v>
      </c>
      <c r="M71" s="54">
        <f>IFERROR((WHOLE_STRUCTURE[[#This Row],[D, bottom '[m']]]+WHOLE_STRUCTURE[[#This Row],[D, top '[m']]])/(2*WHOLE_STRUCTURE[[#This Row],[t '[mm']]]/1000),"")</f>
        <v>215.31818181818181</v>
      </c>
      <c r="O71" s="55" t="s">
        <v>78</v>
      </c>
      <c r="P71" s="55" t="s">
        <v>256</v>
      </c>
      <c r="Q71" s="55">
        <v>33.231999999999999</v>
      </c>
      <c r="R71" s="55">
        <v>33.231999999999999</v>
      </c>
      <c r="S71" s="51">
        <v>158</v>
      </c>
      <c r="T71" s="51"/>
      <c r="U71" s="51"/>
      <c r="V71" s="51"/>
      <c r="W71" s="51"/>
      <c r="X71" s="51"/>
    </row>
    <row r="72" spans="2:24" x14ac:dyDescent="0.3">
      <c r="B72" s="51">
        <v>58</v>
      </c>
      <c r="C72" s="51" t="s">
        <v>78</v>
      </c>
      <c r="D72" s="51">
        <v>58</v>
      </c>
      <c r="E72" s="51">
        <v>60.900000000000006</v>
      </c>
      <c r="F72" s="51">
        <v>60.59</v>
      </c>
      <c r="G72" s="51">
        <v>7.1139999999999999</v>
      </c>
      <c r="H72" s="51">
        <v>7.1189999999999998</v>
      </c>
      <c r="I72" s="51">
        <v>33</v>
      </c>
      <c r="J72" s="54">
        <f t="shared" si="4"/>
        <v>1.7870761604983658</v>
      </c>
      <c r="K72" s="54">
        <f>IFERROR(WHOLE_STRUCTURE[[#This Row],[Bottom '[m']]]-WHOLE_STRUCTURE[[#This Row],[D, top '[m']]], "")</f>
        <v>53.476000000000006</v>
      </c>
      <c r="L72" s="54">
        <f>IFERROR(-(WHOLE_STRUCTURE[[#This Row],[D, bottom '[m']]]-WHOLE_STRUCTURE[[#This Row],[D, top '[m']]])/(WHOLE_STRUCTURE[[#This Row],[Bottom '[m']]]-WHOLE_STRUCTURE[[#This Row],[Top '[m']]]),"")</f>
        <v>1.6129032258064054E-2</v>
      </c>
      <c r="M72" s="54">
        <f>IFERROR((WHOLE_STRUCTURE[[#This Row],[D, bottom '[m']]]+WHOLE_STRUCTURE[[#This Row],[D, top '[m']]])/(2*WHOLE_STRUCTURE[[#This Row],[t '[mm']]]/1000),"")</f>
        <v>215.65151515151516</v>
      </c>
      <c r="O72" s="55" t="s">
        <v>78</v>
      </c>
      <c r="P72" s="55" t="s">
        <v>256</v>
      </c>
      <c r="Q72" s="55">
        <v>30.900000000000002</v>
      </c>
      <c r="R72" s="55">
        <v>30.900000000000002</v>
      </c>
      <c r="S72" s="51">
        <v>158</v>
      </c>
      <c r="T72" s="51"/>
      <c r="U72" s="51"/>
      <c r="V72" s="51"/>
      <c r="W72" s="51"/>
      <c r="X72" s="51"/>
    </row>
    <row r="73" spans="2:24" x14ac:dyDescent="0.3">
      <c r="B73" s="51">
        <v>59</v>
      </c>
      <c r="C73" s="51" t="s">
        <v>78</v>
      </c>
      <c r="D73" s="51">
        <v>59</v>
      </c>
      <c r="E73" s="51">
        <v>60.59</v>
      </c>
      <c r="F73" s="51">
        <v>57.896000000000001</v>
      </c>
      <c r="G73" s="51">
        <v>7.1189999999999998</v>
      </c>
      <c r="H73" s="51">
        <v>7.1619999999999999</v>
      </c>
      <c r="I73" s="51">
        <v>33</v>
      </c>
      <c r="J73" s="54">
        <f t="shared" si="4"/>
        <v>15.582887276036354</v>
      </c>
      <c r="K73" s="54">
        <f>IFERROR(WHOLE_STRUCTURE[[#This Row],[Bottom '[m']]]-WHOLE_STRUCTURE[[#This Row],[D, top '[m']]], "")</f>
        <v>50.777000000000001</v>
      </c>
      <c r="L73" s="54">
        <f>IFERROR(-(WHOLE_STRUCTURE[[#This Row],[D, bottom '[m']]]-WHOLE_STRUCTURE[[#This Row],[D, top '[m']]])/(WHOLE_STRUCTURE[[#This Row],[Bottom '[m']]]-WHOLE_STRUCTURE[[#This Row],[Top '[m']]]),"")</f>
        <v>1.5961395694135155E-2</v>
      </c>
      <c r="M73" s="54">
        <f>IFERROR((WHOLE_STRUCTURE[[#This Row],[D, bottom '[m']]]+WHOLE_STRUCTURE[[#This Row],[D, top '[m']]])/(2*WHOLE_STRUCTURE[[#This Row],[t '[mm']]]/1000),"")</f>
        <v>216.37878787878785</v>
      </c>
      <c r="O73" s="55" t="s">
        <v>78</v>
      </c>
      <c r="P73" s="55" t="s">
        <v>256</v>
      </c>
      <c r="Q73" s="55">
        <v>29.121000000000002</v>
      </c>
      <c r="R73" s="55">
        <v>29.121000000000002</v>
      </c>
      <c r="S73" s="51">
        <v>158</v>
      </c>
      <c r="T73" s="51"/>
      <c r="U73" s="51"/>
      <c r="V73" s="51"/>
      <c r="W73" s="51"/>
      <c r="X73" s="51"/>
    </row>
    <row r="74" spans="2:24" x14ac:dyDescent="0.3">
      <c r="B74" s="51">
        <v>60</v>
      </c>
      <c r="C74" s="51" t="s">
        <v>78</v>
      </c>
      <c r="D74" s="51">
        <v>60</v>
      </c>
      <c r="E74" s="51">
        <v>57.896000000000001</v>
      </c>
      <c r="F74" s="51">
        <v>57.872</v>
      </c>
      <c r="G74" s="51">
        <v>7.1619999999999999</v>
      </c>
      <c r="H74" s="51">
        <v>7.1630000000000003</v>
      </c>
      <c r="I74" s="51">
        <v>33</v>
      </c>
      <c r="J74" s="54">
        <f t="shared" si="4"/>
        <v>0.13925275124633829</v>
      </c>
      <c r="K74" s="54">
        <f>IFERROR(WHOLE_STRUCTURE[[#This Row],[Bottom '[m']]]-WHOLE_STRUCTURE[[#This Row],[D, top '[m']]], "")</f>
        <v>50.71</v>
      </c>
      <c r="L74" s="54">
        <f>IFERROR(-(WHOLE_STRUCTURE[[#This Row],[D, bottom '[m']]]-WHOLE_STRUCTURE[[#This Row],[D, top '[m']]])/(WHOLE_STRUCTURE[[#This Row],[Bottom '[m']]]-WHOLE_STRUCTURE[[#This Row],[Top '[m']]]),"")</f>
        <v>4.1666666666679002E-2</v>
      </c>
      <c r="M74" s="54">
        <f>IFERROR((WHOLE_STRUCTURE[[#This Row],[D, bottom '[m']]]+WHOLE_STRUCTURE[[#This Row],[D, top '[m']]])/(2*WHOLE_STRUCTURE[[#This Row],[t '[mm']]]/1000),"")</f>
        <v>217.04545454545453</v>
      </c>
      <c r="O74" s="55" t="s">
        <v>78</v>
      </c>
      <c r="P74" s="55" t="s">
        <v>256</v>
      </c>
      <c r="Q74" s="55">
        <v>25.050000000000004</v>
      </c>
      <c r="R74" s="55">
        <v>25.050000000000004</v>
      </c>
      <c r="S74" s="51">
        <v>86</v>
      </c>
      <c r="T74" s="51"/>
      <c r="U74" s="51"/>
      <c r="V74" s="51"/>
      <c r="W74" s="51"/>
      <c r="X74" s="51"/>
    </row>
    <row r="75" spans="2:24" x14ac:dyDescent="0.3">
      <c r="B75" s="51">
        <v>61</v>
      </c>
      <c r="C75" s="51" t="s">
        <v>78</v>
      </c>
      <c r="D75" s="51">
        <v>61</v>
      </c>
      <c r="E75" s="51">
        <v>57.872</v>
      </c>
      <c r="F75" s="51">
        <v>55.153999999999996</v>
      </c>
      <c r="G75" s="51">
        <v>7.1630000000000003</v>
      </c>
      <c r="H75" s="51">
        <v>7.21</v>
      </c>
      <c r="I75" s="51">
        <v>34</v>
      </c>
      <c r="J75" s="54">
        <f t="shared" si="4"/>
        <v>16.300681633570363</v>
      </c>
      <c r="K75" s="54">
        <f>IFERROR(WHOLE_STRUCTURE[[#This Row],[Bottom '[m']]]-WHOLE_STRUCTURE[[#This Row],[D, top '[m']]], "")</f>
        <v>47.991</v>
      </c>
      <c r="L75" s="54">
        <f>IFERROR(-(WHOLE_STRUCTURE[[#This Row],[D, bottom '[m']]]-WHOLE_STRUCTURE[[#This Row],[D, top '[m']]])/(WHOLE_STRUCTURE[[#This Row],[Bottom '[m']]]-WHOLE_STRUCTURE[[#This Row],[Top '[m']]]),"")</f>
        <v>1.7292126563649615E-2</v>
      </c>
      <c r="M75" s="54">
        <f>IFERROR((WHOLE_STRUCTURE[[#This Row],[D, bottom '[m']]]+WHOLE_STRUCTURE[[#This Row],[D, top '[m']]])/(2*WHOLE_STRUCTURE[[#This Row],[t '[mm']]]/1000),"")</f>
        <v>211.36764705882354</v>
      </c>
      <c r="O75" s="55" t="s">
        <v>78</v>
      </c>
      <c r="P75" s="55" t="s">
        <v>256</v>
      </c>
      <c r="Q75" s="55">
        <v>25.011000000000003</v>
      </c>
      <c r="R75" s="55">
        <v>25.011000000000003</v>
      </c>
      <c r="S75" s="51">
        <v>688</v>
      </c>
      <c r="T75" s="51"/>
      <c r="U75" s="51"/>
      <c r="V75" s="51"/>
      <c r="W75" s="51"/>
      <c r="X75" s="51"/>
    </row>
    <row r="76" spans="2:24" x14ac:dyDescent="0.3">
      <c r="B76" s="51">
        <v>62</v>
      </c>
      <c r="C76" s="51" t="s">
        <v>78</v>
      </c>
      <c r="D76" s="51">
        <v>62</v>
      </c>
      <c r="E76" s="51">
        <v>55.153999999999996</v>
      </c>
      <c r="F76" s="51">
        <v>53.786000000000001</v>
      </c>
      <c r="G76" s="51">
        <v>7.21</v>
      </c>
      <c r="H76" s="51">
        <v>7.2309999999999999</v>
      </c>
      <c r="I76" s="51">
        <v>38.199999999999996</v>
      </c>
      <c r="J76" s="54">
        <f t="shared" si="4"/>
        <v>9.2561957628509823</v>
      </c>
      <c r="K76" s="54">
        <f>IFERROR(WHOLE_STRUCTURE[[#This Row],[Bottom '[m']]]-WHOLE_STRUCTURE[[#This Row],[D, top '[m']]], "")</f>
        <v>46.576000000000001</v>
      </c>
      <c r="L76" s="54">
        <f>IFERROR(-(WHOLE_STRUCTURE[[#This Row],[D, bottom '[m']]]-WHOLE_STRUCTURE[[#This Row],[D, top '[m']]])/(WHOLE_STRUCTURE[[#This Row],[Bottom '[m']]]-WHOLE_STRUCTURE[[#This Row],[Top '[m']]]),"")</f>
        <v>1.5350877192982445E-2</v>
      </c>
      <c r="M76" s="54">
        <f>IFERROR((WHOLE_STRUCTURE[[#This Row],[D, bottom '[m']]]+WHOLE_STRUCTURE[[#This Row],[D, top '[m']]])/(2*WHOLE_STRUCTURE[[#This Row],[t '[mm']]]/1000),"")</f>
        <v>189.01832460732984</v>
      </c>
      <c r="O76" s="55" t="s">
        <v>78</v>
      </c>
      <c r="P76" s="55" t="s">
        <v>256</v>
      </c>
      <c r="Q76" s="55">
        <v>22.12</v>
      </c>
      <c r="R76" s="55">
        <v>22.12</v>
      </c>
      <c r="S76" s="51">
        <v>13900</v>
      </c>
      <c r="T76" s="51"/>
      <c r="U76" s="51"/>
      <c r="V76" s="51"/>
      <c r="W76" s="51"/>
      <c r="X76" s="51"/>
    </row>
    <row r="77" spans="2:24" x14ac:dyDescent="0.3">
      <c r="B77" s="51">
        <v>63</v>
      </c>
      <c r="C77" s="51" t="s">
        <v>78</v>
      </c>
      <c r="D77" s="51">
        <v>63</v>
      </c>
      <c r="E77" s="51">
        <v>53.786000000000001</v>
      </c>
      <c r="F77" s="51">
        <v>52.436000000000007</v>
      </c>
      <c r="G77" s="51">
        <v>7.2309999999999999</v>
      </c>
      <c r="H77" s="51">
        <v>7.2519999999999998</v>
      </c>
      <c r="I77" s="51">
        <v>38.199999999999996</v>
      </c>
      <c r="J77" s="54">
        <f t="shared" si="4"/>
        <v>9.1611113805187827</v>
      </c>
      <c r="K77" s="54">
        <f>IFERROR(WHOLE_STRUCTURE[[#This Row],[Bottom '[m']]]-WHOLE_STRUCTURE[[#This Row],[D, top '[m']]], "")</f>
        <v>45.205000000000005</v>
      </c>
      <c r="L77" s="54">
        <f>IFERROR(-(WHOLE_STRUCTURE[[#This Row],[D, bottom '[m']]]-WHOLE_STRUCTURE[[#This Row],[D, top '[m']]])/(WHOLE_STRUCTURE[[#This Row],[Bottom '[m']]]-WHOLE_STRUCTURE[[#This Row],[Top '[m']]]),"")</f>
        <v>1.5555555555555553E-2</v>
      </c>
      <c r="M77" s="54">
        <f>IFERROR((WHOLE_STRUCTURE[[#This Row],[D, bottom '[m']]]+WHOLE_STRUCTURE[[#This Row],[D, top '[m']]])/(2*WHOLE_STRUCTURE[[#This Row],[t '[mm']]]/1000),"")</f>
        <v>189.56806282722516</v>
      </c>
      <c r="O77" s="55" t="s">
        <v>78</v>
      </c>
      <c r="P77" s="55" t="s">
        <v>256</v>
      </c>
      <c r="Q77" s="55">
        <v>21.14</v>
      </c>
      <c r="R77" s="55">
        <v>21.14</v>
      </c>
      <c r="S77" s="51">
        <v>53</v>
      </c>
      <c r="T77" s="51"/>
      <c r="U77" s="51"/>
      <c r="V77" s="51"/>
      <c r="W77" s="51"/>
      <c r="X77" s="51"/>
    </row>
    <row r="78" spans="2:24" x14ac:dyDescent="0.3">
      <c r="B78" s="51">
        <v>64</v>
      </c>
      <c r="C78" s="51" t="s">
        <v>78</v>
      </c>
      <c r="D78" s="51">
        <v>64</v>
      </c>
      <c r="E78" s="51">
        <v>52.436000000000007</v>
      </c>
      <c r="F78" s="51">
        <v>50.900000000000006</v>
      </c>
      <c r="G78" s="51">
        <v>7.2519999999999998</v>
      </c>
      <c r="H78" s="51">
        <v>7.2770000000000001</v>
      </c>
      <c r="I78" s="51">
        <v>38.199999999999996</v>
      </c>
      <c r="J78" s="54">
        <f t="shared" si="4"/>
        <v>10.456590375877102</v>
      </c>
      <c r="K78" s="54">
        <f>IFERROR(WHOLE_STRUCTURE[[#This Row],[Bottom '[m']]]-WHOLE_STRUCTURE[[#This Row],[D, top '[m']]], "")</f>
        <v>43.648000000000003</v>
      </c>
      <c r="L78" s="54">
        <f>IFERROR(-(WHOLE_STRUCTURE[[#This Row],[D, bottom '[m']]]-WHOLE_STRUCTURE[[#This Row],[D, top '[m']]])/(WHOLE_STRUCTURE[[#This Row],[Bottom '[m']]]-WHOLE_STRUCTURE[[#This Row],[Top '[m']]]),"")</f>
        <v>1.6276041666666883E-2</v>
      </c>
      <c r="M78" s="54">
        <f>IFERROR((WHOLE_STRUCTURE[[#This Row],[D, bottom '[m']]]+WHOLE_STRUCTURE[[#This Row],[D, top '[m']]])/(2*WHOLE_STRUCTURE[[#This Row],[t '[mm']]]/1000),"")</f>
        <v>190.17015706806285</v>
      </c>
      <c r="O78" s="55" t="s">
        <v>78</v>
      </c>
      <c r="P78" s="55" t="s">
        <v>256</v>
      </c>
      <c r="Q78" s="55">
        <v>21.080000000000002</v>
      </c>
      <c r="R78" s="55">
        <v>21.080000000000002</v>
      </c>
      <c r="S78" s="51">
        <v>14132</v>
      </c>
      <c r="T78" s="51"/>
      <c r="U78" s="51"/>
      <c r="V78" s="51"/>
      <c r="W78" s="51"/>
      <c r="X78" s="51"/>
    </row>
    <row r="79" spans="2:24" x14ac:dyDescent="0.3">
      <c r="B79" s="51">
        <v>65</v>
      </c>
      <c r="C79" s="51" t="s">
        <v>78</v>
      </c>
      <c r="D79" s="51">
        <v>65</v>
      </c>
      <c r="E79" s="51">
        <v>50.900000000000006</v>
      </c>
      <c r="F79" s="51">
        <v>49.718000000000004</v>
      </c>
      <c r="G79" s="51">
        <v>7.2770000000000001</v>
      </c>
      <c r="H79" s="51">
        <v>7.2919999999999998</v>
      </c>
      <c r="I79" s="51">
        <v>38.199999999999996</v>
      </c>
      <c r="J79" s="54">
        <f t="shared" si="4"/>
        <v>8.0689435830434757</v>
      </c>
      <c r="K79" s="54">
        <f>IFERROR(WHOLE_STRUCTURE[[#This Row],[Bottom '[m']]]-WHOLE_STRUCTURE[[#This Row],[D, top '[m']]], "")</f>
        <v>42.441000000000003</v>
      </c>
      <c r="L79" s="54">
        <f>IFERROR(-(WHOLE_STRUCTURE[[#This Row],[D, bottom '[m']]]-WHOLE_STRUCTURE[[#This Row],[D, top '[m']]])/(WHOLE_STRUCTURE[[#This Row],[Bottom '[m']]]-WHOLE_STRUCTURE[[#This Row],[Top '[m']]]),"")</f>
        <v>1.2690355329948945E-2</v>
      </c>
      <c r="M79" s="54">
        <f>IFERROR((WHOLE_STRUCTURE[[#This Row],[D, bottom '[m']]]+WHOLE_STRUCTURE[[#This Row],[D, top '[m']]])/(2*WHOLE_STRUCTURE[[#This Row],[t '[mm']]]/1000),"")</f>
        <v>190.69371727748691</v>
      </c>
      <c r="O79" s="55" t="s">
        <v>78</v>
      </c>
      <c r="P79" s="55" t="s">
        <v>100</v>
      </c>
      <c r="Q79" s="55">
        <v>20.900000000000002</v>
      </c>
      <c r="R79" s="55">
        <v>20.900000000000002</v>
      </c>
      <c r="S79" s="51">
        <v>28000</v>
      </c>
      <c r="T79" s="51"/>
      <c r="U79" s="51"/>
      <c r="V79" s="51"/>
      <c r="W79" s="51"/>
      <c r="X79" s="51"/>
    </row>
    <row r="80" spans="2:24" x14ac:dyDescent="0.3">
      <c r="B80" s="51">
        <v>66</v>
      </c>
      <c r="C80" s="51" t="s">
        <v>78</v>
      </c>
      <c r="D80" s="51">
        <v>66</v>
      </c>
      <c r="E80" s="51">
        <v>49.718000000000004</v>
      </c>
      <c r="F80" s="51">
        <v>49.674999999999997</v>
      </c>
      <c r="G80" s="51">
        <v>7.2919999999999998</v>
      </c>
      <c r="H80" s="51">
        <v>7.2919999999999998</v>
      </c>
      <c r="I80" s="51">
        <v>34.5</v>
      </c>
      <c r="J80" s="54">
        <f t="shared" si="4"/>
        <v>0.26551809567018186</v>
      </c>
      <c r="K80" s="54">
        <f>IFERROR(WHOLE_STRUCTURE[[#This Row],[Bottom '[m']]]-WHOLE_STRUCTURE[[#This Row],[D, top '[m']]], "")</f>
        <v>42.382999999999996</v>
      </c>
      <c r="L80" s="54">
        <f>IFERROR(-(WHOLE_STRUCTURE[[#This Row],[D, bottom '[m']]]-WHOLE_STRUCTURE[[#This Row],[D, top '[m']]])/(WHOLE_STRUCTURE[[#This Row],[Bottom '[m']]]-WHOLE_STRUCTURE[[#This Row],[Top '[m']]]),"")</f>
        <v>0</v>
      </c>
      <c r="M80" s="54">
        <f>IFERROR((WHOLE_STRUCTURE[[#This Row],[D, bottom '[m']]]+WHOLE_STRUCTURE[[#This Row],[D, top '[m']]])/(2*WHOLE_STRUCTURE[[#This Row],[t '[mm']]]/1000),"")</f>
        <v>211.36231884057969</v>
      </c>
      <c r="O80" s="55" t="s">
        <v>92</v>
      </c>
      <c r="P80" s="55" t="s">
        <v>101</v>
      </c>
      <c r="Q80" s="55">
        <v>20.100000000000001</v>
      </c>
      <c r="R80" s="55">
        <v>20.100000000000001</v>
      </c>
      <c r="S80" s="51">
        <v>20000</v>
      </c>
      <c r="T80" s="51"/>
      <c r="U80" s="51"/>
      <c r="V80" s="51"/>
      <c r="W80" s="51"/>
      <c r="X80" s="51"/>
    </row>
    <row r="81" spans="2:24" x14ac:dyDescent="0.3">
      <c r="B81" s="51">
        <v>67</v>
      </c>
      <c r="C81" s="51" t="s">
        <v>78</v>
      </c>
      <c r="D81" s="51">
        <v>67</v>
      </c>
      <c r="E81" s="51">
        <v>49.674999999999997</v>
      </c>
      <c r="F81" s="51">
        <v>47</v>
      </c>
      <c r="G81" s="51">
        <v>7.2919999999999998</v>
      </c>
      <c r="H81" s="51">
        <v>7.335</v>
      </c>
      <c r="I81" s="51">
        <v>34.5</v>
      </c>
      <c r="J81" s="54">
        <f t="shared" si="4"/>
        <v>16.566628376977938</v>
      </c>
      <c r="K81" s="54">
        <f>IFERROR(WHOLE_STRUCTURE[[#This Row],[Bottom '[m']]]-WHOLE_STRUCTURE[[#This Row],[D, top '[m']]], "")</f>
        <v>39.707999999999998</v>
      </c>
      <c r="L81" s="54">
        <f>IFERROR(-(WHOLE_STRUCTURE[[#This Row],[D, bottom '[m']]]-WHOLE_STRUCTURE[[#This Row],[D, top '[m']]])/(WHOLE_STRUCTURE[[#This Row],[Bottom '[m']]]-WHOLE_STRUCTURE[[#This Row],[Top '[m']]]),"")</f>
        <v>1.6074766355140258E-2</v>
      </c>
      <c r="M81" s="54">
        <f>IFERROR((WHOLE_STRUCTURE[[#This Row],[D, bottom '[m']]]+WHOLE_STRUCTURE[[#This Row],[D, top '[m']]])/(2*WHOLE_STRUCTURE[[#This Row],[t '[mm']]]/1000),"")</f>
        <v>211.98550724637678</v>
      </c>
      <c r="O81" s="55" t="s">
        <v>92</v>
      </c>
      <c r="P81" s="55" t="s">
        <v>95</v>
      </c>
      <c r="Q81" s="55">
        <v>19.5</v>
      </c>
      <c r="R81" s="55">
        <v>19.5</v>
      </c>
      <c r="S81" s="51">
        <v>5000</v>
      </c>
      <c r="T81" s="51"/>
      <c r="U81" s="51"/>
      <c r="V81" s="51"/>
      <c r="W81" s="51"/>
      <c r="X81" s="51"/>
    </row>
    <row r="82" spans="2:24" x14ac:dyDescent="0.3">
      <c r="B82" s="51">
        <v>68</v>
      </c>
      <c r="C82" s="51" t="s">
        <v>78</v>
      </c>
      <c r="D82" s="51">
        <v>68</v>
      </c>
      <c r="E82" s="51">
        <v>47</v>
      </c>
      <c r="F82" s="51">
        <v>45.564000000000007</v>
      </c>
      <c r="G82" s="51">
        <v>7.335</v>
      </c>
      <c r="H82" s="51">
        <v>7.3579999999999997</v>
      </c>
      <c r="I82" s="51">
        <v>35</v>
      </c>
      <c r="J82" s="54">
        <f t="shared" si="4"/>
        <v>9.0625099838538912</v>
      </c>
      <c r="K82" s="54">
        <f>IFERROR(WHOLE_STRUCTURE[[#This Row],[Bottom '[m']]]-WHOLE_STRUCTURE[[#This Row],[D, top '[m']]], "")</f>
        <v>38.229000000000006</v>
      </c>
      <c r="L82" s="54">
        <f>IFERROR(-(WHOLE_STRUCTURE[[#This Row],[D, bottom '[m']]]-WHOLE_STRUCTURE[[#This Row],[D, top '[m']]])/(WHOLE_STRUCTURE[[#This Row],[Bottom '[m']]]-WHOLE_STRUCTURE[[#This Row],[Top '[m']]]),"")</f>
        <v>1.6016713091921868E-2</v>
      </c>
      <c r="M82" s="54">
        <f>IFERROR((WHOLE_STRUCTURE[[#This Row],[D, bottom '[m']]]+WHOLE_STRUCTURE[[#This Row],[D, top '[m']]])/(2*WHOLE_STRUCTURE[[#This Row],[t '[mm']]]/1000),"")</f>
        <v>209.89999999999998</v>
      </c>
      <c r="O82" s="55" t="s">
        <v>92</v>
      </c>
      <c r="P82" s="55" t="s">
        <v>102</v>
      </c>
      <c r="Q82" s="55">
        <v>14</v>
      </c>
      <c r="R82" s="55">
        <v>14</v>
      </c>
      <c r="S82" s="51">
        <v>5000</v>
      </c>
      <c r="T82" s="51"/>
      <c r="U82" s="51"/>
      <c r="V82" s="51"/>
      <c r="W82" s="51"/>
      <c r="X82" s="51"/>
    </row>
    <row r="83" spans="2:24" x14ac:dyDescent="0.3">
      <c r="B83" s="51">
        <v>69</v>
      </c>
      <c r="C83" s="51" t="s">
        <v>78</v>
      </c>
      <c r="D83" s="51">
        <v>69</v>
      </c>
      <c r="E83" s="51">
        <v>45.564000000000007</v>
      </c>
      <c r="F83" s="51">
        <v>44.282000000000004</v>
      </c>
      <c r="G83" s="51">
        <v>7.3579999999999997</v>
      </c>
      <c r="H83" s="51">
        <v>7.3789999999999996</v>
      </c>
      <c r="I83" s="51">
        <v>35</v>
      </c>
      <c r="J83" s="54">
        <f t="shared" si="4"/>
        <v>8.1149695638373931</v>
      </c>
      <c r="K83" s="54">
        <f>IFERROR(WHOLE_STRUCTURE[[#This Row],[Bottom '[m']]]-WHOLE_STRUCTURE[[#This Row],[D, top '[m']]], "")</f>
        <v>36.924000000000007</v>
      </c>
      <c r="L83" s="54">
        <f>IFERROR(-(WHOLE_STRUCTURE[[#This Row],[D, bottom '[m']]]-WHOLE_STRUCTURE[[#This Row],[D, top '[m']]])/(WHOLE_STRUCTURE[[#This Row],[Bottom '[m']]]-WHOLE_STRUCTURE[[#This Row],[Top '[m']]]),"")</f>
        <v>1.6380655226208931E-2</v>
      </c>
      <c r="M83" s="54">
        <f>IFERROR((WHOLE_STRUCTURE[[#This Row],[D, bottom '[m']]]+WHOLE_STRUCTURE[[#This Row],[D, top '[m']]])/(2*WHOLE_STRUCTURE[[#This Row],[t '[mm']]]/1000),"")</f>
        <v>210.52857142857138</v>
      </c>
      <c r="O83" s="55" t="s">
        <v>92</v>
      </c>
      <c r="P83" s="55" t="s">
        <v>257</v>
      </c>
      <c r="Q83" s="55">
        <v>11</v>
      </c>
      <c r="R83" s="55">
        <v>11</v>
      </c>
      <c r="S83" s="51">
        <v>1</v>
      </c>
      <c r="T83" s="51"/>
      <c r="U83" s="51"/>
      <c r="V83" s="51"/>
      <c r="W83" s="51"/>
      <c r="X83" s="51"/>
    </row>
    <row r="84" spans="2:24" x14ac:dyDescent="0.3">
      <c r="B84" s="51">
        <v>70</v>
      </c>
      <c r="C84" s="51" t="s">
        <v>78</v>
      </c>
      <c r="D84" s="51">
        <v>70</v>
      </c>
      <c r="E84" s="51">
        <v>44.282000000000004</v>
      </c>
      <c r="F84" s="51">
        <v>41.561000000000007</v>
      </c>
      <c r="G84" s="51">
        <v>7.3789999999999996</v>
      </c>
      <c r="H84" s="51">
        <v>7.4249999999999998</v>
      </c>
      <c r="I84" s="51">
        <v>35.799999999999997</v>
      </c>
      <c r="J84" s="54">
        <f t="shared" si="4"/>
        <v>17.695979401197722</v>
      </c>
      <c r="K84" s="54">
        <f>IFERROR(WHOLE_STRUCTURE[[#This Row],[Bottom '[m']]]-WHOLE_STRUCTURE[[#This Row],[D, top '[m']]], "")</f>
        <v>34.182000000000009</v>
      </c>
      <c r="L84" s="54">
        <f>IFERROR(-(WHOLE_STRUCTURE[[#This Row],[D, bottom '[m']]]-WHOLE_STRUCTURE[[#This Row],[D, top '[m']]])/(WHOLE_STRUCTURE[[#This Row],[Bottom '[m']]]-WHOLE_STRUCTURE[[#This Row],[Top '[m']]]),"")</f>
        <v>1.6905549430356603E-2</v>
      </c>
      <c r="M84" s="54">
        <f>IFERROR((WHOLE_STRUCTURE[[#This Row],[D, bottom '[m']]]+WHOLE_STRUCTURE[[#This Row],[D, top '[m']]])/(2*WHOLE_STRUCTURE[[#This Row],[t '[mm']]]/1000),"")</f>
        <v>206.75977653631284</v>
      </c>
      <c r="O84" s="55" t="s">
        <v>92</v>
      </c>
      <c r="P84" s="55" t="s">
        <v>103</v>
      </c>
      <c r="Q84" s="55">
        <v>6.1</v>
      </c>
      <c r="R84" s="55">
        <v>6.1</v>
      </c>
      <c r="S84" s="51">
        <v>200</v>
      </c>
      <c r="T84" s="51"/>
      <c r="U84" s="51"/>
      <c r="V84" s="51"/>
      <c r="W84" s="51"/>
      <c r="X84" s="51"/>
    </row>
    <row r="85" spans="2:24" x14ac:dyDescent="0.3">
      <c r="B85" s="51">
        <v>71</v>
      </c>
      <c r="C85" s="51" t="s">
        <v>78</v>
      </c>
      <c r="D85" s="51">
        <v>71</v>
      </c>
      <c r="E85" s="51">
        <v>41.561000000000007</v>
      </c>
      <c r="F85" s="51">
        <v>40.900000000000006</v>
      </c>
      <c r="G85" s="51">
        <v>7.4249999999999998</v>
      </c>
      <c r="H85" s="51">
        <v>7.4349999999999996</v>
      </c>
      <c r="I85" s="51">
        <v>39</v>
      </c>
      <c r="J85" s="54">
        <f t="shared" si="4"/>
        <v>4.6988198876939959</v>
      </c>
      <c r="K85" s="54">
        <f>IFERROR(WHOLE_STRUCTURE[[#This Row],[Bottom '[m']]]-WHOLE_STRUCTURE[[#This Row],[D, top '[m']]], "")</f>
        <v>33.475000000000009</v>
      </c>
      <c r="L85" s="54">
        <f>IFERROR(-(WHOLE_STRUCTURE[[#This Row],[D, bottom '[m']]]-WHOLE_STRUCTURE[[#This Row],[D, top '[m']]])/(WHOLE_STRUCTURE[[#This Row],[Bottom '[m']]]-WHOLE_STRUCTURE[[#This Row],[Top '[m']]]),"")</f>
        <v>1.5128593040846848E-2</v>
      </c>
      <c r="M85" s="54">
        <f>IFERROR((WHOLE_STRUCTURE[[#This Row],[D, bottom '[m']]]+WHOLE_STRUCTURE[[#This Row],[D, top '[m']]])/(2*WHOLE_STRUCTURE[[#This Row],[t '[mm']]]/1000),"")</f>
        <v>190.5128205128205</v>
      </c>
      <c r="O85" s="55" t="s">
        <v>92</v>
      </c>
      <c r="P85" s="55" t="s">
        <v>97</v>
      </c>
      <c r="Q85" s="55">
        <v>5.6</v>
      </c>
      <c r="R85" s="55">
        <v>5.6</v>
      </c>
      <c r="S85" s="51">
        <v>60000</v>
      </c>
      <c r="T85" s="51"/>
      <c r="U85" s="51"/>
      <c r="V85" s="51"/>
      <c r="W85" s="51"/>
      <c r="X85" s="51"/>
    </row>
    <row r="86" spans="2:24" x14ac:dyDescent="0.3">
      <c r="B86" s="51">
        <v>72</v>
      </c>
      <c r="C86" s="51" t="s">
        <v>78</v>
      </c>
      <c r="D86" s="51">
        <v>72</v>
      </c>
      <c r="E86" s="51">
        <v>40.900000000000006</v>
      </c>
      <c r="F86" s="51">
        <v>38.775000000000006</v>
      </c>
      <c r="G86" s="51">
        <v>7.4349999999999996</v>
      </c>
      <c r="H86" s="51">
        <v>7.476</v>
      </c>
      <c r="I86" s="51">
        <v>39</v>
      </c>
      <c r="J86" s="54">
        <f t="shared" si="4"/>
        <v>15.158005904941108</v>
      </c>
      <c r="K86" s="54">
        <f>IFERROR(WHOLE_STRUCTURE[[#This Row],[Bottom '[m']]]-WHOLE_STRUCTURE[[#This Row],[D, top '[m']]], "")</f>
        <v>31.340000000000007</v>
      </c>
      <c r="L86" s="54">
        <f>IFERROR(-(WHOLE_STRUCTURE[[#This Row],[D, bottom '[m']]]-WHOLE_STRUCTURE[[#This Row],[D, top '[m']]])/(WHOLE_STRUCTURE[[#This Row],[Bottom '[m']]]-WHOLE_STRUCTURE[[#This Row],[Top '[m']]]),"")</f>
        <v>1.9294117647058996E-2</v>
      </c>
      <c r="M86" s="54">
        <f>IFERROR((WHOLE_STRUCTURE[[#This Row],[D, bottom '[m']]]+WHOLE_STRUCTURE[[#This Row],[D, top '[m']]])/(2*WHOLE_STRUCTURE[[#This Row],[t '[mm']]]/1000),"")</f>
        <v>191.16666666666666</v>
      </c>
      <c r="O86" s="55" t="s">
        <v>69</v>
      </c>
      <c r="P86" s="55" t="s">
        <v>97</v>
      </c>
      <c r="Q86" s="55">
        <v>5.6</v>
      </c>
      <c r="R86" s="55">
        <v>5.6</v>
      </c>
      <c r="S86" s="51">
        <v>60000</v>
      </c>
      <c r="T86" s="51"/>
      <c r="U86" s="51"/>
      <c r="V86" s="51"/>
      <c r="W86" s="51"/>
      <c r="X86" s="51"/>
    </row>
    <row r="87" spans="2:24" x14ac:dyDescent="0.3">
      <c r="B87" s="51">
        <v>73</v>
      </c>
      <c r="C87" s="51" t="s">
        <v>78</v>
      </c>
      <c r="D87" s="51">
        <v>73</v>
      </c>
      <c r="E87" s="51">
        <v>38.775000000000006</v>
      </c>
      <c r="F87" s="51">
        <v>38.725000000000001</v>
      </c>
      <c r="G87" s="51">
        <v>7.476</v>
      </c>
      <c r="H87" s="51">
        <v>7.476</v>
      </c>
      <c r="I87" s="51">
        <v>46</v>
      </c>
      <c r="J87" s="54">
        <f t="shared" si="4"/>
        <v>0.42144041332902277</v>
      </c>
      <c r="K87" s="54">
        <f>IFERROR(WHOLE_STRUCTURE[[#This Row],[Bottom '[m']]]-WHOLE_STRUCTURE[[#This Row],[D, top '[m']]], "")</f>
        <v>31.249000000000002</v>
      </c>
      <c r="L87" s="54">
        <f>IFERROR(-(WHOLE_STRUCTURE[[#This Row],[D, bottom '[m']]]-WHOLE_STRUCTURE[[#This Row],[D, top '[m']]])/(WHOLE_STRUCTURE[[#This Row],[Bottom '[m']]]-WHOLE_STRUCTURE[[#This Row],[Top '[m']]]),"")</f>
        <v>0</v>
      </c>
      <c r="M87" s="54">
        <f>IFERROR((WHOLE_STRUCTURE[[#This Row],[D, bottom '[m']]]+WHOLE_STRUCTURE[[#This Row],[D, top '[m']]])/(2*WHOLE_STRUCTURE[[#This Row],[t '[mm']]]/1000),"")</f>
        <v>162.52173913043478</v>
      </c>
      <c r="O87" s="55" t="s">
        <v>69</v>
      </c>
      <c r="P87" s="55" t="s">
        <v>98</v>
      </c>
      <c r="Q87" s="55">
        <v>4.2</v>
      </c>
      <c r="R87" s="55">
        <v>4.2</v>
      </c>
      <c r="S87" s="51">
        <v>9000</v>
      </c>
      <c r="T87" s="51"/>
      <c r="U87" s="51"/>
      <c r="V87" s="51"/>
      <c r="W87" s="51"/>
      <c r="X87" s="51"/>
    </row>
    <row r="88" spans="2:24" x14ac:dyDescent="0.3">
      <c r="B88" s="51">
        <v>74</v>
      </c>
      <c r="C88" s="51" t="s">
        <v>78</v>
      </c>
      <c r="D88" s="51">
        <v>74</v>
      </c>
      <c r="E88" s="51">
        <v>38.725000000000001</v>
      </c>
      <c r="F88" s="51">
        <v>38.540000000000006</v>
      </c>
      <c r="G88" s="51">
        <v>7.476</v>
      </c>
      <c r="H88" s="51">
        <v>7.476</v>
      </c>
      <c r="I88" s="51">
        <v>46</v>
      </c>
      <c r="J88" s="54">
        <f t="shared" si="4"/>
        <v>1.5593295293172105</v>
      </c>
      <c r="K88" s="54">
        <f>IFERROR(WHOLE_STRUCTURE[[#This Row],[Bottom '[m']]]-WHOLE_STRUCTURE[[#This Row],[D, top '[m']]], "")</f>
        <v>31.064000000000007</v>
      </c>
      <c r="L88" s="54">
        <f>IFERROR(-(WHOLE_STRUCTURE[[#This Row],[D, bottom '[m']]]-WHOLE_STRUCTURE[[#This Row],[D, top '[m']]])/(WHOLE_STRUCTURE[[#This Row],[Bottom '[m']]]-WHOLE_STRUCTURE[[#This Row],[Top '[m']]]),"")</f>
        <v>0</v>
      </c>
      <c r="M88" s="54">
        <f>IFERROR((WHOLE_STRUCTURE[[#This Row],[D, bottom '[m']]]+WHOLE_STRUCTURE[[#This Row],[D, top '[m']]])/(2*WHOLE_STRUCTURE[[#This Row],[t '[mm']]]/1000),"")</f>
        <v>162.52173913043478</v>
      </c>
      <c r="O88" s="55" t="s">
        <v>69</v>
      </c>
      <c r="P88" s="55" t="s">
        <v>99</v>
      </c>
      <c r="Q88" s="55">
        <v>2</v>
      </c>
      <c r="R88" s="55">
        <v>2</v>
      </c>
      <c r="S88" s="51">
        <v>80000</v>
      </c>
      <c r="T88" s="51"/>
      <c r="U88" s="51"/>
      <c r="V88" s="51"/>
      <c r="W88" s="51"/>
      <c r="X88" s="51"/>
    </row>
    <row r="89" spans="2:24" x14ac:dyDescent="0.3">
      <c r="B89" s="51">
        <v>75</v>
      </c>
      <c r="C89" s="51" t="s">
        <v>78</v>
      </c>
      <c r="D89" s="51">
        <v>75</v>
      </c>
      <c r="E89" s="51">
        <v>38.540000000000006</v>
      </c>
      <c r="F89" s="51">
        <v>38.355000000000004</v>
      </c>
      <c r="G89" s="51">
        <v>7.476</v>
      </c>
      <c r="H89" s="51">
        <v>7.476</v>
      </c>
      <c r="I89" s="51">
        <v>46</v>
      </c>
      <c r="J89" s="54">
        <f t="shared" si="4"/>
        <v>1.5593295293172704</v>
      </c>
      <c r="K89" s="54">
        <f>IFERROR(WHOLE_STRUCTURE[[#This Row],[Bottom '[m']]]-WHOLE_STRUCTURE[[#This Row],[D, top '[m']]], "")</f>
        <v>30.879000000000005</v>
      </c>
      <c r="L89" s="54">
        <f>IFERROR(-(WHOLE_STRUCTURE[[#This Row],[D, bottom '[m']]]-WHOLE_STRUCTURE[[#This Row],[D, top '[m']]])/(WHOLE_STRUCTURE[[#This Row],[Bottom '[m']]]-WHOLE_STRUCTURE[[#This Row],[Top '[m']]]),"")</f>
        <v>0</v>
      </c>
      <c r="M89" s="54">
        <f>IFERROR((WHOLE_STRUCTURE[[#This Row],[D, bottom '[m']]]+WHOLE_STRUCTURE[[#This Row],[D, top '[m']]])/(2*WHOLE_STRUCTURE[[#This Row],[t '[mm']]]/1000),"")</f>
        <v>162.52173913043478</v>
      </c>
    </row>
    <row r="90" spans="2:24" x14ac:dyDescent="0.3">
      <c r="B90" s="51">
        <v>76</v>
      </c>
      <c r="C90" s="51" t="s">
        <v>78</v>
      </c>
      <c r="D90" s="51">
        <v>76</v>
      </c>
      <c r="E90" s="51">
        <v>38.355000000000004</v>
      </c>
      <c r="F90" s="51">
        <v>38.305000000000007</v>
      </c>
      <c r="G90" s="51">
        <v>7.476</v>
      </c>
      <c r="H90" s="51">
        <v>7.4740000000000002</v>
      </c>
      <c r="I90" s="51">
        <v>46</v>
      </c>
      <c r="J90" s="54">
        <f t="shared" si="4"/>
        <v>0.42138369187360242</v>
      </c>
      <c r="K90" s="54">
        <f>IFERROR(WHOLE_STRUCTURE[[#This Row],[Bottom '[m']]]-WHOLE_STRUCTURE[[#This Row],[D, top '[m']]], "")</f>
        <v>30.829000000000008</v>
      </c>
      <c r="L90" s="54">
        <f>IFERROR(-(WHOLE_STRUCTURE[[#This Row],[D, bottom '[m']]]-WHOLE_STRUCTURE[[#This Row],[D, top '[m']]])/(WHOLE_STRUCTURE[[#This Row],[Bottom '[m']]]-WHOLE_STRUCTURE[[#This Row],[Top '[m']]]),"")</f>
        <v>-3.9999999999997871E-2</v>
      </c>
      <c r="M90" s="54">
        <f>IFERROR((WHOLE_STRUCTURE[[#This Row],[D, bottom '[m']]]+WHOLE_STRUCTURE[[#This Row],[D, top '[m']]])/(2*WHOLE_STRUCTURE[[#This Row],[t '[mm']]]/1000),"")</f>
        <v>162.5</v>
      </c>
    </row>
    <row r="91" spans="2:24" x14ac:dyDescent="0.3">
      <c r="B91" s="51">
        <v>77</v>
      </c>
      <c r="C91" s="51" t="s">
        <v>78</v>
      </c>
      <c r="D91" s="51">
        <v>77</v>
      </c>
      <c r="E91" s="51">
        <v>38.305000000000007</v>
      </c>
      <c r="F91" s="51">
        <v>37.343000000000004</v>
      </c>
      <c r="G91" s="51">
        <v>7.4740000000000002</v>
      </c>
      <c r="H91" s="51">
        <v>7.4740000000000002</v>
      </c>
      <c r="I91" s="51">
        <v>44.1</v>
      </c>
      <c r="J91" s="54">
        <f t="shared" si="4"/>
        <v>7.7734920638760601</v>
      </c>
      <c r="K91" s="54">
        <f>IFERROR(WHOLE_STRUCTURE[[#This Row],[Bottom '[m']]]-WHOLE_STRUCTURE[[#This Row],[D, top '[m']]], "")</f>
        <v>29.869000000000003</v>
      </c>
      <c r="L91" s="54">
        <f>IFERROR(-(WHOLE_STRUCTURE[[#This Row],[D, bottom '[m']]]-WHOLE_STRUCTURE[[#This Row],[D, top '[m']]])/(WHOLE_STRUCTURE[[#This Row],[Bottom '[m']]]-WHOLE_STRUCTURE[[#This Row],[Top '[m']]]),"")</f>
        <v>0</v>
      </c>
      <c r="M91" s="54">
        <f>IFERROR((WHOLE_STRUCTURE[[#This Row],[D, bottom '[m']]]+WHOLE_STRUCTURE[[#This Row],[D, top '[m']]])/(2*WHOLE_STRUCTURE[[#This Row],[t '[mm']]]/1000),"")</f>
        <v>169.47845804988663</v>
      </c>
    </row>
    <row r="92" spans="2:24" x14ac:dyDescent="0.3">
      <c r="B92" s="51">
        <v>78</v>
      </c>
      <c r="C92" s="51" t="s">
        <v>78</v>
      </c>
      <c r="D92" s="51">
        <v>78</v>
      </c>
      <c r="E92" s="51">
        <v>37.343000000000004</v>
      </c>
      <c r="F92" s="51">
        <v>35.43</v>
      </c>
      <c r="G92" s="51">
        <v>7.4740000000000002</v>
      </c>
      <c r="H92" s="51">
        <v>7.476</v>
      </c>
      <c r="I92" s="51">
        <v>44.1</v>
      </c>
      <c r="J92" s="54">
        <f t="shared" si="4"/>
        <v>15.460178569581235</v>
      </c>
      <c r="K92" s="54">
        <f>IFERROR(WHOLE_STRUCTURE[[#This Row],[Bottom '[m']]]-WHOLE_STRUCTURE[[#This Row],[D, top '[m']]], "")</f>
        <v>27.956</v>
      </c>
      <c r="L92" s="54">
        <f>IFERROR(-(WHOLE_STRUCTURE[[#This Row],[D, bottom '[m']]]-WHOLE_STRUCTURE[[#This Row],[D, top '[m']]])/(WHOLE_STRUCTURE[[#This Row],[Bottom '[m']]]-WHOLE_STRUCTURE[[#This Row],[Top '[m']]]),"")</f>
        <v>1.0454783063250266E-3</v>
      </c>
      <c r="M92" s="54">
        <f>IFERROR((WHOLE_STRUCTURE[[#This Row],[D, bottom '[m']]]+WHOLE_STRUCTURE[[#This Row],[D, top '[m']]])/(2*WHOLE_STRUCTURE[[#This Row],[t '[mm']]]/1000),"")</f>
        <v>169.50113378684807</v>
      </c>
    </row>
    <row r="93" spans="2:24" x14ac:dyDescent="0.3">
      <c r="B93" s="51">
        <v>79</v>
      </c>
      <c r="C93" s="51" t="s">
        <v>78</v>
      </c>
      <c r="D93" s="51">
        <v>79</v>
      </c>
      <c r="E93" s="51">
        <v>35.43</v>
      </c>
      <c r="F93" s="51">
        <v>33.231999999999999</v>
      </c>
      <c r="G93" s="51">
        <v>7.476</v>
      </c>
      <c r="H93" s="51">
        <v>7.476</v>
      </c>
      <c r="I93" s="51">
        <v>45.6</v>
      </c>
      <c r="J93" s="54">
        <f t="shared" si="4"/>
        <v>18.36640910818716</v>
      </c>
      <c r="K93" s="54">
        <f>IFERROR(WHOLE_STRUCTURE[[#This Row],[Bottom '[m']]]-WHOLE_STRUCTURE[[#This Row],[D, top '[m']]], "")</f>
        <v>25.756</v>
      </c>
      <c r="L93" s="54">
        <f>IFERROR(-(WHOLE_STRUCTURE[[#This Row],[D, bottom '[m']]]-WHOLE_STRUCTURE[[#This Row],[D, top '[m']]])/(WHOLE_STRUCTURE[[#This Row],[Bottom '[m']]]-WHOLE_STRUCTURE[[#This Row],[Top '[m']]]),"")</f>
        <v>0</v>
      </c>
      <c r="M93" s="54">
        <f>IFERROR((WHOLE_STRUCTURE[[#This Row],[D, bottom '[m']]]+WHOLE_STRUCTURE[[#This Row],[D, top '[m']]])/(2*WHOLE_STRUCTURE[[#This Row],[t '[mm']]]/1000),"")</f>
        <v>163.94736842105263</v>
      </c>
    </row>
    <row r="94" spans="2:24" x14ac:dyDescent="0.3">
      <c r="B94" s="51">
        <v>80</v>
      </c>
      <c r="C94" s="51" t="s">
        <v>78</v>
      </c>
      <c r="D94" s="51">
        <v>80</v>
      </c>
      <c r="E94" s="51">
        <v>33.231999999999999</v>
      </c>
      <c r="F94" s="51">
        <v>32.5</v>
      </c>
      <c r="G94" s="51">
        <v>7.476</v>
      </c>
      <c r="H94" s="51">
        <v>7.4770000000000003</v>
      </c>
      <c r="I94" s="51">
        <v>45.6</v>
      </c>
      <c r="J94" s="54">
        <f t="shared" si="4"/>
        <v>6.1169773172667181</v>
      </c>
      <c r="K94" s="54">
        <f>IFERROR(WHOLE_STRUCTURE[[#This Row],[Bottom '[m']]]-WHOLE_STRUCTURE[[#This Row],[D, top '[m']]], "")</f>
        <v>25.024000000000001</v>
      </c>
      <c r="L94" s="54">
        <f>IFERROR(-(WHOLE_STRUCTURE[[#This Row],[D, bottom '[m']]]-WHOLE_STRUCTURE[[#This Row],[D, top '[m']]])/(WHOLE_STRUCTURE[[#This Row],[Bottom '[m']]]-WHOLE_STRUCTURE[[#This Row],[Top '[m']]]),"")</f>
        <v>1.3661202185796925E-3</v>
      </c>
      <c r="M94" s="54">
        <f>IFERROR((WHOLE_STRUCTURE[[#This Row],[D, bottom '[m']]]+WHOLE_STRUCTURE[[#This Row],[D, top '[m']]])/(2*WHOLE_STRUCTURE[[#This Row],[t '[mm']]]/1000),"")</f>
        <v>163.95833333333331</v>
      </c>
    </row>
    <row r="95" spans="2:24" x14ac:dyDescent="0.3">
      <c r="B95" s="51">
        <v>81</v>
      </c>
      <c r="C95" s="51" t="s">
        <v>78</v>
      </c>
      <c r="D95" s="51">
        <v>81</v>
      </c>
      <c r="E95" s="51">
        <v>32.5</v>
      </c>
      <c r="F95" s="51">
        <v>30.9</v>
      </c>
      <c r="G95" s="51">
        <v>7.4770000000000003</v>
      </c>
      <c r="H95" s="51">
        <v>7.4770000000000003</v>
      </c>
      <c r="I95" s="51">
        <v>47.1</v>
      </c>
      <c r="J95" s="54">
        <f t="shared" si="4"/>
        <v>13.808400911123877</v>
      </c>
      <c r="K95" s="54">
        <f>IFERROR(WHOLE_STRUCTURE[[#This Row],[Bottom '[m']]]-WHOLE_STRUCTURE[[#This Row],[D, top '[m']]], "")</f>
        <v>23.422999999999998</v>
      </c>
      <c r="L95" s="54">
        <f>IFERROR(-(WHOLE_STRUCTURE[[#This Row],[D, bottom '[m']]]-WHOLE_STRUCTURE[[#This Row],[D, top '[m']]])/(WHOLE_STRUCTURE[[#This Row],[Bottom '[m']]]-WHOLE_STRUCTURE[[#This Row],[Top '[m']]]),"")</f>
        <v>0</v>
      </c>
      <c r="M95" s="54">
        <f>IFERROR((WHOLE_STRUCTURE[[#This Row],[D, bottom '[m']]]+WHOLE_STRUCTURE[[#This Row],[D, top '[m']]])/(2*WHOLE_STRUCTURE[[#This Row],[t '[mm']]]/1000),"")</f>
        <v>158.74734607218684</v>
      </c>
    </row>
    <row r="96" spans="2:24" x14ac:dyDescent="0.3">
      <c r="B96" s="51">
        <v>82</v>
      </c>
      <c r="C96" s="51" t="s">
        <v>78</v>
      </c>
      <c r="D96" s="51">
        <v>82</v>
      </c>
      <c r="E96" s="51">
        <v>30.9</v>
      </c>
      <c r="F96" s="51">
        <v>29.569999999999997</v>
      </c>
      <c r="G96" s="51">
        <v>7.4770000000000003</v>
      </c>
      <c r="H96" s="51">
        <v>7.4790000000000001</v>
      </c>
      <c r="I96" s="51">
        <v>47.1</v>
      </c>
      <c r="J96" s="54">
        <f t="shared" si="4"/>
        <v>11.47977812786228</v>
      </c>
      <c r="K96" s="54">
        <f>IFERROR(WHOLE_STRUCTURE[[#This Row],[Bottom '[m']]]-WHOLE_STRUCTURE[[#This Row],[D, top '[m']]], "")</f>
        <v>22.092999999999996</v>
      </c>
      <c r="L96" s="54">
        <f>IFERROR(-(WHOLE_STRUCTURE[[#This Row],[D, bottom '[m']]]-WHOLE_STRUCTURE[[#This Row],[D, top '[m']]])/(WHOLE_STRUCTURE[[#This Row],[Bottom '[m']]]-WHOLE_STRUCTURE[[#This Row],[Top '[m']]]),"")</f>
        <v>1.5037593984960729E-3</v>
      </c>
      <c r="M96" s="54">
        <f>IFERROR((WHOLE_STRUCTURE[[#This Row],[D, bottom '[m']]]+WHOLE_STRUCTURE[[#This Row],[D, top '[m']]])/(2*WHOLE_STRUCTURE[[#This Row],[t '[mm']]]/1000),"")</f>
        <v>158.76857749469212</v>
      </c>
    </row>
    <row r="97" spans="2:13" x14ac:dyDescent="0.3">
      <c r="B97" s="51">
        <v>83</v>
      </c>
      <c r="C97" s="51" t="s">
        <v>78</v>
      </c>
      <c r="D97" s="51">
        <v>83</v>
      </c>
      <c r="E97" s="51">
        <v>29.569999999999997</v>
      </c>
      <c r="F97" s="51">
        <v>29.120999999999999</v>
      </c>
      <c r="G97" s="51">
        <v>7.4790000000000001</v>
      </c>
      <c r="H97" s="51">
        <v>7.4790000000000001</v>
      </c>
      <c r="I97" s="51">
        <v>49</v>
      </c>
      <c r="J97" s="54">
        <f t="shared" si="4"/>
        <v>4.0313524059352366</v>
      </c>
      <c r="K97" s="54">
        <f>IFERROR(WHOLE_STRUCTURE[[#This Row],[Bottom '[m']]]-WHOLE_STRUCTURE[[#This Row],[D, top '[m']]], "")</f>
        <v>21.641999999999999</v>
      </c>
      <c r="L97" s="54">
        <f>IFERROR(-(WHOLE_STRUCTURE[[#This Row],[D, bottom '[m']]]-WHOLE_STRUCTURE[[#This Row],[D, top '[m']]])/(WHOLE_STRUCTURE[[#This Row],[Bottom '[m']]]-WHOLE_STRUCTURE[[#This Row],[Top '[m']]]),"")</f>
        <v>0</v>
      </c>
      <c r="M97" s="54">
        <f>IFERROR((WHOLE_STRUCTURE[[#This Row],[D, bottom '[m']]]+WHOLE_STRUCTURE[[#This Row],[D, top '[m']]])/(2*WHOLE_STRUCTURE[[#This Row],[t '[mm']]]/1000),"")</f>
        <v>152.63265306122449</v>
      </c>
    </row>
    <row r="98" spans="2:13" x14ac:dyDescent="0.3">
      <c r="B98" s="51">
        <v>84</v>
      </c>
      <c r="C98" s="51" t="s">
        <v>78</v>
      </c>
      <c r="D98" s="51">
        <v>84</v>
      </c>
      <c r="E98" s="51">
        <v>29.120999999999999</v>
      </c>
      <c r="F98" s="51">
        <v>26.639999999999997</v>
      </c>
      <c r="G98" s="51">
        <v>7.4790000000000001</v>
      </c>
      <c r="H98" s="51">
        <v>7.5</v>
      </c>
      <c r="I98" s="51">
        <v>49</v>
      </c>
      <c r="J98" s="54">
        <f t="shared" si="4"/>
        <v>22.307170912766217</v>
      </c>
      <c r="K98" s="54">
        <f>IFERROR(WHOLE_STRUCTURE[[#This Row],[Bottom '[m']]]-WHOLE_STRUCTURE[[#This Row],[D, top '[m']]], "")</f>
        <v>19.160999999999998</v>
      </c>
      <c r="L98" s="54">
        <f>IFERROR(-(WHOLE_STRUCTURE[[#This Row],[D, bottom '[m']]]-WHOLE_STRUCTURE[[#This Row],[D, top '[m']]])/(WHOLE_STRUCTURE[[#This Row],[Bottom '[m']]]-WHOLE_STRUCTURE[[#This Row],[Top '[m']]]),"")</f>
        <v>8.4643288996371999E-3</v>
      </c>
      <c r="M98" s="54">
        <f>IFERROR((WHOLE_STRUCTURE[[#This Row],[D, bottom '[m']]]+WHOLE_STRUCTURE[[#This Row],[D, top '[m']]])/(2*WHOLE_STRUCTURE[[#This Row],[t '[mm']]]/1000),"")</f>
        <v>152.84693877551018</v>
      </c>
    </row>
    <row r="99" spans="2:13" x14ac:dyDescent="0.3">
      <c r="B99" s="51">
        <v>85</v>
      </c>
      <c r="C99" s="51" t="s">
        <v>78</v>
      </c>
      <c r="D99" s="51">
        <v>85</v>
      </c>
      <c r="E99" s="51">
        <v>26.639999999999997</v>
      </c>
      <c r="F99" s="51">
        <v>25.05</v>
      </c>
      <c r="G99" s="51">
        <v>7.5</v>
      </c>
      <c r="H99" s="51">
        <v>7.5</v>
      </c>
      <c r="I99" s="51">
        <v>70</v>
      </c>
      <c r="J99" s="54">
        <f t="shared" si="4"/>
        <v>20.394051305876623</v>
      </c>
      <c r="K99" s="54">
        <f>IFERROR(WHOLE_STRUCTURE[[#This Row],[Bottom '[m']]]-WHOLE_STRUCTURE[[#This Row],[D, top '[m']]], "")</f>
        <v>17.55</v>
      </c>
      <c r="L99" s="54">
        <f>IFERROR(-(WHOLE_STRUCTURE[[#This Row],[D, bottom '[m']]]-WHOLE_STRUCTURE[[#This Row],[D, top '[m']]])/(WHOLE_STRUCTURE[[#This Row],[Bottom '[m']]]-WHOLE_STRUCTURE[[#This Row],[Top '[m']]]),"")</f>
        <v>0</v>
      </c>
      <c r="M99" s="54">
        <f>IFERROR((WHOLE_STRUCTURE[[#This Row],[D, bottom '[m']]]+WHOLE_STRUCTURE[[#This Row],[D, top '[m']]])/(2*WHOLE_STRUCTURE[[#This Row],[t '[mm']]]/1000),"")</f>
        <v>107.14285714285714</v>
      </c>
    </row>
    <row r="100" spans="2:13" x14ac:dyDescent="0.3">
      <c r="B100" s="51">
        <v>86</v>
      </c>
      <c r="C100" s="51" t="s">
        <v>78</v>
      </c>
      <c r="D100" s="51">
        <v>86</v>
      </c>
      <c r="E100" s="51">
        <v>25.05</v>
      </c>
      <c r="F100" s="51">
        <v>25.010999999999999</v>
      </c>
      <c r="G100" s="51">
        <v>7.5</v>
      </c>
      <c r="H100" s="51">
        <v>7.5</v>
      </c>
      <c r="I100" s="51">
        <v>70</v>
      </c>
      <c r="J100" s="54">
        <f t="shared" si="4"/>
        <v>0.50023144712529577</v>
      </c>
      <c r="K100" s="54">
        <f>IFERROR(WHOLE_STRUCTURE[[#This Row],[Bottom '[m']]]-WHOLE_STRUCTURE[[#This Row],[D, top '[m']]], "")</f>
        <v>17.510999999999999</v>
      </c>
      <c r="L100" s="54">
        <f>IFERROR(-(WHOLE_STRUCTURE[[#This Row],[D, bottom '[m']]]-WHOLE_STRUCTURE[[#This Row],[D, top '[m']]])/(WHOLE_STRUCTURE[[#This Row],[Bottom '[m']]]-WHOLE_STRUCTURE[[#This Row],[Top '[m']]]),"")</f>
        <v>0</v>
      </c>
      <c r="M100" s="54">
        <f>IFERROR((WHOLE_STRUCTURE[[#This Row],[D, bottom '[m']]]+WHOLE_STRUCTURE[[#This Row],[D, top '[m']]])/(2*WHOLE_STRUCTURE[[#This Row],[t '[mm']]]/1000),"")</f>
        <v>107.14285714285714</v>
      </c>
    </row>
    <row r="101" spans="2:13" x14ac:dyDescent="0.3">
      <c r="B101" s="51">
        <v>87</v>
      </c>
      <c r="C101" s="51" t="s">
        <v>78</v>
      </c>
      <c r="D101" s="51">
        <v>87</v>
      </c>
      <c r="E101" s="51">
        <v>25.010999999999999</v>
      </c>
      <c r="F101" s="51">
        <v>22.119999999999997</v>
      </c>
      <c r="G101" s="51">
        <v>7.5</v>
      </c>
      <c r="H101" s="51">
        <v>7.5</v>
      </c>
      <c r="I101" s="51">
        <v>70</v>
      </c>
      <c r="J101" s="54">
        <f t="shared" si="4"/>
        <v>37.081259324081437</v>
      </c>
      <c r="K101" s="54">
        <f>IFERROR(WHOLE_STRUCTURE[[#This Row],[Bottom '[m']]]-WHOLE_STRUCTURE[[#This Row],[D, top '[m']]], "")</f>
        <v>14.619999999999997</v>
      </c>
      <c r="L101" s="54">
        <f>IFERROR(-(WHOLE_STRUCTURE[[#This Row],[D, bottom '[m']]]-WHOLE_STRUCTURE[[#This Row],[D, top '[m']]])/(WHOLE_STRUCTURE[[#This Row],[Bottom '[m']]]-WHOLE_STRUCTURE[[#This Row],[Top '[m']]]),"")</f>
        <v>0</v>
      </c>
      <c r="M101" s="54">
        <f>IFERROR((WHOLE_STRUCTURE[[#This Row],[D, bottom '[m']]]+WHOLE_STRUCTURE[[#This Row],[D, top '[m']]])/(2*WHOLE_STRUCTURE[[#This Row],[t '[mm']]]/1000),"")</f>
        <v>107.14285714285714</v>
      </c>
    </row>
    <row r="102" spans="2:13" x14ac:dyDescent="0.3">
      <c r="B102" s="51">
        <v>88</v>
      </c>
      <c r="C102" s="51" t="s">
        <v>78</v>
      </c>
      <c r="D102" s="51">
        <v>88</v>
      </c>
      <c r="E102" s="51">
        <v>22.119999999999997</v>
      </c>
      <c r="F102" s="51">
        <v>21.139999999999997</v>
      </c>
      <c r="G102" s="51">
        <v>7.5</v>
      </c>
      <c r="H102" s="51">
        <v>7.5</v>
      </c>
      <c r="I102" s="51">
        <v>70</v>
      </c>
      <c r="J102" s="54">
        <f t="shared" si="4"/>
        <v>12.569918414942858</v>
      </c>
      <c r="K102" s="54">
        <f>IFERROR(WHOLE_STRUCTURE[[#This Row],[Bottom '[m']]]-WHOLE_STRUCTURE[[#This Row],[D, top '[m']]], "")</f>
        <v>13.639999999999997</v>
      </c>
      <c r="L102" s="54">
        <f>IFERROR(-(WHOLE_STRUCTURE[[#This Row],[D, bottom '[m']]]-WHOLE_STRUCTURE[[#This Row],[D, top '[m']]])/(WHOLE_STRUCTURE[[#This Row],[Bottom '[m']]]-WHOLE_STRUCTURE[[#This Row],[Top '[m']]]),"")</f>
        <v>0</v>
      </c>
      <c r="M102" s="54">
        <f>IFERROR((WHOLE_STRUCTURE[[#This Row],[D, bottom '[m']]]+WHOLE_STRUCTURE[[#This Row],[D, top '[m']]])/(2*WHOLE_STRUCTURE[[#This Row],[t '[mm']]]/1000),"")</f>
        <v>107.14285714285714</v>
      </c>
    </row>
    <row r="103" spans="2:13" x14ac:dyDescent="0.3">
      <c r="B103" s="51">
        <v>89</v>
      </c>
      <c r="C103" s="51" t="s">
        <v>78</v>
      </c>
      <c r="D103" s="51">
        <v>89</v>
      </c>
      <c r="E103" s="51">
        <v>21.139999999999997</v>
      </c>
      <c r="F103" s="51">
        <v>21.08</v>
      </c>
      <c r="G103" s="51">
        <v>7.5</v>
      </c>
      <c r="H103" s="51">
        <v>7.5</v>
      </c>
      <c r="I103" s="51">
        <v>70</v>
      </c>
      <c r="J103" s="54">
        <f t="shared" si="4"/>
        <v>0.76958684173117875</v>
      </c>
      <c r="K103" s="54">
        <f>IFERROR(WHOLE_STRUCTURE[[#This Row],[Bottom '[m']]]-WHOLE_STRUCTURE[[#This Row],[D, top '[m']]], "")</f>
        <v>13.579999999999998</v>
      </c>
      <c r="L103" s="54">
        <f>IFERROR(-(WHOLE_STRUCTURE[[#This Row],[D, bottom '[m']]]-WHOLE_STRUCTURE[[#This Row],[D, top '[m']]])/(WHOLE_STRUCTURE[[#This Row],[Bottom '[m']]]-WHOLE_STRUCTURE[[#This Row],[Top '[m']]]),"")</f>
        <v>0</v>
      </c>
      <c r="M103" s="54">
        <f>IFERROR((WHOLE_STRUCTURE[[#This Row],[D, bottom '[m']]]+WHOLE_STRUCTURE[[#This Row],[D, top '[m']]])/(2*WHOLE_STRUCTURE[[#This Row],[t '[mm']]]/1000),"")</f>
        <v>107.14285714285714</v>
      </c>
    </row>
    <row r="104" spans="2:13" x14ac:dyDescent="0.3">
      <c r="B104" s="51">
        <v>90</v>
      </c>
      <c r="C104" s="51" t="s">
        <v>78</v>
      </c>
      <c r="D104" s="51">
        <v>90</v>
      </c>
      <c r="E104" s="51">
        <v>21.08</v>
      </c>
      <c r="F104" s="51">
        <v>20.9</v>
      </c>
      <c r="G104" s="51">
        <v>7.5</v>
      </c>
      <c r="H104" s="51">
        <v>7.5</v>
      </c>
      <c r="I104" s="51">
        <v>70</v>
      </c>
      <c r="J104" s="54">
        <f t="shared" si="4"/>
        <v>2.3087605251935819</v>
      </c>
      <c r="K104" s="54">
        <f>IFERROR(WHOLE_STRUCTURE[[#This Row],[Bottom '[m']]]-WHOLE_STRUCTURE[[#This Row],[D, top '[m']]], "")</f>
        <v>13.399999999999999</v>
      </c>
      <c r="L104" s="54">
        <f>IFERROR(-(WHOLE_STRUCTURE[[#This Row],[D, bottom '[m']]]-WHOLE_STRUCTURE[[#This Row],[D, top '[m']]])/(WHOLE_STRUCTURE[[#This Row],[Bottom '[m']]]-WHOLE_STRUCTURE[[#This Row],[Top '[m']]]),"")</f>
        <v>0</v>
      </c>
      <c r="M104" s="54">
        <f>IFERROR((WHOLE_STRUCTURE[[#This Row],[D, bottom '[m']]]+WHOLE_STRUCTURE[[#This Row],[D, top '[m']]])/(2*WHOLE_STRUCTURE[[#This Row],[t '[mm']]]/1000),"")</f>
        <v>107.14285714285714</v>
      </c>
    </row>
    <row r="105" spans="2:13" x14ac:dyDescent="0.3">
      <c r="B105" s="51">
        <v>91</v>
      </c>
      <c r="C105" s="51" t="s">
        <v>92</v>
      </c>
      <c r="D105" s="51">
        <v>1</v>
      </c>
      <c r="E105" s="51">
        <v>20.9</v>
      </c>
      <c r="F105" s="51">
        <v>17.5</v>
      </c>
      <c r="G105" s="51">
        <v>7.5</v>
      </c>
      <c r="H105" s="51">
        <v>7.5</v>
      </c>
      <c r="I105" s="51">
        <v>86</v>
      </c>
      <c r="J105" s="54">
        <f t="shared" si="4"/>
        <v>53.462526608972695</v>
      </c>
      <c r="K105" s="54">
        <f>IFERROR(WHOLE_STRUCTURE[[#This Row],[Bottom '[m']]]-WHOLE_STRUCTURE[[#This Row],[D, top '[m']]], "")</f>
        <v>10</v>
      </c>
      <c r="L105" s="54">
        <f>IFERROR(-(WHOLE_STRUCTURE[[#This Row],[D, bottom '[m']]]-WHOLE_STRUCTURE[[#This Row],[D, top '[m']]])/(WHOLE_STRUCTURE[[#This Row],[Bottom '[m']]]-WHOLE_STRUCTURE[[#This Row],[Top '[m']]]),"")</f>
        <v>0</v>
      </c>
      <c r="M105" s="54">
        <f>IFERROR((WHOLE_STRUCTURE[[#This Row],[D, bottom '[m']]]+WHOLE_STRUCTURE[[#This Row],[D, top '[m']]])/(2*WHOLE_STRUCTURE[[#This Row],[t '[mm']]]/1000),"")</f>
        <v>87.209302325581405</v>
      </c>
    </row>
    <row r="106" spans="2:13" x14ac:dyDescent="0.3">
      <c r="B106" s="51">
        <v>92</v>
      </c>
      <c r="C106" s="51" t="s">
        <v>92</v>
      </c>
      <c r="D106" s="51">
        <v>2</v>
      </c>
      <c r="E106" s="51">
        <v>17.5</v>
      </c>
      <c r="F106" s="51">
        <v>13.5</v>
      </c>
      <c r="G106" s="51">
        <v>7.5</v>
      </c>
      <c r="H106" s="51">
        <v>7.5</v>
      </c>
      <c r="I106" s="51">
        <v>86</v>
      </c>
      <c r="J106" s="54">
        <f t="shared" si="4"/>
        <v>62.897090128203196</v>
      </c>
      <c r="K106" s="54">
        <f>IFERROR(WHOLE_STRUCTURE[[#This Row],[Bottom '[m']]]-WHOLE_STRUCTURE[[#This Row],[D, top '[m']]], "")</f>
        <v>6</v>
      </c>
      <c r="L106" s="54">
        <f>IFERROR(-(WHOLE_STRUCTURE[[#This Row],[D, bottom '[m']]]-WHOLE_STRUCTURE[[#This Row],[D, top '[m']]])/(WHOLE_STRUCTURE[[#This Row],[Bottom '[m']]]-WHOLE_STRUCTURE[[#This Row],[Top '[m']]]),"")</f>
        <v>0</v>
      </c>
      <c r="M106" s="54">
        <f>IFERROR((WHOLE_STRUCTURE[[#This Row],[D, bottom '[m']]]+WHOLE_STRUCTURE[[#This Row],[D, top '[m']]])/(2*WHOLE_STRUCTURE[[#This Row],[t '[mm']]]/1000),"")</f>
        <v>87.209302325581405</v>
      </c>
    </row>
    <row r="107" spans="2:13" x14ac:dyDescent="0.3">
      <c r="B107" s="51">
        <v>93</v>
      </c>
      <c r="C107" s="51" t="s">
        <v>92</v>
      </c>
      <c r="D107" s="51">
        <v>3</v>
      </c>
      <c r="E107" s="51">
        <v>13.5</v>
      </c>
      <c r="F107" s="51">
        <v>9.5</v>
      </c>
      <c r="G107" s="51">
        <v>7.5</v>
      </c>
      <c r="H107" s="51">
        <v>7.5</v>
      </c>
      <c r="I107" s="51">
        <v>93</v>
      </c>
      <c r="J107" s="54">
        <f t="shared" si="4"/>
        <v>67.952402167964607</v>
      </c>
      <c r="K107" s="54">
        <f>IFERROR(WHOLE_STRUCTURE[[#This Row],[Bottom '[m']]]-WHOLE_STRUCTURE[[#This Row],[D, top '[m']]], "")</f>
        <v>2</v>
      </c>
      <c r="L107" s="54">
        <f>IFERROR(-(WHOLE_STRUCTURE[[#This Row],[D, bottom '[m']]]-WHOLE_STRUCTURE[[#This Row],[D, top '[m']]])/(WHOLE_STRUCTURE[[#This Row],[Bottom '[m']]]-WHOLE_STRUCTURE[[#This Row],[Top '[m']]]),"")</f>
        <v>0</v>
      </c>
      <c r="M107" s="54">
        <f>IFERROR((WHOLE_STRUCTURE[[#This Row],[D, bottom '[m']]]+WHOLE_STRUCTURE[[#This Row],[D, top '[m']]])/(2*WHOLE_STRUCTURE[[#This Row],[t '[mm']]]/1000),"")</f>
        <v>80.645161290322577</v>
      </c>
    </row>
    <row r="108" spans="2:13" x14ac:dyDescent="0.3">
      <c r="B108" s="51">
        <v>94</v>
      </c>
      <c r="C108" s="51" t="s">
        <v>92</v>
      </c>
      <c r="D108" s="51">
        <v>4</v>
      </c>
      <c r="E108" s="51">
        <v>9.5</v>
      </c>
      <c r="F108" s="51">
        <v>5.6</v>
      </c>
      <c r="G108" s="51">
        <v>7.5</v>
      </c>
      <c r="H108" s="51">
        <v>7.5</v>
      </c>
      <c r="I108" s="51">
        <v>100</v>
      </c>
      <c r="J108" s="54">
        <f t="shared" si="4"/>
        <v>71.173095726342197</v>
      </c>
      <c r="K108" s="54">
        <f>IFERROR(WHOLE_STRUCTURE[[#This Row],[Bottom '[m']]]-WHOLE_STRUCTURE[[#This Row],[D, top '[m']]], "")</f>
        <v>-1.9000000000000004</v>
      </c>
      <c r="L108" s="54">
        <f>IFERROR(-(WHOLE_STRUCTURE[[#This Row],[D, bottom '[m']]]-WHOLE_STRUCTURE[[#This Row],[D, top '[m']]])/(WHOLE_STRUCTURE[[#This Row],[Bottom '[m']]]-WHOLE_STRUCTURE[[#This Row],[Top '[m']]]),"")</f>
        <v>0</v>
      </c>
      <c r="M108" s="54">
        <f>IFERROR((WHOLE_STRUCTURE[[#This Row],[D, bottom '[m']]]+WHOLE_STRUCTURE[[#This Row],[D, top '[m']]])/(2*WHOLE_STRUCTURE[[#This Row],[t '[mm']]]/1000),"")</f>
        <v>75</v>
      </c>
    </row>
    <row r="109" spans="2:13" x14ac:dyDescent="0.3">
      <c r="B109" s="51">
        <v>95</v>
      </c>
      <c r="C109" s="51" t="s">
        <v>69</v>
      </c>
      <c r="D109" s="51">
        <v>1</v>
      </c>
      <c r="E109" s="51">
        <v>5.6</v>
      </c>
      <c r="F109" s="51">
        <v>1.6</v>
      </c>
      <c r="G109" s="51">
        <v>7.5</v>
      </c>
      <c r="H109" s="51">
        <v>7.5</v>
      </c>
      <c r="I109" s="51">
        <v>108</v>
      </c>
      <c r="J109" s="54">
        <f t="shared" si="4"/>
        <v>78.752660498662593</v>
      </c>
      <c r="K109" s="54">
        <f>IFERROR(WHOLE_STRUCTURE[[#This Row],[Bottom '[m']]]-WHOLE_STRUCTURE[[#This Row],[D, top '[m']]], "")</f>
        <v>-5.9</v>
      </c>
      <c r="L109" s="54">
        <f>IFERROR(-(WHOLE_STRUCTURE[[#This Row],[D, bottom '[m']]]-WHOLE_STRUCTURE[[#This Row],[D, top '[m']]])/(WHOLE_STRUCTURE[[#This Row],[Bottom '[m']]]-WHOLE_STRUCTURE[[#This Row],[Top '[m']]]),"")</f>
        <v>0</v>
      </c>
      <c r="M109" s="54">
        <f>IFERROR((WHOLE_STRUCTURE[[#This Row],[D, bottom '[m']]]+WHOLE_STRUCTURE[[#This Row],[D, top '[m']]])/(2*WHOLE_STRUCTURE[[#This Row],[t '[mm']]]/1000),"")</f>
        <v>69.444444444444443</v>
      </c>
    </row>
    <row r="110" spans="2:13" x14ac:dyDescent="0.3">
      <c r="B110" s="51">
        <v>96</v>
      </c>
      <c r="C110" s="51" t="s">
        <v>69</v>
      </c>
      <c r="D110" s="51">
        <v>2</v>
      </c>
      <c r="E110" s="51">
        <v>1.6</v>
      </c>
      <c r="F110" s="51">
        <v>-2.2999999999999998</v>
      </c>
      <c r="G110" s="51">
        <v>7.5</v>
      </c>
      <c r="H110" s="51">
        <v>7.5</v>
      </c>
      <c r="I110" s="51">
        <v>100</v>
      </c>
      <c r="J110" s="54">
        <f t="shared" si="4"/>
        <v>71.173095726342183</v>
      </c>
      <c r="K110" s="54">
        <f>IFERROR(WHOLE_STRUCTURE[[#This Row],[Bottom '[m']]]-WHOLE_STRUCTURE[[#This Row],[D, top '[m']]], "")</f>
        <v>-9.8000000000000007</v>
      </c>
      <c r="L110" s="54">
        <f>IFERROR(-(WHOLE_STRUCTURE[[#This Row],[D, bottom '[m']]]-WHOLE_STRUCTURE[[#This Row],[D, top '[m']]])/(WHOLE_STRUCTURE[[#This Row],[Bottom '[m']]]-WHOLE_STRUCTURE[[#This Row],[Top '[m']]]),"")</f>
        <v>0</v>
      </c>
      <c r="M110" s="54">
        <f>IFERROR((WHOLE_STRUCTURE[[#This Row],[D, bottom '[m']]]+WHOLE_STRUCTURE[[#This Row],[D, top '[m']]])/(2*WHOLE_STRUCTURE[[#This Row],[t '[mm']]]/1000),"")</f>
        <v>75</v>
      </c>
    </row>
    <row r="111" spans="2:13" x14ac:dyDescent="0.3">
      <c r="B111" s="51">
        <v>97</v>
      </c>
      <c r="C111" s="51" t="s">
        <v>69</v>
      </c>
      <c r="D111" s="51">
        <v>3</v>
      </c>
      <c r="E111" s="51">
        <v>-2.2999999999999998</v>
      </c>
      <c r="F111" s="51">
        <v>-6.2</v>
      </c>
      <c r="G111" s="51">
        <v>7.5</v>
      </c>
      <c r="H111" s="51">
        <v>7.5</v>
      </c>
      <c r="I111" s="51">
        <v>98</v>
      </c>
      <c r="J111" s="54">
        <f t="shared" si="4"/>
        <v>69.768485064196611</v>
      </c>
      <c r="K111" s="54">
        <f>IFERROR(WHOLE_STRUCTURE[[#This Row],[Bottom '[m']]]-WHOLE_STRUCTURE[[#This Row],[D, top '[m']]], "")</f>
        <v>-13.7</v>
      </c>
      <c r="L111" s="54">
        <f>IFERROR(-(WHOLE_STRUCTURE[[#This Row],[D, bottom '[m']]]-WHOLE_STRUCTURE[[#This Row],[D, top '[m']]])/(WHOLE_STRUCTURE[[#This Row],[Bottom '[m']]]-WHOLE_STRUCTURE[[#This Row],[Top '[m']]]),"")</f>
        <v>0</v>
      </c>
      <c r="M111" s="54">
        <f>IFERROR((WHOLE_STRUCTURE[[#This Row],[D, bottom '[m']]]+WHOLE_STRUCTURE[[#This Row],[D, top '[m']]])/(2*WHOLE_STRUCTURE[[#This Row],[t '[mm']]]/1000),"")</f>
        <v>76.530612244897952</v>
      </c>
    </row>
    <row r="112" spans="2:13" x14ac:dyDescent="0.3">
      <c r="B112" s="51">
        <v>98</v>
      </c>
      <c r="C112" s="51" t="s">
        <v>69</v>
      </c>
      <c r="D112" s="51">
        <v>4</v>
      </c>
      <c r="E112" s="51">
        <v>-6.2</v>
      </c>
      <c r="F112" s="51">
        <v>-10.1</v>
      </c>
      <c r="G112" s="51">
        <v>7.5</v>
      </c>
      <c r="H112" s="51">
        <v>7.8282999999999996</v>
      </c>
      <c r="I112" s="51">
        <v>98</v>
      </c>
      <c r="J112" s="54">
        <f t="shared" si="4"/>
        <v>71.315701603414155</v>
      </c>
      <c r="K112" s="54">
        <f>IFERROR(WHOLE_STRUCTURE[[#This Row],[Bottom '[m']]]-WHOLE_STRUCTURE[[#This Row],[D, top '[m']]], "")</f>
        <v>-17.600000000000001</v>
      </c>
      <c r="L112" s="54">
        <f>IFERROR(-(WHOLE_STRUCTURE[[#This Row],[D, bottom '[m']]]-WHOLE_STRUCTURE[[#This Row],[D, top '[m']]])/(WHOLE_STRUCTURE[[#This Row],[Bottom '[m']]]-WHOLE_STRUCTURE[[#This Row],[Top '[m']]]),"")</f>
        <v>8.4179487179487089E-2</v>
      </c>
      <c r="M112" s="54">
        <f>IFERROR((WHOLE_STRUCTURE[[#This Row],[D, bottom '[m']]]+WHOLE_STRUCTURE[[#This Row],[D, top '[m']]])/(2*WHOLE_STRUCTURE[[#This Row],[t '[mm']]]/1000),"")</f>
        <v>78.205612244897949</v>
      </c>
    </row>
    <row r="113" spans="2:13" x14ac:dyDescent="0.3">
      <c r="B113" s="51">
        <v>99</v>
      </c>
      <c r="C113" s="51" t="s">
        <v>69</v>
      </c>
      <c r="D113" s="51">
        <v>5</v>
      </c>
      <c r="E113" s="51">
        <v>-10.1</v>
      </c>
      <c r="F113" s="51">
        <v>-14</v>
      </c>
      <c r="G113" s="51">
        <v>7.8282999999999996</v>
      </c>
      <c r="H113" s="51">
        <v>8.1565999999999992</v>
      </c>
      <c r="I113" s="51">
        <v>104</v>
      </c>
      <c r="J113" s="54">
        <f t="shared" si="4"/>
        <v>78.905840981319429</v>
      </c>
      <c r="K113" s="54">
        <f>IFERROR(WHOLE_STRUCTURE[[#This Row],[Bottom '[m']]]-WHOLE_STRUCTURE[[#This Row],[D, top '[m']]], "")</f>
        <v>-21.828299999999999</v>
      </c>
      <c r="L113" s="54">
        <f>IFERROR(-(WHOLE_STRUCTURE[[#This Row],[D, bottom '[m']]]-WHOLE_STRUCTURE[[#This Row],[D, top '[m']]])/(WHOLE_STRUCTURE[[#This Row],[Bottom '[m']]]-WHOLE_STRUCTURE[[#This Row],[Top '[m']]]),"")</f>
        <v>8.4179487179487061E-2</v>
      </c>
      <c r="M113" s="54">
        <f>IFERROR((WHOLE_STRUCTURE[[#This Row],[D, bottom '[m']]]+WHOLE_STRUCTURE[[#This Row],[D, top '[m']]])/(2*WHOLE_STRUCTURE[[#This Row],[t '[mm']]]/1000),"")</f>
        <v>76.850480769230771</v>
      </c>
    </row>
    <row r="114" spans="2:13" x14ac:dyDescent="0.3">
      <c r="B114" s="51">
        <v>100</v>
      </c>
      <c r="C114" s="51" t="s">
        <v>69</v>
      </c>
      <c r="D114" s="51">
        <v>6</v>
      </c>
      <c r="E114" s="51">
        <v>-14</v>
      </c>
      <c r="F114" s="51">
        <v>-17.899999999999999</v>
      </c>
      <c r="G114" s="51">
        <v>8.1565999999999992</v>
      </c>
      <c r="H114" s="51">
        <v>8.4847999999999999</v>
      </c>
      <c r="I114" s="51">
        <v>98</v>
      </c>
      <c r="J114" s="54">
        <f t="shared" si="4"/>
        <v>77.504096478974631</v>
      </c>
      <c r="K114" s="54">
        <f>IFERROR(WHOLE_STRUCTURE[[#This Row],[Bottom '[m']]]-WHOLE_STRUCTURE[[#This Row],[D, top '[m']]], "")</f>
        <v>-26.056599999999996</v>
      </c>
      <c r="L114" s="54">
        <f>IFERROR(-(WHOLE_STRUCTURE[[#This Row],[D, bottom '[m']]]-WHOLE_STRUCTURE[[#This Row],[D, top '[m']]])/(WHOLE_STRUCTURE[[#This Row],[Bottom '[m']]]-WHOLE_STRUCTURE[[#This Row],[Top '[m']]]),"")</f>
        <v>8.4153846153846371E-2</v>
      </c>
      <c r="M114" s="54">
        <f>IFERROR((WHOLE_STRUCTURE[[#This Row],[D, bottom '[m']]]+WHOLE_STRUCTURE[[#This Row],[D, top '[m']]])/(2*WHOLE_STRUCTURE[[#This Row],[t '[mm']]]/1000),"")</f>
        <v>84.905102040816303</v>
      </c>
    </row>
    <row r="115" spans="2:13" x14ac:dyDescent="0.3">
      <c r="B115" s="51">
        <v>101</v>
      </c>
      <c r="C115" s="51" t="s">
        <v>69</v>
      </c>
      <c r="D115" s="51">
        <v>7</v>
      </c>
      <c r="E115" s="51">
        <v>-17.899999999999999</v>
      </c>
      <c r="F115" s="51">
        <v>-21.8</v>
      </c>
      <c r="G115" s="51">
        <v>8.4847999999999999</v>
      </c>
      <c r="H115" s="51">
        <v>8.8131000000000004</v>
      </c>
      <c r="I115" s="51">
        <v>94</v>
      </c>
      <c r="J115" s="54">
        <f t="shared" si="4"/>
        <v>77.34450523878759</v>
      </c>
      <c r="K115" s="54">
        <f>IFERROR(WHOLE_STRUCTURE[[#This Row],[Bottom '[m']]]-WHOLE_STRUCTURE[[#This Row],[D, top '[m']]], "")</f>
        <v>-30.284800000000001</v>
      </c>
      <c r="L115" s="54">
        <f>IFERROR(-(WHOLE_STRUCTURE[[#This Row],[D, bottom '[m']]]-WHOLE_STRUCTURE[[#This Row],[D, top '[m']]])/(WHOLE_STRUCTURE[[#This Row],[Bottom '[m']]]-WHOLE_STRUCTURE[[#This Row],[Top '[m']]]),"")</f>
        <v>8.4179487179487256E-2</v>
      </c>
      <c r="M115" s="54">
        <f>IFERROR((WHOLE_STRUCTURE[[#This Row],[D, bottom '[m']]]+WHOLE_STRUCTURE[[#This Row],[D, top '[m']]])/(2*WHOLE_STRUCTURE[[#This Row],[t '[mm']]]/1000),"")</f>
        <v>92.010106382978719</v>
      </c>
    </row>
    <row r="116" spans="2:13" x14ac:dyDescent="0.3">
      <c r="B116" s="51">
        <v>102</v>
      </c>
      <c r="C116" s="51" t="s">
        <v>69</v>
      </c>
      <c r="D116" s="51">
        <v>8</v>
      </c>
      <c r="E116" s="51">
        <v>-21.8</v>
      </c>
      <c r="F116" s="51">
        <v>-25.7</v>
      </c>
      <c r="G116" s="51">
        <v>8.8131000000000004</v>
      </c>
      <c r="H116" s="51">
        <v>9.1414000000000009</v>
      </c>
      <c r="I116" s="51">
        <v>92</v>
      </c>
      <c r="J116" s="54">
        <f t="shared" si="4"/>
        <v>78.621552553821701</v>
      </c>
      <c r="K116" s="54">
        <f>IFERROR(WHOLE_STRUCTURE[[#This Row],[Bottom '[m']]]-WHOLE_STRUCTURE[[#This Row],[D, top '[m']]], "")</f>
        <v>-34.513100000000001</v>
      </c>
      <c r="L116" s="54">
        <f>IFERROR(-(WHOLE_STRUCTURE[[#This Row],[D, bottom '[m']]]-WHOLE_STRUCTURE[[#This Row],[D, top '[m']]])/(WHOLE_STRUCTURE[[#This Row],[Bottom '[m']]]-WHOLE_STRUCTURE[[#This Row],[Top '[m']]]),"")</f>
        <v>8.4179487179487339E-2</v>
      </c>
      <c r="M116" s="54">
        <f>IFERROR((WHOLE_STRUCTURE[[#This Row],[D, bottom '[m']]]+WHOLE_STRUCTURE[[#This Row],[D, top '[m']]])/(2*WHOLE_STRUCTURE[[#This Row],[t '[mm']]]/1000),"")</f>
        <v>97.578804347826107</v>
      </c>
    </row>
    <row r="117" spans="2:13" x14ac:dyDescent="0.3">
      <c r="B117" s="51">
        <v>103</v>
      </c>
      <c r="C117" s="51" t="s">
        <v>69</v>
      </c>
      <c r="D117" s="51">
        <v>9</v>
      </c>
      <c r="E117" s="51">
        <v>-25.7</v>
      </c>
      <c r="F117" s="51">
        <v>-29.6</v>
      </c>
      <c r="G117" s="51">
        <v>9.1414000000000009</v>
      </c>
      <c r="H117" s="51">
        <v>9.4696999999999996</v>
      </c>
      <c r="I117" s="51">
        <v>90</v>
      </c>
      <c r="J117" s="54">
        <f t="shared" si="4"/>
        <v>79.771527039027319</v>
      </c>
      <c r="K117" s="54">
        <f>IFERROR(WHOLE_STRUCTURE[[#This Row],[Bottom '[m']]]-WHOLE_STRUCTURE[[#This Row],[D, top '[m']]], "")</f>
        <v>-38.741399999999999</v>
      </c>
      <c r="L117" s="54">
        <f>IFERROR(-(WHOLE_STRUCTURE[[#This Row],[D, bottom '[m']]]-WHOLE_STRUCTURE[[#This Row],[D, top '[m']]])/(WHOLE_STRUCTURE[[#This Row],[Bottom '[m']]]-WHOLE_STRUCTURE[[#This Row],[Top '[m']]]),"")</f>
        <v>8.4179487179486798E-2</v>
      </c>
      <c r="M117" s="54">
        <f>IFERROR((WHOLE_STRUCTURE[[#This Row],[D, bottom '[m']]]+WHOLE_STRUCTURE[[#This Row],[D, top '[m']]])/(2*WHOLE_STRUCTURE[[#This Row],[t '[mm']]]/1000),"")</f>
        <v>103.39500000000001</v>
      </c>
    </row>
    <row r="118" spans="2:13" x14ac:dyDescent="0.3">
      <c r="B118" s="51">
        <v>104</v>
      </c>
      <c r="C118" s="51" t="s">
        <v>69</v>
      </c>
      <c r="D118" s="51">
        <v>10</v>
      </c>
      <c r="E118" s="51">
        <v>-29.6</v>
      </c>
      <c r="F118" s="51">
        <v>-33.5</v>
      </c>
      <c r="G118" s="51">
        <v>9.4696999999999996</v>
      </c>
      <c r="H118" s="51">
        <v>9.8000000000000007</v>
      </c>
      <c r="I118" s="51">
        <v>90</v>
      </c>
      <c r="J118" s="54">
        <f t="shared" si="4"/>
        <v>82.622009522867344</v>
      </c>
      <c r="K118" s="54">
        <f>IFERROR(WHOLE_STRUCTURE[[#This Row],[Bottom '[m']]]-WHOLE_STRUCTURE[[#This Row],[D, top '[m']]], "")</f>
        <v>-42.969700000000003</v>
      </c>
      <c r="L118" s="54">
        <f>IFERROR(-(WHOLE_STRUCTURE[[#This Row],[D, bottom '[m']]]-WHOLE_STRUCTURE[[#This Row],[D, top '[m']]])/(WHOLE_STRUCTURE[[#This Row],[Bottom '[m']]]-WHOLE_STRUCTURE[[#This Row],[Top '[m']]]),"")</f>
        <v>8.4692307692308011E-2</v>
      </c>
      <c r="M118" s="54">
        <f>IFERROR((WHOLE_STRUCTURE[[#This Row],[D, bottom '[m']]]+WHOLE_STRUCTURE[[#This Row],[D, top '[m']]])/(2*WHOLE_STRUCTURE[[#This Row],[t '[mm']]]/1000),"")</f>
        <v>107.05388888888889</v>
      </c>
    </row>
    <row r="119" spans="2:13" x14ac:dyDescent="0.3">
      <c r="B119" s="51">
        <v>105</v>
      </c>
      <c r="C119" s="51" t="s">
        <v>69</v>
      </c>
      <c r="D119" s="51">
        <v>11</v>
      </c>
      <c r="E119" s="51">
        <v>-33.5</v>
      </c>
      <c r="F119" s="51">
        <v>-36.799999999999997</v>
      </c>
      <c r="G119" s="51">
        <v>9.8000000000000007</v>
      </c>
      <c r="H119" s="51">
        <v>9.8000000000000007</v>
      </c>
      <c r="I119" s="51">
        <v>90</v>
      </c>
      <c r="J119" s="54">
        <f t="shared" si="4"/>
        <v>71.120566726377618</v>
      </c>
      <c r="K119" s="54">
        <f>IFERROR(WHOLE_STRUCTURE[[#This Row],[Bottom '[m']]]-WHOLE_STRUCTURE[[#This Row],[D, top '[m']]], "")</f>
        <v>-46.599999999999994</v>
      </c>
      <c r="L119" s="54">
        <f>IFERROR(-(WHOLE_STRUCTURE[[#This Row],[D, bottom '[m']]]-WHOLE_STRUCTURE[[#This Row],[D, top '[m']]])/(WHOLE_STRUCTURE[[#This Row],[Bottom '[m']]]-WHOLE_STRUCTURE[[#This Row],[Top '[m']]]),"")</f>
        <v>0</v>
      </c>
      <c r="M119" s="54">
        <f>IFERROR((WHOLE_STRUCTURE[[#This Row],[D, bottom '[m']]]+WHOLE_STRUCTURE[[#This Row],[D, top '[m']]])/(2*WHOLE_STRUCTURE[[#This Row],[t '[mm']]]/1000),"")</f>
        <v>108.8888888888889</v>
      </c>
    </row>
    <row r="120" spans="2:13" x14ac:dyDescent="0.3">
      <c r="B120" s="51">
        <v>106</v>
      </c>
      <c r="C120" s="51" t="s">
        <v>69</v>
      </c>
      <c r="D120" s="51">
        <v>12</v>
      </c>
      <c r="E120" s="51">
        <v>-36.799999999999997</v>
      </c>
      <c r="F120" s="51">
        <v>-40.200000000000003</v>
      </c>
      <c r="G120" s="51">
        <v>9.8000000000000007</v>
      </c>
      <c r="H120" s="51">
        <v>9.8000000000000007</v>
      </c>
      <c r="I120" s="51">
        <v>98</v>
      </c>
      <c r="J120" s="54">
        <f t="shared" si="4"/>
        <v>79.723396418003802</v>
      </c>
      <c r="K120" s="54">
        <f>IFERROR(WHOLE_STRUCTURE[[#This Row],[Bottom '[m']]]-WHOLE_STRUCTURE[[#This Row],[D, top '[m']]], "")</f>
        <v>-50</v>
      </c>
      <c r="L120" s="54">
        <f>IFERROR(-(WHOLE_STRUCTURE[[#This Row],[D, bottom '[m']]]-WHOLE_STRUCTURE[[#This Row],[D, top '[m']]])/(WHOLE_STRUCTURE[[#This Row],[Bottom '[m']]]-WHOLE_STRUCTURE[[#This Row],[Top '[m']]]),"")</f>
        <v>0</v>
      </c>
      <c r="M120" s="54">
        <f>IFERROR((WHOLE_STRUCTURE[[#This Row],[D, bottom '[m']]]+WHOLE_STRUCTURE[[#This Row],[D, top '[m']]])/(2*WHOLE_STRUCTURE[[#This Row],[t '[mm']]]/1000),"")</f>
        <v>100</v>
      </c>
    </row>
    <row r="121" spans="2:13" x14ac:dyDescent="0.3">
      <c r="B121" s="51">
        <v>107</v>
      </c>
      <c r="C121" s="51" t="s">
        <v>69</v>
      </c>
      <c r="D121" s="51">
        <v>13</v>
      </c>
      <c r="E121" s="51">
        <v>-40.200000000000003</v>
      </c>
      <c r="F121" s="51">
        <v>-43.8</v>
      </c>
      <c r="G121" s="51">
        <v>9.8000000000000007</v>
      </c>
      <c r="H121" s="51">
        <v>9.8000000000000007</v>
      </c>
      <c r="I121" s="51">
        <v>88</v>
      </c>
      <c r="J121" s="54">
        <f t="shared" si="4"/>
        <v>75.87756336934649</v>
      </c>
      <c r="K121" s="54">
        <f>IFERROR(WHOLE_STRUCTURE[[#This Row],[Bottom '[m']]]-WHOLE_STRUCTURE[[#This Row],[D, top '[m']]], "")</f>
        <v>-53.599999999999994</v>
      </c>
      <c r="L121" s="54">
        <f>IFERROR(-(WHOLE_STRUCTURE[[#This Row],[D, bottom '[m']]]-WHOLE_STRUCTURE[[#This Row],[D, top '[m']]])/(WHOLE_STRUCTURE[[#This Row],[Bottom '[m']]]-WHOLE_STRUCTURE[[#This Row],[Top '[m']]]),"")</f>
        <v>0</v>
      </c>
      <c r="M121" s="54">
        <f>IFERROR((WHOLE_STRUCTURE[[#This Row],[D, bottom '[m']]]+WHOLE_STRUCTURE[[#This Row],[D, top '[m']]])/(2*WHOLE_STRUCTURE[[#This Row],[t '[mm']]]/1000),"")</f>
        <v>111.36363636363637</v>
      </c>
    </row>
    <row r="122" spans="2:13" x14ac:dyDescent="0.3">
      <c r="B122" s="51">
        <v>108</v>
      </c>
      <c r="C122" s="51" t="s">
        <v>69</v>
      </c>
      <c r="D122" s="51">
        <v>14</v>
      </c>
      <c r="E122" s="51">
        <v>-43.8</v>
      </c>
      <c r="F122" s="51">
        <v>-47.8</v>
      </c>
      <c r="G122" s="51">
        <v>9.8000000000000007</v>
      </c>
      <c r="H122" s="51">
        <v>9.8000000000000007</v>
      </c>
      <c r="I122" s="51">
        <v>88</v>
      </c>
      <c r="J122" s="54">
        <f t="shared" si="4"/>
        <v>84.308403743718472</v>
      </c>
      <c r="K122" s="54">
        <f>IFERROR(WHOLE_STRUCTURE[[#This Row],[Bottom '[m']]]-WHOLE_STRUCTURE[[#This Row],[D, top '[m']]], "")</f>
        <v>-57.599999999999994</v>
      </c>
      <c r="L122" s="54">
        <f>IFERROR(-(WHOLE_STRUCTURE[[#This Row],[D, bottom '[m']]]-WHOLE_STRUCTURE[[#This Row],[D, top '[m']]])/(WHOLE_STRUCTURE[[#This Row],[Bottom '[m']]]-WHOLE_STRUCTURE[[#This Row],[Top '[m']]]),"")</f>
        <v>0</v>
      </c>
      <c r="M122" s="54">
        <f>IFERROR((WHOLE_STRUCTURE[[#This Row],[D, bottom '[m']]]+WHOLE_STRUCTURE[[#This Row],[D, top '[m']]])/(2*WHOLE_STRUCTURE[[#This Row],[t '[mm']]]/1000),"")</f>
        <v>111.36363636363637</v>
      </c>
    </row>
    <row r="123" spans="2:13" x14ac:dyDescent="0.3">
      <c r="B123" s="51">
        <v>109</v>
      </c>
      <c r="C123" s="51" t="s">
        <v>69</v>
      </c>
      <c r="D123" s="51">
        <v>15</v>
      </c>
      <c r="E123" s="51">
        <v>-47.8</v>
      </c>
      <c r="F123" s="51">
        <v>-51.8</v>
      </c>
      <c r="G123" s="51">
        <v>9.8000000000000007</v>
      </c>
      <c r="H123" s="51">
        <v>9.8000000000000007</v>
      </c>
      <c r="I123" s="51">
        <v>88</v>
      </c>
      <c r="J123" s="54">
        <f t="shared" si="4"/>
        <v>84.308403743718472</v>
      </c>
      <c r="K123" s="54">
        <f>IFERROR(WHOLE_STRUCTURE[[#This Row],[Bottom '[m']]]-WHOLE_STRUCTURE[[#This Row],[D, top '[m']]], "")</f>
        <v>-61.599999999999994</v>
      </c>
      <c r="L123" s="54">
        <f>IFERROR(-(WHOLE_STRUCTURE[[#This Row],[D, bottom '[m']]]-WHOLE_STRUCTURE[[#This Row],[D, top '[m']]])/(WHOLE_STRUCTURE[[#This Row],[Bottom '[m']]]-WHOLE_STRUCTURE[[#This Row],[Top '[m']]]),"")</f>
        <v>0</v>
      </c>
      <c r="M123" s="54">
        <f>IFERROR((WHOLE_STRUCTURE[[#This Row],[D, bottom '[m']]]+WHOLE_STRUCTURE[[#This Row],[D, top '[m']]])/(2*WHOLE_STRUCTURE[[#This Row],[t '[mm']]]/1000),"")</f>
        <v>111.36363636363637</v>
      </c>
    </row>
    <row r="124" spans="2:13" x14ac:dyDescent="0.3">
      <c r="B124" s="51">
        <v>110</v>
      </c>
      <c r="C124" s="51" t="s">
        <v>69</v>
      </c>
      <c r="D124" s="51">
        <v>16</v>
      </c>
      <c r="E124" s="51">
        <v>-51.8</v>
      </c>
      <c r="F124" s="51">
        <v>-55.8</v>
      </c>
      <c r="G124" s="51">
        <v>9.8000000000000007</v>
      </c>
      <c r="H124" s="51">
        <v>9.8000000000000007</v>
      </c>
      <c r="I124" s="51">
        <v>81</v>
      </c>
      <c r="J124" s="54">
        <f t="shared" si="4"/>
        <v>77.657985733209031</v>
      </c>
      <c r="K124" s="54">
        <f>IFERROR(WHOLE_STRUCTURE[[#This Row],[Bottom '[m']]]-WHOLE_STRUCTURE[[#This Row],[D, top '[m']]], "")</f>
        <v>-65.599999999999994</v>
      </c>
      <c r="L124" s="54">
        <f>IFERROR(-(WHOLE_STRUCTURE[[#This Row],[D, bottom '[m']]]-WHOLE_STRUCTURE[[#This Row],[D, top '[m']]])/(WHOLE_STRUCTURE[[#This Row],[Bottom '[m']]]-WHOLE_STRUCTURE[[#This Row],[Top '[m']]]),"")</f>
        <v>0</v>
      </c>
      <c r="M124" s="54">
        <f>IFERROR((WHOLE_STRUCTURE[[#This Row],[D, bottom '[m']]]+WHOLE_STRUCTURE[[#This Row],[D, top '[m']]])/(2*WHOLE_STRUCTURE[[#This Row],[t '[mm']]]/1000),"")</f>
        <v>120.98765432098766</v>
      </c>
    </row>
    <row r="125" spans="2:13" x14ac:dyDescent="0.3">
      <c r="B125" s="51">
        <v>111</v>
      </c>
      <c r="C125" s="51" t="s">
        <v>69</v>
      </c>
      <c r="D125" s="51">
        <v>17</v>
      </c>
      <c r="E125" s="51">
        <v>-55.8</v>
      </c>
      <c r="F125" s="51">
        <v>-59.8</v>
      </c>
      <c r="G125" s="51">
        <v>9.8000000000000007</v>
      </c>
      <c r="H125" s="51">
        <v>9.8000000000000007</v>
      </c>
      <c r="I125" s="51">
        <v>81</v>
      </c>
      <c r="J125" s="54">
        <f t="shared" si="4"/>
        <v>77.657985733209031</v>
      </c>
      <c r="K125" s="54">
        <f>IFERROR(WHOLE_STRUCTURE[[#This Row],[Bottom '[m']]]-WHOLE_STRUCTURE[[#This Row],[D, top '[m']]], "")</f>
        <v>-69.599999999999994</v>
      </c>
      <c r="L125" s="54">
        <f>IFERROR(-(WHOLE_STRUCTURE[[#This Row],[D, bottom '[m']]]-WHOLE_STRUCTURE[[#This Row],[D, top '[m']]])/(WHOLE_STRUCTURE[[#This Row],[Bottom '[m']]]-WHOLE_STRUCTURE[[#This Row],[Top '[m']]]),"")</f>
        <v>0</v>
      </c>
      <c r="M125" s="54">
        <f>IFERROR((WHOLE_STRUCTURE[[#This Row],[D, bottom '[m']]]+WHOLE_STRUCTURE[[#This Row],[D, top '[m']]])/(2*WHOLE_STRUCTURE[[#This Row],[t '[mm']]]/1000),"")</f>
        <v>120.98765432098766</v>
      </c>
    </row>
    <row r="126" spans="2:13" x14ac:dyDescent="0.3">
      <c r="B126" s="51">
        <v>112</v>
      </c>
      <c r="C126" s="51" t="s">
        <v>69</v>
      </c>
      <c r="D126" s="51">
        <v>18</v>
      </c>
      <c r="E126" s="51">
        <v>-59.8</v>
      </c>
      <c r="F126" s="51">
        <v>-63.8</v>
      </c>
      <c r="G126" s="51">
        <v>9.8000000000000007</v>
      </c>
      <c r="H126" s="51">
        <v>9.8000000000000007</v>
      </c>
      <c r="I126" s="51">
        <v>81</v>
      </c>
      <c r="J126" s="54">
        <f t="shared" si="4"/>
        <v>77.657985733209031</v>
      </c>
      <c r="K126" s="54">
        <f>IFERROR(WHOLE_STRUCTURE[[#This Row],[Bottom '[m']]]-WHOLE_STRUCTURE[[#This Row],[D, top '[m']]], "")</f>
        <v>-73.599999999999994</v>
      </c>
      <c r="L126" s="54">
        <f>IFERROR(-(WHOLE_STRUCTURE[[#This Row],[D, bottom '[m']]]-WHOLE_STRUCTURE[[#This Row],[D, top '[m']]])/(WHOLE_STRUCTURE[[#This Row],[Bottom '[m']]]-WHOLE_STRUCTURE[[#This Row],[Top '[m']]]),"")</f>
        <v>0</v>
      </c>
      <c r="M126" s="54">
        <f>IFERROR((WHOLE_STRUCTURE[[#This Row],[D, bottom '[m']]]+WHOLE_STRUCTURE[[#This Row],[D, top '[m']]])/(2*WHOLE_STRUCTURE[[#This Row],[t '[mm']]]/1000),"")</f>
        <v>120.98765432098766</v>
      </c>
    </row>
    <row r="127" spans="2:13" x14ac:dyDescent="0.3">
      <c r="B127" s="51">
        <v>113</v>
      </c>
      <c r="C127" s="51" t="s">
        <v>69</v>
      </c>
      <c r="D127" s="51">
        <v>19</v>
      </c>
      <c r="E127" s="51">
        <v>-63.8</v>
      </c>
      <c r="F127" s="51">
        <v>-67.599999999999994</v>
      </c>
      <c r="G127" s="51">
        <v>9.8000000000000007</v>
      </c>
      <c r="H127" s="51">
        <v>9.8000000000000007</v>
      </c>
      <c r="I127" s="51">
        <v>81</v>
      </c>
      <c r="J127" s="54">
        <f t="shared" si="4"/>
        <v>73.775086446548514</v>
      </c>
      <c r="K127" s="54">
        <f>IFERROR(WHOLE_STRUCTURE[[#This Row],[Bottom '[m']]]-WHOLE_STRUCTURE[[#This Row],[D, top '[m']]], "")</f>
        <v>-77.399999999999991</v>
      </c>
      <c r="L127" s="54">
        <f>IFERROR(-(WHOLE_STRUCTURE[[#This Row],[D, bottom '[m']]]-WHOLE_STRUCTURE[[#This Row],[D, top '[m']]])/(WHOLE_STRUCTURE[[#This Row],[Bottom '[m']]]-WHOLE_STRUCTURE[[#This Row],[Top '[m']]]),"")</f>
        <v>0</v>
      </c>
      <c r="M127" s="54">
        <f>IFERROR((WHOLE_STRUCTURE[[#This Row],[D, bottom '[m']]]+WHOLE_STRUCTURE[[#This Row],[D, top '[m']]])/(2*WHOLE_STRUCTURE[[#This Row],[t '[mm']]]/1000),"")</f>
        <v>120.98765432098766</v>
      </c>
    </row>
    <row r="128" spans="2:13" x14ac:dyDescent="0.3">
      <c r="B128" s="51">
        <v>114</v>
      </c>
      <c r="C128" s="51" t="s">
        <v>69</v>
      </c>
      <c r="D128" s="51">
        <v>20</v>
      </c>
      <c r="E128" s="51">
        <v>-67.599999999999994</v>
      </c>
      <c r="F128" s="51">
        <v>-70.7</v>
      </c>
      <c r="G128" s="51">
        <v>9.8000000000000007</v>
      </c>
      <c r="H128" s="51">
        <v>9.8000000000000007</v>
      </c>
      <c r="I128" s="51">
        <v>81</v>
      </c>
      <c r="J128" s="54">
        <f t="shared" si="4"/>
        <v>60.184938943237157</v>
      </c>
      <c r="K128" s="54">
        <f>IFERROR(WHOLE_STRUCTURE[[#This Row],[Bottom '[m']]]-WHOLE_STRUCTURE[[#This Row],[D, top '[m']]], "")</f>
        <v>-80.5</v>
      </c>
      <c r="L128" s="54">
        <f>IFERROR(-(WHOLE_STRUCTURE[[#This Row],[D, bottom '[m']]]-WHOLE_STRUCTURE[[#This Row],[D, top '[m']]])/(WHOLE_STRUCTURE[[#This Row],[Bottom '[m']]]-WHOLE_STRUCTURE[[#This Row],[Top '[m']]]),"")</f>
        <v>0</v>
      </c>
      <c r="M128" s="54">
        <f>IFERROR((WHOLE_STRUCTURE[[#This Row],[D, bottom '[m']]]+WHOLE_STRUCTURE[[#This Row],[D, top '[m']]])/(2*WHOLE_STRUCTURE[[#This Row],[t '[mm']]]/1000),"")</f>
        <v>120.98765432098766</v>
      </c>
    </row>
    <row r="129" spans="2:13" x14ac:dyDescent="0.3">
      <c r="B129" s="51">
        <v>115</v>
      </c>
      <c r="C129" s="51" t="s">
        <v>69</v>
      </c>
      <c r="D129" s="51">
        <v>21</v>
      </c>
      <c r="E129" s="51">
        <v>-70.7</v>
      </c>
      <c r="F129" s="51">
        <v>-73.7</v>
      </c>
      <c r="G129" s="51">
        <v>9.8000000000000007</v>
      </c>
      <c r="H129" s="51">
        <v>9.8000000000000007</v>
      </c>
      <c r="I129" s="51">
        <v>87</v>
      </c>
      <c r="J129" s="54">
        <f t="shared" si="4"/>
        <v>62.519201927990139</v>
      </c>
      <c r="K129" s="54">
        <f>IFERROR(WHOLE_STRUCTURE[[#This Row],[Bottom '[m']]]-WHOLE_STRUCTURE[[#This Row],[D, top '[m']]], "")</f>
        <v>-83.5</v>
      </c>
      <c r="L129" s="54">
        <f>IFERROR(-(WHOLE_STRUCTURE[[#This Row],[D, bottom '[m']]]-WHOLE_STRUCTURE[[#This Row],[D, top '[m']]])/(WHOLE_STRUCTURE[[#This Row],[Bottom '[m']]]-WHOLE_STRUCTURE[[#This Row],[Top '[m']]]),"")</f>
        <v>0</v>
      </c>
      <c r="M129" s="54">
        <f>IFERROR((WHOLE_STRUCTURE[[#This Row],[D, bottom '[m']]]+WHOLE_STRUCTURE[[#This Row],[D, top '[m']]])/(2*WHOLE_STRUCTURE[[#This Row],[t '[mm']]]/1000),"")</f>
        <v>112.64367816091955</v>
      </c>
    </row>
    <row r="130" spans="2:13" x14ac:dyDescent="0.3">
      <c r="B130" s="51">
        <v>116</v>
      </c>
      <c r="C130" s="51" t="s">
        <v>69</v>
      </c>
      <c r="D130" s="51">
        <v>22</v>
      </c>
      <c r="E130" s="51">
        <v>-73.7</v>
      </c>
      <c r="F130" s="51">
        <v>-76.8</v>
      </c>
      <c r="G130" s="51">
        <v>9.8000000000000007</v>
      </c>
      <c r="H130" s="51">
        <v>9.8000000000000007</v>
      </c>
      <c r="I130" s="51">
        <v>95</v>
      </c>
      <c r="J130" s="54">
        <f t="shared" si="4"/>
        <v>70.485594695118522</v>
      </c>
      <c r="K130" s="54">
        <f>IFERROR(WHOLE_STRUCTURE[[#This Row],[Bottom '[m']]]-WHOLE_STRUCTURE[[#This Row],[D, top '[m']]], "")</f>
        <v>-86.6</v>
      </c>
      <c r="L130" s="54">
        <f>IFERROR(-(WHOLE_STRUCTURE[[#This Row],[D, bottom '[m']]]-WHOLE_STRUCTURE[[#This Row],[D, top '[m']]])/(WHOLE_STRUCTURE[[#This Row],[Bottom '[m']]]-WHOLE_STRUCTURE[[#This Row],[Top '[m']]]),"")</f>
        <v>0</v>
      </c>
      <c r="M130" s="54">
        <f>IFERROR((WHOLE_STRUCTURE[[#This Row],[D, bottom '[m']]]+WHOLE_STRUCTURE[[#This Row],[D, top '[m']]])/(2*WHOLE_STRUCTURE[[#This Row],[t '[mm']]]/1000),"")</f>
        <v>103.15789473684211</v>
      </c>
    </row>
    <row r="131" spans="2:13" x14ac:dyDescent="0.3">
      <c r="B131" s="51">
        <v>117</v>
      </c>
      <c r="C131" s="51" t="s">
        <v>69</v>
      </c>
      <c r="D131" s="51">
        <v>23</v>
      </c>
      <c r="E131" s="51">
        <v>-76.8</v>
      </c>
      <c r="F131" s="51">
        <v>-79.8</v>
      </c>
      <c r="G131" s="51">
        <v>9.8000000000000007</v>
      </c>
      <c r="H131" s="51">
        <v>9.8000000000000007</v>
      </c>
      <c r="I131" s="51">
        <v>105</v>
      </c>
      <c r="J131" s="54">
        <f t="shared" si="4"/>
        <v>75.314378505222052</v>
      </c>
      <c r="K131" s="54">
        <f>IFERROR(WHOLE_STRUCTURE[[#This Row],[Bottom '[m']]]-WHOLE_STRUCTURE[[#This Row],[D, top '[m']]], "")</f>
        <v>-89.6</v>
      </c>
      <c r="L131" s="54">
        <f>IFERROR(-(WHOLE_STRUCTURE[[#This Row],[D, bottom '[m']]]-WHOLE_STRUCTURE[[#This Row],[D, top '[m']]])/(WHOLE_STRUCTURE[[#This Row],[Bottom '[m']]]-WHOLE_STRUCTURE[[#This Row],[Top '[m']]]),"")</f>
        <v>0</v>
      </c>
      <c r="M131" s="54">
        <f>IFERROR((WHOLE_STRUCTURE[[#This Row],[D, bottom '[m']]]+WHOLE_STRUCTURE[[#This Row],[D, top '[m']]])/(2*WHOLE_STRUCTURE[[#This Row],[t '[mm']]]/1000),"")</f>
        <v>93.333333333333343</v>
      </c>
    </row>
    <row r="132" spans="2:13" x14ac:dyDescent="0.3">
      <c r="J132" s="54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2:13" x14ac:dyDescent="0.3">
      <c r="J133" s="54" t="str">
        <f t="shared" ref="J133:J196" si="5"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2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2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2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2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2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2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2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2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2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2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2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si="5"/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ref="J197:J260" si="6"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si="6"/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ref="J261:J324" si="7"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si="7"/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ref="J325:J388" si="8"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si="8"/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ref="J389:J452" si="9"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si="9"/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  <row r="453" spans="10:13" x14ac:dyDescent="0.3">
      <c r="J453" s="54" t="str">
        <f t="shared" ref="J453:J454" si="10">IF(7850/1000*(1/3)*PI()*ABS(E453-F453)*((G453/2)^2+(G453/2)*(H453/2)+(H453/2)^2-(G453/2-I453/1000)^2-(G453/2-I453/1000)*(H453/2-I453/1000)-(H453/2-I453/1000)^2)=0,"",7850/1000*(1/3)*PI()*ABS(E453-F453)*((G453/2)^2+(G453/2)*(H453/2)+(H453/2)^2-(G453/2-I453/1000)^2-(G453/2-I453/1000)*(H453/2-I453/1000)-(H453/2-I453/1000)^2))</f>
        <v/>
      </c>
      <c r="K453" s="54" t="str">
        <f>IFERROR(WHOLE_STRUCTURE[[#This Row],[Bottom '[m']]]-WHOLE_STRUCTURE[[#This Row],[D, top '[m']]], "")</f>
        <v/>
      </c>
      <c r="L453" s="54" t="str">
        <f>IFERROR(-(WHOLE_STRUCTURE[[#This Row],[D, bottom '[m']]]-WHOLE_STRUCTURE[[#This Row],[D, top '[m']]])/(WHOLE_STRUCTURE[[#This Row],[Bottom '[m']]]-WHOLE_STRUCTURE[[#This Row],[Top '[m']]]),"")</f>
        <v/>
      </c>
      <c r="M453" s="54" t="str">
        <f>IFERROR((WHOLE_STRUCTURE[[#This Row],[D, bottom '[m']]]+WHOLE_STRUCTURE[[#This Row],[D, top '[m']]])/(2*WHOLE_STRUCTURE[[#This Row],[t '[mm']]]/1000),"")</f>
        <v/>
      </c>
    </row>
    <row r="454" spans="10:13" x14ac:dyDescent="0.3">
      <c r="J454" s="54" t="str">
        <f t="shared" si="10"/>
        <v/>
      </c>
      <c r="K454" s="54" t="str">
        <f>IFERROR(WHOLE_STRUCTURE[[#This Row],[Bottom '[m']]]-WHOLE_STRUCTURE[[#This Row],[D, top '[m']]], "")</f>
        <v/>
      </c>
      <c r="L454" s="54" t="str">
        <f>IFERROR(-(WHOLE_STRUCTURE[[#This Row],[D, bottom '[m']]]-WHOLE_STRUCTURE[[#This Row],[D, top '[m']]])/(WHOLE_STRUCTURE[[#This Row],[Bottom '[m']]]-WHOLE_STRUCTURE[[#This Row],[Top '[m']]]),"")</f>
        <v/>
      </c>
      <c r="M454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$Q$22:$Q$35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59"/>
  <sheetViews>
    <sheetView topLeftCell="A5" zoomScale="85" zoomScaleNormal="85" workbookViewId="0">
      <selection activeCell="E35" sqref="E35"/>
    </sheetView>
  </sheetViews>
  <sheetFormatPr baseColWidth="10" defaultRowHeight="14.4" x14ac:dyDescent="0.3"/>
  <cols>
    <col min="2" max="2" width="41.6640625" customWidth="1"/>
    <col min="3" max="3" width="39.88671875" customWidth="1"/>
    <col min="5" max="5" width="22.5546875" customWidth="1"/>
    <col min="6" max="6" width="19.5546875" customWidth="1"/>
  </cols>
  <sheetData>
    <row r="2" spans="2:5" ht="31.2" x14ac:dyDescent="0.6">
      <c r="B2" s="63" t="s">
        <v>56</v>
      </c>
      <c r="C2" s="63"/>
    </row>
    <row r="5" spans="2:5" ht="18" customHeight="1" x14ac:dyDescent="0.3"/>
    <row r="6" spans="2:5" x14ac:dyDescent="0.3">
      <c r="B6" t="s">
        <v>265</v>
      </c>
    </row>
    <row r="8" spans="2:5" x14ac:dyDescent="0.3">
      <c r="B8" s="67" t="s">
        <v>157</v>
      </c>
      <c r="C8" s="67"/>
    </row>
    <row r="9" spans="2:5" x14ac:dyDescent="0.3">
      <c r="B9" t="s">
        <v>27</v>
      </c>
      <c r="C9" t="s">
        <v>19</v>
      </c>
      <c r="D9" t="s">
        <v>117</v>
      </c>
      <c r="E9" s="76" t="s">
        <v>116</v>
      </c>
    </row>
    <row r="10" spans="2:5" x14ac:dyDescent="0.3">
      <c r="B10" t="s">
        <v>113</v>
      </c>
      <c r="C10" t="s">
        <v>125</v>
      </c>
      <c r="D10" t="s">
        <v>84</v>
      </c>
      <c r="E10" s="70" t="s">
        <v>114</v>
      </c>
    </row>
    <row r="11" spans="2:5" x14ac:dyDescent="0.3">
      <c r="B11" t="s">
        <v>115</v>
      </c>
      <c r="D11" t="s">
        <v>118</v>
      </c>
      <c r="E11" s="77">
        <v>210000000000</v>
      </c>
    </row>
    <row r="12" spans="2:5" x14ac:dyDescent="0.3">
      <c r="B12" t="s">
        <v>221</v>
      </c>
      <c r="D12" t="s">
        <v>119</v>
      </c>
      <c r="E12" s="70">
        <v>7850</v>
      </c>
    </row>
    <row r="13" spans="2:5" x14ac:dyDescent="0.3">
      <c r="B13" t="s">
        <v>120</v>
      </c>
      <c r="C13" t="s">
        <v>143</v>
      </c>
      <c r="D13" t="s">
        <v>121</v>
      </c>
      <c r="E13" s="71">
        <v>0.1</v>
      </c>
    </row>
    <row r="14" spans="2:5" x14ac:dyDescent="0.3">
      <c r="B14" t="s">
        <v>122</v>
      </c>
      <c r="C14" t="s">
        <v>142</v>
      </c>
      <c r="D14" t="s">
        <v>123</v>
      </c>
      <c r="E14" s="70">
        <v>5</v>
      </c>
    </row>
    <row r="15" spans="2:5" x14ac:dyDescent="0.3">
      <c r="B15" t="s">
        <v>124</v>
      </c>
      <c r="C15" t="s">
        <v>143</v>
      </c>
      <c r="D15" t="s">
        <v>121</v>
      </c>
      <c r="E15" s="71">
        <v>0.5</v>
      </c>
    </row>
    <row r="16" spans="2:5" x14ac:dyDescent="0.3">
      <c r="B16" t="s">
        <v>136</v>
      </c>
      <c r="D16" s="55" t="s">
        <v>132</v>
      </c>
      <c r="E16" s="70">
        <v>0.1</v>
      </c>
    </row>
    <row r="18" spans="2:6" x14ac:dyDescent="0.3">
      <c r="B18" t="s">
        <v>194</v>
      </c>
      <c r="F18" t="s">
        <v>195</v>
      </c>
    </row>
    <row r="20" spans="2:6" x14ac:dyDescent="0.3">
      <c r="B20" s="67" t="s">
        <v>158</v>
      </c>
      <c r="C20" s="67" t="s">
        <v>19</v>
      </c>
      <c r="D20" s="67" t="s">
        <v>225</v>
      </c>
      <c r="E20" s="67" t="s">
        <v>193</v>
      </c>
      <c r="F20" s="67" t="s">
        <v>224</v>
      </c>
    </row>
    <row r="21" spans="2:6" x14ac:dyDescent="0.3">
      <c r="B21" t="s">
        <v>196</v>
      </c>
      <c r="C21" t="s">
        <v>212</v>
      </c>
      <c r="D21" s="75" t="s">
        <v>84</v>
      </c>
      <c r="E21" s="75" t="s">
        <v>198</v>
      </c>
      <c r="F21" s="75"/>
    </row>
    <row r="22" spans="2:6" x14ac:dyDescent="0.3">
      <c r="B22" t="s">
        <v>197</v>
      </c>
      <c r="C22" t="s">
        <v>211</v>
      </c>
      <c r="D22" s="75" t="s">
        <v>84</v>
      </c>
      <c r="E22" s="75" t="s">
        <v>199</v>
      </c>
      <c r="F22" s="75"/>
    </row>
    <row r="23" spans="2:6" x14ac:dyDescent="0.3">
      <c r="B23" t="s">
        <v>159</v>
      </c>
      <c r="D23" s="75" t="s">
        <v>84</v>
      </c>
      <c r="E23" s="75" t="s">
        <v>200</v>
      </c>
      <c r="F23" s="75"/>
    </row>
    <row r="24" spans="2:6" x14ac:dyDescent="0.3">
      <c r="B24" t="s">
        <v>160</v>
      </c>
      <c r="D24" s="75" t="s">
        <v>84</v>
      </c>
      <c r="E24" s="75" t="s">
        <v>201</v>
      </c>
      <c r="F24" s="75"/>
    </row>
    <row r="25" spans="2:6" x14ac:dyDescent="0.3">
      <c r="B25" t="s">
        <v>161</v>
      </c>
      <c r="D25" s="75" t="s">
        <v>84</v>
      </c>
      <c r="E25" s="75" t="s">
        <v>202</v>
      </c>
      <c r="F25" s="75"/>
    </row>
    <row r="26" spans="2:6" x14ac:dyDescent="0.3">
      <c r="B26" t="s">
        <v>162</v>
      </c>
      <c r="D26" s="75" t="s">
        <v>84</v>
      </c>
      <c r="E26" s="75" t="s">
        <v>203</v>
      </c>
      <c r="F26" s="75"/>
    </row>
    <row r="27" spans="2:6" x14ac:dyDescent="0.3">
      <c r="B27" t="s">
        <v>163</v>
      </c>
      <c r="D27" s="75" t="s">
        <v>84</v>
      </c>
      <c r="E27" s="75" t="s">
        <v>204</v>
      </c>
      <c r="F27" s="75"/>
    </row>
    <row r="28" spans="2:6" x14ac:dyDescent="0.3">
      <c r="B28" t="s">
        <v>164</v>
      </c>
      <c r="D28" s="75" t="s">
        <v>84</v>
      </c>
      <c r="E28" s="75" t="s">
        <v>205</v>
      </c>
      <c r="F28" s="75"/>
    </row>
    <row r="29" spans="2:6" x14ac:dyDescent="0.3">
      <c r="B29" t="s">
        <v>165</v>
      </c>
      <c r="D29" s="75" t="s">
        <v>84</v>
      </c>
      <c r="E29" s="75">
        <v>501</v>
      </c>
      <c r="F29" s="75"/>
    </row>
    <row r="30" spans="2:6" x14ac:dyDescent="0.3">
      <c r="B30" t="s">
        <v>166</v>
      </c>
      <c r="D30" t="s">
        <v>229</v>
      </c>
      <c r="E30" s="75">
        <v>4630000000</v>
      </c>
      <c r="F30" s="75"/>
    </row>
    <row r="31" spans="2:6" x14ac:dyDescent="0.3">
      <c r="B31" t="s">
        <v>167</v>
      </c>
      <c r="D31" t="s">
        <v>229</v>
      </c>
      <c r="E31" s="75">
        <v>900000000000</v>
      </c>
      <c r="F31" s="75"/>
    </row>
    <row r="32" spans="2:6" x14ac:dyDescent="0.3">
      <c r="B32" t="s">
        <v>168</v>
      </c>
      <c r="D32" t="s">
        <v>229</v>
      </c>
      <c r="E32" s="75">
        <v>-46200000000</v>
      </c>
      <c r="F32" s="75"/>
    </row>
    <row r="33" spans="2:6" x14ac:dyDescent="0.3">
      <c r="B33" t="s">
        <v>169</v>
      </c>
      <c r="D33" t="s">
        <v>230</v>
      </c>
      <c r="E33" s="75">
        <v>170000</v>
      </c>
      <c r="F33" s="75"/>
    </row>
    <row r="34" spans="2:6" x14ac:dyDescent="0.3">
      <c r="B34" t="s">
        <v>170</v>
      </c>
      <c r="D34" t="s">
        <v>230</v>
      </c>
      <c r="E34" s="75">
        <v>360000000</v>
      </c>
      <c r="F34" s="75"/>
    </row>
    <row r="35" spans="2:6" x14ac:dyDescent="0.3">
      <c r="B35" t="s">
        <v>171</v>
      </c>
      <c r="D35" t="s">
        <v>230</v>
      </c>
      <c r="E35" s="75">
        <v>0</v>
      </c>
      <c r="F35" s="75"/>
    </row>
    <row r="36" spans="2:6" x14ac:dyDescent="0.3">
      <c r="B36" t="s">
        <v>172</v>
      </c>
      <c r="D36" s="75"/>
      <c r="E36" s="75">
        <v>2</v>
      </c>
      <c r="F36" s="75"/>
    </row>
    <row r="37" spans="2:6" x14ac:dyDescent="0.3">
      <c r="B37" t="s">
        <v>234</v>
      </c>
      <c r="D37" s="75"/>
      <c r="E37" s="75">
        <v>10</v>
      </c>
      <c r="F37" s="75"/>
    </row>
    <row r="38" spans="2:6" x14ac:dyDescent="0.3">
      <c r="B38" t="s">
        <v>173</v>
      </c>
      <c r="D38" s="75" t="s">
        <v>230</v>
      </c>
      <c r="E38" s="75">
        <v>1</v>
      </c>
      <c r="F38" s="75"/>
    </row>
    <row r="39" spans="2:6" x14ac:dyDescent="0.3">
      <c r="B39" t="s">
        <v>174</v>
      </c>
      <c r="D39" s="75" t="s">
        <v>231</v>
      </c>
      <c r="E39" s="75">
        <v>1027</v>
      </c>
      <c r="F39" s="75"/>
    </row>
    <row r="40" spans="2:6" x14ac:dyDescent="0.3">
      <c r="B40" t="s">
        <v>214</v>
      </c>
      <c r="C40" t="s">
        <v>210</v>
      </c>
      <c r="D40" s="75" t="s">
        <v>132</v>
      </c>
      <c r="E40" s="75" t="s">
        <v>206</v>
      </c>
      <c r="F40" s="75" t="s">
        <v>222</v>
      </c>
    </row>
    <row r="41" spans="2:6" x14ac:dyDescent="0.3">
      <c r="B41" t="s">
        <v>215</v>
      </c>
      <c r="C41" t="s">
        <v>210</v>
      </c>
      <c r="D41" s="75" t="s">
        <v>132</v>
      </c>
      <c r="E41" s="75" t="s">
        <v>206</v>
      </c>
      <c r="F41" s="75"/>
    </row>
    <row r="42" spans="2:6" x14ac:dyDescent="0.3">
      <c r="B42" t="s">
        <v>175</v>
      </c>
      <c r="D42" s="75" t="s">
        <v>231</v>
      </c>
      <c r="E42" s="75">
        <v>1325</v>
      </c>
      <c r="F42" s="75"/>
    </row>
    <row r="43" spans="2:6" x14ac:dyDescent="0.3">
      <c r="B43" t="s">
        <v>176</v>
      </c>
      <c r="D43" s="75"/>
      <c r="E43" s="75">
        <v>2</v>
      </c>
      <c r="F43" s="75"/>
    </row>
    <row r="44" spans="2:6" x14ac:dyDescent="0.3">
      <c r="B44" t="s">
        <v>177</v>
      </c>
      <c r="D44" s="75"/>
      <c r="E44" s="75">
        <v>300</v>
      </c>
      <c r="F44" s="75"/>
    </row>
    <row r="45" spans="2:6" x14ac:dyDescent="0.3">
      <c r="B45" t="s">
        <v>178</v>
      </c>
      <c r="D45" s="75"/>
      <c r="E45" s="75">
        <v>10</v>
      </c>
      <c r="F45" s="75"/>
    </row>
    <row r="46" spans="2:6" x14ac:dyDescent="0.3">
      <c r="B46" t="s">
        <v>179</v>
      </c>
      <c r="D46" s="75" t="s">
        <v>222</v>
      </c>
      <c r="E46" s="75">
        <v>7.4999999999999997E-3</v>
      </c>
      <c r="F46" s="75"/>
    </row>
    <row r="47" spans="2:6" x14ac:dyDescent="0.3">
      <c r="B47" t="s">
        <v>180</v>
      </c>
      <c r="D47" s="75" t="s">
        <v>222</v>
      </c>
      <c r="E47" s="75">
        <v>6.4000000000000003E-3</v>
      </c>
      <c r="F47" s="75"/>
    </row>
    <row r="48" spans="2:6" x14ac:dyDescent="0.3">
      <c r="B48" t="s">
        <v>181</v>
      </c>
      <c r="D48" s="75" t="s">
        <v>232</v>
      </c>
      <c r="E48" s="75">
        <v>36</v>
      </c>
      <c r="F48" s="75"/>
    </row>
    <row r="49" spans="2:6" x14ac:dyDescent="0.3">
      <c r="B49" t="s">
        <v>184</v>
      </c>
      <c r="D49" s="75" t="s">
        <v>222</v>
      </c>
      <c r="E49" s="75">
        <v>5</v>
      </c>
      <c r="F49" s="75" t="s">
        <v>223</v>
      </c>
    </row>
    <row r="50" spans="2:6" x14ac:dyDescent="0.3">
      <c r="B50" t="s">
        <v>182</v>
      </c>
      <c r="D50" s="75" t="s">
        <v>222</v>
      </c>
      <c r="E50" s="75">
        <v>10000000</v>
      </c>
      <c r="F50" s="75"/>
    </row>
    <row r="51" spans="2:6" x14ac:dyDescent="0.3">
      <c r="B51" t="s">
        <v>183</v>
      </c>
      <c r="D51" s="75" t="s">
        <v>222</v>
      </c>
      <c r="E51" s="75">
        <v>0.89500000000000002</v>
      </c>
      <c r="F51" s="75"/>
    </row>
    <row r="52" spans="2:6" x14ac:dyDescent="0.3">
      <c r="B52" t="s">
        <v>185</v>
      </c>
      <c r="C52" t="s">
        <v>213</v>
      </c>
      <c r="D52" s="75" t="s">
        <v>132</v>
      </c>
      <c r="E52" s="75" t="s">
        <v>206</v>
      </c>
      <c r="F52" s="75"/>
    </row>
    <row r="53" spans="2:6" x14ac:dyDescent="0.3">
      <c r="B53" t="s">
        <v>186</v>
      </c>
      <c r="C53" t="s">
        <v>210</v>
      </c>
      <c r="D53" s="75" t="s">
        <v>132</v>
      </c>
      <c r="E53" s="75" t="s">
        <v>208</v>
      </c>
      <c r="F53" s="75">
        <v>140</v>
      </c>
    </row>
    <row r="54" spans="2:6" x14ac:dyDescent="0.3">
      <c r="B54" t="s">
        <v>187</v>
      </c>
      <c r="D54" s="75" t="s">
        <v>222</v>
      </c>
      <c r="E54" s="75">
        <v>0.11</v>
      </c>
      <c r="F54" s="75"/>
    </row>
    <row r="55" spans="2:6" x14ac:dyDescent="0.3">
      <c r="B55" t="s">
        <v>188</v>
      </c>
      <c r="D55" s="75" t="s">
        <v>233</v>
      </c>
      <c r="E55" s="75">
        <v>0</v>
      </c>
      <c r="F55" s="75"/>
    </row>
    <row r="56" spans="2:6" x14ac:dyDescent="0.3">
      <c r="B56" t="s">
        <v>189</v>
      </c>
      <c r="D56" s="75" t="s">
        <v>84</v>
      </c>
      <c r="E56" s="75">
        <v>0</v>
      </c>
      <c r="F56" s="75"/>
    </row>
    <row r="57" spans="2:6" x14ac:dyDescent="0.3">
      <c r="B57" t="s">
        <v>190</v>
      </c>
      <c r="D57" s="75" t="s">
        <v>84</v>
      </c>
      <c r="E57" s="75">
        <v>1</v>
      </c>
      <c r="F57" s="75"/>
    </row>
    <row r="58" spans="2:6" x14ac:dyDescent="0.3">
      <c r="B58" t="s">
        <v>191</v>
      </c>
      <c r="D58" s="75" t="s">
        <v>84</v>
      </c>
      <c r="E58" s="75" t="s">
        <v>209</v>
      </c>
      <c r="F58" s="75"/>
    </row>
    <row r="59" spans="2:6" x14ac:dyDescent="0.3">
      <c r="B59" t="s">
        <v>192</v>
      </c>
      <c r="C59" t="s">
        <v>226</v>
      </c>
      <c r="D59" s="75"/>
      <c r="E59" s="75" t="s">
        <v>217</v>
      </c>
      <c r="F59" s="75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N59"/>
  <sheetViews>
    <sheetView zoomScale="85" zoomScaleNormal="85" workbookViewId="0">
      <selection activeCell="J29" sqref="J29"/>
    </sheetView>
  </sheetViews>
  <sheetFormatPr baseColWidth="10" defaultRowHeight="14.4" x14ac:dyDescent="0.3"/>
  <cols>
    <col min="2" max="2" width="53.77734375" customWidth="1"/>
    <col min="3" max="3" width="25.44140625" customWidth="1"/>
    <col min="4" max="5" width="16.109375" customWidth="1"/>
    <col min="6" max="6" width="12.33203125" customWidth="1"/>
    <col min="7" max="7" width="16" customWidth="1"/>
    <col min="8" max="8" width="17.44140625" customWidth="1"/>
    <col min="9" max="9" width="16.5546875" customWidth="1"/>
    <col min="10" max="10" width="26.109375" customWidth="1"/>
    <col min="11" max="11" width="25.6640625" customWidth="1"/>
    <col min="12" max="12" width="21.44140625" customWidth="1"/>
    <col min="13" max="13" width="61.5546875" customWidth="1"/>
  </cols>
  <sheetData>
    <row r="2" spans="2:14" ht="31.2" x14ac:dyDescent="0.6">
      <c r="B2" s="63" t="s">
        <v>238</v>
      </c>
      <c r="C2" s="63"/>
    </row>
    <row r="5" spans="2:14" ht="18" customHeight="1" x14ac:dyDescent="0.3"/>
    <row r="6" spans="2:14" x14ac:dyDescent="0.3">
      <c r="B6" t="s">
        <v>262</v>
      </c>
    </row>
    <row r="8" spans="2:14" x14ac:dyDescent="0.3">
      <c r="B8" s="76" t="s">
        <v>245</v>
      </c>
      <c r="C8" s="82" t="s">
        <v>94</v>
      </c>
      <c r="D8" s="84" t="s">
        <v>266</v>
      </c>
      <c r="E8" t="s">
        <v>105</v>
      </c>
      <c r="F8" t="s">
        <v>104</v>
      </c>
      <c r="G8" t="s">
        <v>96</v>
      </c>
      <c r="H8" t="s">
        <v>239</v>
      </c>
      <c r="I8" t="s">
        <v>240</v>
      </c>
      <c r="J8" t="s">
        <v>241</v>
      </c>
      <c r="K8" t="s">
        <v>243</v>
      </c>
      <c r="L8" t="s">
        <v>242</v>
      </c>
    </row>
    <row r="9" spans="2:14" x14ac:dyDescent="0.3">
      <c r="B9" s="72" t="s">
        <v>246</v>
      </c>
      <c r="C9" s="55" t="s">
        <v>92</v>
      </c>
      <c r="D9" s="55" t="s">
        <v>101</v>
      </c>
      <c r="E9" s="55">
        <v>20.100000000000001</v>
      </c>
      <c r="F9" s="55">
        <v>20.100000000000001</v>
      </c>
      <c r="G9" s="55">
        <v>20000</v>
      </c>
      <c r="H9" s="55"/>
      <c r="I9" s="55"/>
      <c r="J9" s="55"/>
      <c r="K9" s="55"/>
      <c r="L9" s="55"/>
    </row>
    <row r="10" spans="2:14" x14ac:dyDescent="0.3">
      <c r="B10" s="72" t="s">
        <v>246</v>
      </c>
      <c r="C10" s="55" t="s">
        <v>92</v>
      </c>
      <c r="D10" s="55" t="s">
        <v>102</v>
      </c>
      <c r="E10" s="55">
        <v>14</v>
      </c>
      <c r="F10" s="55">
        <v>14</v>
      </c>
      <c r="G10" s="55">
        <v>5000</v>
      </c>
      <c r="H10" s="55"/>
      <c r="I10" s="55"/>
      <c r="J10" s="55"/>
      <c r="K10" s="55"/>
      <c r="L10" s="55"/>
    </row>
    <row r="11" spans="2:14" x14ac:dyDescent="0.3">
      <c r="B11" s="72" t="s">
        <v>246</v>
      </c>
      <c r="C11" s="55" t="s">
        <v>92</v>
      </c>
      <c r="D11" s="55" t="s">
        <v>257</v>
      </c>
      <c r="E11" s="55">
        <v>11</v>
      </c>
      <c r="F11" s="55">
        <v>11</v>
      </c>
      <c r="G11" s="55">
        <v>1</v>
      </c>
      <c r="H11" s="55"/>
      <c r="I11" s="55"/>
      <c r="J11" s="55"/>
      <c r="K11" s="55"/>
      <c r="L11" s="55"/>
    </row>
    <row r="12" spans="2:14" x14ac:dyDescent="0.3">
      <c r="B12" s="72" t="s">
        <v>246</v>
      </c>
      <c r="C12" s="55" t="s">
        <v>92</v>
      </c>
      <c r="D12" s="55" t="s">
        <v>103</v>
      </c>
      <c r="E12" s="55">
        <v>6.1</v>
      </c>
      <c r="F12" s="55">
        <v>6.1</v>
      </c>
      <c r="G12" s="55">
        <v>200</v>
      </c>
      <c r="H12" s="55"/>
      <c r="I12" s="55"/>
      <c r="J12" s="55"/>
      <c r="K12" s="55"/>
      <c r="L12" s="55"/>
    </row>
    <row r="13" spans="2:14" x14ac:dyDescent="0.3">
      <c r="B13" s="72" t="s">
        <v>246</v>
      </c>
      <c r="C13" s="55" t="s">
        <v>92</v>
      </c>
      <c r="D13" s="55" t="s">
        <v>97</v>
      </c>
      <c r="E13" s="55">
        <v>5.6</v>
      </c>
      <c r="F13" s="55">
        <v>5.6</v>
      </c>
      <c r="G13" s="55">
        <v>60000</v>
      </c>
      <c r="H13" s="55"/>
      <c r="I13" s="55"/>
      <c r="J13" s="55"/>
      <c r="K13" s="55"/>
      <c r="L13" s="55"/>
    </row>
    <row r="14" spans="2:14" x14ac:dyDescent="0.3">
      <c r="B14" s="72" t="s">
        <v>246</v>
      </c>
      <c r="C14" s="55" t="s">
        <v>69</v>
      </c>
      <c r="D14" s="55" t="s">
        <v>97</v>
      </c>
      <c r="E14" s="55">
        <v>5.6</v>
      </c>
      <c r="F14" s="55">
        <v>5.6</v>
      </c>
      <c r="G14" s="55">
        <v>60000</v>
      </c>
      <c r="H14" s="55"/>
      <c r="I14" s="55"/>
      <c r="J14" s="55"/>
      <c r="K14" s="55"/>
      <c r="L14" s="55"/>
    </row>
    <row r="15" spans="2:14" x14ac:dyDescent="0.3">
      <c r="B15" s="72" t="s">
        <v>246</v>
      </c>
      <c r="C15" s="55" t="s">
        <v>69</v>
      </c>
      <c r="D15" s="55" t="s">
        <v>98</v>
      </c>
      <c r="E15" s="55">
        <v>4.2</v>
      </c>
      <c r="F15" s="55">
        <v>4.2</v>
      </c>
      <c r="G15" s="55">
        <v>9000</v>
      </c>
      <c r="H15" s="55"/>
      <c r="I15" s="55"/>
      <c r="J15" s="55"/>
      <c r="K15" s="55"/>
      <c r="L15" s="55"/>
      <c r="M15" s="75"/>
      <c r="N15" s="75"/>
    </row>
    <row r="16" spans="2:14" x14ac:dyDescent="0.3">
      <c r="B16" s="72" t="s">
        <v>246</v>
      </c>
      <c r="C16" s="55" t="s">
        <v>69</v>
      </c>
      <c r="D16" s="55" t="s">
        <v>99</v>
      </c>
      <c r="E16" s="79">
        <v>2</v>
      </c>
      <c r="F16" s="79">
        <v>2</v>
      </c>
      <c r="G16" s="79">
        <v>80000</v>
      </c>
      <c r="H16" s="55"/>
      <c r="I16" s="55"/>
      <c r="J16" s="55"/>
      <c r="K16" s="55"/>
      <c r="L16" s="55"/>
      <c r="M16" s="75"/>
    </row>
    <row r="17" spans="2:13" x14ac:dyDescent="0.3">
      <c r="B17" s="72" t="s">
        <v>268</v>
      </c>
      <c r="C17" s="55" t="s">
        <v>92</v>
      </c>
      <c r="D17" s="55" t="s">
        <v>95</v>
      </c>
      <c r="E17" s="80"/>
      <c r="F17" s="80">
        <v>19.5</v>
      </c>
      <c r="G17" s="80">
        <v>5000</v>
      </c>
      <c r="H17" s="55">
        <v>1</v>
      </c>
      <c r="I17" s="55">
        <v>2</v>
      </c>
      <c r="J17" s="55">
        <v>3</v>
      </c>
      <c r="K17" s="55">
        <v>5</v>
      </c>
      <c r="L17" s="55">
        <v>5</v>
      </c>
      <c r="M17" s="75"/>
    </row>
    <row r="18" spans="2:13" x14ac:dyDescent="0.3"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2:13" x14ac:dyDescent="0.3"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2:13" x14ac:dyDescent="0.3">
      <c r="B20" s="67"/>
      <c r="C20" s="67"/>
      <c r="D20" s="67"/>
      <c r="F20" s="75"/>
      <c r="G20" s="75"/>
      <c r="H20" s="75"/>
      <c r="I20" s="75"/>
      <c r="J20" s="75"/>
      <c r="K20" s="75"/>
      <c r="L20" s="75"/>
      <c r="M20" s="75"/>
    </row>
    <row r="21" spans="2:13" x14ac:dyDescent="0.3">
      <c r="D21" s="75"/>
      <c r="E21" s="75"/>
      <c r="F21" s="75"/>
      <c r="G21" s="75"/>
      <c r="H21" s="75"/>
      <c r="I21" s="75"/>
      <c r="J21" s="75"/>
      <c r="K21" s="75"/>
      <c r="L21" s="75"/>
      <c r="M21" s="75"/>
    </row>
    <row r="22" spans="2:13" x14ac:dyDescent="0.3">
      <c r="D22" s="75"/>
      <c r="E22" s="75"/>
      <c r="F22" s="75"/>
      <c r="G22" s="75"/>
      <c r="H22" s="75"/>
      <c r="I22" s="75"/>
      <c r="J22" s="75"/>
      <c r="K22" s="75"/>
      <c r="L22" s="75"/>
      <c r="M22" s="75"/>
    </row>
    <row r="23" spans="2:13" x14ac:dyDescent="0.3">
      <c r="D23" s="75"/>
      <c r="E23" s="75"/>
      <c r="F23" s="75"/>
      <c r="G23" s="75"/>
      <c r="H23" s="75"/>
      <c r="I23" s="75"/>
      <c r="J23" s="75"/>
      <c r="K23" s="75"/>
      <c r="L23" s="75"/>
      <c r="M23" s="75"/>
    </row>
    <row r="24" spans="2:13" x14ac:dyDescent="0.3">
      <c r="D24" s="75"/>
      <c r="E24" s="75"/>
      <c r="F24" s="75"/>
      <c r="G24" s="75"/>
      <c r="H24" s="75"/>
      <c r="I24" s="75"/>
      <c r="J24" s="75"/>
      <c r="K24" s="75"/>
      <c r="L24" s="75"/>
      <c r="M24" s="75"/>
    </row>
    <row r="25" spans="2:13" x14ac:dyDescent="0.3">
      <c r="D25" s="75"/>
      <c r="E25" s="75"/>
      <c r="F25" s="75"/>
      <c r="G25" s="75"/>
      <c r="H25" s="75"/>
      <c r="I25" s="75"/>
      <c r="J25" s="75"/>
      <c r="K25" s="75" t="s">
        <v>244</v>
      </c>
      <c r="L25" s="75"/>
      <c r="M25" s="75"/>
    </row>
    <row r="26" spans="2:13" x14ac:dyDescent="0.3"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G27" s="75"/>
      <c r="H27" s="75"/>
      <c r="I27" s="75"/>
      <c r="J27" s="75"/>
      <c r="K27" s="75"/>
      <c r="L27" s="75"/>
      <c r="M27" s="75"/>
    </row>
    <row r="28" spans="2:13" x14ac:dyDescent="0.3"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C29" s="75"/>
      <c r="E29" s="75"/>
      <c r="G29" s="75"/>
      <c r="H29" s="75"/>
      <c r="I29" s="75"/>
      <c r="J29" s="75"/>
      <c r="K29" s="75"/>
      <c r="L29" s="75"/>
      <c r="M29" s="75"/>
    </row>
    <row r="30" spans="2:13" x14ac:dyDescent="0.3">
      <c r="C30" s="75"/>
      <c r="E30" s="75"/>
      <c r="G30" s="75"/>
      <c r="H30" s="75"/>
      <c r="I30" s="75"/>
      <c r="J30" s="75"/>
      <c r="K30" s="75"/>
      <c r="L30" s="75"/>
      <c r="M30" s="75"/>
    </row>
    <row r="31" spans="2:13" x14ac:dyDescent="0.3">
      <c r="C31" s="75"/>
      <c r="E31" s="75"/>
      <c r="G31" s="75"/>
      <c r="H31" s="75"/>
      <c r="I31" s="75"/>
      <c r="J31" s="75"/>
      <c r="K31" s="75"/>
      <c r="L31" s="75"/>
      <c r="M31" s="75"/>
    </row>
    <row r="32" spans="2:13" x14ac:dyDescent="0.3">
      <c r="C32" s="75"/>
      <c r="E32" s="75"/>
      <c r="G32" s="75"/>
      <c r="H32" s="75"/>
      <c r="I32" s="75"/>
      <c r="J32" s="75"/>
      <c r="K32" s="75"/>
      <c r="L32" s="75"/>
      <c r="M32" s="75"/>
    </row>
    <row r="33" spans="3:13" x14ac:dyDescent="0.3">
      <c r="C33" s="75"/>
      <c r="E33" s="75"/>
      <c r="G33" s="75"/>
      <c r="H33" s="75"/>
      <c r="I33" s="75"/>
      <c r="J33" s="75"/>
      <c r="K33" s="75"/>
      <c r="L33" s="75"/>
      <c r="M33" s="75"/>
    </row>
    <row r="34" spans="3:13" x14ac:dyDescent="0.3">
      <c r="C34" s="75"/>
      <c r="E34" s="75"/>
      <c r="G34" s="75"/>
      <c r="H34" s="75"/>
      <c r="I34" s="75"/>
      <c r="J34" s="75"/>
      <c r="K34" s="75"/>
      <c r="L34" s="75"/>
      <c r="M34" s="75"/>
    </row>
    <row r="35" spans="3:13" x14ac:dyDescent="0.3">
      <c r="C35" s="75"/>
      <c r="E35" s="75"/>
      <c r="G35" s="75"/>
      <c r="H35" s="75"/>
      <c r="I35" s="75"/>
      <c r="J35" s="75"/>
      <c r="K35" s="75"/>
      <c r="L35" s="75"/>
      <c r="M35" s="75"/>
    </row>
    <row r="36" spans="3:13" x14ac:dyDescent="0.3">
      <c r="C36" s="75"/>
      <c r="E36" s="75"/>
      <c r="G36" s="75"/>
      <c r="H36" s="75"/>
      <c r="I36" s="75"/>
      <c r="J36" s="75"/>
      <c r="K36" s="75"/>
      <c r="L36" s="75"/>
      <c r="M36" s="75"/>
    </row>
    <row r="37" spans="3:13" x14ac:dyDescent="0.3">
      <c r="C37" s="75"/>
      <c r="E37" s="75"/>
      <c r="G37" s="75"/>
      <c r="H37" s="75"/>
      <c r="I37" s="75"/>
      <c r="J37" s="75"/>
      <c r="K37" s="75"/>
      <c r="L37" s="75"/>
      <c r="M37" s="75"/>
    </row>
    <row r="38" spans="3:13" x14ac:dyDescent="0.3">
      <c r="C38" s="75"/>
      <c r="E38" s="75"/>
      <c r="G38" s="75"/>
      <c r="H38" s="75"/>
      <c r="I38" s="75"/>
      <c r="J38" s="75"/>
      <c r="K38" s="75"/>
      <c r="L38" s="75"/>
      <c r="M38" s="75"/>
    </row>
    <row r="39" spans="3:13" x14ac:dyDescent="0.3">
      <c r="C39" s="75"/>
      <c r="E39" s="75"/>
      <c r="G39" s="75"/>
      <c r="H39" s="75"/>
      <c r="I39" s="75"/>
      <c r="J39" s="75"/>
      <c r="K39" s="75"/>
      <c r="L39" s="75"/>
      <c r="M39" s="75"/>
    </row>
    <row r="40" spans="3:13" x14ac:dyDescent="0.3">
      <c r="C40" s="75"/>
      <c r="E40" s="75"/>
      <c r="G40" s="75"/>
      <c r="H40" s="75"/>
      <c r="I40" s="75"/>
      <c r="J40" s="75"/>
      <c r="K40" s="75"/>
      <c r="L40" s="75"/>
      <c r="M40" s="75"/>
    </row>
    <row r="41" spans="3:13" x14ac:dyDescent="0.3">
      <c r="C41" s="75"/>
      <c r="E41" s="75"/>
      <c r="G41" s="75"/>
      <c r="H41" s="75"/>
      <c r="I41" s="75"/>
      <c r="J41" s="75"/>
      <c r="K41" s="75"/>
      <c r="L41" s="75"/>
      <c r="M41" s="75"/>
    </row>
    <row r="42" spans="3:13" x14ac:dyDescent="0.3"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3:13" x14ac:dyDescent="0.3"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3:13" x14ac:dyDescent="0.3">
      <c r="D44" s="75"/>
      <c r="E44" s="75"/>
      <c r="F44" s="75"/>
      <c r="G44" s="75"/>
      <c r="H44" s="75"/>
      <c r="I44" s="75"/>
      <c r="J44" s="75"/>
      <c r="K44" s="75"/>
      <c r="L44" s="75"/>
      <c r="M44" s="75"/>
    </row>
    <row r="45" spans="3:13" x14ac:dyDescent="0.3"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3:13" x14ac:dyDescent="0.3">
      <c r="D46" s="75"/>
      <c r="E46" s="75"/>
      <c r="F46" s="75"/>
      <c r="G46" s="75"/>
      <c r="H46" s="75"/>
      <c r="I46" s="75"/>
      <c r="J46" s="75"/>
      <c r="K46" s="75"/>
      <c r="L46" s="75"/>
      <c r="M46" s="75"/>
    </row>
    <row r="47" spans="3:13" x14ac:dyDescent="0.3">
      <c r="D47" s="75"/>
      <c r="E47" s="75"/>
      <c r="F47" s="75"/>
      <c r="G47" s="75"/>
      <c r="H47" s="75"/>
      <c r="I47" s="75"/>
      <c r="J47" s="75"/>
      <c r="K47" s="75"/>
      <c r="L47" s="75"/>
      <c r="M47" s="75"/>
    </row>
    <row r="48" spans="3:13" x14ac:dyDescent="0.3"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4:13" x14ac:dyDescent="0.3"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4:13" x14ac:dyDescent="0.3">
      <c r="D50" s="75"/>
      <c r="E50" s="75"/>
      <c r="F50" s="75"/>
      <c r="G50" s="75"/>
      <c r="H50" s="75"/>
      <c r="I50" s="75"/>
      <c r="J50" s="75"/>
      <c r="K50" s="75"/>
      <c r="L50" s="75"/>
      <c r="M50" s="75"/>
    </row>
    <row r="51" spans="4:13" x14ac:dyDescent="0.3">
      <c r="D51" s="75"/>
      <c r="E51" s="75"/>
      <c r="F51" s="75"/>
      <c r="G51" s="75"/>
      <c r="H51" s="75"/>
      <c r="I51" s="75"/>
      <c r="J51" s="75"/>
      <c r="K51" s="75"/>
      <c r="L51" s="75"/>
      <c r="M51" s="75"/>
    </row>
    <row r="52" spans="4:13" x14ac:dyDescent="0.3">
      <c r="D52" s="75"/>
      <c r="E52" s="75"/>
    </row>
    <row r="53" spans="4:13" x14ac:dyDescent="0.3">
      <c r="D53" s="75"/>
      <c r="E53" s="75"/>
    </row>
    <row r="54" spans="4:13" x14ac:dyDescent="0.3">
      <c r="D54" s="75"/>
      <c r="E54" s="75"/>
    </row>
    <row r="55" spans="4:13" x14ac:dyDescent="0.3">
      <c r="D55" s="75"/>
      <c r="E55" s="75"/>
    </row>
    <row r="56" spans="4:13" x14ac:dyDescent="0.3">
      <c r="D56" s="75"/>
      <c r="E56" s="75"/>
    </row>
    <row r="57" spans="4:13" x14ac:dyDescent="0.3">
      <c r="D57" s="75"/>
      <c r="E57" s="75"/>
    </row>
    <row r="58" spans="4:13" x14ac:dyDescent="0.3">
      <c r="D58" s="75"/>
      <c r="E58" s="75"/>
    </row>
    <row r="59" spans="4:13" x14ac:dyDescent="0.3">
      <c r="D59" s="75"/>
      <c r="E59" s="7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fill_WLGenMasses">
                <anchor moveWithCells="1" sizeWithCells="1">
                  <from>
                    <xdr:col>1</xdr:col>
                    <xdr:colOff>2156460</xdr:colOff>
                    <xdr:row>3</xdr:row>
                    <xdr:rowOff>167640</xdr:rowOff>
                  </from>
                  <to>
                    <xdr:col>2</xdr:col>
                    <xdr:colOff>1173480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68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261</v>
      </c>
    </row>
    <row r="13" spans="2:4" ht="17.25" customHeight="1" x14ac:dyDescent="0.3">
      <c r="B13" s="49" t="s">
        <v>59</v>
      </c>
    </row>
    <row r="14" spans="2:4" ht="17.25" customHeight="1" x14ac:dyDescent="0.3">
      <c r="B14" s="49" t="s">
        <v>60</v>
      </c>
    </row>
    <row r="15" spans="2:4" ht="17.25" customHeight="1" x14ac:dyDescent="0.3">
      <c r="B15" s="49" t="s">
        <v>61</v>
      </c>
    </row>
    <row r="16" spans="2:4" ht="17.25" customHeight="1" x14ac:dyDescent="0.3">
      <c r="B16" s="49" t="s">
        <v>62</v>
      </c>
    </row>
    <row r="17" spans="2:2" ht="17.25" customHeight="1" x14ac:dyDescent="0.3">
      <c r="B17" s="49" t="s">
        <v>63</v>
      </c>
    </row>
    <row r="18" spans="2:2" ht="17.25" customHeight="1" x14ac:dyDescent="0.3">
      <c r="B18" s="49" t="s">
        <v>64</v>
      </c>
    </row>
    <row r="19" spans="2:2" ht="17.25" customHeight="1" x14ac:dyDescent="0.3">
      <c r="B19" s="49" t="s">
        <v>65</v>
      </c>
    </row>
    <row r="20" spans="2:2" ht="17.25" customHeight="1" x14ac:dyDescent="0.3">
      <c r="B20" s="49" t="s">
        <v>66</v>
      </c>
    </row>
    <row r="21" spans="2:2" ht="17.25" customHeight="1" x14ac:dyDescent="0.3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21</vt:i4>
      </vt:variant>
    </vt:vector>
  </HeadingPairs>
  <TitlesOfParts>
    <vt:vector size="28" baseType="lpstr">
      <vt:lpstr>GlobalConfig</vt:lpstr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Import_GeomConv_path</vt:lpstr>
      <vt:lpstr>Import_MP_path</vt:lpstr>
      <vt:lpstr>JBOOST_Path</vt:lpstr>
      <vt:lpstr>MOVE_STRUCT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2025-06-25T07:55:28Z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