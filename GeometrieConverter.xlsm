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AC791039-D37C-4A65-BB33-EF70D7B56976}" xr6:coauthVersionLast="47" xr6:coauthVersionMax="47" xr10:uidLastSave="{00000000-0000-0000-0000-000000000000}"/>
  <bookViews>
    <workbookView xWindow="28680" yWindow="-120" windowWidth="29040" windowHeight="15720" activeTab="1" xr2:uid="{52C6B389-4C94-430F-9043-C68D8C94A3E4}"/>
  </bookViews>
  <sheets>
    <sheet name="CreateStucture" sheetId="1" r:id="rId1"/>
    <sheet name="BuildYourStructure" sheetId="5" r:id="rId2"/>
    <sheet name="Overview" sheetId="2" r:id="rId3"/>
    <sheet name="Loop" sheetId="3" r:id="rId4"/>
  </sheets>
  <functionGroups builtInGroupCount="19"/>
  <externalReferences>
    <externalReference r:id="rId5"/>
    <externalReference r:id="rId6"/>
  </externalReferences>
  <definedNames>
    <definedName name="_xleta.N" hidden="1" xlm="1">#NAME?</definedName>
    <definedName name="_xleta.T" hidden="1" xlm="1">#NAME?</definedName>
    <definedName name="Tabale_MP_META">BuildYourStructure!$B$12</definedName>
    <definedName name="Table_MP_DATA">BuildYourStructure!$U$18</definedName>
    <definedName name="Table_MP_META">BuildYourStructure!$B$12</definedName>
    <definedName name="Table_TP_DATA">BuildYourStructure!$BC$18</definedName>
    <definedName name="Table_TP_META">BuildYourStructure!$AQ$12</definedName>
    <definedName name="Text">BuildYourStructure!$CL$8</definedName>
    <definedName name="TextBox_MP_db_path">BuildYourStructure!$C$8</definedName>
    <definedName name="TextBox_TOWER_db_path">BuildYourStructure!$BR$8</definedName>
    <definedName name="TextBox_TP_db_path">BuildYourStructure!$AR$8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T160" i="5" l="1"/>
  <c r="CR160" i="5"/>
  <c r="CQ160" i="5"/>
  <c r="CT159" i="5"/>
  <c r="CR159" i="5"/>
  <c r="CQ159" i="5"/>
  <c r="CT158" i="5"/>
  <c r="CR158" i="5"/>
  <c r="CQ158" i="5"/>
  <c r="CT157" i="5"/>
  <c r="CR157" i="5"/>
  <c r="CQ157" i="5"/>
  <c r="CT156" i="5"/>
  <c r="CR156" i="5"/>
  <c r="CQ156" i="5"/>
  <c r="CT155" i="5"/>
  <c r="CR155" i="5"/>
  <c r="CQ155" i="5"/>
  <c r="CT154" i="5"/>
  <c r="CS154" i="5"/>
  <c r="CR154" i="5"/>
  <c r="CQ154" i="5"/>
  <c r="CT153" i="5"/>
  <c r="CS153" i="5"/>
  <c r="CR153" i="5"/>
  <c r="CQ153" i="5"/>
  <c r="CT152" i="5"/>
  <c r="CS152" i="5"/>
  <c r="CR152" i="5"/>
  <c r="CQ152" i="5"/>
  <c r="CT151" i="5"/>
  <c r="CS151" i="5"/>
  <c r="CR151" i="5"/>
  <c r="CQ151" i="5"/>
  <c r="CT150" i="5"/>
  <c r="CS150" i="5"/>
  <c r="CR150" i="5"/>
  <c r="CQ150" i="5"/>
  <c r="CT149" i="5"/>
  <c r="CS149" i="5"/>
  <c r="CR149" i="5"/>
  <c r="CQ149" i="5"/>
  <c r="CT148" i="5"/>
  <c r="CS148" i="5"/>
  <c r="CR148" i="5"/>
  <c r="CQ148" i="5"/>
  <c r="CT147" i="5"/>
  <c r="CS147" i="5"/>
  <c r="CR147" i="5"/>
  <c r="CQ147" i="5"/>
  <c r="CT146" i="5"/>
  <c r="CS146" i="5"/>
  <c r="CR146" i="5"/>
  <c r="CQ146" i="5"/>
  <c r="CT145" i="5"/>
  <c r="CS145" i="5"/>
  <c r="CR145" i="5"/>
  <c r="CQ145" i="5"/>
  <c r="CT144" i="5"/>
  <c r="CS144" i="5"/>
  <c r="CR144" i="5"/>
  <c r="CQ144" i="5"/>
  <c r="CT143" i="5"/>
  <c r="CS143" i="5"/>
  <c r="CR143" i="5"/>
  <c r="CQ143" i="5"/>
  <c r="CT142" i="5"/>
  <c r="CS142" i="5"/>
  <c r="CR142" i="5"/>
  <c r="CQ142" i="5"/>
  <c r="CT141" i="5"/>
  <c r="CS141" i="5"/>
  <c r="CR141" i="5"/>
  <c r="CQ141" i="5"/>
  <c r="CT140" i="5"/>
  <c r="CS140" i="5"/>
  <c r="CR140" i="5"/>
  <c r="CQ140" i="5"/>
  <c r="CT139" i="5"/>
  <c r="CS139" i="5"/>
  <c r="CR139" i="5"/>
  <c r="CQ139" i="5"/>
  <c r="CT138" i="5"/>
  <c r="CS138" i="5"/>
  <c r="CR138" i="5"/>
  <c r="CQ138" i="5"/>
  <c r="CT137" i="5"/>
  <c r="CS137" i="5"/>
  <c r="CR137" i="5"/>
  <c r="CQ137" i="5"/>
  <c r="CT136" i="5"/>
  <c r="CS136" i="5"/>
  <c r="CR136" i="5"/>
  <c r="CQ136" i="5"/>
  <c r="CU135" i="5"/>
  <c r="CT135" i="5"/>
  <c r="CS135" i="5"/>
  <c r="CR135" i="5"/>
  <c r="CQ135" i="5"/>
  <c r="CU134" i="5"/>
  <c r="CT134" i="5"/>
  <c r="CS134" i="5"/>
  <c r="CR134" i="5"/>
  <c r="CQ134" i="5"/>
  <c r="CU133" i="5"/>
  <c r="CT133" i="5"/>
  <c r="CS133" i="5"/>
  <c r="CR133" i="5"/>
  <c r="CQ133" i="5"/>
  <c r="CU132" i="5"/>
  <c r="CT132" i="5"/>
  <c r="CS132" i="5"/>
  <c r="CR132" i="5"/>
  <c r="CQ132" i="5"/>
  <c r="CU131" i="5"/>
  <c r="CT131" i="5"/>
  <c r="CS131" i="5"/>
  <c r="CR131" i="5"/>
  <c r="CQ131" i="5"/>
  <c r="CU130" i="5"/>
  <c r="CT130" i="5"/>
  <c r="CS130" i="5"/>
  <c r="CR130" i="5"/>
  <c r="CQ130" i="5"/>
  <c r="CU129" i="5"/>
  <c r="CT129" i="5"/>
  <c r="CS129" i="5"/>
  <c r="CR129" i="5"/>
  <c r="CQ129" i="5"/>
  <c r="CU128" i="5"/>
  <c r="CT128" i="5"/>
  <c r="CS128" i="5"/>
  <c r="CR128" i="5"/>
  <c r="CQ128" i="5"/>
  <c r="CU127" i="5"/>
  <c r="CT127" i="5"/>
  <c r="CS127" i="5"/>
  <c r="CR127" i="5"/>
  <c r="CQ127" i="5"/>
  <c r="CU126" i="5"/>
  <c r="CT126" i="5"/>
  <c r="CS126" i="5"/>
  <c r="CR126" i="5"/>
  <c r="CQ126" i="5"/>
  <c r="CU125" i="5"/>
  <c r="CT125" i="5"/>
  <c r="CS125" i="5"/>
  <c r="CR125" i="5"/>
  <c r="CQ125" i="5"/>
  <c r="CU124" i="5"/>
  <c r="CT124" i="5"/>
  <c r="CS124" i="5"/>
  <c r="CR124" i="5"/>
  <c r="CQ124" i="5"/>
  <c r="CU123" i="5"/>
  <c r="CT123" i="5"/>
  <c r="CS123" i="5"/>
  <c r="CR123" i="5"/>
  <c r="CQ123" i="5"/>
  <c r="CU122" i="5"/>
  <c r="CT122" i="5"/>
  <c r="CS122" i="5"/>
  <c r="CR122" i="5"/>
  <c r="CQ122" i="5"/>
  <c r="CU121" i="5"/>
  <c r="CT121" i="5"/>
  <c r="CS121" i="5"/>
  <c r="CR121" i="5"/>
  <c r="CQ121" i="5"/>
  <c r="CU120" i="5"/>
  <c r="CT120" i="5"/>
  <c r="CS120" i="5"/>
  <c r="CR120" i="5"/>
  <c r="CQ120" i="5"/>
  <c r="CU119" i="5"/>
  <c r="CT119" i="5"/>
  <c r="CS119" i="5"/>
  <c r="CR119" i="5"/>
  <c r="CQ119" i="5"/>
  <c r="CU118" i="5"/>
  <c r="CT118" i="5"/>
  <c r="CS118" i="5"/>
  <c r="CR118" i="5"/>
  <c r="CQ118" i="5"/>
  <c r="CU117" i="5"/>
  <c r="CT117" i="5"/>
  <c r="CS117" i="5"/>
  <c r="CR117" i="5"/>
  <c r="CQ117" i="5"/>
  <c r="CU116" i="5"/>
  <c r="CT116" i="5"/>
  <c r="CS116" i="5"/>
  <c r="CR116" i="5"/>
  <c r="CQ116" i="5"/>
  <c r="CU115" i="5"/>
  <c r="CT115" i="5"/>
  <c r="CS115" i="5"/>
  <c r="CR115" i="5"/>
  <c r="CQ115" i="5"/>
  <c r="CU114" i="5"/>
  <c r="CT114" i="5"/>
  <c r="CS114" i="5"/>
  <c r="CR114" i="5"/>
  <c r="CQ114" i="5"/>
  <c r="CU113" i="5"/>
  <c r="CT113" i="5"/>
  <c r="CS113" i="5"/>
  <c r="CR113" i="5"/>
  <c r="CQ113" i="5"/>
  <c r="CU112" i="5"/>
  <c r="CT112" i="5"/>
  <c r="CS112" i="5"/>
  <c r="CR112" i="5"/>
  <c r="CQ112" i="5"/>
  <c r="CU111" i="5"/>
  <c r="CT111" i="5"/>
  <c r="CS111" i="5"/>
  <c r="CR111" i="5"/>
  <c r="CQ111" i="5"/>
  <c r="CU110" i="5"/>
  <c r="CT110" i="5"/>
  <c r="CS110" i="5"/>
  <c r="CR110" i="5"/>
  <c r="CQ110" i="5"/>
  <c r="CU109" i="5"/>
  <c r="CT109" i="5"/>
  <c r="CS109" i="5"/>
  <c r="CR109" i="5"/>
  <c r="CQ109" i="5"/>
  <c r="CU108" i="5"/>
  <c r="CT108" i="5"/>
  <c r="CS108" i="5"/>
  <c r="CR108" i="5"/>
  <c r="CQ108" i="5"/>
  <c r="CU107" i="5"/>
  <c r="CT107" i="5"/>
  <c r="CS107" i="5"/>
  <c r="CR107" i="5"/>
  <c r="CQ107" i="5"/>
  <c r="CU106" i="5"/>
  <c r="CT106" i="5"/>
  <c r="CS106" i="5"/>
  <c r="CR106" i="5"/>
  <c r="CQ106" i="5"/>
  <c r="CU105" i="5"/>
  <c r="CT105" i="5"/>
  <c r="CS105" i="5"/>
  <c r="CR105" i="5"/>
  <c r="CQ105" i="5"/>
  <c r="CU104" i="5"/>
  <c r="CT104" i="5"/>
  <c r="CS104" i="5"/>
  <c r="CR104" i="5"/>
  <c r="CQ104" i="5"/>
  <c r="CU103" i="5"/>
  <c r="CT103" i="5"/>
  <c r="CS103" i="5"/>
  <c r="CR103" i="5"/>
  <c r="CQ103" i="5"/>
  <c r="CU102" i="5"/>
  <c r="CT102" i="5"/>
  <c r="CS102" i="5"/>
  <c r="CR102" i="5"/>
  <c r="CQ102" i="5"/>
  <c r="CU101" i="5"/>
  <c r="CT101" i="5"/>
  <c r="CS101" i="5"/>
  <c r="CR101" i="5"/>
  <c r="CQ101" i="5"/>
  <c r="CU100" i="5"/>
  <c r="CT100" i="5"/>
  <c r="CS100" i="5"/>
  <c r="CR100" i="5"/>
  <c r="CQ100" i="5"/>
  <c r="CU99" i="5"/>
  <c r="CT99" i="5"/>
  <c r="CS99" i="5"/>
  <c r="CR99" i="5"/>
  <c r="CQ99" i="5"/>
  <c r="CU98" i="5"/>
  <c r="CT98" i="5"/>
  <c r="CS98" i="5"/>
  <c r="CR98" i="5"/>
  <c r="CQ98" i="5"/>
  <c r="CU97" i="5"/>
  <c r="CT97" i="5"/>
  <c r="CS97" i="5"/>
  <c r="CR97" i="5"/>
  <c r="CQ97" i="5"/>
  <c r="CU96" i="5"/>
  <c r="CT96" i="5"/>
  <c r="CS96" i="5"/>
  <c r="CR96" i="5"/>
  <c r="CQ96" i="5"/>
  <c r="CU95" i="5"/>
  <c r="CT95" i="5"/>
  <c r="CS95" i="5"/>
  <c r="CR95" i="5"/>
  <c r="CQ95" i="5"/>
  <c r="CU94" i="5"/>
  <c r="CT94" i="5"/>
  <c r="CS94" i="5"/>
  <c r="CR94" i="5"/>
  <c r="CQ94" i="5"/>
  <c r="CU93" i="5"/>
  <c r="CT93" i="5"/>
  <c r="CS93" i="5"/>
  <c r="CR93" i="5"/>
  <c r="CQ93" i="5"/>
  <c r="CU92" i="5"/>
  <c r="CT92" i="5"/>
  <c r="CS92" i="5"/>
  <c r="CR92" i="5"/>
  <c r="CQ92" i="5"/>
  <c r="CU91" i="5"/>
  <c r="CT91" i="5"/>
  <c r="CS91" i="5"/>
  <c r="CR91" i="5"/>
  <c r="CQ91" i="5"/>
  <c r="CU90" i="5"/>
  <c r="CT90" i="5"/>
  <c r="CS90" i="5"/>
  <c r="CR90" i="5"/>
  <c r="CQ90" i="5"/>
  <c r="CU89" i="5"/>
  <c r="CT89" i="5"/>
  <c r="CS89" i="5"/>
  <c r="CR89" i="5"/>
  <c r="CQ89" i="5"/>
  <c r="CU88" i="5"/>
  <c r="CT88" i="5"/>
  <c r="CS88" i="5"/>
  <c r="CR88" i="5"/>
  <c r="CQ88" i="5"/>
  <c r="CU87" i="5"/>
  <c r="CT87" i="5"/>
  <c r="CS87" i="5"/>
  <c r="CR87" i="5"/>
  <c r="CQ87" i="5"/>
  <c r="CU86" i="5"/>
  <c r="CT86" i="5"/>
  <c r="CS86" i="5"/>
  <c r="CR86" i="5"/>
  <c r="CQ86" i="5"/>
  <c r="CU85" i="5"/>
  <c r="CT85" i="5"/>
  <c r="CS85" i="5"/>
  <c r="CR85" i="5"/>
  <c r="CQ85" i="5"/>
  <c r="CU84" i="5"/>
  <c r="CT84" i="5"/>
  <c r="CS84" i="5"/>
  <c r="CR84" i="5"/>
  <c r="CQ84" i="5"/>
  <c r="CU83" i="5"/>
  <c r="CT83" i="5"/>
  <c r="CS83" i="5"/>
  <c r="CR83" i="5"/>
  <c r="CQ83" i="5"/>
  <c r="CU82" i="5"/>
  <c r="CT82" i="5"/>
  <c r="CS82" i="5"/>
  <c r="CR82" i="5"/>
  <c r="CQ82" i="5"/>
  <c r="CU81" i="5"/>
  <c r="CT81" i="5"/>
  <c r="CS81" i="5"/>
  <c r="CR81" i="5"/>
  <c r="CQ81" i="5"/>
  <c r="CU80" i="5"/>
  <c r="CT80" i="5"/>
  <c r="CS80" i="5"/>
  <c r="CR80" i="5"/>
  <c r="CQ80" i="5"/>
  <c r="CU79" i="5"/>
  <c r="CT79" i="5"/>
  <c r="CS79" i="5"/>
  <c r="CR79" i="5"/>
  <c r="CQ79" i="5"/>
  <c r="CU78" i="5"/>
  <c r="CT78" i="5"/>
  <c r="CS78" i="5"/>
  <c r="CR78" i="5"/>
  <c r="CQ78" i="5"/>
  <c r="CU77" i="5"/>
  <c r="CT77" i="5"/>
  <c r="CS77" i="5"/>
  <c r="CR77" i="5"/>
  <c r="CQ77" i="5"/>
  <c r="CU76" i="5"/>
  <c r="CT76" i="5"/>
  <c r="CS76" i="5"/>
  <c r="CR76" i="5"/>
  <c r="CQ76" i="5"/>
  <c r="CU75" i="5"/>
  <c r="CT75" i="5"/>
  <c r="CS75" i="5"/>
  <c r="CR75" i="5"/>
  <c r="CQ75" i="5"/>
  <c r="CU74" i="5"/>
  <c r="CT74" i="5"/>
  <c r="CS74" i="5"/>
  <c r="CR74" i="5"/>
  <c r="CQ74" i="5"/>
  <c r="CU73" i="5"/>
  <c r="CT73" i="5"/>
  <c r="CS73" i="5"/>
  <c r="CR73" i="5"/>
  <c r="CQ73" i="5"/>
  <c r="CU72" i="5"/>
  <c r="CT72" i="5"/>
  <c r="CS72" i="5"/>
  <c r="CR72" i="5"/>
  <c r="CQ72" i="5"/>
  <c r="CU71" i="5"/>
  <c r="CT71" i="5"/>
  <c r="CS71" i="5"/>
  <c r="CR71" i="5"/>
  <c r="CQ71" i="5"/>
  <c r="CU70" i="5"/>
  <c r="CT70" i="5"/>
  <c r="CS70" i="5"/>
  <c r="CR70" i="5"/>
  <c r="CQ70" i="5"/>
  <c r="CU69" i="5"/>
  <c r="CT69" i="5"/>
  <c r="CS69" i="5"/>
  <c r="CR69" i="5"/>
  <c r="CQ69" i="5"/>
  <c r="CU68" i="5"/>
  <c r="CT68" i="5"/>
  <c r="CS68" i="5"/>
  <c r="CR68" i="5"/>
  <c r="CQ68" i="5"/>
  <c r="CU67" i="5"/>
  <c r="CT67" i="5"/>
  <c r="CS67" i="5"/>
  <c r="CR67" i="5"/>
  <c r="CQ67" i="5"/>
  <c r="CU66" i="5"/>
  <c r="CT66" i="5"/>
  <c r="CS66" i="5"/>
  <c r="CR66" i="5"/>
  <c r="CQ66" i="5"/>
  <c r="CU65" i="5"/>
  <c r="CT65" i="5"/>
  <c r="CS65" i="5"/>
  <c r="CR65" i="5"/>
  <c r="CQ65" i="5"/>
  <c r="CU64" i="5"/>
  <c r="CT64" i="5"/>
  <c r="CS64" i="5"/>
  <c r="CR64" i="5"/>
  <c r="CQ64" i="5"/>
  <c r="CU63" i="5"/>
  <c r="CT63" i="5"/>
  <c r="CS63" i="5"/>
  <c r="CR63" i="5"/>
  <c r="CQ63" i="5"/>
  <c r="CU62" i="5"/>
  <c r="CT62" i="5"/>
  <c r="CS62" i="5"/>
  <c r="CR62" i="5"/>
  <c r="CQ62" i="5"/>
  <c r="CU61" i="5"/>
  <c r="CT61" i="5"/>
  <c r="CS61" i="5"/>
  <c r="CR61" i="5"/>
  <c r="CQ61" i="5"/>
  <c r="CU60" i="5"/>
  <c r="CT60" i="5"/>
  <c r="CS60" i="5"/>
  <c r="CR60" i="5"/>
  <c r="CQ60" i="5"/>
  <c r="CT59" i="5"/>
  <c r="CS59" i="5"/>
  <c r="CR59" i="5"/>
  <c r="CQ59" i="5"/>
  <c r="CT58" i="5"/>
  <c r="CS58" i="5"/>
  <c r="CR58" i="5"/>
  <c r="CQ58" i="5"/>
  <c r="CT57" i="5"/>
  <c r="CS57" i="5"/>
  <c r="CR57" i="5"/>
  <c r="CQ57" i="5"/>
  <c r="CT56" i="5"/>
  <c r="CS56" i="5"/>
  <c r="CR56" i="5"/>
  <c r="CQ56" i="5"/>
  <c r="CT55" i="5"/>
  <c r="CS55" i="5"/>
  <c r="CR55" i="5"/>
  <c r="CQ55" i="5"/>
  <c r="CT54" i="5"/>
  <c r="CS54" i="5"/>
  <c r="CR54" i="5"/>
  <c r="CQ54" i="5"/>
  <c r="CT53" i="5"/>
  <c r="CS53" i="5"/>
  <c r="CR53" i="5"/>
  <c r="CQ53" i="5"/>
  <c r="CT52" i="5"/>
  <c r="CS52" i="5"/>
  <c r="CR52" i="5"/>
  <c r="CQ52" i="5"/>
  <c r="CT51" i="5"/>
  <c r="CS51" i="5"/>
  <c r="CR51" i="5"/>
  <c r="CQ51" i="5"/>
  <c r="CT50" i="5"/>
  <c r="CS50" i="5"/>
  <c r="CR50" i="5"/>
  <c r="CQ50" i="5"/>
  <c r="CT49" i="5"/>
  <c r="CS49" i="5"/>
  <c r="CR49" i="5"/>
  <c r="CQ49" i="5"/>
  <c r="CT48" i="5"/>
  <c r="CS48" i="5"/>
  <c r="CR48" i="5"/>
  <c r="CQ48" i="5"/>
  <c r="CU47" i="5"/>
  <c r="CT47" i="5"/>
  <c r="CS47" i="5"/>
  <c r="CR47" i="5"/>
  <c r="CQ47" i="5"/>
  <c r="CU46" i="5"/>
  <c r="CT46" i="5"/>
  <c r="CS46" i="5"/>
  <c r="CR46" i="5"/>
  <c r="CQ46" i="5"/>
  <c r="CU45" i="5"/>
  <c r="CT45" i="5"/>
  <c r="CS45" i="5"/>
  <c r="CR45" i="5"/>
  <c r="CQ45" i="5"/>
  <c r="CU44" i="5"/>
  <c r="CT44" i="5"/>
  <c r="CS44" i="5"/>
  <c r="CR44" i="5"/>
  <c r="CQ44" i="5"/>
  <c r="CU43" i="5"/>
  <c r="CT43" i="5"/>
  <c r="CS43" i="5"/>
  <c r="CR43" i="5"/>
  <c r="CQ43" i="5"/>
  <c r="CU42" i="5"/>
  <c r="CT42" i="5"/>
  <c r="CS42" i="5"/>
  <c r="CR42" i="5"/>
  <c r="CQ42" i="5"/>
  <c r="CU41" i="5"/>
  <c r="CT41" i="5"/>
  <c r="CS41" i="5"/>
  <c r="CR41" i="5"/>
  <c r="CQ41" i="5"/>
  <c r="CU40" i="5"/>
  <c r="CT40" i="5"/>
  <c r="CS40" i="5"/>
  <c r="CR40" i="5"/>
  <c r="CQ40" i="5"/>
  <c r="CU39" i="5"/>
  <c r="CT39" i="5"/>
  <c r="CS39" i="5"/>
  <c r="CR39" i="5"/>
  <c r="CQ39" i="5"/>
  <c r="CU38" i="5"/>
  <c r="CT38" i="5"/>
  <c r="CS38" i="5"/>
  <c r="CR38" i="5"/>
  <c r="CQ38" i="5"/>
  <c r="CU37" i="5"/>
  <c r="CT37" i="5"/>
  <c r="CS37" i="5"/>
  <c r="CR37" i="5"/>
  <c r="CQ37" i="5"/>
  <c r="CU36" i="5"/>
  <c r="CT36" i="5"/>
  <c r="CS36" i="5"/>
  <c r="CR36" i="5"/>
  <c r="CQ36" i="5"/>
  <c r="CU35" i="5"/>
  <c r="CT35" i="5"/>
  <c r="CS35" i="5"/>
  <c r="CR35" i="5"/>
  <c r="CQ35" i="5"/>
  <c r="CU34" i="5"/>
  <c r="CT34" i="5"/>
  <c r="CS34" i="5"/>
  <c r="CR34" i="5"/>
  <c r="CQ34" i="5"/>
  <c r="CU33" i="5"/>
  <c r="CT33" i="5"/>
  <c r="CS33" i="5"/>
  <c r="CR33" i="5"/>
  <c r="CQ33" i="5"/>
  <c r="CU32" i="5"/>
  <c r="CT32" i="5"/>
  <c r="CS32" i="5"/>
  <c r="CR32" i="5"/>
  <c r="CQ32" i="5"/>
  <c r="CU31" i="5"/>
  <c r="CT31" i="5"/>
  <c r="CS31" i="5"/>
  <c r="CR31" i="5"/>
  <c r="CQ31" i="5"/>
  <c r="CU30" i="5"/>
  <c r="CT30" i="5"/>
  <c r="CS30" i="5"/>
  <c r="CR30" i="5"/>
  <c r="CQ30" i="5"/>
  <c r="CU29" i="5"/>
  <c r="CT29" i="5"/>
  <c r="CS29" i="5"/>
  <c r="CR29" i="5"/>
  <c r="CQ29" i="5"/>
  <c r="CU28" i="5"/>
  <c r="CT28" i="5"/>
  <c r="CS28" i="5"/>
  <c r="CR28" i="5"/>
  <c r="CQ28" i="5"/>
  <c r="CU27" i="5"/>
  <c r="CT27" i="5"/>
  <c r="CS27" i="5"/>
  <c r="CR27" i="5"/>
  <c r="CQ27" i="5"/>
  <c r="CU26" i="5"/>
  <c r="CT26" i="5"/>
  <c r="CS26" i="5"/>
  <c r="CR26" i="5"/>
  <c r="CQ26" i="5"/>
  <c r="CU25" i="5"/>
  <c r="CT25" i="5"/>
  <c r="CS25" i="5"/>
  <c r="CR25" i="5"/>
  <c r="CQ25" i="5"/>
  <c r="CU24" i="5"/>
  <c r="CT24" i="5"/>
  <c r="CS24" i="5"/>
  <c r="CR24" i="5"/>
  <c r="CQ24" i="5"/>
  <c r="CU23" i="5"/>
  <c r="CT23" i="5"/>
  <c r="CS23" i="5"/>
  <c r="CR23" i="5"/>
  <c r="CQ23" i="5"/>
  <c r="CT22" i="5"/>
  <c r="CS22" i="5"/>
  <c r="CR22" i="5"/>
  <c r="CQ22" i="5"/>
  <c r="CT21" i="5"/>
  <c r="CS21" i="5"/>
  <c r="CR21" i="5"/>
  <c r="CQ21" i="5"/>
  <c r="CT20" i="5"/>
  <c r="CS20" i="5"/>
  <c r="CR20" i="5"/>
  <c r="CQ20" i="5"/>
  <c r="CT19" i="5"/>
  <c r="CS19" i="5"/>
  <c r="CR19" i="5"/>
  <c r="CQ19" i="5"/>
  <c r="AZ160" i="5"/>
  <c r="AX160" i="5"/>
  <c r="AW160" i="5"/>
  <c r="AZ159" i="5"/>
  <c r="AX159" i="5"/>
  <c r="AW159" i="5"/>
  <c r="AZ158" i="5"/>
  <c r="AX158" i="5"/>
  <c r="AW158" i="5"/>
  <c r="AZ157" i="5"/>
  <c r="AX157" i="5"/>
  <c r="AW157" i="5"/>
  <c r="AZ156" i="5"/>
  <c r="AX156" i="5"/>
  <c r="AW156" i="5"/>
  <c r="AZ155" i="5"/>
  <c r="AX155" i="5"/>
  <c r="AW155" i="5"/>
  <c r="AZ154" i="5"/>
  <c r="AY154" i="5"/>
  <c r="AX154" i="5"/>
  <c r="AW154" i="5"/>
  <c r="AZ153" i="5"/>
  <c r="AY153" i="5"/>
  <c r="AX153" i="5"/>
  <c r="AW153" i="5"/>
  <c r="AZ152" i="5"/>
  <c r="AY152" i="5"/>
  <c r="AX152" i="5"/>
  <c r="AW152" i="5"/>
  <c r="AZ151" i="5"/>
  <c r="AY151" i="5"/>
  <c r="AX151" i="5"/>
  <c r="AW151" i="5"/>
  <c r="AZ150" i="5"/>
  <c r="AY150" i="5"/>
  <c r="AX150" i="5"/>
  <c r="AW150" i="5"/>
  <c r="AZ149" i="5"/>
  <c r="AY149" i="5"/>
  <c r="AX149" i="5"/>
  <c r="AW149" i="5"/>
  <c r="AZ148" i="5"/>
  <c r="AY148" i="5"/>
  <c r="AX148" i="5"/>
  <c r="AW148" i="5"/>
  <c r="AZ147" i="5"/>
  <c r="AY147" i="5"/>
  <c r="AX147" i="5"/>
  <c r="AW147" i="5"/>
  <c r="AZ146" i="5"/>
  <c r="AY146" i="5"/>
  <c r="AX146" i="5"/>
  <c r="AW146" i="5"/>
  <c r="AZ145" i="5"/>
  <c r="AY145" i="5"/>
  <c r="AX145" i="5"/>
  <c r="AW145" i="5"/>
  <c r="AZ144" i="5"/>
  <c r="AY144" i="5"/>
  <c r="AX144" i="5"/>
  <c r="AW144" i="5"/>
  <c r="AZ143" i="5"/>
  <c r="AY143" i="5"/>
  <c r="AX143" i="5"/>
  <c r="AW143" i="5"/>
  <c r="AZ142" i="5"/>
  <c r="AY142" i="5"/>
  <c r="AX142" i="5"/>
  <c r="AW142" i="5"/>
  <c r="AZ141" i="5"/>
  <c r="AY141" i="5"/>
  <c r="AX141" i="5"/>
  <c r="AW141" i="5"/>
  <c r="AZ140" i="5"/>
  <c r="AY140" i="5"/>
  <c r="AX140" i="5"/>
  <c r="AW140" i="5"/>
  <c r="AZ139" i="5"/>
  <c r="AY139" i="5"/>
  <c r="AX139" i="5"/>
  <c r="AW139" i="5"/>
  <c r="AZ138" i="5"/>
  <c r="AY138" i="5"/>
  <c r="AX138" i="5"/>
  <c r="AW138" i="5"/>
  <c r="AZ137" i="5"/>
  <c r="AY137" i="5"/>
  <c r="AX137" i="5"/>
  <c r="AW137" i="5"/>
  <c r="AZ136" i="5"/>
  <c r="AY136" i="5"/>
  <c r="AX136" i="5"/>
  <c r="AW136" i="5"/>
  <c r="BA135" i="5"/>
  <c r="AZ135" i="5"/>
  <c r="AY135" i="5"/>
  <c r="AX135" i="5"/>
  <c r="AW135" i="5"/>
  <c r="BA134" i="5"/>
  <c r="AZ134" i="5"/>
  <c r="AY134" i="5"/>
  <c r="AX134" i="5"/>
  <c r="AW134" i="5"/>
  <c r="BA133" i="5"/>
  <c r="AZ133" i="5"/>
  <c r="AY133" i="5"/>
  <c r="AX133" i="5"/>
  <c r="AW133" i="5"/>
  <c r="BA132" i="5"/>
  <c r="AZ132" i="5"/>
  <c r="AY132" i="5"/>
  <c r="AX132" i="5"/>
  <c r="AW132" i="5"/>
  <c r="BA131" i="5"/>
  <c r="AZ131" i="5"/>
  <c r="AY131" i="5"/>
  <c r="AX131" i="5"/>
  <c r="AW131" i="5"/>
  <c r="BA130" i="5"/>
  <c r="AZ130" i="5"/>
  <c r="AY130" i="5"/>
  <c r="AX130" i="5"/>
  <c r="AW130" i="5"/>
  <c r="BA129" i="5"/>
  <c r="AZ129" i="5"/>
  <c r="AY129" i="5"/>
  <c r="AX129" i="5"/>
  <c r="AW129" i="5"/>
  <c r="BA128" i="5"/>
  <c r="AZ128" i="5"/>
  <c r="AY128" i="5"/>
  <c r="AX128" i="5"/>
  <c r="AW128" i="5"/>
  <c r="BA127" i="5"/>
  <c r="AZ127" i="5"/>
  <c r="AY127" i="5"/>
  <c r="AX127" i="5"/>
  <c r="AW127" i="5"/>
  <c r="BA126" i="5"/>
  <c r="AZ126" i="5"/>
  <c r="AY126" i="5"/>
  <c r="AX126" i="5"/>
  <c r="AW126" i="5"/>
  <c r="BA125" i="5"/>
  <c r="AZ125" i="5"/>
  <c r="AY125" i="5"/>
  <c r="AX125" i="5"/>
  <c r="AW125" i="5"/>
  <c r="BA124" i="5"/>
  <c r="AZ124" i="5"/>
  <c r="AY124" i="5"/>
  <c r="AX124" i="5"/>
  <c r="AW124" i="5"/>
  <c r="BA123" i="5"/>
  <c r="AZ123" i="5"/>
  <c r="AY123" i="5"/>
  <c r="AX123" i="5"/>
  <c r="AW123" i="5"/>
  <c r="BA122" i="5"/>
  <c r="AZ122" i="5"/>
  <c r="AY122" i="5"/>
  <c r="AX122" i="5"/>
  <c r="AW122" i="5"/>
  <c r="BA121" i="5"/>
  <c r="AZ121" i="5"/>
  <c r="AY121" i="5"/>
  <c r="AX121" i="5"/>
  <c r="AW121" i="5"/>
  <c r="BA120" i="5"/>
  <c r="AZ120" i="5"/>
  <c r="AY120" i="5"/>
  <c r="AX120" i="5"/>
  <c r="AW120" i="5"/>
  <c r="BA119" i="5"/>
  <c r="AZ119" i="5"/>
  <c r="AY119" i="5"/>
  <c r="AX119" i="5"/>
  <c r="AW119" i="5"/>
  <c r="BA118" i="5"/>
  <c r="AZ118" i="5"/>
  <c r="AY118" i="5"/>
  <c r="AX118" i="5"/>
  <c r="AW118" i="5"/>
  <c r="BA117" i="5"/>
  <c r="AZ117" i="5"/>
  <c r="AY117" i="5"/>
  <c r="AX117" i="5"/>
  <c r="AW117" i="5"/>
  <c r="BA116" i="5"/>
  <c r="AZ116" i="5"/>
  <c r="AY116" i="5"/>
  <c r="AX116" i="5"/>
  <c r="AW116" i="5"/>
  <c r="BA115" i="5"/>
  <c r="AZ115" i="5"/>
  <c r="AY115" i="5"/>
  <c r="AX115" i="5"/>
  <c r="AW115" i="5"/>
  <c r="BA114" i="5"/>
  <c r="AZ114" i="5"/>
  <c r="AY114" i="5"/>
  <c r="AX114" i="5"/>
  <c r="AW114" i="5"/>
  <c r="BA113" i="5"/>
  <c r="AZ113" i="5"/>
  <c r="AY113" i="5"/>
  <c r="AX113" i="5"/>
  <c r="AW113" i="5"/>
  <c r="BA112" i="5"/>
  <c r="AZ112" i="5"/>
  <c r="AY112" i="5"/>
  <c r="AX112" i="5"/>
  <c r="AW112" i="5"/>
  <c r="BA111" i="5"/>
  <c r="AZ111" i="5"/>
  <c r="AY111" i="5"/>
  <c r="AX111" i="5"/>
  <c r="AW111" i="5"/>
  <c r="BA110" i="5"/>
  <c r="AZ110" i="5"/>
  <c r="AY110" i="5"/>
  <c r="AX110" i="5"/>
  <c r="AW110" i="5"/>
  <c r="BA109" i="5"/>
  <c r="AZ109" i="5"/>
  <c r="AY109" i="5"/>
  <c r="AX109" i="5"/>
  <c r="AW109" i="5"/>
  <c r="BA108" i="5"/>
  <c r="AZ108" i="5"/>
  <c r="AY108" i="5"/>
  <c r="AX108" i="5"/>
  <c r="AW108" i="5"/>
  <c r="BA107" i="5"/>
  <c r="AZ107" i="5"/>
  <c r="AY107" i="5"/>
  <c r="AX107" i="5"/>
  <c r="AW107" i="5"/>
  <c r="BA106" i="5"/>
  <c r="AZ106" i="5"/>
  <c r="AY106" i="5"/>
  <c r="AX106" i="5"/>
  <c r="AW106" i="5"/>
  <c r="BA105" i="5"/>
  <c r="AZ105" i="5"/>
  <c r="AY105" i="5"/>
  <c r="AX105" i="5"/>
  <c r="AW105" i="5"/>
  <c r="BA104" i="5"/>
  <c r="AZ104" i="5"/>
  <c r="AY104" i="5"/>
  <c r="AX104" i="5"/>
  <c r="AW104" i="5"/>
  <c r="BA103" i="5"/>
  <c r="AZ103" i="5"/>
  <c r="AY103" i="5"/>
  <c r="AX103" i="5"/>
  <c r="AW103" i="5"/>
  <c r="BA102" i="5"/>
  <c r="AZ102" i="5"/>
  <c r="AY102" i="5"/>
  <c r="AX102" i="5"/>
  <c r="AW102" i="5"/>
  <c r="BA101" i="5"/>
  <c r="AZ101" i="5"/>
  <c r="AY101" i="5"/>
  <c r="AX101" i="5"/>
  <c r="AW101" i="5"/>
  <c r="BA100" i="5"/>
  <c r="AZ100" i="5"/>
  <c r="AY100" i="5"/>
  <c r="AX100" i="5"/>
  <c r="AW100" i="5"/>
  <c r="BA99" i="5"/>
  <c r="AZ99" i="5"/>
  <c r="AY99" i="5"/>
  <c r="AX99" i="5"/>
  <c r="AW99" i="5"/>
  <c r="BA98" i="5"/>
  <c r="AZ98" i="5"/>
  <c r="AY98" i="5"/>
  <c r="AX98" i="5"/>
  <c r="AW98" i="5"/>
  <c r="BA97" i="5"/>
  <c r="AZ97" i="5"/>
  <c r="AY97" i="5"/>
  <c r="AX97" i="5"/>
  <c r="AW97" i="5"/>
  <c r="BA96" i="5"/>
  <c r="AZ96" i="5"/>
  <c r="AY96" i="5"/>
  <c r="AX96" i="5"/>
  <c r="AW96" i="5"/>
  <c r="BA95" i="5"/>
  <c r="AZ95" i="5"/>
  <c r="AY95" i="5"/>
  <c r="AX95" i="5"/>
  <c r="AW95" i="5"/>
  <c r="BA94" i="5"/>
  <c r="AZ94" i="5"/>
  <c r="AY94" i="5"/>
  <c r="AX94" i="5"/>
  <c r="AW94" i="5"/>
  <c r="BA93" i="5"/>
  <c r="AZ93" i="5"/>
  <c r="AY93" i="5"/>
  <c r="AX93" i="5"/>
  <c r="AW93" i="5"/>
  <c r="BA92" i="5"/>
  <c r="AZ92" i="5"/>
  <c r="AY92" i="5"/>
  <c r="AX92" i="5"/>
  <c r="AW92" i="5"/>
  <c r="BA91" i="5"/>
  <c r="AZ91" i="5"/>
  <c r="AY91" i="5"/>
  <c r="AX91" i="5"/>
  <c r="AW91" i="5"/>
  <c r="BA90" i="5"/>
  <c r="AZ90" i="5"/>
  <c r="AY90" i="5"/>
  <c r="AX90" i="5"/>
  <c r="AW90" i="5"/>
  <c r="BA89" i="5"/>
  <c r="AZ89" i="5"/>
  <c r="AY89" i="5"/>
  <c r="AX89" i="5"/>
  <c r="AW89" i="5"/>
  <c r="BA88" i="5"/>
  <c r="AZ88" i="5"/>
  <c r="AY88" i="5"/>
  <c r="AX88" i="5"/>
  <c r="AW88" i="5"/>
  <c r="BA87" i="5"/>
  <c r="AZ87" i="5"/>
  <c r="AY87" i="5"/>
  <c r="AX87" i="5"/>
  <c r="AW87" i="5"/>
  <c r="BA86" i="5"/>
  <c r="AZ86" i="5"/>
  <c r="AY86" i="5"/>
  <c r="AX86" i="5"/>
  <c r="AW86" i="5"/>
  <c r="BA85" i="5"/>
  <c r="AZ85" i="5"/>
  <c r="AY85" i="5"/>
  <c r="AX85" i="5"/>
  <c r="AW85" i="5"/>
  <c r="BA84" i="5"/>
  <c r="AZ84" i="5"/>
  <c r="AY84" i="5"/>
  <c r="AX84" i="5"/>
  <c r="AW84" i="5"/>
  <c r="BA83" i="5"/>
  <c r="AZ83" i="5"/>
  <c r="AY83" i="5"/>
  <c r="AX83" i="5"/>
  <c r="AW83" i="5"/>
  <c r="BA82" i="5"/>
  <c r="AZ82" i="5"/>
  <c r="AY82" i="5"/>
  <c r="AX82" i="5"/>
  <c r="AW82" i="5"/>
  <c r="BA81" i="5"/>
  <c r="AZ81" i="5"/>
  <c r="AY81" i="5"/>
  <c r="AX81" i="5"/>
  <c r="AW81" i="5"/>
  <c r="BA80" i="5"/>
  <c r="AZ80" i="5"/>
  <c r="AY80" i="5"/>
  <c r="AX80" i="5"/>
  <c r="AW80" i="5"/>
  <c r="BA79" i="5"/>
  <c r="AZ79" i="5"/>
  <c r="AY79" i="5"/>
  <c r="AX79" i="5"/>
  <c r="AW79" i="5"/>
  <c r="BA78" i="5"/>
  <c r="AZ78" i="5"/>
  <c r="AY78" i="5"/>
  <c r="AX78" i="5"/>
  <c r="AW78" i="5"/>
  <c r="BA77" i="5"/>
  <c r="AZ77" i="5"/>
  <c r="AY77" i="5"/>
  <c r="AX77" i="5"/>
  <c r="AW77" i="5"/>
  <c r="BA76" i="5"/>
  <c r="AZ76" i="5"/>
  <c r="AY76" i="5"/>
  <c r="AX76" i="5"/>
  <c r="AW76" i="5"/>
  <c r="BA75" i="5"/>
  <c r="AZ75" i="5"/>
  <c r="AY75" i="5"/>
  <c r="AX75" i="5"/>
  <c r="AW75" i="5"/>
  <c r="BA74" i="5"/>
  <c r="AZ74" i="5"/>
  <c r="AY74" i="5"/>
  <c r="AX74" i="5"/>
  <c r="AW74" i="5"/>
  <c r="BA73" i="5"/>
  <c r="AZ73" i="5"/>
  <c r="AY73" i="5"/>
  <c r="AX73" i="5"/>
  <c r="AW73" i="5"/>
  <c r="BA72" i="5"/>
  <c r="AZ72" i="5"/>
  <c r="AY72" i="5"/>
  <c r="AX72" i="5"/>
  <c r="AW72" i="5"/>
  <c r="BA71" i="5"/>
  <c r="AZ71" i="5"/>
  <c r="AY71" i="5"/>
  <c r="AX71" i="5"/>
  <c r="AW71" i="5"/>
  <c r="BA70" i="5"/>
  <c r="AZ70" i="5"/>
  <c r="AY70" i="5"/>
  <c r="AX70" i="5"/>
  <c r="AW70" i="5"/>
  <c r="BA69" i="5"/>
  <c r="AZ69" i="5"/>
  <c r="AY69" i="5"/>
  <c r="AX69" i="5"/>
  <c r="AW69" i="5"/>
  <c r="BA68" i="5"/>
  <c r="AZ68" i="5"/>
  <c r="AY68" i="5"/>
  <c r="AX68" i="5"/>
  <c r="AW68" i="5"/>
  <c r="BA67" i="5"/>
  <c r="AZ67" i="5"/>
  <c r="AY67" i="5"/>
  <c r="AX67" i="5"/>
  <c r="AW67" i="5"/>
  <c r="BA66" i="5"/>
  <c r="AZ66" i="5"/>
  <c r="AY66" i="5"/>
  <c r="AX66" i="5"/>
  <c r="AW66" i="5"/>
  <c r="BA65" i="5"/>
  <c r="AZ65" i="5"/>
  <c r="AY65" i="5"/>
  <c r="AX65" i="5"/>
  <c r="AW65" i="5"/>
  <c r="BA64" i="5"/>
  <c r="AZ64" i="5"/>
  <c r="AY64" i="5"/>
  <c r="AX64" i="5"/>
  <c r="AW64" i="5"/>
  <c r="BA63" i="5"/>
  <c r="AZ63" i="5"/>
  <c r="AY63" i="5"/>
  <c r="AX63" i="5"/>
  <c r="AW63" i="5"/>
  <c r="BA62" i="5"/>
  <c r="AZ62" i="5"/>
  <c r="AY62" i="5"/>
  <c r="AX62" i="5"/>
  <c r="AW62" i="5"/>
  <c r="BA61" i="5"/>
  <c r="AZ61" i="5"/>
  <c r="AY61" i="5"/>
  <c r="AX61" i="5"/>
  <c r="AW61" i="5"/>
  <c r="BA60" i="5"/>
  <c r="AZ60" i="5"/>
  <c r="AY60" i="5"/>
  <c r="AX60" i="5"/>
  <c r="AW60" i="5"/>
  <c r="AZ59" i="5"/>
  <c r="AY59" i="5"/>
  <c r="AX59" i="5"/>
  <c r="AW59" i="5"/>
  <c r="AZ58" i="5"/>
  <c r="AY58" i="5"/>
  <c r="AX58" i="5"/>
  <c r="AW58" i="5"/>
  <c r="AZ57" i="5"/>
  <c r="AY57" i="5"/>
  <c r="AX57" i="5"/>
  <c r="AW57" i="5"/>
  <c r="AZ56" i="5"/>
  <c r="AY56" i="5"/>
  <c r="AX56" i="5"/>
  <c r="AW56" i="5"/>
  <c r="AZ55" i="5"/>
  <c r="AY55" i="5"/>
  <c r="AX55" i="5"/>
  <c r="AW55" i="5"/>
  <c r="AZ54" i="5"/>
  <c r="AY54" i="5"/>
  <c r="AX54" i="5"/>
  <c r="AW54" i="5"/>
  <c r="AZ53" i="5"/>
  <c r="AY53" i="5"/>
  <c r="AX53" i="5"/>
  <c r="AW53" i="5"/>
  <c r="AZ52" i="5"/>
  <c r="AY52" i="5"/>
  <c r="AX52" i="5"/>
  <c r="AW52" i="5"/>
  <c r="AZ51" i="5"/>
  <c r="AY51" i="5"/>
  <c r="AX51" i="5"/>
  <c r="AW51" i="5"/>
  <c r="AZ50" i="5"/>
  <c r="AY50" i="5"/>
  <c r="AX50" i="5"/>
  <c r="AW50" i="5"/>
  <c r="AZ49" i="5"/>
  <c r="AY49" i="5"/>
  <c r="AX49" i="5"/>
  <c r="AW49" i="5"/>
  <c r="AZ48" i="5"/>
  <c r="AY48" i="5"/>
  <c r="AX48" i="5"/>
  <c r="AW48" i="5"/>
  <c r="BA47" i="5"/>
  <c r="AZ47" i="5"/>
  <c r="AY47" i="5"/>
  <c r="AX47" i="5"/>
  <c r="AW47" i="5"/>
  <c r="BA46" i="5"/>
  <c r="AZ46" i="5"/>
  <c r="AY46" i="5"/>
  <c r="AX46" i="5"/>
  <c r="AW46" i="5"/>
  <c r="BA45" i="5"/>
  <c r="AZ45" i="5"/>
  <c r="AY45" i="5"/>
  <c r="AX45" i="5"/>
  <c r="AW45" i="5"/>
  <c r="BA44" i="5"/>
  <c r="AZ44" i="5"/>
  <c r="AY44" i="5"/>
  <c r="AX44" i="5"/>
  <c r="AW44" i="5"/>
  <c r="BA43" i="5"/>
  <c r="AZ43" i="5"/>
  <c r="AY43" i="5"/>
  <c r="AX43" i="5"/>
  <c r="AW43" i="5"/>
  <c r="BA42" i="5"/>
  <c r="AZ42" i="5"/>
  <c r="AY42" i="5"/>
  <c r="AX42" i="5"/>
  <c r="AW42" i="5"/>
  <c r="BA41" i="5"/>
  <c r="AZ41" i="5"/>
  <c r="AY41" i="5"/>
  <c r="AX41" i="5"/>
  <c r="AW41" i="5"/>
  <c r="BA40" i="5"/>
  <c r="AZ40" i="5"/>
  <c r="AY40" i="5"/>
  <c r="AX40" i="5"/>
  <c r="AW40" i="5"/>
  <c r="BA39" i="5"/>
  <c r="AZ39" i="5"/>
  <c r="AY39" i="5"/>
  <c r="AX39" i="5"/>
  <c r="AW39" i="5"/>
  <c r="BA38" i="5"/>
  <c r="AZ38" i="5"/>
  <c r="AY38" i="5"/>
  <c r="AX38" i="5"/>
  <c r="AW38" i="5"/>
  <c r="BA37" i="5"/>
  <c r="AZ37" i="5"/>
  <c r="AY37" i="5"/>
  <c r="AX37" i="5"/>
  <c r="AW37" i="5"/>
  <c r="BA36" i="5"/>
  <c r="AZ36" i="5"/>
  <c r="AY36" i="5"/>
  <c r="AX36" i="5"/>
  <c r="AW36" i="5"/>
  <c r="BA35" i="5"/>
  <c r="AZ35" i="5"/>
  <c r="AY35" i="5"/>
  <c r="AX35" i="5"/>
  <c r="AW35" i="5"/>
  <c r="BA34" i="5"/>
  <c r="AZ34" i="5"/>
  <c r="AY34" i="5"/>
  <c r="AX34" i="5"/>
  <c r="AW34" i="5"/>
  <c r="BA33" i="5"/>
  <c r="AZ33" i="5"/>
  <c r="AY33" i="5"/>
  <c r="AX33" i="5"/>
  <c r="AW33" i="5"/>
  <c r="BA32" i="5"/>
  <c r="AZ32" i="5"/>
  <c r="AY32" i="5"/>
  <c r="AX32" i="5"/>
  <c r="AW32" i="5"/>
  <c r="BA31" i="5"/>
  <c r="AZ31" i="5"/>
  <c r="AY31" i="5"/>
  <c r="AX31" i="5"/>
  <c r="AW31" i="5"/>
  <c r="BA30" i="5"/>
  <c r="AZ30" i="5"/>
  <c r="AY30" i="5"/>
  <c r="AX30" i="5"/>
  <c r="AW30" i="5"/>
  <c r="BA29" i="5"/>
  <c r="AZ29" i="5"/>
  <c r="AY29" i="5"/>
  <c r="AX29" i="5"/>
  <c r="AW29" i="5"/>
  <c r="BA28" i="5"/>
  <c r="AZ28" i="5"/>
  <c r="AY28" i="5"/>
  <c r="AX28" i="5"/>
  <c r="AW28" i="5"/>
  <c r="BA27" i="5"/>
  <c r="AZ27" i="5"/>
  <c r="AY27" i="5"/>
  <c r="AX27" i="5"/>
  <c r="AW27" i="5"/>
  <c r="BA26" i="5"/>
  <c r="AZ26" i="5"/>
  <c r="AY26" i="5"/>
  <c r="AX26" i="5"/>
  <c r="AW26" i="5"/>
  <c r="BA25" i="5"/>
  <c r="AZ25" i="5"/>
  <c r="AY25" i="5"/>
  <c r="AX25" i="5"/>
  <c r="AW25" i="5"/>
  <c r="BA24" i="5"/>
  <c r="AZ24" i="5"/>
  <c r="AY24" i="5"/>
  <c r="AX24" i="5"/>
  <c r="AW24" i="5"/>
  <c r="BA23" i="5"/>
  <c r="AZ23" i="5"/>
  <c r="AY23" i="5"/>
  <c r="AX23" i="5"/>
  <c r="AW23" i="5"/>
  <c r="AZ22" i="5"/>
  <c r="AY22" i="5"/>
  <c r="AX22" i="5"/>
  <c r="AW22" i="5"/>
  <c r="AZ21" i="5"/>
  <c r="AY21" i="5"/>
  <c r="AX21" i="5"/>
  <c r="AW21" i="5"/>
  <c r="AZ20" i="5"/>
  <c r="AY20" i="5"/>
  <c r="AX20" i="5"/>
  <c r="AW20" i="5"/>
  <c r="AZ19" i="5"/>
  <c r="AY19" i="5"/>
  <c r="AX19" i="5"/>
  <c r="AW19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19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9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20" i="5"/>
  <c r="H21" i="5"/>
  <c r="H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H19" i="5"/>
  <c r="L134" i="5"/>
  <c r="L135" i="5"/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<sst xmlns="http://schemas.openxmlformats.org/spreadsheetml/2006/main" count="528" uniqueCount="173">
  <si>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</si>
  <si>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</si>
  <si>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</si>
  <si>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</si>
  <si>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</si>
  <si>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</si>
  <si>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</si>
  <si>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</si>
  <si>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</si>
  <si>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</si>
  <si>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</si>
  <si>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</si>
  <si>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</si>
  <si>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</si>
  <si>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</si>
  <si>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</si>
  <si>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</si>
  <si>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</si>
  <si>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</si>
  <si>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</si>
  <si>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</si>
  <si>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</si>
  <si>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</si>
  <si>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</si>
  <si>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</si>
  <si>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</si>
  <si>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</si>
  <si>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</si>
  <si>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</si>
  <si>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</si>
  <si>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</si>
  <si>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</si>
  <si>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</si>
  <si>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</si>
  <si>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</si>
  <si>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</si>
  <si>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</si>
  <si>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</si>
  <si>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</si>
  <si>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</si>
  <si>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</si>
  <si>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</si>
  <si>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</si>
  <si>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</si>
  <si>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</si>
  <si>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</si>
  <si>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</si>
  <si>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</si>
  <si>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</si>
  <si>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</si>
  <si>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</si>
  <si>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</si>
  <si>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</si>
  <si>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</si>
  <si>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</si>
  <si>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</si>
  <si>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</si>
  <si>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</si>
  <si>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</si>
  <si>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</si>
  <si>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</si>
  <si>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</si>
  <si>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</si>
  <si>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</si>
  <si>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</si>
  <si>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</si>
  <si>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</si>
  <si>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</si>
  <si>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</si>
  <si>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</si>
  <si>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</si>
  <si>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</si>
  <si>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</si>
  <si>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</si>
  <si>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</si>
  <si>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</si>
  <si>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</si>
  <si>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</si>
  <si>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</si>
  <si>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</si>
  <si>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</si>
  <si>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</si>
  <si>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</si>
  <si>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</si>
  <si>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</si>
  <si>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</si>
  <si>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</si>
  <si>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</si>
  <si>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</si>
  <si>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</si>
  <si>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</si>
  <si>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</si>
  <si>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</si>
  <si>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</si>
  <si>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</si>
  <si>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</si>
  <si>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</si>
  <si>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</si>
  <si>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</si>
  <si>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</si>
  <si>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</si>
  <si>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</si>
  <si>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</si>
  <si>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</si>
  <si>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</si>
  <si>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</si>
  <si>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</si>
  <si>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</si>
  <si>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</si>
  <si>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</si>
  <si>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</si>
  <si>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</si>
  <si>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</si>
  <si>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</si>
  <si>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</si>
  <si>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</si>
  <si>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</si>
  <si>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</si>
  <si>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</si>
  <si>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</si>
  <si>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</si>
  <si>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</si>
  <si>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</si>
  <si>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</si>
  <si>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</si>
  <si>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</si>
  <si>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</si>
  <si>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</si>
  <si>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</si>
  <si>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</si>
  <si>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</si>
  <si>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</si>
  <si>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</si>
  <si>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</si>
  <si>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</si>
  <si>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ID</t>
  </si>
  <si>
    <t>Description</t>
  </si>
  <si>
    <t>Elevation [mLAT]</t>
  </si>
  <si>
    <t>SCF [mm]</t>
  </si>
  <si>
    <t>Location</t>
  </si>
  <si>
    <t>Opening factor</t>
  </si>
  <si>
    <t>I</t>
  </si>
  <si>
    <t>g</t>
  </si>
  <si>
    <t>O</t>
  </si>
  <si>
    <t>o</t>
  </si>
  <si>
    <t>n</t>
  </si>
  <si>
    <t>Top [mLAT]</t>
  </si>
  <si>
    <t>Bottom [mLAT]</t>
  </si>
  <si>
    <t>D, top [m]</t>
  </si>
  <si>
    <t>D, bottom [m]</t>
  </si>
  <si>
    <t>t [mm]</t>
  </si>
  <si>
    <t>None</t>
  </si>
  <si>
    <t xml:space="preserve">TP  </t>
  </si>
  <si>
    <t>TP1-01</t>
  </si>
  <si>
    <t>MAP support</t>
  </si>
  <si>
    <t xml:space="preserve">TP1-02 </t>
  </si>
  <si>
    <t xml:space="preserve"> Cable opening </t>
  </si>
  <si>
    <t xml:space="preserve">TP1-03 </t>
  </si>
  <si>
    <t xml:space="preserve"> Access ladder support </t>
  </si>
  <si>
    <t xml:space="preserve">TP1-04 </t>
  </si>
  <si>
    <t xml:space="preserve"> Service Platform </t>
  </si>
  <si>
    <t xml:space="preserve">TP1-05 </t>
  </si>
  <si>
    <t xml:space="preserve"> Ventilation Opening </t>
  </si>
  <si>
    <t>TP4-01</t>
  </si>
  <si>
    <t xml:space="preserve"> ICCP Cable opening </t>
  </si>
  <si>
    <t>TP4-02</t>
  </si>
  <si>
    <t xml:space="preserve"> ICCP Cable pipe support </t>
  </si>
  <si>
    <t>TP4-03</t>
  </si>
  <si>
    <t>TP5-01</t>
  </si>
  <si>
    <t>Stud Bolting Platform</t>
  </si>
  <si>
    <t>TP4-04</t>
  </si>
  <si>
    <t>Stud Junction Box Platform</t>
  </si>
  <si>
    <t>1_4_3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</si>
</sst>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4" fontId="1" fillId="0" borderId="0"/>
  </cellStyleXfs>
  <cellXfs count="106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right"/>
    </xf>
    <xf numFmtId="0" fontId="12" fillId="0" borderId="0" xfId="0" applyFont="1"/>
    <xf numFmtId="0" fontId="3" fillId="0" borderId="0" xfId="0" applyFont="1"/>
    <xf numFmtId="168" fontId="0" fillId="0" borderId="0" xfId="0" applyNumberFormat="1"/>
    <xf numFmtId="0" fontId="0" fillId="17" borderId="0" xfId="0" applyFill="1"/>
    <xf numFmtId="0" fontId="12" fillId="17" borderId="0" xfId="0" applyFont="1" applyFill="1"/>
    <xf numFmtId="0" fontId="5" fillId="0" borderId="0" xfId="0" applyFont="1"/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0" borderId="0" xfId="0" applyFill="1"/>
    <xf numFmtId="0" fontId="4" fillId="0" borderId="0" xfId="0" applyFont="1" applyFill="1"/>
  </cellXfs>
  <cellStyles count="2">
    <cellStyle name="Standard" xfId="0" builtinId="0"/>
    <cellStyle name="Standard 4" xfId="1" xr:uid="{7C2E7282-4006-4D40-8AAC-8E6944058B8E}"/>
  </cellStyles>
  <dxfs count="14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0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1_4_3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6" noThreeD="1" sel="2" val="0">
  <itemLst>
    <item val="24A535_FEED_DP-A1_L0_G0_S0"/>
    <item val="1_4_3"/>
  </itemLst>
</formControlPr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160020</xdr:rowOff>
        </xdr:from>
        <xdr:to>
          <xdr:col>2</xdr:col>
          <xdr:colOff>678180</xdr:colOff>
          <xdr:row>9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7</xdr:row>
          <xdr:rowOff>30480</xdr:rowOff>
        </xdr:from>
        <xdr:to>
          <xdr:col>1</xdr:col>
          <xdr:colOff>800100</xdr:colOff>
          <xdr:row>7</xdr:row>
          <xdr:rowOff>259080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11</xdr:row>
          <xdr:rowOff>22860</xdr:rowOff>
        </xdr:from>
        <xdr:to>
          <xdr:col>14</xdr:col>
          <xdr:colOff>1341120</xdr:colOff>
          <xdr:row>15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281940</xdr:colOff>
          <xdr:row>11</xdr:row>
          <xdr:rowOff>30480</xdr:rowOff>
        </xdr:from>
        <xdr:to>
          <xdr:col>9</xdr:col>
          <xdr:colOff>784860</xdr:colOff>
          <xdr:row>15</xdr:row>
          <xdr:rowOff>160020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11</xdr:row>
          <xdr:rowOff>22860</xdr:rowOff>
        </xdr:from>
        <xdr:to>
          <xdr:col>12</xdr:col>
          <xdr:colOff>731520</xdr:colOff>
          <xdr:row>15</xdr:row>
          <xdr:rowOff>160020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38100</xdr:colOff>
          <xdr:row>8</xdr:row>
          <xdr:rowOff>160020</xdr:rowOff>
        </xdr:from>
        <xdr:to>
          <xdr:col>45</xdr:col>
          <xdr:colOff>403860</xdr:colOff>
          <xdr:row>9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30480</xdr:colOff>
          <xdr:row>7</xdr:row>
          <xdr:rowOff>30480</xdr:rowOff>
        </xdr:from>
        <xdr:to>
          <xdr:col>42</xdr:col>
          <xdr:colOff>800100</xdr:colOff>
          <xdr:row>7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38100</xdr:colOff>
          <xdr:row>11</xdr:row>
          <xdr:rowOff>22860</xdr:rowOff>
        </xdr:from>
        <xdr:to>
          <xdr:col>55</xdr:col>
          <xdr:colOff>1341120</xdr:colOff>
          <xdr:row>15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281940</xdr:colOff>
          <xdr:row>11</xdr:row>
          <xdr:rowOff>30480</xdr:rowOff>
        </xdr:from>
        <xdr:to>
          <xdr:col>50</xdr:col>
          <xdr:colOff>784860</xdr:colOff>
          <xdr:row>15</xdr:row>
          <xdr:rowOff>160020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45720</xdr:colOff>
          <xdr:row>11</xdr:row>
          <xdr:rowOff>22860</xdr:rowOff>
        </xdr:from>
        <xdr:to>
          <xdr:col>53</xdr:col>
          <xdr:colOff>731520</xdr:colOff>
          <xdr:row>15</xdr:row>
          <xdr:rowOff>160020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38100</xdr:colOff>
          <xdr:row>8</xdr:row>
          <xdr:rowOff>160020</xdr:rowOff>
        </xdr:from>
        <xdr:to>
          <xdr:col>91</xdr:col>
          <xdr:colOff>411480</xdr:colOff>
          <xdr:row>9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30480</xdr:colOff>
          <xdr:row>7</xdr:row>
          <xdr:rowOff>30480</xdr:rowOff>
        </xdr:from>
        <xdr:to>
          <xdr:col>88</xdr:col>
          <xdr:colOff>800100</xdr:colOff>
          <xdr:row>7</xdr:row>
          <xdr:rowOff>259080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38100</xdr:colOff>
          <xdr:row>11</xdr:row>
          <xdr:rowOff>22860</xdr:rowOff>
        </xdr:from>
        <xdr:to>
          <xdr:col>101</xdr:col>
          <xdr:colOff>1341120</xdr:colOff>
          <xdr:row>15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281940</xdr:colOff>
          <xdr:row>11</xdr:row>
          <xdr:rowOff>30480</xdr:rowOff>
        </xdr:from>
        <xdr:to>
          <xdr:col>96</xdr:col>
          <xdr:colOff>784860</xdr:colOff>
          <xdr:row>15</xdr:row>
          <xdr:rowOff>160020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</xdr:col>
          <xdr:colOff>45720</xdr:colOff>
          <xdr:row>11</xdr:row>
          <xdr:rowOff>22860</xdr:rowOff>
        </xdr:from>
        <xdr:to>
          <xdr:col>99</xdr:col>
          <xdr:colOff>731520</xdr:colOff>
          <xdr:row>15</xdr:row>
          <xdr:rowOff>160020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10</xdr:row>
          <xdr:rowOff>0</xdr:rowOff>
        </xdr:from>
        <xdr:to>
          <xdr:col>2</xdr:col>
          <xdr:colOff>99060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22860</xdr:rowOff>
        </xdr:from>
        <xdr:to>
          <xdr:col>3</xdr:col>
          <xdr:colOff>601980</xdr:colOff>
          <xdr:row>12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2:G13" totalsRowShown="0" dataDxfId="137">
  <autoFilter ref="B12:G13" xr:uid="{51AF5F9E-A6E5-4BA1-83BE-2546351DAE06}"/>
  <tableColumns count="6">
    <tableColumn id="1" xr3:uid="{8004DE55-01A0-4AB5-A007-D379F8ED184F}" name="Identifier" dataDxfId="136"/>
    <tableColumn id="2" xr3:uid="{73AEE22B-B9CF-4401-B31E-64902257C6A9}" name="Project ID" dataDxfId="135"/>
    <tableColumn id="3" xr3:uid="{6CD7BEF9-707B-4F7D-A334-46DB51B6F454}" name="Phase" dataDxfId="134"/>
    <tableColumn id="4" xr3:uid="{5572AB9F-884A-4001-85E7-5E708A2DFC71}" name="Structure ID" dataDxfId="133"/>
    <tableColumn id="5" xr3:uid="{AFCB5F1D-C5C1-4D21-A7C0-310C0D52F9E4}" name="waterdepth" dataDxfId="132"/>
    <tableColumn id="6" xr3:uid="{149EEBB8-62A5-42C4-97FD-484848DB0825}" name="comments" dataDxfId="1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15:G16" totalsRowShown="0" dataDxfId="130">
  <autoFilter ref="B15:G16" xr:uid="{58117B73-5FCA-4002-A528-31B3F83BDE75}"/>
  <tableColumns count="6">
    <tableColumn id="1" xr3:uid="{5C484AAB-AA0F-4FBD-9543-28D80EB7F84D}" name="Identifier" dataDxfId="129"/>
    <tableColumn id="2" xr3:uid="{87603448-795E-499B-8754-D6455D5FF52F}" name="Project ID" dataDxfId="128"/>
    <tableColumn id="3" xr3:uid="{51EA6487-4EF3-43A9-B440-34893EEEEAB2}" name="Phase" dataDxfId="127"/>
    <tableColumn id="4" xr3:uid="{4AC48BB5-6D2E-492F-89B1-5662010991A8}" name="Structure ID" dataDxfId="126"/>
    <tableColumn id="5" xr3:uid="{2AE3ED2D-7CAB-45B8-AA43-6197A5DBB9C2}" name="waterdepth" dataDxfId="125"/>
    <tableColumn id="6" xr3:uid="{BC0E3E2E-DE67-4FD9-94E9-5C112B52D3FD}" name="comments" dataDxfId="1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18:G43" totalsRowShown="0" headerRowDxfId="123" dataDxfId="122">
  <autoFilter ref="B18:G43" xr:uid="{C9C31EE9-6B44-4D67-9597-BD108F88B355}"/>
  <sortState xmlns:xlrd2="http://schemas.microsoft.com/office/spreadsheetml/2017/richdata2" ref="B19:L43">
    <sortCondition ref="B18:B43"/>
  </sortState>
  <tableColumns count="6">
    <tableColumn id="1" xr3:uid="{15F53C56-04A7-4EA4-A64D-A2A5A78E2AA2}" name="Section" dataDxfId="121"/>
    <tableColumn id="2" xr3:uid="{01B5124C-F6E1-40D2-9236-F2D6BE941DD3}" name="Top [mLAT]" dataDxfId="120"/>
    <tableColumn id="3" xr3:uid="{0537C90E-D320-4AC4-8392-2A7C45CE31A1}" name="Bottom [mLAT]" dataDxfId="119"/>
    <tableColumn id="4" xr3:uid="{3F0DC3DB-26F8-4D70-A358-70EF5E1596F5}" name="D, top [m]" dataDxfId="118"/>
    <tableColumn id="5" xr3:uid="{25F6B1D8-AC49-468F-BDCD-72AC07BB3CD0}" name="D, bottom [m]" dataDxfId="117"/>
    <tableColumn id="6" xr3:uid="{3ED99EE5-BCA8-4244-A3E5-81C6F22A9AB2}" name="t [mm]" dataDxfId="1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U12:Z13" totalsRowShown="0">
  <autoFilter ref="U12:Z13" xr:uid="{F46B677D-4D25-4464-BE0D-6A1E644518C5}"/>
  <tableColumns count="6">
    <tableColumn id="1" xr3:uid="{ECD0389F-015D-412B-9FF1-D5BEAAD27FC1}" name="Identifier" dataDxfId="115"/>
    <tableColumn id="2" xr3:uid="{90794316-AE1E-4D40-A728-B5B995A9CF65}" name="Project ID"/>
    <tableColumn id="3" xr3:uid="{B8C9242D-AC32-4E57-A861-DB7E615D6A1C}" name="Phase"/>
    <tableColumn id="4" xr3:uid="{1EEB510B-3010-431D-B8C6-870D9180A629}" name="Structure ID"/>
    <tableColumn id="5" xr3:uid="{B6F5C20C-83C1-4B16-B4D3-933D066BB6A0}" name="waterdepth"/>
    <tableColumn id="6" xr3:uid="{26EA3A2D-14E0-4809-9795-74592B4984AD}" name="com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J12:AO14" totalsRowShown="0" dataDxfId="114">
  <autoFilter ref="AJ12:AO14" xr:uid="{46FD7C67-BF9C-41F4-B134-682EDE7A007C}"/>
  <sortState xmlns:xlrd2="http://schemas.microsoft.com/office/spreadsheetml/2017/richdata2" ref="AJ13:AN14">
    <sortCondition descending="1" ref="AL12:AL14"/>
  </sortState>
  <tableColumns count="6">
    <tableColumn id="1" xr3:uid="{43AB1C43-FBC5-42AE-8DFA-4651B77C56A0}" name="Identifier" dataDxfId="113"/>
    <tableColumn id="2" xr3:uid="{75FB6F15-9784-4F9D-9947-41C8E7DD1CC9}" name="Project ID" dataDxfId="112"/>
    <tableColumn id="3" xr3:uid="{DF3379D9-9371-4EDE-B715-A6A40C072275}" name="Phase" dataDxfId="111"/>
    <tableColumn id="4" xr3:uid="{B2F66CA1-64D8-49D4-A1DA-28FD14EC75C2}" name="Structure ID" dataDxfId="110"/>
    <tableColumn id="5" xr3:uid="{E0EC4989-22E7-49A3-8DAC-034A87568E19}" name="waterdepth" dataDxfId="109"/>
    <tableColumn id="6" xr3:uid="{9873A46F-D488-4AA7-BC64-C1E65C65D808}" name="comments" dataDxfId="10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U18:Z43" totalsRowShown="0" headerRowDxfId="107" dataDxfId="106">
  <autoFilter ref="U18:Z43" xr:uid="{186CFF05-2CD9-405C-829A-5AD7B62A8ACE}"/>
  <sortState xmlns:xlrd2="http://schemas.microsoft.com/office/spreadsheetml/2017/richdata2" ref="U19:AE43">
    <sortCondition ref="U18:U43"/>
  </sortState>
  <tableColumns count="6">
    <tableColumn id="1" xr3:uid="{66D6C4E1-74CA-4A30-A085-277EA5E62B3C}" name="Section" dataDxfId="105"/>
    <tableColumn id="2" xr3:uid="{D0F6ECD2-6414-48B2-9B47-1C3B8BAC860B}" name="Top [mLAT]" dataDxfId="104"/>
    <tableColumn id="3" xr3:uid="{575FC20A-0259-4081-83F8-71040557AEA8}" name="Bottom [mLAT]" dataDxfId="103"/>
    <tableColumn id="4" xr3:uid="{529E5CD0-69F2-4E59-86A7-A3E6F1B39E96}" name="D, top [m]" dataDxfId="102"/>
    <tableColumn id="5" xr3:uid="{7F90AAFA-52D7-47DB-A99D-3E3E0AEE6541}" name="D, bottom [m]" dataDxfId="101"/>
    <tableColumn id="6" xr3:uid="{1B01547B-4485-4B79-8DB3-FCEA1C806B60}" name="t [mm]" dataDxfId="10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18:S26" totalsRowShown="0" dataDxfId="99">
  <autoFilter ref="M18:S26" xr:uid="{C2F2D263-B298-4967-B7BA-2043D2636A28}"/>
  <tableColumns count="7">
    <tableColumn id="1" xr3:uid="{65DB47FC-7B67-4F61-A4D3-B371F6C262EB}" name="ID" dataDxfId="98"/>
    <tableColumn id="2" xr3:uid="{365B74CD-D14D-4F75-ABA6-B5CBD126E6F2}" name="Description" dataDxfId="97"/>
    <tableColumn id="3" xr3:uid="{29EF80FE-079C-4A10-9ADB-03D595E35311}" name="Elevation [mLAT]" dataDxfId="96"/>
    <tableColumn id="4" xr3:uid="{84FE043F-760B-4C1A-B11C-FAAA573C0B1E}" name="SCF [mm]" dataDxfId="95"/>
    <tableColumn id="5" xr3:uid="{6864BB2B-1D26-4A82-A522-509ED744097D}" name="Location" dataDxfId="94"/>
    <tableColumn id="6" xr3:uid="{FE957CEE-1B74-4447-AEA7-3FCE5B5DB9EC}" name="Type" dataDxfId="93"/>
    <tableColumn id="7" xr3:uid="{4A69F950-39AA-4B45-A305-54DA59D04B71}" name="Opening factor" dataDxfId="9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AB18:AH26" totalsRowShown="0">
  <autoFilter ref="AB18:AH26" xr:uid="{4D5B4094-2520-4C0E-83CB-05269AAFC062}"/>
  <tableColumns count="7">
    <tableColumn id="1" xr3:uid="{C2D9CE8B-C220-46E5-BFE0-3791AC870182}" name="ID"/>
    <tableColumn id="2" xr3:uid="{1DE92BEA-EA77-4A06-9EE3-C4BCA53FA4BA}" name="Description"/>
    <tableColumn id="3" xr3:uid="{6F0C1064-8277-4D7C-890E-7B7872EA90CF}" name="Elevation [mLAT]"/>
    <tableColumn id="4" xr3:uid="{9149F43F-59DC-4016-A433-42D973B6CCB2}" name="SCF [mm]"/>
    <tableColumn id="5" xr3:uid="{22238EB5-A3AB-4C7D-B2F1-E48284A703A1}" name="Location"/>
    <tableColumn id="6" xr3:uid="{0D2800F8-15EB-4280-AA2E-703AE0795750}" name="Type"/>
    <tableColumn id="7" xr3:uid="{4120BE71-DAC9-47D5-A8D8-49791D816D2E}" name="Opening facto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Q12:AV13" totalsRowShown="0" dataDxfId="91">
  <autoFilter ref="AQ12:AV13" xr:uid="{0B04AF76-1113-4DD9-A88C-A478EB316C6E}"/>
  <tableColumns count="6">
    <tableColumn id="1" xr3:uid="{58455F34-16BF-4A81-8A57-F2B2E3E28892}" name="Identifier" dataDxfId="90"/>
    <tableColumn id="2" xr3:uid="{BDC511B7-0336-49CC-A0D7-40D96154D38D}" name="Project ID" dataDxfId="89"/>
    <tableColumn id="3" xr3:uid="{2D75BE55-2BF9-456C-AE5A-2A1218318BAA}" name="Phase" dataDxfId="88"/>
    <tableColumn id="4" xr3:uid="{2B0B47A1-6AA2-4D55-8DF5-A88A949DEAB3}" name="Structure ID" dataDxfId="87"/>
    <tableColumn id="5" xr3:uid="{24994B91-D518-4335-8AFB-5B728F5B9A9A}" name="waterdepth" dataDxfId="86"/>
    <tableColumn id="6" xr3:uid="{BC674145-8AD9-4667-B204-310C7780D8BD}" name="comments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Q15:AV16" totalsRowShown="0" dataDxfId="84">
  <autoFilter ref="AQ15:AV16" xr:uid="{05DB58A4-E4A6-44E9-9800-F1D5AD7D9AA7}"/>
  <tableColumns count="6">
    <tableColumn id="1" xr3:uid="{2E834674-089F-43C8-8D07-2A374229A7BC}" name="Identifier" dataDxfId="83"/>
    <tableColumn id="2" xr3:uid="{6BEA972F-3506-4C48-AEB4-7F07A56A7185}" name="Project ID" dataDxfId="82"/>
    <tableColumn id="3" xr3:uid="{4E216AD3-8A97-4909-B2FD-78BAAFF0AD26}" name="Phase" dataDxfId="81"/>
    <tableColumn id="4" xr3:uid="{787011D0-F0FA-4EDD-881B-22121DF4902E}" name="Structure ID" dataDxfId="80"/>
    <tableColumn id="5" xr3:uid="{2067DA19-30E8-4DC2-9605-F5989A843C96}" name="waterdepth" dataDxfId="79"/>
    <tableColumn id="6" xr3:uid="{E1008977-49E5-479B-9DB3-40A483860F73}" name="comments" dataDxfId="7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Q18:AV22" totalsRowShown="0" headerRowDxfId="77" dataDxfId="76">
  <autoFilter ref="AQ18:AV22" xr:uid="{463505FA-4645-4E01-B220-9A826ACB16FB}"/>
  <sortState xmlns:xlrd2="http://schemas.microsoft.com/office/spreadsheetml/2017/richdata2" ref="AQ19:BA43">
    <sortCondition ref="AQ18:AQ43"/>
  </sortState>
  <tableColumns count="6">
    <tableColumn id="1" xr3:uid="{B63189BD-DBD1-4507-A787-F69DD84B759C}" name="Section" dataDxfId="75"/>
    <tableColumn id="2" xr3:uid="{20DD1485-D982-4D84-8836-A1F004AD90A8}" name="Top [mLAT]" dataDxfId="74"/>
    <tableColumn id="3" xr3:uid="{A05F4E1F-5C83-413A-B9BE-2BBE3AB13A3B}" name="Bottom [mLAT]" dataDxfId="73"/>
    <tableColumn id="4" xr3:uid="{EBAC8D31-17F8-4535-9E03-9B656FFD2B81}" name="D, top [m]" dataDxfId="72"/>
    <tableColumn id="5" xr3:uid="{A4A3D92C-C993-453F-AF5C-E4B75CB27682}" name="D, bottom [m]" dataDxfId="71"/>
    <tableColumn id="6" xr3:uid="{32AD350F-83E6-4938-BC67-33A5C8B767FF}" name="t [mm]" dataDxfId="7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BJ12:BO13" totalsRowShown="0">
  <autoFilter ref="BJ12:BO13" xr:uid="{6ED14D31-21E8-495C-899A-C1BE36AC7D57}"/>
  <tableColumns count="6">
    <tableColumn id="1" xr3:uid="{DA9D700C-EEF5-42F6-A311-BAEEF88B1BB7}" name="Identifier" dataDxfId="69"/>
    <tableColumn id="2" xr3:uid="{F3154507-C41A-47B8-8944-C5C95FFA02DB}" name="Project ID"/>
    <tableColumn id="3" xr3:uid="{80771C1F-325D-4BE1-93EC-AEBADAEF8C45}" name="Phase"/>
    <tableColumn id="4" xr3:uid="{58EF9147-D484-4AD2-85BC-FC61A3DF1B06}" name="Structure ID"/>
    <tableColumn id="5" xr3:uid="{08D6C2E1-6DB9-491C-8175-4D57250F03F8}" name="waterdepth"/>
    <tableColumn id="6" xr3:uid="{6D129076-7D09-47E2-9F0F-2301ACE416A2}" name="commen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Y12:CD14" totalsRowShown="0" dataDxfId="68">
  <autoFilter ref="BY12:CD14" xr:uid="{C3895FE4-33B0-49A8-99F6-25EAD4C42C05}"/>
  <sortState xmlns:xlrd2="http://schemas.microsoft.com/office/spreadsheetml/2017/richdata2" ref="BY13:CC14">
    <sortCondition descending="1" ref="CA12:CA14"/>
  </sortState>
  <tableColumns count="6">
    <tableColumn id="1" xr3:uid="{39574F94-1416-4BF2-B8F9-333B3F24B77C}" name="Identifier" dataDxfId="67"/>
    <tableColumn id="2" xr3:uid="{10221FF0-6669-415E-A4C9-1A925A636E0E}" name="Project ID" dataDxfId="66"/>
    <tableColumn id="3" xr3:uid="{51ED7DEE-637C-4EB3-BD51-712CBF1C3A3F}" name="Phase" dataDxfId="65"/>
    <tableColumn id="4" xr3:uid="{1FA8653A-38E1-49B7-812A-65D83A87164E}" name="Structure ID" dataDxfId="64"/>
    <tableColumn id="5" xr3:uid="{6C9EA130-8028-4AEB-8FB2-AF4D80F48270}" name="waterdepth" dataDxfId="63"/>
    <tableColumn id="6" xr3:uid="{83CD3E29-C555-4D73-9F88-767BB7CFEAA2}" name="comments" dataDxfId="6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BJ18:BO22" totalsRowShown="0" headerRowDxfId="61" dataDxfId="60">
  <autoFilter ref="BJ18:BO22" xr:uid="{62A1D9C7-47A9-4F63-8343-1C661E8816F7}"/>
  <sortState xmlns:xlrd2="http://schemas.microsoft.com/office/spreadsheetml/2017/richdata2" ref="BJ19:BT43">
    <sortCondition ref="BJ18:BJ43"/>
  </sortState>
  <tableColumns count="6">
    <tableColumn id="1" xr3:uid="{E243C011-FF5E-4AF1-A1B3-9F3C7CF7C9AA}" name="Section" dataDxfId="59"/>
    <tableColumn id="2" xr3:uid="{00F60C63-2770-42C2-B48C-5D66D3C52BC7}" name="Top [mLAT]" dataDxfId="58"/>
    <tableColumn id="3" xr3:uid="{B0C70BDD-2B8F-4EF1-9287-C431F103B9ED}" name="Bottom [mLAT]" dataDxfId="57"/>
    <tableColumn id="4" xr3:uid="{5762D413-3034-4D8C-93B6-FD4630B02B90}" name="D, top [m]" dataDxfId="56"/>
    <tableColumn id="5" xr3:uid="{14D973BE-EA8A-4E59-909A-5E1466E24A50}" name="D, bottom [m]" dataDxfId="55"/>
    <tableColumn id="6" xr3:uid="{7BFD2029-1F5C-43ED-A6F8-296E86962F79}" name="t [mm]" dataDxfId="5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BB18:BH28" totalsRowShown="0" dataDxfId="53">
  <autoFilter ref="BB18:BH28" xr:uid="{EF6AB3BF-A5B9-4898-A2AA-B1E2D904FCE0}"/>
  <tableColumns count="7">
    <tableColumn id="1" xr3:uid="{1A53106D-E4B7-4076-A33D-6CE63AD9AC29}" name="ID" dataDxfId="52"/>
    <tableColumn id="2" xr3:uid="{9D7DAE9F-A86B-4D74-801F-55226E9F4D94}" name="Description" dataDxfId="51"/>
    <tableColumn id="3" xr3:uid="{3FD5DC94-754D-4B55-A30B-0CF2D12CDE7F}" name="Elevation [mLAT]" dataDxfId="50"/>
    <tableColumn id="4" xr3:uid="{57564348-D2FF-417F-AE7A-333C7E4F350A}" name="SCF [mm]" dataDxfId="49"/>
    <tableColumn id="5" xr3:uid="{FB22768C-3853-4DB2-B9DA-613D92842786}" name="Location" dataDxfId="48"/>
    <tableColumn id="6" xr3:uid="{0E3A1071-1E3E-4DCD-BDCF-A9C1C4536538}" name="Type" dataDxfId="47"/>
    <tableColumn id="7" xr3:uid="{48F04314-945A-4DAD-A9CF-F7C1D2F993E4}" name="Opening factor" dataDxfId="4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Q18:BW28" totalsRowShown="0">
  <autoFilter ref="BQ18:BW28" xr:uid="{6190E545-CB48-44A3-A5CA-9A97C610D06A}"/>
  <tableColumns count="7">
    <tableColumn id="1" xr3:uid="{1CD0DD89-8DB0-4FF9-B740-5D74EB586B63}" name="ID"/>
    <tableColumn id="2" xr3:uid="{229F8007-E6CC-45A8-B672-6374F80B1923}" name="Description"/>
    <tableColumn id="3" xr3:uid="{23823EA6-A689-44B2-958B-8A7D00EFF106}" name="Elevation [mLAT]"/>
    <tableColumn id="4" xr3:uid="{15C01C80-29FA-4A1A-88F0-20FB8883A007}" name="SCF [mm]"/>
    <tableColumn id="5" xr3:uid="{E0636A47-2639-462C-A05E-DE7C27E75B52}" name="Location"/>
    <tableColumn id="6" xr3:uid="{459B16F6-ACCA-4B6E-8786-87A8536680DF}" name="Type"/>
    <tableColumn id="7" xr3:uid="{562CA817-586E-4A61-B6E8-FAF87D8B1962}" name="Opening factor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CK12:CP13" totalsRowShown="0" dataDxfId="15">
  <autoFilter ref="CK12:CP13" xr:uid="{570D3808-2D33-45AA-AE67-BB82CAED07EC}"/>
  <tableColumns count="6">
    <tableColumn id="1" xr3:uid="{CCDDEDAF-7D35-44BE-9711-5BB94A7933B5}" name="Identifier" dataDxfId="21"/>
    <tableColumn id="2" xr3:uid="{A6622A20-5B2E-4695-A263-CDE9418E44CF}" name="Project ID" dataDxfId="20"/>
    <tableColumn id="3" xr3:uid="{352D7C0A-3620-4627-BAFA-7328A9D0D37D}" name="Phase" dataDxfId="19"/>
    <tableColumn id="4" xr3:uid="{B321ED1F-34C0-412F-A702-8500F62ECCC6}" name="Structure ID" dataDxfId="18"/>
    <tableColumn id="5" xr3:uid="{80D47030-3591-4982-92EF-BACC66E1FE86}" name="waterdepth" dataDxfId="17"/>
    <tableColumn id="6" xr3:uid="{EF78C918-5D9E-4AE9-872B-673153622FEA}" name="comments" dataDxf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CK15:CP16" totalsRowShown="0" dataDxfId="45">
  <autoFilter ref="CK15:CP16" xr:uid="{35A6DD8B-1B03-4405-8692-950A70C42223}"/>
  <tableColumns count="6">
    <tableColumn id="1" xr3:uid="{1E986C31-3F41-4D2E-A5B3-1F241849BF8F}" name="Identifier" dataDxfId="44"/>
    <tableColumn id="2" xr3:uid="{BFA6A302-1312-44A9-9D24-00404B96F93D}" name="Project ID" dataDxfId="43"/>
    <tableColumn id="3" xr3:uid="{6FC4FB3D-D4AD-4191-B505-D0037CFE0AE6}" name="Phase" dataDxfId="42"/>
    <tableColumn id="4" xr3:uid="{869514EC-8FC7-48A8-9C17-94321EE95FF7}" name="Structure ID" dataDxfId="41"/>
    <tableColumn id="5" xr3:uid="{863DC3E8-E570-4145-B742-09AB28340D03}" name="waterdepth" dataDxfId="40"/>
    <tableColumn id="6" xr3:uid="{9DF4DE17-029C-4704-967A-33C81C46070E}" name="comments" dataDxfId="3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CK18:CP22" totalsRowShown="0" headerRowDxfId="38" dataDxfId="8">
  <autoFilter ref="CK18:CP22" xr:uid="{6CCFBE8E-EBFA-4AA0-A18D-3AB7BDB6B464}"/>
  <sortState xmlns:xlrd2="http://schemas.microsoft.com/office/spreadsheetml/2017/richdata2" ref="CK19:CU43">
    <sortCondition ref="CK18:CK43"/>
  </sortState>
  <tableColumns count="6">
    <tableColumn id="1" xr3:uid="{85C28FF3-9287-4D46-8CEF-6A66D92B23F6}" name="Section" dataDxfId="14"/>
    <tableColumn id="2" xr3:uid="{BC63B096-D7B8-47B5-B5E9-FC896BC9868B}" name="Top [mLAT]" dataDxfId="13"/>
    <tableColumn id="3" xr3:uid="{B9C7376D-FAD6-493B-8287-40DCA419DD50}" name="Bottom [mLAT]" dataDxfId="12"/>
    <tableColumn id="4" xr3:uid="{6DC756E0-08B6-443E-9B2C-8D790BB94B8D}" name="D, top [m]" dataDxfId="11"/>
    <tableColumn id="5" xr3:uid="{BBD13E2B-0AEF-41AA-A565-50855C7E6296}" name="D, bottom [m]" dataDxfId="10"/>
    <tableColumn id="6" xr3:uid="{123F9676-EB92-4044-A35A-E032C3EBF8E7}" name="t [mm]" dataDxfId="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DD12:DI13" totalsRowShown="0">
  <autoFilter ref="DD12:DI13" xr:uid="{BC714A6A-8D53-444B-883B-7E7991C4738D}"/>
  <tableColumns count="6">
    <tableColumn id="1" xr3:uid="{2851D88E-C4FF-4F89-9EC3-EAFBEA54B71F}" name="Identifier" dataDxfId="37"/>
    <tableColumn id="2" xr3:uid="{02792EA3-7910-49BB-A8F1-6C715F3370FC}" name="Project ID"/>
    <tableColumn id="3" xr3:uid="{E61B3620-9AD6-47D6-B636-C8C2AD063634}" name="Phase"/>
    <tableColumn id="4" xr3:uid="{605E5017-0F2F-4443-A933-4E5CD08A4C23}" name="Structure ID"/>
    <tableColumn id="5" xr3:uid="{BDF5F12B-CA8B-48E8-87A7-7D0364DE2FB2}" name="waterdepth"/>
    <tableColumn id="6" xr3:uid="{EE01736A-C2DC-472E-BB17-6D42BEB50FD3}" name="comment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DS12:DX14" totalsRowShown="0" dataDxfId="36">
  <autoFilter ref="DS12:DX14" xr:uid="{B4707D43-E248-4B9D-AB58-3D0829DFBB4F}"/>
  <sortState xmlns:xlrd2="http://schemas.microsoft.com/office/spreadsheetml/2017/richdata2" ref="DS13:DW14">
    <sortCondition descending="1" ref="DU12:DU14"/>
  </sortState>
  <tableColumns count="6">
    <tableColumn id="1" xr3:uid="{7672BA03-0DF7-4E41-B249-02049D4F4A5C}" name="Identifier" dataDxfId="35"/>
    <tableColumn id="2" xr3:uid="{BCD09FD8-ED15-428C-A59B-CFD0BF079641}" name="Project ID" dataDxfId="34"/>
    <tableColumn id="3" xr3:uid="{76AFB3BE-3FC3-4189-A098-6A9EA54A5EC9}" name="Phase" dataDxfId="33"/>
    <tableColumn id="4" xr3:uid="{33378BDF-E99D-44A7-8811-811CD7F1395F}" name="Structure ID" dataDxfId="32"/>
    <tableColumn id="5" xr3:uid="{DE6D6C26-BA61-4AFF-8E06-02AD273B29E8}" name="waterdepth" dataDxfId="31"/>
    <tableColumn id="6" xr3:uid="{B865CAD0-836B-45FC-8185-9945C6562913}" name="comments" dataDxfId="3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DD18:DI22" totalsRowShown="0" headerRowDxfId="29" dataDxfId="28">
  <autoFilter ref="DD18:DI22" xr:uid="{DE222362-04CC-46F7-A72F-CA8E23DD0237}"/>
  <sortState xmlns:xlrd2="http://schemas.microsoft.com/office/spreadsheetml/2017/richdata2" ref="DD19:DN43">
    <sortCondition ref="DD18:DD43"/>
  </sortState>
  <tableColumns count="6">
    <tableColumn id="1" xr3:uid="{A9C701CB-47B4-48F4-AFAB-2A8641408C96}" name="Section" dataDxfId="27"/>
    <tableColumn id="2" xr3:uid="{B6685CB3-8DE6-43F6-B6B6-9EE349AFDB7E}" name="Top [mLAT]" dataDxfId="26"/>
    <tableColumn id="3" xr3:uid="{DF0BDC05-BDC5-4912-B19E-FE92634C630E}" name="Bottom [mLAT]" dataDxfId="25"/>
    <tableColumn id="4" xr3:uid="{FE62A509-C225-4EE7-9E1A-92FB7B34D915}" name="D, top [m]" dataDxfId="24"/>
    <tableColumn id="5" xr3:uid="{40198B9A-CE5F-48D3-B6CF-9F426B6E0187}" name="D, bottom [m]" dataDxfId="23"/>
    <tableColumn id="6" xr3:uid="{9098A7F1-A089-4645-9946-FA698633501A}" name="t [mm]" dataDxfId="2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V18:DB28" totalsRowShown="0" dataDxfId="0">
  <autoFilter ref="CV18:DB28" xr:uid="{E785A247-6678-47FD-8A48-16CD1A0703D0}"/>
  <tableColumns count="7">
    <tableColumn id="1" xr3:uid="{D015FF14-679F-4C4B-AD11-FD169A799F7D}" name="ID" dataDxfId="7"/>
    <tableColumn id="2" xr3:uid="{F6B0D10D-7C44-41C3-9301-C37A6304C787}" name="Description" dataDxfId="6"/>
    <tableColumn id="3" xr3:uid="{F049C52E-CCD6-4E67-9C8C-52FA82F691D9}" name="Elevation [mLAT]" dataDxfId="5"/>
    <tableColumn id="4" xr3:uid="{B9B59CAD-5A6D-4DF3-B2C8-E15AC82C2F85}" name="SCF [mm]" dataDxfId="4"/>
    <tableColumn id="5" xr3:uid="{C96B386D-E079-49B1-9162-56EAC063EA95}" name="Location" dataDxfId="3"/>
    <tableColumn id="6" xr3:uid="{262067FC-2B59-42EE-9454-0E9073C3105B}" name="Type" dataDxfId="2"/>
    <tableColumn id="7" xr3:uid="{4315A331-5FFD-4500-839C-4AD5ED0C46FE}" name="Opening factor" dataDxfId="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DK18:DQ28" totalsRowShown="0">
  <autoFilter ref="DK18:DQ28" xr:uid="{3F664A08-9F40-4B2F-8151-7F221D68F245}"/>
  <tableColumns count="7">
    <tableColumn id="1" xr3:uid="{D4114F81-D70E-4B19-A7AB-C51B4DC07220}" name="ID"/>
    <tableColumn id="2" xr3:uid="{55470CA8-68EE-4770-B151-4A1CCF576822}" name="Description"/>
    <tableColumn id="3" xr3:uid="{78453B6F-A529-4D07-BA22-75B01F2D871E}" name="Elevation [mLAT]"/>
    <tableColumn id="4" xr3:uid="{B93BD48C-1B24-4F04-B448-3FFE2850A43E}" name="SCF [mm]"/>
    <tableColumn id="5" xr3:uid="{D7C3ED3E-89FA-4047-919A-5E281A55798A}" name="Location"/>
    <tableColumn id="6" xr3:uid="{629B14B0-5302-438C-B842-3D2AA9CAD2A4}" name="Type"/>
    <tableColumn id="7" xr3:uid="{8CED3B24-410F-4920-AE67-B3A15EEA382C}" name="Opening fa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table" Target="../tables/table7.xml"/><Relationship Id="rId39" Type="http://schemas.openxmlformats.org/officeDocument/2006/relationships/table" Target="../tables/table20.xml"/><Relationship Id="rId21" Type="http://schemas.openxmlformats.org/officeDocument/2006/relationships/table" Target="../tables/table2.xml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0" Type="http://schemas.openxmlformats.org/officeDocument/2006/relationships/table" Target="../tables/table1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24" Type="http://schemas.openxmlformats.org/officeDocument/2006/relationships/table" Target="../tables/table5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table" Target="../tables/table4.xml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12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table" Target="../tables/table3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43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table" Target="../tables/table6.xml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G30" sqref="G30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6" x14ac:dyDescent="0.3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" thickBot="1" x14ac:dyDescent="0.35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3">
      <c r="A4" s="53"/>
      <c r="B4" s="89" t="s">
        <v>55</v>
      </c>
      <c r="C4" s="90"/>
      <c r="D4" s="91"/>
      <c r="E4" s="52"/>
      <c r="F4" s="92" t="s">
        <v>39</v>
      </c>
      <c r="G4" s="93"/>
      <c r="H4" s="93"/>
      <c r="I4" s="94"/>
      <c r="J4" s="52"/>
      <c r="K4" s="95" t="s">
        <v>56</v>
      </c>
      <c r="L4" s="96"/>
      <c r="M4" s="97"/>
      <c r="N4" s="52"/>
      <c r="O4" s="53"/>
      <c r="P4" s="52"/>
      <c r="Q4" s="52"/>
      <c r="R4" s="51"/>
    </row>
    <row r="5" spans="1:24" x14ac:dyDescent="0.3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3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3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3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3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3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3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" thickBot="1" x14ac:dyDescent="0.35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" thickBot="1" x14ac:dyDescent="0.35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3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3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3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" thickBot="1" x14ac:dyDescent="0.35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3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3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3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3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3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3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3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3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3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3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3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3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3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3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3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3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3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3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3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3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3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3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3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3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3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3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3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3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3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3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3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3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3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3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3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3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3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3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3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3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3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3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3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3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3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3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3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3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" thickBot="1" x14ac:dyDescent="0.35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6:DX162"/>
  <sheetViews>
    <sheetView tabSelected="1" topLeftCell="DU1" zoomScale="85" zoomScaleNormal="85" workbookViewId="0">
      <selection activeCell="EH37" sqref="EH37"/>
    </sheetView>
  </sheetViews>
  <sheetFormatPr baseColWidth="10" defaultColWidth="11.33203125" defaultRowHeight="14.4" outlineLevelCol="1" x14ac:dyDescent="0.3"/>
  <cols>
    <col min="1" max="1" width="43.33203125" customWidth="1"/>
    <col min="2" max="2" width="30.33203125" customWidth="1"/>
    <col min="3" max="3" width="12.6640625" customWidth="1"/>
    <col min="5" max="5" width="14.5546875" customWidth="1"/>
    <col min="6" max="10" width="11.33203125" customWidth="1"/>
    <col min="11" max="11" width="11.88671875" customWidth="1"/>
    <col min="12" max="12" width="12.33203125" customWidth="1"/>
    <col min="13" max="13" width="11.33203125" customWidth="1"/>
    <col min="14" max="14" width="16.33203125" customWidth="1"/>
    <col min="15" max="15" width="22.44140625" customWidth="1"/>
    <col min="16" max="16" width="14.109375" customWidth="1"/>
    <col min="17" max="17" width="13.44140625" customWidth="1"/>
    <col min="19" max="19" width="20.44140625" customWidth="1"/>
    <col min="21" max="21" width="11.33203125" hidden="1" customWidth="1" outlineLevel="1"/>
    <col min="22" max="22" width="12.6640625" hidden="1" customWidth="1" outlineLevel="1"/>
    <col min="23" max="23" width="11.33203125" hidden="1" customWidth="1" outlineLevel="1"/>
    <col min="24" max="24" width="14.5546875" hidden="1" customWidth="1" outlineLevel="1"/>
    <col min="25" max="34" width="11.33203125" hidden="1" customWidth="1" outlineLevel="1"/>
    <col min="35" max="35" width="11.33203125" collapsed="1"/>
    <col min="36" max="36" width="28.33203125" customWidth="1"/>
    <col min="41" max="42" width="15.44140625" customWidth="1"/>
    <col min="62" max="75" width="0" hidden="1" customWidth="1" outlineLevel="1"/>
    <col min="76" max="76" width="11.33203125" collapsed="1"/>
    <col min="80" max="87" width="11.33203125" hidden="1" customWidth="1" outlineLevel="1"/>
    <col min="88" max="88" width="11.33203125" collapsed="1"/>
    <col min="108" max="121" width="0" hidden="1" customWidth="1" outlineLevel="1"/>
    <col min="122" max="122" width="11.33203125" collapsed="1"/>
  </cols>
  <sheetData>
    <row r="6" spans="1:128" ht="18" x14ac:dyDescent="0.35">
      <c r="B6" s="78" t="s">
        <v>111</v>
      </c>
      <c r="T6" t="s">
        <v>117</v>
      </c>
      <c r="AQ6" s="78" t="s">
        <v>152</v>
      </c>
      <c r="BI6" t="s">
        <v>117</v>
      </c>
      <c r="CK6" s="78" t="s">
        <v>120</v>
      </c>
      <c r="DC6" t="s">
        <v>117</v>
      </c>
    </row>
    <row r="8" spans="1:128" ht="23.4" customHeight="1" x14ac:dyDescent="0.3">
      <c r="C8" s="79" t="s">
        <v>112</v>
      </c>
      <c r="AR8" s="79" t="s">
        <v>112</v>
      </c>
      <c r="BR8" t="s">
        <v>112</v>
      </c>
      <c r="CL8" s="79" t="s">
        <v>112</v>
      </c>
    </row>
    <row r="9" spans="1:128" ht="21.6" customHeight="1" x14ac:dyDescent="0.3"/>
    <row r="12" spans="1:128" x14ac:dyDescent="0.3">
      <c r="A12" s="80" t="s">
        <v>113</v>
      </c>
      <c r="B12" t="s">
        <v>123</v>
      </c>
      <c r="C12" t="s">
        <v>124</v>
      </c>
      <c r="D12" t="s">
        <v>121</v>
      </c>
      <c r="E12" t="s">
        <v>125</v>
      </c>
      <c r="F12" t="s">
        <v>122</v>
      </c>
      <c r="G12" t="s">
        <v>126</v>
      </c>
      <c r="H12" s="81"/>
      <c r="U12" t="s">
        <v>123</v>
      </c>
      <c r="V12" t="s">
        <v>124</v>
      </c>
      <c r="W12" t="s">
        <v>121</v>
      </c>
      <c r="X12" t="s">
        <v>125</v>
      </c>
      <c r="Y12" t="s">
        <v>122</v>
      </c>
      <c r="Z12" t="s">
        <v>126</v>
      </c>
      <c r="AJ12" t="s">
        <v>123</v>
      </c>
      <c r="AK12" t="s">
        <v>124</v>
      </c>
      <c r="AL12" t="s">
        <v>121</v>
      </c>
      <c r="AM12" t="s">
        <v>125</v>
      </c>
      <c r="AN12" t="s">
        <v>122</v>
      </c>
      <c r="AO12" t="s">
        <v>126</v>
      </c>
      <c r="AQ12" t="s">
        <v>123</v>
      </c>
      <c r="AR12" t="s">
        <v>124</v>
      </c>
      <c r="AS12" t="s">
        <v>121</v>
      </c>
      <c r="AT12" t="s">
        <v>125</v>
      </c>
      <c r="AU12" t="s">
        <v>122</v>
      </c>
      <c r="AV12" t="s">
        <v>126</v>
      </c>
      <c r="AW12" s="81"/>
      <c r="BJ12" t="s">
        <v>123</v>
      </c>
      <c r="BK12" t="s">
        <v>124</v>
      </c>
      <c r="BL12" t="s">
        <v>121</v>
      </c>
      <c r="BM12" t="s">
        <v>125</v>
      </c>
      <c r="BN12" t="s">
        <v>122</v>
      </c>
      <c r="BO12" t="s">
        <v>126</v>
      </c>
      <c r="BY12" t="s">
        <v>123</v>
      </c>
      <c r="BZ12" t="s">
        <v>124</v>
      </c>
      <c r="CA12" t="s">
        <v>121</v>
      </c>
      <c r="CB12" t="s">
        <v>125</v>
      </c>
      <c r="CC12" t="s">
        <v>122</v>
      </c>
      <c r="CD12" t="s">
        <v>126</v>
      </c>
      <c r="CE12" s="88"/>
      <c r="CF12" s="88"/>
      <c r="CG12" s="88"/>
      <c r="CK12" t="s">
        <v>123</v>
      </c>
      <c r="CL12" t="s">
        <v>124</v>
      </c>
      <c r="CM12" t="s">
        <v>121</v>
      </c>
      <c r="CN12" t="s">
        <v>125</v>
      </c>
      <c r="CO12" t="s">
        <v>122</v>
      </c>
      <c r="CP12" t="s">
        <v>126</v>
      </c>
      <c r="CQ12" s="81"/>
      <c r="DD12" t="s">
        <v>123</v>
      </c>
      <c r="DE12" t="s">
        <v>124</v>
      </c>
      <c r="DF12" t="s">
        <v>121</v>
      </c>
      <c r="DG12" t="s">
        <v>125</v>
      </c>
      <c r="DH12" t="s">
        <v>122</v>
      </c>
      <c r="DI12" t="s">
        <v>126</v>
      </c>
      <c r="DS12" t="s">
        <v>123</v>
      </c>
      <c r="DT12" t="s">
        <v>124</v>
      </c>
      <c r="DU12" t="s">
        <v>121</v>
      </c>
      <c r="DV12" t="s">
        <v>125</v>
      </c>
      <c r="DW12" t="s">
        <v>122</v>
      </c>
      <c r="DX12" t="s">
        <v>126</v>
      </c>
    </row>
    <row r="13" spans="1:128" x14ac:dyDescent="0.3">
      <c r="A13" s="82" t="s">
        <v>119</v>
      </c>
      <c r="G13" s="81"/>
      <c r="H13" s="81" t="s">
        <v>131</v>
      </c>
      <c r="AJ13" t="s">
        <v>127</v>
      </c>
      <c r="AK13" t="s">
        <v>128</v>
      </c>
      <c r="AL13" t="s">
        <v>129</v>
      </c>
      <c r="AM13" t="s">
        <v>130</v>
      </c>
      <c r="AN13">
        <v>39.799999999999997</v>
      </c>
      <c r="AO13" t="s">
        <v>131</v>
      </c>
      <c r="AQ13" t="s">
        <v>172</v>
      </c>
      <c r="AR13">
        <v>1</v>
      </c>
      <c r="AS13">
        <v>4</v>
      </c>
      <c r="AT13">
        <v>3</v>
      </c>
      <c r="AU13" t="s">
        <v>151</v>
      </c>
      <c r="AV13" s="81" t="s">
        <v>151</v>
      </c>
      <c r="AW13" s="81" t="s">
        <v>131</v>
      </c>
      <c r="BJ13" t="s">
        <v>172</v>
      </c>
      <c r="BK13">
        <v>1</v>
      </c>
      <c r="BL13">
        <v>4</v>
      </c>
      <c r="BM13">
        <v>3</v>
      </c>
      <c r="BN13" t="s">
        <v>151</v>
      </c>
      <c r="BO13" t="s">
        <v>151</v>
      </c>
      <c r="BY13" t="s">
        <v>127</v>
      </c>
      <c r="BZ13" t="s">
        <v>128</v>
      </c>
      <c r="CA13" t="s">
        <v>129</v>
      </c>
      <c r="CB13" t="s">
        <v>130</v>
      </c>
      <c r="CC13">
        <v>39.799999999999997</v>
      </c>
      <c r="CD13" t="s">
        <v>131</v>
      </c>
      <c r="CK13" s="104" t="s">
        <v>172</v>
      </c>
      <c r="CL13" s="104">
        <v>1</v>
      </c>
      <c r="CM13" s="104">
        <v>4</v>
      </c>
      <c r="CN13" s="104">
        <v>3</v>
      </c>
      <c r="CO13" s="104" t="s">
        <v>151</v>
      </c>
      <c r="CP13" s="105" t="s">
        <v>151</v>
      </c>
      <c r="CQ13" s="81" t="s">
        <v>131</v>
      </c>
      <c r="DD13" t="s">
        <v>172</v>
      </c>
      <c r="DE13">
        <v>1</v>
      </c>
      <c r="DF13">
        <v>4</v>
      </c>
      <c r="DG13">
        <v>3</v>
      </c>
      <c r="DH13" t="s">
        <v>151</v>
      </c>
      <c r="DI13" t="s">
        <v>151</v>
      </c>
      <c r="DS13" t="s">
        <v>127</v>
      </c>
      <c r="DT13" t="s">
        <v>128</v>
      </c>
      <c r="DU13" t="s">
        <v>129</v>
      </c>
      <c r="DV13" t="s">
        <v>130</v>
      </c>
      <c r="DW13">
        <v>39.799999999999997</v>
      </c>
      <c r="DX13" t="s">
        <v>131</v>
      </c>
    </row>
    <row r="14" spans="1:128" x14ac:dyDescent="0.3">
      <c r="A14" s="82"/>
      <c r="B14" s="83"/>
      <c r="G14" s="81"/>
      <c r="U14" s="87"/>
      <c r="V14" s="86"/>
      <c r="W14" s="86"/>
      <c r="X14" s="86"/>
      <c r="Y14" s="86"/>
      <c r="AJ14" t="s">
        <v>132</v>
      </c>
      <c r="AK14" t="s">
        <v>133</v>
      </c>
      <c r="AL14" t="s">
        <v>129</v>
      </c>
      <c r="AM14" t="s">
        <v>134</v>
      </c>
      <c r="AN14">
        <v>39.799999999999997</v>
      </c>
      <c r="AO14" t="s">
        <v>131</v>
      </c>
      <c r="AQ14" s="83"/>
      <c r="AV14" s="81"/>
      <c r="BJ14" s="87"/>
      <c r="BK14" s="86"/>
      <c r="BL14" s="86"/>
      <c r="BM14" s="86"/>
      <c r="BN14" s="86"/>
      <c r="BY14" t="s">
        <v>172</v>
      </c>
      <c r="BZ14">
        <v>1</v>
      </c>
      <c r="CA14">
        <v>4</v>
      </c>
      <c r="CB14">
        <v>3</v>
      </c>
      <c r="CC14" t="s">
        <v>151</v>
      </c>
      <c r="CD14" t="s">
        <v>151</v>
      </c>
      <c r="CK14" s="83"/>
      <c r="CP14" s="81"/>
      <c r="DD14" s="87"/>
      <c r="DE14" s="86"/>
      <c r="DF14" s="86"/>
      <c r="DG14" s="86"/>
      <c r="DH14" s="86"/>
      <c r="DS14" t="s">
        <v>172</v>
      </c>
      <c r="DT14">
        <v>1</v>
      </c>
      <c r="DU14">
        <v>4</v>
      </c>
      <c r="DV14">
        <v>3</v>
      </c>
      <c r="DW14" t="s">
        <v>151</v>
      </c>
      <c r="DX14" t="s">
        <v>151</v>
      </c>
    </row>
    <row r="15" spans="1:128" x14ac:dyDescent="0.3">
      <c r="A15" s="80" t="s">
        <v>114</v>
      </c>
      <c r="B15" t="s">
        <v>123</v>
      </c>
      <c r="C15" t="s">
        <v>124</v>
      </c>
      <c r="D15" t="s">
        <v>121</v>
      </c>
      <c r="E15" t="s">
        <v>125</v>
      </c>
      <c r="F15" t="s">
        <v>122</v>
      </c>
      <c r="G15" t="s">
        <v>126</v>
      </c>
      <c r="AQ15" t="s">
        <v>123</v>
      </c>
      <c r="AR15" t="s">
        <v>124</v>
      </c>
      <c r="AS15" t="s">
        <v>121</v>
      </c>
      <c r="AT15" t="s">
        <v>125</v>
      </c>
      <c r="AU15" t="s">
        <v>122</v>
      </c>
      <c r="AV15" t="s">
        <v>126</v>
      </c>
      <c r="CK15" t="s">
        <v>123</v>
      </c>
      <c r="CL15" t="s">
        <v>124</v>
      </c>
      <c r="CM15" t="s">
        <v>121</v>
      </c>
      <c r="CN15" t="s">
        <v>125</v>
      </c>
      <c r="CO15" t="s">
        <v>122</v>
      </c>
      <c r="CP15" t="s">
        <v>126</v>
      </c>
    </row>
    <row r="16" spans="1:128" x14ac:dyDescent="0.3">
      <c r="A16" s="82" t="s">
        <v>115</v>
      </c>
      <c r="G16" s="81"/>
      <c r="U16" s="84" t="s">
        <v>118</v>
      </c>
      <c r="AV16" s="81"/>
      <c r="BJ16" s="84" t="s">
        <v>118</v>
      </c>
      <c r="CP16" s="81"/>
      <c r="DD16" s="84" t="s">
        <v>118</v>
      </c>
    </row>
    <row r="17" spans="1:121" x14ac:dyDescent="0.3">
      <c r="A17" s="82"/>
      <c r="B17" s="83"/>
      <c r="AQ17" s="83"/>
      <c r="CK17" s="83"/>
    </row>
    <row r="18" spans="1:121" x14ac:dyDescent="0.3">
      <c r="A18" s="82" t="s">
        <v>116</v>
      </c>
      <c r="B18" t="s">
        <v>1</v>
      </c>
      <c r="C18" t="s">
        <v>146</v>
      </c>
      <c r="D18" t="s">
        <v>147</v>
      </c>
      <c r="E18" t="s">
        <v>148</v>
      </c>
      <c r="F18" t="s">
        <v>149</v>
      </c>
      <c r="G18" t="s">
        <v>150</v>
      </c>
      <c r="H18" t="s">
        <v>9</v>
      </c>
      <c r="I18" t="s">
        <v>10</v>
      </c>
      <c r="J18" t="s">
        <v>11</v>
      </c>
      <c r="K18" t="s">
        <v>12</v>
      </c>
      <c r="M18" t="s">
        <v>135</v>
      </c>
      <c r="N18" t="s">
        <v>136</v>
      </c>
      <c r="O18" t="s">
        <v>137</v>
      </c>
      <c r="P18" t="s">
        <v>138</v>
      </c>
      <c r="Q18" t="s">
        <v>139</v>
      </c>
      <c r="R18" t="s">
        <v>66</v>
      </c>
      <c r="S18" t="s">
        <v>140</v>
      </c>
      <c r="U18" t="s">
        <v>1</v>
      </c>
      <c r="V18" t="s">
        <v>146</v>
      </c>
      <c r="W18" t="s">
        <v>147</v>
      </c>
      <c r="X18" t="s">
        <v>148</v>
      </c>
      <c r="Y18" t="s">
        <v>149</v>
      </c>
      <c r="Z18" t="s">
        <v>150</v>
      </c>
      <c r="AB18" t="s">
        <v>135</v>
      </c>
      <c r="AC18" t="s">
        <v>136</v>
      </c>
      <c r="AD18" t="s">
        <v>137</v>
      </c>
      <c r="AE18" t="s">
        <v>138</v>
      </c>
      <c r="AF18" t="s">
        <v>139</v>
      </c>
      <c r="AG18" t="s">
        <v>66</v>
      </c>
      <c r="AH18" t="s">
        <v>140</v>
      </c>
      <c r="AQ18" t="s">
        <v>1</v>
      </c>
      <c r="AR18" t="s">
        <v>146</v>
      </c>
      <c r="AS18" t="s">
        <v>147</v>
      </c>
      <c r="AT18" t="s">
        <v>148</v>
      </c>
      <c r="AU18" t="s">
        <v>149</v>
      </c>
      <c r="AV18" t="s">
        <v>150</v>
      </c>
      <c r="AW18" t="s">
        <v>9</v>
      </c>
      <c r="AX18" t="s">
        <v>10</v>
      </c>
      <c r="AY18" t="s">
        <v>11</v>
      </c>
      <c r="AZ18" t="s">
        <v>12</v>
      </c>
      <c r="BB18" t="s">
        <v>135</v>
      </c>
      <c r="BC18" t="s">
        <v>136</v>
      </c>
      <c r="BD18" t="s">
        <v>137</v>
      </c>
      <c r="BE18" t="s">
        <v>138</v>
      </c>
      <c r="BF18" t="s">
        <v>139</v>
      </c>
      <c r="BG18" t="s">
        <v>66</v>
      </c>
      <c r="BH18" t="s">
        <v>140</v>
      </c>
      <c r="BJ18" t="s">
        <v>1</v>
      </c>
      <c r="BK18" t="s">
        <v>146</v>
      </c>
      <c r="BL18" t="s">
        <v>147</v>
      </c>
      <c r="BM18" t="s">
        <v>148</v>
      </c>
      <c r="BN18" t="s">
        <v>149</v>
      </c>
      <c r="BO18" t="s">
        <v>150</v>
      </c>
      <c r="BQ18" t="s">
        <v>135</v>
      </c>
      <c r="BR18" t="s">
        <v>136</v>
      </c>
      <c r="BS18" t="s">
        <v>137</v>
      </c>
      <c r="BT18" t="s">
        <v>138</v>
      </c>
      <c r="BU18" t="s">
        <v>139</v>
      </c>
      <c r="BV18" t="s">
        <v>66</v>
      </c>
      <c r="BW18" t="s">
        <v>140</v>
      </c>
      <c r="CE18" s="88"/>
      <c r="CF18" s="88"/>
      <c r="CG18" s="88"/>
      <c r="CH18" s="88"/>
      <c r="CI18" s="88"/>
      <c r="CK18" t="s">
        <v>1</v>
      </c>
      <c r="CL18" t="s">
        <v>146</v>
      </c>
      <c r="CM18" t="s">
        <v>147</v>
      </c>
      <c r="CN18" t="s">
        <v>148</v>
      </c>
      <c r="CO18" t="s">
        <v>149</v>
      </c>
      <c r="CP18" t="s">
        <v>150</v>
      </c>
      <c r="CQ18" t="s">
        <v>9</v>
      </c>
      <c r="CR18" t="s">
        <v>10</v>
      </c>
      <c r="CS18" t="s">
        <v>11</v>
      </c>
      <c r="CT18" t="s">
        <v>12</v>
      </c>
      <c r="CV18" t="s">
        <v>135</v>
      </c>
      <c r="CW18" t="s">
        <v>136</v>
      </c>
      <c r="CX18" t="s">
        <v>137</v>
      </c>
      <c r="CY18" t="s">
        <v>138</v>
      </c>
      <c r="CZ18" t="s">
        <v>139</v>
      </c>
      <c r="DA18" t="s">
        <v>66</v>
      </c>
      <c r="DB18" t="s">
        <v>140</v>
      </c>
      <c r="DD18" t="s">
        <v>1</v>
      </c>
      <c r="DE18" t="s">
        <v>146</v>
      </c>
      <c r="DF18" t="s">
        <v>147</v>
      </c>
      <c r="DG18" t="s">
        <v>148</v>
      </c>
      <c r="DH18" t="s">
        <v>149</v>
      </c>
      <c r="DI18" t="s">
        <v>150</v>
      </c>
      <c r="DK18" t="s">
        <v>135</v>
      </c>
      <c r="DL18" t="s">
        <v>136</v>
      </c>
      <c r="DM18" t="s">
        <v>137</v>
      </c>
      <c r="DN18" t="s">
        <v>138</v>
      </c>
      <c r="DO18" t="s">
        <v>139</v>
      </c>
      <c r="DP18" t="s">
        <v>66</v>
      </c>
      <c r="DQ18" t="s">
        <v>140</v>
      </c>
    </row>
    <row r="19" spans="1:121" x14ac:dyDescent="0.3">
      <c r="H19" s="85">
        <f>IFERROR(MP_DATA[[#This Row],[Bottom '[mLAT']]]-MP_DATA[[#This Row],[D, top '[m']]], "")</f>
        <v>0</v>
      </c>
      <c r="I19" s="85" t="str">
        <f>IFERROR(-(MP_DATA[[#This Row],[D, bottom '[m']]]-MP_DATA[[#This Row],[D, top '[m']]])/(MP_DATA[[#This Row],[Bottom '[mLAT']]]-MP_DATA[[#This Row],[Top '[mLAT']]]),"")</f>
        <v/>
      </c>
      <c r="J19" s="85" t="str">
        <f t="shared" ref="J19:J50" si="0">IF(7850/1000*(1/3)*PI()*ABS(C19-D19)*((E19/2)^2+(E19/2)*(F19/2)+(F19/2)^2-(E19/2-G19/1000)^2-(E19/2-G19/1000)*(F19/2-G19/1000)-(F19/2-G19/1000)^2)=0,"",7850/1000*(1/3)*PI()*ABS(C19-D19)*((E19/2)^2+(E19/2)*(F19/2)+(F19/2)^2-(E19/2-G19/1000)^2-(E19/2-G19/1000)*(F19/2-G19/1000)-(F19/2-G19/1000)^2))</f>
        <v/>
      </c>
      <c r="K19" s="85" t="str">
        <f>IFERROR((MP_DATA[[#This Row],[D, bottom '[m']]]+MP_DATA[[#This Row],[D, top '[m']]])/(2*MP_DATA[[#This Row],[t '[mm']]]/1000),"")</f>
        <v/>
      </c>
      <c r="U19" s="86"/>
      <c r="V19" s="86"/>
      <c r="W19" s="86"/>
      <c r="Y19" s="86"/>
      <c r="AQ19">
        <v>1</v>
      </c>
      <c r="AR19">
        <v>21.47</v>
      </c>
      <c r="AS19">
        <v>17.5</v>
      </c>
      <c r="AT19">
        <v>8</v>
      </c>
      <c r="AU19">
        <v>8</v>
      </c>
      <c r="AV19">
        <v>102</v>
      </c>
      <c r="AW19" s="85">
        <f>IFERROR(TP_DATA[[#This Row],[Bottom '[mLAT']]]-TP_DATA[[#This Row],[D, top '[m']]], "")</f>
        <v>9.5</v>
      </c>
      <c r="AX19" s="85">
        <f>IFERROR(-(TP_DATA[[#This Row],[D, bottom '[m']]]-TP_DATA[[#This Row],[D, top '[m']]])/(TP_DATA[[#This Row],[Bottom '[mLAT']]]-TP_DATA[[#This Row],[Top '[mLAT']]]),"")</f>
        <v>0</v>
      </c>
      <c r="AY19" s="85">
        <f t="shared" ref="AY19:AY82" si="1">IF(7850/1000*(1/3)*PI()*ABS(AR19-AS19)*((AT19/2)^2+(AT19/2)*(AU19/2)+(AU19/2)^2-(AT19/2-AV19/1000)^2-(AT19/2-AV19/1000)*(AU19/2-AV19/1000)-(AU19/2-AV19/1000)^2)=0,"",7850/1000*(1/3)*PI()*ABS(AR19-AS19)*((AT19/2)^2+(AT19/2)*(AU19/2)+(AU19/2)^2-(AT19/2-AV19/1000)^2-(AT19/2-AV19/1000)*(AU19/2-AV19/1000)-(AU19/2-AV19/1000)^2))</f>
        <v>78.87281429739798</v>
      </c>
      <c r="AZ19" s="85">
        <f>IFERROR((TP_DATA[[#This Row],[D, bottom '[m']]]+TP_DATA[[#This Row],[D, top '[m']]])/(2*TP_DATA[[#This Row],[t '[mm']]]/1000),"")</f>
        <v>78.431372549019613</v>
      </c>
      <c r="BB19" t="s">
        <v>153</v>
      </c>
      <c r="BC19" t="s">
        <v>154</v>
      </c>
      <c r="BD19">
        <v>20.7</v>
      </c>
      <c r="BE19">
        <v>1.2</v>
      </c>
      <c r="BF19" t="s">
        <v>143</v>
      </c>
      <c r="BG19" t="s">
        <v>145</v>
      </c>
      <c r="BJ19" s="86">
        <v>1</v>
      </c>
      <c r="BK19" s="86">
        <v>21.47</v>
      </c>
      <c r="BL19" s="86">
        <v>17.5</v>
      </c>
      <c r="BM19">
        <v>8</v>
      </c>
      <c r="BN19" s="86">
        <v>8</v>
      </c>
      <c r="BO19">
        <v>102</v>
      </c>
      <c r="BQ19" t="s">
        <v>153</v>
      </c>
      <c r="BR19" t="s">
        <v>154</v>
      </c>
      <c r="BS19">
        <v>20.7</v>
      </c>
      <c r="BT19">
        <v>1.2</v>
      </c>
      <c r="BU19" t="s">
        <v>143</v>
      </c>
      <c r="BV19" t="s">
        <v>145</v>
      </c>
      <c r="CK19" s="104">
        <v>1</v>
      </c>
      <c r="CL19" s="104">
        <v>21.47</v>
      </c>
      <c r="CM19" s="104">
        <v>17.5</v>
      </c>
      <c r="CN19" s="104">
        <v>8</v>
      </c>
      <c r="CO19" s="104">
        <v>8</v>
      </c>
      <c r="CP19" s="104">
        <v>102</v>
      </c>
      <c r="CQ19" s="85">
        <f>IFERROR(TOWER_DATA[[#This Row],[Bottom '[mLAT']]]-TOWER_DATA[[#This Row],[D, top '[m']]], "")</f>
        <v>9.5</v>
      </c>
      <c r="CR19" s="85">
        <f>IFERROR(-(TOWER_DATA[[#This Row],[D, bottom '[m']]]-TOWER_DATA[[#This Row],[D, top '[m']]])/(TOWER_DATA[[#This Row],[Bottom '[mLAT']]]-TOWER_DATA[[#This Row],[Top '[mLAT']]]),"")</f>
        <v>0</v>
      </c>
      <c r="CS19" s="85">
        <f t="shared" ref="CS19:CS82" si="2">IF(7850/1000*(1/3)*PI()*ABS(CL19-CM19)*((CN19/2)^2+(CN19/2)*(CO19/2)+(CO19/2)^2-(CN19/2-CP19/1000)^2-(CN19/2-CP19/1000)*(CO19/2-CP19/1000)-(CO19/2-CP19/1000)^2)=0,"",7850/1000*(1/3)*PI()*ABS(CL19-CM19)*((CN19/2)^2+(CN19/2)*(CO19/2)+(CO19/2)^2-(CN19/2-CP19/1000)^2-(CN19/2-CP19/1000)*(CO19/2-CP19/1000)-(CO19/2-CP19/1000)^2))</f>
        <v>78.87281429739798</v>
      </c>
      <c r="CT19" s="85">
        <f>IFERROR((TOWER_DATA[[#This Row],[D, bottom '[m']]]+TOWER_DATA[[#This Row],[D, top '[m']]])/(2*TOWER_DATA[[#This Row],[t '[mm']]]/1000),"")</f>
        <v>78.431372549019613</v>
      </c>
      <c r="CV19" s="104" t="s">
        <v>153</v>
      </c>
      <c r="CW19" s="104" t="s">
        <v>154</v>
      </c>
      <c r="CX19" s="104">
        <v>20.7</v>
      </c>
      <c r="CY19" s="104">
        <v>1.2</v>
      </c>
      <c r="CZ19" s="104" t="s">
        <v>143</v>
      </c>
      <c r="DA19" s="104" t="s">
        <v>145</v>
      </c>
      <c r="DB19" s="104"/>
      <c r="DD19" s="86">
        <v>1</v>
      </c>
      <c r="DE19" s="86">
        <v>21.47</v>
      </c>
      <c r="DF19" s="86">
        <v>17.5</v>
      </c>
      <c r="DG19">
        <v>8</v>
      </c>
      <c r="DH19" s="86">
        <v>8</v>
      </c>
      <c r="DI19">
        <v>102</v>
      </c>
      <c r="DK19" t="s">
        <v>153</v>
      </c>
      <c r="DL19" t="s">
        <v>154</v>
      </c>
      <c r="DM19">
        <v>20.7</v>
      </c>
      <c r="DN19">
        <v>1.2</v>
      </c>
      <c r="DO19" t="s">
        <v>143</v>
      </c>
      <c r="DP19" t="s">
        <v>145</v>
      </c>
    </row>
    <row r="20" spans="1:121" x14ac:dyDescent="0.3">
      <c r="H20" s="85">
        <f>IFERROR(MP_DATA[[#This Row],[Bottom '[mLAT']]]-MP_DATA[[#This Row],[D, top '[m']]], "")</f>
        <v>0</v>
      </c>
      <c r="I20" s="85" t="str">
        <f>IFERROR(-(MP_DATA[[#This Row],[D, bottom '[m']]]-MP_DATA[[#This Row],[D, top '[m']]])/(MP_DATA[[#This Row],[Bottom '[mLAT']]]-MP_DATA[[#This Row],[Top '[mLAT']]]),"")</f>
        <v/>
      </c>
      <c r="J20" s="85" t="str">
        <f t="shared" si="0"/>
        <v/>
      </c>
      <c r="K20" s="85" t="str">
        <f>IFERROR((MP_DATA[[#This Row],[D, bottom '[m']]]+MP_DATA[[#This Row],[D, top '[m']]])/(2*MP_DATA[[#This Row],[t '[mm']]]/1000),"")</f>
        <v/>
      </c>
      <c r="U20" s="86"/>
      <c r="V20" s="86"/>
      <c r="W20" s="86"/>
      <c r="Y20" s="86"/>
      <c r="AQ20">
        <v>2</v>
      </c>
      <c r="AR20">
        <v>17.5</v>
      </c>
      <c r="AS20">
        <v>13.5</v>
      </c>
      <c r="AT20">
        <v>8</v>
      </c>
      <c r="AU20">
        <v>8</v>
      </c>
      <c r="AV20">
        <v>102</v>
      </c>
      <c r="AW20" s="85">
        <f>IFERROR(TP_DATA[[#This Row],[Bottom '[mLAT']]]-TP_DATA[[#This Row],[D, top '[m']]], "")</f>
        <v>5.5</v>
      </c>
      <c r="AX20" s="85">
        <f>IFERROR(-(TP_DATA[[#This Row],[D, bottom '[m']]]-TP_DATA[[#This Row],[D, top '[m']]])/(TP_DATA[[#This Row],[Bottom '[mLAT']]]-TP_DATA[[#This Row],[Top '[mLAT']]]),"")</f>
        <v>0</v>
      </c>
      <c r="AY20" s="85">
        <f t="shared" si="1"/>
        <v>79.468830526345599</v>
      </c>
      <c r="AZ20" s="85">
        <f>IFERROR((TP_DATA[[#This Row],[D, bottom '[m']]]+TP_DATA[[#This Row],[D, top '[m']]])/(2*TP_DATA[[#This Row],[t '[mm']]]/1000),"")</f>
        <v>78.431372549019613</v>
      </c>
      <c r="BB20" t="s">
        <v>155</v>
      </c>
      <c r="BC20" t="s">
        <v>156</v>
      </c>
      <c r="BD20">
        <v>20.53</v>
      </c>
      <c r="BE20">
        <v>2.0099999999999998</v>
      </c>
      <c r="BF20" t="s">
        <v>143</v>
      </c>
      <c r="BG20" t="s">
        <v>144</v>
      </c>
      <c r="BH20">
        <v>0.85</v>
      </c>
      <c r="BJ20" s="86">
        <v>2</v>
      </c>
      <c r="BK20" s="86">
        <v>17.5</v>
      </c>
      <c r="BL20" s="86">
        <v>13.5</v>
      </c>
      <c r="BM20">
        <v>8</v>
      </c>
      <c r="BN20" s="86">
        <v>8</v>
      </c>
      <c r="BO20">
        <v>102</v>
      </c>
      <c r="BQ20" t="s">
        <v>155</v>
      </c>
      <c r="BR20" t="s">
        <v>156</v>
      </c>
      <c r="BS20">
        <v>20.53</v>
      </c>
      <c r="BT20">
        <v>2.0099999999999998</v>
      </c>
      <c r="BU20" t="s">
        <v>143</v>
      </c>
      <c r="BV20" t="s">
        <v>144</v>
      </c>
      <c r="BW20">
        <v>0.85</v>
      </c>
      <c r="CK20" s="104">
        <v>2</v>
      </c>
      <c r="CL20" s="104">
        <v>17.5</v>
      </c>
      <c r="CM20" s="104">
        <v>13.5</v>
      </c>
      <c r="CN20" s="104">
        <v>8</v>
      </c>
      <c r="CO20" s="104">
        <v>8</v>
      </c>
      <c r="CP20" s="104">
        <v>102</v>
      </c>
      <c r="CQ20" s="85">
        <f>IFERROR(TOWER_DATA[[#This Row],[Bottom '[mLAT']]]-TOWER_DATA[[#This Row],[D, top '[m']]], "")</f>
        <v>5.5</v>
      </c>
      <c r="CR20" s="85">
        <f>IFERROR(-(TOWER_DATA[[#This Row],[D, bottom '[m']]]-TOWER_DATA[[#This Row],[D, top '[m']]])/(TOWER_DATA[[#This Row],[Bottom '[mLAT']]]-TOWER_DATA[[#This Row],[Top '[mLAT']]]),"")</f>
        <v>0</v>
      </c>
      <c r="CS20" s="85">
        <f t="shared" si="2"/>
        <v>79.468830526345599</v>
      </c>
      <c r="CT20" s="85">
        <f>IFERROR((TOWER_DATA[[#This Row],[D, bottom '[m']]]+TOWER_DATA[[#This Row],[D, top '[m']]])/(2*TOWER_DATA[[#This Row],[t '[mm']]]/1000),"")</f>
        <v>78.431372549019613</v>
      </c>
      <c r="CV20" s="104" t="s">
        <v>155</v>
      </c>
      <c r="CW20" s="104" t="s">
        <v>156</v>
      </c>
      <c r="CX20" s="104">
        <v>20.53</v>
      </c>
      <c r="CY20" s="104">
        <v>2.0099999999999998</v>
      </c>
      <c r="CZ20" s="104" t="s">
        <v>143</v>
      </c>
      <c r="DA20" s="104" t="s">
        <v>144</v>
      </c>
      <c r="DB20" s="104">
        <v>0.85</v>
      </c>
      <c r="DD20" s="86">
        <v>2</v>
      </c>
      <c r="DE20" s="86">
        <v>17.5</v>
      </c>
      <c r="DF20" s="86">
        <v>13.5</v>
      </c>
      <c r="DG20">
        <v>8</v>
      </c>
      <c r="DH20" s="86">
        <v>8</v>
      </c>
      <c r="DI20">
        <v>102</v>
      </c>
      <c r="DK20" t="s">
        <v>155</v>
      </c>
      <c r="DL20" t="s">
        <v>156</v>
      </c>
      <c r="DM20">
        <v>20.53</v>
      </c>
      <c r="DN20">
        <v>2.0099999999999998</v>
      </c>
      <c r="DO20" t="s">
        <v>143</v>
      </c>
      <c r="DP20" t="s">
        <v>144</v>
      </c>
      <c r="DQ20">
        <v>0.85</v>
      </c>
    </row>
    <row r="21" spans="1:121" x14ac:dyDescent="0.3">
      <c r="H21" s="85">
        <f>IFERROR(MP_DATA[[#This Row],[Bottom '[mLAT']]]-MP_DATA[[#This Row],[D, top '[m']]], "")</f>
        <v>0</v>
      </c>
      <c r="I21" s="85" t="str">
        <f>IFERROR(-(MP_DATA[[#This Row],[D, bottom '[m']]]-MP_DATA[[#This Row],[D, top '[m']]])/(MP_DATA[[#This Row],[Bottom '[mLAT']]]-MP_DATA[[#This Row],[Top '[mLAT']]]),"")</f>
        <v/>
      </c>
      <c r="J21" s="85" t="str">
        <f t="shared" si="0"/>
        <v/>
      </c>
      <c r="K21" s="85" t="str">
        <f>IFERROR((MP_DATA[[#This Row],[D, bottom '[m']]]+MP_DATA[[#This Row],[D, top '[m']]])/(2*MP_DATA[[#This Row],[t '[mm']]]/1000),"")</f>
        <v/>
      </c>
      <c r="U21" s="86"/>
      <c r="V21" s="86"/>
      <c r="W21" s="86"/>
      <c r="Y21" s="86"/>
      <c r="AQ21">
        <v>3</v>
      </c>
      <c r="AR21">
        <v>13.5</v>
      </c>
      <c r="AS21">
        <v>9.5</v>
      </c>
      <c r="AT21">
        <v>8</v>
      </c>
      <c r="AU21">
        <v>8</v>
      </c>
      <c r="AV21">
        <v>124</v>
      </c>
      <c r="AW21" s="85">
        <f>IFERROR(TP_DATA[[#This Row],[Bottom '[mLAT']]]-TP_DATA[[#This Row],[D, top '[m']]], "")</f>
        <v>1.5</v>
      </c>
      <c r="AX21" s="85">
        <f>IFERROR(-(TP_DATA[[#This Row],[D, bottom '[m']]]-TP_DATA[[#This Row],[D, top '[m']]])/(TP_DATA[[#This Row],[Bottom '[mLAT']]]-TP_DATA[[#This Row],[Top '[mLAT']]]),"")</f>
        <v>0</v>
      </c>
      <c r="AY21" s="85">
        <f t="shared" si="1"/>
        <v>96.340060208791698</v>
      </c>
      <c r="AZ21" s="85">
        <f>IFERROR((TP_DATA[[#This Row],[D, bottom '[m']]]+TP_DATA[[#This Row],[D, top '[m']]])/(2*TP_DATA[[#This Row],[t '[mm']]]/1000),"")</f>
        <v>64.516129032258064</v>
      </c>
      <c r="BB21" t="s">
        <v>157</v>
      </c>
      <c r="BC21" t="s">
        <v>158</v>
      </c>
      <c r="BD21">
        <v>20.8</v>
      </c>
      <c r="BE21">
        <v>12</v>
      </c>
      <c r="BF21" t="s">
        <v>143</v>
      </c>
      <c r="BG21" t="s">
        <v>145</v>
      </c>
      <c r="BJ21" s="86">
        <v>3</v>
      </c>
      <c r="BK21" s="86">
        <v>13.5</v>
      </c>
      <c r="BL21" s="86">
        <v>9.5</v>
      </c>
      <c r="BM21">
        <v>8</v>
      </c>
      <c r="BN21" s="86">
        <v>8</v>
      </c>
      <c r="BO21">
        <v>124</v>
      </c>
      <c r="BQ21" t="s">
        <v>157</v>
      </c>
      <c r="BR21" t="s">
        <v>158</v>
      </c>
      <c r="BS21">
        <v>20.8</v>
      </c>
      <c r="BT21">
        <v>12</v>
      </c>
      <c r="BU21" t="s">
        <v>143</v>
      </c>
      <c r="BV21" t="s">
        <v>145</v>
      </c>
      <c r="CK21" s="104">
        <v>3</v>
      </c>
      <c r="CL21" s="104">
        <v>13.5</v>
      </c>
      <c r="CM21" s="104">
        <v>9.5</v>
      </c>
      <c r="CN21" s="104">
        <v>8</v>
      </c>
      <c r="CO21" s="104">
        <v>8</v>
      </c>
      <c r="CP21" s="104">
        <v>124</v>
      </c>
      <c r="CQ21" s="85">
        <f>IFERROR(TOWER_DATA[[#This Row],[Bottom '[mLAT']]]-TOWER_DATA[[#This Row],[D, top '[m']]], "")</f>
        <v>1.5</v>
      </c>
      <c r="CR21" s="85">
        <f>IFERROR(-(TOWER_DATA[[#This Row],[D, bottom '[m']]]-TOWER_DATA[[#This Row],[D, top '[m']]])/(TOWER_DATA[[#This Row],[Bottom '[mLAT']]]-TOWER_DATA[[#This Row],[Top '[mLAT']]]),"")</f>
        <v>0</v>
      </c>
      <c r="CS21" s="85">
        <f t="shared" si="2"/>
        <v>96.340060208791698</v>
      </c>
      <c r="CT21" s="85">
        <f>IFERROR((TOWER_DATA[[#This Row],[D, bottom '[m']]]+TOWER_DATA[[#This Row],[D, top '[m']]])/(2*TOWER_DATA[[#This Row],[t '[mm']]]/1000),"")</f>
        <v>64.516129032258064</v>
      </c>
      <c r="CV21" s="104" t="s">
        <v>157</v>
      </c>
      <c r="CW21" s="104" t="s">
        <v>158</v>
      </c>
      <c r="CX21" s="104">
        <v>20.8</v>
      </c>
      <c r="CY21" s="104">
        <v>12</v>
      </c>
      <c r="CZ21" s="104" t="s">
        <v>143</v>
      </c>
      <c r="DA21" s="104" t="s">
        <v>145</v>
      </c>
      <c r="DB21" s="104"/>
      <c r="DD21" s="86">
        <v>3</v>
      </c>
      <c r="DE21" s="86">
        <v>13.5</v>
      </c>
      <c r="DF21" s="86">
        <v>9.5</v>
      </c>
      <c r="DG21">
        <v>8</v>
      </c>
      <c r="DH21" s="86">
        <v>8</v>
      </c>
      <c r="DI21">
        <v>124</v>
      </c>
      <c r="DK21" t="s">
        <v>157</v>
      </c>
      <c r="DL21" t="s">
        <v>158</v>
      </c>
      <c r="DM21">
        <v>20.8</v>
      </c>
      <c r="DN21">
        <v>12</v>
      </c>
      <c r="DO21" t="s">
        <v>143</v>
      </c>
      <c r="DP21" t="s">
        <v>145</v>
      </c>
    </row>
    <row r="22" spans="1:121" x14ac:dyDescent="0.3">
      <c r="H22" s="85">
        <f>IFERROR(MP_DATA[[#This Row],[Bottom '[mLAT']]]-MP_DATA[[#This Row],[D, top '[m']]], "")</f>
        <v>0</v>
      </c>
      <c r="I22" s="85" t="str">
        <f>IFERROR(-(MP_DATA[[#This Row],[D, bottom '[m']]]-MP_DATA[[#This Row],[D, top '[m']]])/(MP_DATA[[#This Row],[Bottom '[mLAT']]]-MP_DATA[[#This Row],[Top '[mLAT']]]),"")</f>
        <v/>
      </c>
      <c r="J22" s="85" t="str">
        <f t="shared" si="0"/>
        <v/>
      </c>
      <c r="K22" s="85" t="str">
        <f>IFERROR((MP_DATA[[#This Row],[D, bottom '[m']]]+MP_DATA[[#This Row],[D, top '[m']]])/(2*MP_DATA[[#This Row],[t '[mm']]]/1000),"")</f>
        <v/>
      </c>
      <c r="U22" s="86"/>
      <c r="V22" s="86"/>
      <c r="W22" s="86"/>
      <c r="Y22" s="86"/>
      <c r="AQ22">
        <v>4</v>
      </c>
      <c r="AR22">
        <v>9.5</v>
      </c>
      <c r="AS22">
        <v>5.8</v>
      </c>
      <c r="AT22">
        <v>8</v>
      </c>
      <c r="AU22">
        <v>8</v>
      </c>
      <c r="AV22">
        <v>110</v>
      </c>
      <c r="AW22" s="85">
        <f>IFERROR(TP_DATA[[#This Row],[Bottom '[mLAT']]]-TP_DATA[[#This Row],[D, top '[m']]], "")</f>
        <v>-2.2000000000000002</v>
      </c>
      <c r="AX22" s="85">
        <f>IFERROR(-(TP_DATA[[#This Row],[D, bottom '[m']]]-TP_DATA[[#This Row],[D, top '[m']]])/(TP_DATA[[#This Row],[Bottom '[mLAT']]]-TP_DATA[[#This Row],[Top '[mLAT']]]),"")</f>
        <v>0</v>
      </c>
      <c r="AY22" s="85">
        <f t="shared" si="1"/>
        <v>79.193756129349012</v>
      </c>
      <c r="AZ22" s="85">
        <f>IFERROR((TP_DATA[[#This Row],[D, bottom '[m']]]+TP_DATA[[#This Row],[D, top '[m']]])/(2*TP_DATA[[#This Row],[t '[mm']]]/1000),"")</f>
        <v>72.727272727272734</v>
      </c>
      <c r="BB22" t="s">
        <v>159</v>
      </c>
      <c r="BC22" t="s">
        <v>160</v>
      </c>
      <c r="BD22">
        <v>20.8</v>
      </c>
      <c r="BE22">
        <v>1.28</v>
      </c>
      <c r="BF22" t="s">
        <v>143</v>
      </c>
      <c r="BG22" t="s">
        <v>142</v>
      </c>
      <c r="BJ22" s="86">
        <v>4</v>
      </c>
      <c r="BK22" s="86">
        <v>9.5</v>
      </c>
      <c r="BL22" s="86">
        <v>5.8</v>
      </c>
      <c r="BM22">
        <v>8</v>
      </c>
      <c r="BN22" s="86">
        <v>8</v>
      </c>
      <c r="BO22">
        <v>110</v>
      </c>
      <c r="BQ22" t="s">
        <v>159</v>
      </c>
      <c r="BR22" t="s">
        <v>160</v>
      </c>
      <c r="BS22">
        <v>20.8</v>
      </c>
      <c r="BT22">
        <v>1.28</v>
      </c>
      <c r="BU22" t="s">
        <v>143</v>
      </c>
      <c r="BV22" t="s">
        <v>142</v>
      </c>
      <c r="CK22" s="104">
        <v>4</v>
      </c>
      <c r="CL22" s="104">
        <v>9.5</v>
      </c>
      <c r="CM22" s="104">
        <v>5.8</v>
      </c>
      <c r="CN22" s="104">
        <v>8</v>
      </c>
      <c r="CO22" s="104">
        <v>8</v>
      </c>
      <c r="CP22" s="104">
        <v>110</v>
      </c>
      <c r="CQ22" s="85">
        <f>IFERROR(TOWER_DATA[[#This Row],[Bottom '[mLAT']]]-TOWER_DATA[[#This Row],[D, top '[m']]], "")</f>
        <v>-2.2000000000000002</v>
      </c>
      <c r="CR22" s="85">
        <f>IFERROR(-(TOWER_DATA[[#This Row],[D, bottom '[m']]]-TOWER_DATA[[#This Row],[D, top '[m']]])/(TOWER_DATA[[#This Row],[Bottom '[mLAT']]]-TOWER_DATA[[#This Row],[Top '[mLAT']]]),"")</f>
        <v>0</v>
      </c>
      <c r="CS22" s="85">
        <f t="shared" si="2"/>
        <v>79.193756129349012</v>
      </c>
      <c r="CT22" s="85">
        <f>IFERROR((TOWER_DATA[[#This Row],[D, bottom '[m']]]+TOWER_DATA[[#This Row],[D, top '[m']]])/(2*TOWER_DATA[[#This Row],[t '[mm']]]/1000),"")</f>
        <v>72.727272727272734</v>
      </c>
      <c r="CV22" s="104" t="s">
        <v>159</v>
      </c>
      <c r="CW22" s="104" t="s">
        <v>160</v>
      </c>
      <c r="CX22" s="104">
        <v>20.8</v>
      </c>
      <c r="CY22" s="104">
        <v>1.28</v>
      </c>
      <c r="CZ22" s="104" t="s">
        <v>143</v>
      </c>
      <c r="DA22" s="104" t="s">
        <v>142</v>
      </c>
      <c r="DB22" s="104"/>
      <c r="DD22" s="86">
        <v>4</v>
      </c>
      <c r="DE22" s="86">
        <v>9.5</v>
      </c>
      <c r="DF22" s="86">
        <v>5.8</v>
      </c>
      <c r="DG22">
        <v>8</v>
      </c>
      <c r="DH22" s="86">
        <v>8</v>
      </c>
      <c r="DI22">
        <v>110</v>
      </c>
      <c r="DK22" t="s">
        <v>159</v>
      </c>
      <c r="DL22" t="s">
        <v>160</v>
      </c>
      <c r="DM22">
        <v>20.8</v>
      </c>
      <c r="DN22">
        <v>1.28</v>
      </c>
      <c r="DO22" t="s">
        <v>143</v>
      </c>
      <c r="DP22" t="s">
        <v>142</v>
      </c>
    </row>
    <row r="23" spans="1:121" x14ac:dyDescent="0.3">
      <c r="H23" s="85">
        <f>IFERROR(MP_DATA[[#This Row],[Bottom '[mLAT']]]-MP_DATA[[#This Row],[D, top '[m']]], "")</f>
        <v>0</v>
      </c>
      <c r="I23" s="85" t="str">
        <f>IFERROR(-(MP_DATA[[#This Row],[D, bottom '[m']]]-MP_DATA[[#This Row],[D, top '[m']]])/(MP_DATA[[#This Row],[Bottom '[mLAT']]]-MP_DATA[[#This Row],[Top '[mLAT']]]),"")</f>
        <v/>
      </c>
      <c r="J23" s="85" t="str">
        <f t="shared" si="0"/>
        <v/>
      </c>
      <c r="K23" s="85" t="str">
        <f>IFERROR((MP_DATA[[#This Row],[D, bottom '[m']]]+MP_DATA[[#This Row],[D, top '[m']]])/(2*MP_DATA[[#This Row],[t '[mm']]]/1000),"")</f>
        <v/>
      </c>
      <c r="L23" s="85" t="str">
        <f>IFERROR((MP_DATA[[#This Row],[D, bottom '[m']]]+#REF!)/(2*#REF!/1000),"")</f>
        <v/>
      </c>
      <c r="U23" s="86"/>
      <c r="V23" s="86"/>
      <c r="W23" s="86"/>
      <c r="X23" s="86"/>
      <c r="Y23" s="86"/>
      <c r="Z23" s="86"/>
      <c r="AW23" s="85" t="str">
        <f>IFERROR(TP_DATA[[#This Row],[Bottom '[mLAT']]]-TP_DATA[[#This Row],[D, top '[m']]], "")</f>
        <v/>
      </c>
      <c r="AX23" s="85" t="str">
        <f>IFERROR(-(TP_DATA[[#This Row],[D, bottom '[m']]]-TP_DATA[[#This Row],[D, top '[m']]])/(TP_DATA[[#This Row],[Bottom '[mLAT']]]-TP_DATA[[#This Row],[Top '[mLAT']]]),"")</f>
        <v/>
      </c>
      <c r="AY23" s="85" t="str">
        <f t="shared" si="1"/>
        <v/>
      </c>
      <c r="AZ23" s="85" t="str">
        <f>IFERROR((TP_DATA[[#This Row],[D, bottom '[m']]]+TP_DATA[[#This Row],[D, top '[m']]])/(2*TP_DATA[[#This Row],[t '[mm']]]/1000),"")</f>
        <v/>
      </c>
      <c r="BA23" s="85" t="str">
        <f>IFERROR((TP_DATA[[#This Row],[D, bottom '[m']]]+#REF!)/(2*#REF!/1000),"")</f>
        <v/>
      </c>
      <c r="BB23" t="s">
        <v>161</v>
      </c>
      <c r="BC23" t="s">
        <v>162</v>
      </c>
      <c r="BD23">
        <v>20.100000000000001</v>
      </c>
      <c r="BE23">
        <v>2</v>
      </c>
      <c r="BF23" t="s">
        <v>143</v>
      </c>
      <c r="BG23" t="s">
        <v>144</v>
      </c>
      <c r="BH23">
        <v>0.85</v>
      </c>
      <c r="BJ23" s="86"/>
      <c r="BK23" s="86"/>
      <c r="BL23" s="86"/>
      <c r="BM23" s="86"/>
      <c r="BN23" s="86"/>
      <c r="BO23" s="86"/>
      <c r="BQ23" t="s">
        <v>161</v>
      </c>
      <c r="BR23" t="s">
        <v>162</v>
      </c>
      <c r="BS23">
        <v>20.100000000000001</v>
      </c>
      <c r="BT23">
        <v>2</v>
      </c>
      <c r="BU23" t="s">
        <v>143</v>
      </c>
      <c r="BV23" t="s">
        <v>144</v>
      </c>
      <c r="BW23">
        <v>0.85</v>
      </c>
      <c r="CQ23" s="85" t="str">
        <f>IFERROR(TOWER_DATA[[#This Row],[Bottom '[mLAT']]]-TOWER_DATA[[#This Row],[D, top '[m']]], "")</f>
        <v/>
      </c>
      <c r="CR23" s="85" t="str">
        <f>IFERROR(-(TOWER_DATA[[#This Row],[D, bottom '[m']]]-TOWER_DATA[[#This Row],[D, top '[m']]])/(TOWER_DATA[[#This Row],[Bottom '[mLAT']]]-TOWER_DATA[[#This Row],[Top '[mLAT']]]),"")</f>
        <v/>
      </c>
      <c r="CS23" s="85" t="str">
        <f t="shared" si="2"/>
        <v/>
      </c>
      <c r="CT23" s="85" t="str">
        <f>IFERROR((TOWER_DATA[[#This Row],[D, bottom '[m']]]+TOWER_DATA[[#This Row],[D, top '[m']]])/(2*TOWER_DATA[[#This Row],[t '[mm']]]/1000),"")</f>
        <v/>
      </c>
      <c r="CU23" s="85" t="str">
        <f>IFERROR((TOWER_DATA[[#This Row],[D, bottom '[m']]]+#REF!)/(2*#REF!/1000),"")</f>
        <v/>
      </c>
      <c r="CV23" s="104" t="s">
        <v>161</v>
      </c>
      <c r="CW23" s="104" t="s">
        <v>162</v>
      </c>
      <c r="CX23" s="104">
        <v>20.100000000000001</v>
      </c>
      <c r="CY23" s="104">
        <v>2</v>
      </c>
      <c r="CZ23" s="104" t="s">
        <v>143</v>
      </c>
      <c r="DA23" s="104" t="s">
        <v>144</v>
      </c>
      <c r="DB23" s="104">
        <v>0.85</v>
      </c>
      <c r="DD23" s="86"/>
      <c r="DE23" s="86"/>
      <c r="DF23" s="86"/>
      <c r="DG23" s="86"/>
      <c r="DH23" s="86"/>
      <c r="DI23" s="86"/>
      <c r="DK23" t="s">
        <v>161</v>
      </c>
      <c r="DL23" t="s">
        <v>162</v>
      </c>
      <c r="DM23">
        <v>20.100000000000001</v>
      </c>
      <c r="DN23">
        <v>2</v>
      </c>
      <c r="DO23" t="s">
        <v>143</v>
      </c>
      <c r="DP23" t="s">
        <v>144</v>
      </c>
      <c r="DQ23">
        <v>0.85</v>
      </c>
    </row>
    <row r="24" spans="1:121" x14ac:dyDescent="0.3">
      <c r="H24" s="85">
        <f>IFERROR(MP_DATA[[#This Row],[Bottom '[mLAT']]]-MP_DATA[[#This Row],[D, top '[m']]], "")</f>
        <v>0</v>
      </c>
      <c r="I24" s="85" t="str">
        <f>IFERROR(-(MP_DATA[[#This Row],[D, bottom '[m']]]-MP_DATA[[#This Row],[D, top '[m']]])/(MP_DATA[[#This Row],[Bottom '[mLAT']]]-MP_DATA[[#This Row],[Top '[mLAT']]]),"")</f>
        <v/>
      </c>
      <c r="J24" s="85" t="str">
        <f t="shared" si="0"/>
        <v/>
      </c>
      <c r="K24" s="85" t="str">
        <f>IFERROR((MP_DATA[[#This Row],[D, bottom '[m']]]+MP_DATA[[#This Row],[D, top '[m']]])/(2*MP_DATA[[#This Row],[t '[mm']]]/1000),"")</f>
        <v/>
      </c>
      <c r="L24" s="85" t="str">
        <f>IFERROR((MP_DATA[[#This Row],[D, bottom '[m']]]+#REF!)/(2*#REF!/1000),"")</f>
        <v/>
      </c>
      <c r="U24" s="86"/>
      <c r="V24" s="86"/>
      <c r="W24" s="86"/>
      <c r="X24" s="86"/>
      <c r="Y24" s="86"/>
      <c r="Z24" s="86"/>
      <c r="AW24" s="85" t="str">
        <f>IFERROR(TP_DATA[[#This Row],[Bottom '[mLAT']]]-TP_DATA[[#This Row],[D, top '[m']]], "")</f>
        <v/>
      </c>
      <c r="AX24" s="85" t="str">
        <f>IFERROR(-(TP_DATA[[#This Row],[D, bottom '[m']]]-TP_DATA[[#This Row],[D, top '[m']]])/(TP_DATA[[#This Row],[Bottom '[mLAT']]]-TP_DATA[[#This Row],[Top '[mLAT']]]),"")</f>
        <v/>
      </c>
      <c r="AY24" s="85" t="str">
        <f t="shared" si="1"/>
        <v/>
      </c>
      <c r="AZ24" s="85" t="str">
        <f>IFERROR((TP_DATA[[#This Row],[D, bottom '[m']]]+TP_DATA[[#This Row],[D, top '[m']]])/(2*TP_DATA[[#This Row],[t '[mm']]]/1000),"")</f>
        <v/>
      </c>
      <c r="BA24" s="85" t="str">
        <f>IFERROR((TP_DATA[[#This Row],[D, bottom '[m']]]+#REF!)/(2*#REF!/1000),"")</f>
        <v/>
      </c>
      <c r="BB24" t="s">
        <v>163</v>
      </c>
      <c r="BC24" t="s">
        <v>164</v>
      </c>
      <c r="BD24">
        <v>11.8</v>
      </c>
      <c r="BE24">
        <v>2.0099999999999998</v>
      </c>
      <c r="BF24" t="s">
        <v>143</v>
      </c>
      <c r="BG24" t="s">
        <v>144</v>
      </c>
      <c r="BH24">
        <v>0.85</v>
      </c>
      <c r="BJ24" s="86"/>
      <c r="BK24" s="86"/>
      <c r="BL24" s="86"/>
      <c r="BM24" s="86"/>
      <c r="BN24" s="86"/>
      <c r="BO24" s="86"/>
      <c r="BQ24" t="s">
        <v>163</v>
      </c>
      <c r="BR24" t="s">
        <v>164</v>
      </c>
      <c r="BS24">
        <v>11.8</v>
      </c>
      <c r="BT24">
        <v>2.0099999999999998</v>
      </c>
      <c r="BU24" t="s">
        <v>143</v>
      </c>
      <c r="BV24" t="s">
        <v>144</v>
      </c>
      <c r="BW24">
        <v>0.85</v>
      </c>
      <c r="CQ24" s="85" t="str">
        <f>IFERROR(TOWER_DATA[[#This Row],[Bottom '[mLAT']]]-TOWER_DATA[[#This Row],[D, top '[m']]], "")</f>
        <v/>
      </c>
      <c r="CR24" s="85" t="str">
        <f>IFERROR(-(TOWER_DATA[[#This Row],[D, bottom '[m']]]-TOWER_DATA[[#This Row],[D, top '[m']]])/(TOWER_DATA[[#This Row],[Bottom '[mLAT']]]-TOWER_DATA[[#This Row],[Top '[mLAT']]]),"")</f>
        <v/>
      </c>
      <c r="CS24" s="85" t="str">
        <f t="shared" si="2"/>
        <v/>
      </c>
      <c r="CT24" s="85" t="str">
        <f>IFERROR((TOWER_DATA[[#This Row],[D, bottom '[m']]]+TOWER_DATA[[#This Row],[D, top '[m']]])/(2*TOWER_DATA[[#This Row],[t '[mm']]]/1000),"")</f>
        <v/>
      </c>
      <c r="CU24" s="85" t="str">
        <f>IFERROR((TOWER_DATA[[#This Row],[D, bottom '[m']]]+#REF!)/(2*#REF!/1000),"")</f>
        <v/>
      </c>
      <c r="CV24" s="104" t="s">
        <v>163</v>
      </c>
      <c r="CW24" s="104" t="s">
        <v>164</v>
      </c>
      <c r="CX24" s="104">
        <v>11.8</v>
      </c>
      <c r="CY24" s="104">
        <v>2.0099999999999998</v>
      </c>
      <c r="CZ24" s="104" t="s">
        <v>143</v>
      </c>
      <c r="DA24" s="104" t="s">
        <v>144</v>
      </c>
      <c r="DB24" s="104">
        <v>0.85</v>
      </c>
      <c r="DD24" s="86"/>
      <c r="DE24" s="86"/>
      <c r="DF24" s="86"/>
      <c r="DG24" s="86"/>
      <c r="DH24" s="86"/>
      <c r="DI24" s="86"/>
      <c r="DK24" t="s">
        <v>163</v>
      </c>
      <c r="DL24" t="s">
        <v>164</v>
      </c>
      <c r="DM24">
        <v>11.8</v>
      </c>
      <c r="DN24">
        <v>2.0099999999999998</v>
      </c>
      <c r="DO24" t="s">
        <v>143</v>
      </c>
      <c r="DP24" t="s">
        <v>144</v>
      </c>
      <c r="DQ24">
        <v>0.85</v>
      </c>
    </row>
    <row r="25" spans="1:121" x14ac:dyDescent="0.3">
      <c r="H25" s="85">
        <f>IFERROR(MP_DATA[[#This Row],[Bottom '[mLAT']]]-MP_DATA[[#This Row],[D, top '[m']]], "")</f>
        <v>0</v>
      </c>
      <c r="I25" s="85" t="str">
        <f>IFERROR(-(MP_DATA[[#This Row],[D, bottom '[m']]]-MP_DATA[[#This Row],[D, top '[m']]])/(MP_DATA[[#This Row],[Bottom '[mLAT']]]-MP_DATA[[#This Row],[Top '[mLAT']]]),"")</f>
        <v/>
      </c>
      <c r="J25" s="85" t="str">
        <f t="shared" si="0"/>
        <v/>
      </c>
      <c r="K25" s="85" t="str">
        <f>IFERROR((MP_DATA[[#This Row],[D, bottom '[m']]]+MP_DATA[[#This Row],[D, top '[m']]])/(2*MP_DATA[[#This Row],[t '[mm']]]/1000),"")</f>
        <v/>
      </c>
      <c r="L25" s="85" t="str">
        <f>IFERROR((MP_DATA[[#This Row],[D, bottom '[m']]]+#REF!)/(2*#REF!/1000),"")</f>
        <v/>
      </c>
      <c r="U25" s="86"/>
      <c r="V25" s="86"/>
      <c r="W25" s="86"/>
      <c r="X25" s="86"/>
      <c r="Y25" s="86"/>
      <c r="Z25" s="86"/>
      <c r="AW25" s="85" t="str">
        <f>IFERROR(TP_DATA[[#This Row],[Bottom '[mLAT']]]-TP_DATA[[#This Row],[D, top '[m']]], "")</f>
        <v/>
      </c>
      <c r="AX25" s="85" t="str">
        <f>IFERROR(-(TP_DATA[[#This Row],[D, bottom '[m']]]-TP_DATA[[#This Row],[D, top '[m']]])/(TP_DATA[[#This Row],[Bottom '[mLAT']]]-TP_DATA[[#This Row],[Top '[mLAT']]]),"")</f>
        <v/>
      </c>
      <c r="AY25" s="85" t="str">
        <f t="shared" si="1"/>
        <v/>
      </c>
      <c r="AZ25" s="85" t="str">
        <f>IFERROR((TP_DATA[[#This Row],[D, bottom '[m']]]+TP_DATA[[#This Row],[D, top '[m']]])/(2*TP_DATA[[#This Row],[t '[mm']]]/1000),"")</f>
        <v/>
      </c>
      <c r="BA25" s="85" t="str">
        <f>IFERROR((TP_DATA[[#This Row],[D, bottom '[m']]]+#REF!)/(2*#REF!/1000),"")</f>
        <v/>
      </c>
      <c r="BB25" t="s">
        <v>165</v>
      </c>
      <c r="BC25" t="s">
        <v>166</v>
      </c>
      <c r="BD25">
        <v>11</v>
      </c>
      <c r="BE25">
        <v>1.03</v>
      </c>
      <c r="BF25" t="s">
        <v>143</v>
      </c>
      <c r="BG25" t="s">
        <v>145</v>
      </c>
      <c r="BJ25" s="86"/>
      <c r="BK25" s="86"/>
      <c r="BL25" s="86"/>
      <c r="BM25" s="86"/>
      <c r="BN25" s="86"/>
      <c r="BO25" s="86"/>
      <c r="BQ25" t="s">
        <v>165</v>
      </c>
      <c r="BR25" t="s">
        <v>166</v>
      </c>
      <c r="BS25">
        <v>11</v>
      </c>
      <c r="BT25">
        <v>1.03</v>
      </c>
      <c r="BU25" t="s">
        <v>143</v>
      </c>
      <c r="BV25" t="s">
        <v>145</v>
      </c>
      <c r="CQ25" s="85" t="str">
        <f>IFERROR(TOWER_DATA[[#This Row],[Bottom '[mLAT']]]-TOWER_DATA[[#This Row],[D, top '[m']]], "")</f>
        <v/>
      </c>
      <c r="CR25" s="85" t="str">
        <f>IFERROR(-(TOWER_DATA[[#This Row],[D, bottom '[m']]]-TOWER_DATA[[#This Row],[D, top '[m']]])/(TOWER_DATA[[#This Row],[Bottom '[mLAT']]]-TOWER_DATA[[#This Row],[Top '[mLAT']]]),"")</f>
        <v/>
      </c>
      <c r="CS25" s="85" t="str">
        <f t="shared" si="2"/>
        <v/>
      </c>
      <c r="CT25" s="85" t="str">
        <f>IFERROR((TOWER_DATA[[#This Row],[D, bottom '[m']]]+TOWER_DATA[[#This Row],[D, top '[m']]])/(2*TOWER_DATA[[#This Row],[t '[mm']]]/1000),"")</f>
        <v/>
      </c>
      <c r="CU25" s="85" t="str">
        <f>IFERROR((TOWER_DATA[[#This Row],[D, bottom '[m']]]+#REF!)/(2*#REF!/1000),"")</f>
        <v/>
      </c>
      <c r="CV25" s="104" t="s">
        <v>165</v>
      </c>
      <c r="CW25" s="104" t="s">
        <v>166</v>
      </c>
      <c r="CX25" s="104">
        <v>11</v>
      </c>
      <c r="CY25" s="104">
        <v>1.03</v>
      </c>
      <c r="CZ25" s="104" t="s">
        <v>143</v>
      </c>
      <c r="DA25" s="104" t="s">
        <v>145</v>
      </c>
      <c r="DB25" s="104"/>
      <c r="DD25" s="86"/>
      <c r="DE25" s="86"/>
      <c r="DF25" s="86"/>
      <c r="DG25" s="86"/>
      <c r="DH25" s="86"/>
      <c r="DI25" s="86"/>
      <c r="DK25" t="s">
        <v>165</v>
      </c>
      <c r="DL25" t="s">
        <v>166</v>
      </c>
      <c r="DM25">
        <v>11</v>
      </c>
      <c r="DN25">
        <v>1.03</v>
      </c>
      <c r="DO25" t="s">
        <v>143</v>
      </c>
      <c r="DP25" t="s">
        <v>145</v>
      </c>
    </row>
    <row r="26" spans="1:121" x14ac:dyDescent="0.3">
      <c r="H26" s="85">
        <f>IFERROR(MP_DATA[[#This Row],[Bottom '[mLAT']]]-MP_DATA[[#This Row],[D, top '[m']]], "")</f>
        <v>0</v>
      </c>
      <c r="I26" s="85" t="str">
        <f>IFERROR(-(MP_DATA[[#This Row],[D, bottom '[m']]]-MP_DATA[[#This Row],[D, top '[m']]])/(MP_DATA[[#This Row],[Bottom '[mLAT']]]-MP_DATA[[#This Row],[Top '[mLAT']]]),"")</f>
        <v/>
      </c>
      <c r="J26" s="85" t="str">
        <f t="shared" si="0"/>
        <v/>
      </c>
      <c r="K26" s="85" t="str">
        <f>IFERROR((MP_DATA[[#This Row],[D, bottom '[m']]]+MP_DATA[[#This Row],[D, top '[m']]])/(2*MP_DATA[[#This Row],[t '[mm']]]/1000),"")</f>
        <v/>
      </c>
      <c r="L26" s="85" t="str">
        <f>IFERROR((MP_DATA[[#This Row],[D, bottom '[m']]]+#REF!)/(2*#REF!/1000),"")</f>
        <v/>
      </c>
      <c r="U26" s="86"/>
      <c r="V26" s="86"/>
      <c r="W26" s="86"/>
      <c r="X26" s="86"/>
      <c r="Y26" s="86"/>
      <c r="Z26" s="86"/>
      <c r="AB26" s="86"/>
      <c r="AC26" s="86"/>
      <c r="AD26" s="86"/>
      <c r="AE26" s="86"/>
      <c r="AF26" s="86"/>
      <c r="AG26" s="86"/>
      <c r="AH26" s="86"/>
      <c r="AW26" s="85" t="str">
        <f>IFERROR(TP_DATA[[#This Row],[Bottom '[mLAT']]]-TP_DATA[[#This Row],[D, top '[m']]], "")</f>
        <v/>
      </c>
      <c r="AX26" s="85" t="str">
        <f>IFERROR(-(TP_DATA[[#This Row],[D, bottom '[m']]]-TP_DATA[[#This Row],[D, top '[m']]])/(TP_DATA[[#This Row],[Bottom '[mLAT']]]-TP_DATA[[#This Row],[Top '[mLAT']]]),"")</f>
        <v/>
      </c>
      <c r="AY26" s="85" t="str">
        <f t="shared" si="1"/>
        <v/>
      </c>
      <c r="AZ26" s="85" t="str">
        <f>IFERROR((TP_DATA[[#This Row],[D, bottom '[m']]]+TP_DATA[[#This Row],[D, top '[m']]])/(2*TP_DATA[[#This Row],[t '[mm']]]/1000),"")</f>
        <v/>
      </c>
      <c r="BA26" s="85" t="str">
        <f>IFERROR((TP_DATA[[#This Row],[D, bottom '[m']]]+#REF!)/(2*#REF!/1000),"")</f>
        <v/>
      </c>
      <c r="BB26" t="s">
        <v>167</v>
      </c>
      <c r="BC26" t="s">
        <v>166</v>
      </c>
      <c r="BD26">
        <v>9.0399999999999991</v>
      </c>
      <c r="BE26">
        <v>1.04</v>
      </c>
      <c r="BF26" t="s">
        <v>143</v>
      </c>
      <c r="BG26" t="s">
        <v>142</v>
      </c>
      <c r="BJ26" s="86"/>
      <c r="BK26" s="86"/>
      <c r="BL26" s="86"/>
      <c r="BM26" s="86"/>
      <c r="BN26" s="86"/>
      <c r="BO26" s="86"/>
      <c r="BQ26" s="86" t="s">
        <v>167</v>
      </c>
      <c r="BR26" s="86" t="s">
        <v>166</v>
      </c>
      <c r="BS26" s="86">
        <v>9.0399999999999991</v>
      </c>
      <c r="BT26" s="86">
        <v>1.04</v>
      </c>
      <c r="BU26" s="86" t="s">
        <v>143</v>
      </c>
      <c r="BV26" s="86" t="s">
        <v>142</v>
      </c>
      <c r="BW26" s="86"/>
      <c r="CQ26" s="85" t="str">
        <f>IFERROR(TOWER_DATA[[#This Row],[Bottom '[mLAT']]]-TOWER_DATA[[#This Row],[D, top '[m']]], "")</f>
        <v/>
      </c>
      <c r="CR26" s="85" t="str">
        <f>IFERROR(-(TOWER_DATA[[#This Row],[D, bottom '[m']]]-TOWER_DATA[[#This Row],[D, top '[m']]])/(TOWER_DATA[[#This Row],[Bottom '[mLAT']]]-TOWER_DATA[[#This Row],[Top '[mLAT']]]),"")</f>
        <v/>
      </c>
      <c r="CS26" s="85" t="str">
        <f t="shared" si="2"/>
        <v/>
      </c>
      <c r="CT26" s="85" t="str">
        <f>IFERROR((TOWER_DATA[[#This Row],[D, bottom '[m']]]+TOWER_DATA[[#This Row],[D, top '[m']]])/(2*TOWER_DATA[[#This Row],[t '[mm']]]/1000),"")</f>
        <v/>
      </c>
      <c r="CU26" s="85" t="str">
        <f>IFERROR((TOWER_DATA[[#This Row],[D, bottom '[m']]]+#REF!)/(2*#REF!/1000),"")</f>
        <v/>
      </c>
      <c r="CV26" s="104" t="s">
        <v>167</v>
      </c>
      <c r="CW26" s="104" t="s">
        <v>166</v>
      </c>
      <c r="CX26" s="104">
        <v>9.0399999999999991</v>
      </c>
      <c r="CY26" s="104">
        <v>1.04</v>
      </c>
      <c r="CZ26" s="104" t="s">
        <v>143</v>
      </c>
      <c r="DA26" s="104" t="s">
        <v>142</v>
      </c>
      <c r="DB26" s="104"/>
      <c r="DD26" s="86"/>
      <c r="DE26" s="86"/>
      <c r="DF26" s="86"/>
      <c r="DG26" s="86"/>
      <c r="DH26" s="86"/>
      <c r="DI26" s="86"/>
      <c r="DK26" s="86" t="s">
        <v>167</v>
      </c>
      <c r="DL26" s="86" t="s">
        <v>166</v>
      </c>
      <c r="DM26" s="86">
        <v>9.0399999999999991</v>
      </c>
      <c r="DN26" s="86">
        <v>1.04</v>
      </c>
      <c r="DO26" s="86" t="s">
        <v>143</v>
      </c>
      <c r="DP26" s="86" t="s">
        <v>142</v>
      </c>
      <c r="DQ26" s="86"/>
    </row>
    <row r="27" spans="1:121" x14ac:dyDescent="0.3">
      <c r="H27" s="85">
        <f>IFERROR(MP_DATA[[#This Row],[Bottom '[mLAT']]]-MP_DATA[[#This Row],[D, top '[m']]], "")</f>
        <v>0</v>
      </c>
      <c r="I27" s="85" t="str">
        <f>IFERROR(-(MP_DATA[[#This Row],[D, bottom '[m']]]-MP_DATA[[#This Row],[D, top '[m']]])/(MP_DATA[[#This Row],[Bottom '[mLAT']]]-MP_DATA[[#This Row],[Top '[mLAT']]]),"")</f>
        <v/>
      </c>
      <c r="J27" s="85" t="str">
        <f t="shared" si="0"/>
        <v/>
      </c>
      <c r="K27" s="85" t="str">
        <f>IFERROR((MP_DATA[[#This Row],[D, bottom '[m']]]+MP_DATA[[#This Row],[D, top '[m']]])/(2*MP_DATA[[#This Row],[t '[mm']]]/1000),"")</f>
        <v/>
      </c>
      <c r="L27" s="85" t="str">
        <f>IFERROR((MP_DATA[[#This Row],[D, bottom '[m']]]+#REF!)/(2*#REF!/1000),"")</f>
        <v/>
      </c>
      <c r="U27" s="86"/>
      <c r="V27" s="86"/>
      <c r="W27" s="86"/>
      <c r="X27" s="86"/>
      <c r="Y27" s="86"/>
      <c r="Z27" s="86"/>
      <c r="AB27" s="86"/>
      <c r="AC27" s="86"/>
      <c r="AD27" s="86"/>
      <c r="AE27" s="86"/>
      <c r="AF27" s="86"/>
      <c r="AG27" s="86"/>
      <c r="AW27" s="85" t="str">
        <f>IFERROR(TP_DATA[[#This Row],[Bottom '[mLAT']]]-TP_DATA[[#This Row],[D, top '[m']]], "")</f>
        <v/>
      </c>
      <c r="AX27" s="85" t="str">
        <f>IFERROR(-(TP_DATA[[#This Row],[D, bottom '[m']]]-TP_DATA[[#This Row],[D, top '[m']]])/(TP_DATA[[#This Row],[Bottom '[mLAT']]]-TP_DATA[[#This Row],[Top '[mLAT']]]),"")</f>
        <v/>
      </c>
      <c r="AY27" s="85" t="str">
        <f t="shared" si="1"/>
        <v/>
      </c>
      <c r="AZ27" s="85" t="str">
        <f>IFERROR((TP_DATA[[#This Row],[D, bottom '[m']]]+TP_DATA[[#This Row],[D, top '[m']]])/(2*TP_DATA[[#This Row],[t '[mm']]]/1000),"")</f>
        <v/>
      </c>
      <c r="BA27" s="85" t="str">
        <f>IFERROR((TP_DATA[[#This Row],[D, bottom '[m']]]+#REF!)/(2*#REF!/1000),"")</f>
        <v/>
      </c>
      <c r="BB27" t="s">
        <v>168</v>
      </c>
      <c r="BC27" t="s">
        <v>169</v>
      </c>
      <c r="BD27">
        <v>6</v>
      </c>
      <c r="BE27">
        <v>1.25</v>
      </c>
      <c r="BF27" t="s">
        <v>141</v>
      </c>
      <c r="BG27" t="s">
        <v>142</v>
      </c>
      <c r="BJ27" s="86"/>
      <c r="BK27" s="86"/>
      <c r="BL27" s="86"/>
      <c r="BM27" s="86"/>
      <c r="BN27" s="86"/>
      <c r="BO27" s="86"/>
      <c r="BQ27" s="86" t="s">
        <v>168</v>
      </c>
      <c r="BR27" s="86" t="s">
        <v>169</v>
      </c>
      <c r="BS27" s="86">
        <v>6</v>
      </c>
      <c r="BT27" s="86">
        <v>1.25</v>
      </c>
      <c r="BU27" s="86" t="s">
        <v>141</v>
      </c>
      <c r="BV27" s="86" t="s">
        <v>142</v>
      </c>
      <c r="CQ27" s="85" t="str">
        <f>IFERROR(TOWER_DATA[[#This Row],[Bottom '[mLAT']]]-TOWER_DATA[[#This Row],[D, top '[m']]], "")</f>
        <v/>
      </c>
      <c r="CR27" s="85" t="str">
        <f>IFERROR(-(TOWER_DATA[[#This Row],[D, bottom '[m']]]-TOWER_DATA[[#This Row],[D, top '[m']]])/(TOWER_DATA[[#This Row],[Bottom '[mLAT']]]-TOWER_DATA[[#This Row],[Top '[mLAT']]]),"")</f>
        <v/>
      </c>
      <c r="CS27" s="85" t="str">
        <f t="shared" si="2"/>
        <v/>
      </c>
      <c r="CT27" s="85" t="str">
        <f>IFERROR((TOWER_DATA[[#This Row],[D, bottom '[m']]]+TOWER_DATA[[#This Row],[D, top '[m']]])/(2*TOWER_DATA[[#This Row],[t '[mm']]]/1000),"")</f>
        <v/>
      </c>
      <c r="CU27" s="85" t="str">
        <f>IFERROR((TOWER_DATA[[#This Row],[D, bottom '[m']]]+#REF!)/(2*#REF!/1000),"")</f>
        <v/>
      </c>
      <c r="CV27" s="104" t="s">
        <v>168</v>
      </c>
      <c r="CW27" s="104" t="s">
        <v>169</v>
      </c>
      <c r="CX27" s="104">
        <v>6</v>
      </c>
      <c r="CY27" s="104">
        <v>1.25</v>
      </c>
      <c r="CZ27" s="104" t="s">
        <v>141</v>
      </c>
      <c r="DA27" s="104" t="s">
        <v>142</v>
      </c>
      <c r="DB27" s="104"/>
      <c r="DD27" s="86"/>
      <c r="DE27" s="86"/>
      <c r="DF27" s="86"/>
      <c r="DG27" s="86"/>
      <c r="DH27" s="86"/>
      <c r="DI27" s="86"/>
      <c r="DK27" s="86" t="s">
        <v>168</v>
      </c>
      <c r="DL27" s="86" t="s">
        <v>169</v>
      </c>
      <c r="DM27" s="86">
        <v>6</v>
      </c>
      <c r="DN27" s="86">
        <v>1.25</v>
      </c>
      <c r="DO27" s="86" t="s">
        <v>141</v>
      </c>
      <c r="DP27" s="86" t="s">
        <v>142</v>
      </c>
    </row>
    <row r="28" spans="1:121" x14ac:dyDescent="0.3">
      <c r="H28" s="85">
        <f>IFERROR(MP_DATA[[#This Row],[Bottom '[mLAT']]]-MP_DATA[[#This Row],[D, top '[m']]], "")</f>
        <v>0</v>
      </c>
      <c r="I28" s="85" t="str">
        <f>IFERROR(-(MP_DATA[[#This Row],[D, bottom '[m']]]-MP_DATA[[#This Row],[D, top '[m']]])/(MP_DATA[[#This Row],[Bottom '[mLAT']]]-MP_DATA[[#This Row],[Top '[mLAT']]]),"")</f>
        <v/>
      </c>
      <c r="J28" s="85" t="str">
        <f t="shared" si="0"/>
        <v/>
      </c>
      <c r="K28" s="85" t="str">
        <f>IFERROR((MP_DATA[[#This Row],[D, bottom '[m']]]+MP_DATA[[#This Row],[D, top '[m']]])/(2*MP_DATA[[#This Row],[t '[mm']]]/1000),"")</f>
        <v/>
      </c>
      <c r="L28" s="85" t="str">
        <f>IFERROR((MP_DATA[[#This Row],[D, bottom '[m']]]+#REF!)/(2*#REF!/1000),"")</f>
        <v/>
      </c>
      <c r="U28" s="86"/>
      <c r="V28" s="86"/>
      <c r="W28" s="86"/>
      <c r="X28" s="86"/>
      <c r="Y28" s="86"/>
      <c r="Z28" s="86"/>
      <c r="AB28" s="86"/>
      <c r="AC28" s="86"/>
      <c r="AD28" s="86"/>
      <c r="AE28" s="86"/>
      <c r="AF28" s="86"/>
      <c r="AG28" s="86"/>
      <c r="AW28" s="85" t="str">
        <f>IFERROR(TP_DATA[[#This Row],[Bottom '[mLAT']]]-TP_DATA[[#This Row],[D, top '[m']]], "")</f>
        <v/>
      </c>
      <c r="AX28" s="85" t="str">
        <f>IFERROR(-(TP_DATA[[#This Row],[D, bottom '[m']]]-TP_DATA[[#This Row],[D, top '[m']]])/(TP_DATA[[#This Row],[Bottom '[mLAT']]]-TP_DATA[[#This Row],[Top '[mLAT']]]),"")</f>
        <v/>
      </c>
      <c r="AY28" s="85" t="str">
        <f t="shared" si="1"/>
        <v/>
      </c>
      <c r="AZ28" s="85" t="str">
        <f>IFERROR((TP_DATA[[#This Row],[D, bottom '[m']]]+TP_DATA[[#This Row],[D, top '[m']]])/(2*TP_DATA[[#This Row],[t '[mm']]]/1000),"")</f>
        <v/>
      </c>
      <c r="BA28" s="85" t="str">
        <f>IFERROR((TP_DATA[[#This Row],[D, bottom '[m']]]+#REF!)/(2*#REF!/1000),"")</f>
        <v/>
      </c>
      <c r="BB28" t="s">
        <v>170</v>
      </c>
      <c r="BC28" t="s">
        <v>171</v>
      </c>
      <c r="BD28">
        <v>10</v>
      </c>
      <c r="BE28">
        <v>23</v>
      </c>
      <c r="BF28" t="s">
        <v>141</v>
      </c>
      <c r="BG28" t="s">
        <v>145</v>
      </c>
      <c r="BJ28" s="86"/>
      <c r="BK28" s="86"/>
      <c r="BL28" s="86"/>
      <c r="BM28" s="86"/>
      <c r="BN28" s="86"/>
      <c r="BO28" s="86"/>
      <c r="BQ28" s="86" t="s">
        <v>170</v>
      </c>
      <c r="BR28" s="86" t="s">
        <v>171</v>
      </c>
      <c r="BS28" s="86">
        <v>10</v>
      </c>
      <c r="BT28" s="86">
        <v>23</v>
      </c>
      <c r="BU28" s="86" t="s">
        <v>141</v>
      </c>
      <c r="BV28" s="86" t="s">
        <v>145</v>
      </c>
      <c r="CQ28" s="85" t="str">
        <f>IFERROR(TOWER_DATA[[#This Row],[Bottom '[mLAT']]]-TOWER_DATA[[#This Row],[D, top '[m']]], "")</f>
        <v/>
      </c>
      <c r="CR28" s="85" t="str">
        <f>IFERROR(-(TOWER_DATA[[#This Row],[D, bottom '[m']]]-TOWER_DATA[[#This Row],[D, top '[m']]])/(TOWER_DATA[[#This Row],[Bottom '[mLAT']]]-TOWER_DATA[[#This Row],[Top '[mLAT']]]),"")</f>
        <v/>
      </c>
      <c r="CS28" s="85" t="str">
        <f t="shared" si="2"/>
        <v/>
      </c>
      <c r="CT28" s="85" t="str">
        <f>IFERROR((TOWER_DATA[[#This Row],[D, bottom '[m']]]+TOWER_DATA[[#This Row],[D, top '[m']]])/(2*TOWER_DATA[[#This Row],[t '[mm']]]/1000),"")</f>
        <v/>
      </c>
      <c r="CU28" s="85" t="str">
        <f>IFERROR((TOWER_DATA[[#This Row],[D, bottom '[m']]]+#REF!)/(2*#REF!/1000),"")</f>
        <v/>
      </c>
      <c r="CV28" s="104" t="s">
        <v>170</v>
      </c>
      <c r="CW28" s="104" t="s">
        <v>171</v>
      </c>
      <c r="CX28" s="104">
        <v>10</v>
      </c>
      <c r="CY28" s="104">
        <v>23</v>
      </c>
      <c r="CZ28" s="104" t="s">
        <v>141</v>
      </c>
      <c r="DA28" s="104" t="s">
        <v>145</v>
      </c>
      <c r="DB28" s="104"/>
      <c r="DD28" s="86"/>
      <c r="DE28" s="86"/>
      <c r="DF28" s="86"/>
      <c r="DG28" s="86"/>
      <c r="DH28" s="86"/>
      <c r="DI28" s="86"/>
      <c r="DK28" s="86" t="s">
        <v>170</v>
      </c>
      <c r="DL28" s="86" t="s">
        <v>171</v>
      </c>
      <c r="DM28" s="86">
        <v>10</v>
      </c>
      <c r="DN28" s="86">
        <v>23</v>
      </c>
      <c r="DO28" s="86" t="s">
        <v>141</v>
      </c>
      <c r="DP28" s="86" t="s">
        <v>145</v>
      </c>
    </row>
    <row r="29" spans="1:121" x14ac:dyDescent="0.3">
      <c r="H29" s="85">
        <f>IFERROR(MP_DATA[[#This Row],[Bottom '[mLAT']]]-MP_DATA[[#This Row],[D, top '[m']]], "")</f>
        <v>0</v>
      </c>
      <c r="I29" s="85" t="str">
        <f>IFERROR(-(MP_DATA[[#This Row],[D, bottom '[m']]]-MP_DATA[[#This Row],[D, top '[m']]])/(MP_DATA[[#This Row],[Bottom '[mLAT']]]-MP_DATA[[#This Row],[Top '[mLAT']]]),"")</f>
        <v/>
      </c>
      <c r="J29" s="85" t="str">
        <f t="shared" si="0"/>
        <v/>
      </c>
      <c r="K29" s="85" t="str">
        <f>IFERROR((MP_DATA[[#This Row],[D, bottom '[m']]]+MP_DATA[[#This Row],[D, top '[m']]])/(2*MP_DATA[[#This Row],[t '[mm']]]/1000),"")</f>
        <v/>
      </c>
      <c r="L29" s="85" t="str">
        <f>IFERROR((MP_DATA[[#This Row],[D, bottom '[m']]]+#REF!)/(2*#REF!/1000),"")</f>
        <v/>
      </c>
      <c r="U29" s="86"/>
      <c r="V29" s="86"/>
      <c r="W29" s="86"/>
      <c r="X29" s="86"/>
      <c r="Y29" s="86"/>
      <c r="Z29" s="86"/>
      <c r="AW29" s="85" t="str">
        <f>IFERROR(TP_DATA[[#This Row],[Bottom '[mLAT']]]-TP_DATA[[#This Row],[D, top '[m']]], "")</f>
        <v/>
      </c>
      <c r="AX29" s="85" t="str">
        <f>IFERROR(-(TP_DATA[[#This Row],[D, bottom '[m']]]-TP_DATA[[#This Row],[D, top '[m']]])/(TP_DATA[[#This Row],[Bottom '[mLAT']]]-TP_DATA[[#This Row],[Top '[mLAT']]]),"")</f>
        <v/>
      </c>
      <c r="AY29" s="85" t="str">
        <f t="shared" si="1"/>
        <v/>
      </c>
      <c r="AZ29" s="85" t="str">
        <f>IFERROR((TP_DATA[[#This Row],[D, bottom '[m']]]+TP_DATA[[#This Row],[D, top '[m']]])/(2*TP_DATA[[#This Row],[t '[mm']]]/1000),"")</f>
        <v/>
      </c>
      <c r="BA29" s="85" t="str">
        <f>IFERROR((TP_DATA[[#This Row],[D, bottom '[m']]]+#REF!)/(2*#REF!/1000),"")</f>
        <v/>
      </c>
      <c r="BJ29" s="86"/>
      <c r="BK29" s="86"/>
      <c r="BL29" s="86"/>
      <c r="BM29" s="86"/>
      <c r="BN29" s="86"/>
      <c r="BO29" s="86"/>
      <c r="CQ29" s="85" t="str">
        <f>IFERROR(TOWER_DATA[[#This Row],[Bottom '[mLAT']]]-TOWER_DATA[[#This Row],[D, top '[m']]], "")</f>
        <v/>
      </c>
      <c r="CR29" s="85" t="str">
        <f>IFERROR(-(TOWER_DATA[[#This Row],[D, bottom '[m']]]-TOWER_DATA[[#This Row],[D, top '[m']]])/(TOWER_DATA[[#This Row],[Bottom '[mLAT']]]-TOWER_DATA[[#This Row],[Top '[mLAT']]]),"")</f>
        <v/>
      </c>
      <c r="CS29" s="85" t="str">
        <f t="shared" si="2"/>
        <v/>
      </c>
      <c r="CT29" s="85" t="str">
        <f>IFERROR((TOWER_DATA[[#This Row],[D, bottom '[m']]]+TOWER_DATA[[#This Row],[D, top '[m']]])/(2*TOWER_DATA[[#This Row],[t '[mm']]]/1000),"")</f>
        <v/>
      </c>
      <c r="CU29" s="85" t="str">
        <f>IFERROR((TOWER_DATA[[#This Row],[D, bottom '[m']]]+#REF!)/(2*#REF!/1000),"")</f>
        <v/>
      </c>
      <c r="DD29" s="86"/>
      <c r="DE29" s="86"/>
      <c r="DF29" s="86"/>
      <c r="DG29" s="86"/>
      <c r="DH29" s="86"/>
      <c r="DI29" s="86"/>
    </row>
    <row r="30" spans="1:121" x14ac:dyDescent="0.3">
      <c r="H30" s="85">
        <f>IFERROR(MP_DATA[[#This Row],[Bottom '[mLAT']]]-MP_DATA[[#This Row],[D, top '[m']]], "")</f>
        <v>0</v>
      </c>
      <c r="I30" s="85" t="str">
        <f>IFERROR(-(MP_DATA[[#This Row],[D, bottom '[m']]]-MP_DATA[[#This Row],[D, top '[m']]])/(MP_DATA[[#This Row],[Bottom '[mLAT']]]-MP_DATA[[#This Row],[Top '[mLAT']]]),"")</f>
        <v/>
      </c>
      <c r="J30" s="85" t="str">
        <f t="shared" si="0"/>
        <v/>
      </c>
      <c r="K30" s="85" t="str">
        <f>IFERROR((MP_DATA[[#This Row],[D, bottom '[m']]]+MP_DATA[[#This Row],[D, top '[m']]])/(2*MP_DATA[[#This Row],[t '[mm']]]/1000),"")</f>
        <v/>
      </c>
      <c r="L30" s="85" t="str">
        <f>IFERROR((MP_DATA[[#This Row],[D, bottom '[m']]]+#REF!)/(2*#REF!/1000),"")</f>
        <v/>
      </c>
      <c r="U30" s="86"/>
      <c r="V30" s="86"/>
      <c r="W30" s="86"/>
      <c r="X30" s="86"/>
      <c r="Y30" s="86"/>
      <c r="Z30" s="86"/>
      <c r="AW30" s="85" t="str">
        <f>IFERROR(TP_DATA[[#This Row],[Bottom '[mLAT']]]-TP_DATA[[#This Row],[D, top '[m']]], "")</f>
        <v/>
      </c>
      <c r="AX30" s="85" t="str">
        <f>IFERROR(-(TP_DATA[[#This Row],[D, bottom '[m']]]-TP_DATA[[#This Row],[D, top '[m']]])/(TP_DATA[[#This Row],[Bottom '[mLAT']]]-TP_DATA[[#This Row],[Top '[mLAT']]]),"")</f>
        <v/>
      </c>
      <c r="AY30" s="85" t="str">
        <f t="shared" si="1"/>
        <v/>
      </c>
      <c r="AZ30" s="85" t="str">
        <f>IFERROR((TP_DATA[[#This Row],[D, bottom '[m']]]+TP_DATA[[#This Row],[D, top '[m']]])/(2*TP_DATA[[#This Row],[t '[mm']]]/1000),"")</f>
        <v/>
      </c>
      <c r="BA30" s="85" t="str">
        <f>IFERROR((TP_DATA[[#This Row],[D, bottom '[m']]]+#REF!)/(2*#REF!/1000),"")</f>
        <v/>
      </c>
      <c r="BJ30" s="86"/>
      <c r="BK30" s="86"/>
      <c r="BL30" s="86"/>
      <c r="BM30" s="86"/>
      <c r="BN30" s="86"/>
      <c r="BO30" s="86"/>
      <c r="CQ30" s="85" t="str">
        <f>IFERROR(TOWER_DATA[[#This Row],[Bottom '[mLAT']]]-TOWER_DATA[[#This Row],[D, top '[m']]], "")</f>
        <v/>
      </c>
      <c r="CR30" s="85" t="str">
        <f>IFERROR(-(TOWER_DATA[[#This Row],[D, bottom '[m']]]-TOWER_DATA[[#This Row],[D, top '[m']]])/(TOWER_DATA[[#This Row],[Bottom '[mLAT']]]-TOWER_DATA[[#This Row],[Top '[mLAT']]]),"")</f>
        <v/>
      </c>
      <c r="CS30" s="85" t="str">
        <f t="shared" si="2"/>
        <v/>
      </c>
      <c r="CT30" s="85" t="str">
        <f>IFERROR((TOWER_DATA[[#This Row],[D, bottom '[m']]]+TOWER_DATA[[#This Row],[D, top '[m']]])/(2*TOWER_DATA[[#This Row],[t '[mm']]]/1000),"")</f>
        <v/>
      </c>
      <c r="CU30" s="85" t="str">
        <f>IFERROR((TOWER_DATA[[#This Row],[D, bottom '[m']]]+#REF!)/(2*#REF!/1000),"")</f>
        <v/>
      </c>
      <c r="DD30" s="86"/>
      <c r="DE30" s="86"/>
      <c r="DF30" s="86"/>
      <c r="DG30" s="86"/>
      <c r="DH30" s="86"/>
      <c r="DI30" s="86"/>
    </row>
    <row r="31" spans="1:121" x14ac:dyDescent="0.3">
      <c r="H31" s="85">
        <f>IFERROR(MP_DATA[[#This Row],[Bottom '[mLAT']]]-MP_DATA[[#This Row],[D, top '[m']]], "")</f>
        <v>0</v>
      </c>
      <c r="I31" s="85" t="str">
        <f>IFERROR(-(MP_DATA[[#This Row],[D, bottom '[m']]]-MP_DATA[[#This Row],[D, top '[m']]])/(MP_DATA[[#This Row],[Bottom '[mLAT']]]-MP_DATA[[#This Row],[Top '[mLAT']]]),"")</f>
        <v/>
      </c>
      <c r="J31" s="85" t="str">
        <f t="shared" si="0"/>
        <v/>
      </c>
      <c r="K31" s="85" t="str">
        <f>IFERROR((MP_DATA[[#This Row],[D, bottom '[m']]]+MP_DATA[[#This Row],[D, top '[m']]])/(2*MP_DATA[[#This Row],[t '[mm']]]/1000),"")</f>
        <v/>
      </c>
      <c r="L31" s="85" t="str">
        <f>IFERROR((MP_DATA[[#This Row],[D, bottom '[m']]]+#REF!)/(2*#REF!/1000),"")</f>
        <v/>
      </c>
      <c r="U31" s="86"/>
      <c r="V31" s="86"/>
      <c r="W31" s="86"/>
      <c r="X31" s="86"/>
      <c r="Y31" s="86"/>
      <c r="Z31" s="86"/>
      <c r="AW31" s="85" t="str">
        <f>IFERROR(TP_DATA[[#This Row],[Bottom '[mLAT']]]-TP_DATA[[#This Row],[D, top '[m']]], "")</f>
        <v/>
      </c>
      <c r="AX31" s="85" t="str">
        <f>IFERROR(-(TP_DATA[[#This Row],[D, bottom '[m']]]-TP_DATA[[#This Row],[D, top '[m']]])/(TP_DATA[[#This Row],[Bottom '[mLAT']]]-TP_DATA[[#This Row],[Top '[mLAT']]]),"")</f>
        <v/>
      </c>
      <c r="AY31" s="85" t="str">
        <f t="shared" si="1"/>
        <v/>
      </c>
      <c r="AZ31" s="85" t="str">
        <f>IFERROR((TP_DATA[[#This Row],[D, bottom '[m']]]+TP_DATA[[#This Row],[D, top '[m']]])/(2*TP_DATA[[#This Row],[t '[mm']]]/1000),"")</f>
        <v/>
      </c>
      <c r="BA31" s="85" t="str">
        <f>IFERROR((TP_DATA[[#This Row],[D, bottom '[m']]]+#REF!)/(2*#REF!/1000),"")</f>
        <v/>
      </c>
      <c r="BJ31" s="86"/>
      <c r="BK31" s="86"/>
      <c r="BL31" s="86"/>
      <c r="BM31" s="86"/>
      <c r="BN31" s="86"/>
      <c r="BO31" s="86"/>
      <c r="CQ31" s="85" t="str">
        <f>IFERROR(TOWER_DATA[[#This Row],[Bottom '[mLAT']]]-TOWER_DATA[[#This Row],[D, top '[m']]], "")</f>
        <v/>
      </c>
      <c r="CR31" s="85" t="str">
        <f>IFERROR(-(TOWER_DATA[[#This Row],[D, bottom '[m']]]-TOWER_DATA[[#This Row],[D, top '[m']]])/(TOWER_DATA[[#This Row],[Bottom '[mLAT']]]-TOWER_DATA[[#This Row],[Top '[mLAT']]]),"")</f>
        <v/>
      </c>
      <c r="CS31" s="85" t="str">
        <f t="shared" si="2"/>
        <v/>
      </c>
      <c r="CT31" s="85" t="str">
        <f>IFERROR((TOWER_DATA[[#This Row],[D, bottom '[m']]]+TOWER_DATA[[#This Row],[D, top '[m']]])/(2*TOWER_DATA[[#This Row],[t '[mm']]]/1000),"")</f>
        <v/>
      </c>
      <c r="CU31" s="85" t="str">
        <f>IFERROR((TOWER_DATA[[#This Row],[D, bottom '[m']]]+#REF!)/(2*#REF!/1000),"")</f>
        <v/>
      </c>
      <c r="DD31" s="86"/>
      <c r="DE31" s="86"/>
      <c r="DF31" s="86"/>
      <c r="DG31" s="86"/>
      <c r="DH31" s="86"/>
      <c r="DI31" s="86"/>
    </row>
    <row r="32" spans="1:121" x14ac:dyDescent="0.3">
      <c r="H32" s="85">
        <f>IFERROR(MP_DATA[[#This Row],[Bottom '[mLAT']]]-MP_DATA[[#This Row],[D, top '[m']]], "")</f>
        <v>0</v>
      </c>
      <c r="I32" s="85" t="str">
        <f>IFERROR(-(MP_DATA[[#This Row],[D, bottom '[m']]]-MP_DATA[[#This Row],[D, top '[m']]])/(MP_DATA[[#This Row],[Bottom '[mLAT']]]-MP_DATA[[#This Row],[Top '[mLAT']]]),"")</f>
        <v/>
      </c>
      <c r="J32" s="85" t="str">
        <f t="shared" si="0"/>
        <v/>
      </c>
      <c r="K32" s="85" t="str">
        <f>IFERROR((MP_DATA[[#This Row],[D, bottom '[m']]]+MP_DATA[[#This Row],[D, top '[m']]])/(2*MP_DATA[[#This Row],[t '[mm']]]/1000),"")</f>
        <v/>
      </c>
      <c r="L32" s="85" t="str">
        <f>IFERROR((MP_DATA[[#This Row],[D, bottom '[m']]]+#REF!)/(2*#REF!/1000),"")</f>
        <v/>
      </c>
      <c r="U32" s="86"/>
      <c r="V32" s="86"/>
      <c r="W32" s="86"/>
      <c r="X32" s="86"/>
      <c r="Y32" s="86"/>
      <c r="Z32" s="86"/>
      <c r="AW32" s="85" t="str">
        <f>IFERROR(TP_DATA[[#This Row],[Bottom '[mLAT']]]-TP_DATA[[#This Row],[D, top '[m']]], "")</f>
        <v/>
      </c>
      <c r="AX32" s="85" t="str">
        <f>IFERROR(-(TP_DATA[[#This Row],[D, bottom '[m']]]-TP_DATA[[#This Row],[D, top '[m']]])/(TP_DATA[[#This Row],[Bottom '[mLAT']]]-TP_DATA[[#This Row],[Top '[mLAT']]]),"")</f>
        <v/>
      </c>
      <c r="AY32" s="85" t="str">
        <f t="shared" si="1"/>
        <v/>
      </c>
      <c r="AZ32" s="85" t="str">
        <f>IFERROR((TP_DATA[[#This Row],[D, bottom '[m']]]+TP_DATA[[#This Row],[D, top '[m']]])/(2*TP_DATA[[#This Row],[t '[mm']]]/1000),"")</f>
        <v/>
      </c>
      <c r="BA32" s="85" t="str">
        <f>IFERROR((TP_DATA[[#This Row],[D, bottom '[m']]]+#REF!)/(2*#REF!/1000),"")</f>
        <v/>
      </c>
      <c r="BJ32" s="86"/>
      <c r="BK32" s="86"/>
      <c r="BL32" s="86"/>
      <c r="BM32" s="86"/>
      <c r="BN32" s="86"/>
      <c r="BO32" s="86"/>
      <c r="CQ32" s="85" t="str">
        <f>IFERROR(TOWER_DATA[[#This Row],[Bottom '[mLAT']]]-TOWER_DATA[[#This Row],[D, top '[m']]], "")</f>
        <v/>
      </c>
      <c r="CR32" s="85" t="str">
        <f>IFERROR(-(TOWER_DATA[[#This Row],[D, bottom '[m']]]-TOWER_DATA[[#This Row],[D, top '[m']]])/(TOWER_DATA[[#This Row],[Bottom '[mLAT']]]-TOWER_DATA[[#This Row],[Top '[mLAT']]]),"")</f>
        <v/>
      </c>
      <c r="CS32" s="85" t="str">
        <f t="shared" si="2"/>
        <v/>
      </c>
      <c r="CT32" s="85" t="str">
        <f>IFERROR((TOWER_DATA[[#This Row],[D, bottom '[m']]]+TOWER_DATA[[#This Row],[D, top '[m']]])/(2*TOWER_DATA[[#This Row],[t '[mm']]]/1000),"")</f>
        <v/>
      </c>
      <c r="CU32" s="85" t="str">
        <f>IFERROR((TOWER_DATA[[#This Row],[D, bottom '[m']]]+#REF!)/(2*#REF!/1000),"")</f>
        <v/>
      </c>
      <c r="DD32" s="86"/>
      <c r="DE32" s="86"/>
      <c r="DF32" s="86"/>
      <c r="DG32" s="86"/>
      <c r="DH32" s="86"/>
      <c r="DI32" s="86"/>
    </row>
    <row r="33" spans="8:113" x14ac:dyDescent="0.3">
      <c r="H33" s="85">
        <f>IFERROR(MP_DATA[[#This Row],[Bottom '[mLAT']]]-MP_DATA[[#This Row],[D, top '[m']]], "")</f>
        <v>0</v>
      </c>
      <c r="I33" s="85" t="str">
        <f>IFERROR(-(MP_DATA[[#This Row],[D, bottom '[m']]]-MP_DATA[[#This Row],[D, top '[m']]])/(MP_DATA[[#This Row],[Bottom '[mLAT']]]-MP_DATA[[#This Row],[Top '[mLAT']]]),"")</f>
        <v/>
      </c>
      <c r="J33" s="85" t="str">
        <f t="shared" si="0"/>
        <v/>
      </c>
      <c r="K33" s="85" t="str">
        <f>IFERROR((MP_DATA[[#This Row],[D, bottom '[m']]]+MP_DATA[[#This Row],[D, top '[m']]])/(2*MP_DATA[[#This Row],[t '[mm']]]/1000),"")</f>
        <v/>
      </c>
      <c r="L33" s="85" t="str">
        <f>IFERROR((MP_DATA[[#This Row],[D, bottom '[m']]]+#REF!)/(2*#REF!/1000),"")</f>
        <v/>
      </c>
      <c r="U33" s="86"/>
      <c r="V33" s="86"/>
      <c r="W33" s="86"/>
      <c r="X33" s="86"/>
      <c r="Y33" s="86"/>
      <c r="Z33" s="86"/>
      <c r="AW33" s="85" t="str">
        <f>IFERROR(TP_DATA[[#This Row],[Bottom '[mLAT']]]-TP_DATA[[#This Row],[D, top '[m']]], "")</f>
        <v/>
      </c>
      <c r="AX33" s="85" t="str">
        <f>IFERROR(-(TP_DATA[[#This Row],[D, bottom '[m']]]-TP_DATA[[#This Row],[D, top '[m']]])/(TP_DATA[[#This Row],[Bottom '[mLAT']]]-TP_DATA[[#This Row],[Top '[mLAT']]]),"")</f>
        <v/>
      </c>
      <c r="AY33" s="85" t="str">
        <f t="shared" si="1"/>
        <v/>
      </c>
      <c r="AZ33" s="85" t="str">
        <f>IFERROR((TP_DATA[[#This Row],[D, bottom '[m']]]+TP_DATA[[#This Row],[D, top '[m']]])/(2*TP_DATA[[#This Row],[t '[mm']]]/1000),"")</f>
        <v/>
      </c>
      <c r="BA33" s="85" t="str">
        <f>IFERROR((TP_DATA[[#This Row],[D, bottom '[m']]]+#REF!)/(2*#REF!/1000),"")</f>
        <v/>
      </c>
      <c r="BJ33" s="86"/>
      <c r="BK33" s="86"/>
      <c r="BL33" s="86"/>
      <c r="BM33" s="86"/>
      <c r="BN33" s="86"/>
      <c r="BO33" s="86"/>
      <c r="CQ33" s="85" t="str">
        <f>IFERROR(TOWER_DATA[[#This Row],[Bottom '[mLAT']]]-TOWER_DATA[[#This Row],[D, top '[m']]], "")</f>
        <v/>
      </c>
      <c r="CR33" s="85" t="str">
        <f>IFERROR(-(TOWER_DATA[[#This Row],[D, bottom '[m']]]-TOWER_DATA[[#This Row],[D, top '[m']]])/(TOWER_DATA[[#This Row],[Bottom '[mLAT']]]-TOWER_DATA[[#This Row],[Top '[mLAT']]]),"")</f>
        <v/>
      </c>
      <c r="CS33" s="85" t="str">
        <f t="shared" si="2"/>
        <v/>
      </c>
      <c r="CT33" s="85" t="str">
        <f>IFERROR((TOWER_DATA[[#This Row],[D, bottom '[m']]]+TOWER_DATA[[#This Row],[D, top '[m']]])/(2*TOWER_DATA[[#This Row],[t '[mm']]]/1000),"")</f>
        <v/>
      </c>
      <c r="CU33" s="85" t="str">
        <f>IFERROR((TOWER_DATA[[#This Row],[D, bottom '[m']]]+#REF!)/(2*#REF!/1000),"")</f>
        <v/>
      </c>
      <c r="DD33" s="86"/>
      <c r="DE33" s="86"/>
      <c r="DF33" s="86"/>
      <c r="DG33" s="86"/>
      <c r="DH33" s="86"/>
      <c r="DI33" s="86"/>
    </row>
    <row r="34" spans="8:113" x14ac:dyDescent="0.3">
      <c r="H34" s="85">
        <f>IFERROR(MP_DATA[[#This Row],[Bottom '[mLAT']]]-MP_DATA[[#This Row],[D, top '[m']]], "")</f>
        <v>0</v>
      </c>
      <c r="I34" s="85" t="str">
        <f>IFERROR(-(MP_DATA[[#This Row],[D, bottom '[m']]]-MP_DATA[[#This Row],[D, top '[m']]])/(MP_DATA[[#This Row],[Bottom '[mLAT']]]-MP_DATA[[#This Row],[Top '[mLAT']]]),"")</f>
        <v/>
      </c>
      <c r="J34" s="85" t="str">
        <f t="shared" si="0"/>
        <v/>
      </c>
      <c r="K34" s="85" t="str">
        <f>IFERROR((MP_DATA[[#This Row],[D, bottom '[m']]]+MP_DATA[[#This Row],[D, top '[m']]])/(2*MP_DATA[[#This Row],[t '[mm']]]/1000),"")</f>
        <v/>
      </c>
      <c r="L34" s="85" t="str">
        <f>IFERROR((MP_DATA[[#This Row],[D, bottom '[m']]]+#REF!)/(2*#REF!/1000),"")</f>
        <v/>
      </c>
      <c r="U34" s="86"/>
      <c r="V34" s="86"/>
      <c r="W34" s="86"/>
      <c r="X34" s="86"/>
      <c r="Y34" s="86"/>
      <c r="Z34" s="86"/>
      <c r="AW34" s="85" t="str">
        <f>IFERROR(TP_DATA[[#This Row],[Bottom '[mLAT']]]-TP_DATA[[#This Row],[D, top '[m']]], "")</f>
        <v/>
      </c>
      <c r="AX34" s="85" t="str">
        <f>IFERROR(-(TP_DATA[[#This Row],[D, bottom '[m']]]-TP_DATA[[#This Row],[D, top '[m']]])/(TP_DATA[[#This Row],[Bottom '[mLAT']]]-TP_DATA[[#This Row],[Top '[mLAT']]]),"")</f>
        <v/>
      </c>
      <c r="AY34" s="85" t="str">
        <f t="shared" si="1"/>
        <v/>
      </c>
      <c r="AZ34" s="85" t="str">
        <f>IFERROR((TP_DATA[[#This Row],[D, bottom '[m']]]+TP_DATA[[#This Row],[D, top '[m']]])/(2*TP_DATA[[#This Row],[t '[mm']]]/1000),"")</f>
        <v/>
      </c>
      <c r="BA34" s="85" t="str">
        <f>IFERROR((TP_DATA[[#This Row],[D, bottom '[m']]]+#REF!)/(2*#REF!/1000),"")</f>
        <v/>
      </c>
      <c r="BJ34" s="86"/>
      <c r="BK34" s="86"/>
      <c r="BL34" s="86"/>
      <c r="BM34" s="86"/>
      <c r="BN34" s="86"/>
      <c r="BO34" s="86"/>
      <c r="CQ34" s="85" t="str">
        <f>IFERROR(TOWER_DATA[[#This Row],[Bottom '[mLAT']]]-TOWER_DATA[[#This Row],[D, top '[m']]], "")</f>
        <v/>
      </c>
      <c r="CR34" s="85" t="str">
        <f>IFERROR(-(TOWER_DATA[[#This Row],[D, bottom '[m']]]-TOWER_DATA[[#This Row],[D, top '[m']]])/(TOWER_DATA[[#This Row],[Bottom '[mLAT']]]-TOWER_DATA[[#This Row],[Top '[mLAT']]]),"")</f>
        <v/>
      </c>
      <c r="CS34" s="85" t="str">
        <f t="shared" si="2"/>
        <v/>
      </c>
      <c r="CT34" s="85" t="str">
        <f>IFERROR((TOWER_DATA[[#This Row],[D, bottom '[m']]]+TOWER_DATA[[#This Row],[D, top '[m']]])/(2*TOWER_DATA[[#This Row],[t '[mm']]]/1000),"")</f>
        <v/>
      </c>
      <c r="CU34" s="85" t="str">
        <f>IFERROR((TOWER_DATA[[#This Row],[D, bottom '[m']]]+#REF!)/(2*#REF!/1000),"")</f>
        <v/>
      </c>
      <c r="DD34" s="86"/>
      <c r="DE34" s="86"/>
      <c r="DF34" s="86"/>
      <c r="DG34" s="86"/>
      <c r="DH34" s="86"/>
      <c r="DI34" s="86"/>
    </row>
    <row r="35" spans="8:113" x14ac:dyDescent="0.3">
      <c r="H35" s="85">
        <f>IFERROR(MP_DATA[[#This Row],[Bottom '[mLAT']]]-MP_DATA[[#This Row],[D, top '[m']]], "")</f>
        <v>0</v>
      </c>
      <c r="I35" s="85" t="str">
        <f>IFERROR(-(MP_DATA[[#This Row],[D, bottom '[m']]]-MP_DATA[[#This Row],[D, top '[m']]])/(MP_DATA[[#This Row],[Bottom '[mLAT']]]-MP_DATA[[#This Row],[Top '[mLAT']]]),"")</f>
        <v/>
      </c>
      <c r="J35" s="85" t="str">
        <f t="shared" si="0"/>
        <v/>
      </c>
      <c r="K35" s="85" t="str">
        <f>IFERROR((MP_DATA[[#This Row],[D, bottom '[m']]]+MP_DATA[[#This Row],[D, top '[m']]])/(2*MP_DATA[[#This Row],[t '[mm']]]/1000),"")</f>
        <v/>
      </c>
      <c r="L35" s="85" t="str">
        <f>IFERROR((MP_DATA[[#This Row],[D, bottom '[m']]]+#REF!)/(2*#REF!/1000),"")</f>
        <v/>
      </c>
      <c r="U35" s="86"/>
      <c r="V35" s="86"/>
      <c r="W35" s="86"/>
      <c r="X35" s="86"/>
      <c r="Y35" s="86"/>
      <c r="Z35" s="86"/>
      <c r="AW35" s="85" t="str">
        <f>IFERROR(TP_DATA[[#This Row],[Bottom '[mLAT']]]-TP_DATA[[#This Row],[D, top '[m']]], "")</f>
        <v/>
      </c>
      <c r="AX35" s="85" t="str">
        <f>IFERROR(-(TP_DATA[[#This Row],[D, bottom '[m']]]-TP_DATA[[#This Row],[D, top '[m']]])/(TP_DATA[[#This Row],[Bottom '[mLAT']]]-TP_DATA[[#This Row],[Top '[mLAT']]]),"")</f>
        <v/>
      </c>
      <c r="AY35" s="85" t="str">
        <f t="shared" si="1"/>
        <v/>
      </c>
      <c r="AZ35" s="85" t="str">
        <f>IFERROR((TP_DATA[[#This Row],[D, bottom '[m']]]+TP_DATA[[#This Row],[D, top '[m']]])/(2*TP_DATA[[#This Row],[t '[mm']]]/1000),"")</f>
        <v/>
      </c>
      <c r="BA35" s="85" t="str">
        <f>IFERROR((TP_DATA[[#This Row],[D, bottom '[m']]]+#REF!)/(2*#REF!/1000),"")</f>
        <v/>
      </c>
      <c r="BJ35" s="86"/>
      <c r="BK35" s="86"/>
      <c r="BL35" s="86"/>
      <c r="BM35" s="86"/>
      <c r="BN35" s="86"/>
      <c r="BO35" s="86"/>
      <c r="CQ35" s="85" t="str">
        <f>IFERROR(TOWER_DATA[[#This Row],[Bottom '[mLAT']]]-TOWER_DATA[[#This Row],[D, top '[m']]], "")</f>
        <v/>
      </c>
      <c r="CR35" s="85" t="str">
        <f>IFERROR(-(TOWER_DATA[[#This Row],[D, bottom '[m']]]-TOWER_DATA[[#This Row],[D, top '[m']]])/(TOWER_DATA[[#This Row],[Bottom '[mLAT']]]-TOWER_DATA[[#This Row],[Top '[mLAT']]]),"")</f>
        <v/>
      </c>
      <c r="CS35" s="85" t="str">
        <f t="shared" si="2"/>
        <v/>
      </c>
      <c r="CT35" s="85" t="str">
        <f>IFERROR((TOWER_DATA[[#This Row],[D, bottom '[m']]]+TOWER_DATA[[#This Row],[D, top '[m']]])/(2*TOWER_DATA[[#This Row],[t '[mm']]]/1000),"")</f>
        <v/>
      </c>
      <c r="CU35" s="85" t="str">
        <f>IFERROR((TOWER_DATA[[#This Row],[D, bottom '[m']]]+#REF!)/(2*#REF!/1000),"")</f>
        <v/>
      </c>
      <c r="DD35" s="86"/>
      <c r="DE35" s="86"/>
      <c r="DF35" s="86"/>
      <c r="DG35" s="86"/>
      <c r="DH35" s="86"/>
      <c r="DI35" s="86"/>
    </row>
    <row r="36" spans="8:113" x14ac:dyDescent="0.3">
      <c r="H36" s="85">
        <f>IFERROR(MP_DATA[[#This Row],[Bottom '[mLAT']]]-MP_DATA[[#This Row],[D, top '[m']]], "")</f>
        <v>0</v>
      </c>
      <c r="I36" s="85" t="str">
        <f>IFERROR(-(MP_DATA[[#This Row],[D, bottom '[m']]]-MP_DATA[[#This Row],[D, top '[m']]])/(MP_DATA[[#This Row],[Bottom '[mLAT']]]-MP_DATA[[#This Row],[Top '[mLAT']]]),"")</f>
        <v/>
      </c>
      <c r="J36" s="85" t="str">
        <f t="shared" si="0"/>
        <v/>
      </c>
      <c r="K36" s="85" t="str">
        <f>IFERROR((MP_DATA[[#This Row],[D, bottom '[m']]]+MP_DATA[[#This Row],[D, top '[m']]])/(2*MP_DATA[[#This Row],[t '[mm']]]/1000),"")</f>
        <v/>
      </c>
      <c r="L36" s="85" t="str">
        <f>IFERROR((MP_DATA[[#This Row],[D, bottom '[m']]]+#REF!)/(2*#REF!/1000),"")</f>
        <v/>
      </c>
      <c r="U36" s="86"/>
      <c r="V36" s="86"/>
      <c r="W36" s="86"/>
      <c r="X36" s="86"/>
      <c r="Y36" s="86"/>
      <c r="Z36" s="86"/>
      <c r="AW36" s="85" t="str">
        <f>IFERROR(TP_DATA[[#This Row],[Bottom '[mLAT']]]-TP_DATA[[#This Row],[D, top '[m']]], "")</f>
        <v/>
      </c>
      <c r="AX36" s="85" t="str">
        <f>IFERROR(-(TP_DATA[[#This Row],[D, bottom '[m']]]-TP_DATA[[#This Row],[D, top '[m']]])/(TP_DATA[[#This Row],[Bottom '[mLAT']]]-TP_DATA[[#This Row],[Top '[mLAT']]]),"")</f>
        <v/>
      </c>
      <c r="AY36" s="85" t="str">
        <f t="shared" si="1"/>
        <v/>
      </c>
      <c r="AZ36" s="85" t="str">
        <f>IFERROR((TP_DATA[[#This Row],[D, bottom '[m']]]+TP_DATA[[#This Row],[D, top '[m']]])/(2*TP_DATA[[#This Row],[t '[mm']]]/1000),"")</f>
        <v/>
      </c>
      <c r="BA36" s="85" t="str">
        <f>IFERROR((TP_DATA[[#This Row],[D, bottom '[m']]]+#REF!)/(2*#REF!/1000),"")</f>
        <v/>
      </c>
      <c r="BJ36" s="86"/>
      <c r="BK36" s="86"/>
      <c r="BL36" s="86"/>
      <c r="BM36" s="86"/>
      <c r="BN36" s="86"/>
      <c r="BO36" s="86"/>
      <c r="CQ36" s="85" t="str">
        <f>IFERROR(TOWER_DATA[[#This Row],[Bottom '[mLAT']]]-TOWER_DATA[[#This Row],[D, top '[m']]], "")</f>
        <v/>
      </c>
      <c r="CR36" s="85" t="str">
        <f>IFERROR(-(TOWER_DATA[[#This Row],[D, bottom '[m']]]-TOWER_DATA[[#This Row],[D, top '[m']]])/(TOWER_DATA[[#This Row],[Bottom '[mLAT']]]-TOWER_DATA[[#This Row],[Top '[mLAT']]]),"")</f>
        <v/>
      </c>
      <c r="CS36" s="85" t="str">
        <f t="shared" si="2"/>
        <v/>
      </c>
      <c r="CT36" s="85" t="str">
        <f>IFERROR((TOWER_DATA[[#This Row],[D, bottom '[m']]]+TOWER_DATA[[#This Row],[D, top '[m']]])/(2*TOWER_DATA[[#This Row],[t '[mm']]]/1000),"")</f>
        <v/>
      </c>
      <c r="CU36" s="85" t="str">
        <f>IFERROR((TOWER_DATA[[#This Row],[D, bottom '[m']]]+#REF!)/(2*#REF!/1000),"")</f>
        <v/>
      </c>
      <c r="DD36" s="86"/>
      <c r="DE36" s="86"/>
      <c r="DF36" s="86"/>
      <c r="DG36" s="86"/>
      <c r="DH36" s="86"/>
      <c r="DI36" s="86"/>
    </row>
    <row r="37" spans="8:113" x14ac:dyDescent="0.3">
      <c r="H37" s="85">
        <f>IFERROR(MP_DATA[[#This Row],[Bottom '[mLAT']]]-MP_DATA[[#This Row],[D, top '[m']]], "")</f>
        <v>0</v>
      </c>
      <c r="I37" s="85" t="str">
        <f>IFERROR(-(MP_DATA[[#This Row],[D, bottom '[m']]]-MP_DATA[[#This Row],[D, top '[m']]])/(MP_DATA[[#This Row],[Bottom '[mLAT']]]-MP_DATA[[#This Row],[Top '[mLAT']]]),"")</f>
        <v/>
      </c>
      <c r="J37" s="85" t="str">
        <f t="shared" si="0"/>
        <v/>
      </c>
      <c r="K37" s="85" t="str">
        <f>IFERROR((MP_DATA[[#This Row],[D, bottom '[m']]]+MP_DATA[[#This Row],[D, top '[m']]])/(2*MP_DATA[[#This Row],[t '[mm']]]/1000),"")</f>
        <v/>
      </c>
      <c r="L37" s="85" t="str">
        <f>IFERROR((MP_DATA[[#This Row],[D, bottom '[m']]]+#REF!)/(2*#REF!/1000),"")</f>
        <v/>
      </c>
      <c r="U37" s="86"/>
      <c r="V37" s="86"/>
      <c r="W37" s="86"/>
      <c r="X37" s="86"/>
      <c r="Y37" s="86"/>
      <c r="Z37" s="86"/>
      <c r="AW37" s="85" t="str">
        <f>IFERROR(TP_DATA[[#This Row],[Bottom '[mLAT']]]-TP_DATA[[#This Row],[D, top '[m']]], "")</f>
        <v/>
      </c>
      <c r="AX37" s="85" t="str">
        <f>IFERROR(-(TP_DATA[[#This Row],[D, bottom '[m']]]-TP_DATA[[#This Row],[D, top '[m']]])/(TP_DATA[[#This Row],[Bottom '[mLAT']]]-TP_DATA[[#This Row],[Top '[mLAT']]]),"")</f>
        <v/>
      </c>
      <c r="AY37" s="85" t="str">
        <f t="shared" si="1"/>
        <v/>
      </c>
      <c r="AZ37" s="85" t="str">
        <f>IFERROR((TP_DATA[[#This Row],[D, bottom '[m']]]+TP_DATA[[#This Row],[D, top '[m']]])/(2*TP_DATA[[#This Row],[t '[mm']]]/1000),"")</f>
        <v/>
      </c>
      <c r="BA37" s="85" t="str">
        <f>IFERROR((TP_DATA[[#This Row],[D, bottom '[m']]]+#REF!)/(2*#REF!/1000),"")</f>
        <v/>
      </c>
      <c r="BJ37" s="86"/>
      <c r="BK37" s="86"/>
      <c r="BL37" s="86"/>
      <c r="BM37" s="86"/>
      <c r="BN37" s="86"/>
      <c r="BO37" s="86"/>
      <c r="CQ37" s="85" t="str">
        <f>IFERROR(TOWER_DATA[[#This Row],[Bottom '[mLAT']]]-TOWER_DATA[[#This Row],[D, top '[m']]], "")</f>
        <v/>
      </c>
      <c r="CR37" s="85" t="str">
        <f>IFERROR(-(TOWER_DATA[[#This Row],[D, bottom '[m']]]-TOWER_DATA[[#This Row],[D, top '[m']]])/(TOWER_DATA[[#This Row],[Bottom '[mLAT']]]-TOWER_DATA[[#This Row],[Top '[mLAT']]]),"")</f>
        <v/>
      </c>
      <c r="CS37" s="85" t="str">
        <f t="shared" si="2"/>
        <v/>
      </c>
      <c r="CT37" s="85" t="str">
        <f>IFERROR((TOWER_DATA[[#This Row],[D, bottom '[m']]]+TOWER_DATA[[#This Row],[D, top '[m']]])/(2*TOWER_DATA[[#This Row],[t '[mm']]]/1000),"")</f>
        <v/>
      </c>
      <c r="CU37" s="85" t="str">
        <f>IFERROR((TOWER_DATA[[#This Row],[D, bottom '[m']]]+#REF!)/(2*#REF!/1000),"")</f>
        <v/>
      </c>
      <c r="DD37" s="86"/>
      <c r="DE37" s="86"/>
      <c r="DF37" s="86"/>
      <c r="DG37" s="86"/>
      <c r="DH37" s="86"/>
      <c r="DI37" s="86"/>
    </row>
    <row r="38" spans="8:113" x14ac:dyDescent="0.3">
      <c r="H38" s="85">
        <f>IFERROR(MP_DATA[[#This Row],[Bottom '[mLAT']]]-MP_DATA[[#This Row],[D, top '[m']]], "")</f>
        <v>0</v>
      </c>
      <c r="I38" s="85" t="str">
        <f>IFERROR(-(MP_DATA[[#This Row],[D, bottom '[m']]]-MP_DATA[[#This Row],[D, top '[m']]])/(MP_DATA[[#This Row],[Bottom '[mLAT']]]-MP_DATA[[#This Row],[Top '[mLAT']]]),"")</f>
        <v/>
      </c>
      <c r="J38" s="85" t="str">
        <f t="shared" si="0"/>
        <v/>
      </c>
      <c r="K38" s="85" t="str">
        <f>IFERROR((MP_DATA[[#This Row],[D, bottom '[m']]]+MP_DATA[[#This Row],[D, top '[m']]])/(2*MP_DATA[[#This Row],[t '[mm']]]/1000),"")</f>
        <v/>
      </c>
      <c r="L38" s="85" t="str">
        <f>IFERROR((MP_DATA[[#This Row],[D, bottom '[m']]]+#REF!)/(2*#REF!/1000),"")</f>
        <v/>
      </c>
      <c r="U38" s="86"/>
      <c r="V38" s="86"/>
      <c r="W38" s="86"/>
      <c r="X38" s="86"/>
      <c r="Y38" s="86"/>
      <c r="Z38" s="86"/>
      <c r="AW38" s="85" t="str">
        <f>IFERROR(TP_DATA[[#This Row],[Bottom '[mLAT']]]-TP_DATA[[#This Row],[D, top '[m']]], "")</f>
        <v/>
      </c>
      <c r="AX38" s="85" t="str">
        <f>IFERROR(-(TP_DATA[[#This Row],[D, bottom '[m']]]-TP_DATA[[#This Row],[D, top '[m']]])/(TP_DATA[[#This Row],[Bottom '[mLAT']]]-TP_DATA[[#This Row],[Top '[mLAT']]]),"")</f>
        <v/>
      </c>
      <c r="AY38" s="85" t="str">
        <f t="shared" si="1"/>
        <v/>
      </c>
      <c r="AZ38" s="85" t="str">
        <f>IFERROR((TP_DATA[[#This Row],[D, bottom '[m']]]+TP_DATA[[#This Row],[D, top '[m']]])/(2*TP_DATA[[#This Row],[t '[mm']]]/1000),"")</f>
        <v/>
      </c>
      <c r="BA38" s="85" t="str">
        <f>IFERROR((TP_DATA[[#This Row],[D, bottom '[m']]]+#REF!)/(2*#REF!/1000),"")</f>
        <v/>
      </c>
      <c r="BJ38" s="86"/>
      <c r="BK38" s="86"/>
      <c r="BL38" s="86"/>
      <c r="BM38" s="86"/>
      <c r="BN38" s="86"/>
      <c r="BO38" s="86"/>
      <c r="CQ38" s="85" t="str">
        <f>IFERROR(TOWER_DATA[[#This Row],[Bottom '[mLAT']]]-TOWER_DATA[[#This Row],[D, top '[m']]], "")</f>
        <v/>
      </c>
      <c r="CR38" s="85" t="str">
        <f>IFERROR(-(TOWER_DATA[[#This Row],[D, bottom '[m']]]-TOWER_DATA[[#This Row],[D, top '[m']]])/(TOWER_DATA[[#This Row],[Bottom '[mLAT']]]-TOWER_DATA[[#This Row],[Top '[mLAT']]]),"")</f>
        <v/>
      </c>
      <c r="CS38" s="85" t="str">
        <f t="shared" si="2"/>
        <v/>
      </c>
      <c r="CT38" s="85" t="str">
        <f>IFERROR((TOWER_DATA[[#This Row],[D, bottom '[m']]]+TOWER_DATA[[#This Row],[D, top '[m']]])/(2*TOWER_DATA[[#This Row],[t '[mm']]]/1000),"")</f>
        <v/>
      </c>
      <c r="CU38" s="85" t="str">
        <f>IFERROR((TOWER_DATA[[#This Row],[D, bottom '[m']]]+#REF!)/(2*#REF!/1000),"")</f>
        <v/>
      </c>
      <c r="DD38" s="86"/>
      <c r="DE38" s="86"/>
      <c r="DF38" s="86"/>
      <c r="DG38" s="86"/>
      <c r="DH38" s="86"/>
      <c r="DI38" s="86"/>
    </row>
    <row r="39" spans="8:113" x14ac:dyDescent="0.3">
      <c r="H39" s="85">
        <f>IFERROR(MP_DATA[[#This Row],[Bottom '[mLAT']]]-MP_DATA[[#This Row],[D, top '[m']]], "")</f>
        <v>0</v>
      </c>
      <c r="I39" s="85" t="str">
        <f>IFERROR(-(MP_DATA[[#This Row],[D, bottom '[m']]]-MP_DATA[[#This Row],[D, top '[m']]])/(MP_DATA[[#This Row],[Bottom '[mLAT']]]-MP_DATA[[#This Row],[Top '[mLAT']]]),"")</f>
        <v/>
      </c>
      <c r="J39" s="85" t="str">
        <f t="shared" si="0"/>
        <v/>
      </c>
      <c r="K39" s="85" t="str">
        <f>IFERROR((MP_DATA[[#This Row],[D, bottom '[m']]]+MP_DATA[[#This Row],[D, top '[m']]])/(2*MP_DATA[[#This Row],[t '[mm']]]/1000),"")</f>
        <v/>
      </c>
      <c r="L39" s="85" t="str">
        <f>IFERROR((MP_DATA[[#This Row],[D, bottom '[m']]]+#REF!)/(2*#REF!/1000),"")</f>
        <v/>
      </c>
      <c r="U39" s="86"/>
      <c r="V39" s="86"/>
      <c r="W39" s="86"/>
      <c r="X39" s="86"/>
      <c r="Y39" s="86"/>
      <c r="Z39" s="86"/>
      <c r="AW39" s="85" t="str">
        <f>IFERROR(TP_DATA[[#This Row],[Bottom '[mLAT']]]-TP_DATA[[#This Row],[D, top '[m']]], "")</f>
        <v/>
      </c>
      <c r="AX39" s="85" t="str">
        <f>IFERROR(-(TP_DATA[[#This Row],[D, bottom '[m']]]-TP_DATA[[#This Row],[D, top '[m']]])/(TP_DATA[[#This Row],[Bottom '[mLAT']]]-TP_DATA[[#This Row],[Top '[mLAT']]]),"")</f>
        <v/>
      </c>
      <c r="AY39" s="85" t="str">
        <f t="shared" si="1"/>
        <v/>
      </c>
      <c r="AZ39" s="85" t="str">
        <f>IFERROR((TP_DATA[[#This Row],[D, bottom '[m']]]+TP_DATA[[#This Row],[D, top '[m']]])/(2*TP_DATA[[#This Row],[t '[mm']]]/1000),"")</f>
        <v/>
      </c>
      <c r="BA39" s="85" t="str">
        <f>IFERROR((TP_DATA[[#This Row],[D, bottom '[m']]]+#REF!)/(2*#REF!/1000),"")</f>
        <v/>
      </c>
      <c r="BJ39" s="86"/>
      <c r="BK39" s="86"/>
      <c r="BL39" s="86"/>
      <c r="BM39" s="86"/>
      <c r="BN39" s="86"/>
      <c r="BO39" s="86"/>
      <c r="CQ39" s="85" t="str">
        <f>IFERROR(TOWER_DATA[[#This Row],[Bottom '[mLAT']]]-TOWER_DATA[[#This Row],[D, top '[m']]], "")</f>
        <v/>
      </c>
      <c r="CR39" s="85" t="str">
        <f>IFERROR(-(TOWER_DATA[[#This Row],[D, bottom '[m']]]-TOWER_DATA[[#This Row],[D, top '[m']]])/(TOWER_DATA[[#This Row],[Bottom '[mLAT']]]-TOWER_DATA[[#This Row],[Top '[mLAT']]]),"")</f>
        <v/>
      </c>
      <c r="CS39" s="85" t="str">
        <f t="shared" si="2"/>
        <v/>
      </c>
      <c r="CT39" s="85" t="str">
        <f>IFERROR((TOWER_DATA[[#This Row],[D, bottom '[m']]]+TOWER_DATA[[#This Row],[D, top '[m']]])/(2*TOWER_DATA[[#This Row],[t '[mm']]]/1000),"")</f>
        <v/>
      </c>
      <c r="CU39" s="85" t="str">
        <f>IFERROR((TOWER_DATA[[#This Row],[D, bottom '[m']]]+#REF!)/(2*#REF!/1000),"")</f>
        <v/>
      </c>
      <c r="DD39" s="86"/>
      <c r="DE39" s="86"/>
      <c r="DF39" s="86"/>
      <c r="DG39" s="86"/>
      <c r="DH39" s="86"/>
      <c r="DI39" s="86"/>
    </row>
    <row r="40" spans="8:113" x14ac:dyDescent="0.3">
      <c r="H40" s="85">
        <f>IFERROR(MP_DATA[[#This Row],[Bottom '[mLAT']]]-MP_DATA[[#This Row],[D, top '[m']]], "")</f>
        <v>0</v>
      </c>
      <c r="I40" s="85" t="str">
        <f>IFERROR(-(MP_DATA[[#This Row],[D, bottom '[m']]]-MP_DATA[[#This Row],[D, top '[m']]])/(MP_DATA[[#This Row],[Bottom '[mLAT']]]-MP_DATA[[#This Row],[Top '[mLAT']]]),"")</f>
        <v/>
      </c>
      <c r="J40" s="85" t="str">
        <f t="shared" si="0"/>
        <v/>
      </c>
      <c r="K40" s="85" t="str">
        <f>IFERROR((MP_DATA[[#This Row],[D, bottom '[m']]]+MP_DATA[[#This Row],[D, top '[m']]])/(2*MP_DATA[[#This Row],[t '[mm']]]/1000),"")</f>
        <v/>
      </c>
      <c r="L40" s="85" t="str">
        <f>IFERROR((MP_DATA[[#This Row],[D, bottom '[m']]]+#REF!)/(2*#REF!/1000),"")</f>
        <v/>
      </c>
      <c r="U40" s="86"/>
      <c r="V40" s="86"/>
      <c r="W40" s="86"/>
      <c r="X40" s="86"/>
      <c r="Y40" s="86"/>
      <c r="Z40" s="86"/>
      <c r="AW40" s="85" t="str">
        <f>IFERROR(TP_DATA[[#This Row],[Bottom '[mLAT']]]-TP_DATA[[#This Row],[D, top '[m']]], "")</f>
        <v/>
      </c>
      <c r="AX40" s="85" t="str">
        <f>IFERROR(-(TP_DATA[[#This Row],[D, bottom '[m']]]-TP_DATA[[#This Row],[D, top '[m']]])/(TP_DATA[[#This Row],[Bottom '[mLAT']]]-TP_DATA[[#This Row],[Top '[mLAT']]]),"")</f>
        <v/>
      </c>
      <c r="AY40" s="85" t="str">
        <f t="shared" si="1"/>
        <v/>
      </c>
      <c r="AZ40" s="85" t="str">
        <f>IFERROR((TP_DATA[[#This Row],[D, bottom '[m']]]+TP_DATA[[#This Row],[D, top '[m']]])/(2*TP_DATA[[#This Row],[t '[mm']]]/1000),"")</f>
        <v/>
      </c>
      <c r="BA40" s="85" t="str">
        <f>IFERROR((TP_DATA[[#This Row],[D, bottom '[m']]]+#REF!)/(2*#REF!/1000),"")</f>
        <v/>
      </c>
      <c r="BJ40" s="86"/>
      <c r="BK40" s="86"/>
      <c r="BL40" s="86"/>
      <c r="BM40" s="86"/>
      <c r="BN40" s="86"/>
      <c r="BO40" s="86"/>
      <c r="CQ40" s="85" t="str">
        <f>IFERROR(TOWER_DATA[[#This Row],[Bottom '[mLAT']]]-TOWER_DATA[[#This Row],[D, top '[m']]], "")</f>
        <v/>
      </c>
      <c r="CR40" s="85" t="str">
        <f>IFERROR(-(TOWER_DATA[[#This Row],[D, bottom '[m']]]-TOWER_DATA[[#This Row],[D, top '[m']]])/(TOWER_DATA[[#This Row],[Bottom '[mLAT']]]-TOWER_DATA[[#This Row],[Top '[mLAT']]]),"")</f>
        <v/>
      </c>
      <c r="CS40" s="85" t="str">
        <f t="shared" si="2"/>
        <v/>
      </c>
      <c r="CT40" s="85" t="str">
        <f>IFERROR((TOWER_DATA[[#This Row],[D, bottom '[m']]]+TOWER_DATA[[#This Row],[D, top '[m']]])/(2*TOWER_DATA[[#This Row],[t '[mm']]]/1000),"")</f>
        <v/>
      </c>
      <c r="CU40" s="85" t="str">
        <f>IFERROR((TOWER_DATA[[#This Row],[D, bottom '[m']]]+#REF!)/(2*#REF!/1000),"")</f>
        <v/>
      </c>
      <c r="DD40" s="86"/>
      <c r="DE40" s="86"/>
      <c r="DF40" s="86"/>
      <c r="DG40" s="86"/>
      <c r="DH40" s="86"/>
      <c r="DI40" s="86"/>
    </row>
    <row r="41" spans="8:113" x14ac:dyDescent="0.3">
      <c r="H41" s="85">
        <f>IFERROR(MP_DATA[[#This Row],[Bottom '[mLAT']]]-MP_DATA[[#This Row],[D, top '[m']]], "")</f>
        <v>0</v>
      </c>
      <c r="I41" s="85" t="str">
        <f>IFERROR(-(MP_DATA[[#This Row],[D, bottom '[m']]]-MP_DATA[[#This Row],[D, top '[m']]])/(MP_DATA[[#This Row],[Bottom '[mLAT']]]-MP_DATA[[#This Row],[Top '[mLAT']]]),"")</f>
        <v/>
      </c>
      <c r="J41" s="85" t="str">
        <f t="shared" si="0"/>
        <v/>
      </c>
      <c r="K41" s="85" t="str">
        <f>IFERROR((MP_DATA[[#This Row],[D, bottom '[m']]]+MP_DATA[[#This Row],[D, top '[m']]])/(2*MP_DATA[[#This Row],[t '[mm']]]/1000),"")</f>
        <v/>
      </c>
      <c r="L41" s="85" t="str">
        <f>IFERROR((MP_DATA[[#This Row],[D, bottom '[m']]]+#REF!)/(2*#REF!/1000),"")</f>
        <v/>
      </c>
      <c r="U41" s="86"/>
      <c r="V41" s="86"/>
      <c r="W41" s="86"/>
      <c r="X41" s="86"/>
      <c r="Y41" s="86"/>
      <c r="Z41" s="86"/>
      <c r="AW41" s="85" t="str">
        <f>IFERROR(TP_DATA[[#This Row],[Bottom '[mLAT']]]-TP_DATA[[#This Row],[D, top '[m']]], "")</f>
        <v/>
      </c>
      <c r="AX41" s="85" t="str">
        <f>IFERROR(-(TP_DATA[[#This Row],[D, bottom '[m']]]-TP_DATA[[#This Row],[D, top '[m']]])/(TP_DATA[[#This Row],[Bottom '[mLAT']]]-TP_DATA[[#This Row],[Top '[mLAT']]]),"")</f>
        <v/>
      </c>
      <c r="AY41" s="85" t="str">
        <f t="shared" si="1"/>
        <v/>
      </c>
      <c r="AZ41" s="85" t="str">
        <f>IFERROR((TP_DATA[[#This Row],[D, bottom '[m']]]+TP_DATA[[#This Row],[D, top '[m']]])/(2*TP_DATA[[#This Row],[t '[mm']]]/1000),"")</f>
        <v/>
      </c>
      <c r="BA41" s="85" t="str">
        <f>IFERROR((TP_DATA[[#This Row],[D, bottom '[m']]]+#REF!)/(2*#REF!/1000),"")</f>
        <v/>
      </c>
      <c r="BJ41" s="86"/>
      <c r="BK41" s="86"/>
      <c r="BL41" s="86"/>
      <c r="BM41" s="86"/>
      <c r="BN41" s="86"/>
      <c r="BO41" s="86"/>
      <c r="CQ41" s="85" t="str">
        <f>IFERROR(TOWER_DATA[[#This Row],[Bottom '[mLAT']]]-TOWER_DATA[[#This Row],[D, top '[m']]], "")</f>
        <v/>
      </c>
      <c r="CR41" s="85" t="str">
        <f>IFERROR(-(TOWER_DATA[[#This Row],[D, bottom '[m']]]-TOWER_DATA[[#This Row],[D, top '[m']]])/(TOWER_DATA[[#This Row],[Bottom '[mLAT']]]-TOWER_DATA[[#This Row],[Top '[mLAT']]]),"")</f>
        <v/>
      </c>
      <c r="CS41" s="85" t="str">
        <f t="shared" si="2"/>
        <v/>
      </c>
      <c r="CT41" s="85" t="str">
        <f>IFERROR((TOWER_DATA[[#This Row],[D, bottom '[m']]]+TOWER_DATA[[#This Row],[D, top '[m']]])/(2*TOWER_DATA[[#This Row],[t '[mm']]]/1000),"")</f>
        <v/>
      </c>
      <c r="CU41" s="85" t="str">
        <f>IFERROR((TOWER_DATA[[#This Row],[D, bottom '[m']]]+#REF!)/(2*#REF!/1000),"")</f>
        <v/>
      </c>
      <c r="DD41" s="86"/>
      <c r="DE41" s="86"/>
      <c r="DF41" s="86"/>
      <c r="DG41" s="86"/>
      <c r="DH41" s="86"/>
      <c r="DI41" s="86"/>
    </row>
    <row r="42" spans="8:113" x14ac:dyDescent="0.3">
      <c r="H42" s="85">
        <f>IFERROR(MP_DATA[[#This Row],[Bottom '[mLAT']]]-MP_DATA[[#This Row],[D, top '[m']]], "")</f>
        <v>0</v>
      </c>
      <c r="I42" s="85" t="str">
        <f>IFERROR(-(MP_DATA[[#This Row],[D, bottom '[m']]]-MP_DATA[[#This Row],[D, top '[m']]])/(MP_DATA[[#This Row],[Bottom '[mLAT']]]-MP_DATA[[#This Row],[Top '[mLAT']]]),"")</f>
        <v/>
      </c>
      <c r="J42" s="85" t="str">
        <f t="shared" si="0"/>
        <v/>
      </c>
      <c r="K42" s="85" t="str">
        <f>IFERROR((MP_DATA[[#This Row],[D, bottom '[m']]]+MP_DATA[[#This Row],[D, top '[m']]])/(2*MP_DATA[[#This Row],[t '[mm']]]/1000),"")</f>
        <v/>
      </c>
      <c r="L42" s="85" t="str">
        <f>IFERROR((MP_DATA[[#This Row],[D, bottom '[m']]]+#REF!)/(2*#REF!/1000),"")</f>
        <v/>
      </c>
      <c r="U42" s="86"/>
      <c r="V42" s="86"/>
      <c r="W42" s="86"/>
      <c r="X42" s="86"/>
      <c r="Y42" s="86"/>
      <c r="Z42" s="86"/>
      <c r="AW42" s="85" t="str">
        <f>IFERROR(TP_DATA[[#This Row],[Bottom '[mLAT']]]-TP_DATA[[#This Row],[D, top '[m']]], "")</f>
        <v/>
      </c>
      <c r="AX42" s="85" t="str">
        <f>IFERROR(-(TP_DATA[[#This Row],[D, bottom '[m']]]-TP_DATA[[#This Row],[D, top '[m']]])/(TP_DATA[[#This Row],[Bottom '[mLAT']]]-TP_DATA[[#This Row],[Top '[mLAT']]]),"")</f>
        <v/>
      </c>
      <c r="AY42" s="85" t="str">
        <f t="shared" si="1"/>
        <v/>
      </c>
      <c r="AZ42" s="85" t="str">
        <f>IFERROR((TP_DATA[[#This Row],[D, bottom '[m']]]+TP_DATA[[#This Row],[D, top '[m']]])/(2*TP_DATA[[#This Row],[t '[mm']]]/1000),"")</f>
        <v/>
      </c>
      <c r="BA42" s="85" t="str">
        <f>IFERROR((TP_DATA[[#This Row],[D, bottom '[m']]]+#REF!)/(2*#REF!/1000),"")</f>
        <v/>
      </c>
      <c r="BJ42" s="86"/>
      <c r="BK42" s="86"/>
      <c r="BL42" s="86"/>
      <c r="BM42" s="86"/>
      <c r="BN42" s="86"/>
      <c r="BO42" s="86"/>
      <c r="CQ42" s="85" t="str">
        <f>IFERROR(TOWER_DATA[[#This Row],[Bottom '[mLAT']]]-TOWER_DATA[[#This Row],[D, top '[m']]], "")</f>
        <v/>
      </c>
      <c r="CR42" s="85" t="str">
        <f>IFERROR(-(TOWER_DATA[[#This Row],[D, bottom '[m']]]-TOWER_DATA[[#This Row],[D, top '[m']]])/(TOWER_DATA[[#This Row],[Bottom '[mLAT']]]-TOWER_DATA[[#This Row],[Top '[mLAT']]]),"")</f>
        <v/>
      </c>
      <c r="CS42" s="85" t="str">
        <f t="shared" si="2"/>
        <v/>
      </c>
      <c r="CT42" s="85" t="str">
        <f>IFERROR((TOWER_DATA[[#This Row],[D, bottom '[m']]]+TOWER_DATA[[#This Row],[D, top '[m']]])/(2*TOWER_DATA[[#This Row],[t '[mm']]]/1000),"")</f>
        <v/>
      </c>
      <c r="CU42" s="85" t="str">
        <f>IFERROR((TOWER_DATA[[#This Row],[D, bottom '[m']]]+#REF!)/(2*#REF!/1000),"")</f>
        <v/>
      </c>
      <c r="DD42" s="86"/>
      <c r="DE42" s="86"/>
      <c r="DF42" s="86"/>
      <c r="DG42" s="86"/>
      <c r="DH42" s="86"/>
      <c r="DI42" s="86"/>
    </row>
    <row r="43" spans="8:113" x14ac:dyDescent="0.3">
      <c r="H43" s="85">
        <f>IFERROR(MP_DATA[[#This Row],[Bottom '[mLAT']]]-MP_DATA[[#This Row],[D, top '[m']]], "")</f>
        <v>0</v>
      </c>
      <c r="I43" s="85" t="str">
        <f>IFERROR(-(MP_DATA[[#This Row],[D, bottom '[m']]]-MP_DATA[[#This Row],[D, top '[m']]])/(MP_DATA[[#This Row],[Bottom '[mLAT']]]-MP_DATA[[#This Row],[Top '[mLAT']]]),"")</f>
        <v/>
      </c>
      <c r="J43" s="85" t="str">
        <f t="shared" si="0"/>
        <v/>
      </c>
      <c r="K43" s="85" t="str">
        <f>IFERROR((MP_DATA[[#This Row],[D, bottom '[m']]]+MP_DATA[[#This Row],[D, top '[m']]])/(2*MP_DATA[[#This Row],[t '[mm']]]/1000),"")</f>
        <v/>
      </c>
      <c r="L43" s="85" t="str">
        <f>IFERROR((MP_DATA[[#This Row],[D, bottom '[m']]]+#REF!)/(2*#REF!/1000),"")</f>
        <v/>
      </c>
      <c r="U43" s="86"/>
      <c r="V43" s="86"/>
      <c r="W43" s="86"/>
      <c r="X43" s="86"/>
      <c r="Y43" s="86"/>
      <c r="Z43" s="86"/>
      <c r="AW43" s="85" t="str">
        <f>IFERROR(TP_DATA[[#This Row],[Bottom '[mLAT']]]-TP_DATA[[#This Row],[D, top '[m']]], "")</f>
        <v/>
      </c>
      <c r="AX43" s="85" t="str">
        <f>IFERROR(-(TP_DATA[[#This Row],[D, bottom '[m']]]-TP_DATA[[#This Row],[D, top '[m']]])/(TP_DATA[[#This Row],[Bottom '[mLAT']]]-TP_DATA[[#This Row],[Top '[mLAT']]]),"")</f>
        <v/>
      </c>
      <c r="AY43" s="85" t="str">
        <f t="shared" si="1"/>
        <v/>
      </c>
      <c r="AZ43" s="85" t="str">
        <f>IFERROR((TP_DATA[[#This Row],[D, bottom '[m']]]+TP_DATA[[#This Row],[D, top '[m']]])/(2*TP_DATA[[#This Row],[t '[mm']]]/1000),"")</f>
        <v/>
      </c>
      <c r="BA43" s="85" t="str">
        <f>IFERROR((TP_DATA[[#This Row],[D, bottom '[m']]]+#REF!)/(2*#REF!/1000),"")</f>
        <v/>
      </c>
      <c r="BJ43" s="86"/>
      <c r="BK43" s="86"/>
      <c r="BL43" s="86"/>
      <c r="BM43" s="86"/>
      <c r="BN43" s="86"/>
      <c r="BO43" s="86"/>
      <c r="CQ43" s="85" t="str">
        <f>IFERROR(TOWER_DATA[[#This Row],[Bottom '[mLAT']]]-TOWER_DATA[[#This Row],[D, top '[m']]], "")</f>
        <v/>
      </c>
      <c r="CR43" s="85" t="str">
        <f>IFERROR(-(TOWER_DATA[[#This Row],[D, bottom '[m']]]-TOWER_DATA[[#This Row],[D, top '[m']]])/(TOWER_DATA[[#This Row],[Bottom '[mLAT']]]-TOWER_DATA[[#This Row],[Top '[mLAT']]]),"")</f>
        <v/>
      </c>
      <c r="CS43" s="85" t="str">
        <f t="shared" si="2"/>
        <v/>
      </c>
      <c r="CT43" s="85" t="str">
        <f>IFERROR((TOWER_DATA[[#This Row],[D, bottom '[m']]]+TOWER_DATA[[#This Row],[D, top '[m']]])/(2*TOWER_DATA[[#This Row],[t '[mm']]]/1000),"")</f>
        <v/>
      </c>
      <c r="CU43" s="85" t="str">
        <f>IFERROR((TOWER_DATA[[#This Row],[D, bottom '[m']]]+#REF!)/(2*#REF!/1000),"")</f>
        <v/>
      </c>
      <c r="DD43" s="86"/>
      <c r="DE43" s="86"/>
      <c r="DF43" s="86"/>
      <c r="DG43" s="86"/>
      <c r="DH43" s="86"/>
      <c r="DI43" s="86"/>
    </row>
    <row r="44" spans="8:113" x14ac:dyDescent="0.3">
      <c r="H44" s="85" t="str">
        <f>IFERROR(MP_DATA[[#This Row],[Bottom '[mLAT']]]-MP_DATA[[#This Row],[D, top '[m']]], "")</f>
        <v/>
      </c>
      <c r="I44" s="85" t="str">
        <f>IFERROR(-(MP_DATA[[#This Row],[D, bottom '[m']]]-MP_DATA[[#This Row],[D, top '[m']]])/(MP_DATA[[#This Row],[Bottom '[mLAT']]]-MP_DATA[[#This Row],[Top '[mLAT']]]),"")</f>
        <v/>
      </c>
      <c r="J44" s="85" t="str">
        <f t="shared" si="0"/>
        <v/>
      </c>
      <c r="K44" s="85" t="str">
        <f>IFERROR((MP_DATA[[#This Row],[D, bottom '[m']]]+MP_DATA[[#This Row],[D, top '[m']]])/(2*MP_DATA[[#This Row],[t '[mm']]]/1000),"")</f>
        <v/>
      </c>
      <c r="L44" s="85" t="str">
        <f>IFERROR((MP_DATA[[#This Row],[D, bottom '[m']]]+#REF!)/(2*#REF!/1000),"")</f>
        <v/>
      </c>
      <c r="AW44" s="85" t="str">
        <f>IFERROR(TP_DATA[[#This Row],[Bottom '[mLAT']]]-TP_DATA[[#This Row],[D, top '[m']]], "")</f>
        <v/>
      </c>
      <c r="AX44" s="85" t="str">
        <f>IFERROR(-(TP_DATA[[#This Row],[D, bottom '[m']]]-TP_DATA[[#This Row],[D, top '[m']]])/(TP_DATA[[#This Row],[Bottom '[mLAT']]]-TP_DATA[[#This Row],[Top '[mLAT']]]),"")</f>
        <v/>
      </c>
      <c r="AY44" s="85" t="str">
        <f t="shared" si="1"/>
        <v/>
      </c>
      <c r="AZ44" s="85" t="str">
        <f>IFERROR((TP_DATA[[#This Row],[D, bottom '[m']]]+TP_DATA[[#This Row],[D, top '[m']]])/(2*TP_DATA[[#This Row],[t '[mm']]]/1000),"")</f>
        <v/>
      </c>
      <c r="BA44" s="85" t="str">
        <f>IFERROR((TP_DATA[[#This Row],[D, bottom '[m']]]+#REF!)/(2*#REF!/1000),"")</f>
        <v/>
      </c>
      <c r="CQ44" s="85" t="str">
        <f>IFERROR(TOWER_DATA[[#This Row],[Bottom '[mLAT']]]-TOWER_DATA[[#This Row],[D, top '[m']]], "")</f>
        <v/>
      </c>
      <c r="CR44" s="85" t="str">
        <f>IFERROR(-(TOWER_DATA[[#This Row],[D, bottom '[m']]]-TOWER_DATA[[#This Row],[D, top '[m']]])/(TOWER_DATA[[#This Row],[Bottom '[mLAT']]]-TOWER_DATA[[#This Row],[Top '[mLAT']]]),"")</f>
        <v/>
      </c>
      <c r="CS44" s="85" t="str">
        <f t="shared" si="2"/>
        <v/>
      </c>
      <c r="CT44" s="85" t="str">
        <f>IFERROR((TOWER_DATA[[#This Row],[D, bottom '[m']]]+TOWER_DATA[[#This Row],[D, top '[m']]])/(2*TOWER_DATA[[#This Row],[t '[mm']]]/1000),"")</f>
        <v/>
      </c>
      <c r="CU44" s="85" t="str">
        <f>IFERROR((TOWER_DATA[[#This Row],[D, bottom '[m']]]+#REF!)/(2*#REF!/1000),"")</f>
        <v/>
      </c>
    </row>
    <row r="45" spans="8:113" x14ac:dyDescent="0.3">
      <c r="H45" s="85" t="str">
        <f>IFERROR(MP_DATA[[#This Row],[Bottom '[mLAT']]]-MP_DATA[[#This Row],[D, top '[m']]], "")</f>
        <v/>
      </c>
      <c r="I45" s="85" t="str">
        <f>IFERROR(-(MP_DATA[[#This Row],[D, bottom '[m']]]-MP_DATA[[#This Row],[D, top '[m']]])/(MP_DATA[[#This Row],[Bottom '[mLAT']]]-MP_DATA[[#This Row],[Top '[mLAT']]]),"")</f>
        <v/>
      </c>
      <c r="J45" s="85" t="str">
        <f t="shared" si="0"/>
        <v/>
      </c>
      <c r="K45" s="85" t="str">
        <f>IFERROR((MP_DATA[[#This Row],[D, bottom '[m']]]+MP_DATA[[#This Row],[D, top '[m']]])/(2*MP_DATA[[#This Row],[t '[mm']]]/1000),"")</f>
        <v/>
      </c>
      <c r="L45" s="85" t="str">
        <f>IFERROR((MP_DATA[[#This Row],[D, bottom '[m']]]+#REF!)/(2*#REF!/1000),"")</f>
        <v/>
      </c>
      <c r="AW45" s="85" t="str">
        <f>IFERROR(TP_DATA[[#This Row],[Bottom '[mLAT']]]-TP_DATA[[#This Row],[D, top '[m']]], "")</f>
        <v/>
      </c>
      <c r="AX45" s="85" t="str">
        <f>IFERROR(-(TP_DATA[[#This Row],[D, bottom '[m']]]-TP_DATA[[#This Row],[D, top '[m']]])/(TP_DATA[[#This Row],[Bottom '[mLAT']]]-TP_DATA[[#This Row],[Top '[mLAT']]]),"")</f>
        <v/>
      </c>
      <c r="AY45" s="85" t="str">
        <f t="shared" si="1"/>
        <v/>
      </c>
      <c r="AZ45" s="85" t="str">
        <f>IFERROR((TP_DATA[[#This Row],[D, bottom '[m']]]+TP_DATA[[#This Row],[D, top '[m']]])/(2*TP_DATA[[#This Row],[t '[mm']]]/1000),"")</f>
        <v/>
      </c>
      <c r="BA45" s="85" t="str">
        <f>IFERROR((TP_DATA[[#This Row],[D, bottom '[m']]]+#REF!)/(2*#REF!/1000),"")</f>
        <v/>
      </c>
      <c r="CQ45" s="85" t="str">
        <f>IFERROR(TOWER_DATA[[#This Row],[Bottom '[mLAT']]]-TOWER_DATA[[#This Row],[D, top '[m']]], "")</f>
        <v/>
      </c>
      <c r="CR45" s="85" t="str">
        <f>IFERROR(-(TOWER_DATA[[#This Row],[D, bottom '[m']]]-TOWER_DATA[[#This Row],[D, top '[m']]])/(TOWER_DATA[[#This Row],[Bottom '[mLAT']]]-TOWER_DATA[[#This Row],[Top '[mLAT']]]),"")</f>
        <v/>
      </c>
      <c r="CS45" s="85" t="str">
        <f t="shared" si="2"/>
        <v/>
      </c>
      <c r="CT45" s="85" t="str">
        <f>IFERROR((TOWER_DATA[[#This Row],[D, bottom '[m']]]+TOWER_DATA[[#This Row],[D, top '[m']]])/(2*TOWER_DATA[[#This Row],[t '[mm']]]/1000),"")</f>
        <v/>
      </c>
      <c r="CU45" s="85" t="str">
        <f>IFERROR((TOWER_DATA[[#This Row],[D, bottom '[m']]]+#REF!)/(2*#REF!/1000),"")</f>
        <v/>
      </c>
    </row>
    <row r="46" spans="8:113" x14ac:dyDescent="0.3">
      <c r="H46" s="85" t="str">
        <f>IFERROR(MP_DATA[[#This Row],[Bottom '[mLAT']]]-MP_DATA[[#This Row],[D, top '[m']]], "")</f>
        <v/>
      </c>
      <c r="I46" s="85" t="str">
        <f>IFERROR(-(MP_DATA[[#This Row],[D, bottom '[m']]]-MP_DATA[[#This Row],[D, top '[m']]])/(MP_DATA[[#This Row],[Bottom '[mLAT']]]-MP_DATA[[#This Row],[Top '[mLAT']]]),"")</f>
        <v/>
      </c>
      <c r="J46" s="85" t="str">
        <f t="shared" si="0"/>
        <v/>
      </c>
      <c r="K46" s="85" t="str">
        <f>IFERROR((MP_DATA[[#This Row],[D, bottom '[m']]]+MP_DATA[[#This Row],[D, top '[m']]])/(2*MP_DATA[[#This Row],[t '[mm']]]/1000),"")</f>
        <v/>
      </c>
      <c r="L46" s="85" t="str">
        <f>IFERROR((MP_DATA[[#This Row],[D, bottom '[m']]]+#REF!)/(2*#REF!/1000),"")</f>
        <v/>
      </c>
      <c r="AW46" s="85" t="str">
        <f>IFERROR(TP_DATA[[#This Row],[Bottom '[mLAT']]]-TP_DATA[[#This Row],[D, top '[m']]], "")</f>
        <v/>
      </c>
      <c r="AX46" s="85" t="str">
        <f>IFERROR(-(TP_DATA[[#This Row],[D, bottom '[m']]]-TP_DATA[[#This Row],[D, top '[m']]])/(TP_DATA[[#This Row],[Bottom '[mLAT']]]-TP_DATA[[#This Row],[Top '[mLAT']]]),"")</f>
        <v/>
      </c>
      <c r="AY46" s="85" t="str">
        <f t="shared" si="1"/>
        <v/>
      </c>
      <c r="AZ46" s="85" t="str">
        <f>IFERROR((TP_DATA[[#This Row],[D, bottom '[m']]]+TP_DATA[[#This Row],[D, top '[m']]])/(2*TP_DATA[[#This Row],[t '[mm']]]/1000),"")</f>
        <v/>
      </c>
      <c r="BA46" s="85" t="str">
        <f>IFERROR((TP_DATA[[#This Row],[D, bottom '[m']]]+#REF!)/(2*#REF!/1000),"")</f>
        <v/>
      </c>
      <c r="CQ46" s="85" t="str">
        <f>IFERROR(TOWER_DATA[[#This Row],[Bottom '[mLAT']]]-TOWER_DATA[[#This Row],[D, top '[m']]], "")</f>
        <v/>
      </c>
      <c r="CR46" s="85" t="str">
        <f>IFERROR(-(TOWER_DATA[[#This Row],[D, bottom '[m']]]-TOWER_DATA[[#This Row],[D, top '[m']]])/(TOWER_DATA[[#This Row],[Bottom '[mLAT']]]-TOWER_DATA[[#This Row],[Top '[mLAT']]]),"")</f>
        <v/>
      </c>
      <c r="CS46" s="85" t="str">
        <f t="shared" si="2"/>
        <v/>
      </c>
      <c r="CT46" s="85" t="str">
        <f>IFERROR((TOWER_DATA[[#This Row],[D, bottom '[m']]]+TOWER_DATA[[#This Row],[D, top '[m']]])/(2*TOWER_DATA[[#This Row],[t '[mm']]]/1000),"")</f>
        <v/>
      </c>
      <c r="CU46" s="85" t="str">
        <f>IFERROR((TOWER_DATA[[#This Row],[D, bottom '[m']]]+#REF!)/(2*#REF!/1000),"")</f>
        <v/>
      </c>
    </row>
    <row r="47" spans="8:113" x14ac:dyDescent="0.3">
      <c r="H47" s="85" t="str">
        <f>IFERROR(MP_DATA[[#This Row],[Bottom '[mLAT']]]-MP_DATA[[#This Row],[D, top '[m']]], "")</f>
        <v/>
      </c>
      <c r="I47" s="85" t="str">
        <f>IFERROR(-(MP_DATA[[#This Row],[D, bottom '[m']]]-MP_DATA[[#This Row],[D, top '[m']]])/(MP_DATA[[#This Row],[Bottom '[mLAT']]]-MP_DATA[[#This Row],[Top '[mLAT']]]),"")</f>
        <v/>
      </c>
      <c r="J47" s="85" t="str">
        <f t="shared" si="0"/>
        <v/>
      </c>
      <c r="K47" s="85" t="str">
        <f>IFERROR((MP_DATA[[#This Row],[D, bottom '[m']]]+MP_DATA[[#This Row],[D, top '[m']]])/(2*MP_DATA[[#This Row],[t '[mm']]]/1000),"")</f>
        <v/>
      </c>
      <c r="L47" s="85" t="str">
        <f>IFERROR((MP_DATA[[#This Row],[D, bottom '[m']]]+#REF!)/(2*#REF!/1000),"")</f>
        <v/>
      </c>
      <c r="AW47" s="85" t="str">
        <f>IFERROR(TP_DATA[[#This Row],[Bottom '[mLAT']]]-TP_DATA[[#This Row],[D, top '[m']]], "")</f>
        <v/>
      </c>
      <c r="AX47" s="85" t="str">
        <f>IFERROR(-(TP_DATA[[#This Row],[D, bottom '[m']]]-TP_DATA[[#This Row],[D, top '[m']]])/(TP_DATA[[#This Row],[Bottom '[mLAT']]]-TP_DATA[[#This Row],[Top '[mLAT']]]),"")</f>
        <v/>
      </c>
      <c r="AY47" s="85" t="str">
        <f t="shared" si="1"/>
        <v/>
      </c>
      <c r="AZ47" s="85" t="str">
        <f>IFERROR((TP_DATA[[#This Row],[D, bottom '[m']]]+TP_DATA[[#This Row],[D, top '[m']]])/(2*TP_DATA[[#This Row],[t '[mm']]]/1000),"")</f>
        <v/>
      </c>
      <c r="BA47" s="85" t="str">
        <f>IFERROR((TP_DATA[[#This Row],[D, bottom '[m']]]+#REF!)/(2*#REF!/1000),"")</f>
        <v/>
      </c>
      <c r="CQ47" s="85" t="str">
        <f>IFERROR(TOWER_DATA[[#This Row],[Bottom '[mLAT']]]-TOWER_DATA[[#This Row],[D, top '[m']]], "")</f>
        <v/>
      </c>
      <c r="CR47" s="85" t="str">
        <f>IFERROR(-(TOWER_DATA[[#This Row],[D, bottom '[m']]]-TOWER_DATA[[#This Row],[D, top '[m']]])/(TOWER_DATA[[#This Row],[Bottom '[mLAT']]]-TOWER_DATA[[#This Row],[Top '[mLAT']]]),"")</f>
        <v/>
      </c>
      <c r="CS47" s="85" t="str">
        <f t="shared" si="2"/>
        <v/>
      </c>
      <c r="CT47" s="85" t="str">
        <f>IFERROR((TOWER_DATA[[#This Row],[D, bottom '[m']]]+TOWER_DATA[[#This Row],[D, top '[m']]])/(2*TOWER_DATA[[#This Row],[t '[mm']]]/1000),"")</f>
        <v/>
      </c>
      <c r="CU47" s="85" t="str">
        <f>IFERROR((TOWER_DATA[[#This Row],[D, bottom '[m']]]+#REF!)/(2*#REF!/1000),"")</f>
        <v/>
      </c>
    </row>
    <row r="48" spans="8:113" x14ac:dyDescent="0.3">
      <c r="H48" s="85" t="str">
        <f>IFERROR(MP_DATA[[#This Row],[Bottom '[mLAT']]]-MP_DATA[[#This Row],[D, top '[m']]], "")</f>
        <v/>
      </c>
      <c r="I48" s="85" t="str">
        <f>IFERROR(-(MP_DATA[[#This Row],[D, bottom '[m']]]-MP_DATA[[#This Row],[D, top '[m']]])/(MP_DATA[[#This Row],[Bottom '[mLAT']]]-MP_DATA[[#This Row],[Top '[mLAT']]]),"")</f>
        <v/>
      </c>
      <c r="J48" s="85" t="str">
        <f t="shared" si="0"/>
        <v/>
      </c>
      <c r="K48" s="85" t="str">
        <f>IFERROR((MP_DATA[[#This Row],[D, bottom '[m']]]+MP_DATA[[#This Row],[D, top '[m']]])/(2*MP_DATA[[#This Row],[t '[mm']]]/1000),"")</f>
        <v/>
      </c>
      <c r="L48" s="85"/>
      <c r="AW48" s="85" t="str">
        <f>IFERROR(TP_DATA[[#This Row],[Bottom '[mLAT']]]-TP_DATA[[#This Row],[D, top '[m']]], "")</f>
        <v/>
      </c>
      <c r="AX48" s="85" t="str">
        <f>IFERROR(-(TP_DATA[[#This Row],[D, bottom '[m']]]-TP_DATA[[#This Row],[D, top '[m']]])/(TP_DATA[[#This Row],[Bottom '[mLAT']]]-TP_DATA[[#This Row],[Top '[mLAT']]]),"")</f>
        <v/>
      </c>
      <c r="AY48" s="85" t="str">
        <f t="shared" si="1"/>
        <v/>
      </c>
      <c r="AZ48" s="85" t="str">
        <f>IFERROR((TP_DATA[[#This Row],[D, bottom '[m']]]+TP_DATA[[#This Row],[D, top '[m']]])/(2*TP_DATA[[#This Row],[t '[mm']]]/1000),"")</f>
        <v/>
      </c>
      <c r="BA48" s="85"/>
      <c r="CQ48" s="85" t="str">
        <f>IFERROR(TOWER_DATA[[#This Row],[Bottom '[mLAT']]]-TOWER_DATA[[#This Row],[D, top '[m']]], "")</f>
        <v/>
      </c>
      <c r="CR48" s="85" t="str">
        <f>IFERROR(-(TOWER_DATA[[#This Row],[D, bottom '[m']]]-TOWER_DATA[[#This Row],[D, top '[m']]])/(TOWER_DATA[[#This Row],[Bottom '[mLAT']]]-TOWER_DATA[[#This Row],[Top '[mLAT']]]),"")</f>
        <v/>
      </c>
      <c r="CS48" s="85" t="str">
        <f t="shared" si="2"/>
        <v/>
      </c>
      <c r="CT48" s="85" t="str">
        <f>IFERROR((TOWER_DATA[[#This Row],[D, bottom '[m']]]+TOWER_DATA[[#This Row],[D, top '[m']]])/(2*TOWER_DATA[[#This Row],[t '[mm']]]/1000),"")</f>
        <v/>
      </c>
      <c r="CU48" s="85"/>
    </row>
    <row r="49" spans="8:99" x14ac:dyDescent="0.3">
      <c r="H49" s="85" t="str">
        <f>IFERROR(MP_DATA[[#This Row],[Bottom '[mLAT']]]-MP_DATA[[#This Row],[D, top '[m']]], "")</f>
        <v/>
      </c>
      <c r="I49" s="85" t="str">
        <f>IFERROR(-(MP_DATA[[#This Row],[D, bottom '[m']]]-MP_DATA[[#This Row],[D, top '[m']]])/(MP_DATA[[#This Row],[Bottom '[mLAT']]]-MP_DATA[[#This Row],[Top '[mLAT']]]),"")</f>
        <v/>
      </c>
      <c r="J49" s="85" t="str">
        <f t="shared" si="0"/>
        <v/>
      </c>
      <c r="K49" s="85" t="str">
        <f>IFERROR((MP_DATA[[#This Row],[D, bottom '[m']]]+MP_DATA[[#This Row],[D, top '[m']]])/(2*MP_DATA[[#This Row],[t '[mm']]]/1000),"")</f>
        <v/>
      </c>
      <c r="L49" s="85"/>
      <c r="AW49" s="85" t="str">
        <f>IFERROR(TP_DATA[[#This Row],[Bottom '[mLAT']]]-TP_DATA[[#This Row],[D, top '[m']]], "")</f>
        <v/>
      </c>
      <c r="AX49" s="85" t="str">
        <f>IFERROR(-(TP_DATA[[#This Row],[D, bottom '[m']]]-TP_DATA[[#This Row],[D, top '[m']]])/(TP_DATA[[#This Row],[Bottom '[mLAT']]]-TP_DATA[[#This Row],[Top '[mLAT']]]),"")</f>
        <v/>
      </c>
      <c r="AY49" s="85" t="str">
        <f t="shared" si="1"/>
        <v/>
      </c>
      <c r="AZ49" s="85" t="str">
        <f>IFERROR((TP_DATA[[#This Row],[D, bottom '[m']]]+TP_DATA[[#This Row],[D, top '[m']]])/(2*TP_DATA[[#This Row],[t '[mm']]]/1000),"")</f>
        <v/>
      </c>
      <c r="BA49" s="85"/>
      <c r="CQ49" s="85" t="str">
        <f>IFERROR(TOWER_DATA[[#This Row],[Bottom '[mLAT']]]-TOWER_DATA[[#This Row],[D, top '[m']]], "")</f>
        <v/>
      </c>
      <c r="CR49" s="85" t="str">
        <f>IFERROR(-(TOWER_DATA[[#This Row],[D, bottom '[m']]]-TOWER_DATA[[#This Row],[D, top '[m']]])/(TOWER_DATA[[#This Row],[Bottom '[mLAT']]]-TOWER_DATA[[#This Row],[Top '[mLAT']]]),"")</f>
        <v/>
      </c>
      <c r="CS49" s="85" t="str">
        <f t="shared" si="2"/>
        <v/>
      </c>
      <c r="CT49" s="85" t="str">
        <f>IFERROR((TOWER_DATA[[#This Row],[D, bottom '[m']]]+TOWER_DATA[[#This Row],[D, top '[m']]])/(2*TOWER_DATA[[#This Row],[t '[mm']]]/1000),"")</f>
        <v/>
      </c>
      <c r="CU49" s="85"/>
    </row>
    <row r="50" spans="8:99" x14ac:dyDescent="0.3">
      <c r="H50" s="85" t="str">
        <f>IFERROR(MP_DATA[[#This Row],[Bottom '[mLAT']]]-MP_DATA[[#This Row],[D, top '[m']]], "")</f>
        <v/>
      </c>
      <c r="I50" s="85" t="str">
        <f>IFERROR(-(MP_DATA[[#This Row],[D, bottom '[m']]]-MP_DATA[[#This Row],[D, top '[m']]])/(MP_DATA[[#This Row],[Bottom '[mLAT']]]-MP_DATA[[#This Row],[Top '[mLAT']]]),"")</f>
        <v/>
      </c>
      <c r="J50" s="85" t="str">
        <f t="shared" si="0"/>
        <v/>
      </c>
      <c r="K50" s="85" t="str">
        <f>IFERROR((MP_DATA[[#This Row],[D, bottom '[m']]]+MP_DATA[[#This Row],[D, top '[m']]])/(2*MP_DATA[[#This Row],[t '[mm']]]/1000),"")</f>
        <v/>
      </c>
      <c r="L50" s="85"/>
      <c r="AW50" s="85" t="str">
        <f>IFERROR(TP_DATA[[#This Row],[Bottom '[mLAT']]]-TP_DATA[[#This Row],[D, top '[m']]], "")</f>
        <v/>
      </c>
      <c r="AX50" s="85" t="str">
        <f>IFERROR(-(TP_DATA[[#This Row],[D, bottom '[m']]]-TP_DATA[[#This Row],[D, top '[m']]])/(TP_DATA[[#This Row],[Bottom '[mLAT']]]-TP_DATA[[#This Row],[Top '[mLAT']]]),"")</f>
        <v/>
      </c>
      <c r="AY50" s="85" t="str">
        <f t="shared" si="1"/>
        <v/>
      </c>
      <c r="AZ50" s="85" t="str">
        <f>IFERROR((TP_DATA[[#This Row],[D, bottom '[m']]]+TP_DATA[[#This Row],[D, top '[m']]])/(2*TP_DATA[[#This Row],[t '[mm']]]/1000),"")</f>
        <v/>
      </c>
      <c r="BA50" s="85"/>
      <c r="CQ50" s="85" t="str">
        <f>IFERROR(TOWER_DATA[[#This Row],[Bottom '[mLAT']]]-TOWER_DATA[[#This Row],[D, top '[m']]], "")</f>
        <v/>
      </c>
      <c r="CR50" s="85" t="str">
        <f>IFERROR(-(TOWER_DATA[[#This Row],[D, bottom '[m']]]-TOWER_DATA[[#This Row],[D, top '[m']]])/(TOWER_DATA[[#This Row],[Bottom '[mLAT']]]-TOWER_DATA[[#This Row],[Top '[mLAT']]]),"")</f>
        <v/>
      </c>
      <c r="CS50" s="85" t="str">
        <f t="shared" si="2"/>
        <v/>
      </c>
      <c r="CT50" s="85" t="str">
        <f>IFERROR((TOWER_DATA[[#This Row],[D, bottom '[m']]]+TOWER_DATA[[#This Row],[D, top '[m']]])/(2*TOWER_DATA[[#This Row],[t '[mm']]]/1000),"")</f>
        <v/>
      </c>
      <c r="CU50" s="85"/>
    </row>
    <row r="51" spans="8:99" x14ac:dyDescent="0.3">
      <c r="H51" s="85" t="str">
        <f>IFERROR(MP_DATA[[#This Row],[Bottom '[mLAT']]]-MP_DATA[[#This Row],[D, top '[m']]], "")</f>
        <v/>
      </c>
      <c r="I51" s="85" t="str">
        <f>IFERROR(-(MP_DATA[[#This Row],[D, bottom '[m']]]-MP_DATA[[#This Row],[D, top '[m']]])/(MP_DATA[[#This Row],[Bottom '[mLAT']]]-MP_DATA[[#This Row],[Top '[mLAT']]]),"")</f>
        <v/>
      </c>
      <c r="J51" s="85" t="str">
        <f t="shared" ref="J51:J83" si="3">IF(7850/1000*(1/3)*PI()*ABS(C51-D51)*((E51/2)^2+(E51/2)*(F51/2)+(F51/2)^2-(E51/2-G51/1000)^2-(E51/2-G51/1000)*(F51/2-G51/1000)-(F51/2-G51/1000)^2)=0,"",7850/1000*(1/3)*PI()*ABS(C51-D51)*((E51/2)^2+(E51/2)*(F51/2)+(F51/2)^2-(E51/2-G51/1000)^2-(E51/2-G51/1000)*(F51/2-G51/1000)-(F51/2-G51/1000)^2))</f>
        <v/>
      </c>
      <c r="K51" s="85" t="str">
        <f>IFERROR((MP_DATA[[#This Row],[D, bottom '[m']]]+MP_DATA[[#This Row],[D, top '[m']]])/(2*MP_DATA[[#This Row],[t '[mm']]]/1000),"")</f>
        <v/>
      </c>
      <c r="L51" s="85"/>
      <c r="AW51" s="85" t="str">
        <f>IFERROR(TP_DATA[[#This Row],[Bottom '[mLAT']]]-TP_DATA[[#This Row],[D, top '[m']]], "")</f>
        <v/>
      </c>
      <c r="AX51" s="85" t="str">
        <f>IFERROR(-(TP_DATA[[#This Row],[D, bottom '[m']]]-TP_DATA[[#This Row],[D, top '[m']]])/(TP_DATA[[#This Row],[Bottom '[mLAT']]]-TP_DATA[[#This Row],[Top '[mLAT']]]),"")</f>
        <v/>
      </c>
      <c r="AY51" s="85" t="str">
        <f t="shared" si="1"/>
        <v/>
      </c>
      <c r="AZ51" s="85" t="str">
        <f>IFERROR((TP_DATA[[#This Row],[D, bottom '[m']]]+TP_DATA[[#This Row],[D, top '[m']]])/(2*TP_DATA[[#This Row],[t '[mm']]]/1000),"")</f>
        <v/>
      </c>
      <c r="BA51" s="85"/>
      <c r="CQ51" s="85" t="str">
        <f>IFERROR(TOWER_DATA[[#This Row],[Bottom '[mLAT']]]-TOWER_DATA[[#This Row],[D, top '[m']]], "")</f>
        <v/>
      </c>
      <c r="CR51" s="85" t="str">
        <f>IFERROR(-(TOWER_DATA[[#This Row],[D, bottom '[m']]]-TOWER_DATA[[#This Row],[D, top '[m']]])/(TOWER_DATA[[#This Row],[Bottom '[mLAT']]]-TOWER_DATA[[#This Row],[Top '[mLAT']]]),"")</f>
        <v/>
      </c>
      <c r="CS51" s="85" t="str">
        <f t="shared" si="2"/>
        <v/>
      </c>
      <c r="CT51" s="85" t="str">
        <f>IFERROR((TOWER_DATA[[#This Row],[D, bottom '[m']]]+TOWER_DATA[[#This Row],[D, top '[m']]])/(2*TOWER_DATA[[#This Row],[t '[mm']]]/1000),"")</f>
        <v/>
      </c>
      <c r="CU51" s="85"/>
    </row>
    <row r="52" spans="8:99" x14ac:dyDescent="0.3">
      <c r="H52" s="85" t="str">
        <f>IFERROR(MP_DATA[[#This Row],[Bottom '[mLAT']]]-MP_DATA[[#This Row],[D, top '[m']]], "")</f>
        <v/>
      </c>
      <c r="I52" s="85" t="str">
        <f>IFERROR(-(MP_DATA[[#This Row],[D, bottom '[m']]]-MP_DATA[[#This Row],[D, top '[m']]])/(MP_DATA[[#This Row],[Bottom '[mLAT']]]-MP_DATA[[#This Row],[Top '[mLAT']]]),"")</f>
        <v/>
      </c>
      <c r="J52" s="85" t="str">
        <f t="shared" si="3"/>
        <v/>
      </c>
      <c r="K52" s="85" t="str">
        <f>IFERROR((MP_DATA[[#This Row],[D, bottom '[m']]]+MP_DATA[[#This Row],[D, top '[m']]])/(2*MP_DATA[[#This Row],[t '[mm']]]/1000),"")</f>
        <v/>
      </c>
      <c r="L52" s="85"/>
      <c r="AW52" s="85" t="str">
        <f>IFERROR(TP_DATA[[#This Row],[Bottom '[mLAT']]]-TP_DATA[[#This Row],[D, top '[m']]], "")</f>
        <v/>
      </c>
      <c r="AX52" s="85" t="str">
        <f>IFERROR(-(TP_DATA[[#This Row],[D, bottom '[m']]]-TP_DATA[[#This Row],[D, top '[m']]])/(TP_DATA[[#This Row],[Bottom '[mLAT']]]-TP_DATA[[#This Row],[Top '[mLAT']]]),"")</f>
        <v/>
      </c>
      <c r="AY52" s="85" t="str">
        <f t="shared" si="1"/>
        <v/>
      </c>
      <c r="AZ52" s="85" t="str">
        <f>IFERROR((TP_DATA[[#This Row],[D, bottom '[m']]]+TP_DATA[[#This Row],[D, top '[m']]])/(2*TP_DATA[[#This Row],[t '[mm']]]/1000),"")</f>
        <v/>
      </c>
      <c r="BA52" s="85"/>
      <c r="CQ52" s="85" t="str">
        <f>IFERROR(TOWER_DATA[[#This Row],[Bottom '[mLAT']]]-TOWER_DATA[[#This Row],[D, top '[m']]], "")</f>
        <v/>
      </c>
      <c r="CR52" s="85" t="str">
        <f>IFERROR(-(TOWER_DATA[[#This Row],[D, bottom '[m']]]-TOWER_DATA[[#This Row],[D, top '[m']]])/(TOWER_DATA[[#This Row],[Bottom '[mLAT']]]-TOWER_DATA[[#This Row],[Top '[mLAT']]]),"")</f>
        <v/>
      </c>
      <c r="CS52" s="85" t="str">
        <f t="shared" si="2"/>
        <v/>
      </c>
      <c r="CT52" s="85" t="str">
        <f>IFERROR((TOWER_DATA[[#This Row],[D, bottom '[m']]]+TOWER_DATA[[#This Row],[D, top '[m']]])/(2*TOWER_DATA[[#This Row],[t '[mm']]]/1000),"")</f>
        <v/>
      </c>
      <c r="CU52" s="85"/>
    </row>
    <row r="53" spans="8:99" x14ac:dyDescent="0.3">
      <c r="H53" s="85" t="str">
        <f>IFERROR(MP_DATA[[#This Row],[Bottom '[mLAT']]]-MP_DATA[[#This Row],[D, top '[m']]], "")</f>
        <v/>
      </c>
      <c r="I53" s="85" t="str">
        <f>IFERROR(-(MP_DATA[[#This Row],[D, bottom '[m']]]-MP_DATA[[#This Row],[D, top '[m']]])/(MP_DATA[[#This Row],[Bottom '[mLAT']]]-MP_DATA[[#This Row],[Top '[mLAT']]]),"")</f>
        <v/>
      </c>
      <c r="J53" s="85" t="str">
        <f t="shared" si="3"/>
        <v/>
      </c>
      <c r="K53" s="85" t="str">
        <f>IFERROR((MP_DATA[[#This Row],[D, bottom '[m']]]+MP_DATA[[#This Row],[D, top '[m']]])/(2*MP_DATA[[#This Row],[t '[mm']]]/1000),"")</f>
        <v/>
      </c>
      <c r="L53" s="85"/>
      <c r="AW53" s="85" t="str">
        <f>IFERROR(TP_DATA[[#This Row],[Bottom '[mLAT']]]-TP_DATA[[#This Row],[D, top '[m']]], "")</f>
        <v/>
      </c>
      <c r="AX53" s="85" t="str">
        <f>IFERROR(-(TP_DATA[[#This Row],[D, bottom '[m']]]-TP_DATA[[#This Row],[D, top '[m']]])/(TP_DATA[[#This Row],[Bottom '[mLAT']]]-TP_DATA[[#This Row],[Top '[mLAT']]]),"")</f>
        <v/>
      </c>
      <c r="AY53" s="85" t="str">
        <f t="shared" si="1"/>
        <v/>
      </c>
      <c r="AZ53" s="85" t="str">
        <f>IFERROR((TP_DATA[[#This Row],[D, bottom '[m']]]+TP_DATA[[#This Row],[D, top '[m']]])/(2*TP_DATA[[#This Row],[t '[mm']]]/1000),"")</f>
        <v/>
      </c>
      <c r="BA53" s="85"/>
      <c r="CQ53" s="85" t="str">
        <f>IFERROR(TOWER_DATA[[#This Row],[Bottom '[mLAT']]]-TOWER_DATA[[#This Row],[D, top '[m']]], "")</f>
        <v/>
      </c>
      <c r="CR53" s="85" t="str">
        <f>IFERROR(-(TOWER_DATA[[#This Row],[D, bottom '[m']]]-TOWER_DATA[[#This Row],[D, top '[m']]])/(TOWER_DATA[[#This Row],[Bottom '[mLAT']]]-TOWER_DATA[[#This Row],[Top '[mLAT']]]),"")</f>
        <v/>
      </c>
      <c r="CS53" s="85" t="str">
        <f t="shared" si="2"/>
        <v/>
      </c>
      <c r="CT53" s="85" t="str">
        <f>IFERROR((TOWER_DATA[[#This Row],[D, bottom '[m']]]+TOWER_DATA[[#This Row],[D, top '[m']]])/(2*TOWER_DATA[[#This Row],[t '[mm']]]/1000),"")</f>
        <v/>
      </c>
      <c r="CU53" s="85"/>
    </row>
    <row r="54" spans="8:99" x14ac:dyDescent="0.3">
      <c r="H54" s="85" t="str">
        <f>IFERROR(MP_DATA[[#This Row],[Bottom '[mLAT']]]-MP_DATA[[#This Row],[D, top '[m']]], "")</f>
        <v/>
      </c>
      <c r="I54" s="85" t="str">
        <f>IFERROR(-(MP_DATA[[#This Row],[D, bottom '[m']]]-MP_DATA[[#This Row],[D, top '[m']]])/(MP_DATA[[#This Row],[Bottom '[mLAT']]]-MP_DATA[[#This Row],[Top '[mLAT']]]),"")</f>
        <v/>
      </c>
      <c r="J54" s="85" t="str">
        <f t="shared" si="3"/>
        <v/>
      </c>
      <c r="K54" s="85" t="str">
        <f>IFERROR((MP_DATA[[#This Row],[D, bottom '[m']]]+MP_DATA[[#This Row],[D, top '[m']]])/(2*MP_DATA[[#This Row],[t '[mm']]]/1000),"")</f>
        <v/>
      </c>
      <c r="L54" s="85"/>
      <c r="AW54" s="85" t="str">
        <f>IFERROR(TP_DATA[[#This Row],[Bottom '[mLAT']]]-TP_DATA[[#This Row],[D, top '[m']]], "")</f>
        <v/>
      </c>
      <c r="AX54" s="85" t="str">
        <f>IFERROR(-(TP_DATA[[#This Row],[D, bottom '[m']]]-TP_DATA[[#This Row],[D, top '[m']]])/(TP_DATA[[#This Row],[Bottom '[mLAT']]]-TP_DATA[[#This Row],[Top '[mLAT']]]),"")</f>
        <v/>
      </c>
      <c r="AY54" s="85" t="str">
        <f t="shared" si="1"/>
        <v/>
      </c>
      <c r="AZ54" s="85" t="str">
        <f>IFERROR((TP_DATA[[#This Row],[D, bottom '[m']]]+TP_DATA[[#This Row],[D, top '[m']]])/(2*TP_DATA[[#This Row],[t '[mm']]]/1000),"")</f>
        <v/>
      </c>
      <c r="BA54" s="85"/>
      <c r="CQ54" s="85" t="str">
        <f>IFERROR(TOWER_DATA[[#This Row],[Bottom '[mLAT']]]-TOWER_DATA[[#This Row],[D, top '[m']]], "")</f>
        <v/>
      </c>
      <c r="CR54" s="85" t="str">
        <f>IFERROR(-(TOWER_DATA[[#This Row],[D, bottom '[m']]]-TOWER_DATA[[#This Row],[D, top '[m']]])/(TOWER_DATA[[#This Row],[Bottom '[mLAT']]]-TOWER_DATA[[#This Row],[Top '[mLAT']]]),"")</f>
        <v/>
      </c>
      <c r="CS54" s="85" t="str">
        <f t="shared" si="2"/>
        <v/>
      </c>
      <c r="CT54" s="85" t="str">
        <f>IFERROR((TOWER_DATA[[#This Row],[D, bottom '[m']]]+TOWER_DATA[[#This Row],[D, top '[m']]])/(2*TOWER_DATA[[#This Row],[t '[mm']]]/1000),"")</f>
        <v/>
      </c>
      <c r="CU54" s="85"/>
    </row>
    <row r="55" spans="8:99" x14ac:dyDescent="0.3">
      <c r="H55" s="85" t="str">
        <f>IFERROR(MP_DATA[[#This Row],[Bottom '[mLAT']]]-MP_DATA[[#This Row],[D, top '[m']]], "")</f>
        <v/>
      </c>
      <c r="I55" s="85" t="str">
        <f>IFERROR(-(MP_DATA[[#This Row],[D, bottom '[m']]]-MP_DATA[[#This Row],[D, top '[m']]])/(MP_DATA[[#This Row],[Bottom '[mLAT']]]-MP_DATA[[#This Row],[Top '[mLAT']]]),"")</f>
        <v/>
      </c>
      <c r="J55" s="85" t="str">
        <f t="shared" si="3"/>
        <v/>
      </c>
      <c r="K55" s="85" t="str">
        <f>IFERROR((MP_DATA[[#This Row],[D, bottom '[m']]]+MP_DATA[[#This Row],[D, top '[m']]])/(2*MP_DATA[[#This Row],[t '[mm']]]/1000),"")</f>
        <v/>
      </c>
      <c r="L55" s="85"/>
      <c r="AW55" s="85" t="str">
        <f>IFERROR(TP_DATA[[#This Row],[Bottom '[mLAT']]]-TP_DATA[[#This Row],[D, top '[m']]], "")</f>
        <v/>
      </c>
      <c r="AX55" s="85" t="str">
        <f>IFERROR(-(TP_DATA[[#This Row],[D, bottom '[m']]]-TP_DATA[[#This Row],[D, top '[m']]])/(TP_DATA[[#This Row],[Bottom '[mLAT']]]-TP_DATA[[#This Row],[Top '[mLAT']]]),"")</f>
        <v/>
      </c>
      <c r="AY55" s="85" t="str">
        <f t="shared" si="1"/>
        <v/>
      </c>
      <c r="AZ55" s="85" t="str">
        <f>IFERROR((TP_DATA[[#This Row],[D, bottom '[m']]]+TP_DATA[[#This Row],[D, top '[m']]])/(2*TP_DATA[[#This Row],[t '[mm']]]/1000),"")</f>
        <v/>
      </c>
      <c r="BA55" s="85"/>
      <c r="CQ55" s="85" t="str">
        <f>IFERROR(TOWER_DATA[[#This Row],[Bottom '[mLAT']]]-TOWER_DATA[[#This Row],[D, top '[m']]], "")</f>
        <v/>
      </c>
      <c r="CR55" s="85" t="str">
        <f>IFERROR(-(TOWER_DATA[[#This Row],[D, bottom '[m']]]-TOWER_DATA[[#This Row],[D, top '[m']]])/(TOWER_DATA[[#This Row],[Bottom '[mLAT']]]-TOWER_DATA[[#This Row],[Top '[mLAT']]]),"")</f>
        <v/>
      </c>
      <c r="CS55" s="85" t="str">
        <f t="shared" si="2"/>
        <v/>
      </c>
      <c r="CT55" s="85" t="str">
        <f>IFERROR((TOWER_DATA[[#This Row],[D, bottom '[m']]]+TOWER_DATA[[#This Row],[D, top '[m']]])/(2*TOWER_DATA[[#This Row],[t '[mm']]]/1000),"")</f>
        <v/>
      </c>
      <c r="CU55" s="85"/>
    </row>
    <row r="56" spans="8:99" x14ac:dyDescent="0.3">
      <c r="H56" s="85" t="str">
        <f>IFERROR(MP_DATA[[#This Row],[Bottom '[mLAT']]]-MP_DATA[[#This Row],[D, top '[m']]], "")</f>
        <v/>
      </c>
      <c r="I56" s="85" t="str">
        <f>IFERROR(-(MP_DATA[[#This Row],[D, bottom '[m']]]-MP_DATA[[#This Row],[D, top '[m']]])/(MP_DATA[[#This Row],[Bottom '[mLAT']]]-MP_DATA[[#This Row],[Top '[mLAT']]]),"")</f>
        <v/>
      </c>
      <c r="J56" s="85" t="str">
        <f t="shared" si="3"/>
        <v/>
      </c>
      <c r="K56" s="85" t="str">
        <f>IFERROR((MP_DATA[[#This Row],[D, bottom '[m']]]+MP_DATA[[#This Row],[D, top '[m']]])/(2*MP_DATA[[#This Row],[t '[mm']]]/1000),"")</f>
        <v/>
      </c>
      <c r="L56" s="85"/>
      <c r="AW56" s="85" t="str">
        <f>IFERROR(TP_DATA[[#This Row],[Bottom '[mLAT']]]-TP_DATA[[#This Row],[D, top '[m']]], "")</f>
        <v/>
      </c>
      <c r="AX56" s="85" t="str">
        <f>IFERROR(-(TP_DATA[[#This Row],[D, bottom '[m']]]-TP_DATA[[#This Row],[D, top '[m']]])/(TP_DATA[[#This Row],[Bottom '[mLAT']]]-TP_DATA[[#This Row],[Top '[mLAT']]]),"")</f>
        <v/>
      </c>
      <c r="AY56" s="85" t="str">
        <f t="shared" si="1"/>
        <v/>
      </c>
      <c r="AZ56" s="85" t="str">
        <f>IFERROR((TP_DATA[[#This Row],[D, bottom '[m']]]+TP_DATA[[#This Row],[D, top '[m']]])/(2*TP_DATA[[#This Row],[t '[mm']]]/1000),"")</f>
        <v/>
      </c>
      <c r="BA56" s="85"/>
      <c r="CQ56" s="85" t="str">
        <f>IFERROR(TOWER_DATA[[#This Row],[Bottom '[mLAT']]]-TOWER_DATA[[#This Row],[D, top '[m']]], "")</f>
        <v/>
      </c>
      <c r="CR56" s="85" t="str">
        <f>IFERROR(-(TOWER_DATA[[#This Row],[D, bottom '[m']]]-TOWER_DATA[[#This Row],[D, top '[m']]])/(TOWER_DATA[[#This Row],[Bottom '[mLAT']]]-TOWER_DATA[[#This Row],[Top '[mLAT']]]),"")</f>
        <v/>
      </c>
      <c r="CS56" s="85" t="str">
        <f t="shared" si="2"/>
        <v/>
      </c>
      <c r="CT56" s="85" t="str">
        <f>IFERROR((TOWER_DATA[[#This Row],[D, bottom '[m']]]+TOWER_DATA[[#This Row],[D, top '[m']]])/(2*TOWER_DATA[[#This Row],[t '[mm']]]/1000),"")</f>
        <v/>
      </c>
      <c r="CU56" s="85"/>
    </row>
    <row r="57" spans="8:99" x14ac:dyDescent="0.3">
      <c r="H57" s="85" t="str">
        <f>IFERROR(MP_DATA[[#This Row],[Bottom '[mLAT']]]-MP_DATA[[#This Row],[D, top '[m']]], "")</f>
        <v/>
      </c>
      <c r="I57" s="85" t="str">
        <f>IFERROR(-(MP_DATA[[#This Row],[D, bottom '[m']]]-MP_DATA[[#This Row],[D, top '[m']]])/(MP_DATA[[#This Row],[Bottom '[mLAT']]]-MP_DATA[[#This Row],[Top '[mLAT']]]),"")</f>
        <v/>
      </c>
      <c r="J57" s="85" t="str">
        <f t="shared" si="3"/>
        <v/>
      </c>
      <c r="K57" s="85" t="str">
        <f>IFERROR((MP_DATA[[#This Row],[D, bottom '[m']]]+MP_DATA[[#This Row],[D, top '[m']]])/(2*MP_DATA[[#This Row],[t '[mm']]]/1000),"")</f>
        <v/>
      </c>
      <c r="L57" s="85"/>
      <c r="AW57" s="85" t="str">
        <f>IFERROR(TP_DATA[[#This Row],[Bottom '[mLAT']]]-TP_DATA[[#This Row],[D, top '[m']]], "")</f>
        <v/>
      </c>
      <c r="AX57" s="85" t="str">
        <f>IFERROR(-(TP_DATA[[#This Row],[D, bottom '[m']]]-TP_DATA[[#This Row],[D, top '[m']]])/(TP_DATA[[#This Row],[Bottom '[mLAT']]]-TP_DATA[[#This Row],[Top '[mLAT']]]),"")</f>
        <v/>
      </c>
      <c r="AY57" s="85" t="str">
        <f t="shared" si="1"/>
        <v/>
      </c>
      <c r="AZ57" s="85" t="str">
        <f>IFERROR((TP_DATA[[#This Row],[D, bottom '[m']]]+TP_DATA[[#This Row],[D, top '[m']]])/(2*TP_DATA[[#This Row],[t '[mm']]]/1000),"")</f>
        <v/>
      </c>
      <c r="BA57" s="85"/>
      <c r="CQ57" s="85" t="str">
        <f>IFERROR(TOWER_DATA[[#This Row],[Bottom '[mLAT']]]-TOWER_DATA[[#This Row],[D, top '[m']]], "")</f>
        <v/>
      </c>
      <c r="CR57" s="85" t="str">
        <f>IFERROR(-(TOWER_DATA[[#This Row],[D, bottom '[m']]]-TOWER_DATA[[#This Row],[D, top '[m']]])/(TOWER_DATA[[#This Row],[Bottom '[mLAT']]]-TOWER_DATA[[#This Row],[Top '[mLAT']]]),"")</f>
        <v/>
      </c>
      <c r="CS57" s="85" t="str">
        <f t="shared" si="2"/>
        <v/>
      </c>
      <c r="CT57" s="85" t="str">
        <f>IFERROR((TOWER_DATA[[#This Row],[D, bottom '[m']]]+TOWER_DATA[[#This Row],[D, top '[m']]])/(2*TOWER_DATA[[#This Row],[t '[mm']]]/1000),"")</f>
        <v/>
      </c>
      <c r="CU57" s="85"/>
    </row>
    <row r="58" spans="8:99" x14ac:dyDescent="0.3">
      <c r="H58" s="85" t="str">
        <f>IFERROR(MP_DATA[[#This Row],[Bottom '[mLAT']]]-MP_DATA[[#This Row],[D, top '[m']]], "")</f>
        <v/>
      </c>
      <c r="I58" s="85" t="str">
        <f>IFERROR(-(MP_DATA[[#This Row],[D, bottom '[m']]]-MP_DATA[[#This Row],[D, top '[m']]])/(MP_DATA[[#This Row],[Bottom '[mLAT']]]-MP_DATA[[#This Row],[Top '[mLAT']]]),"")</f>
        <v/>
      </c>
      <c r="J58" s="85" t="str">
        <f t="shared" si="3"/>
        <v/>
      </c>
      <c r="K58" s="85" t="str">
        <f>IFERROR((MP_DATA[[#This Row],[D, bottom '[m']]]+MP_DATA[[#This Row],[D, top '[m']]])/(2*MP_DATA[[#This Row],[t '[mm']]]/1000),"")</f>
        <v/>
      </c>
      <c r="L58" s="85"/>
      <c r="AW58" s="85" t="str">
        <f>IFERROR(TP_DATA[[#This Row],[Bottom '[mLAT']]]-TP_DATA[[#This Row],[D, top '[m']]], "")</f>
        <v/>
      </c>
      <c r="AX58" s="85" t="str">
        <f>IFERROR(-(TP_DATA[[#This Row],[D, bottom '[m']]]-TP_DATA[[#This Row],[D, top '[m']]])/(TP_DATA[[#This Row],[Bottom '[mLAT']]]-TP_DATA[[#This Row],[Top '[mLAT']]]),"")</f>
        <v/>
      </c>
      <c r="AY58" s="85" t="str">
        <f t="shared" si="1"/>
        <v/>
      </c>
      <c r="AZ58" s="85" t="str">
        <f>IFERROR((TP_DATA[[#This Row],[D, bottom '[m']]]+TP_DATA[[#This Row],[D, top '[m']]])/(2*TP_DATA[[#This Row],[t '[mm']]]/1000),"")</f>
        <v/>
      </c>
      <c r="BA58" s="85"/>
      <c r="CQ58" s="85" t="str">
        <f>IFERROR(TOWER_DATA[[#This Row],[Bottom '[mLAT']]]-TOWER_DATA[[#This Row],[D, top '[m']]], "")</f>
        <v/>
      </c>
      <c r="CR58" s="85" t="str">
        <f>IFERROR(-(TOWER_DATA[[#This Row],[D, bottom '[m']]]-TOWER_DATA[[#This Row],[D, top '[m']]])/(TOWER_DATA[[#This Row],[Bottom '[mLAT']]]-TOWER_DATA[[#This Row],[Top '[mLAT']]]),"")</f>
        <v/>
      </c>
      <c r="CS58" s="85" t="str">
        <f t="shared" si="2"/>
        <v/>
      </c>
      <c r="CT58" s="85" t="str">
        <f>IFERROR((TOWER_DATA[[#This Row],[D, bottom '[m']]]+TOWER_DATA[[#This Row],[D, top '[m']]])/(2*TOWER_DATA[[#This Row],[t '[mm']]]/1000),"")</f>
        <v/>
      </c>
      <c r="CU58" s="85"/>
    </row>
    <row r="59" spans="8:99" x14ac:dyDescent="0.3">
      <c r="H59" s="85" t="str">
        <f>IFERROR(MP_DATA[[#This Row],[Bottom '[mLAT']]]-MP_DATA[[#This Row],[D, top '[m']]], "")</f>
        <v/>
      </c>
      <c r="I59" s="85" t="str">
        <f>IFERROR(-(MP_DATA[[#This Row],[D, bottom '[m']]]-MP_DATA[[#This Row],[D, top '[m']]])/(MP_DATA[[#This Row],[Bottom '[mLAT']]]-MP_DATA[[#This Row],[Top '[mLAT']]]),"")</f>
        <v/>
      </c>
      <c r="J59" s="85" t="str">
        <f t="shared" si="3"/>
        <v/>
      </c>
      <c r="K59" s="85" t="str">
        <f>IFERROR((MP_DATA[[#This Row],[D, bottom '[m']]]+MP_DATA[[#This Row],[D, top '[m']]])/(2*MP_DATA[[#This Row],[t '[mm']]]/1000),"")</f>
        <v/>
      </c>
      <c r="L59" s="85"/>
      <c r="AW59" s="85" t="str">
        <f>IFERROR(TP_DATA[[#This Row],[Bottom '[mLAT']]]-TP_DATA[[#This Row],[D, top '[m']]], "")</f>
        <v/>
      </c>
      <c r="AX59" s="85" t="str">
        <f>IFERROR(-(TP_DATA[[#This Row],[D, bottom '[m']]]-TP_DATA[[#This Row],[D, top '[m']]])/(TP_DATA[[#This Row],[Bottom '[mLAT']]]-TP_DATA[[#This Row],[Top '[mLAT']]]),"")</f>
        <v/>
      </c>
      <c r="AY59" s="85" t="str">
        <f t="shared" si="1"/>
        <v/>
      </c>
      <c r="AZ59" s="85" t="str">
        <f>IFERROR((TP_DATA[[#This Row],[D, bottom '[m']]]+TP_DATA[[#This Row],[D, top '[m']]])/(2*TP_DATA[[#This Row],[t '[mm']]]/1000),"")</f>
        <v/>
      </c>
      <c r="BA59" s="85"/>
      <c r="CQ59" s="85" t="str">
        <f>IFERROR(TOWER_DATA[[#This Row],[Bottom '[mLAT']]]-TOWER_DATA[[#This Row],[D, top '[m']]], "")</f>
        <v/>
      </c>
      <c r="CR59" s="85" t="str">
        <f>IFERROR(-(TOWER_DATA[[#This Row],[D, bottom '[m']]]-TOWER_DATA[[#This Row],[D, top '[m']]])/(TOWER_DATA[[#This Row],[Bottom '[mLAT']]]-TOWER_DATA[[#This Row],[Top '[mLAT']]]),"")</f>
        <v/>
      </c>
      <c r="CS59" s="85" t="str">
        <f t="shared" si="2"/>
        <v/>
      </c>
      <c r="CT59" s="85" t="str">
        <f>IFERROR((TOWER_DATA[[#This Row],[D, bottom '[m']]]+TOWER_DATA[[#This Row],[D, top '[m']]])/(2*TOWER_DATA[[#This Row],[t '[mm']]]/1000),"")</f>
        <v/>
      </c>
      <c r="CU59" s="85"/>
    </row>
    <row r="60" spans="8:99" x14ac:dyDescent="0.3">
      <c r="H60" s="85" t="str">
        <f>IFERROR(MP_DATA[[#This Row],[Bottom '[mLAT']]]-MP_DATA[[#This Row],[D, top '[m']]], "")</f>
        <v/>
      </c>
      <c r="I60" s="85" t="str">
        <f>IFERROR(-(MP_DATA[[#This Row],[D, bottom '[m']]]-MP_DATA[[#This Row],[D, top '[m']]])/(MP_DATA[[#This Row],[Bottom '[mLAT']]]-MP_DATA[[#This Row],[Top '[mLAT']]]),"")</f>
        <v/>
      </c>
      <c r="J60" s="85" t="str">
        <f t="shared" si="3"/>
        <v/>
      </c>
      <c r="K60" s="85" t="str">
        <f>IFERROR((MP_DATA[[#This Row],[D, bottom '[m']]]+MP_DATA[[#This Row],[D, top '[m']]])/(2*MP_DATA[[#This Row],[t '[mm']]]/1000),"")</f>
        <v/>
      </c>
      <c r="L60" s="85" t="str">
        <f>IFERROR((MP_DATA[[#This Row],[D, bottom '[m']]]+#REF!)/(2*#REF!/1000),"")</f>
        <v/>
      </c>
      <c r="AW60" s="85" t="str">
        <f>IFERROR(TP_DATA[[#This Row],[Bottom '[mLAT']]]-TP_DATA[[#This Row],[D, top '[m']]], "")</f>
        <v/>
      </c>
      <c r="AX60" s="85" t="str">
        <f>IFERROR(-(TP_DATA[[#This Row],[D, bottom '[m']]]-TP_DATA[[#This Row],[D, top '[m']]])/(TP_DATA[[#This Row],[Bottom '[mLAT']]]-TP_DATA[[#This Row],[Top '[mLAT']]]),"")</f>
        <v/>
      </c>
      <c r="AY60" s="85" t="str">
        <f t="shared" si="1"/>
        <v/>
      </c>
      <c r="AZ60" s="85" t="str">
        <f>IFERROR((TP_DATA[[#This Row],[D, bottom '[m']]]+TP_DATA[[#This Row],[D, top '[m']]])/(2*TP_DATA[[#This Row],[t '[mm']]]/1000),"")</f>
        <v/>
      </c>
      <c r="BA60" s="85" t="str">
        <f>IFERROR((TP_DATA[[#This Row],[D, bottom '[m']]]+#REF!)/(2*#REF!/1000),"")</f>
        <v/>
      </c>
      <c r="CQ60" s="85" t="str">
        <f>IFERROR(TOWER_DATA[[#This Row],[Bottom '[mLAT']]]-TOWER_DATA[[#This Row],[D, top '[m']]], "")</f>
        <v/>
      </c>
      <c r="CR60" s="85" t="str">
        <f>IFERROR(-(TOWER_DATA[[#This Row],[D, bottom '[m']]]-TOWER_DATA[[#This Row],[D, top '[m']]])/(TOWER_DATA[[#This Row],[Bottom '[mLAT']]]-TOWER_DATA[[#This Row],[Top '[mLAT']]]),"")</f>
        <v/>
      </c>
      <c r="CS60" s="85" t="str">
        <f t="shared" si="2"/>
        <v/>
      </c>
      <c r="CT60" s="85" t="str">
        <f>IFERROR((TOWER_DATA[[#This Row],[D, bottom '[m']]]+TOWER_DATA[[#This Row],[D, top '[m']]])/(2*TOWER_DATA[[#This Row],[t '[mm']]]/1000),"")</f>
        <v/>
      </c>
      <c r="CU60" s="85" t="str">
        <f>IFERROR((TOWER_DATA[[#This Row],[D, bottom '[m']]]+#REF!)/(2*#REF!/1000),"")</f>
        <v/>
      </c>
    </row>
    <row r="61" spans="8:99" x14ac:dyDescent="0.3">
      <c r="H61" s="85" t="str">
        <f>IFERROR(MP_DATA[[#This Row],[Bottom '[mLAT']]]-MP_DATA[[#This Row],[D, top '[m']]], "")</f>
        <v/>
      </c>
      <c r="I61" s="85" t="str">
        <f>IFERROR(-(MP_DATA[[#This Row],[D, bottom '[m']]]-MP_DATA[[#This Row],[D, top '[m']]])/(MP_DATA[[#This Row],[Bottom '[mLAT']]]-MP_DATA[[#This Row],[Top '[mLAT']]]),"")</f>
        <v/>
      </c>
      <c r="J61" s="85" t="str">
        <f t="shared" si="3"/>
        <v/>
      </c>
      <c r="K61" s="85" t="str">
        <f>IFERROR((MP_DATA[[#This Row],[D, bottom '[m']]]+MP_DATA[[#This Row],[D, top '[m']]])/(2*MP_DATA[[#This Row],[t '[mm']]]/1000),"")</f>
        <v/>
      </c>
      <c r="L61" s="85" t="str">
        <f>IFERROR((MP_DATA[[#This Row],[D, bottom '[m']]]+#REF!)/(2*#REF!/1000),"")</f>
        <v/>
      </c>
      <c r="AW61" s="85" t="str">
        <f>IFERROR(TP_DATA[[#This Row],[Bottom '[mLAT']]]-TP_DATA[[#This Row],[D, top '[m']]], "")</f>
        <v/>
      </c>
      <c r="AX61" s="85" t="str">
        <f>IFERROR(-(TP_DATA[[#This Row],[D, bottom '[m']]]-TP_DATA[[#This Row],[D, top '[m']]])/(TP_DATA[[#This Row],[Bottom '[mLAT']]]-TP_DATA[[#This Row],[Top '[mLAT']]]),"")</f>
        <v/>
      </c>
      <c r="AY61" s="85" t="str">
        <f t="shared" si="1"/>
        <v/>
      </c>
      <c r="AZ61" s="85" t="str">
        <f>IFERROR((TP_DATA[[#This Row],[D, bottom '[m']]]+TP_DATA[[#This Row],[D, top '[m']]])/(2*TP_DATA[[#This Row],[t '[mm']]]/1000),"")</f>
        <v/>
      </c>
      <c r="BA61" s="85" t="str">
        <f>IFERROR((TP_DATA[[#This Row],[D, bottom '[m']]]+#REF!)/(2*#REF!/1000),"")</f>
        <v/>
      </c>
      <c r="CQ61" s="85" t="str">
        <f>IFERROR(TOWER_DATA[[#This Row],[Bottom '[mLAT']]]-TOWER_DATA[[#This Row],[D, top '[m']]], "")</f>
        <v/>
      </c>
      <c r="CR61" s="85" t="str">
        <f>IFERROR(-(TOWER_DATA[[#This Row],[D, bottom '[m']]]-TOWER_DATA[[#This Row],[D, top '[m']]])/(TOWER_DATA[[#This Row],[Bottom '[mLAT']]]-TOWER_DATA[[#This Row],[Top '[mLAT']]]),"")</f>
        <v/>
      </c>
      <c r="CS61" s="85" t="str">
        <f t="shared" si="2"/>
        <v/>
      </c>
      <c r="CT61" s="85" t="str">
        <f>IFERROR((TOWER_DATA[[#This Row],[D, bottom '[m']]]+TOWER_DATA[[#This Row],[D, top '[m']]])/(2*TOWER_DATA[[#This Row],[t '[mm']]]/1000),"")</f>
        <v/>
      </c>
      <c r="CU61" s="85" t="str">
        <f>IFERROR((TOWER_DATA[[#This Row],[D, bottom '[m']]]+#REF!)/(2*#REF!/1000),"")</f>
        <v/>
      </c>
    </row>
    <row r="62" spans="8:99" x14ac:dyDescent="0.3">
      <c r="H62" s="85" t="str">
        <f>IFERROR(MP_DATA[[#This Row],[Bottom '[mLAT']]]-MP_DATA[[#This Row],[D, top '[m']]], "")</f>
        <v/>
      </c>
      <c r="I62" s="85" t="str">
        <f>IFERROR(-(MP_DATA[[#This Row],[D, bottom '[m']]]-MP_DATA[[#This Row],[D, top '[m']]])/(MP_DATA[[#This Row],[Bottom '[mLAT']]]-MP_DATA[[#This Row],[Top '[mLAT']]]),"")</f>
        <v/>
      </c>
      <c r="J62" s="85" t="str">
        <f t="shared" si="3"/>
        <v/>
      </c>
      <c r="K62" s="85" t="str">
        <f>IFERROR((MP_DATA[[#This Row],[D, bottom '[m']]]+MP_DATA[[#This Row],[D, top '[m']]])/(2*MP_DATA[[#This Row],[t '[mm']]]/1000),"")</f>
        <v/>
      </c>
      <c r="L62" s="85" t="str">
        <f>IFERROR((MP_DATA[[#This Row],[D, bottom '[m']]]+#REF!)/(2*#REF!/1000),"")</f>
        <v/>
      </c>
      <c r="AW62" s="85" t="str">
        <f>IFERROR(TP_DATA[[#This Row],[Bottom '[mLAT']]]-TP_DATA[[#This Row],[D, top '[m']]], "")</f>
        <v/>
      </c>
      <c r="AX62" s="85" t="str">
        <f>IFERROR(-(TP_DATA[[#This Row],[D, bottom '[m']]]-TP_DATA[[#This Row],[D, top '[m']]])/(TP_DATA[[#This Row],[Bottom '[mLAT']]]-TP_DATA[[#This Row],[Top '[mLAT']]]),"")</f>
        <v/>
      </c>
      <c r="AY62" s="85" t="str">
        <f t="shared" si="1"/>
        <v/>
      </c>
      <c r="AZ62" s="85" t="str">
        <f>IFERROR((TP_DATA[[#This Row],[D, bottom '[m']]]+TP_DATA[[#This Row],[D, top '[m']]])/(2*TP_DATA[[#This Row],[t '[mm']]]/1000),"")</f>
        <v/>
      </c>
      <c r="BA62" s="85" t="str">
        <f>IFERROR((TP_DATA[[#This Row],[D, bottom '[m']]]+#REF!)/(2*#REF!/1000),"")</f>
        <v/>
      </c>
      <c r="CQ62" s="85" t="str">
        <f>IFERROR(TOWER_DATA[[#This Row],[Bottom '[mLAT']]]-TOWER_DATA[[#This Row],[D, top '[m']]], "")</f>
        <v/>
      </c>
      <c r="CR62" s="85" t="str">
        <f>IFERROR(-(TOWER_DATA[[#This Row],[D, bottom '[m']]]-TOWER_DATA[[#This Row],[D, top '[m']]])/(TOWER_DATA[[#This Row],[Bottom '[mLAT']]]-TOWER_DATA[[#This Row],[Top '[mLAT']]]),"")</f>
        <v/>
      </c>
      <c r="CS62" s="85" t="str">
        <f t="shared" si="2"/>
        <v/>
      </c>
      <c r="CT62" s="85" t="str">
        <f>IFERROR((TOWER_DATA[[#This Row],[D, bottom '[m']]]+TOWER_DATA[[#This Row],[D, top '[m']]])/(2*TOWER_DATA[[#This Row],[t '[mm']]]/1000),"")</f>
        <v/>
      </c>
      <c r="CU62" s="85" t="str">
        <f>IFERROR((TOWER_DATA[[#This Row],[D, bottom '[m']]]+#REF!)/(2*#REF!/1000),"")</f>
        <v/>
      </c>
    </row>
    <row r="63" spans="8:99" x14ac:dyDescent="0.3">
      <c r="H63" s="85" t="str">
        <f>IFERROR(MP_DATA[[#This Row],[Bottom '[mLAT']]]-MP_DATA[[#This Row],[D, top '[m']]], "")</f>
        <v/>
      </c>
      <c r="I63" s="85" t="str">
        <f>IFERROR(-(MP_DATA[[#This Row],[D, bottom '[m']]]-MP_DATA[[#This Row],[D, top '[m']]])/(MP_DATA[[#This Row],[Bottom '[mLAT']]]-MP_DATA[[#This Row],[Top '[mLAT']]]),"")</f>
        <v/>
      </c>
      <c r="J63" s="85" t="str">
        <f t="shared" si="3"/>
        <v/>
      </c>
      <c r="K63" s="85" t="str">
        <f>IFERROR((MP_DATA[[#This Row],[D, bottom '[m']]]+MP_DATA[[#This Row],[D, top '[m']]])/(2*MP_DATA[[#This Row],[t '[mm']]]/1000),"")</f>
        <v/>
      </c>
      <c r="L63" s="85" t="str">
        <f>IFERROR((MP_DATA[[#This Row],[D, bottom '[m']]]+#REF!)/(2*#REF!/1000),"")</f>
        <v/>
      </c>
      <c r="AW63" s="85" t="str">
        <f>IFERROR(TP_DATA[[#This Row],[Bottom '[mLAT']]]-TP_DATA[[#This Row],[D, top '[m']]], "")</f>
        <v/>
      </c>
      <c r="AX63" s="85" t="str">
        <f>IFERROR(-(TP_DATA[[#This Row],[D, bottom '[m']]]-TP_DATA[[#This Row],[D, top '[m']]])/(TP_DATA[[#This Row],[Bottom '[mLAT']]]-TP_DATA[[#This Row],[Top '[mLAT']]]),"")</f>
        <v/>
      </c>
      <c r="AY63" s="85" t="str">
        <f t="shared" si="1"/>
        <v/>
      </c>
      <c r="AZ63" s="85" t="str">
        <f>IFERROR((TP_DATA[[#This Row],[D, bottom '[m']]]+TP_DATA[[#This Row],[D, top '[m']]])/(2*TP_DATA[[#This Row],[t '[mm']]]/1000),"")</f>
        <v/>
      </c>
      <c r="BA63" s="85" t="str">
        <f>IFERROR((TP_DATA[[#This Row],[D, bottom '[m']]]+#REF!)/(2*#REF!/1000),"")</f>
        <v/>
      </c>
      <c r="CQ63" s="85" t="str">
        <f>IFERROR(TOWER_DATA[[#This Row],[Bottom '[mLAT']]]-TOWER_DATA[[#This Row],[D, top '[m']]], "")</f>
        <v/>
      </c>
      <c r="CR63" s="85" t="str">
        <f>IFERROR(-(TOWER_DATA[[#This Row],[D, bottom '[m']]]-TOWER_DATA[[#This Row],[D, top '[m']]])/(TOWER_DATA[[#This Row],[Bottom '[mLAT']]]-TOWER_DATA[[#This Row],[Top '[mLAT']]]),"")</f>
        <v/>
      </c>
      <c r="CS63" s="85" t="str">
        <f t="shared" si="2"/>
        <v/>
      </c>
      <c r="CT63" s="85" t="str">
        <f>IFERROR((TOWER_DATA[[#This Row],[D, bottom '[m']]]+TOWER_DATA[[#This Row],[D, top '[m']]])/(2*TOWER_DATA[[#This Row],[t '[mm']]]/1000),"")</f>
        <v/>
      </c>
      <c r="CU63" s="85" t="str">
        <f>IFERROR((TOWER_DATA[[#This Row],[D, bottom '[m']]]+#REF!)/(2*#REF!/1000),"")</f>
        <v/>
      </c>
    </row>
    <row r="64" spans="8:99" x14ac:dyDescent="0.3">
      <c r="H64" s="85" t="str">
        <f>IFERROR(MP_DATA[[#This Row],[Bottom '[mLAT']]]-MP_DATA[[#This Row],[D, top '[m']]], "")</f>
        <v/>
      </c>
      <c r="I64" s="85" t="str">
        <f>IFERROR(-(MP_DATA[[#This Row],[D, bottom '[m']]]-MP_DATA[[#This Row],[D, top '[m']]])/(MP_DATA[[#This Row],[Bottom '[mLAT']]]-MP_DATA[[#This Row],[Top '[mLAT']]]),"")</f>
        <v/>
      </c>
      <c r="J64" s="85" t="str">
        <f t="shared" si="3"/>
        <v/>
      </c>
      <c r="K64" s="85" t="str">
        <f>IFERROR((MP_DATA[[#This Row],[D, bottom '[m']]]+MP_DATA[[#This Row],[D, top '[m']]])/(2*MP_DATA[[#This Row],[t '[mm']]]/1000),"")</f>
        <v/>
      </c>
      <c r="L64" s="85" t="str">
        <f>IFERROR((MP_DATA[[#This Row],[D, bottom '[m']]]+#REF!)/(2*#REF!/1000),"")</f>
        <v/>
      </c>
      <c r="AW64" s="85" t="str">
        <f>IFERROR(TP_DATA[[#This Row],[Bottom '[mLAT']]]-TP_DATA[[#This Row],[D, top '[m']]], "")</f>
        <v/>
      </c>
      <c r="AX64" s="85" t="str">
        <f>IFERROR(-(TP_DATA[[#This Row],[D, bottom '[m']]]-TP_DATA[[#This Row],[D, top '[m']]])/(TP_DATA[[#This Row],[Bottom '[mLAT']]]-TP_DATA[[#This Row],[Top '[mLAT']]]),"")</f>
        <v/>
      </c>
      <c r="AY64" s="85" t="str">
        <f t="shared" si="1"/>
        <v/>
      </c>
      <c r="AZ64" s="85" t="str">
        <f>IFERROR((TP_DATA[[#This Row],[D, bottom '[m']]]+TP_DATA[[#This Row],[D, top '[m']]])/(2*TP_DATA[[#This Row],[t '[mm']]]/1000),"")</f>
        <v/>
      </c>
      <c r="BA64" s="85" t="str">
        <f>IFERROR((TP_DATA[[#This Row],[D, bottom '[m']]]+#REF!)/(2*#REF!/1000),"")</f>
        <v/>
      </c>
      <c r="CQ64" s="85" t="str">
        <f>IFERROR(TOWER_DATA[[#This Row],[Bottom '[mLAT']]]-TOWER_DATA[[#This Row],[D, top '[m']]], "")</f>
        <v/>
      </c>
      <c r="CR64" s="85" t="str">
        <f>IFERROR(-(TOWER_DATA[[#This Row],[D, bottom '[m']]]-TOWER_DATA[[#This Row],[D, top '[m']]])/(TOWER_DATA[[#This Row],[Bottom '[mLAT']]]-TOWER_DATA[[#This Row],[Top '[mLAT']]]),"")</f>
        <v/>
      </c>
      <c r="CS64" s="85" t="str">
        <f t="shared" si="2"/>
        <v/>
      </c>
      <c r="CT64" s="85" t="str">
        <f>IFERROR((TOWER_DATA[[#This Row],[D, bottom '[m']]]+TOWER_DATA[[#This Row],[D, top '[m']]])/(2*TOWER_DATA[[#This Row],[t '[mm']]]/1000),"")</f>
        <v/>
      </c>
      <c r="CU64" s="85" t="str">
        <f>IFERROR((TOWER_DATA[[#This Row],[D, bottom '[m']]]+#REF!)/(2*#REF!/1000),"")</f>
        <v/>
      </c>
    </row>
    <row r="65" spans="8:99" x14ac:dyDescent="0.3">
      <c r="H65" s="85" t="str">
        <f>IFERROR(MP_DATA[[#This Row],[Bottom '[mLAT']]]-MP_DATA[[#This Row],[D, top '[m']]], "")</f>
        <v/>
      </c>
      <c r="I65" s="85" t="str">
        <f>IFERROR(-(MP_DATA[[#This Row],[D, bottom '[m']]]-MP_DATA[[#This Row],[D, top '[m']]])/(MP_DATA[[#This Row],[Bottom '[mLAT']]]-MP_DATA[[#This Row],[Top '[mLAT']]]),"")</f>
        <v/>
      </c>
      <c r="J65" s="85" t="str">
        <f t="shared" si="3"/>
        <v/>
      </c>
      <c r="K65" s="85" t="str">
        <f>IFERROR((MP_DATA[[#This Row],[D, bottom '[m']]]+MP_DATA[[#This Row],[D, top '[m']]])/(2*MP_DATA[[#This Row],[t '[mm']]]/1000),"")</f>
        <v/>
      </c>
      <c r="L65" s="85" t="str">
        <f>IFERROR((MP_DATA[[#This Row],[D, bottom '[m']]]+#REF!)/(2*#REF!/1000),"")</f>
        <v/>
      </c>
      <c r="AW65" s="85" t="str">
        <f>IFERROR(TP_DATA[[#This Row],[Bottom '[mLAT']]]-TP_DATA[[#This Row],[D, top '[m']]], "")</f>
        <v/>
      </c>
      <c r="AX65" s="85" t="str">
        <f>IFERROR(-(TP_DATA[[#This Row],[D, bottom '[m']]]-TP_DATA[[#This Row],[D, top '[m']]])/(TP_DATA[[#This Row],[Bottom '[mLAT']]]-TP_DATA[[#This Row],[Top '[mLAT']]]),"")</f>
        <v/>
      </c>
      <c r="AY65" s="85" t="str">
        <f t="shared" si="1"/>
        <v/>
      </c>
      <c r="AZ65" s="85" t="str">
        <f>IFERROR((TP_DATA[[#This Row],[D, bottom '[m']]]+TP_DATA[[#This Row],[D, top '[m']]])/(2*TP_DATA[[#This Row],[t '[mm']]]/1000),"")</f>
        <v/>
      </c>
      <c r="BA65" s="85" t="str">
        <f>IFERROR((TP_DATA[[#This Row],[D, bottom '[m']]]+#REF!)/(2*#REF!/1000),"")</f>
        <v/>
      </c>
      <c r="CQ65" s="85" t="str">
        <f>IFERROR(TOWER_DATA[[#This Row],[Bottom '[mLAT']]]-TOWER_DATA[[#This Row],[D, top '[m']]], "")</f>
        <v/>
      </c>
      <c r="CR65" s="85" t="str">
        <f>IFERROR(-(TOWER_DATA[[#This Row],[D, bottom '[m']]]-TOWER_DATA[[#This Row],[D, top '[m']]])/(TOWER_DATA[[#This Row],[Bottom '[mLAT']]]-TOWER_DATA[[#This Row],[Top '[mLAT']]]),"")</f>
        <v/>
      </c>
      <c r="CS65" s="85" t="str">
        <f t="shared" si="2"/>
        <v/>
      </c>
      <c r="CT65" s="85" t="str">
        <f>IFERROR((TOWER_DATA[[#This Row],[D, bottom '[m']]]+TOWER_DATA[[#This Row],[D, top '[m']]])/(2*TOWER_DATA[[#This Row],[t '[mm']]]/1000),"")</f>
        <v/>
      </c>
      <c r="CU65" s="85" t="str">
        <f>IFERROR((TOWER_DATA[[#This Row],[D, bottom '[m']]]+#REF!)/(2*#REF!/1000),"")</f>
        <v/>
      </c>
    </row>
    <row r="66" spans="8:99" x14ac:dyDescent="0.3">
      <c r="H66" s="85" t="str">
        <f>IFERROR(MP_DATA[[#This Row],[Bottom '[mLAT']]]-MP_DATA[[#This Row],[D, top '[m']]], "")</f>
        <v/>
      </c>
      <c r="I66" s="85" t="str">
        <f>IFERROR(-(MP_DATA[[#This Row],[D, bottom '[m']]]-MP_DATA[[#This Row],[D, top '[m']]])/(MP_DATA[[#This Row],[Bottom '[mLAT']]]-MP_DATA[[#This Row],[Top '[mLAT']]]),"")</f>
        <v/>
      </c>
      <c r="J66" s="85" t="str">
        <f t="shared" si="3"/>
        <v/>
      </c>
      <c r="K66" s="85" t="str">
        <f>IFERROR((MP_DATA[[#This Row],[D, bottom '[m']]]+MP_DATA[[#This Row],[D, top '[m']]])/(2*MP_DATA[[#This Row],[t '[mm']]]/1000),"")</f>
        <v/>
      </c>
      <c r="L66" s="85" t="str">
        <f>IFERROR((MP_DATA[[#This Row],[D, bottom '[m']]]+#REF!)/(2*#REF!/1000),"")</f>
        <v/>
      </c>
      <c r="AW66" s="85" t="str">
        <f>IFERROR(TP_DATA[[#This Row],[Bottom '[mLAT']]]-TP_DATA[[#This Row],[D, top '[m']]], "")</f>
        <v/>
      </c>
      <c r="AX66" s="85" t="str">
        <f>IFERROR(-(TP_DATA[[#This Row],[D, bottom '[m']]]-TP_DATA[[#This Row],[D, top '[m']]])/(TP_DATA[[#This Row],[Bottom '[mLAT']]]-TP_DATA[[#This Row],[Top '[mLAT']]]),"")</f>
        <v/>
      </c>
      <c r="AY66" s="85" t="str">
        <f t="shared" si="1"/>
        <v/>
      </c>
      <c r="AZ66" s="85" t="str">
        <f>IFERROR((TP_DATA[[#This Row],[D, bottom '[m']]]+TP_DATA[[#This Row],[D, top '[m']]])/(2*TP_DATA[[#This Row],[t '[mm']]]/1000),"")</f>
        <v/>
      </c>
      <c r="BA66" s="85" t="str">
        <f>IFERROR((TP_DATA[[#This Row],[D, bottom '[m']]]+#REF!)/(2*#REF!/1000),"")</f>
        <v/>
      </c>
      <c r="CQ66" s="85" t="str">
        <f>IFERROR(TOWER_DATA[[#This Row],[Bottom '[mLAT']]]-TOWER_DATA[[#This Row],[D, top '[m']]], "")</f>
        <v/>
      </c>
      <c r="CR66" s="85" t="str">
        <f>IFERROR(-(TOWER_DATA[[#This Row],[D, bottom '[m']]]-TOWER_DATA[[#This Row],[D, top '[m']]])/(TOWER_DATA[[#This Row],[Bottom '[mLAT']]]-TOWER_DATA[[#This Row],[Top '[mLAT']]]),"")</f>
        <v/>
      </c>
      <c r="CS66" s="85" t="str">
        <f t="shared" si="2"/>
        <v/>
      </c>
      <c r="CT66" s="85" t="str">
        <f>IFERROR((TOWER_DATA[[#This Row],[D, bottom '[m']]]+TOWER_DATA[[#This Row],[D, top '[m']]])/(2*TOWER_DATA[[#This Row],[t '[mm']]]/1000),"")</f>
        <v/>
      </c>
      <c r="CU66" s="85" t="str">
        <f>IFERROR((TOWER_DATA[[#This Row],[D, bottom '[m']]]+#REF!)/(2*#REF!/1000),"")</f>
        <v/>
      </c>
    </row>
    <row r="67" spans="8:99" x14ac:dyDescent="0.3">
      <c r="H67" s="85" t="str">
        <f>IFERROR(MP_DATA[[#This Row],[Bottom '[mLAT']]]-MP_DATA[[#This Row],[D, top '[m']]], "")</f>
        <v/>
      </c>
      <c r="I67" s="85" t="str">
        <f>IFERROR(-(MP_DATA[[#This Row],[D, bottom '[m']]]-MP_DATA[[#This Row],[D, top '[m']]])/(MP_DATA[[#This Row],[Bottom '[mLAT']]]-MP_DATA[[#This Row],[Top '[mLAT']]]),"")</f>
        <v/>
      </c>
      <c r="J67" s="85" t="str">
        <f t="shared" si="3"/>
        <v/>
      </c>
      <c r="K67" s="85" t="str">
        <f>IFERROR((MP_DATA[[#This Row],[D, bottom '[m']]]+MP_DATA[[#This Row],[D, top '[m']]])/(2*MP_DATA[[#This Row],[t '[mm']]]/1000),"")</f>
        <v/>
      </c>
      <c r="L67" s="85" t="str">
        <f>IFERROR((MP_DATA[[#This Row],[D, bottom '[m']]]+#REF!)/(2*#REF!/1000),"")</f>
        <v/>
      </c>
      <c r="AW67" s="85" t="str">
        <f>IFERROR(TP_DATA[[#This Row],[Bottom '[mLAT']]]-TP_DATA[[#This Row],[D, top '[m']]], "")</f>
        <v/>
      </c>
      <c r="AX67" s="85" t="str">
        <f>IFERROR(-(TP_DATA[[#This Row],[D, bottom '[m']]]-TP_DATA[[#This Row],[D, top '[m']]])/(TP_DATA[[#This Row],[Bottom '[mLAT']]]-TP_DATA[[#This Row],[Top '[mLAT']]]),"")</f>
        <v/>
      </c>
      <c r="AY67" s="85" t="str">
        <f t="shared" si="1"/>
        <v/>
      </c>
      <c r="AZ67" s="85" t="str">
        <f>IFERROR((TP_DATA[[#This Row],[D, bottom '[m']]]+TP_DATA[[#This Row],[D, top '[m']]])/(2*TP_DATA[[#This Row],[t '[mm']]]/1000),"")</f>
        <v/>
      </c>
      <c r="BA67" s="85" t="str">
        <f>IFERROR((TP_DATA[[#This Row],[D, bottom '[m']]]+#REF!)/(2*#REF!/1000),"")</f>
        <v/>
      </c>
      <c r="CQ67" s="85" t="str">
        <f>IFERROR(TOWER_DATA[[#This Row],[Bottom '[mLAT']]]-TOWER_DATA[[#This Row],[D, top '[m']]], "")</f>
        <v/>
      </c>
      <c r="CR67" s="85" t="str">
        <f>IFERROR(-(TOWER_DATA[[#This Row],[D, bottom '[m']]]-TOWER_DATA[[#This Row],[D, top '[m']]])/(TOWER_DATA[[#This Row],[Bottom '[mLAT']]]-TOWER_DATA[[#This Row],[Top '[mLAT']]]),"")</f>
        <v/>
      </c>
      <c r="CS67" s="85" t="str">
        <f t="shared" si="2"/>
        <v/>
      </c>
      <c r="CT67" s="85" t="str">
        <f>IFERROR((TOWER_DATA[[#This Row],[D, bottom '[m']]]+TOWER_DATA[[#This Row],[D, top '[m']]])/(2*TOWER_DATA[[#This Row],[t '[mm']]]/1000),"")</f>
        <v/>
      </c>
      <c r="CU67" s="85" t="str">
        <f>IFERROR((TOWER_DATA[[#This Row],[D, bottom '[m']]]+#REF!)/(2*#REF!/1000),"")</f>
        <v/>
      </c>
    </row>
    <row r="68" spans="8:99" x14ac:dyDescent="0.3">
      <c r="H68" s="85" t="str">
        <f>IFERROR(MP_DATA[[#This Row],[Bottom '[mLAT']]]-MP_DATA[[#This Row],[D, top '[m']]], "")</f>
        <v/>
      </c>
      <c r="I68" s="85" t="str">
        <f>IFERROR(-(MP_DATA[[#This Row],[D, bottom '[m']]]-MP_DATA[[#This Row],[D, top '[m']]])/(MP_DATA[[#This Row],[Bottom '[mLAT']]]-MP_DATA[[#This Row],[Top '[mLAT']]]),"")</f>
        <v/>
      </c>
      <c r="J68" s="85" t="str">
        <f t="shared" si="3"/>
        <v/>
      </c>
      <c r="K68" s="85" t="str">
        <f>IFERROR((MP_DATA[[#This Row],[D, bottom '[m']]]+MP_DATA[[#This Row],[D, top '[m']]])/(2*MP_DATA[[#This Row],[t '[mm']]]/1000),"")</f>
        <v/>
      </c>
      <c r="L68" s="85" t="str">
        <f>IFERROR((MP_DATA[[#This Row],[D, bottom '[m']]]+#REF!)/(2*#REF!/1000),"")</f>
        <v/>
      </c>
      <c r="AW68" s="85" t="str">
        <f>IFERROR(TP_DATA[[#This Row],[Bottom '[mLAT']]]-TP_DATA[[#This Row],[D, top '[m']]], "")</f>
        <v/>
      </c>
      <c r="AX68" s="85" t="str">
        <f>IFERROR(-(TP_DATA[[#This Row],[D, bottom '[m']]]-TP_DATA[[#This Row],[D, top '[m']]])/(TP_DATA[[#This Row],[Bottom '[mLAT']]]-TP_DATA[[#This Row],[Top '[mLAT']]]),"")</f>
        <v/>
      </c>
      <c r="AY68" s="85" t="str">
        <f t="shared" si="1"/>
        <v/>
      </c>
      <c r="AZ68" s="85" t="str">
        <f>IFERROR((TP_DATA[[#This Row],[D, bottom '[m']]]+TP_DATA[[#This Row],[D, top '[m']]])/(2*TP_DATA[[#This Row],[t '[mm']]]/1000),"")</f>
        <v/>
      </c>
      <c r="BA68" s="85" t="str">
        <f>IFERROR((TP_DATA[[#This Row],[D, bottom '[m']]]+#REF!)/(2*#REF!/1000),"")</f>
        <v/>
      </c>
      <c r="CQ68" s="85" t="str">
        <f>IFERROR(TOWER_DATA[[#This Row],[Bottom '[mLAT']]]-TOWER_DATA[[#This Row],[D, top '[m']]], "")</f>
        <v/>
      </c>
      <c r="CR68" s="85" t="str">
        <f>IFERROR(-(TOWER_DATA[[#This Row],[D, bottom '[m']]]-TOWER_DATA[[#This Row],[D, top '[m']]])/(TOWER_DATA[[#This Row],[Bottom '[mLAT']]]-TOWER_DATA[[#This Row],[Top '[mLAT']]]),"")</f>
        <v/>
      </c>
      <c r="CS68" s="85" t="str">
        <f t="shared" si="2"/>
        <v/>
      </c>
      <c r="CT68" s="85" t="str">
        <f>IFERROR((TOWER_DATA[[#This Row],[D, bottom '[m']]]+TOWER_DATA[[#This Row],[D, top '[m']]])/(2*TOWER_DATA[[#This Row],[t '[mm']]]/1000),"")</f>
        <v/>
      </c>
      <c r="CU68" s="85" t="str">
        <f>IFERROR((TOWER_DATA[[#This Row],[D, bottom '[m']]]+#REF!)/(2*#REF!/1000),"")</f>
        <v/>
      </c>
    </row>
    <row r="69" spans="8:99" x14ac:dyDescent="0.3">
      <c r="H69" s="85" t="str">
        <f>IFERROR(MP_DATA[[#This Row],[Bottom '[mLAT']]]-MP_DATA[[#This Row],[D, top '[m']]], "")</f>
        <v/>
      </c>
      <c r="I69" s="85" t="str">
        <f>IFERROR(-(MP_DATA[[#This Row],[D, bottom '[m']]]-MP_DATA[[#This Row],[D, top '[m']]])/(MP_DATA[[#This Row],[Bottom '[mLAT']]]-MP_DATA[[#This Row],[Top '[mLAT']]]),"")</f>
        <v/>
      </c>
      <c r="J69" s="85" t="str">
        <f t="shared" si="3"/>
        <v/>
      </c>
      <c r="K69" s="85" t="str">
        <f>IFERROR((MP_DATA[[#This Row],[D, bottom '[m']]]+MP_DATA[[#This Row],[D, top '[m']]])/(2*MP_DATA[[#This Row],[t '[mm']]]/1000),"")</f>
        <v/>
      </c>
      <c r="L69" s="85" t="str">
        <f>IFERROR((MP_DATA[[#This Row],[D, bottom '[m']]]+#REF!)/(2*#REF!/1000),"")</f>
        <v/>
      </c>
      <c r="AW69" s="85" t="str">
        <f>IFERROR(TP_DATA[[#This Row],[Bottom '[mLAT']]]-TP_DATA[[#This Row],[D, top '[m']]], "")</f>
        <v/>
      </c>
      <c r="AX69" s="85" t="str">
        <f>IFERROR(-(TP_DATA[[#This Row],[D, bottom '[m']]]-TP_DATA[[#This Row],[D, top '[m']]])/(TP_DATA[[#This Row],[Bottom '[mLAT']]]-TP_DATA[[#This Row],[Top '[mLAT']]]),"")</f>
        <v/>
      </c>
      <c r="AY69" s="85" t="str">
        <f t="shared" si="1"/>
        <v/>
      </c>
      <c r="AZ69" s="85" t="str">
        <f>IFERROR((TP_DATA[[#This Row],[D, bottom '[m']]]+TP_DATA[[#This Row],[D, top '[m']]])/(2*TP_DATA[[#This Row],[t '[mm']]]/1000),"")</f>
        <v/>
      </c>
      <c r="BA69" s="85" t="str">
        <f>IFERROR((TP_DATA[[#This Row],[D, bottom '[m']]]+#REF!)/(2*#REF!/1000),"")</f>
        <v/>
      </c>
      <c r="CQ69" s="85" t="str">
        <f>IFERROR(TOWER_DATA[[#This Row],[Bottom '[mLAT']]]-TOWER_DATA[[#This Row],[D, top '[m']]], "")</f>
        <v/>
      </c>
      <c r="CR69" s="85" t="str">
        <f>IFERROR(-(TOWER_DATA[[#This Row],[D, bottom '[m']]]-TOWER_DATA[[#This Row],[D, top '[m']]])/(TOWER_DATA[[#This Row],[Bottom '[mLAT']]]-TOWER_DATA[[#This Row],[Top '[mLAT']]]),"")</f>
        <v/>
      </c>
      <c r="CS69" s="85" t="str">
        <f t="shared" si="2"/>
        <v/>
      </c>
      <c r="CT69" s="85" t="str">
        <f>IFERROR((TOWER_DATA[[#This Row],[D, bottom '[m']]]+TOWER_DATA[[#This Row],[D, top '[m']]])/(2*TOWER_DATA[[#This Row],[t '[mm']]]/1000),"")</f>
        <v/>
      </c>
      <c r="CU69" s="85" t="str">
        <f>IFERROR((TOWER_DATA[[#This Row],[D, bottom '[m']]]+#REF!)/(2*#REF!/1000),"")</f>
        <v/>
      </c>
    </row>
    <row r="70" spans="8:99" x14ac:dyDescent="0.3">
      <c r="H70" s="85" t="str">
        <f>IFERROR(MP_DATA[[#This Row],[Bottom '[mLAT']]]-MP_DATA[[#This Row],[D, top '[m']]], "")</f>
        <v/>
      </c>
      <c r="I70" s="85" t="str">
        <f>IFERROR(-(MP_DATA[[#This Row],[D, bottom '[m']]]-MP_DATA[[#This Row],[D, top '[m']]])/(MP_DATA[[#This Row],[Bottom '[mLAT']]]-MP_DATA[[#This Row],[Top '[mLAT']]]),"")</f>
        <v/>
      </c>
      <c r="J70" s="85" t="str">
        <f t="shared" si="3"/>
        <v/>
      </c>
      <c r="K70" s="85" t="str">
        <f>IFERROR((MP_DATA[[#This Row],[D, bottom '[m']]]+MP_DATA[[#This Row],[D, top '[m']]])/(2*MP_DATA[[#This Row],[t '[mm']]]/1000),"")</f>
        <v/>
      </c>
      <c r="L70" s="85" t="str">
        <f>IFERROR((MP_DATA[[#This Row],[D, bottom '[m']]]+#REF!)/(2*#REF!/1000),"")</f>
        <v/>
      </c>
      <c r="AW70" s="85" t="str">
        <f>IFERROR(TP_DATA[[#This Row],[Bottom '[mLAT']]]-TP_DATA[[#This Row],[D, top '[m']]], "")</f>
        <v/>
      </c>
      <c r="AX70" s="85" t="str">
        <f>IFERROR(-(TP_DATA[[#This Row],[D, bottom '[m']]]-TP_DATA[[#This Row],[D, top '[m']]])/(TP_DATA[[#This Row],[Bottom '[mLAT']]]-TP_DATA[[#This Row],[Top '[mLAT']]]),"")</f>
        <v/>
      </c>
      <c r="AY70" s="85" t="str">
        <f t="shared" si="1"/>
        <v/>
      </c>
      <c r="AZ70" s="85" t="str">
        <f>IFERROR((TP_DATA[[#This Row],[D, bottom '[m']]]+TP_DATA[[#This Row],[D, top '[m']]])/(2*TP_DATA[[#This Row],[t '[mm']]]/1000),"")</f>
        <v/>
      </c>
      <c r="BA70" s="85" t="str">
        <f>IFERROR((TP_DATA[[#This Row],[D, bottom '[m']]]+#REF!)/(2*#REF!/1000),"")</f>
        <v/>
      </c>
      <c r="CQ70" s="85" t="str">
        <f>IFERROR(TOWER_DATA[[#This Row],[Bottom '[mLAT']]]-TOWER_DATA[[#This Row],[D, top '[m']]], "")</f>
        <v/>
      </c>
      <c r="CR70" s="85" t="str">
        <f>IFERROR(-(TOWER_DATA[[#This Row],[D, bottom '[m']]]-TOWER_DATA[[#This Row],[D, top '[m']]])/(TOWER_DATA[[#This Row],[Bottom '[mLAT']]]-TOWER_DATA[[#This Row],[Top '[mLAT']]]),"")</f>
        <v/>
      </c>
      <c r="CS70" s="85" t="str">
        <f t="shared" si="2"/>
        <v/>
      </c>
      <c r="CT70" s="85" t="str">
        <f>IFERROR((TOWER_DATA[[#This Row],[D, bottom '[m']]]+TOWER_DATA[[#This Row],[D, top '[m']]])/(2*TOWER_DATA[[#This Row],[t '[mm']]]/1000),"")</f>
        <v/>
      </c>
      <c r="CU70" s="85" t="str">
        <f>IFERROR((TOWER_DATA[[#This Row],[D, bottom '[m']]]+#REF!)/(2*#REF!/1000),"")</f>
        <v/>
      </c>
    </row>
    <row r="71" spans="8:99" x14ac:dyDescent="0.3">
      <c r="H71" s="85" t="str">
        <f>IFERROR(MP_DATA[[#This Row],[Bottom '[mLAT']]]-MP_DATA[[#This Row],[D, top '[m']]], "")</f>
        <v/>
      </c>
      <c r="I71" s="85" t="str">
        <f>IFERROR(-(MP_DATA[[#This Row],[D, bottom '[m']]]-MP_DATA[[#This Row],[D, top '[m']]])/(MP_DATA[[#This Row],[Bottom '[mLAT']]]-MP_DATA[[#This Row],[Top '[mLAT']]]),"")</f>
        <v/>
      </c>
      <c r="J71" s="85" t="str">
        <f t="shared" si="3"/>
        <v/>
      </c>
      <c r="K71" s="85" t="str">
        <f>IFERROR((MP_DATA[[#This Row],[D, bottom '[m']]]+MP_DATA[[#This Row],[D, top '[m']]])/(2*MP_DATA[[#This Row],[t '[mm']]]/1000),"")</f>
        <v/>
      </c>
      <c r="L71" s="85" t="str">
        <f>IFERROR((MP_DATA[[#This Row],[D, bottom '[m']]]+#REF!)/(2*#REF!/1000),"")</f>
        <v/>
      </c>
      <c r="AW71" s="85" t="str">
        <f>IFERROR(TP_DATA[[#This Row],[Bottom '[mLAT']]]-TP_DATA[[#This Row],[D, top '[m']]], "")</f>
        <v/>
      </c>
      <c r="AX71" s="85" t="str">
        <f>IFERROR(-(TP_DATA[[#This Row],[D, bottom '[m']]]-TP_DATA[[#This Row],[D, top '[m']]])/(TP_DATA[[#This Row],[Bottom '[mLAT']]]-TP_DATA[[#This Row],[Top '[mLAT']]]),"")</f>
        <v/>
      </c>
      <c r="AY71" s="85" t="str">
        <f t="shared" si="1"/>
        <v/>
      </c>
      <c r="AZ71" s="85" t="str">
        <f>IFERROR((TP_DATA[[#This Row],[D, bottom '[m']]]+TP_DATA[[#This Row],[D, top '[m']]])/(2*TP_DATA[[#This Row],[t '[mm']]]/1000),"")</f>
        <v/>
      </c>
      <c r="BA71" s="85" t="str">
        <f>IFERROR((TP_DATA[[#This Row],[D, bottom '[m']]]+#REF!)/(2*#REF!/1000),"")</f>
        <v/>
      </c>
      <c r="CQ71" s="85" t="str">
        <f>IFERROR(TOWER_DATA[[#This Row],[Bottom '[mLAT']]]-TOWER_DATA[[#This Row],[D, top '[m']]], "")</f>
        <v/>
      </c>
      <c r="CR71" s="85" t="str">
        <f>IFERROR(-(TOWER_DATA[[#This Row],[D, bottom '[m']]]-TOWER_DATA[[#This Row],[D, top '[m']]])/(TOWER_DATA[[#This Row],[Bottom '[mLAT']]]-TOWER_DATA[[#This Row],[Top '[mLAT']]]),"")</f>
        <v/>
      </c>
      <c r="CS71" s="85" t="str">
        <f t="shared" si="2"/>
        <v/>
      </c>
      <c r="CT71" s="85" t="str">
        <f>IFERROR((TOWER_DATA[[#This Row],[D, bottom '[m']]]+TOWER_DATA[[#This Row],[D, top '[m']]])/(2*TOWER_DATA[[#This Row],[t '[mm']]]/1000),"")</f>
        <v/>
      </c>
      <c r="CU71" s="85" t="str">
        <f>IFERROR((TOWER_DATA[[#This Row],[D, bottom '[m']]]+#REF!)/(2*#REF!/1000),"")</f>
        <v/>
      </c>
    </row>
    <row r="72" spans="8:99" x14ac:dyDescent="0.3">
      <c r="H72" s="85" t="str">
        <f>IFERROR(MP_DATA[[#This Row],[Bottom '[mLAT']]]-MP_DATA[[#This Row],[D, top '[m']]], "")</f>
        <v/>
      </c>
      <c r="I72" s="85" t="str">
        <f>IFERROR(-(MP_DATA[[#This Row],[D, bottom '[m']]]-MP_DATA[[#This Row],[D, top '[m']]])/(MP_DATA[[#This Row],[Bottom '[mLAT']]]-MP_DATA[[#This Row],[Top '[mLAT']]]),"")</f>
        <v/>
      </c>
      <c r="J72" s="85" t="str">
        <f t="shared" si="3"/>
        <v/>
      </c>
      <c r="K72" s="85" t="str">
        <f>IFERROR((MP_DATA[[#This Row],[D, bottom '[m']]]+MP_DATA[[#This Row],[D, top '[m']]])/(2*MP_DATA[[#This Row],[t '[mm']]]/1000),"")</f>
        <v/>
      </c>
      <c r="L72" s="85" t="str">
        <f>IFERROR((MP_DATA[[#This Row],[D, bottom '[m']]]+#REF!)/(2*#REF!/1000),"")</f>
        <v/>
      </c>
      <c r="AW72" s="85" t="str">
        <f>IFERROR(TP_DATA[[#This Row],[Bottom '[mLAT']]]-TP_DATA[[#This Row],[D, top '[m']]], "")</f>
        <v/>
      </c>
      <c r="AX72" s="85" t="str">
        <f>IFERROR(-(TP_DATA[[#This Row],[D, bottom '[m']]]-TP_DATA[[#This Row],[D, top '[m']]])/(TP_DATA[[#This Row],[Bottom '[mLAT']]]-TP_DATA[[#This Row],[Top '[mLAT']]]),"")</f>
        <v/>
      </c>
      <c r="AY72" s="85" t="str">
        <f t="shared" si="1"/>
        <v/>
      </c>
      <c r="AZ72" s="85" t="str">
        <f>IFERROR((TP_DATA[[#This Row],[D, bottom '[m']]]+TP_DATA[[#This Row],[D, top '[m']]])/(2*TP_DATA[[#This Row],[t '[mm']]]/1000),"")</f>
        <v/>
      </c>
      <c r="BA72" s="85" t="str">
        <f>IFERROR((TP_DATA[[#This Row],[D, bottom '[m']]]+#REF!)/(2*#REF!/1000),"")</f>
        <v/>
      </c>
      <c r="CQ72" s="85" t="str">
        <f>IFERROR(TOWER_DATA[[#This Row],[Bottom '[mLAT']]]-TOWER_DATA[[#This Row],[D, top '[m']]], "")</f>
        <v/>
      </c>
      <c r="CR72" s="85" t="str">
        <f>IFERROR(-(TOWER_DATA[[#This Row],[D, bottom '[m']]]-TOWER_DATA[[#This Row],[D, top '[m']]])/(TOWER_DATA[[#This Row],[Bottom '[mLAT']]]-TOWER_DATA[[#This Row],[Top '[mLAT']]]),"")</f>
        <v/>
      </c>
      <c r="CS72" s="85" t="str">
        <f t="shared" si="2"/>
        <v/>
      </c>
      <c r="CT72" s="85" t="str">
        <f>IFERROR((TOWER_DATA[[#This Row],[D, bottom '[m']]]+TOWER_DATA[[#This Row],[D, top '[m']]])/(2*TOWER_DATA[[#This Row],[t '[mm']]]/1000),"")</f>
        <v/>
      </c>
      <c r="CU72" s="85" t="str">
        <f>IFERROR((TOWER_DATA[[#This Row],[D, bottom '[m']]]+#REF!)/(2*#REF!/1000),"")</f>
        <v/>
      </c>
    </row>
    <row r="73" spans="8:99" x14ac:dyDescent="0.3">
      <c r="H73" s="85" t="str">
        <f>IFERROR(MP_DATA[[#This Row],[Bottom '[mLAT']]]-MP_DATA[[#This Row],[D, top '[m']]], "")</f>
        <v/>
      </c>
      <c r="I73" s="85" t="str">
        <f>IFERROR(-(MP_DATA[[#This Row],[D, bottom '[m']]]-MP_DATA[[#This Row],[D, top '[m']]])/(MP_DATA[[#This Row],[Bottom '[mLAT']]]-MP_DATA[[#This Row],[Top '[mLAT']]]),"")</f>
        <v/>
      </c>
      <c r="J73" s="85" t="str">
        <f t="shared" si="3"/>
        <v/>
      </c>
      <c r="K73" s="85" t="str">
        <f>IFERROR((MP_DATA[[#This Row],[D, bottom '[m']]]+MP_DATA[[#This Row],[D, top '[m']]])/(2*MP_DATA[[#This Row],[t '[mm']]]/1000),"")</f>
        <v/>
      </c>
      <c r="L73" s="85" t="str">
        <f>IFERROR((MP_DATA[[#This Row],[D, bottom '[m']]]+#REF!)/(2*#REF!/1000),"")</f>
        <v/>
      </c>
      <c r="AW73" s="85" t="str">
        <f>IFERROR(TP_DATA[[#This Row],[Bottom '[mLAT']]]-TP_DATA[[#This Row],[D, top '[m']]], "")</f>
        <v/>
      </c>
      <c r="AX73" s="85" t="str">
        <f>IFERROR(-(TP_DATA[[#This Row],[D, bottom '[m']]]-TP_DATA[[#This Row],[D, top '[m']]])/(TP_DATA[[#This Row],[Bottom '[mLAT']]]-TP_DATA[[#This Row],[Top '[mLAT']]]),"")</f>
        <v/>
      </c>
      <c r="AY73" s="85" t="str">
        <f t="shared" si="1"/>
        <v/>
      </c>
      <c r="AZ73" s="85" t="str">
        <f>IFERROR((TP_DATA[[#This Row],[D, bottom '[m']]]+TP_DATA[[#This Row],[D, top '[m']]])/(2*TP_DATA[[#This Row],[t '[mm']]]/1000),"")</f>
        <v/>
      </c>
      <c r="BA73" s="85" t="str">
        <f>IFERROR((TP_DATA[[#This Row],[D, bottom '[m']]]+#REF!)/(2*#REF!/1000),"")</f>
        <v/>
      </c>
      <c r="CQ73" s="85" t="str">
        <f>IFERROR(TOWER_DATA[[#This Row],[Bottom '[mLAT']]]-TOWER_DATA[[#This Row],[D, top '[m']]], "")</f>
        <v/>
      </c>
      <c r="CR73" s="85" t="str">
        <f>IFERROR(-(TOWER_DATA[[#This Row],[D, bottom '[m']]]-TOWER_DATA[[#This Row],[D, top '[m']]])/(TOWER_DATA[[#This Row],[Bottom '[mLAT']]]-TOWER_DATA[[#This Row],[Top '[mLAT']]]),"")</f>
        <v/>
      </c>
      <c r="CS73" s="85" t="str">
        <f t="shared" si="2"/>
        <v/>
      </c>
      <c r="CT73" s="85" t="str">
        <f>IFERROR((TOWER_DATA[[#This Row],[D, bottom '[m']]]+TOWER_DATA[[#This Row],[D, top '[m']]])/(2*TOWER_DATA[[#This Row],[t '[mm']]]/1000),"")</f>
        <v/>
      </c>
      <c r="CU73" s="85" t="str">
        <f>IFERROR((TOWER_DATA[[#This Row],[D, bottom '[m']]]+#REF!)/(2*#REF!/1000),"")</f>
        <v/>
      </c>
    </row>
    <row r="74" spans="8:99" x14ac:dyDescent="0.3">
      <c r="H74" s="85" t="str">
        <f>IFERROR(MP_DATA[[#This Row],[Bottom '[mLAT']]]-MP_DATA[[#This Row],[D, top '[m']]], "")</f>
        <v/>
      </c>
      <c r="I74" s="85" t="str">
        <f>IFERROR(-(MP_DATA[[#This Row],[D, bottom '[m']]]-MP_DATA[[#This Row],[D, top '[m']]])/(MP_DATA[[#This Row],[Bottom '[mLAT']]]-MP_DATA[[#This Row],[Top '[mLAT']]]),"")</f>
        <v/>
      </c>
      <c r="J74" s="85" t="str">
        <f t="shared" si="3"/>
        <v/>
      </c>
      <c r="K74" s="85" t="str">
        <f>IFERROR((MP_DATA[[#This Row],[D, bottom '[m']]]+MP_DATA[[#This Row],[D, top '[m']]])/(2*MP_DATA[[#This Row],[t '[mm']]]/1000),"")</f>
        <v/>
      </c>
      <c r="L74" s="85" t="str">
        <f>IFERROR((MP_DATA[[#This Row],[D, bottom '[m']]]+#REF!)/(2*#REF!/1000),"")</f>
        <v/>
      </c>
      <c r="AW74" s="85" t="str">
        <f>IFERROR(TP_DATA[[#This Row],[Bottom '[mLAT']]]-TP_DATA[[#This Row],[D, top '[m']]], "")</f>
        <v/>
      </c>
      <c r="AX74" s="85" t="str">
        <f>IFERROR(-(TP_DATA[[#This Row],[D, bottom '[m']]]-TP_DATA[[#This Row],[D, top '[m']]])/(TP_DATA[[#This Row],[Bottom '[mLAT']]]-TP_DATA[[#This Row],[Top '[mLAT']]]),"")</f>
        <v/>
      </c>
      <c r="AY74" s="85" t="str">
        <f t="shared" si="1"/>
        <v/>
      </c>
      <c r="AZ74" s="85" t="str">
        <f>IFERROR((TP_DATA[[#This Row],[D, bottom '[m']]]+TP_DATA[[#This Row],[D, top '[m']]])/(2*TP_DATA[[#This Row],[t '[mm']]]/1000),"")</f>
        <v/>
      </c>
      <c r="BA74" s="85" t="str">
        <f>IFERROR((TP_DATA[[#This Row],[D, bottom '[m']]]+#REF!)/(2*#REF!/1000),"")</f>
        <v/>
      </c>
      <c r="CQ74" s="85" t="str">
        <f>IFERROR(TOWER_DATA[[#This Row],[Bottom '[mLAT']]]-TOWER_DATA[[#This Row],[D, top '[m']]], "")</f>
        <v/>
      </c>
      <c r="CR74" s="85" t="str">
        <f>IFERROR(-(TOWER_DATA[[#This Row],[D, bottom '[m']]]-TOWER_DATA[[#This Row],[D, top '[m']]])/(TOWER_DATA[[#This Row],[Bottom '[mLAT']]]-TOWER_DATA[[#This Row],[Top '[mLAT']]]),"")</f>
        <v/>
      </c>
      <c r="CS74" s="85" t="str">
        <f t="shared" si="2"/>
        <v/>
      </c>
      <c r="CT74" s="85" t="str">
        <f>IFERROR((TOWER_DATA[[#This Row],[D, bottom '[m']]]+TOWER_DATA[[#This Row],[D, top '[m']]])/(2*TOWER_DATA[[#This Row],[t '[mm']]]/1000),"")</f>
        <v/>
      </c>
      <c r="CU74" s="85" t="str">
        <f>IFERROR((TOWER_DATA[[#This Row],[D, bottom '[m']]]+#REF!)/(2*#REF!/1000),"")</f>
        <v/>
      </c>
    </row>
    <row r="75" spans="8:99" x14ac:dyDescent="0.3">
      <c r="H75" s="85" t="str">
        <f>IFERROR(MP_DATA[[#This Row],[Bottom '[mLAT']]]-MP_DATA[[#This Row],[D, top '[m']]], "")</f>
        <v/>
      </c>
      <c r="I75" s="85" t="str">
        <f>IFERROR(-(MP_DATA[[#This Row],[D, bottom '[m']]]-MP_DATA[[#This Row],[D, top '[m']]])/(MP_DATA[[#This Row],[Bottom '[mLAT']]]-MP_DATA[[#This Row],[Top '[mLAT']]]),"")</f>
        <v/>
      </c>
      <c r="J75" s="85" t="str">
        <f t="shared" si="3"/>
        <v/>
      </c>
      <c r="K75" s="85" t="str">
        <f>IFERROR((MP_DATA[[#This Row],[D, bottom '[m']]]+MP_DATA[[#This Row],[D, top '[m']]])/(2*MP_DATA[[#This Row],[t '[mm']]]/1000),"")</f>
        <v/>
      </c>
      <c r="L75" s="85" t="str">
        <f>IFERROR((MP_DATA[[#This Row],[D, bottom '[m']]]+#REF!)/(2*#REF!/1000),"")</f>
        <v/>
      </c>
      <c r="AW75" s="85" t="str">
        <f>IFERROR(TP_DATA[[#This Row],[Bottom '[mLAT']]]-TP_DATA[[#This Row],[D, top '[m']]], "")</f>
        <v/>
      </c>
      <c r="AX75" s="85" t="str">
        <f>IFERROR(-(TP_DATA[[#This Row],[D, bottom '[m']]]-TP_DATA[[#This Row],[D, top '[m']]])/(TP_DATA[[#This Row],[Bottom '[mLAT']]]-TP_DATA[[#This Row],[Top '[mLAT']]]),"")</f>
        <v/>
      </c>
      <c r="AY75" s="85" t="str">
        <f t="shared" si="1"/>
        <v/>
      </c>
      <c r="AZ75" s="85" t="str">
        <f>IFERROR((TP_DATA[[#This Row],[D, bottom '[m']]]+TP_DATA[[#This Row],[D, top '[m']]])/(2*TP_DATA[[#This Row],[t '[mm']]]/1000),"")</f>
        <v/>
      </c>
      <c r="BA75" s="85" t="str">
        <f>IFERROR((TP_DATA[[#This Row],[D, bottom '[m']]]+#REF!)/(2*#REF!/1000),"")</f>
        <v/>
      </c>
      <c r="CQ75" s="85" t="str">
        <f>IFERROR(TOWER_DATA[[#This Row],[Bottom '[mLAT']]]-TOWER_DATA[[#This Row],[D, top '[m']]], "")</f>
        <v/>
      </c>
      <c r="CR75" s="85" t="str">
        <f>IFERROR(-(TOWER_DATA[[#This Row],[D, bottom '[m']]]-TOWER_DATA[[#This Row],[D, top '[m']]])/(TOWER_DATA[[#This Row],[Bottom '[mLAT']]]-TOWER_DATA[[#This Row],[Top '[mLAT']]]),"")</f>
        <v/>
      </c>
      <c r="CS75" s="85" t="str">
        <f t="shared" si="2"/>
        <v/>
      </c>
      <c r="CT75" s="85" t="str">
        <f>IFERROR((TOWER_DATA[[#This Row],[D, bottom '[m']]]+TOWER_DATA[[#This Row],[D, top '[m']]])/(2*TOWER_DATA[[#This Row],[t '[mm']]]/1000),"")</f>
        <v/>
      </c>
      <c r="CU75" s="85" t="str">
        <f>IFERROR((TOWER_DATA[[#This Row],[D, bottom '[m']]]+#REF!)/(2*#REF!/1000),"")</f>
        <v/>
      </c>
    </row>
    <row r="76" spans="8:99" x14ac:dyDescent="0.3">
      <c r="H76" s="85" t="str">
        <f>IFERROR(MP_DATA[[#This Row],[Bottom '[mLAT']]]-MP_DATA[[#This Row],[D, top '[m']]], "")</f>
        <v/>
      </c>
      <c r="I76" s="85" t="str">
        <f>IFERROR(-(MP_DATA[[#This Row],[D, bottom '[m']]]-MP_DATA[[#This Row],[D, top '[m']]])/(MP_DATA[[#This Row],[Bottom '[mLAT']]]-MP_DATA[[#This Row],[Top '[mLAT']]]),"")</f>
        <v/>
      </c>
      <c r="J76" s="85" t="str">
        <f t="shared" si="3"/>
        <v/>
      </c>
      <c r="K76" s="85" t="str">
        <f>IFERROR((MP_DATA[[#This Row],[D, bottom '[m']]]+MP_DATA[[#This Row],[D, top '[m']]])/(2*MP_DATA[[#This Row],[t '[mm']]]/1000),"")</f>
        <v/>
      </c>
      <c r="L76" s="85" t="str">
        <f>IFERROR((MP_DATA[[#This Row],[D, bottom '[m']]]+#REF!)/(2*#REF!/1000),"")</f>
        <v/>
      </c>
      <c r="AW76" s="85" t="str">
        <f>IFERROR(TP_DATA[[#This Row],[Bottom '[mLAT']]]-TP_DATA[[#This Row],[D, top '[m']]], "")</f>
        <v/>
      </c>
      <c r="AX76" s="85" t="str">
        <f>IFERROR(-(TP_DATA[[#This Row],[D, bottom '[m']]]-TP_DATA[[#This Row],[D, top '[m']]])/(TP_DATA[[#This Row],[Bottom '[mLAT']]]-TP_DATA[[#This Row],[Top '[mLAT']]]),"")</f>
        <v/>
      </c>
      <c r="AY76" s="85" t="str">
        <f t="shared" si="1"/>
        <v/>
      </c>
      <c r="AZ76" s="85" t="str">
        <f>IFERROR((TP_DATA[[#This Row],[D, bottom '[m']]]+TP_DATA[[#This Row],[D, top '[m']]])/(2*TP_DATA[[#This Row],[t '[mm']]]/1000),"")</f>
        <v/>
      </c>
      <c r="BA76" s="85" t="str">
        <f>IFERROR((TP_DATA[[#This Row],[D, bottom '[m']]]+#REF!)/(2*#REF!/1000),"")</f>
        <v/>
      </c>
      <c r="CQ76" s="85" t="str">
        <f>IFERROR(TOWER_DATA[[#This Row],[Bottom '[mLAT']]]-TOWER_DATA[[#This Row],[D, top '[m']]], "")</f>
        <v/>
      </c>
      <c r="CR76" s="85" t="str">
        <f>IFERROR(-(TOWER_DATA[[#This Row],[D, bottom '[m']]]-TOWER_DATA[[#This Row],[D, top '[m']]])/(TOWER_DATA[[#This Row],[Bottom '[mLAT']]]-TOWER_DATA[[#This Row],[Top '[mLAT']]]),"")</f>
        <v/>
      </c>
      <c r="CS76" s="85" t="str">
        <f t="shared" si="2"/>
        <v/>
      </c>
      <c r="CT76" s="85" t="str">
        <f>IFERROR((TOWER_DATA[[#This Row],[D, bottom '[m']]]+TOWER_DATA[[#This Row],[D, top '[m']]])/(2*TOWER_DATA[[#This Row],[t '[mm']]]/1000),"")</f>
        <v/>
      </c>
      <c r="CU76" s="85" t="str">
        <f>IFERROR((TOWER_DATA[[#This Row],[D, bottom '[m']]]+#REF!)/(2*#REF!/1000),"")</f>
        <v/>
      </c>
    </row>
    <row r="77" spans="8:99" x14ac:dyDescent="0.3">
      <c r="H77" s="85" t="str">
        <f>IFERROR(MP_DATA[[#This Row],[Bottom '[mLAT']]]-MP_DATA[[#This Row],[D, top '[m']]], "")</f>
        <v/>
      </c>
      <c r="I77" s="85" t="str">
        <f>IFERROR(-(MP_DATA[[#This Row],[D, bottom '[m']]]-MP_DATA[[#This Row],[D, top '[m']]])/(MP_DATA[[#This Row],[Bottom '[mLAT']]]-MP_DATA[[#This Row],[Top '[mLAT']]]),"")</f>
        <v/>
      </c>
      <c r="J77" s="85" t="str">
        <f t="shared" si="3"/>
        <v/>
      </c>
      <c r="K77" s="85" t="str">
        <f>IFERROR((MP_DATA[[#This Row],[D, bottom '[m']]]+MP_DATA[[#This Row],[D, top '[m']]])/(2*MP_DATA[[#This Row],[t '[mm']]]/1000),"")</f>
        <v/>
      </c>
      <c r="L77" s="85" t="str">
        <f>IFERROR((MP_DATA[[#This Row],[D, bottom '[m']]]+#REF!)/(2*#REF!/1000),"")</f>
        <v/>
      </c>
      <c r="AW77" s="85" t="str">
        <f>IFERROR(TP_DATA[[#This Row],[Bottom '[mLAT']]]-TP_DATA[[#This Row],[D, top '[m']]], "")</f>
        <v/>
      </c>
      <c r="AX77" s="85" t="str">
        <f>IFERROR(-(TP_DATA[[#This Row],[D, bottom '[m']]]-TP_DATA[[#This Row],[D, top '[m']]])/(TP_DATA[[#This Row],[Bottom '[mLAT']]]-TP_DATA[[#This Row],[Top '[mLAT']]]),"")</f>
        <v/>
      </c>
      <c r="AY77" s="85" t="str">
        <f t="shared" si="1"/>
        <v/>
      </c>
      <c r="AZ77" s="85" t="str">
        <f>IFERROR((TP_DATA[[#This Row],[D, bottom '[m']]]+TP_DATA[[#This Row],[D, top '[m']]])/(2*TP_DATA[[#This Row],[t '[mm']]]/1000),"")</f>
        <v/>
      </c>
      <c r="BA77" s="85" t="str">
        <f>IFERROR((TP_DATA[[#This Row],[D, bottom '[m']]]+#REF!)/(2*#REF!/1000),"")</f>
        <v/>
      </c>
      <c r="CQ77" s="85" t="str">
        <f>IFERROR(TOWER_DATA[[#This Row],[Bottom '[mLAT']]]-TOWER_DATA[[#This Row],[D, top '[m']]], "")</f>
        <v/>
      </c>
      <c r="CR77" s="85" t="str">
        <f>IFERROR(-(TOWER_DATA[[#This Row],[D, bottom '[m']]]-TOWER_DATA[[#This Row],[D, top '[m']]])/(TOWER_DATA[[#This Row],[Bottom '[mLAT']]]-TOWER_DATA[[#This Row],[Top '[mLAT']]]),"")</f>
        <v/>
      </c>
      <c r="CS77" s="85" t="str">
        <f t="shared" si="2"/>
        <v/>
      </c>
      <c r="CT77" s="85" t="str">
        <f>IFERROR((TOWER_DATA[[#This Row],[D, bottom '[m']]]+TOWER_DATA[[#This Row],[D, top '[m']]])/(2*TOWER_DATA[[#This Row],[t '[mm']]]/1000),"")</f>
        <v/>
      </c>
      <c r="CU77" s="85" t="str">
        <f>IFERROR((TOWER_DATA[[#This Row],[D, bottom '[m']]]+#REF!)/(2*#REF!/1000),"")</f>
        <v/>
      </c>
    </row>
    <row r="78" spans="8:99" x14ac:dyDescent="0.3">
      <c r="H78" s="85" t="str">
        <f>IFERROR(MP_DATA[[#This Row],[Bottom '[mLAT']]]-MP_DATA[[#This Row],[D, top '[m']]], "")</f>
        <v/>
      </c>
      <c r="I78" s="85" t="str">
        <f>IFERROR(-(MP_DATA[[#This Row],[D, bottom '[m']]]-MP_DATA[[#This Row],[D, top '[m']]])/(MP_DATA[[#This Row],[Bottom '[mLAT']]]-MP_DATA[[#This Row],[Top '[mLAT']]]),"")</f>
        <v/>
      </c>
      <c r="J78" s="85" t="str">
        <f t="shared" si="3"/>
        <v/>
      </c>
      <c r="K78" s="85" t="str">
        <f>IFERROR((MP_DATA[[#This Row],[D, bottom '[m']]]+MP_DATA[[#This Row],[D, top '[m']]])/(2*MP_DATA[[#This Row],[t '[mm']]]/1000),"")</f>
        <v/>
      </c>
      <c r="L78" s="85" t="str">
        <f>IFERROR((MP_DATA[[#This Row],[D, bottom '[m']]]+#REF!)/(2*#REF!/1000),"")</f>
        <v/>
      </c>
      <c r="AW78" s="85" t="str">
        <f>IFERROR(TP_DATA[[#This Row],[Bottom '[mLAT']]]-TP_DATA[[#This Row],[D, top '[m']]], "")</f>
        <v/>
      </c>
      <c r="AX78" s="85" t="str">
        <f>IFERROR(-(TP_DATA[[#This Row],[D, bottom '[m']]]-TP_DATA[[#This Row],[D, top '[m']]])/(TP_DATA[[#This Row],[Bottom '[mLAT']]]-TP_DATA[[#This Row],[Top '[mLAT']]]),"")</f>
        <v/>
      </c>
      <c r="AY78" s="85" t="str">
        <f t="shared" si="1"/>
        <v/>
      </c>
      <c r="AZ78" s="85" t="str">
        <f>IFERROR((TP_DATA[[#This Row],[D, bottom '[m']]]+TP_DATA[[#This Row],[D, top '[m']]])/(2*TP_DATA[[#This Row],[t '[mm']]]/1000),"")</f>
        <v/>
      </c>
      <c r="BA78" s="85" t="str">
        <f>IFERROR((TP_DATA[[#This Row],[D, bottom '[m']]]+#REF!)/(2*#REF!/1000),"")</f>
        <v/>
      </c>
      <c r="CQ78" s="85" t="str">
        <f>IFERROR(TOWER_DATA[[#This Row],[Bottom '[mLAT']]]-TOWER_DATA[[#This Row],[D, top '[m']]], "")</f>
        <v/>
      </c>
      <c r="CR78" s="85" t="str">
        <f>IFERROR(-(TOWER_DATA[[#This Row],[D, bottom '[m']]]-TOWER_DATA[[#This Row],[D, top '[m']]])/(TOWER_DATA[[#This Row],[Bottom '[mLAT']]]-TOWER_DATA[[#This Row],[Top '[mLAT']]]),"")</f>
        <v/>
      </c>
      <c r="CS78" s="85" t="str">
        <f t="shared" si="2"/>
        <v/>
      </c>
      <c r="CT78" s="85" t="str">
        <f>IFERROR((TOWER_DATA[[#This Row],[D, bottom '[m']]]+TOWER_DATA[[#This Row],[D, top '[m']]])/(2*TOWER_DATA[[#This Row],[t '[mm']]]/1000),"")</f>
        <v/>
      </c>
      <c r="CU78" s="85" t="str">
        <f>IFERROR((TOWER_DATA[[#This Row],[D, bottom '[m']]]+#REF!)/(2*#REF!/1000),"")</f>
        <v/>
      </c>
    </row>
    <row r="79" spans="8:99" x14ac:dyDescent="0.3">
      <c r="H79" s="85" t="str">
        <f>IFERROR(MP_DATA[[#This Row],[Bottom '[mLAT']]]-MP_DATA[[#This Row],[D, top '[m']]], "")</f>
        <v/>
      </c>
      <c r="I79" s="85" t="str">
        <f>IFERROR(-(MP_DATA[[#This Row],[D, bottom '[m']]]-MP_DATA[[#This Row],[D, top '[m']]])/(MP_DATA[[#This Row],[Bottom '[mLAT']]]-MP_DATA[[#This Row],[Top '[mLAT']]]),"")</f>
        <v/>
      </c>
      <c r="J79" s="85" t="str">
        <f t="shared" si="3"/>
        <v/>
      </c>
      <c r="K79" s="85" t="str">
        <f>IFERROR((MP_DATA[[#This Row],[D, bottom '[m']]]+MP_DATA[[#This Row],[D, top '[m']]])/(2*MP_DATA[[#This Row],[t '[mm']]]/1000),"")</f>
        <v/>
      </c>
      <c r="L79" s="85" t="str">
        <f>IFERROR((MP_DATA[[#This Row],[D, bottom '[m']]]+#REF!)/(2*#REF!/1000),"")</f>
        <v/>
      </c>
      <c r="AW79" s="85" t="str">
        <f>IFERROR(TP_DATA[[#This Row],[Bottom '[mLAT']]]-TP_DATA[[#This Row],[D, top '[m']]], "")</f>
        <v/>
      </c>
      <c r="AX79" s="85" t="str">
        <f>IFERROR(-(TP_DATA[[#This Row],[D, bottom '[m']]]-TP_DATA[[#This Row],[D, top '[m']]])/(TP_DATA[[#This Row],[Bottom '[mLAT']]]-TP_DATA[[#This Row],[Top '[mLAT']]]),"")</f>
        <v/>
      </c>
      <c r="AY79" s="85" t="str">
        <f t="shared" si="1"/>
        <v/>
      </c>
      <c r="AZ79" s="85" t="str">
        <f>IFERROR((TP_DATA[[#This Row],[D, bottom '[m']]]+TP_DATA[[#This Row],[D, top '[m']]])/(2*TP_DATA[[#This Row],[t '[mm']]]/1000),"")</f>
        <v/>
      </c>
      <c r="BA79" s="85" t="str">
        <f>IFERROR((TP_DATA[[#This Row],[D, bottom '[m']]]+#REF!)/(2*#REF!/1000),"")</f>
        <v/>
      </c>
      <c r="CQ79" s="85" t="str">
        <f>IFERROR(TOWER_DATA[[#This Row],[Bottom '[mLAT']]]-TOWER_DATA[[#This Row],[D, top '[m']]], "")</f>
        <v/>
      </c>
      <c r="CR79" s="85" t="str">
        <f>IFERROR(-(TOWER_DATA[[#This Row],[D, bottom '[m']]]-TOWER_DATA[[#This Row],[D, top '[m']]])/(TOWER_DATA[[#This Row],[Bottom '[mLAT']]]-TOWER_DATA[[#This Row],[Top '[mLAT']]]),"")</f>
        <v/>
      </c>
      <c r="CS79" s="85" t="str">
        <f t="shared" si="2"/>
        <v/>
      </c>
      <c r="CT79" s="85" t="str">
        <f>IFERROR((TOWER_DATA[[#This Row],[D, bottom '[m']]]+TOWER_DATA[[#This Row],[D, top '[m']]])/(2*TOWER_DATA[[#This Row],[t '[mm']]]/1000),"")</f>
        <v/>
      </c>
      <c r="CU79" s="85" t="str">
        <f>IFERROR((TOWER_DATA[[#This Row],[D, bottom '[m']]]+#REF!)/(2*#REF!/1000),"")</f>
        <v/>
      </c>
    </row>
    <row r="80" spans="8:99" x14ac:dyDescent="0.3">
      <c r="H80" s="85" t="str">
        <f>IFERROR(MP_DATA[[#This Row],[Bottom '[mLAT']]]-MP_DATA[[#This Row],[D, top '[m']]], "")</f>
        <v/>
      </c>
      <c r="I80" s="85" t="str">
        <f>IFERROR(-(MP_DATA[[#This Row],[D, bottom '[m']]]-MP_DATA[[#This Row],[D, top '[m']]])/(MP_DATA[[#This Row],[Bottom '[mLAT']]]-MP_DATA[[#This Row],[Top '[mLAT']]]),"")</f>
        <v/>
      </c>
      <c r="J80" s="85" t="str">
        <f t="shared" si="3"/>
        <v/>
      </c>
      <c r="K80" s="85" t="str">
        <f>IFERROR((MP_DATA[[#This Row],[D, bottom '[m']]]+MP_DATA[[#This Row],[D, top '[m']]])/(2*MP_DATA[[#This Row],[t '[mm']]]/1000),"")</f>
        <v/>
      </c>
      <c r="L80" s="85" t="str">
        <f>IFERROR((MP_DATA[[#This Row],[D, bottom '[m']]]+#REF!)/(2*#REF!/1000),"")</f>
        <v/>
      </c>
      <c r="AW80" s="85" t="str">
        <f>IFERROR(TP_DATA[[#This Row],[Bottom '[mLAT']]]-TP_DATA[[#This Row],[D, top '[m']]], "")</f>
        <v/>
      </c>
      <c r="AX80" s="85" t="str">
        <f>IFERROR(-(TP_DATA[[#This Row],[D, bottom '[m']]]-TP_DATA[[#This Row],[D, top '[m']]])/(TP_DATA[[#This Row],[Bottom '[mLAT']]]-TP_DATA[[#This Row],[Top '[mLAT']]]),"")</f>
        <v/>
      </c>
      <c r="AY80" s="85" t="str">
        <f t="shared" si="1"/>
        <v/>
      </c>
      <c r="AZ80" s="85" t="str">
        <f>IFERROR((TP_DATA[[#This Row],[D, bottom '[m']]]+TP_DATA[[#This Row],[D, top '[m']]])/(2*TP_DATA[[#This Row],[t '[mm']]]/1000),"")</f>
        <v/>
      </c>
      <c r="BA80" s="85" t="str">
        <f>IFERROR((TP_DATA[[#This Row],[D, bottom '[m']]]+#REF!)/(2*#REF!/1000),"")</f>
        <v/>
      </c>
      <c r="CQ80" s="85" t="str">
        <f>IFERROR(TOWER_DATA[[#This Row],[Bottom '[mLAT']]]-TOWER_DATA[[#This Row],[D, top '[m']]], "")</f>
        <v/>
      </c>
      <c r="CR80" s="85" t="str">
        <f>IFERROR(-(TOWER_DATA[[#This Row],[D, bottom '[m']]]-TOWER_DATA[[#This Row],[D, top '[m']]])/(TOWER_DATA[[#This Row],[Bottom '[mLAT']]]-TOWER_DATA[[#This Row],[Top '[mLAT']]]),"")</f>
        <v/>
      </c>
      <c r="CS80" s="85" t="str">
        <f t="shared" si="2"/>
        <v/>
      </c>
      <c r="CT80" s="85" t="str">
        <f>IFERROR((TOWER_DATA[[#This Row],[D, bottom '[m']]]+TOWER_DATA[[#This Row],[D, top '[m']]])/(2*TOWER_DATA[[#This Row],[t '[mm']]]/1000),"")</f>
        <v/>
      </c>
      <c r="CU80" s="85" t="str">
        <f>IFERROR((TOWER_DATA[[#This Row],[D, bottom '[m']]]+#REF!)/(2*#REF!/1000),"")</f>
        <v/>
      </c>
    </row>
    <row r="81" spans="8:99" x14ac:dyDescent="0.3">
      <c r="H81" s="85" t="str">
        <f>IFERROR(MP_DATA[[#This Row],[Bottom '[mLAT']]]-MP_DATA[[#This Row],[D, top '[m']]], "")</f>
        <v/>
      </c>
      <c r="I81" s="85" t="str">
        <f>IFERROR(-(MP_DATA[[#This Row],[D, bottom '[m']]]-MP_DATA[[#This Row],[D, top '[m']]])/(MP_DATA[[#This Row],[Bottom '[mLAT']]]-MP_DATA[[#This Row],[Top '[mLAT']]]),"")</f>
        <v/>
      </c>
      <c r="J81" s="85" t="str">
        <f t="shared" si="3"/>
        <v/>
      </c>
      <c r="K81" s="85" t="str">
        <f>IFERROR((MP_DATA[[#This Row],[D, bottom '[m']]]+MP_DATA[[#This Row],[D, top '[m']]])/(2*MP_DATA[[#This Row],[t '[mm']]]/1000),"")</f>
        <v/>
      </c>
      <c r="L81" s="85" t="str">
        <f>IFERROR((MP_DATA[[#This Row],[D, bottom '[m']]]+#REF!)/(2*#REF!/1000),"")</f>
        <v/>
      </c>
      <c r="AW81" s="85" t="str">
        <f>IFERROR(TP_DATA[[#This Row],[Bottom '[mLAT']]]-TP_DATA[[#This Row],[D, top '[m']]], "")</f>
        <v/>
      </c>
      <c r="AX81" s="85" t="str">
        <f>IFERROR(-(TP_DATA[[#This Row],[D, bottom '[m']]]-TP_DATA[[#This Row],[D, top '[m']]])/(TP_DATA[[#This Row],[Bottom '[mLAT']]]-TP_DATA[[#This Row],[Top '[mLAT']]]),"")</f>
        <v/>
      </c>
      <c r="AY81" s="85" t="str">
        <f t="shared" si="1"/>
        <v/>
      </c>
      <c r="AZ81" s="85" t="str">
        <f>IFERROR((TP_DATA[[#This Row],[D, bottom '[m']]]+TP_DATA[[#This Row],[D, top '[m']]])/(2*TP_DATA[[#This Row],[t '[mm']]]/1000),"")</f>
        <v/>
      </c>
      <c r="BA81" s="85" t="str">
        <f>IFERROR((TP_DATA[[#This Row],[D, bottom '[m']]]+#REF!)/(2*#REF!/1000),"")</f>
        <v/>
      </c>
      <c r="CQ81" s="85" t="str">
        <f>IFERROR(TOWER_DATA[[#This Row],[Bottom '[mLAT']]]-TOWER_DATA[[#This Row],[D, top '[m']]], "")</f>
        <v/>
      </c>
      <c r="CR81" s="85" t="str">
        <f>IFERROR(-(TOWER_DATA[[#This Row],[D, bottom '[m']]]-TOWER_DATA[[#This Row],[D, top '[m']]])/(TOWER_DATA[[#This Row],[Bottom '[mLAT']]]-TOWER_DATA[[#This Row],[Top '[mLAT']]]),"")</f>
        <v/>
      </c>
      <c r="CS81" s="85" t="str">
        <f t="shared" si="2"/>
        <v/>
      </c>
      <c r="CT81" s="85" t="str">
        <f>IFERROR((TOWER_DATA[[#This Row],[D, bottom '[m']]]+TOWER_DATA[[#This Row],[D, top '[m']]])/(2*TOWER_DATA[[#This Row],[t '[mm']]]/1000),"")</f>
        <v/>
      </c>
      <c r="CU81" s="85" t="str">
        <f>IFERROR((TOWER_DATA[[#This Row],[D, bottom '[m']]]+#REF!)/(2*#REF!/1000),"")</f>
        <v/>
      </c>
    </row>
    <row r="82" spans="8:99" x14ac:dyDescent="0.3">
      <c r="H82" s="85" t="str">
        <f>IFERROR(MP_DATA[[#This Row],[Bottom '[mLAT']]]-MP_DATA[[#This Row],[D, top '[m']]], "")</f>
        <v/>
      </c>
      <c r="I82" s="85" t="str">
        <f>IFERROR(-(MP_DATA[[#This Row],[D, bottom '[m']]]-MP_DATA[[#This Row],[D, top '[m']]])/(MP_DATA[[#This Row],[Bottom '[mLAT']]]-MP_DATA[[#This Row],[Top '[mLAT']]]),"")</f>
        <v/>
      </c>
      <c r="J82" s="85" t="str">
        <f t="shared" si="3"/>
        <v/>
      </c>
      <c r="K82" s="85" t="str">
        <f>IFERROR((MP_DATA[[#This Row],[D, bottom '[m']]]+MP_DATA[[#This Row],[D, top '[m']]])/(2*MP_DATA[[#This Row],[t '[mm']]]/1000),"")</f>
        <v/>
      </c>
      <c r="L82" s="85" t="str">
        <f>IFERROR((MP_DATA[[#This Row],[D, bottom '[m']]]+#REF!)/(2*#REF!/1000),"")</f>
        <v/>
      </c>
      <c r="AW82" s="85" t="str">
        <f>IFERROR(TP_DATA[[#This Row],[Bottom '[mLAT']]]-TP_DATA[[#This Row],[D, top '[m']]], "")</f>
        <v/>
      </c>
      <c r="AX82" s="85" t="str">
        <f>IFERROR(-(TP_DATA[[#This Row],[D, bottom '[m']]]-TP_DATA[[#This Row],[D, top '[m']]])/(TP_DATA[[#This Row],[Bottom '[mLAT']]]-TP_DATA[[#This Row],[Top '[mLAT']]]),"")</f>
        <v/>
      </c>
      <c r="AY82" s="85" t="str">
        <f t="shared" si="1"/>
        <v/>
      </c>
      <c r="AZ82" s="85" t="str">
        <f>IFERROR((TP_DATA[[#This Row],[D, bottom '[m']]]+TP_DATA[[#This Row],[D, top '[m']]])/(2*TP_DATA[[#This Row],[t '[mm']]]/1000),"")</f>
        <v/>
      </c>
      <c r="BA82" s="85" t="str">
        <f>IFERROR((TP_DATA[[#This Row],[D, bottom '[m']]]+#REF!)/(2*#REF!/1000),"")</f>
        <v/>
      </c>
      <c r="CQ82" s="85" t="str">
        <f>IFERROR(TOWER_DATA[[#This Row],[Bottom '[mLAT']]]-TOWER_DATA[[#This Row],[D, top '[m']]], "")</f>
        <v/>
      </c>
      <c r="CR82" s="85" t="str">
        <f>IFERROR(-(TOWER_DATA[[#This Row],[D, bottom '[m']]]-TOWER_DATA[[#This Row],[D, top '[m']]])/(TOWER_DATA[[#This Row],[Bottom '[mLAT']]]-TOWER_DATA[[#This Row],[Top '[mLAT']]]),"")</f>
        <v/>
      </c>
      <c r="CS82" s="85" t="str">
        <f t="shared" si="2"/>
        <v/>
      </c>
      <c r="CT82" s="85" t="str">
        <f>IFERROR((TOWER_DATA[[#This Row],[D, bottom '[m']]]+TOWER_DATA[[#This Row],[D, top '[m']]])/(2*TOWER_DATA[[#This Row],[t '[mm']]]/1000),"")</f>
        <v/>
      </c>
      <c r="CU82" s="85" t="str">
        <f>IFERROR((TOWER_DATA[[#This Row],[D, bottom '[m']]]+#REF!)/(2*#REF!/1000),"")</f>
        <v/>
      </c>
    </row>
    <row r="83" spans="8:99" x14ac:dyDescent="0.3">
      <c r="H83" s="85" t="str">
        <f>IFERROR(MP_DATA[[#This Row],[Bottom '[mLAT']]]-MP_DATA[[#This Row],[D, top '[m']]], "")</f>
        <v/>
      </c>
      <c r="I83" s="85" t="str">
        <f>IFERROR(-(MP_DATA[[#This Row],[D, bottom '[m']]]-MP_DATA[[#This Row],[D, top '[m']]])/(MP_DATA[[#This Row],[Bottom '[mLAT']]]-MP_DATA[[#This Row],[Top '[mLAT']]]),"")</f>
        <v/>
      </c>
      <c r="J83" s="85" t="str">
        <f t="shared" si="3"/>
        <v/>
      </c>
      <c r="K83" s="85" t="str">
        <f>IFERROR((MP_DATA[[#This Row],[D, bottom '[m']]]+MP_DATA[[#This Row],[D, top '[m']]])/(2*MP_DATA[[#This Row],[t '[mm']]]/1000),"")</f>
        <v/>
      </c>
      <c r="L83" s="85" t="str">
        <f>IFERROR((MP_DATA[[#This Row],[D, bottom '[m']]]+#REF!)/(2*#REF!/1000),"")</f>
        <v/>
      </c>
      <c r="AW83" s="85" t="str">
        <f>IFERROR(TP_DATA[[#This Row],[Bottom '[mLAT']]]-TP_DATA[[#This Row],[D, top '[m']]], "")</f>
        <v/>
      </c>
      <c r="AX83" s="85" t="str">
        <f>IFERROR(-(TP_DATA[[#This Row],[D, bottom '[m']]]-TP_DATA[[#This Row],[D, top '[m']]])/(TP_DATA[[#This Row],[Bottom '[mLAT']]]-TP_DATA[[#This Row],[Top '[mLAT']]]),"")</f>
        <v/>
      </c>
      <c r="AY83" s="85" t="str">
        <f t="shared" ref="AY83:AY146" si="4">IF(7850/1000*(1/3)*PI()*ABS(AR83-AS83)*((AT83/2)^2+(AT83/2)*(AU83/2)+(AU83/2)^2-(AT83/2-AV83/1000)^2-(AT83/2-AV83/1000)*(AU83/2-AV83/1000)-(AU83/2-AV83/1000)^2)=0,"",7850/1000*(1/3)*PI()*ABS(AR83-AS83)*((AT83/2)^2+(AT83/2)*(AU83/2)+(AU83/2)^2-(AT83/2-AV83/1000)^2-(AT83/2-AV83/1000)*(AU83/2-AV83/1000)-(AU83/2-AV83/1000)^2))</f>
        <v/>
      </c>
      <c r="AZ83" s="85" t="str">
        <f>IFERROR((TP_DATA[[#This Row],[D, bottom '[m']]]+TP_DATA[[#This Row],[D, top '[m']]])/(2*TP_DATA[[#This Row],[t '[mm']]]/1000),"")</f>
        <v/>
      </c>
      <c r="BA83" s="85" t="str">
        <f>IFERROR((TP_DATA[[#This Row],[D, bottom '[m']]]+#REF!)/(2*#REF!/1000),"")</f>
        <v/>
      </c>
      <c r="CQ83" s="85" t="str">
        <f>IFERROR(TOWER_DATA[[#This Row],[Bottom '[mLAT']]]-TOWER_DATA[[#This Row],[D, top '[m']]], "")</f>
        <v/>
      </c>
      <c r="CR83" s="85" t="str">
        <f>IFERROR(-(TOWER_DATA[[#This Row],[D, bottom '[m']]]-TOWER_DATA[[#This Row],[D, top '[m']]])/(TOWER_DATA[[#This Row],[Bottom '[mLAT']]]-TOWER_DATA[[#This Row],[Top '[mLAT']]]),"")</f>
        <v/>
      </c>
      <c r="CS83" s="85" t="str">
        <f t="shared" ref="CS83:CS146" si="5">IF(7850/1000*(1/3)*PI()*ABS(CL83-CM83)*((CN83/2)^2+(CN83/2)*(CO83/2)+(CO83/2)^2-(CN83/2-CP83/1000)^2-(CN83/2-CP83/1000)*(CO83/2-CP83/1000)-(CO83/2-CP83/1000)^2)=0,"",7850/1000*(1/3)*PI()*ABS(CL83-CM83)*((CN83/2)^2+(CN83/2)*(CO83/2)+(CO83/2)^2-(CN83/2-CP83/1000)^2-(CN83/2-CP83/1000)*(CO83/2-CP83/1000)-(CO83/2-CP83/1000)^2))</f>
        <v/>
      </c>
      <c r="CT83" s="85" t="str">
        <f>IFERROR((TOWER_DATA[[#This Row],[D, bottom '[m']]]+TOWER_DATA[[#This Row],[D, top '[m']]])/(2*TOWER_DATA[[#This Row],[t '[mm']]]/1000),"")</f>
        <v/>
      </c>
      <c r="CU83" s="85" t="str">
        <f>IFERROR((TOWER_DATA[[#This Row],[D, bottom '[m']]]+#REF!)/(2*#REF!/1000),"")</f>
        <v/>
      </c>
    </row>
    <row r="84" spans="8:99" x14ac:dyDescent="0.3">
      <c r="H84" s="85" t="str">
        <f>IFERROR(MP_DATA[[#This Row],[Bottom '[mLAT']]]-MP_DATA[[#This Row],[D, top '[m']]], "")</f>
        <v/>
      </c>
      <c r="I84" s="85" t="str">
        <f>IFERROR(-(MP_DATA[[#This Row],[D, bottom '[m']]]-MP_DATA[[#This Row],[D, top '[m']]])/(MP_DATA[[#This Row],[Bottom '[mLAT']]]-MP_DATA[[#This Row],[Top '[mLAT']]]),"")</f>
        <v/>
      </c>
      <c r="J84" s="85" t="str">
        <f t="shared" ref="J84:J147" si="6">IF(7850/1000*(1/3)*PI()*ABS(C84-D84)*((E84/2)^2+(E84/2)*(F84/2)+(F84/2)^2-(E84/2-G84/1000)^2-(E84/2-G84/1000)*(F84/2-G84/1000)-(F84/2-G84/1000)^2)=0,"",7850/1000*(1/3)*PI()*ABS(C84-D84)*((E84/2)^2+(E84/2)*(F84/2)+(F84/2)^2-(E84/2-G84/1000)^2-(E84/2-G84/1000)*(F84/2-G84/1000)-(F84/2-G84/1000)^2))</f>
        <v/>
      </c>
      <c r="K84" s="85" t="str">
        <f>IFERROR((MP_DATA[[#This Row],[D, bottom '[m']]]+MP_DATA[[#This Row],[D, top '[m']]])/(2*MP_DATA[[#This Row],[t '[mm']]]/1000),"")</f>
        <v/>
      </c>
      <c r="L84" s="85" t="str">
        <f>IFERROR((MP_DATA[[#This Row],[D, bottom '[m']]]+#REF!)/(2*#REF!/1000),"")</f>
        <v/>
      </c>
      <c r="AW84" s="85" t="str">
        <f>IFERROR(TP_DATA[[#This Row],[Bottom '[mLAT']]]-TP_DATA[[#This Row],[D, top '[m']]], "")</f>
        <v/>
      </c>
      <c r="AX84" s="85" t="str">
        <f>IFERROR(-(TP_DATA[[#This Row],[D, bottom '[m']]]-TP_DATA[[#This Row],[D, top '[m']]])/(TP_DATA[[#This Row],[Bottom '[mLAT']]]-TP_DATA[[#This Row],[Top '[mLAT']]]),"")</f>
        <v/>
      </c>
      <c r="AY84" s="85" t="str">
        <f t="shared" si="4"/>
        <v/>
      </c>
      <c r="AZ84" s="85" t="str">
        <f>IFERROR((TP_DATA[[#This Row],[D, bottom '[m']]]+TP_DATA[[#This Row],[D, top '[m']]])/(2*TP_DATA[[#This Row],[t '[mm']]]/1000),"")</f>
        <v/>
      </c>
      <c r="BA84" s="85" t="str">
        <f>IFERROR((TP_DATA[[#This Row],[D, bottom '[m']]]+#REF!)/(2*#REF!/1000),"")</f>
        <v/>
      </c>
      <c r="CQ84" s="85" t="str">
        <f>IFERROR(TOWER_DATA[[#This Row],[Bottom '[mLAT']]]-TOWER_DATA[[#This Row],[D, top '[m']]], "")</f>
        <v/>
      </c>
      <c r="CR84" s="85" t="str">
        <f>IFERROR(-(TOWER_DATA[[#This Row],[D, bottom '[m']]]-TOWER_DATA[[#This Row],[D, top '[m']]])/(TOWER_DATA[[#This Row],[Bottom '[mLAT']]]-TOWER_DATA[[#This Row],[Top '[mLAT']]]),"")</f>
        <v/>
      </c>
      <c r="CS84" s="85" t="str">
        <f t="shared" si="5"/>
        <v/>
      </c>
      <c r="CT84" s="85" t="str">
        <f>IFERROR((TOWER_DATA[[#This Row],[D, bottom '[m']]]+TOWER_DATA[[#This Row],[D, top '[m']]])/(2*TOWER_DATA[[#This Row],[t '[mm']]]/1000),"")</f>
        <v/>
      </c>
      <c r="CU84" s="85" t="str">
        <f>IFERROR((TOWER_DATA[[#This Row],[D, bottom '[m']]]+#REF!)/(2*#REF!/1000),"")</f>
        <v/>
      </c>
    </row>
    <row r="85" spans="8:99" x14ac:dyDescent="0.3">
      <c r="H85" s="85" t="str">
        <f>IFERROR(MP_DATA[[#This Row],[Bottom '[mLAT']]]-MP_DATA[[#This Row],[D, top '[m']]], "")</f>
        <v/>
      </c>
      <c r="I85" s="85" t="str">
        <f>IFERROR(-(MP_DATA[[#This Row],[D, bottom '[m']]]-MP_DATA[[#This Row],[D, top '[m']]])/(MP_DATA[[#This Row],[Bottom '[mLAT']]]-MP_DATA[[#This Row],[Top '[mLAT']]]),"")</f>
        <v/>
      </c>
      <c r="J85" s="85" t="str">
        <f t="shared" si="6"/>
        <v/>
      </c>
      <c r="K85" s="85" t="str">
        <f>IFERROR((MP_DATA[[#This Row],[D, bottom '[m']]]+MP_DATA[[#This Row],[D, top '[m']]])/(2*MP_DATA[[#This Row],[t '[mm']]]/1000),"")</f>
        <v/>
      </c>
      <c r="L85" s="85" t="str">
        <f>IFERROR((MP_DATA[[#This Row],[D, bottom '[m']]]+#REF!)/(2*#REF!/1000),"")</f>
        <v/>
      </c>
      <c r="AW85" s="85" t="str">
        <f>IFERROR(TP_DATA[[#This Row],[Bottom '[mLAT']]]-TP_DATA[[#This Row],[D, top '[m']]], "")</f>
        <v/>
      </c>
      <c r="AX85" s="85" t="str">
        <f>IFERROR(-(TP_DATA[[#This Row],[D, bottom '[m']]]-TP_DATA[[#This Row],[D, top '[m']]])/(TP_DATA[[#This Row],[Bottom '[mLAT']]]-TP_DATA[[#This Row],[Top '[mLAT']]]),"")</f>
        <v/>
      </c>
      <c r="AY85" s="85" t="str">
        <f t="shared" si="4"/>
        <v/>
      </c>
      <c r="AZ85" s="85" t="str">
        <f>IFERROR((TP_DATA[[#This Row],[D, bottom '[m']]]+TP_DATA[[#This Row],[D, top '[m']]])/(2*TP_DATA[[#This Row],[t '[mm']]]/1000),"")</f>
        <v/>
      </c>
      <c r="BA85" s="85" t="str">
        <f>IFERROR((TP_DATA[[#This Row],[D, bottom '[m']]]+#REF!)/(2*#REF!/1000),"")</f>
        <v/>
      </c>
      <c r="CQ85" s="85" t="str">
        <f>IFERROR(TOWER_DATA[[#This Row],[Bottom '[mLAT']]]-TOWER_DATA[[#This Row],[D, top '[m']]], "")</f>
        <v/>
      </c>
      <c r="CR85" s="85" t="str">
        <f>IFERROR(-(TOWER_DATA[[#This Row],[D, bottom '[m']]]-TOWER_DATA[[#This Row],[D, top '[m']]])/(TOWER_DATA[[#This Row],[Bottom '[mLAT']]]-TOWER_DATA[[#This Row],[Top '[mLAT']]]),"")</f>
        <v/>
      </c>
      <c r="CS85" s="85" t="str">
        <f t="shared" si="5"/>
        <v/>
      </c>
      <c r="CT85" s="85" t="str">
        <f>IFERROR((TOWER_DATA[[#This Row],[D, bottom '[m']]]+TOWER_DATA[[#This Row],[D, top '[m']]])/(2*TOWER_DATA[[#This Row],[t '[mm']]]/1000),"")</f>
        <v/>
      </c>
      <c r="CU85" s="85" t="str">
        <f>IFERROR((TOWER_DATA[[#This Row],[D, bottom '[m']]]+#REF!)/(2*#REF!/1000),"")</f>
        <v/>
      </c>
    </row>
    <row r="86" spans="8:99" x14ac:dyDescent="0.3">
      <c r="H86" s="85" t="str">
        <f>IFERROR(MP_DATA[[#This Row],[Bottom '[mLAT']]]-MP_DATA[[#This Row],[D, top '[m']]], "")</f>
        <v/>
      </c>
      <c r="I86" s="85" t="str">
        <f>IFERROR(-(MP_DATA[[#This Row],[D, bottom '[m']]]-MP_DATA[[#This Row],[D, top '[m']]])/(MP_DATA[[#This Row],[Bottom '[mLAT']]]-MP_DATA[[#This Row],[Top '[mLAT']]]),"")</f>
        <v/>
      </c>
      <c r="J86" s="85" t="str">
        <f t="shared" si="6"/>
        <v/>
      </c>
      <c r="K86" s="85" t="str">
        <f>IFERROR((MP_DATA[[#This Row],[D, bottom '[m']]]+MP_DATA[[#This Row],[D, top '[m']]])/(2*MP_DATA[[#This Row],[t '[mm']]]/1000),"")</f>
        <v/>
      </c>
      <c r="L86" s="85" t="str">
        <f>IFERROR((MP_DATA[[#This Row],[D, bottom '[m']]]+#REF!)/(2*#REF!/1000),"")</f>
        <v/>
      </c>
      <c r="AW86" s="85" t="str">
        <f>IFERROR(TP_DATA[[#This Row],[Bottom '[mLAT']]]-TP_DATA[[#This Row],[D, top '[m']]], "")</f>
        <v/>
      </c>
      <c r="AX86" s="85" t="str">
        <f>IFERROR(-(TP_DATA[[#This Row],[D, bottom '[m']]]-TP_DATA[[#This Row],[D, top '[m']]])/(TP_DATA[[#This Row],[Bottom '[mLAT']]]-TP_DATA[[#This Row],[Top '[mLAT']]]),"")</f>
        <v/>
      </c>
      <c r="AY86" s="85" t="str">
        <f t="shared" si="4"/>
        <v/>
      </c>
      <c r="AZ86" s="85" t="str">
        <f>IFERROR((TP_DATA[[#This Row],[D, bottom '[m']]]+TP_DATA[[#This Row],[D, top '[m']]])/(2*TP_DATA[[#This Row],[t '[mm']]]/1000),"")</f>
        <v/>
      </c>
      <c r="BA86" s="85" t="str">
        <f>IFERROR((TP_DATA[[#This Row],[D, bottom '[m']]]+#REF!)/(2*#REF!/1000),"")</f>
        <v/>
      </c>
      <c r="CQ86" s="85" t="str">
        <f>IFERROR(TOWER_DATA[[#This Row],[Bottom '[mLAT']]]-TOWER_DATA[[#This Row],[D, top '[m']]], "")</f>
        <v/>
      </c>
      <c r="CR86" s="85" t="str">
        <f>IFERROR(-(TOWER_DATA[[#This Row],[D, bottom '[m']]]-TOWER_DATA[[#This Row],[D, top '[m']]])/(TOWER_DATA[[#This Row],[Bottom '[mLAT']]]-TOWER_DATA[[#This Row],[Top '[mLAT']]]),"")</f>
        <v/>
      </c>
      <c r="CS86" s="85" t="str">
        <f t="shared" si="5"/>
        <v/>
      </c>
      <c r="CT86" s="85" t="str">
        <f>IFERROR((TOWER_DATA[[#This Row],[D, bottom '[m']]]+TOWER_DATA[[#This Row],[D, top '[m']]])/(2*TOWER_DATA[[#This Row],[t '[mm']]]/1000),"")</f>
        <v/>
      </c>
      <c r="CU86" s="85" t="str">
        <f>IFERROR((TOWER_DATA[[#This Row],[D, bottom '[m']]]+#REF!)/(2*#REF!/1000),"")</f>
        <v/>
      </c>
    </row>
    <row r="87" spans="8:99" x14ac:dyDescent="0.3">
      <c r="H87" s="85" t="str">
        <f>IFERROR(MP_DATA[[#This Row],[Bottom '[mLAT']]]-MP_DATA[[#This Row],[D, top '[m']]], "")</f>
        <v/>
      </c>
      <c r="I87" s="85" t="str">
        <f>IFERROR(-(MP_DATA[[#This Row],[D, bottom '[m']]]-MP_DATA[[#This Row],[D, top '[m']]])/(MP_DATA[[#This Row],[Bottom '[mLAT']]]-MP_DATA[[#This Row],[Top '[mLAT']]]),"")</f>
        <v/>
      </c>
      <c r="J87" s="85" t="str">
        <f t="shared" si="6"/>
        <v/>
      </c>
      <c r="K87" s="85" t="str">
        <f>IFERROR((MP_DATA[[#This Row],[D, bottom '[m']]]+MP_DATA[[#This Row],[D, top '[m']]])/(2*MP_DATA[[#This Row],[t '[mm']]]/1000),"")</f>
        <v/>
      </c>
      <c r="L87" s="85" t="str">
        <f>IFERROR((MP_DATA[[#This Row],[D, bottom '[m']]]+#REF!)/(2*#REF!/1000),"")</f>
        <v/>
      </c>
      <c r="AW87" s="85" t="str">
        <f>IFERROR(TP_DATA[[#This Row],[Bottom '[mLAT']]]-TP_DATA[[#This Row],[D, top '[m']]], "")</f>
        <v/>
      </c>
      <c r="AX87" s="85" t="str">
        <f>IFERROR(-(TP_DATA[[#This Row],[D, bottom '[m']]]-TP_DATA[[#This Row],[D, top '[m']]])/(TP_DATA[[#This Row],[Bottom '[mLAT']]]-TP_DATA[[#This Row],[Top '[mLAT']]]),"")</f>
        <v/>
      </c>
      <c r="AY87" s="85" t="str">
        <f t="shared" si="4"/>
        <v/>
      </c>
      <c r="AZ87" s="85" t="str">
        <f>IFERROR((TP_DATA[[#This Row],[D, bottom '[m']]]+TP_DATA[[#This Row],[D, top '[m']]])/(2*TP_DATA[[#This Row],[t '[mm']]]/1000),"")</f>
        <v/>
      </c>
      <c r="BA87" s="85" t="str">
        <f>IFERROR((TP_DATA[[#This Row],[D, bottom '[m']]]+#REF!)/(2*#REF!/1000),"")</f>
        <v/>
      </c>
      <c r="CQ87" s="85" t="str">
        <f>IFERROR(TOWER_DATA[[#This Row],[Bottom '[mLAT']]]-TOWER_DATA[[#This Row],[D, top '[m']]], "")</f>
        <v/>
      </c>
      <c r="CR87" s="85" t="str">
        <f>IFERROR(-(TOWER_DATA[[#This Row],[D, bottom '[m']]]-TOWER_DATA[[#This Row],[D, top '[m']]])/(TOWER_DATA[[#This Row],[Bottom '[mLAT']]]-TOWER_DATA[[#This Row],[Top '[mLAT']]]),"")</f>
        <v/>
      </c>
      <c r="CS87" s="85" t="str">
        <f t="shared" si="5"/>
        <v/>
      </c>
      <c r="CT87" s="85" t="str">
        <f>IFERROR((TOWER_DATA[[#This Row],[D, bottom '[m']]]+TOWER_DATA[[#This Row],[D, top '[m']]])/(2*TOWER_DATA[[#This Row],[t '[mm']]]/1000),"")</f>
        <v/>
      </c>
      <c r="CU87" s="85" t="str">
        <f>IFERROR((TOWER_DATA[[#This Row],[D, bottom '[m']]]+#REF!)/(2*#REF!/1000),"")</f>
        <v/>
      </c>
    </row>
    <row r="88" spans="8:99" x14ac:dyDescent="0.3">
      <c r="H88" s="85" t="str">
        <f>IFERROR(MP_DATA[[#This Row],[Bottom '[mLAT']]]-MP_DATA[[#This Row],[D, top '[m']]], "")</f>
        <v/>
      </c>
      <c r="I88" s="85" t="str">
        <f>IFERROR(-(MP_DATA[[#This Row],[D, bottom '[m']]]-MP_DATA[[#This Row],[D, top '[m']]])/(MP_DATA[[#This Row],[Bottom '[mLAT']]]-MP_DATA[[#This Row],[Top '[mLAT']]]),"")</f>
        <v/>
      </c>
      <c r="J88" s="85" t="str">
        <f t="shared" si="6"/>
        <v/>
      </c>
      <c r="K88" s="85" t="str">
        <f>IFERROR((MP_DATA[[#This Row],[D, bottom '[m']]]+MP_DATA[[#This Row],[D, top '[m']]])/(2*MP_DATA[[#This Row],[t '[mm']]]/1000),"")</f>
        <v/>
      </c>
      <c r="L88" s="85" t="str">
        <f>IFERROR((MP_DATA[[#This Row],[D, bottom '[m']]]+#REF!)/(2*#REF!/1000),"")</f>
        <v/>
      </c>
      <c r="AW88" s="85" t="str">
        <f>IFERROR(TP_DATA[[#This Row],[Bottom '[mLAT']]]-TP_DATA[[#This Row],[D, top '[m']]], "")</f>
        <v/>
      </c>
      <c r="AX88" s="85" t="str">
        <f>IFERROR(-(TP_DATA[[#This Row],[D, bottom '[m']]]-TP_DATA[[#This Row],[D, top '[m']]])/(TP_DATA[[#This Row],[Bottom '[mLAT']]]-TP_DATA[[#This Row],[Top '[mLAT']]]),"")</f>
        <v/>
      </c>
      <c r="AY88" s="85" t="str">
        <f t="shared" si="4"/>
        <v/>
      </c>
      <c r="AZ88" s="85" t="str">
        <f>IFERROR((TP_DATA[[#This Row],[D, bottom '[m']]]+TP_DATA[[#This Row],[D, top '[m']]])/(2*TP_DATA[[#This Row],[t '[mm']]]/1000),"")</f>
        <v/>
      </c>
      <c r="BA88" s="85" t="str">
        <f>IFERROR((TP_DATA[[#This Row],[D, bottom '[m']]]+#REF!)/(2*#REF!/1000),"")</f>
        <v/>
      </c>
      <c r="CQ88" s="85" t="str">
        <f>IFERROR(TOWER_DATA[[#This Row],[Bottom '[mLAT']]]-TOWER_DATA[[#This Row],[D, top '[m']]], "")</f>
        <v/>
      </c>
      <c r="CR88" s="85" t="str">
        <f>IFERROR(-(TOWER_DATA[[#This Row],[D, bottom '[m']]]-TOWER_DATA[[#This Row],[D, top '[m']]])/(TOWER_DATA[[#This Row],[Bottom '[mLAT']]]-TOWER_DATA[[#This Row],[Top '[mLAT']]]),"")</f>
        <v/>
      </c>
      <c r="CS88" s="85" t="str">
        <f t="shared" si="5"/>
        <v/>
      </c>
      <c r="CT88" s="85" t="str">
        <f>IFERROR((TOWER_DATA[[#This Row],[D, bottom '[m']]]+TOWER_DATA[[#This Row],[D, top '[m']]])/(2*TOWER_DATA[[#This Row],[t '[mm']]]/1000),"")</f>
        <v/>
      </c>
      <c r="CU88" s="85" t="str">
        <f>IFERROR((TOWER_DATA[[#This Row],[D, bottom '[m']]]+#REF!)/(2*#REF!/1000),"")</f>
        <v/>
      </c>
    </row>
    <row r="89" spans="8:99" x14ac:dyDescent="0.3">
      <c r="H89" s="85" t="str">
        <f>IFERROR(MP_DATA[[#This Row],[Bottom '[mLAT']]]-MP_DATA[[#This Row],[D, top '[m']]], "")</f>
        <v/>
      </c>
      <c r="I89" s="85" t="str">
        <f>IFERROR(-(MP_DATA[[#This Row],[D, bottom '[m']]]-MP_DATA[[#This Row],[D, top '[m']]])/(MP_DATA[[#This Row],[Bottom '[mLAT']]]-MP_DATA[[#This Row],[Top '[mLAT']]]),"")</f>
        <v/>
      </c>
      <c r="J89" s="85" t="str">
        <f t="shared" si="6"/>
        <v/>
      </c>
      <c r="K89" s="85" t="str">
        <f>IFERROR((MP_DATA[[#This Row],[D, bottom '[m']]]+MP_DATA[[#This Row],[D, top '[m']]])/(2*MP_DATA[[#This Row],[t '[mm']]]/1000),"")</f>
        <v/>
      </c>
      <c r="L89" s="85" t="str">
        <f>IFERROR((MP_DATA[[#This Row],[D, bottom '[m']]]+#REF!)/(2*#REF!/1000),"")</f>
        <v/>
      </c>
      <c r="AW89" s="85" t="str">
        <f>IFERROR(TP_DATA[[#This Row],[Bottom '[mLAT']]]-TP_DATA[[#This Row],[D, top '[m']]], "")</f>
        <v/>
      </c>
      <c r="AX89" s="85" t="str">
        <f>IFERROR(-(TP_DATA[[#This Row],[D, bottom '[m']]]-TP_DATA[[#This Row],[D, top '[m']]])/(TP_DATA[[#This Row],[Bottom '[mLAT']]]-TP_DATA[[#This Row],[Top '[mLAT']]]),"")</f>
        <v/>
      </c>
      <c r="AY89" s="85" t="str">
        <f t="shared" si="4"/>
        <v/>
      </c>
      <c r="AZ89" s="85" t="str">
        <f>IFERROR((TP_DATA[[#This Row],[D, bottom '[m']]]+TP_DATA[[#This Row],[D, top '[m']]])/(2*TP_DATA[[#This Row],[t '[mm']]]/1000),"")</f>
        <v/>
      </c>
      <c r="BA89" s="85" t="str">
        <f>IFERROR((TP_DATA[[#This Row],[D, bottom '[m']]]+#REF!)/(2*#REF!/1000),"")</f>
        <v/>
      </c>
      <c r="CQ89" s="85" t="str">
        <f>IFERROR(TOWER_DATA[[#This Row],[Bottom '[mLAT']]]-TOWER_DATA[[#This Row],[D, top '[m']]], "")</f>
        <v/>
      </c>
      <c r="CR89" s="85" t="str">
        <f>IFERROR(-(TOWER_DATA[[#This Row],[D, bottom '[m']]]-TOWER_DATA[[#This Row],[D, top '[m']]])/(TOWER_DATA[[#This Row],[Bottom '[mLAT']]]-TOWER_DATA[[#This Row],[Top '[mLAT']]]),"")</f>
        <v/>
      </c>
      <c r="CS89" s="85" t="str">
        <f t="shared" si="5"/>
        <v/>
      </c>
      <c r="CT89" s="85" t="str">
        <f>IFERROR((TOWER_DATA[[#This Row],[D, bottom '[m']]]+TOWER_DATA[[#This Row],[D, top '[m']]])/(2*TOWER_DATA[[#This Row],[t '[mm']]]/1000),"")</f>
        <v/>
      </c>
      <c r="CU89" s="85" t="str">
        <f>IFERROR((TOWER_DATA[[#This Row],[D, bottom '[m']]]+#REF!)/(2*#REF!/1000),"")</f>
        <v/>
      </c>
    </row>
    <row r="90" spans="8:99" x14ac:dyDescent="0.3">
      <c r="H90" s="85" t="str">
        <f>IFERROR(MP_DATA[[#This Row],[Bottom '[mLAT']]]-MP_DATA[[#This Row],[D, top '[m']]], "")</f>
        <v/>
      </c>
      <c r="I90" s="85" t="str">
        <f>IFERROR(-(MP_DATA[[#This Row],[D, bottom '[m']]]-MP_DATA[[#This Row],[D, top '[m']]])/(MP_DATA[[#This Row],[Bottom '[mLAT']]]-MP_DATA[[#This Row],[Top '[mLAT']]]),"")</f>
        <v/>
      </c>
      <c r="J90" s="85" t="str">
        <f t="shared" si="6"/>
        <v/>
      </c>
      <c r="K90" s="85" t="str">
        <f>IFERROR((MP_DATA[[#This Row],[D, bottom '[m']]]+MP_DATA[[#This Row],[D, top '[m']]])/(2*MP_DATA[[#This Row],[t '[mm']]]/1000),"")</f>
        <v/>
      </c>
      <c r="L90" s="85" t="str">
        <f>IFERROR((MP_DATA[[#This Row],[D, bottom '[m']]]+#REF!)/(2*#REF!/1000),"")</f>
        <v/>
      </c>
      <c r="AW90" s="85" t="str">
        <f>IFERROR(TP_DATA[[#This Row],[Bottom '[mLAT']]]-TP_DATA[[#This Row],[D, top '[m']]], "")</f>
        <v/>
      </c>
      <c r="AX90" s="85" t="str">
        <f>IFERROR(-(TP_DATA[[#This Row],[D, bottom '[m']]]-TP_DATA[[#This Row],[D, top '[m']]])/(TP_DATA[[#This Row],[Bottom '[mLAT']]]-TP_DATA[[#This Row],[Top '[mLAT']]]),"")</f>
        <v/>
      </c>
      <c r="AY90" s="85" t="str">
        <f t="shared" si="4"/>
        <v/>
      </c>
      <c r="AZ90" s="85" t="str">
        <f>IFERROR((TP_DATA[[#This Row],[D, bottom '[m']]]+TP_DATA[[#This Row],[D, top '[m']]])/(2*TP_DATA[[#This Row],[t '[mm']]]/1000),"")</f>
        <v/>
      </c>
      <c r="BA90" s="85" t="str">
        <f>IFERROR((TP_DATA[[#This Row],[D, bottom '[m']]]+#REF!)/(2*#REF!/1000),"")</f>
        <v/>
      </c>
      <c r="CQ90" s="85" t="str">
        <f>IFERROR(TOWER_DATA[[#This Row],[Bottom '[mLAT']]]-TOWER_DATA[[#This Row],[D, top '[m']]], "")</f>
        <v/>
      </c>
      <c r="CR90" s="85" t="str">
        <f>IFERROR(-(TOWER_DATA[[#This Row],[D, bottom '[m']]]-TOWER_DATA[[#This Row],[D, top '[m']]])/(TOWER_DATA[[#This Row],[Bottom '[mLAT']]]-TOWER_DATA[[#This Row],[Top '[mLAT']]]),"")</f>
        <v/>
      </c>
      <c r="CS90" s="85" t="str">
        <f t="shared" si="5"/>
        <v/>
      </c>
      <c r="CT90" s="85" t="str">
        <f>IFERROR((TOWER_DATA[[#This Row],[D, bottom '[m']]]+TOWER_DATA[[#This Row],[D, top '[m']]])/(2*TOWER_DATA[[#This Row],[t '[mm']]]/1000),"")</f>
        <v/>
      </c>
      <c r="CU90" s="85" t="str">
        <f>IFERROR((TOWER_DATA[[#This Row],[D, bottom '[m']]]+#REF!)/(2*#REF!/1000),"")</f>
        <v/>
      </c>
    </row>
    <row r="91" spans="8:99" x14ac:dyDescent="0.3">
      <c r="H91" s="85" t="str">
        <f>IFERROR(MP_DATA[[#This Row],[Bottom '[mLAT']]]-MP_DATA[[#This Row],[D, top '[m']]], "")</f>
        <v/>
      </c>
      <c r="I91" s="85" t="str">
        <f>IFERROR(-(MP_DATA[[#This Row],[D, bottom '[m']]]-MP_DATA[[#This Row],[D, top '[m']]])/(MP_DATA[[#This Row],[Bottom '[mLAT']]]-MP_DATA[[#This Row],[Top '[mLAT']]]),"")</f>
        <v/>
      </c>
      <c r="J91" s="85" t="str">
        <f t="shared" si="6"/>
        <v/>
      </c>
      <c r="K91" s="85" t="str">
        <f>IFERROR((MP_DATA[[#This Row],[D, bottom '[m']]]+MP_DATA[[#This Row],[D, top '[m']]])/(2*MP_DATA[[#This Row],[t '[mm']]]/1000),"")</f>
        <v/>
      </c>
      <c r="L91" s="85" t="str">
        <f>IFERROR((MP_DATA[[#This Row],[D, bottom '[m']]]+#REF!)/(2*#REF!/1000),"")</f>
        <v/>
      </c>
      <c r="AW91" s="85" t="str">
        <f>IFERROR(TP_DATA[[#This Row],[Bottom '[mLAT']]]-TP_DATA[[#This Row],[D, top '[m']]], "")</f>
        <v/>
      </c>
      <c r="AX91" s="85" t="str">
        <f>IFERROR(-(TP_DATA[[#This Row],[D, bottom '[m']]]-TP_DATA[[#This Row],[D, top '[m']]])/(TP_DATA[[#This Row],[Bottom '[mLAT']]]-TP_DATA[[#This Row],[Top '[mLAT']]]),"")</f>
        <v/>
      </c>
      <c r="AY91" s="85" t="str">
        <f t="shared" si="4"/>
        <v/>
      </c>
      <c r="AZ91" s="85" t="str">
        <f>IFERROR((TP_DATA[[#This Row],[D, bottom '[m']]]+TP_DATA[[#This Row],[D, top '[m']]])/(2*TP_DATA[[#This Row],[t '[mm']]]/1000),"")</f>
        <v/>
      </c>
      <c r="BA91" s="85" t="str">
        <f>IFERROR((TP_DATA[[#This Row],[D, bottom '[m']]]+#REF!)/(2*#REF!/1000),"")</f>
        <v/>
      </c>
      <c r="CQ91" s="85" t="str">
        <f>IFERROR(TOWER_DATA[[#This Row],[Bottom '[mLAT']]]-TOWER_DATA[[#This Row],[D, top '[m']]], "")</f>
        <v/>
      </c>
      <c r="CR91" s="85" t="str">
        <f>IFERROR(-(TOWER_DATA[[#This Row],[D, bottom '[m']]]-TOWER_DATA[[#This Row],[D, top '[m']]])/(TOWER_DATA[[#This Row],[Bottom '[mLAT']]]-TOWER_DATA[[#This Row],[Top '[mLAT']]]),"")</f>
        <v/>
      </c>
      <c r="CS91" s="85" t="str">
        <f t="shared" si="5"/>
        <v/>
      </c>
      <c r="CT91" s="85" t="str">
        <f>IFERROR((TOWER_DATA[[#This Row],[D, bottom '[m']]]+TOWER_DATA[[#This Row],[D, top '[m']]])/(2*TOWER_DATA[[#This Row],[t '[mm']]]/1000),"")</f>
        <v/>
      </c>
      <c r="CU91" s="85" t="str">
        <f>IFERROR((TOWER_DATA[[#This Row],[D, bottom '[m']]]+#REF!)/(2*#REF!/1000),"")</f>
        <v/>
      </c>
    </row>
    <row r="92" spans="8:99" x14ac:dyDescent="0.3">
      <c r="H92" s="85" t="str">
        <f>IFERROR(MP_DATA[[#This Row],[Bottom '[mLAT']]]-MP_DATA[[#This Row],[D, top '[m']]], "")</f>
        <v/>
      </c>
      <c r="I92" s="85" t="str">
        <f>IFERROR(-(MP_DATA[[#This Row],[D, bottom '[m']]]-MP_DATA[[#This Row],[D, top '[m']]])/(MP_DATA[[#This Row],[Bottom '[mLAT']]]-MP_DATA[[#This Row],[Top '[mLAT']]]),"")</f>
        <v/>
      </c>
      <c r="J92" s="85" t="str">
        <f t="shared" si="6"/>
        <v/>
      </c>
      <c r="K92" s="85" t="str">
        <f>IFERROR((MP_DATA[[#This Row],[D, bottom '[m']]]+MP_DATA[[#This Row],[D, top '[m']]])/(2*MP_DATA[[#This Row],[t '[mm']]]/1000),"")</f>
        <v/>
      </c>
      <c r="L92" s="85" t="str">
        <f>IFERROR((MP_DATA[[#This Row],[D, bottom '[m']]]+#REF!)/(2*#REF!/1000),"")</f>
        <v/>
      </c>
      <c r="AW92" s="85" t="str">
        <f>IFERROR(TP_DATA[[#This Row],[Bottom '[mLAT']]]-TP_DATA[[#This Row],[D, top '[m']]], "")</f>
        <v/>
      </c>
      <c r="AX92" s="85" t="str">
        <f>IFERROR(-(TP_DATA[[#This Row],[D, bottom '[m']]]-TP_DATA[[#This Row],[D, top '[m']]])/(TP_DATA[[#This Row],[Bottom '[mLAT']]]-TP_DATA[[#This Row],[Top '[mLAT']]]),"")</f>
        <v/>
      </c>
      <c r="AY92" s="85" t="str">
        <f t="shared" si="4"/>
        <v/>
      </c>
      <c r="AZ92" s="85" t="str">
        <f>IFERROR((TP_DATA[[#This Row],[D, bottom '[m']]]+TP_DATA[[#This Row],[D, top '[m']]])/(2*TP_DATA[[#This Row],[t '[mm']]]/1000),"")</f>
        <v/>
      </c>
      <c r="BA92" s="85" t="str">
        <f>IFERROR((TP_DATA[[#This Row],[D, bottom '[m']]]+#REF!)/(2*#REF!/1000),"")</f>
        <v/>
      </c>
      <c r="CQ92" s="85" t="str">
        <f>IFERROR(TOWER_DATA[[#This Row],[Bottom '[mLAT']]]-TOWER_DATA[[#This Row],[D, top '[m']]], "")</f>
        <v/>
      </c>
      <c r="CR92" s="85" t="str">
        <f>IFERROR(-(TOWER_DATA[[#This Row],[D, bottom '[m']]]-TOWER_DATA[[#This Row],[D, top '[m']]])/(TOWER_DATA[[#This Row],[Bottom '[mLAT']]]-TOWER_DATA[[#This Row],[Top '[mLAT']]]),"")</f>
        <v/>
      </c>
      <c r="CS92" s="85" t="str">
        <f t="shared" si="5"/>
        <v/>
      </c>
      <c r="CT92" s="85" t="str">
        <f>IFERROR((TOWER_DATA[[#This Row],[D, bottom '[m']]]+TOWER_DATA[[#This Row],[D, top '[m']]])/(2*TOWER_DATA[[#This Row],[t '[mm']]]/1000),"")</f>
        <v/>
      </c>
      <c r="CU92" s="85" t="str">
        <f>IFERROR((TOWER_DATA[[#This Row],[D, bottom '[m']]]+#REF!)/(2*#REF!/1000),"")</f>
        <v/>
      </c>
    </row>
    <row r="93" spans="8:99" x14ac:dyDescent="0.3">
      <c r="H93" s="85" t="str">
        <f>IFERROR(MP_DATA[[#This Row],[Bottom '[mLAT']]]-MP_DATA[[#This Row],[D, top '[m']]], "")</f>
        <v/>
      </c>
      <c r="I93" s="85" t="str">
        <f>IFERROR(-(MP_DATA[[#This Row],[D, bottom '[m']]]-MP_DATA[[#This Row],[D, top '[m']]])/(MP_DATA[[#This Row],[Bottom '[mLAT']]]-MP_DATA[[#This Row],[Top '[mLAT']]]),"")</f>
        <v/>
      </c>
      <c r="J93" s="85" t="str">
        <f t="shared" si="6"/>
        <v/>
      </c>
      <c r="K93" s="85" t="str">
        <f>IFERROR((MP_DATA[[#This Row],[D, bottom '[m']]]+MP_DATA[[#This Row],[D, top '[m']]])/(2*MP_DATA[[#This Row],[t '[mm']]]/1000),"")</f>
        <v/>
      </c>
      <c r="L93" s="85" t="str">
        <f>IFERROR((MP_DATA[[#This Row],[D, bottom '[m']]]+#REF!)/(2*#REF!/1000),"")</f>
        <v/>
      </c>
      <c r="AW93" s="85" t="str">
        <f>IFERROR(TP_DATA[[#This Row],[Bottom '[mLAT']]]-TP_DATA[[#This Row],[D, top '[m']]], "")</f>
        <v/>
      </c>
      <c r="AX93" s="85" t="str">
        <f>IFERROR(-(TP_DATA[[#This Row],[D, bottom '[m']]]-TP_DATA[[#This Row],[D, top '[m']]])/(TP_DATA[[#This Row],[Bottom '[mLAT']]]-TP_DATA[[#This Row],[Top '[mLAT']]]),"")</f>
        <v/>
      </c>
      <c r="AY93" s="85" t="str">
        <f t="shared" si="4"/>
        <v/>
      </c>
      <c r="AZ93" s="85" t="str">
        <f>IFERROR((TP_DATA[[#This Row],[D, bottom '[m']]]+TP_DATA[[#This Row],[D, top '[m']]])/(2*TP_DATA[[#This Row],[t '[mm']]]/1000),"")</f>
        <v/>
      </c>
      <c r="BA93" s="85" t="str">
        <f>IFERROR((TP_DATA[[#This Row],[D, bottom '[m']]]+#REF!)/(2*#REF!/1000),"")</f>
        <v/>
      </c>
      <c r="CQ93" s="85" t="str">
        <f>IFERROR(TOWER_DATA[[#This Row],[Bottom '[mLAT']]]-TOWER_DATA[[#This Row],[D, top '[m']]], "")</f>
        <v/>
      </c>
      <c r="CR93" s="85" t="str">
        <f>IFERROR(-(TOWER_DATA[[#This Row],[D, bottom '[m']]]-TOWER_DATA[[#This Row],[D, top '[m']]])/(TOWER_DATA[[#This Row],[Bottom '[mLAT']]]-TOWER_DATA[[#This Row],[Top '[mLAT']]]),"")</f>
        <v/>
      </c>
      <c r="CS93" s="85" t="str">
        <f t="shared" si="5"/>
        <v/>
      </c>
      <c r="CT93" s="85" t="str">
        <f>IFERROR((TOWER_DATA[[#This Row],[D, bottom '[m']]]+TOWER_DATA[[#This Row],[D, top '[m']]])/(2*TOWER_DATA[[#This Row],[t '[mm']]]/1000),"")</f>
        <v/>
      </c>
      <c r="CU93" s="85" t="str">
        <f>IFERROR((TOWER_DATA[[#This Row],[D, bottom '[m']]]+#REF!)/(2*#REF!/1000),"")</f>
        <v/>
      </c>
    </row>
    <row r="94" spans="8:99" x14ac:dyDescent="0.3">
      <c r="H94" s="85" t="str">
        <f>IFERROR(MP_DATA[[#This Row],[Bottom '[mLAT']]]-MP_DATA[[#This Row],[D, top '[m']]], "")</f>
        <v/>
      </c>
      <c r="I94" s="85" t="str">
        <f>IFERROR(-(MP_DATA[[#This Row],[D, bottom '[m']]]-MP_DATA[[#This Row],[D, top '[m']]])/(MP_DATA[[#This Row],[Bottom '[mLAT']]]-MP_DATA[[#This Row],[Top '[mLAT']]]),"")</f>
        <v/>
      </c>
      <c r="J94" s="85" t="str">
        <f t="shared" si="6"/>
        <v/>
      </c>
      <c r="K94" s="85" t="str">
        <f>IFERROR((MP_DATA[[#This Row],[D, bottom '[m']]]+MP_DATA[[#This Row],[D, top '[m']]])/(2*MP_DATA[[#This Row],[t '[mm']]]/1000),"")</f>
        <v/>
      </c>
      <c r="L94" s="85" t="str">
        <f>IFERROR((MP_DATA[[#This Row],[D, bottom '[m']]]+#REF!)/(2*#REF!/1000),"")</f>
        <v/>
      </c>
      <c r="AW94" s="85" t="str">
        <f>IFERROR(TP_DATA[[#This Row],[Bottom '[mLAT']]]-TP_DATA[[#This Row],[D, top '[m']]], "")</f>
        <v/>
      </c>
      <c r="AX94" s="85" t="str">
        <f>IFERROR(-(TP_DATA[[#This Row],[D, bottom '[m']]]-TP_DATA[[#This Row],[D, top '[m']]])/(TP_DATA[[#This Row],[Bottom '[mLAT']]]-TP_DATA[[#This Row],[Top '[mLAT']]]),"")</f>
        <v/>
      </c>
      <c r="AY94" s="85" t="str">
        <f t="shared" si="4"/>
        <v/>
      </c>
      <c r="AZ94" s="85" t="str">
        <f>IFERROR((TP_DATA[[#This Row],[D, bottom '[m']]]+TP_DATA[[#This Row],[D, top '[m']]])/(2*TP_DATA[[#This Row],[t '[mm']]]/1000),"")</f>
        <v/>
      </c>
      <c r="BA94" s="85" t="str">
        <f>IFERROR((TP_DATA[[#This Row],[D, bottom '[m']]]+#REF!)/(2*#REF!/1000),"")</f>
        <v/>
      </c>
      <c r="CQ94" s="85" t="str">
        <f>IFERROR(TOWER_DATA[[#This Row],[Bottom '[mLAT']]]-TOWER_DATA[[#This Row],[D, top '[m']]], "")</f>
        <v/>
      </c>
      <c r="CR94" s="85" t="str">
        <f>IFERROR(-(TOWER_DATA[[#This Row],[D, bottom '[m']]]-TOWER_DATA[[#This Row],[D, top '[m']]])/(TOWER_DATA[[#This Row],[Bottom '[mLAT']]]-TOWER_DATA[[#This Row],[Top '[mLAT']]]),"")</f>
        <v/>
      </c>
      <c r="CS94" s="85" t="str">
        <f t="shared" si="5"/>
        <v/>
      </c>
      <c r="CT94" s="85" t="str">
        <f>IFERROR((TOWER_DATA[[#This Row],[D, bottom '[m']]]+TOWER_DATA[[#This Row],[D, top '[m']]])/(2*TOWER_DATA[[#This Row],[t '[mm']]]/1000),"")</f>
        <v/>
      </c>
      <c r="CU94" s="85" t="str">
        <f>IFERROR((TOWER_DATA[[#This Row],[D, bottom '[m']]]+#REF!)/(2*#REF!/1000),"")</f>
        <v/>
      </c>
    </row>
    <row r="95" spans="8:99" x14ac:dyDescent="0.3">
      <c r="H95" s="85" t="str">
        <f>IFERROR(MP_DATA[[#This Row],[Bottom '[mLAT']]]-MP_DATA[[#This Row],[D, top '[m']]], "")</f>
        <v/>
      </c>
      <c r="I95" s="85" t="str">
        <f>IFERROR(-(MP_DATA[[#This Row],[D, bottom '[m']]]-MP_DATA[[#This Row],[D, top '[m']]])/(MP_DATA[[#This Row],[Bottom '[mLAT']]]-MP_DATA[[#This Row],[Top '[mLAT']]]),"")</f>
        <v/>
      </c>
      <c r="J95" s="85" t="str">
        <f t="shared" si="6"/>
        <v/>
      </c>
      <c r="K95" s="85" t="str">
        <f>IFERROR((MP_DATA[[#This Row],[D, bottom '[m']]]+MP_DATA[[#This Row],[D, top '[m']]])/(2*MP_DATA[[#This Row],[t '[mm']]]/1000),"")</f>
        <v/>
      </c>
      <c r="L95" s="85" t="str">
        <f>IFERROR((MP_DATA[[#This Row],[D, bottom '[m']]]+#REF!)/(2*#REF!/1000),"")</f>
        <v/>
      </c>
      <c r="AW95" s="85" t="str">
        <f>IFERROR(TP_DATA[[#This Row],[Bottom '[mLAT']]]-TP_DATA[[#This Row],[D, top '[m']]], "")</f>
        <v/>
      </c>
      <c r="AX95" s="85" t="str">
        <f>IFERROR(-(TP_DATA[[#This Row],[D, bottom '[m']]]-TP_DATA[[#This Row],[D, top '[m']]])/(TP_DATA[[#This Row],[Bottom '[mLAT']]]-TP_DATA[[#This Row],[Top '[mLAT']]]),"")</f>
        <v/>
      </c>
      <c r="AY95" s="85" t="str">
        <f t="shared" si="4"/>
        <v/>
      </c>
      <c r="AZ95" s="85" t="str">
        <f>IFERROR((TP_DATA[[#This Row],[D, bottom '[m']]]+TP_DATA[[#This Row],[D, top '[m']]])/(2*TP_DATA[[#This Row],[t '[mm']]]/1000),"")</f>
        <v/>
      </c>
      <c r="BA95" s="85" t="str">
        <f>IFERROR((TP_DATA[[#This Row],[D, bottom '[m']]]+#REF!)/(2*#REF!/1000),"")</f>
        <v/>
      </c>
      <c r="CQ95" s="85" t="str">
        <f>IFERROR(TOWER_DATA[[#This Row],[Bottom '[mLAT']]]-TOWER_DATA[[#This Row],[D, top '[m']]], "")</f>
        <v/>
      </c>
      <c r="CR95" s="85" t="str">
        <f>IFERROR(-(TOWER_DATA[[#This Row],[D, bottom '[m']]]-TOWER_DATA[[#This Row],[D, top '[m']]])/(TOWER_DATA[[#This Row],[Bottom '[mLAT']]]-TOWER_DATA[[#This Row],[Top '[mLAT']]]),"")</f>
        <v/>
      </c>
      <c r="CS95" s="85" t="str">
        <f t="shared" si="5"/>
        <v/>
      </c>
      <c r="CT95" s="85" t="str">
        <f>IFERROR((TOWER_DATA[[#This Row],[D, bottom '[m']]]+TOWER_DATA[[#This Row],[D, top '[m']]])/(2*TOWER_DATA[[#This Row],[t '[mm']]]/1000),"")</f>
        <v/>
      </c>
      <c r="CU95" s="85" t="str">
        <f>IFERROR((TOWER_DATA[[#This Row],[D, bottom '[m']]]+#REF!)/(2*#REF!/1000),"")</f>
        <v/>
      </c>
    </row>
    <row r="96" spans="8:99" x14ac:dyDescent="0.3">
      <c r="H96" s="85" t="str">
        <f>IFERROR(MP_DATA[[#This Row],[Bottom '[mLAT']]]-MP_DATA[[#This Row],[D, top '[m']]], "")</f>
        <v/>
      </c>
      <c r="I96" s="85" t="str">
        <f>IFERROR(-(MP_DATA[[#This Row],[D, bottom '[m']]]-MP_DATA[[#This Row],[D, top '[m']]])/(MP_DATA[[#This Row],[Bottom '[mLAT']]]-MP_DATA[[#This Row],[Top '[mLAT']]]),"")</f>
        <v/>
      </c>
      <c r="J96" s="85" t="str">
        <f t="shared" si="6"/>
        <v/>
      </c>
      <c r="K96" s="85" t="str">
        <f>IFERROR((MP_DATA[[#This Row],[D, bottom '[m']]]+MP_DATA[[#This Row],[D, top '[m']]])/(2*MP_DATA[[#This Row],[t '[mm']]]/1000),"")</f>
        <v/>
      </c>
      <c r="L96" s="85" t="str">
        <f>IFERROR((MP_DATA[[#This Row],[D, bottom '[m']]]+#REF!)/(2*#REF!/1000),"")</f>
        <v/>
      </c>
      <c r="AW96" s="85" t="str">
        <f>IFERROR(TP_DATA[[#This Row],[Bottom '[mLAT']]]-TP_DATA[[#This Row],[D, top '[m']]], "")</f>
        <v/>
      </c>
      <c r="AX96" s="85" t="str">
        <f>IFERROR(-(TP_DATA[[#This Row],[D, bottom '[m']]]-TP_DATA[[#This Row],[D, top '[m']]])/(TP_DATA[[#This Row],[Bottom '[mLAT']]]-TP_DATA[[#This Row],[Top '[mLAT']]]),"")</f>
        <v/>
      </c>
      <c r="AY96" s="85" t="str">
        <f t="shared" si="4"/>
        <v/>
      </c>
      <c r="AZ96" s="85" t="str">
        <f>IFERROR((TP_DATA[[#This Row],[D, bottom '[m']]]+TP_DATA[[#This Row],[D, top '[m']]])/(2*TP_DATA[[#This Row],[t '[mm']]]/1000),"")</f>
        <v/>
      </c>
      <c r="BA96" s="85" t="str">
        <f>IFERROR((TP_DATA[[#This Row],[D, bottom '[m']]]+#REF!)/(2*#REF!/1000),"")</f>
        <v/>
      </c>
      <c r="CQ96" s="85" t="str">
        <f>IFERROR(TOWER_DATA[[#This Row],[Bottom '[mLAT']]]-TOWER_DATA[[#This Row],[D, top '[m']]], "")</f>
        <v/>
      </c>
      <c r="CR96" s="85" t="str">
        <f>IFERROR(-(TOWER_DATA[[#This Row],[D, bottom '[m']]]-TOWER_DATA[[#This Row],[D, top '[m']]])/(TOWER_DATA[[#This Row],[Bottom '[mLAT']]]-TOWER_DATA[[#This Row],[Top '[mLAT']]]),"")</f>
        <v/>
      </c>
      <c r="CS96" s="85" t="str">
        <f t="shared" si="5"/>
        <v/>
      </c>
      <c r="CT96" s="85" t="str">
        <f>IFERROR((TOWER_DATA[[#This Row],[D, bottom '[m']]]+TOWER_DATA[[#This Row],[D, top '[m']]])/(2*TOWER_DATA[[#This Row],[t '[mm']]]/1000),"")</f>
        <v/>
      </c>
      <c r="CU96" s="85" t="str">
        <f>IFERROR((TOWER_DATA[[#This Row],[D, bottom '[m']]]+#REF!)/(2*#REF!/1000),"")</f>
        <v/>
      </c>
    </row>
    <row r="97" spans="8:99" x14ac:dyDescent="0.3">
      <c r="H97" s="85" t="str">
        <f>IFERROR(MP_DATA[[#This Row],[Bottom '[mLAT']]]-MP_DATA[[#This Row],[D, top '[m']]], "")</f>
        <v/>
      </c>
      <c r="I97" s="85" t="str">
        <f>IFERROR(-(MP_DATA[[#This Row],[D, bottom '[m']]]-MP_DATA[[#This Row],[D, top '[m']]])/(MP_DATA[[#This Row],[Bottom '[mLAT']]]-MP_DATA[[#This Row],[Top '[mLAT']]]),"")</f>
        <v/>
      </c>
      <c r="J97" s="85" t="str">
        <f t="shared" si="6"/>
        <v/>
      </c>
      <c r="K97" s="85" t="str">
        <f>IFERROR((MP_DATA[[#This Row],[D, bottom '[m']]]+MP_DATA[[#This Row],[D, top '[m']]])/(2*MP_DATA[[#This Row],[t '[mm']]]/1000),"")</f>
        <v/>
      </c>
      <c r="L97" s="85" t="str">
        <f>IFERROR((MP_DATA[[#This Row],[D, bottom '[m']]]+#REF!)/(2*#REF!/1000),"")</f>
        <v/>
      </c>
      <c r="AW97" s="85" t="str">
        <f>IFERROR(TP_DATA[[#This Row],[Bottom '[mLAT']]]-TP_DATA[[#This Row],[D, top '[m']]], "")</f>
        <v/>
      </c>
      <c r="AX97" s="85" t="str">
        <f>IFERROR(-(TP_DATA[[#This Row],[D, bottom '[m']]]-TP_DATA[[#This Row],[D, top '[m']]])/(TP_DATA[[#This Row],[Bottom '[mLAT']]]-TP_DATA[[#This Row],[Top '[mLAT']]]),"")</f>
        <v/>
      </c>
      <c r="AY97" s="85" t="str">
        <f t="shared" si="4"/>
        <v/>
      </c>
      <c r="AZ97" s="85" t="str">
        <f>IFERROR((TP_DATA[[#This Row],[D, bottom '[m']]]+TP_DATA[[#This Row],[D, top '[m']]])/(2*TP_DATA[[#This Row],[t '[mm']]]/1000),"")</f>
        <v/>
      </c>
      <c r="BA97" s="85" t="str">
        <f>IFERROR((TP_DATA[[#This Row],[D, bottom '[m']]]+#REF!)/(2*#REF!/1000),"")</f>
        <v/>
      </c>
      <c r="CQ97" s="85" t="str">
        <f>IFERROR(TOWER_DATA[[#This Row],[Bottom '[mLAT']]]-TOWER_DATA[[#This Row],[D, top '[m']]], "")</f>
        <v/>
      </c>
      <c r="CR97" s="85" t="str">
        <f>IFERROR(-(TOWER_DATA[[#This Row],[D, bottom '[m']]]-TOWER_DATA[[#This Row],[D, top '[m']]])/(TOWER_DATA[[#This Row],[Bottom '[mLAT']]]-TOWER_DATA[[#This Row],[Top '[mLAT']]]),"")</f>
        <v/>
      </c>
      <c r="CS97" s="85" t="str">
        <f t="shared" si="5"/>
        <v/>
      </c>
      <c r="CT97" s="85" t="str">
        <f>IFERROR((TOWER_DATA[[#This Row],[D, bottom '[m']]]+TOWER_DATA[[#This Row],[D, top '[m']]])/(2*TOWER_DATA[[#This Row],[t '[mm']]]/1000),"")</f>
        <v/>
      </c>
      <c r="CU97" s="85" t="str">
        <f>IFERROR((TOWER_DATA[[#This Row],[D, bottom '[m']]]+#REF!)/(2*#REF!/1000),"")</f>
        <v/>
      </c>
    </row>
    <row r="98" spans="8:99" x14ac:dyDescent="0.3">
      <c r="H98" s="85" t="str">
        <f>IFERROR(MP_DATA[[#This Row],[Bottom '[mLAT']]]-MP_DATA[[#This Row],[D, top '[m']]], "")</f>
        <v/>
      </c>
      <c r="I98" s="85" t="str">
        <f>IFERROR(-(MP_DATA[[#This Row],[D, bottom '[m']]]-MP_DATA[[#This Row],[D, top '[m']]])/(MP_DATA[[#This Row],[Bottom '[mLAT']]]-MP_DATA[[#This Row],[Top '[mLAT']]]),"")</f>
        <v/>
      </c>
      <c r="J98" s="85" t="str">
        <f t="shared" si="6"/>
        <v/>
      </c>
      <c r="K98" s="85" t="str">
        <f>IFERROR((MP_DATA[[#This Row],[D, bottom '[m']]]+MP_DATA[[#This Row],[D, top '[m']]])/(2*MP_DATA[[#This Row],[t '[mm']]]/1000),"")</f>
        <v/>
      </c>
      <c r="L98" s="85" t="str">
        <f>IFERROR((MP_DATA[[#This Row],[D, bottom '[m']]]+#REF!)/(2*#REF!/1000),"")</f>
        <v/>
      </c>
      <c r="AW98" s="85" t="str">
        <f>IFERROR(TP_DATA[[#This Row],[Bottom '[mLAT']]]-TP_DATA[[#This Row],[D, top '[m']]], "")</f>
        <v/>
      </c>
      <c r="AX98" s="85" t="str">
        <f>IFERROR(-(TP_DATA[[#This Row],[D, bottom '[m']]]-TP_DATA[[#This Row],[D, top '[m']]])/(TP_DATA[[#This Row],[Bottom '[mLAT']]]-TP_DATA[[#This Row],[Top '[mLAT']]]),"")</f>
        <v/>
      </c>
      <c r="AY98" s="85" t="str">
        <f t="shared" si="4"/>
        <v/>
      </c>
      <c r="AZ98" s="85" t="str">
        <f>IFERROR((TP_DATA[[#This Row],[D, bottom '[m']]]+TP_DATA[[#This Row],[D, top '[m']]])/(2*TP_DATA[[#This Row],[t '[mm']]]/1000),"")</f>
        <v/>
      </c>
      <c r="BA98" s="85" t="str">
        <f>IFERROR((TP_DATA[[#This Row],[D, bottom '[m']]]+#REF!)/(2*#REF!/1000),"")</f>
        <v/>
      </c>
      <c r="CQ98" s="85" t="str">
        <f>IFERROR(TOWER_DATA[[#This Row],[Bottom '[mLAT']]]-TOWER_DATA[[#This Row],[D, top '[m']]], "")</f>
        <v/>
      </c>
      <c r="CR98" s="85" t="str">
        <f>IFERROR(-(TOWER_DATA[[#This Row],[D, bottom '[m']]]-TOWER_DATA[[#This Row],[D, top '[m']]])/(TOWER_DATA[[#This Row],[Bottom '[mLAT']]]-TOWER_DATA[[#This Row],[Top '[mLAT']]]),"")</f>
        <v/>
      </c>
      <c r="CS98" s="85" t="str">
        <f t="shared" si="5"/>
        <v/>
      </c>
      <c r="CT98" s="85" t="str">
        <f>IFERROR((TOWER_DATA[[#This Row],[D, bottom '[m']]]+TOWER_DATA[[#This Row],[D, top '[m']]])/(2*TOWER_DATA[[#This Row],[t '[mm']]]/1000),"")</f>
        <v/>
      </c>
      <c r="CU98" s="85" t="str">
        <f>IFERROR((TOWER_DATA[[#This Row],[D, bottom '[m']]]+#REF!)/(2*#REF!/1000),"")</f>
        <v/>
      </c>
    </row>
    <row r="99" spans="8:99" x14ac:dyDescent="0.3">
      <c r="H99" s="85" t="str">
        <f>IFERROR(MP_DATA[[#This Row],[Bottom '[mLAT']]]-MP_DATA[[#This Row],[D, top '[m']]], "")</f>
        <v/>
      </c>
      <c r="I99" s="85" t="str">
        <f>IFERROR(-(MP_DATA[[#This Row],[D, bottom '[m']]]-MP_DATA[[#This Row],[D, top '[m']]])/(MP_DATA[[#This Row],[Bottom '[mLAT']]]-MP_DATA[[#This Row],[Top '[mLAT']]]),"")</f>
        <v/>
      </c>
      <c r="J99" s="85" t="str">
        <f t="shared" si="6"/>
        <v/>
      </c>
      <c r="K99" s="85" t="str">
        <f>IFERROR((MP_DATA[[#This Row],[D, bottom '[m']]]+MP_DATA[[#This Row],[D, top '[m']]])/(2*MP_DATA[[#This Row],[t '[mm']]]/1000),"")</f>
        <v/>
      </c>
      <c r="L99" s="85" t="str">
        <f>IFERROR((MP_DATA[[#This Row],[D, bottom '[m']]]+#REF!)/(2*#REF!/1000),"")</f>
        <v/>
      </c>
      <c r="AW99" s="85" t="str">
        <f>IFERROR(TP_DATA[[#This Row],[Bottom '[mLAT']]]-TP_DATA[[#This Row],[D, top '[m']]], "")</f>
        <v/>
      </c>
      <c r="AX99" s="85" t="str">
        <f>IFERROR(-(TP_DATA[[#This Row],[D, bottom '[m']]]-TP_DATA[[#This Row],[D, top '[m']]])/(TP_DATA[[#This Row],[Bottom '[mLAT']]]-TP_DATA[[#This Row],[Top '[mLAT']]]),"")</f>
        <v/>
      </c>
      <c r="AY99" s="85" t="str">
        <f t="shared" si="4"/>
        <v/>
      </c>
      <c r="AZ99" s="85" t="str">
        <f>IFERROR((TP_DATA[[#This Row],[D, bottom '[m']]]+TP_DATA[[#This Row],[D, top '[m']]])/(2*TP_DATA[[#This Row],[t '[mm']]]/1000),"")</f>
        <v/>
      </c>
      <c r="BA99" s="85" t="str">
        <f>IFERROR((TP_DATA[[#This Row],[D, bottom '[m']]]+#REF!)/(2*#REF!/1000),"")</f>
        <v/>
      </c>
      <c r="CQ99" s="85" t="str">
        <f>IFERROR(TOWER_DATA[[#This Row],[Bottom '[mLAT']]]-TOWER_DATA[[#This Row],[D, top '[m']]], "")</f>
        <v/>
      </c>
      <c r="CR99" s="85" t="str">
        <f>IFERROR(-(TOWER_DATA[[#This Row],[D, bottom '[m']]]-TOWER_DATA[[#This Row],[D, top '[m']]])/(TOWER_DATA[[#This Row],[Bottom '[mLAT']]]-TOWER_DATA[[#This Row],[Top '[mLAT']]]),"")</f>
        <v/>
      </c>
      <c r="CS99" s="85" t="str">
        <f t="shared" si="5"/>
        <v/>
      </c>
      <c r="CT99" s="85" t="str">
        <f>IFERROR((TOWER_DATA[[#This Row],[D, bottom '[m']]]+TOWER_DATA[[#This Row],[D, top '[m']]])/(2*TOWER_DATA[[#This Row],[t '[mm']]]/1000),"")</f>
        <v/>
      </c>
      <c r="CU99" s="85" t="str">
        <f>IFERROR((TOWER_DATA[[#This Row],[D, bottom '[m']]]+#REF!)/(2*#REF!/1000),"")</f>
        <v/>
      </c>
    </row>
    <row r="100" spans="8:99" x14ac:dyDescent="0.3">
      <c r="H100" s="85" t="str">
        <f>IFERROR(MP_DATA[[#This Row],[Bottom '[mLAT']]]-MP_DATA[[#This Row],[D, top '[m']]], "")</f>
        <v/>
      </c>
      <c r="I100" s="85" t="str">
        <f>IFERROR(-(MP_DATA[[#This Row],[D, bottom '[m']]]-MP_DATA[[#This Row],[D, top '[m']]])/(MP_DATA[[#This Row],[Bottom '[mLAT']]]-MP_DATA[[#This Row],[Top '[mLAT']]]),"")</f>
        <v/>
      </c>
      <c r="J100" s="85" t="str">
        <f t="shared" si="6"/>
        <v/>
      </c>
      <c r="K100" s="85" t="str">
        <f>IFERROR((MP_DATA[[#This Row],[D, bottom '[m']]]+MP_DATA[[#This Row],[D, top '[m']]])/(2*MP_DATA[[#This Row],[t '[mm']]]/1000),"")</f>
        <v/>
      </c>
      <c r="L100" s="85" t="str">
        <f>IFERROR((MP_DATA[[#This Row],[D, bottom '[m']]]+#REF!)/(2*#REF!/1000),"")</f>
        <v/>
      </c>
      <c r="AW100" s="85" t="str">
        <f>IFERROR(TP_DATA[[#This Row],[Bottom '[mLAT']]]-TP_DATA[[#This Row],[D, top '[m']]], "")</f>
        <v/>
      </c>
      <c r="AX100" s="85" t="str">
        <f>IFERROR(-(TP_DATA[[#This Row],[D, bottom '[m']]]-TP_DATA[[#This Row],[D, top '[m']]])/(TP_DATA[[#This Row],[Bottom '[mLAT']]]-TP_DATA[[#This Row],[Top '[mLAT']]]),"")</f>
        <v/>
      </c>
      <c r="AY100" s="85" t="str">
        <f t="shared" si="4"/>
        <v/>
      </c>
      <c r="AZ100" s="85" t="str">
        <f>IFERROR((TP_DATA[[#This Row],[D, bottom '[m']]]+TP_DATA[[#This Row],[D, top '[m']]])/(2*TP_DATA[[#This Row],[t '[mm']]]/1000),"")</f>
        <v/>
      </c>
      <c r="BA100" s="85" t="str">
        <f>IFERROR((TP_DATA[[#This Row],[D, bottom '[m']]]+#REF!)/(2*#REF!/1000),"")</f>
        <v/>
      </c>
      <c r="CQ100" s="85" t="str">
        <f>IFERROR(TOWER_DATA[[#This Row],[Bottom '[mLAT']]]-TOWER_DATA[[#This Row],[D, top '[m']]], "")</f>
        <v/>
      </c>
      <c r="CR100" s="85" t="str">
        <f>IFERROR(-(TOWER_DATA[[#This Row],[D, bottom '[m']]]-TOWER_DATA[[#This Row],[D, top '[m']]])/(TOWER_DATA[[#This Row],[Bottom '[mLAT']]]-TOWER_DATA[[#This Row],[Top '[mLAT']]]),"")</f>
        <v/>
      </c>
      <c r="CS100" s="85" t="str">
        <f t="shared" si="5"/>
        <v/>
      </c>
      <c r="CT100" s="85" t="str">
        <f>IFERROR((TOWER_DATA[[#This Row],[D, bottom '[m']]]+TOWER_DATA[[#This Row],[D, top '[m']]])/(2*TOWER_DATA[[#This Row],[t '[mm']]]/1000),"")</f>
        <v/>
      </c>
      <c r="CU100" s="85" t="str">
        <f>IFERROR((TOWER_DATA[[#This Row],[D, bottom '[m']]]+#REF!)/(2*#REF!/1000),"")</f>
        <v/>
      </c>
    </row>
    <row r="101" spans="8:99" x14ac:dyDescent="0.3">
      <c r="H101" s="85" t="str">
        <f>IFERROR(MP_DATA[[#This Row],[Bottom '[mLAT']]]-MP_DATA[[#This Row],[D, top '[m']]], "")</f>
        <v/>
      </c>
      <c r="I101" s="85" t="str">
        <f>IFERROR(-(MP_DATA[[#This Row],[D, bottom '[m']]]-MP_DATA[[#This Row],[D, top '[m']]])/(MP_DATA[[#This Row],[Bottom '[mLAT']]]-MP_DATA[[#This Row],[Top '[mLAT']]]),"")</f>
        <v/>
      </c>
      <c r="J101" s="85" t="str">
        <f t="shared" si="6"/>
        <v/>
      </c>
      <c r="K101" s="85" t="str">
        <f>IFERROR((MP_DATA[[#This Row],[D, bottom '[m']]]+MP_DATA[[#This Row],[D, top '[m']]])/(2*MP_DATA[[#This Row],[t '[mm']]]/1000),"")</f>
        <v/>
      </c>
      <c r="L101" s="85" t="str">
        <f>IFERROR((MP_DATA[[#This Row],[D, bottom '[m']]]+#REF!)/(2*#REF!/1000),"")</f>
        <v/>
      </c>
      <c r="AW101" s="85" t="str">
        <f>IFERROR(TP_DATA[[#This Row],[Bottom '[mLAT']]]-TP_DATA[[#This Row],[D, top '[m']]], "")</f>
        <v/>
      </c>
      <c r="AX101" s="85" t="str">
        <f>IFERROR(-(TP_DATA[[#This Row],[D, bottom '[m']]]-TP_DATA[[#This Row],[D, top '[m']]])/(TP_DATA[[#This Row],[Bottom '[mLAT']]]-TP_DATA[[#This Row],[Top '[mLAT']]]),"")</f>
        <v/>
      </c>
      <c r="AY101" s="85" t="str">
        <f t="shared" si="4"/>
        <v/>
      </c>
      <c r="AZ101" s="85" t="str">
        <f>IFERROR((TP_DATA[[#This Row],[D, bottom '[m']]]+TP_DATA[[#This Row],[D, top '[m']]])/(2*TP_DATA[[#This Row],[t '[mm']]]/1000),"")</f>
        <v/>
      </c>
      <c r="BA101" s="85" t="str">
        <f>IFERROR((TP_DATA[[#This Row],[D, bottom '[m']]]+#REF!)/(2*#REF!/1000),"")</f>
        <v/>
      </c>
      <c r="CQ101" s="85" t="str">
        <f>IFERROR(TOWER_DATA[[#This Row],[Bottom '[mLAT']]]-TOWER_DATA[[#This Row],[D, top '[m']]], "")</f>
        <v/>
      </c>
      <c r="CR101" s="85" t="str">
        <f>IFERROR(-(TOWER_DATA[[#This Row],[D, bottom '[m']]]-TOWER_DATA[[#This Row],[D, top '[m']]])/(TOWER_DATA[[#This Row],[Bottom '[mLAT']]]-TOWER_DATA[[#This Row],[Top '[mLAT']]]),"")</f>
        <v/>
      </c>
      <c r="CS101" s="85" t="str">
        <f t="shared" si="5"/>
        <v/>
      </c>
      <c r="CT101" s="85" t="str">
        <f>IFERROR((TOWER_DATA[[#This Row],[D, bottom '[m']]]+TOWER_DATA[[#This Row],[D, top '[m']]])/(2*TOWER_DATA[[#This Row],[t '[mm']]]/1000),"")</f>
        <v/>
      </c>
      <c r="CU101" s="85" t="str">
        <f>IFERROR((TOWER_DATA[[#This Row],[D, bottom '[m']]]+#REF!)/(2*#REF!/1000),"")</f>
        <v/>
      </c>
    </row>
    <row r="102" spans="8:99" x14ac:dyDescent="0.3">
      <c r="H102" s="85" t="str">
        <f>IFERROR(MP_DATA[[#This Row],[Bottom '[mLAT']]]-MP_DATA[[#This Row],[D, top '[m']]], "")</f>
        <v/>
      </c>
      <c r="I102" s="85" t="str">
        <f>IFERROR(-(MP_DATA[[#This Row],[D, bottom '[m']]]-MP_DATA[[#This Row],[D, top '[m']]])/(MP_DATA[[#This Row],[Bottom '[mLAT']]]-MP_DATA[[#This Row],[Top '[mLAT']]]),"")</f>
        <v/>
      </c>
      <c r="J102" s="85" t="str">
        <f t="shared" si="6"/>
        <v/>
      </c>
      <c r="K102" s="85" t="str">
        <f>IFERROR((MP_DATA[[#This Row],[D, bottom '[m']]]+MP_DATA[[#This Row],[D, top '[m']]])/(2*MP_DATA[[#This Row],[t '[mm']]]/1000),"")</f>
        <v/>
      </c>
      <c r="L102" s="85" t="str">
        <f>IFERROR((MP_DATA[[#This Row],[D, bottom '[m']]]+#REF!)/(2*#REF!/1000),"")</f>
        <v/>
      </c>
      <c r="AW102" s="85" t="str">
        <f>IFERROR(TP_DATA[[#This Row],[Bottom '[mLAT']]]-TP_DATA[[#This Row],[D, top '[m']]], "")</f>
        <v/>
      </c>
      <c r="AX102" s="85" t="str">
        <f>IFERROR(-(TP_DATA[[#This Row],[D, bottom '[m']]]-TP_DATA[[#This Row],[D, top '[m']]])/(TP_DATA[[#This Row],[Bottom '[mLAT']]]-TP_DATA[[#This Row],[Top '[mLAT']]]),"")</f>
        <v/>
      </c>
      <c r="AY102" s="85" t="str">
        <f t="shared" si="4"/>
        <v/>
      </c>
      <c r="AZ102" s="85" t="str">
        <f>IFERROR((TP_DATA[[#This Row],[D, bottom '[m']]]+TP_DATA[[#This Row],[D, top '[m']]])/(2*TP_DATA[[#This Row],[t '[mm']]]/1000),"")</f>
        <v/>
      </c>
      <c r="BA102" s="85" t="str">
        <f>IFERROR((TP_DATA[[#This Row],[D, bottom '[m']]]+#REF!)/(2*#REF!/1000),"")</f>
        <v/>
      </c>
      <c r="CQ102" s="85" t="str">
        <f>IFERROR(TOWER_DATA[[#This Row],[Bottom '[mLAT']]]-TOWER_DATA[[#This Row],[D, top '[m']]], "")</f>
        <v/>
      </c>
      <c r="CR102" s="85" t="str">
        <f>IFERROR(-(TOWER_DATA[[#This Row],[D, bottom '[m']]]-TOWER_DATA[[#This Row],[D, top '[m']]])/(TOWER_DATA[[#This Row],[Bottom '[mLAT']]]-TOWER_DATA[[#This Row],[Top '[mLAT']]]),"")</f>
        <v/>
      </c>
      <c r="CS102" s="85" t="str">
        <f t="shared" si="5"/>
        <v/>
      </c>
      <c r="CT102" s="85" t="str">
        <f>IFERROR((TOWER_DATA[[#This Row],[D, bottom '[m']]]+TOWER_DATA[[#This Row],[D, top '[m']]])/(2*TOWER_DATA[[#This Row],[t '[mm']]]/1000),"")</f>
        <v/>
      </c>
      <c r="CU102" s="85" t="str">
        <f>IFERROR((TOWER_DATA[[#This Row],[D, bottom '[m']]]+#REF!)/(2*#REF!/1000),"")</f>
        <v/>
      </c>
    </row>
    <row r="103" spans="8:99" x14ac:dyDescent="0.3">
      <c r="H103" s="85" t="str">
        <f>IFERROR(MP_DATA[[#This Row],[Bottom '[mLAT']]]-MP_DATA[[#This Row],[D, top '[m']]], "")</f>
        <v/>
      </c>
      <c r="I103" s="85" t="str">
        <f>IFERROR(-(MP_DATA[[#This Row],[D, bottom '[m']]]-MP_DATA[[#This Row],[D, top '[m']]])/(MP_DATA[[#This Row],[Bottom '[mLAT']]]-MP_DATA[[#This Row],[Top '[mLAT']]]),"")</f>
        <v/>
      </c>
      <c r="J103" s="85" t="str">
        <f t="shared" si="6"/>
        <v/>
      </c>
      <c r="K103" s="85" t="str">
        <f>IFERROR((MP_DATA[[#This Row],[D, bottom '[m']]]+MP_DATA[[#This Row],[D, top '[m']]])/(2*MP_DATA[[#This Row],[t '[mm']]]/1000),"")</f>
        <v/>
      </c>
      <c r="L103" s="85" t="str">
        <f>IFERROR((MP_DATA[[#This Row],[D, bottom '[m']]]+#REF!)/(2*#REF!/1000),"")</f>
        <v/>
      </c>
      <c r="AW103" s="85" t="str">
        <f>IFERROR(TP_DATA[[#This Row],[Bottom '[mLAT']]]-TP_DATA[[#This Row],[D, top '[m']]], "")</f>
        <v/>
      </c>
      <c r="AX103" s="85" t="str">
        <f>IFERROR(-(TP_DATA[[#This Row],[D, bottom '[m']]]-TP_DATA[[#This Row],[D, top '[m']]])/(TP_DATA[[#This Row],[Bottom '[mLAT']]]-TP_DATA[[#This Row],[Top '[mLAT']]]),"")</f>
        <v/>
      </c>
      <c r="AY103" s="85" t="str">
        <f t="shared" si="4"/>
        <v/>
      </c>
      <c r="AZ103" s="85" t="str">
        <f>IFERROR((TP_DATA[[#This Row],[D, bottom '[m']]]+TP_DATA[[#This Row],[D, top '[m']]])/(2*TP_DATA[[#This Row],[t '[mm']]]/1000),"")</f>
        <v/>
      </c>
      <c r="BA103" s="85" t="str">
        <f>IFERROR((TP_DATA[[#This Row],[D, bottom '[m']]]+#REF!)/(2*#REF!/1000),"")</f>
        <v/>
      </c>
      <c r="CQ103" s="85" t="str">
        <f>IFERROR(TOWER_DATA[[#This Row],[Bottom '[mLAT']]]-TOWER_DATA[[#This Row],[D, top '[m']]], "")</f>
        <v/>
      </c>
      <c r="CR103" s="85" t="str">
        <f>IFERROR(-(TOWER_DATA[[#This Row],[D, bottom '[m']]]-TOWER_DATA[[#This Row],[D, top '[m']]])/(TOWER_DATA[[#This Row],[Bottom '[mLAT']]]-TOWER_DATA[[#This Row],[Top '[mLAT']]]),"")</f>
        <v/>
      </c>
      <c r="CS103" s="85" t="str">
        <f t="shared" si="5"/>
        <v/>
      </c>
      <c r="CT103" s="85" t="str">
        <f>IFERROR((TOWER_DATA[[#This Row],[D, bottom '[m']]]+TOWER_DATA[[#This Row],[D, top '[m']]])/(2*TOWER_DATA[[#This Row],[t '[mm']]]/1000),"")</f>
        <v/>
      </c>
      <c r="CU103" s="85" t="str">
        <f>IFERROR((TOWER_DATA[[#This Row],[D, bottom '[m']]]+#REF!)/(2*#REF!/1000),"")</f>
        <v/>
      </c>
    </row>
    <row r="104" spans="8:99" x14ac:dyDescent="0.3">
      <c r="H104" s="85" t="str">
        <f>IFERROR(MP_DATA[[#This Row],[Bottom '[mLAT']]]-MP_DATA[[#This Row],[D, top '[m']]], "")</f>
        <v/>
      </c>
      <c r="I104" s="85" t="str">
        <f>IFERROR(-(MP_DATA[[#This Row],[D, bottom '[m']]]-MP_DATA[[#This Row],[D, top '[m']]])/(MP_DATA[[#This Row],[Bottom '[mLAT']]]-MP_DATA[[#This Row],[Top '[mLAT']]]),"")</f>
        <v/>
      </c>
      <c r="J104" s="85" t="str">
        <f t="shared" si="6"/>
        <v/>
      </c>
      <c r="K104" s="85" t="str">
        <f>IFERROR((MP_DATA[[#This Row],[D, bottom '[m']]]+MP_DATA[[#This Row],[D, top '[m']]])/(2*MP_DATA[[#This Row],[t '[mm']]]/1000),"")</f>
        <v/>
      </c>
      <c r="L104" s="85" t="str">
        <f>IFERROR((MP_DATA[[#This Row],[D, bottom '[m']]]+#REF!)/(2*#REF!/1000),"")</f>
        <v/>
      </c>
      <c r="AW104" s="85" t="str">
        <f>IFERROR(TP_DATA[[#This Row],[Bottom '[mLAT']]]-TP_DATA[[#This Row],[D, top '[m']]], "")</f>
        <v/>
      </c>
      <c r="AX104" s="85" t="str">
        <f>IFERROR(-(TP_DATA[[#This Row],[D, bottom '[m']]]-TP_DATA[[#This Row],[D, top '[m']]])/(TP_DATA[[#This Row],[Bottom '[mLAT']]]-TP_DATA[[#This Row],[Top '[mLAT']]]),"")</f>
        <v/>
      </c>
      <c r="AY104" s="85" t="str">
        <f t="shared" si="4"/>
        <v/>
      </c>
      <c r="AZ104" s="85" t="str">
        <f>IFERROR((TP_DATA[[#This Row],[D, bottom '[m']]]+TP_DATA[[#This Row],[D, top '[m']]])/(2*TP_DATA[[#This Row],[t '[mm']]]/1000),"")</f>
        <v/>
      </c>
      <c r="BA104" s="85" t="str">
        <f>IFERROR((TP_DATA[[#This Row],[D, bottom '[m']]]+#REF!)/(2*#REF!/1000),"")</f>
        <v/>
      </c>
      <c r="CQ104" s="85" t="str">
        <f>IFERROR(TOWER_DATA[[#This Row],[Bottom '[mLAT']]]-TOWER_DATA[[#This Row],[D, top '[m']]], "")</f>
        <v/>
      </c>
      <c r="CR104" s="85" t="str">
        <f>IFERROR(-(TOWER_DATA[[#This Row],[D, bottom '[m']]]-TOWER_DATA[[#This Row],[D, top '[m']]])/(TOWER_DATA[[#This Row],[Bottom '[mLAT']]]-TOWER_DATA[[#This Row],[Top '[mLAT']]]),"")</f>
        <v/>
      </c>
      <c r="CS104" s="85" t="str">
        <f t="shared" si="5"/>
        <v/>
      </c>
      <c r="CT104" s="85" t="str">
        <f>IFERROR((TOWER_DATA[[#This Row],[D, bottom '[m']]]+TOWER_DATA[[#This Row],[D, top '[m']]])/(2*TOWER_DATA[[#This Row],[t '[mm']]]/1000),"")</f>
        <v/>
      </c>
      <c r="CU104" s="85" t="str">
        <f>IFERROR((TOWER_DATA[[#This Row],[D, bottom '[m']]]+#REF!)/(2*#REF!/1000),"")</f>
        <v/>
      </c>
    </row>
    <row r="105" spans="8:99" x14ac:dyDescent="0.3">
      <c r="H105" s="85" t="str">
        <f>IFERROR(MP_DATA[[#This Row],[Bottom '[mLAT']]]-MP_DATA[[#This Row],[D, top '[m']]], "")</f>
        <v/>
      </c>
      <c r="I105" s="85" t="str">
        <f>IFERROR(-(MP_DATA[[#This Row],[D, bottom '[m']]]-MP_DATA[[#This Row],[D, top '[m']]])/(MP_DATA[[#This Row],[Bottom '[mLAT']]]-MP_DATA[[#This Row],[Top '[mLAT']]]),"")</f>
        <v/>
      </c>
      <c r="J105" s="85" t="str">
        <f t="shared" si="6"/>
        <v/>
      </c>
      <c r="K105" s="85" t="str">
        <f>IFERROR((MP_DATA[[#This Row],[D, bottom '[m']]]+MP_DATA[[#This Row],[D, top '[m']]])/(2*MP_DATA[[#This Row],[t '[mm']]]/1000),"")</f>
        <v/>
      </c>
      <c r="L105" s="85" t="str">
        <f>IFERROR((MP_DATA[[#This Row],[D, bottom '[m']]]+#REF!)/(2*#REF!/1000),"")</f>
        <v/>
      </c>
      <c r="AW105" s="85" t="str">
        <f>IFERROR(TP_DATA[[#This Row],[Bottom '[mLAT']]]-TP_DATA[[#This Row],[D, top '[m']]], "")</f>
        <v/>
      </c>
      <c r="AX105" s="85" t="str">
        <f>IFERROR(-(TP_DATA[[#This Row],[D, bottom '[m']]]-TP_DATA[[#This Row],[D, top '[m']]])/(TP_DATA[[#This Row],[Bottom '[mLAT']]]-TP_DATA[[#This Row],[Top '[mLAT']]]),"")</f>
        <v/>
      </c>
      <c r="AY105" s="85" t="str">
        <f t="shared" si="4"/>
        <v/>
      </c>
      <c r="AZ105" s="85" t="str">
        <f>IFERROR((TP_DATA[[#This Row],[D, bottom '[m']]]+TP_DATA[[#This Row],[D, top '[m']]])/(2*TP_DATA[[#This Row],[t '[mm']]]/1000),"")</f>
        <v/>
      </c>
      <c r="BA105" s="85" t="str">
        <f>IFERROR((TP_DATA[[#This Row],[D, bottom '[m']]]+#REF!)/(2*#REF!/1000),"")</f>
        <v/>
      </c>
      <c r="CQ105" s="85" t="str">
        <f>IFERROR(TOWER_DATA[[#This Row],[Bottom '[mLAT']]]-TOWER_DATA[[#This Row],[D, top '[m']]], "")</f>
        <v/>
      </c>
      <c r="CR105" s="85" t="str">
        <f>IFERROR(-(TOWER_DATA[[#This Row],[D, bottom '[m']]]-TOWER_DATA[[#This Row],[D, top '[m']]])/(TOWER_DATA[[#This Row],[Bottom '[mLAT']]]-TOWER_DATA[[#This Row],[Top '[mLAT']]]),"")</f>
        <v/>
      </c>
      <c r="CS105" s="85" t="str">
        <f t="shared" si="5"/>
        <v/>
      </c>
      <c r="CT105" s="85" t="str">
        <f>IFERROR((TOWER_DATA[[#This Row],[D, bottom '[m']]]+TOWER_DATA[[#This Row],[D, top '[m']]])/(2*TOWER_DATA[[#This Row],[t '[mm']]]/1000),"")</f>
        <v/>
      </c>
      <c r="CU105" s="85" t="str">
        <f>IFERROR((TOWER_DATA[[#This Row],[D, bottom '[m']]]+#REF!)/(2*#REF!/1000),"")</f>
        <v/>
      </c>
    </row>
    <row r="106" spans="8:99" x14ac:dyDescent="0.3">
      <c r="H106" s="85" t="str">
        <f>IFERROR(MP_DATA[[#This Row],[Bottom '[mLAT']]]-MP_DATA[[#This Row],[D, top '[m']]], "")</f>
        <v/>
      </c>
      <c r="I106" s="85" t="str">
        <f>IFERROR(-(MP_DATA[[#This Row],[D, bottom '[m']]]-MP_DATA[[#This Row],[D, top '[m']]])/(MP_DATA[[#This Row],[Bottom '[mLAT']]]-MP_DATA[[#This Row],[Top '[mLAT']]]),"")</f>
        <v/>
      </c>
      <c r="J106" s="85" t="str">
        <f t="shared" si="6"/>
        <v/>
      </c>
      <c r="K106" s="85" t="str">
        <f>IFERROR((MP_DATA[[#This Row],[D, bottom '[m']]]+MP_DATA[[#This Row],[D, top '[m']]])/(2*MP_DATA[[#This Row],[t '[mm']]]/1000),"")</f>
        <v/>
      </c>
      <c r="L106" s="85" t="str">
        <f>IFERROR((MP_DATA[[#This Row],[D, bottom '[m']]]+#REF!)/(2*#REF!/1000),"")</f>
        <v/>
      </c>
      <c r="AW106" s="85" t="str">
        <f>IFERROR(TP_DATA[[#This Row],[Bottom '[mLAT']]]-TP_DATA[[#This Row],[D, top '[m']]], "")</f>
        <v/>
      </c>
      <c r="AX106" s="85" t="str">
        <f>IFERROR(-(TP_DATA[[#This Row],[D, bottom '[m']]]-TP_DATA[[#This Row],[D, top '[m']]])/(TP_DATA[[#This Row],[Bottom '[mLAT']]]-TP_DATA[[#This Row],[Top '[mLAT']]]),"")</f>
        <v/>
      </c>
      <c r="AY106" s="85" t="str">
        <f t="shared" si="4"/>
        <v/>
      </c>
      <c r="AZ106" s="85" t="str">
        <f>IFERROR((TP_DATA[[#This Row],[D, bottom '[m']]]+TP_DATA[[#This Row],[D, top '[m']]])/(2*TP_DATA[[#This Row],[t '[mm']]]/1000),"")</f>
        <v/>
      </c>
      <c r="BA106" s="85" t="str">
        <f>IFERROR((TP_DATA[[#This Row],[D, bottom '[m']]]+#REF!)/(2*#REF!/1000),"")</f>
        <v/>
      </c>
      <c r="CQ106" s="85" t="str">
        <f>IFERROR(TOWER_DATA[[#This Row],[Bottom '[mLAT']]]-TOWER_DATA[[#This Row],[D, top '[m']]], "")</f>
        <v/>
      </c>
      <c r="CR106" s="85" t="str">
        <f>IFERROR(-(TOWER_DATA[[#This Row],[D, bottom '[m']]]-TOWER_DATA[[#This Row],[D, top '[m']]])/(TOWER_DATA[[#This Row],[Bottom '[mLAT']]]-TOWER_DATA[[#This Row],[Top '[mLAT']]]),"")</f>
        <v/>
      </c>
      <c r="CS106" s="85" t="str">
        <f t="shared" si="5"/>
        <v/>
      </c>
      <c r="CT106" s="85" t="str">
        <f>IFERROR((TOWER_DATA[[#This Row],[D, bottom '[m']]]+TOWER_DATA[[#This Row],[D, top '[m']]])/(2*TOWER_DATA[[#This Row],[t '[mm']]]/1000),"")</f>
        <v/>
      </c>
      <c r="CU106" s="85" t="str">
        <f>IFERROR((TOWER_DATA[[#This Row],[D, bottom '[m']]]+#REF!)/(2*#REF!/1000),"")</f>
        <v/>
      </c>
    </row>
    <row r="107" spans="8:99" x14ac:dyDescent="0.3">
      <c r="H107" s="85" t="str">
        <f>IFERROR(MP_DATA[[#This Row],[Bottom '[mLAT']]]-MP_DATA[[#This Row],[D, top '[m']]], "")</f>
        <v/>
      </c>
      <c r="I107" s="85" t="str">
        <f>IFERROR(-(MP_DATA[[#This Row],[D, bottom '[m']]]-MP_DATA[[#This Row],[D, top '[m']]])/(MP_DATA[[#This Row],[Bottom '[mLAT']]]-MP_DATA[[#This Row],[Top '[mLAT']]]),"")</f>
        <v/>
      </c>
      <c r="J107" s="85" t="str">
        <f t="shared" si="6"/>
        <v/>
      </c>
      <c r="K107" s="85" t="str">
        <f>IFERROR((MP_DATA[[#This Row],[D, bottom '[m']]]+MP_DATA[[#This Row],[D, top '[m']]])/(2*MP_DATA[[#This Row],[t '[mm']]]/1000),"")</f>
        <v/>
      </c>
      <c r="L107" s="85" t="str">
        <f>IFERROR((MP_DATA[[#This Row],[D, bottom '[m']]]+#REF!)/(2*#REF!/1000),"")</f>
        <v/>
      </c>
      <c r="AW107" s="85" t="str">
        <f>IFERROR(TP_DATA[[#This Row],[Bottom '[mLAT']]]-TP_DATA[[#This Row],[D, top '[m']]], "")</f>
        <v/>
      </c>
      <c r="AX107" s="85" t="str">
        <f>IFERROR(-(TP_DATA[[#This Row],[D, bottom '[m']]]-TP_DATA[[#This Row],[D, top '[m']]])/(TP_DATA[[#This Row],[Bottom '[mLAT']]]-TP_DATA[[#This Row],[Top '[mLAT']]]),"")</f>
        <v/>
      </c>
      <c r="AY107" s="85" t="str">
        <f t="shared" si="4"/>
        <v/>
      </c>
      <c r="AZ107" s="85" t="str">
        <f>IFERROR((TP_DATA[[#This Row],[D, bottom '[m']]]+TP_DATA[[#This Row],[D, top '[m']]])/(2*TP_DATA[[#This Row],[t '[mm']]]/1000),"")</f>
        <v/>
      </c>
      <c r="BA107" s="85" t="str">
        <f>IFERROR((TP_DATA[[#This Row],[D, bottom '[m']]]+#REF!)/(2*#REF!/1000),"")</f>
        <v/>
      </c>
      <c r="CQ107" s="85" t="str">
        <f>IFERROR(TOWER_DATA[[#This Row],[Bottom '[mLAT']]]-TOWER_DATA[[#This Row],[D, top '[m']]], "")</f>
        <v/>
      </c>
      <c r="CR107" s="85" t="str">
        <f>IFERROR(-(TOWER_DATA[[#This Row],[D, bottom '[m']]]-TOWER_DATA[[#This Row],[D, top '[m']]])/(TOWER_DATA[[#This Row],[Bottom '[mLAT']]]-TOWER_DATA[[#This Row],[Top '[mLAT']]]),"")</f>
        <v/>
      </c>
      <c r="CS107" s="85" t="str">
        <f t="shared" si="5"/>
        <v/>
      </c>
      <c r="CT107" s="85" t="str">
        <f>IFERROR((TOWER_DATA[[#This Row],[D, bottom '[m']]]+TOWER_DATA[[#This Row],[D, top '[m']]])/(2*TOWER_DATA[[#This Row],[t '[mm']]]/1000),"")</f>
        <v/>
      </c>
      <c r="CU107" s="85" t="str">
        <f>IFERROR((TOWER_DATA[[#This Row],[D, bottom '[m']]]+#REF!)/(2*#REF!/1000),"")</f>
        <v/>
      </c>
    </row>
    <row r="108" spans="8:99" x14ac:dyDescent="0.3">
      <c r="H108" s="85" t="str">
        <f>IFERROR(MP_DATA[[#This Row],[Bottom '[mLAT']]]-MP_DATA[[#This Row],[D, top '[m']]], "")</f>
        <v/>
      </c>
      <c r="I108" s="85" t="str">
        <f>IFERROR(-(MP_DATA[[#This Row],[D, bottom '[m']]]-MP_DATA[[#This Row],[D, top '[m']]])/(MP_DATA[[#This Row],[Bottom '[mLAT']]]-MP_DATA[[#This Row],[Top '[mLAT']]]),"")</f>
        <v/>
      </c>
      <c r="J108" s="85" t="str">
        <f t="shared" si="6"/>
        <v/>
      </c>
      <c r="K108" s="85" t="str">
        <f>IFERROR((MP_DATA[[#This Row],[D, bottom '[m']]]+MP_DATA[[#This Row],[D, top '[m']]])/(2*MP_DATA[[#This Row],[t '[mm']]]/1000),"")</f>
        <v/>
      </c>
      <c r="L108" s="85" t="str">
        <f>IFERROR((MP_DATA[[#This Row],[D, bottom '[m']]]+#REF!)/(2*#REF!/1000),"")</f>
        <v/>
      </c>
      <c r="AW108" s="85" t="str">
        <f>IFERROR(TP_DATA[[#This Row],[Bottom '[mLAT']]]-TP_DATA[[#This Row],[D, top '[m']]], "")</f>
        <v/>
      </c>
      <c r="AX108" s="85" t="str">
        <f>IFERROR(-(TP_DATA[[#This Row],[D, bottom '[m']]]-TP_DATA[[#This Row],[D, top '[m']]])/(TP_DATA[[#This Row],[Bottom '[mLAT']]]-TP_DATA[[#This Row],[Top '[mLAT']]]),"")</f>
        <v/>
      </c>
      <c r="AY108" s="85" t="str">
        <f t="shared" si="4"/>
        <v/>
      </c>
      <c r="AZ108" s="85" t="str">
        <f>IFERROR((TP_DATA[[#This Row],[D, bottom '[m']]]+TP_DATA[[#This Row],[D, top '[m']]])/(2*TP_DATA[[#This Row],[t '[mm']]]/1000),"")</f>
        <v/>
      </c>
      <c r="BA108" s="85" t="str">
        <f>IFERROR((TP_DATA[[#This Row],[D, bottom '[m']]]+#REF!)/(2*#REF!/1000),"")</f>
        <v/>
      </c>
      <c r="CQ108" s="85" t="str">
        <f>IFERROR(TOWER_DATA[[#This Row],[Bottom '[mLAT']]]-TOWER_DATA[[#This Row],[D, top '[m']]], "")</f>
        <v/>
      </c>
      <c r="CR108" s="85" t="str">
        <f>IFERROR(-(TOWER_DATA[[#This Row],[D, bottom '[m']]]-TOWER_DATA[[#This Row],[D, top '[m']]])/(TOWER_DATA[[#This Row],[Bottom '[mLAT']]]-TOWER_DATA[[#This Row],[Top '[mLAT']]]),"")</f>
        <v/>
      </c>
      <c r="CS108" s="85" t="str">
        <f t="shared" si="5"/>
        <v/>
      </c>
      <c r="CT108" s="85" t="str">
        <f>IFERROR((TOWER_DATA[[#This Row],[D, bottom '[m']]]+TOWER_DATA[[#This Row],[D, top '[m']]])/(2*TOWER_DATA[[#This Row],[t '[mm']]]/1000),"")</f>
        <v/>
      </c>
      <c r="CU108" s="85" t="str">
        <f>IFERROR((TOWER_DATA[[#This Row],[D, bottom '[m']]]+#REF!)/(2*#REF!/1000),"")</f>
        <v/>
      </c>
    </row>
    <row r="109" spans="8:99" x14ac:dyDescent="0.3">
      <c r="H109" s="85" t="str">
        <f>IFERROR(MP_DATA[[#This Row],[Bottom '[mLAT']]]-MP_DATA[[#This Row],[D, top '[m']]], "")</f>
        <v/>
      </c>
      <c r="I109" s="85" t="str">
        <f>IFERROR(-(MP_DATA[[#This Row],[D, bottom '[m']]]-MP_DATA[[#This Row],[D, top '[m']]])/(MP_DATA[[#This Row],[Bottom '[mLAT']]]-MP_DATA[[#This Row],[Top '[mLAT']]]),"")</f>
        <v/>
      </c>
      <c r="J109" s="85" t="str">
        <f t="shared" si="6"/>
        <v/>
      </c>
      <c r="K109" s="85" t="str">
        <f>IFERROR((MP_DATA[[#This Row],[D, bottom '[m']]]+MP_DATA[[#This Row],[D, top '[m']]])/(2*MP_DATA[[#This Row],[t '[mm']]]/1000),"")</f>
        <v/>
      </c>
      <c r="L109" s="85" t="str">
        <f>IFERROR((MP_DATA[[#This Row],[D, bottom '[m']]]+#REF!)/(2*#REF!/1000),"")</f>
        <v/>
      </c>
      <c r="AW109" s="85" t="str">
        <f>IFERROR(TP_DATA[[#This Row],[Bottom '[mLAT']]]-TP_DATA[[#This Row],[D, top '[m']]], "")</f>
        <v/>
      </c>
      <c r="AX109" s="85" t="str">
        <f>IFERROR(-(TP_DATA[[#This Row],[D, bottom '[m']]]-TP_DATA[[#This Row],[D, top '[m']]])/(TP_DATA[[#This Row],[Bottom '[mLAT']]]-TP_DATA[[#This Row],[Top '[mLAT']]]),"")</f>
        <v/>
      </c>
      <c r="AY109" s="85" t="str">
        <f t="shared" si="4"/>
        <v/>
      </c>
      <c r="AZ109" s="85" t="str">
        <f>IFERROR((TP_DATA[[#This Row],[D, bottom '[m']]]+TP_DATA[[#This Row],[D, top '[m']]])/(2*TP_DATA[[#This Row],[t '[mm']]]/1000),"")</f>
        <v/>
      </c>
      <c r="BA109" s="85" t="str">
        <f>IFERROR((TP_DATA[[#This Row],[D, bottom '[m']]]+#REF!)/(2*#REF!/1000),"")</f>
        <v/>
      </c>
      <c r="CQ109" s="85" t="str">
        <f>IFERROR(TOWER_DATA[[#This Row],[Bottom '[mLAT']]]-TOWER_DATA[[#This Row],[D, top '[m']]], "")</f>
        <v/>
      </c>
      <c r="CR109" s="85" t="str">
        <f>IFERROR(-(TOWER_DATA[[#This Row],[D, bottom '[m']]]-TOWER_DATA[[#This Row],[D, top '[m']]])/(TOWER_DATA[[#This Row],[Bottom '[mLAT']]]-TOWER_DATA[[#This Row],[Top '[mLAT']]]),"")</f>
        <v/>
      </c>
      <c r="CS109" s="85" t="str">
        <f t="shared" si="5"/>
        <v/>
      </c>
      <c r="CT109" s="85" t="str">
        <f>IFERROR((TOWER_DATA[[#This Row],[D, bottom '[m']]]+TOWER_DATA[[#This Row],[D, top '[m']]])/(2*TOWER_DATA[[#This Row],[t '[mm']]]/1000),"")</f>
        <v/>
      </c>
      <c r="CU109" s="85" t="str">
        <f>IFERROR((TOWER_DATA[[#This Row],[D, bottom '[m']]]+#REF!)/(2*#REF!/1000),"")</f>
        <v/>
      </c>
    </row>
    <row r="110" spans="8:99" x14ac:dyDescent="0.3">
      <c r="H110" s="85" t="str">
        <f>IFERROR(MP_DATA[[#This Row],[Bottom '[mLAT']]]-MP_DATA[[#This Row],[D, top '[m']]], "")</f>
        <v/>
      </c>
      <c r="I110" s="85" t="str">
        <f>IFERROR(-(MP_DATA[[#This Row],[D, bottom '[m']]]-MP_DATA[[#This Row],[D, top '[m']]])/(MP_DATA[[#This Row],[Bottom '[mLAT']]]-MP_DATA[[#This Row],[Top '[mLAT']]]),"")</f>
        <v/>
      </c>
      <c r="J110" s="85" t="str">
        <f t="shared" si="6"/>
        <v/>
      </c>
      <c r="K110" s="85" t="str">
        <f>IFERROR((MP_DATA[[#This Row],[D, bottom '[m']]]+MP_DATA[[#This Row],[D, top '[m']]])/(2*MP_DATA[[#This Row],[t '[mm']]]/1000),"")</f>
        <v/>
      </c>
      <c r="L110" s="85" t="str">
        <f>IFERROR((MP_DATA[[#This Row],[D, bottom '[m']]]+#REF!)/(2*#REF!/1000),"")</f>
        <v/>
      </c>
      <c r="AW110" s="85" t="str">
        <f>IFERROR(TP_DATA[[#This Row],[Bottom '[mLAT']]]-TP_DATA[[#This Row],[D, top '[m']]], "")</f>
        <v/>
      </c>
      <c r="AX110" s="85" t="str">
        <f>IFERROR(-(TP_DATA[[#This Row],[D, bottom '[m']]]-TP_DATA[[#This Row],[D, top '[m']]])/(TP_DATA[[#This Row],[Bottom '[mLAT']]]-TP_DATA[[#This Row],[Top '[mLAT']]]),"")</f>
        <v/>
      </c>
      <c r="AY110" s="85" t="str">
        <f t="shared" si="4"/>
        <v/>
      </c>
      <c r="AZ110" s="85" t="str">
        <f>IFERROR((TP_DATA[[#This Row],[D, bottom '[m']]]+TP_DATA[[#This Row],[D, top '[m']]])/(2*TP_DATA[[#This Row],[t '[mm']]]/1000),"")</f>
        <v/>
      </c>
      <c r="BA110" s="85" t="str">
        <f>IFERROR((TP_DATA[[#This Row],[D, bottom '[m']]]+#REF!)/(2*#REF!/1000),"")</f>
        <v/>
      </c>
      <c r="CQ110" s="85" t="str">
        <f>IFERROR(TOWER_DATA[[#This Row],[Bottom '[mLAT']]]-TOWER_DATA[[#This Row],[D, top '[m']]], "")</f>
        <v/>
      </c>
      <c r="CR110" s="85" t="str">
        <f>IFERROR(-(TOWER_DATA[[#This Row],[D, bottom '[m']]]-TOWER_DATA[[#This Row],[D, top '[m']]])/(TOWER_DATA[[#This Row],[Bottom '[mLAT']]]-TOWER_DATA[[#This Row],[Top '[mLAT']]]),"")</f>
        <v/>
      </c>
      <c r="CS110" s="85" t="str">
        <f t="shared" si="5"/>
        <v/>
      </c>
      <c r="CT110" s="85" t="str">
        <f>IFERROR((TOWER_DATA[[#This Row],[D, bottom '[m']]]+TOWER_DATA[[#This Row],[D, top '[m']]])/(2*TOWER_DATA[[#This Row],[t '[mm']]]/1000),"")</f>
        <v/>
      </c>
      <c r="CU110" s="85" t="str">
        <f>IFERROR((TOWER_DATA[[#This Row],[D, bottom '[m']]]+#REF!)/(2*#REF!/1000),"")</f>
        <v/>
      </c>
    </row>
    <row r="111" spans="8:99" x14ac:dyDescent="0.3">
      <c r="H111" s="85" t="str">
        <f>IFERROR(MP_DATA[[#This Row],[Bottom '[mLAT']]]-MP_DATA[[#This Row],[D, top '[m']]], "")</f>
        <v/>
      </c>
      <c r="I111" s="85" t="str">
        <f>IFERROR(-(MP_DATA[[#This Row],[D, bottom '[m']]]-MP_DATA[[#This Row],[D, top '[m']]])/(MP_DATA[[#This Row],[Bottom '[mLAT']]]-MP_DATA[[#This Row],[Top '[mLAT']]]),"")</f>
        <v/>
      </c>
      <c r="J111" s="85" t="str">
        <f t="shared" si="6"/>
        <v/>
      </c>
      <c r="K111" s="85" t="str">
        <f>IFERROR((MP_DATA[[#This Row],[D, bottom '[m']]]+MP_DATA[[#This Row],[D, top '[m']]])/(2*MP_DATA[[#This Row],[t '[mm']]]/1000),"")</f>
        <v/>
      </c>
      <c r="L111" s="85" t="str">
        <f>IFERROR((MP_DATA[[#This Row],[D, bottom '[m']]]+#REF!)/(2*#REF!/1000),"")</f>
        <v/>
      </c>
      <c r="AW111" s="85" t="str">
        <f>IFERROR(TP_DATA[[#This Row],[Bottom '[mLAT']]]-TP_DATA[[#This Row],[D, top '[m']]], "")</f>
        <v/>
      </c>
      <c r="AX111" s="85" t="str">
        <f>IFERROR(-(TP_DATA[[#This Row],[D, bottom '[m']]]-TP_DATA[[#This Row],[D, top '[m']]])/(TP_DATA[[#This Row],[Bottom '[mLAT']]]-TP_DATA[[#This Row],[Top '[mLAT']]]),"")</f>
        <v/>
      </c>
      <c r="AY111" s="85" t="str">
        <f t="shared" si="4"/>
        <v/>
      </c>
      <c r="AZ111" s="85" t="str">
        <f>IFERROR((TP_DATA[[#This Row],[D, bottom '[m']]]+TP_DATA[[#This Row],[D, top '[m']]])/(2*TP_DATA[[#This Row],[t '[mm']]]/1000),"")</f>
        <v/>
      </c>
      <c r="BA111" s="85" t="str">
        <f>IFERROR((TP_DATA[[#This Row],[D, bottom '[m']]]+#REF!)/(2*#REF!/1000),"")</f>
        <v/>
      </c>
      <c r="CQ111" s="85" t="str">
        <f>IFERROR(TOWER_DATA[[#This Row],[Bottom '[mLAT']]]-TOWER_DATA[[#This Row],[D, top '[m']]], "")</f>
        <v/>
      </c>
      <c r="CR111" s="85" t="str">
        <f>IFERROR(-(TOWER_DATA[[#This Row],[D, bottom '[m']]]-TOWER_DATA[[#This Row],[D, top '[m']]])/(TOWER_DATA[[#This Row],[Bottom '[mLAT']]]-TOWER_DATA[[#This Row],[Top '[mLAT']]]),"")</f>
        <v/>
      </c>
      <c r="CS111" s="85" t="str">
        <f t="shared" si="5"/>
        <v/>
      </c>
      <c r="CT111" s="85" t="str">
        <f>IFERROR((TOWER_DATA[[#This Row],[D, bottom '[m']]]+TOWER_DATA[[#This Row],[D, top '[m']]])/(2*TOWER_DATA[[#This Row],[t '[mm']]]/1000),"")</f>
        <v/>
      </c>
      <c r="CU111" s="85" t="str">
        <f>IFERROR((TOWER_DATA[[#This Row],[D, bottom '[m']]]+#REF!)/(2*#REF!/1000),"")</f>
        <v/>
      </c>
    </row>
    <row r="112" spans="8:99" x14ac:dyDescent="0.3">
      <c r="H112" s="85" t="str">
        <f>IFERROR(MP_DATA[[#This Row],[Bottom '[mLAT']]]-MP_DATA[[#This Row],[D, top '[m']]], "")</f>
        <v/>
      </c>
      <c r="I112" s="85" t="str">
        <f>IFERROR(-(MP_DATA[[#This Row],[D, bottom '[m']]]-MP_DATA[[#This Row],[D, top '[m']]])/(MP_DATA[[#This Row],[Bottom '[mLAT']]]-MP_DATA[[#This Row],[Top '[mLAT']]]),"")</f>
        <v/>
      </c>
      <c r="J112" s="85" t="str">
        <f t="shared" si="6"/>
        <v/>
      </c>
      <c r="K112" s="85" t="str">
        <f>IFERROR((MP_DATA[[#This Row],[D, bottom '[m']]]+MP_DATA[[#This Row],[D, top '[m']]])/(2*MP_DATA[[#This Row],[t '[mm']]]/1000),"")</f>
        <v/>
      </c>
      <c r="L112" s="85" t="str">
        <f>IFERROR((MP_DATA[[#This Row],[D, bottom '[m']]]+#REF!)/(2*#REF!/1000),"")</f>
        <v/>
      </c>
      <c r="AW112" s="85" t="str">
        <f>IFERROR(TP_DATA[[#This Row],[Bottom '[mLAT']]]-TP_DATA[[#This Row],[D, top '[m']]], "")</f>
        <v/>
      </c>
      <c r="AX112" s="85" t="str">
        <f>IFERROR(-(TP_DATA[[#This Row],[D, bottom '[m']]]-TP_DATA[[#This Row],[D, top '[m']]])/(TP_DATA[[#This Row],[Bottom '[mLAT']]]-TP_DATA[[#This Row],[Top '[mLAT']]]),"")</f>
        <v/>
      </c>
      <c r="AY112" s="85" t="str">
        <f t="shared" si="4"/>
        <v/>
      </c>
      <c r="AZ112" s="85" t="str">
        <f>IFERROR((TP_DATA[[#This Row],[D, bottom '[m']]]+TP_DATA[[#This Row],[D, top '[m']]])/(2*TP_DATA[[#This Row],[t '[mm']]]/1000),"")</f>
        <v/>
      </c>
      <c r="BA112" s="85" t="str">
        <f>IFERROR((TP_DATA[[#This Row],[D, bottom '[m']]]+#REF!)/(2*#REF!/1000),"")</f>
        <v/>
      </c>
      <c r="CQ112" s="85" t="str">
        <f>IFERROR(TOWER_DATA[[#This Row],[Bottom '[mLAT']]]-TOWER_DATA[[#This Row],[D, top '[m']]], "")</f>
        <v/>
      </c>
      <c r="CR112" s="85" t="str">
        <f>IFERROR(-(TOWER_DATA[[#This Row],[D, bottom '[m']]]-TOWER_DATA[[#This Row],[D, top '[m']]])/(TOWER_DATA[[#This Row],[Bottom '[mLAT']]]-TOWER_DATA[[#This Row],[Top '[mLAT']]]),"")</f>
        <v/>
      </c>
      <c r="CS112" s="85" t="str">
        <f t="shared" si="5"/>
        <v/>
      </c>
      <c r="CT112" s="85" t="str">
        <f>IFERROR((TOWER_DATA[[#This Row],[D, bottom '[m']]]+TOWER_DATA[[#This Row],[D, top '[m']]])/(2*TOWER_DATA[[#This Row],[t '[mm']]]/1000),"")</f>
        <v/>
      </c>
      <c r="CU112" s="85" t="str">
        <f>IFERROR((TOWER_DATA[[#This Row],[D, bottom '[m']]]+#REF!)/(2*#REF!/1000),"")</f>
        <v/>
      </c>
    </row>
    <row r="113" spans="8:99" x14ac:dyDescent="0.3">
      <c r="H113" s="85" t="str">
        <f>IFERROR(MP_DATA[[#This Row],[Bottom '[mLAT']]]-MP_DATA[[#This Row],[D, top '[m']]], "")</f>
        <v/>
      </c>
      <c r="I113" s="85" t="str">
        <f>IFERROR(-(MP_DATA[[#This Row],[D, bottom '[m']]]-MP_DATA[[#This Row],[D, top '[m']]])/(MP_DATA[[#This Row],[Bottom '[mLAT']]]-MP_DATA[[#This Row],[Top '[mLAT']]]),"")</f>
        <v/>
      </c>
      <c r="J113" s="85" t="str">
        <f t="shared" si="6"/>
        <v/>
      </c>
      <c r="K113" s="85" t="str">
        <f>IFERROR((MP_DATA[[#This Row],[D, bottom '[m']]]+MP_DATA[[#This Row],[D, top '[m']]])/(2*MP_DATA[[#This Row],[t '[mm']]]/1000),"")</f>
        <v/>
      </c>
      <c r="L113" s="85" t="str">
        <f>IFERROR((MP_DATA[[#This Row],[D, bottom '[m']]]+#REF!)/(2*#REF!/1000),"")</f>
        <v/>
      </c>
      <c r="AW113" s="85" t="str">
        <f>IFERROR(TP_DATA[[#This Row],[Bottom '[mLAT']]]-TP_DATA[[#This Row],[D, top '[m']]], "")</f>
        <v/>
      </c>
      <c r="AX113" s="85" t="str">
        <f>IFERROR(-(TP_DATA[[#This Row],[D, bottom '[m']]]-TP_DATA[[#This Row],[D, top '[m']]])/(TP_DATA[[#This Row],[Bottom '[mLAT']]]-TP_DATA[[#This Row],[Top '[mLAT']]]),"")</f>
        <v/>
      </c>
      <c r="AY113" s="85" t="str">
        <f t="shared" si="4"/>
        <v/>
      </c>
      <c r="AZ113" s="85" t="str">
        <f>IFERROR((TP_DATA[[#This Row],[D, bottom '[m']]]+TP_DATA[[#This Row],[D, top '[m']]])/(2*TP_DATA[[#This Row],[t '[mm']]]/1000),"")</f>
        <v/>
      </c>
      <c r="BA113" s="85" t="str">
        <f>IFERROR((TP_DATA[[#This Row],[D, bottom '[m']]]+#REF!)/(2*#REF!/1000),"")</f>
        <v/>
      </c>
      <c r="CQ113" s="85" t="str">
        <f>IFERROR(TOWER_DATA[[#This Row],[Bottom '[mLAT']]]-TOWER_DATA[[#This Row],[D, top '[m']]], "")</f>
        <v/>
      </c>
      <c r="CR113" s="85" t="str">
        <f>IFERROR(-(TOWER_DATA[[#This Row],[D, bottom '[m']]]-TOWER_DATA[[#This Row],[D, top '[m']]])/(TOWER_DATA[[#This Row],[Bottom '[mLAT']]]-TOWER_DATA[[#This Row],[Top '[mLAT']]]),"")</f>
        <v/>
      </c>
      <c r="CS113" s="85" t="str">
        <f t="shared" si="5"/>
        <v/>
      </c>
      <c r="CT113" s="85" t="str">
        <f>IFERROR((TOWER_DATA[[#This Row],[D, bottom '[m']]]+TOWER_DATA[[#This Row],[D, top '[m']]])/(2*TOWER_DATA[[#This Row],[t '[mm']]]/1000),"")</f>
        <v/>
      </c>
      <c r="CU113" s="85" t="str">
        <f>IFERROR((TOWER_DATA[[#This Row],[D, bottom '[m']]]+#REF!)/(2*#REF!/1000),"")</f>
        <v/>
      </c>
    </row>
    <row r="114" spans="8:99" x14ac:dyDescent="0.3">
      <c r="H114" s="85" t="str">
        <f>IFERROR(MP_DATA[[#This Row],[Bottom '[mLAT']]]-MP_DATA[[#This Row],[D, top '[m']]], "")</f>
        <v/>
      </c>
      <c r="I114" s="85" t="str">
        <f>IFERROR(-(MP_DATA[[#This Row],[D, bottom '[m']]]-MP_DATA[[#This Row],[D, top '[m']]])/(MP_DATA[[#This Row],[Bottom '[mLAT']]]-MP_DATA[[#This Row],[Top '[mLAT']]]),"")</f>
        <v/>
      </c>
      <c r="J114" s="85" t="str">
        <f t="shared" si="6"/>
        <v/>
      </c>
      <c r="K114" s="85" t="str">
        <f>IFERROR((MP_DATA[[#This Row],[D, bottom '[m']]]+MP_DATA[[#This Row],[D, top '[m']]])/(2*MP_DATA[[#This Row],[t '[mm']]]/1000),"")</f>
        <v/>
      </c>
      <c r="L114" s="85" t="str">
        <f>IFERROR((MP_DATA[[#This Row],[D, bottom '[m']]]+#REF!)/(2*#REF!/1000),"")</f>
        <v/>
      </c>
      <c r="AW114" s="85" t="str">
        <f>IFERROR(TP_DATA[[#This Row],[Bottom '[mLAT']]]-TP_DATA[[#This Row],[D, top '[m']]], "")</f>
        <v/>
      </c>
      <c r="AX114" s="85" t="str">
        <f>IFERROR(-(TP_DATA[[#This Row],[D, bottom '[m']]]-TP_DATA[[#This Row],[D, top '[m']]])/(TP_DATA[[#This Row],[Bottom '[mLAT']]]-TP_DATA[[#This Row],[Top '[mLAT']]]),"")</f>
        <v/>
      </c>
      <c r="AY114" s="85" t="str">
        <f t="shared" si="4"/>
        <v/>
      </c>
      <c r="AZ114" s="85" t="str">
        <f>IFERROR((TP_DATA[[#This Row],[D, bottom '[m']]]+TP_DATA[[#This Row],[D, top '[m']]])/(2*TP_DATA[[#This Row],[t '[mm']]]/1000),"")</f>
        <v/>
      </c>
      <c r="BA114" s="85" t="str">
        <f>IFERROR((TP_DATA[[#This Row],[D, bottom '[m']]]+#REF!)/(2*#REF!/1000),"")</f>
        <v/>
      </c>
      <c r="CQ114" s="85" t="str">
        <f>IFERROR(TOWER_DATA[[#This Row],[Bottom '[mLAT']]]-TOWER_DATA[[#This Row],[D, top '[m']]], "")</f>
        <v/>
      </c>
      <c r="CR114" s="85" t="str">
        <f>IFERROR(-(TOWER_DATA[[#This Row],[D, bottom '[m']]]-TOWER_DATA[[#This Row],[D, top '[m']]])/(TOWER_DATA[[#This Row],[Bottom '[mLAT']]]-TOWER_DATA[[#This Row],[Top '[mLAT']]]),"")</f>
        <v/>
      </c>
      <c r="CS114" s="85" t="str">
        <f t="shared" si="5"/>
        <v/>
      </c>
      <c r="CT114" s="85" t="str">
        <f>IFERROR((TOWER_DATA[[#This Row],[D, bottom '[m']]]+TOWER_DATA[[#This Row],[D, top '[m']]])/(2*TOWER_DATA[[#This Row],[t '[mm']]]/1000),"")</f>
        <v/>
      </c>
      <c r="CU114" s="85" t="str">
        <f>IFERROR((TOWER_DATA[[#This Row],[D, bottom '[m']]]+#REF!)/(2*#REF!/1000),"")</f>
        <v/>
      </c>
    </row>
    <row r="115" spans="8:99" x14ac:dyDescent="0.3">
      <c r="H115" s="85" t="str">
        <f>IFERROR(MP_DATA[[#This Row],[Bottom '[mLAT']]]-MP_DATA[[#This Row],[D, top '[m']]], "")</f>
        <v/>
      </c>
      <c r="I115" s="85" t="str">
        <f>IFERROR(-(MP_DATA[[#This Row],[D, bottom '[m']]]-MP_DATA[[#This Row],[D, top '[m']]])/(MP_DATA[[#This Row],[Bottom '[mLAT']]]-MP_DATA[[#This Row],[Top '[mLAT']]]),"")</f>
        <v/>
      </c>
      <c r="J115" s="85" t="str">
        <f t="shared" si="6"/>
        <v/>
      </c>
      <c r="K115" s="85" t="str">
        <f>IFERROR((MP_DATA[[#This Row],[D, bottom '[m']]]+MP_DATA[[#This Row],[D, top '[m']]])/(2*MP_DATA[[#This Row],[t '[mm']]]/1000),"")</f>
        <v/>
      </c>
      <c r="L115" s="85" t="str">
        <f>IFERROR((MP_DATA[[#This Row],[D, bottom '[m']]]+#REF!)/(2*#REF!/1000),"")</f>
        <v/>
      </c>
      <c r="AW115" s="85" t="str">
        <f>IFERROR(TP_DATA[[#This Row],[Bottom '[mLAT']]]-TP_DATA[[#This Row],[D, top '[m']]], "")</f>
        <v/>
      </c>
      <c r="AX115" s="85" t="str">
        <f>IFERROR(-(TP_DATA[[#This Row],[D, bottom '[m']]]-TP_DATA[[#This Row],[D, top '[m']]])/(TP_DATA[[#This Row],[Bottom '[mLAT']]]-TP_DATA[[#This Row],[Top '[mLAT']]]),"")</f>
        <v/>
      </c>
      <c r="AY115" s="85" t="str">
        <f t="shared" si="4"/>
        <v/>
      </c>
      <c r="AZ115" s="85" t="str">
        <f>IFERROR((TP_DATA[[#This Row],[D, bottom '[m']]]+TP_DATA[[#This Row],[D, top '[m']]])/(2*TP_DATA[[#This Row],[t '[mm']]]/1000),"")</f>
        <v/>
      </c>
      <c r="BA115" s="85" t="str">
        <f>IFERROR((TP_DATA[[#This Row],[D, bottom '[m']]]+#REF!)/(2*#REF!/1000),"")</f>
        <v/>
      </c>
      <c r="CQ115" s="85" t="str">
        <f>IFERROR(TOWER_DATA[[#This Row],[Bottom '[mLAT']]]-TOWER_DATA[[#This Row],[D, top '[m']]], "")</f>
        <v/>
      </c>
      <c r="CR115" s="85" t="str">
        <f>IFERROR(-(TOWER_DATA[[#This Row],[D, bottom '[m']]]-TOWER_DATA[[#This Row],[D, top '[m']]])/(TOWER_DATA[[#This Row],[Bottom '[mLAT']]]-TOWER_DATA[[#This Row],[Top '[mLAT']]]),"")</f>
        <v/>
      </c>
      <c r="CS115" s="85" t="str">
        <f t="shared" si="5"/>
        <v/>
      </c>
      <c r="CT115" s="85" t="str">
        <f>IFERROR((TOWER_DATA[[#This Row],[D, bottom '[m']]]+TOWER_DATA[[#This Row],[D, top '[m']]])/(2*TOWER_DATA[[#This Row],[t '[mm']]]/1000),"")</f>
        <v/>
      </c>
      <c r="CU115" s="85" t="str">
        <f>IFERROR((TOWER_DATA[[#This Row],[D, bottom '[m']]]+#REF!)/(2*#REF!/1000),"")</f>
        <v/>
      </c>
    </row>
    <row r="116" spans="8:99" x14ac:dyDescent="0.3">
      <c r="H116" s="85" t="str">
        <f>IFERROR(MP_DATA[[#This Row],[Bottom '[mLAT']]]-MP_DATA[[#This Row],[D, top '[m']]], "")</f>
        <v/>
      </c>
      <c r="I116" s="85" t="str">
        <f>IFERROR(-(MP_DATA[[#This Row],[D, bottom '[m']]]-MP_DATA[[#This Row],[D, top '[m']]])/(MP_DATA[[#This Row],[Bottom '[mLAT']]]-MP_DATA[[#This Row],[Top '[mLAT']]]),"")</f>
        <v/>
      </c>
      <c r="J116" s="85" t="str">
        <f t="shared" si="6"/>
        <v/>
      </c>
      <c r="K116" s="85" t="str">
        <f>IFERROR((MP_DATA[[#This Row],[D, bottom '[m']]]+MP_DATA[[#This Row],[D, top '[m']]])/(2*MP_DATA[[#This Row],[t '[mm']]]/1000),"")</f>
        <v/>
      </c>
      <c r="L116" s="85" t="str">
        <f>IFERROR((MP_DATA[[#This Row],[D, bottom '[m']]]+#REF!)/(2*#REF!/1000),"")</f>
        <v/>
      </c>
      <c r="AW116" s="85" t="str">
        <f>IFERROR(TP_DATA[[#This Row],[Bottom '[mLAT']]]-TP_DATA[[#This Row],[D, top '[m']]], "")</f>
        <v/>
      </c>
      <c r="AX116" s="85" t="str">
        <f>IFERROR(-(TP_DATA[[#This Row],[D, bottom '[m']]]-TP_DATA[[#This Row],[D, top '[m']]])/(TP_DATA[[#This Row],[Bottom '[mLAT']]]-TP_DATA[[#This Row],[Top '[mLAT']]]),"")</f>
        <v/>
      </c>
      <c r="AY116" s="85" t="str">
        <f t="shared" si="4"/>
        <v/>
      </c>
      <c r="AZ116" s="85" t="str">
        <f>IFERROR((TP_DATA[[#This Row],[D, bottom '[m']]]+TP_DATA[[#This Row],[D, top '[m']]])/(2*TP_DATA[[#This Row],[t '[mm']]]/1000),"")</f>
        <v/>
      </c>
      <c r="BA116" s="85" t="str">
        <f>IFERROR((TP_DATA[[#This Row],[D, bottom '[m']]]+#REF!)/(2*#REF!/1000),"")</f>
        <v/>
      </c>
      <c r="CQ116" s="85" t="str">
        <f>IFERROR(TOWER_DATA[[#This Row],[Bottom '[mLAT']]]-TOWER_DATA[[#This Row],[D, top '[m']]], "")</f>
        <v/>
      </c>
      <c r="CR116" s="85" t="str">
        <f>IFERROR(-(TOWER_DATA[[#This Row],[D, bottom '[m']]]-TOWER_DATA[[#This Row],[D, top '[m']]])/(TOWER_DATA[[#This Row],[Bottom '[mLAT']]]-TOWER_DATA[[#This Row],[Top '[mLAT']]]),"")</f>
        <v/>
      </c>
      <c r="CS116" s="85" t="str">
        <f t="shared" si="5"/>
        <v/>
      </c>
      <c r="CT116" s="85" t="str">
        <f>IFERROR((TOWER_DATA[[#This Row],[D, bottom '[m']]]+TOWER_DATA[[#This Row],[D, top '[m']]])/(2*TOWER_DATA[[#This Row],[t '[mm']]]/1000),"")</f>
        <v/>
      </c>
      <c r="CU116" s="85" t="str">
        <f>IFERROR((TOWER_DATA[[#This Row],[D, bottom '[m']]]+#REF!)/(2*#REF!/1000),"")</f>
        <v/>
      </c>
    </row>
    <row r="117" spans="8:99" x14ac:dyDescent="0.3">
      <c r="H117" s="85" t="str">
        <f>IFERROR(MP_DATA[[#This Row],[Bottom '[mLAT']]]-MP_DATA[[#This Row],[D, top '[m']]], "")</f>
        <v/>
      </c>
      <c r="I117" s="85" t="str">
        <f>IFERROR(-(MP_DATA[[#This Row],[D, bottom '[m']]]-MP_DATA[[#This Row],[D, top '[m']]])/(MP_DATA[[#This Row],[Bottom '[mLAT']]]-MP_DATA[[#This Row],[Top '[mLAT']]]),"")</f>
        <v/>
      </c>
      <c r="J117" s="85" t="str">
        <f t="shared" si="6"/>
        <v/>
      </c>
      <c r="K117" s="85" t="str">
        <f>IFERROR((MP_DATA[[#This Row],[D, bottom '[m']]]+MP_DATA[[#This Row],[D, top '[m']]])/(2*MP_DATA[[#This Row],[t '[mm']]]/1000),"")</f>
        <v/>
      </c>
      <c r="L117" s="85" t="str">
        <f>IFERROR((MP_DATA[[#This Row],[D, bottom '[m']]]+#REF!)/(2*#REF!/1000),"")</f>
        <v/>
      </c>
      <c r="AW117" s="85" t="str">
        <f>IFERROR(TP_DATA[[#This Row],[Bottom '[mLAT']]]-TP_DATA[[#This Row],[D, top '[m']]], "")</f>
        <v/>
      </c>
      <c r="AX117" s="85" t="str">
        <f>IFERROR(-(TP_DATA[[#This Row],[D, bottom '[m']]]-TP_DATA[[#This Row],[D, top '[m']]])/(TP_DATA[[#This Row],[Bottom '[mLAT']]]-TP_DATA[[#This Row],[Top '[mLAT']]]),"")</f>
        <v/>
      </c>
      <c r="AY117" s="85" t="str">
        <f t="shared" si="4"/>
        <v/>
      </c>
      <c r="AZ117" s="85" t="str">
        <f>IFERROR((TP_DATA[[#This Row],[D, bottom '[m']]]+TP_DATA[[#This Row],[D, top '[m']]])/(2*TP_DATA[[#This Row],[t '[mm']]]/1000),"")</f>
        <v/>
      </c>
      <c r="BA117" s="85" t="str">
        <f>IFERROR((TP_DATA[[#This Row],[D, bottom '[m']]]+#REF!)/(2*#REF!/1000),"")</f>
        <v/>
      </c>
      <c r="CQ117" s="85" t="str">
        <f>IFERROR(TOWER_DATA[[#This Row],[Bottom '[mLAT']]]-TOWER_DATA[[#This Row],[D, top '[m']]], "")</f>
        <v/>
      </c>
      <c r="CR117" s="85" t="str">
        <f>IFERROR(-(TOWER_DATA[[#This Row],[D, bottom '[m']]]-TOWER_DATA[[#This Row],[D, top '[m']]])/(TOWER_DATA[[#This Row],[Bottom '[mLAT']]]-TOWER_DATA[[#This Row],[Top '[mLAT']]]),"")</f>
        <v/>
      </c>
      <c r="CS117" s="85" t="str">
        <f t="shared" si="5"/>
        <v/>
      </c>
      <c r="CT117" s="85" t="str">
        <f>IFERROR((TOWER_DATA[[#This Row],[D, bottom '[m']]]+TOWER_DATA[[#This Row],[D, top '[m']]])/(2*TOWER_DATA[[#This Row],[t '[mm']]]/1000),"")</f>
        <v/>
      </c>
      <c r="CU117" s="85" t="str">
        <f>IFERROR((TOWER_DATA[[#This Row],[D, bottom '[m']]]+#REF!)/(2*#REF!/1000),"")</f>
        <v/>
      </c>
    </row>
    <row r="118" spans="8:99" x14ac:dyDescent="0.3">
      <c r="H118" s="85" t="str">
        <f>IFERROR(MP_DATA[[#This Row],[Bottom '[mLAT']]]-MP_DATA[[#This Row],[D, top '[m']]], "")</f>
        <v/>
      </c>
      <c r="I118" s="85" t="str">
        <f>IFERROR(-(MP_DATA[[#This Row],[D, bottom '[m']]]-MP_DATA[[#This Row],[D, top '[m']]])/(MP_DATA[[#This Row],[Bottom '[mLAT']]]-MP_DATA[[#This Row],[Top '[mLAT']]]),"")</f>
        <v/>
      </c>
      <c r="J118" s="85" t="str">
        <f t="shared" si="6"/>
        <v/>
      </c>
      <c r="K118" s="85" t="str">
        <f>IFERROR((MP_DATA[[#This Row],[D, bottom '[m']]]+MP_DATA[[#This Row],[D, top '[m']]])/(2*MP_DATA[[#This Row],[t '[mm']]]/1000),"")</f>
        <v/>
      </c>
      <c r="L118" s="85" t="str">
        <f>IFERROR((MP_DATA[[#This Row],[D, bottom '[m']]]+#REF!)/(2*#REF!/1000),"")</f>
        <v/>
      </c>
      <c r="AW118" s="85" t="str">
        <f>IFERROR(TP_DATA[[#This Row],[Bottom '[mLAT']]]-TP_DATA[[#This Row],[D, top '[m']]], "")</f>
        <v/>
      </c>
      <c r="AX118" s="85" t="str">
        <f>IFERROR(-(TP_DATA[[#This Row],[D, bottom '[m']]]-TP_DATA[[#This Row],[D, top '[m']]])/(TP_DATA[[#This Row],[Bottom '[mLAT']]]-TP_DATA[[#This Row],[Top '[mLAT']]]),"")</f>
        <v/>
      </c>
      <c r="AY118" s="85" t="str">
        <f t="shared" si="4"/>
        <v/>
      </c>
      <c r="AZ118" s="85" t="str">
        <f>IFERROR((TP_DATA[[#This Row],[D, bottom '[m']]]+TP_DATA[[#This Row],[D, top '[m']]])/(2*TP_DATA[[#This Row],[t '[mm']]]/1000),"")</f>
        <v/>
      </c>
      <c r="BA118" s="85" t="str">
        <f>IFERROR((TP_DATA[[#This Row],[D, bottom '[m']]]+#REF!)/(2*#REF!/1000),"")</f>
        <v/>
      </c>
      <c r="CQ118" s="85" t="str">
        <f>IFERROR(TOWER_DATA[[#This Row],[Bottom '[mLAT']]]-TOWER_DATA[[#This Row],[D, top '[m']]], "")</f>
        <v/>
      </c>
      <c r="CR118" s="85" t="str">
        <f>IFERROR(-(TOWER_DATA[[#This Row],[D, bottom '[m']]]-TOWER_DATA[[#This Row],[D, top '[m']]])/(TOWER_DATA[[#This Row],[Bottom '[mLAT']]]-TOWER_DATA[[#This Row],[Top '[mLAT']]]),"")</f>
        <v/>
      </c>
      <c r="CS118" s="85" t="str">
        <f t="shared" si="5"/>
        <v/>
      </c>
      <c r="CT118" s="85" t="str">
        <f>IFERROR((TOWER_DATA[[#This Row],[D, bottom '[m']]]+TOWER_DATA[[#This Row],[D, top '[m']]])/(2*TOWER_DATA[[#This Row],[t '[mm']]]/1000),"")</f>
        <v/>
      </c>
      <c r="CU118" s="85" t="str">
        <f>IFERROR((TOWER_DATA[[#This Row],[D, bottom '[m']]]+#REF!)/(2*#REF!/1000),"")</f>
        <v/>
      </c>
    </row>
    <row r="119" spans="8:99" x14ac:dyDescent="0.3">
      <c r="H119" s="85" t="str">
        <f>IFERROR(MP_DATA[[#This Row],[Bottom '[mLAT']]]-MP_DATA[[#This Row],[D, top '[m']]], "")</f>
        <v/>
      </c>
      <c r="I119" s="85" t="str">
        <f>IFERROR(-(MP_DATA[[#This Row],[D, bottom '[m']]]-MP_DATA[[#This Row],[D, top '[m']]])/(MP_DATA[[#This Row],[Bottom '[mLAT']]]-MP_DATA[[#This Row],[Top '[mLAT']]]),"")</f>
        <v/>
      </c>
      <c r="J119" s="85" t="str">
        <f t="shared" si="6"/>
        <v/>
      </c>
      <c r="K119" s="85" t="str">
        <f>IFERROR((MP_DATA[[#This Row],[D, bottom '[m']]]+MP_DATA[[#This Row],[D, top '[m']]])/(2*MP_DATA[[#This Row],[t '[mm']]]/1000),"")</f>
        <v/>
      </c>
      <c r="L119" s="85" t="str">
        <f>IFERROR((MP_DATA[[#This Row],[D, bottom '[m']]]+#REF!)/(2*#REF!/1000),"")</f>
        <v/>
      </c>
      <c r="AW119" s="85" t="str">
        <f>IFERROR(TP_DATA[[#This Row],[Bottom '[mLAT']]]-TP_DATA[[#This Row],[D, top '[m']]], "")</f>
        <v/>
      </c>
      <c r="AX119" s="85" t="str">
        <f>IFERROR(-(TP_DATA[[#This Row],[D, bottom '[m']]]-TP_DATA[[#This Row],[D, top '[m']]])/(TP_DATA[[#This Row],[Bottom '[mLAT']]]-TP_DATA[[#This Row],[Top '[mLAT']]]),"")</f>
        <v/>
      </c>
      <c r="AY119" s="85" t="str">
        <f t="shared" si="4"/>
        <v/>
      </c>
      <c r="AZ119" s="85" t="str">
        <f>IFERROR((TP_DATA[[#This Row],[D, bottom '[m']]]+TP_DATA[[#This Row],[D, top '[m']]])/(2*TP_DATA[[#This Row],[t '[mm']]]/1000),"")</f>
        <v/>
      </c>
      <c r="BA119" s="85" t="str">
        <f>IFERROR((TP_DATA[[#This Row],[D, bottom '[m']]]+#REF!)/(2*#REF!/1000),"")</f>
        <v/>
      </c>
      <c r="CQ119" s="85" t="str">
        <f>IFERROR(TOWER_DATA[[#This Row],[Bottom '[mLAT']]]-TOWER_DATA[[#This Row],[D, top '[m']]], "")</f>
        <v/>
      </c>
      <c r="CR119" s="85" t="str">
        <f>IFERROR(-(TOWER_DATA[[#This Row],[D, bottom '[m']]]-TOWER_DATA[[#This Row],[D, top '[m']]])/(TOWER_DATA[[#This Row],[Bottom '[mLAT']]]-TOWER_DATA[[#This Row],[Top '[mLAT']]]),"")</f>
        <v/>
      </c>
      <c r="CS119" s="85" t="str">
        <f t="shared" si="5"/>
        <v/>
      </c>
      <c r="CT119" s="85" t="str">
        <f>IFERROR((TOWER_DATA[[#This Row],[D, bottom '[m']]]+TOWER_DATA[[#This Row],[D, top '[m']]])/(2*TOWER_DATA[[#This Row],[t '[mm']]]/1000),"")</f>
        <v/>
      </c>
      <c r="CU119" s="85" t="str">
        <f>IFERROR((TOWER_DATA[[#This Row],[D, bottom '[m']]]+#REF!)/(2*#REF!/1000),"")</f>
        <v/>
      </c>
    </row>
    <row r="120" spans="8:99" x14ac:dyDescent="0.3">
      <c r="H120" s="85" t="str">
        <f>IFERROR(MP_DATA[[#This Row],[Bottom '[mLAT']]]-MP_DATA[[#This Row],[D, top '[m']]], "")</f>
        <v/>
      </c>
      <c r="I120" s="85" t="str">
        <f>IFERROR(-(MP_DATA[[#This Row],[D, bottom '[m']]]-MP_DATA[[#This Row],[D, top '[m']]])/(MP_DATA[[#This Row],[Bottom '[mLAT']]]-MP_DATA[[#This Row],[Top '[mLAT']]]),"")</f>
        <v/>
      </c>
      <c r="J120" s="85" t="str">
        <f t="shared" si="6"/>
        <v/>
      </c>
      <c r="K120" s="85" t="str">
        <f>IFERROR((MP_DATA[[#This Row],[D, bottom '[m']]]+MP_DATA[[#This Row],[D, top '[m']]])/(2*MP_DATA[[#This Row],[t '[mm']]]/1000),"")</f>
        <v/>
      </c>
      <c r="L120" s="85" t="str">
        <f>IFERROR((MP_DATA[[#This Row],[D, bottom '[m']]]+#REF!)/(2*#REF!/1000),"")</f>
        <v/>
      </c>
      <c r="AW120" s="85" t="str">
        <f>IFERROR(TP_DATA[[#This Row],[Bottom '[mLAT']]]-TP_DATA[[#This Row],[D, top '[m']]], "")</f>
        <v/>
      </c>
      <c r="AX120" s="85" t="str">
        <f>IFERROR(-(TP_DATA[[#This Row],[D, bottom '[m']]]-TP_DATA[[#This Row],[D, top '[m']]])/(TP_DATA[[#This Row],[Bottom '[mLAT']]]-TP_DATA[[#This Row],[Top '[mLAT']]]),"")</f>
        <v/>
      </c>
      <c r="AY120" s="85" t="str">
        <f t="shared" si="4"/>
        <v/>
      </c>
      <c r="AZ120" s="85" t="str">
        <f>IFERROR((TP_DATA[[#This Row],[D, bottom '[m']]]+TP_DATA[[#This Row],[D, top '[m']]])/(2*TP_DATA[[#This Row],[t '[mm']]]/1000),"")</f>
        <v/>
      </c>
      <c r="BA120" s="85" t="str">
        <f>IFERROR((TP_DATA[[#This Row],[D, bottom '[m']]]+#REF!)/(2*#REF!/1000),"")</f>
        <v/>
      </c>
      <c r="CQ120" s="85" t="str">
        <f>IFERROR(TOWER_DATA[[#This Row],[Bottom '[mLAT']]]-TOWER_DATA[[#This Row],[D, top '[m']]], "")</f>
        <v/>
      </c>
      <c r="CR120" s="85" t="str">
        <f>IFERROR(-(TOWER_DATA[[#This Row],[D, bottom '[m']]]-TOWER_DATA[[#This Row],[D, top '[m']]])/(TOWER_DATA[[#This Row],[Bottom '[mLAT']]]-TOWER_DATA[[#This Row],[Top '[mLAT']]]),"")</f>
        <v/>
      </c>
      <c r="CS120" s="85" t="str">
        <f t="shared" si="5"/>
        <v/>
      </c>
      <c r="CT120" s="85" t="str">
        <f>IFERROR((TOWER_DATA[[#This Row],[D, bottom '[m']]]+TOWER_DATA[[#This Row],[D, top '[m']]])/(2*TOWER_DATA[[#This Row],[t '[mm']]]/1000),"")</f>
        <v/>
      </c>
      <c r="CU120" s="85" t="str">
        <f>IFERROR((TOWER_DATA[[#This Row],[D, bottom '[m']]]+#REF!)/(2*#REF!/1000),"")</f>
        <v/>
      </c>
    </row>
    <row r="121" spans="8:99" x14ac:dyDescent="0.3">
      <c r="H121" s="85" t="str">
        <f>IFERROR(MP_DATA[[#This Row],[Bottom '[mLAT']]]-MP_DATA[[#This Row],[D, top '[m']]], "")</f>
        <v/>
      </c>
      <c r="I121" s="85" t="str">
        <f>IFERROR(-(MP_DATA[[#This Row],[D, bottom '[m']]]-MP_DATA[[#This Row],[D, top '[m']]])/(MP_DATA[[#This Row],[Bottom '[mLAT']]]-MP_DATA[[#This Row],[Top '[mLAT']]]),"")</f>
        <v/>
      </c>
      <c r="J121" s="85" t="str">
        <f t="shared" si="6"/>
        <v/>
      </c>
      <c r="K121" s="85" t="str">
        <f>IFERROR((MP_DATA[[#This Row],[D, bottom '[m']]]+MP_DATA[[#This Row],[D, top '[m']]])/(2*MP_DATA[[#This Row],[t '[mm']]]/1000),"")</f>
        <v/>
      </c>
      <c r="L121" s="85" t="str">
        <f>IFERROR((MP_DATA[[#This Row],[D, bottom '[m']]]+#REF!)/(2*#REF!/1000),"")</f>
        <v/>
      </c>
      <c r="AW121" s="85" t="str">
        <f>IFERROR(TP_DATA[[#This Row],[Bottom '[mLAT']]]-TP_DATA[[#This Row],[D, top '[m']]], "")</f>
        <v/>
      </c>
      <c r="AX121" s="85" t="str">
        <f>IFERROR(-(TP_DATA[[#This Row],[D, bottom '[m']]]-TP_DATA[[#This Row],[D, top '[m']]])/(TP_DATA[[#This Row],[Bottom '[mLAT']]]-TP_DATA[[#This Row],[Top '[mLAT']]]),"")</f>
        <v/>
      </c>
      <c r="AY121" s="85" t="str">
        <f t="shared" si="4"/>
        <v/>
      </c>
      <c r="AZ121" s="85" t="str">
        <f>IFERROR((TP_DATA[[#This Row],[D, bottom '[m']]]+TP_DATA[[#This Row],[D, top '[m']]])/(2*TP_DATA[[#This Row],[t '[mm']]]/1000),"")</f>
        <v/>
      </c>
      <c r="BA121" s="85" t="str">
        <f>IFERROR((TP_DATA[[#This Row],[D, bottom '[m']]]+#REF!)/(2*#REF!/1000),"")</f>
        <v/>
      </c>
      <c r="CQ121" s="85" t="str">
        <f>IFERROR(TOWER_DATA[[#This Row],[Bottom '[mLAT']]]-TOWER_DATA[[#This Row],[D, top '[m']]], "")</f>
        <v/>
      </c>
      <c r="CR121" s="85" t="str">
        <f>IFERROR(-(TOWER_DATA[[#This Row],[D, bottom '[m']]]-TOWER_DATA[[#This Row],[D, top '[m']]])/(TOWER_DATA[[#This Row],[Bottom '[mLAT']]]-TOWER_DATA[[#This Row],[Top '[mLAT']]]),"")</f>
        <v/>
      </c>
      <c r="CS121" s="85" t="str">
        <f t="shared" si="5"/>
        <v/>
      </c>
      <c r="CT121" s="85" t="str">
        <f>IFERROR((TOWER_DATA[[#This Row],[D, bottom '[m']]]+TOWER_DATA[[#This Row],[D, top '[m']]])/(2*TOWER_DATA[[#This Row],[t '[mm']]]/1000),"")</f>
        <v/>
      </c>
      <c r="CU121" s="85" t="str">
        <f>IFERROR((TOWER_DATA[[#This Row],[D, bottom '[m']]]+#REF!)/(2*#REF!/1000),"")</f>
        <v/>
      </c>
    </row>
    <row r="122" spans="8:99" x14ac:dyDescent="0.3">
      <c r="H122" s="85" t="str">
        <f>IFERROR(MP_DATA[[#This Row],[Bottom '[mLAT']]]-MP_DATA[[#This Row],[D, top '[m']]], "")</f>
        <v/>
      </c>
      <c r="I122" s="85" t="str">
        <f>IFERROR(-(MP_DATA[[#This Row],[D, bottom '[m']]]-MP_DATA[[#This Row],[D, top '[m']]])/(MP_DATA[[#This Row],[Bottom '[mLAT']]]-MP_DATA[[#This Row],[Top '[mLAT']]]),"")</f>
        <v/>
      </c>
      <c r="J122" s="85" t="str">
        <f t="shared" si="6"/>
        <v/>
      </c>
      <c r="K122" s="85" t="str">
        <f>IFERROR((MP_DATA[[#This Row],[D, bottom '[m']]]+MP_DATA[[#This Row],[D, top '[m']]])/(2*MP_DATA[[#This Row],[t '[mm']]]/1000),"")</f>
        <v/>
      </c>
      <c r="L122" s="85" t="str">
        <f>IFERROR((MP_DATA[[#This Row],[D, bottom '[m']]]+#REF!)/(2*#REF!/1000),"")</f>
        <v/>
      </c>
      <c r="AW122" s="85" t="str">
        <f>IFERROR(TP_DATA[[#This Row],[Bottom '[mLAT']]]-TP_DATA[[#This Row],[D, top '[m']]], "")</f>
        <v/>
      </c>
      <c r="AX122" s="85" t="str">
        <f>IFERROR(-(TP_DATA[[#This Row],[D, bottom '[m']]]-TP_DATA[[#This Row],[D, top '[m']]])/(TP_DATA[[#This Row],[Bottom '[mLAT']]]-TP_DATA[[#This Row],[Top '[mLAT']]]),"")</f>
        <v/>
      </c>
      <c r="AY122" s="85" t="str">
        <f t="shared" si="4"/>
        <v/>
      </c>
      <c r="AZ122" s="85" t="str">
        <f>IFERROR((TP_DATA[[#This Row],[D, bottom '[m']]]+TP_DATA[[#This Row],[D, top '[m']]])/(2*TP_DATA[[#This Row],[t '[mm']]]/1000),"")</f>
        <v/>
      </c>
      <c r="BA122" s="85" t="str">
        <f>IFERROR((TP_DATA[[#This Row],[D, bottom '[m']]]+#REF!)/(2*#REF!/1000),"")</f>
        <v/>
      </c>
      <c r="CQ122" s="85" t="str">
        <f>IFERROR(TOWER_DATA[[#This Row],[Bottom '[mLAT']]]-TOWER_DATA[[#This Row],[D, top '[m']]], "")</f>
        <v/>
      </c>
      <c r="CR122" s="85" t="str">
        <f>IFERROR(-(TOWER_DATA[[#This Row],[D, bottom '[m']]]-TOWER_DATA[[#This Row],[D, top '[m']]])/(TOWER_DATA[[#This Row],[Bottom '[mLAT']]]-TOWER_DATA[[#This Row],[Top '[mLAT']]]),"")</f>
        <v/>
      </c>
      <c r="CS122" s="85" t="str">
        <f t="shared" si="5"/>
        <v/>
      </c>
      <c r="CT122" s="85" t="str">
        <f>IFERROR((TOWER_DATA[[#This Row],[D, bottom '[m']]]+TOWER_DATA[[#This Row],[D, top '[m']]])/(2*TOWER_DATA[[#This Row],[t '[mm']]]/1000),"")</f>
        <v/>
      </c>
      <c r="CU122" s="85" t="str">
        <f>IFERROR((TOWER_DATA[[#This Row],[D, bottom '[m']]]+#REF!)/(2*#REF!/1000),"")</f>
        <v/>
      </c>
    </row>
    <row r="123" spans="8:99" x14ac:dyDescent="0.3">
      <c r="H123" s="85" t="str">
        <f>IFERROR(MP_DATA[[#This Row],[Bottom '[mLAT']]]-MP_DATA[[#This Row],[D, top '[m']]], "")</f>
        <v/>
      </c>
      <c r="I123" s="85" t="str">
        <f>IFERROR(-(MP_DATA[[#This Row],[D, bottom '[m']]]-MP_DATA[[#This Row],[D, top '[m']]])/(MP_DATA[[#This Row],[Bottom '[mLAT']]]-MP_DATA[[#This Row],[Top '[mLAT']]]),"")</f>
        <v/>
      </c>
      <c r="J123" s="85" t="str">
        <f t="shared" si="6"/>
        <v/>
      </c>
      <c r="K123" s="85" t="str">
        <f>IFERROR((MP_DATA[[#This Row],[D, bottom '[m']]]+MP_DATA[[#This Row],[D, top '[m']]])/(2*MP_DATA[[#This Row],[t '[mm']]]/1000),"")</f>
        <v/>
      </c>
      <c r="L123" s="85" t="str">
        <f>IFERROR((MP_DATA[[#This Row],[D, bottom '[m']]]+#REF!)/(2*#REF!/1000),"")</f>
        <v/>
      </c>
      <c r="AW123" s="85" t="str">
        <f>IFERROR(TP_DATA[[#This Row],[Bottom '[mLAT']]]-TP_DATA[[#This Row],[D, top '[m']]], "")</f>
        <v/>
      </c>
      <c r="AX123" s="85" t="str">
        <f>IFERROR(-(TP_DATA[[#This Row],[D, bottom '[m']]]-TP_DATA[[#This Row],[D, top '[m']]])/(TP_DATA[[#This Row],[Bottom '[mLAT']]]-TP_DATA[[#This Row],[Top '[mLAT']]]),"")</f>
        <v/>
      </c>
      <c r="AY123" s="85" t="str">
        <f t="shared" si="4"/>
        <v/>
      </c>
      <c r="AZ123" s="85" t="str">
        <f>IFERROR((TP_DATA[[#This Row],[D, bottom '[m']]]+TP_DATA[[#This Row],[D, top '[m']]])/(2*TP_DATA[[#This Row],[t '[mm']]]/1000),"")</f>
        <v/>
      </c>
      <c r="BA123" s="85" t="str">
        <f>IFERROR((TP_DATA[[#This Row],[D, bottom '[m']]]+#REF!)/(2*#REF!/1000),"")</f>
        <v/>
      </c>
      <c r="CQ123" s="85" t="str">
        <f>IFERROR(TOWER_DATA[[#This Row],[Bottom '[mLAT']]]-TOWER_DATA[[#This Row],[D, top '[m']]], "")</f>
        <v/>
      </c>
      <c r="CR123" s="85" t="str">
        <f>IFERROR(-(TOWER_DATA[[#This Row],[D, bottom '[m']]]-TOWER_DATA[[#This Row],[D, top '[m']]])/(TOWER_DATA[[#This Row],[Bottom '[mLAT']]]-TOWER_DATA[[#This Row],[Top '[mLAT']]]),"")</f>
        <v/>
      </c>
      <c r="CS123" s="85" t="str">
        <f t="shared" si="5"/>
        <v/>
      </c>
      <c r="CT123" s="85" t="str">
        <f>IFERROR((TOWER_DATA[[#This Row],[D, bottom '[m']]]+TOWER_DATA[[#This Row],[D, top '[m']]])/(2*TOWER_DATA[[#This Row],[t '[mm']]]/1000),"")</f>
        <v/>
      </c>
      <c r="CU123" s="85" t="str">
        <f>IFERROR((TOWER_DATA[[#This Row],[D, bottom '[m']]]+#REF!)/(2*#REF!/1000),"")</f>
        <v/>
      </c>
    </row>
    <row r="124" spans="8:99" x14ac:dyDescent="0.3">
      <c r="H124" s="85" t="str">
        <f>IFERROR(MP_DATA[[#This Row],[Bottom '[mLAT']]]-MP_DATA[[#This Row],[D, top '[m']]], "")</f>
        <v/>
      </c>
      <c r="I124" s="85" t="str">
        <f>IFERROR(-(MP_DATA[[#This Row],[D, bottom '[m']]]-MP_DATA[[#This Row],[D, top '[m']]])/(MP_DATA[[#This Row],[Bottom '[mLAT']]]-MP_DATA[[#This Row],[Top '[mLAT']]]),"")</f>
        <v/>
      </c>
      <c r="J124" s="85" t="str">
        <f t="shared" si="6"/>
        <v/>
      </c>
      <c r="K124" s="85" t="str">
        <f>IFERROR((MP_DATA[[#This Row],[D, bottom '[m']]]+MP_DATA[[#This Row],[D, top '[m']]])/(2*MP_DATA[[#This Row],[t '[mm']]]/1000),"")</f>
        <v/>
      </c>
      <c r="L124" s="85" t="str">
        <f>IFERROR((MP_DATA[[#This Row],[D, bottom '[m']]]+#REF!)/(2*#REF!/1000),"")</f>
        <v/>
      </c>
      <c r="AW124" s="85" t="str">
        <f>IFERROR(TP_DATA[[#This Row],[Bottom '[mLAT']]]-TP_DATA[[#This Row],[D, top '[m']]], "")</f>
        <v/>
      </c>
      <c r="AX124" s="85" t="str">
        <f>IFERROR(-(TP_DATA[[#This Row],[D, bottom '[m']]]-TP_DATA[[#This Row],[D, top '[m']]])/(TP_DATA[[#This Row],[Bottom '[mLAT']]]-TP_DATA[[#This Row],[Top '[mLAT']]]),"")</f>
        <v/>
      </c>
      <c r="AY124" s="85" t="str">
        <f t="shared" si="4"/>
        <v/>
      </c>
      <c r="AZ124" s="85" t="str">
        <f>IFERROR((TP_DATA[[#This Row],[D, bottom '[m']]]+TP_DATA[[#This Row],[D, top '[m']]])/(2*TP_DATA[[#This Row],[t '[mm']]]/1000),"")</f>
        <v/>
      </c>
      <c r="BA124" s="85" t="str">
        <f>IFERROR((TP_DATA[[#This Row],[D, bottom '[m']]]+#REF!)/(2*#REF!/1000),"")</f>
        <v/>
      </c>
      <c r="CQ124" s="85" t="str">
        <f>IFERROR(TOWER_DATA[[#This Row],[Bottom '[mLAT']]]-TOWER_DATA[[#This Row],[D, top '[m']]], "")</f>
        <v/>
      </c>
      <c r="CR124" s="85" t="str">
        <f>IFERROR(-(TOWER_DATA[[#This Row],[D, bottom '[m']]]-TOWER_DATA[[#This Row],[D, top '[m']]])/(TOWER_DATA[[#This Row],[Bottom '[mLAT']]]-TOWER_DATA[[#This Row],[Top '[mLAT']]]),"")</f>
        <v/>
      </c>
      <c r="CS124" s="85" t="str">
        <f t="shared" si="5"/>
        <v/>
      </c>
      <c r="CT124" s="85" t="str">
        <f>IFERROR((TOWER_DATA[[#This Row],[D, bottom '[m']]]+TOWER_DATA[[#This Row],[D, top '[m']]])/(2*TOWER_DATA[[#This Row],[t '[mm']]]/1000),"")</f>
        <v/>
      </c>
      <c r="CU124" s="85" t="str">
        <f>IFERROR((TOWER_DATA[[#This Row],[D, bottom '[m']]]+#REF!)/(2*#REF!/1000),"")</f>
        <v/>
      </c>
    </row>
    <row r="125" spans="8:99" x14ac:dyDescent="0.3">
      <c r="H125" s="85" t="str">
        <f>IFERROR(MP_DATA[[#This Row],[Bottom '[mLAT']]]-MP_DATA[[#This Row],[D, top '[m']]], "")</f>
        <v/>
      </c>
      <c r="I125" s="85" t="str">
        <f>IFERROR(-(MP_DATA[[#This Row],[D, bottom '[m']]]-MP_DATA[[#This Row],[D, top '[m']]])/(MP_DATA[[#This Row],[Bottom '[mLAT']]]-MP_DATA[[#This Row],[Top '[mLAT']]]),"")</f>
        <v/>
      </c>
      <c r="J125" s="85" t="str">
        <f t="shared" si="6"/>
        <v/>
      </c>
      <c r="K125" s="85" t="str">
        <f>IFERROR((MP_DATA[[#This Row],[D, bottom '[m']]]+MP_DATA[[#This Row],[D, top '[m']]])/(2*MP_DATA[[#This Row],[t '[mm']]]/1000),"")</f>
        <v/>
      </c>
      <c r="L125" s="85" t="str">
        <f>IFERROR((MP_DATA[[#This Row],[D, bottom '[m']]]+#REF!)/(2*#REF!/1000),"")</f>
        <v/>
      </c>
      <c r="AW125" s="85" t="str">
        <f>IFERROR(TP_DATA[[#This Row],[Bottom '[mLAT']]]-TP_DATA[[#This Row],[D, top '[m']]], "")</f>
        <v/>
      </c>
      <c r="AX125" s="85" t="str">
        <f>IFERROR(-(TP_DATA[[#This Row],[D, bottom '[m']]]-TP_DATA[[#This Row],[D, top '[m']]])/(TP_DATA[[#This Row],[Bottom '[mLAT']]]-TP_DATA[[#This Row],[Top '[mLAT']]]),"")</f>
        <v/>
      </c>
      <c r="AY125" s="85" t="str">
        <f t="shared" si="4"/>
        <v/>
      </c>
      <c r="AZ125" s="85" t="str">
        <f>IFERROR((TP_DATA[[#This Row],[D, bottom '[m']]]+TP_DATA[[#This Row],[D, top '[m']]])/(2*TP_DATA[[#This Row],[t '[mm']]]/1000),"")</f>
        <v/>
      </c>
      <c r="BA125" s="85" t="str">
        <f>IFERROR((TP_DATA[[#This Row],[D, bottom '[m']]]+#REF!)/(2*#REF!/1000),"")</f>
        <v/>
      </c>
      <c r="CQ125" s="85" t="str">
        <f>IFERROR(TOWER_DATA[[#This Row],[Bottom '[mLAT']]]-TOWER_DATA[[#This Row],[D, top '[m']]], "")</f>
        <v/>
      </c>
      <c r="CR125" s="85" t="str">
        <f>IFERROR(-(TOWER_DATA[[#This Row],[D, bottom '[m']]]-TOWER_DATA[[#This Row],[D, top '[m']]])/(TOWER_DATA[[#This Row],[Bottom '[mLAT']]]-TOWER_DATA[[#This Row],[Top '[mLAT']]]),"")</f>
        <v/>
      </c>
      <c r="CS125" s="85" t="str">
        <f t="shared" si="5"/>
        <v/>
      </c>
      <c r="CT125" s="85" t="str">
        <f>IFERROR((TOWER_DATA[[#This Row],[D, bottom '[m']]]+TOWER_DATA[[#This Row],[D, top '[m']]])/(2*TOWER_DATA[[#This Row],[t '[mm']]]/1000),"")</f>
        <v/>
      </c>
      <c r="CU125" s="85" t="str">
        <f>IFERROR((TOWER_DATA[[#This Row],[D, bottom '[m']]]+#REF!)/(2*#REF!/1000),"")</f>
        <v/>
      </c>
    </row>
    <row r="126" spans="8:99" x14ac:dyDescent="0.3">
      <c r="H126" s="85" t="str">
        <f>IFERROR(MP_DATA[[#This Row],[Bottom '[mLAT']]]-MP_DATA[[#This Row],[D, top '[m']]], "")</f>
        <v/>
      </c>
      <c r="I126" s="85" t="str">
        <f>IFERROR(-(MP_DATA[[#This Row],[D, bottom '[m']]]-MP_DATA[[#This Row],[D, top '[m']]])/(MP_DATA[[#This Row],[Bottom '[mLAT']]]-MP_DATA[[#This Row],[Top '[mLAT']]]),"")</f>
        <v/>
      </c>
      <c r="J126" s="85" t="str">
        <f t="shared" si="6"/>
        <v/>
      </c>
      <c r="K126" s="85" t="str">
        <f>IFERROR((MP_DATA[[#This Row],[D, bottom '[m']]]+MP_DATA[[#This Row],[D, top '[m']]])/(2*MP_DATA[[#This Row],[t '[mm']]]/1000),"")</f>
        <v/>
      </c>
      <c r="L126" s="85" t="str">
        <f>IFERROR((MP_DATA[[#This Row],[D, bottom '[m']]]+#REF!)/(2*#REF!/1000),"")</f>
        <v/>
      </c>
      <c r="AW126" s="85" t="str">
        <f>IFERROR(TP_DATA[[#This Row],[Bottom '[mLAT']]]-TP_DATA[[#This Row],[D, top '[m']]], "")</f>
        <v/>
      </c>
      <c r="AX126" s="85" t="str">
        <f>IFERROR(-(TP_DATA[[#This Row],[D, bottom '[m']]]-TP_DATA[[#This Row],[D, top '[m']]])/(TP_DATA[[#This Row],[Bottom '[mLAT']]]-TP_DATA[[#This Row],[Top '[mLAT']]]),"")</f>
        <v/>
      </c>
      <c r="AY126" s="85" t="str">
        <f t="shared" si="4"/>
        <v/>
      </c>
      <c r="AZ126" s="85" t="str">
        <f>IFERROR((TP_DATA[[#This Row],[D, bottom '[m']]]+TP_DATA[[#This Row],[D, top '[m']]])/(2*TP_DATA[[#This Row],[t '[mm']]]/1000),"")</f>
        <v/>
      </c>
      <c r="BA126" s="85" t="str">
        <f>IFERROR((TP_DATA[[#This Row],[D, bottom '[m']]]+#REF!)/(2*#REF!/1000),"")</f>
        <v/>
      </c>
      <c r="CQ126" s="85" t="str">
        <f>IFERROR(TOWER_DATA[[#This Row],[Bottom '[mLAT']]]-TOWER_DATA[[#This Row],[D, top '[m']]], "")</f>
        <v/>
      </c>
      <c r="CR126" s="85" t="str">
        <f>IFERROR(-(TOWER_DATA[[#This Row],[D, bottom '[m']]]-TOWER_DATA[[#This Row],[D, top '[m']]])/(TOWER_DATA[[#This Row],[Bottom '[mLAT']]]-TOWER_DATA[[#This Row],[Top '[mLAT']]]),"")</f>
        <v/>
      </c>
      <c r="CS126" s="85" t="str">
        <f t="shared" si="5"/>
        <v/>
      </c>
      <c r="CT126" s="85" t="str">
        <f>IFERROR((TOWER_DATA[[#This Row],[D, bottom '[m']]]+TOWER_DATA[[#This Row],[D, top '[m']]])/(2*TOWER_DATA[[#This Row],[t '[mm']]]/1000),"")</f>
        <v/>
      </c>
      <c r="CU126" s="85" t="str">
        <f>IFERROR((TOWER_DATA[[#This Row],[D, bottom '[m']]]+#REF!)/(2*#REF!/1000),"")</f>
        <v/>
      </c>
    </row>
    <row r="127" spans="8:99" x14ac:dyDescent="0.3">
      <c r="H127" s="85" t="str">
        <f>IFERROR(MP_DATA[[#This Row],[Bottom '[mLAT']]]-MP_DATA[[#This Row],[D, top '[m']]], "")</f>
        <v/>
      </c>
      <c r="I127" s="85" t="str">
        <f>IFERROR(-(MP_DATA[[#This Row],[D, bottom '[m']]]-MP_DATA[[#This Row],[D, top '[m']]])/(MP_DATA[[#This Row],[Bottom '[mLAT']]]-MP_DATA[[#This Row],[Top '[mLAT']]]),"")</f>
        <v/>
      </c>
      <c r="J127" s="85" t="str">
        <f t="shared" si="6"/>
        <v/>
      </c>
      <c r="K127" s="85" t="str">
        <f>IFERROR((MP_DATA[[#This Row],[D, bottom '[m']]]+MP_DATA[[#This Row],[D, top '[m']]])/(2*MP_DATA[[#This Row],[t '[mm']]]/1000),"")</f>
        <v/>
      </c>
      <c r="L127" s="85" t="str">
        <f>IFERROR((MP_DATA[[#This Row],[D, bottom '[m']]]+#REF!)/(2*#REF!/1000),"")</f>
        <v/>
      </c>
      <c r="AW127" s="85" t="str">
        <f>IFERROR(TP_DATA[[#This Row],[Bottom '[mLAT']]]-TP_DATA[[#This Row],[D, top '[m']]], "")</f>
        <v/>
      </c>
      <c r="AX127" s="85" t="str">
        <f>IFERROR(-(TP_DATA[[#This Row],[D, bottom '[m']]]-TP_DATA[[#This Row],[D, top '[m']]])/(TP_DATA[[#This Row],[Bottom '[mLAT']]]-TP_DATA[[#This Row],[Top '[mLAT']]]),"")</f>
        <v/>
      </c>
      <c r="AY127" s="85" t="str">
        <f t="shared" si="4"/>
        <v/>
      </c>
      <c r="AZ127" s="85" t="str">
        <f>IFERROR((TP_DATA[[#This Row],[D, bottom '[m']]]+TP_DATA[[#This Row],[D, top '[m']]])/(2*TP_DATA[[#This Row],[t '[mm']]]/1000),"")</f>
        <v/>
      </c>
      <c r="BA127" s="85" t="str">
        <f>IFERROR((TP_DATA[[#This Row],[D, bottom '[m']]]+#REF!)/(2*#REF!/1000),"")</f>
        <v/>
      </c>
      <c r="CQ127" s="85" t="str">
        <f>IFERROR(TOWER_DATA[[#This Row],[Bottom '[mLAT']]]-TOWER_DATA[[#This Row],[D, top '[m']]], "")</f>
        <v/>
      </c>
      <c r="CR127" s="85" t="str">
        <f>IFERROR(-(TOWER_DATA[[#This Row],[D, bottom '[m']]]-TOWER_DATA[[#This Row],[D, top '[m']]])/(TOWER_DATA[[#This Row],[Bottom '[mLAT']]]-TOWER_DATA[[#This Row],[Top '[mLAT']]]),"")</f>
        <v/>
      </c>
      <c r="CS127" s="85" t="str">
        <f t="shared" si="5"/>
        <v/>
      </c>
      <c r="CT127" s="85" t="str">
        <f>IFERROR((TOWER_DATA[[#This Row],[D, bottom '[m']]]+TOWER_DATA[[#This Row],[D, top '[m']]])/(2*TOWER_DATA[[#This Row],[t '[mm']]]/1000),"")</f>
        <v/>
      </c>
      <c r="CU127" s="85" t="str">
        <f>IFERROR((TOWER_DATA[[#This Row],[D, bottom '[m']]]+#REF!)/(2*#REF!/1000),"")</f>
        <v/>
      </c>
    </row>
    <row r="128" spans="8:99" x14ac:dyDescent="0.3">
      <c r="H128" s="85" t="str">
        <f>IFERROR(MP_DATA[[#This Row],[Bottom '[mLAT']]]-MP_DATA[[#This Row],[D, top '[m']]], "")</f>
        <v/>
      </c>
      <c r="I128" s="85" t="str">
        <f>IFERROR(-(MP_DATA[[#This Row],[D, bottom '[m']]]-MP_DATA[[#This Row],[D, top '[m']]])/(MP_DATA[[#This Row],[Bottom '[mLAT']]]-MP_DATA[[#This Row],[Top '[mLAT']]]),"")</f>
        <v/>
      </c>
      <c r="J128" s="85" t="str">
        <f t="shared" si="6"/>
        <v/>
      </c>
      <c r="K128" s="85" t="str">
        <f>IFERROR((MP_DATA[[#This Row],[D, bottom '[m']]]+MP_DATA[[#This Row],[D, top '[m']]])/(2*MP_DATA[[#This Row],[t '[mm']]]/1000),"")</f>
        <v/>
      </c>
      <c r="L128" s="85" t="str">
        <f>IFERROR((MP_DATA[[#This Row],[D, bottom '[m']]]+#REF!)/(2*#REF!/1000),"")</f>
        <v/>
      </c>
      <c r="AW128" s="85" t="str">
        <f>IFERROR(TP_DATA[[#This Row],[Bottom '[mLAT']]]-TP_DATA[[#This Row],[D, top '[m']]], "")</f>
        <v/>
      </c>
      <c r="AX128" s="85" t="str">
        <f>IFERROR(-(TP_DATA[[#This Row],[D, bottom '[m']]]-TP_DATA[[#This Row],[D, top '[m']]])/(TP_DATA[[#This Row],[Bottom '[mLAT']]]-TP_DATA[[#This Row],[Top '[mLAT']]]),"")</f>
        <v/>
      </c>
      <c r="AY128" s="85" t="str">
        <f t="shared" si="4"/>
        <v/>
      </c>
      <c r="AZ128" s="85" t="str">
        <f>IFERROR((TP_DATA[[#This Row],[D, bottom '[m']]]+TP_DATA[[#This Row],[D, top '[m']]])/(2*TP_DATA[[#This Row],[t '[mm']]]/1000),"")</f>
        <v/>
      </c>
      <c r="BA128" s="85" t="str">
        <f>IFERROR((TP_DATA[[#This Row],[D, bottom '[m']]]+#REF!)/(2*#REF!/1000),"")</f>
        <v/>
      </c>
      <c r="CQ128" s="85" t="str">
        <f>IFERROR(TOWER_DATA[[#This Row],[Bottom '[mLAT']]]-TOWER_DATA[[#This Row],[D, top '[m']]], "")</f>
        <v/>
      </c>
      <c r="CR128" s="85" t="str">
        <f>IFERROR(-(TOWER_DATA[[#This Row],[D, bottom '[m']]]-TOWER_DATA[[#This Row],[D, top '[m']]])/(TOWER_DATA[[#This Row],[Bottom '[mLAT']]]-TOWER_DATA[[#This Row],[Top '[mLAT']]]),"")</f>
        <v/>
      </c>
      <c r="CS128" s="85" t="str">
        <f t="shared" si="5"/>
        <v/>
      </c>
      <c r="CT128" s="85" t="str">
        <f>IFERROR((TOWER_DATA[[#This Row],[D, bottom '[m']]]+TOWER_DATA[[#This Row],[D, top '[m']]])/(2*TOWER_DATA[[#This Row],[t '[mm']]]/1000),"")</f>
        <v/>
      </c>
      <c r="CU128" s="85" t="str">
        <f>IFERROR((TOWER_DATA[[#This Row],[D, bottom '[m']]]+#REF!)/(2*#REF!/1000),"")</f>
        <v/>
      </c>
    </row>
    <row r="129" spans="8:99" x14ac:dyDescent="0.3">
      <c r="H129" s="85" t="str">
        <f>IFERROR(MP_DATA[[#This Row],[Bottom '[mLAT']]]-MP_DATA[[#This Row],[D, top '[m']]], "")</f>
        <v/>
      </c>
      <c r="I129" s="85" t="str">
        <f>IFERROR(-(MP_DATA[[#This Row],[D, bottom '[m']]]-MP_DATA[[#This Row],[D, top '[m']]])/(MP_DATA[[#This Row],[Bottom '[mLAT']]]-MP_DATA[[#This Row],[Top '[mLAT']]]),"")</f>
        <v/>
      </c>
      <c r="J129" s="85" t="str">
        <f t="shared" si="6"/>
        <v/>
      </c>
      <c r="K129" s="85" t="str">
        <f>IFERROR((MP_DATA[[#This Row],[D, bottom '[m']]]+MP_DATA[[#This Row],[D, top '[m']]])/(2*MP_DATA[[#This Row],[t '[mm']]]/1000),"")</f>
        <v/>
      </c>
      <c r="L129" s="85" t="str">
        <f>IFERROR((MP_DATA[[#This Row],[D, bottom '[m']]]+#REF!)/(2*#REF!/1000),"")</f>
        <v/>
      </c>
      <c r="AW129" s="85" t="str">
        <f>IFERROR(TP_DATA[[#This Row],[Bottom '[mLAT']]]-TP_DATA[[#This Row],[D, top '[m']]], "")</f>
        <v/>
      </c>
      <c r="AX129" s="85" t="str">
        <f>IFERROR(-(TP_DATA[[#This Row],[D, bottom '[m']]]-TP_DATA[[#This Row],[D, top '[m']]])/(TP_DATA[[#This Row],[Bottom '[mLAT']]]-TP_DATA[[#This Row],[Top '[mLAT']]]),"")</f>
        <v/>
      </c>
      <c r="AY129" s="85" t="str">
        <f t="shared" si="4"/>
        <v/>
      </c>
      <c r="AZ129" s="85" t="str">
        <f>IFERROR((TP_DATA[[#This Row],[D, bottom '[m']]]+TP_DATA[[#This Row],[D, top '[m']]])/(2*TP_DATA[[#This Row],[t '[mm']]]/1000),"")</f>
        <v/>
      </c>
      <c r="BA129" s="85" t="str">
        <f>IFERROR((TP_DATA[[#This Row],[D, bottom '[m']]]+#REF!)/(2*#REF!/1000),"")</f>
        <v/>
      </c>
      <c r="CQ129" s="85" t="str">
        <f>IFERROR(TOWER_DATA[[#This Row],[Bottom '[mLAT']]]-TOWER_DATA[[#This Row],[D, top '[m']]], "")</f>
        <v/>
      </c>
      <c r="CR129" s="85" t="str">
        <f>IFERROR(-(TOWER_DATA[[#This Row],[D, bottom '[m']]]-TOWER_DATA[[#This Row],[D, top '[m']]])/(TOWER_DATA[[#This Row],[Bottom '[mLAT']]]-TOWER_DATA[[#This Row],[Top '[mLAT']]]),"")</f>
        <v/>
      </c>
      <c r="CS129" s="85" t="str">
        <f t="shared" si="5"/>
        <v/>
      </c>
      <c r="CT129" s="85" t="str">
        <f>IFERROR((TOWER_DATA[[#This Row],[D, bottom '[m']]]+TOWER_DATA[[#This Row],[D, top '[m']]])/(2*TOWER_DATA[[#This Row],[t '[mm']]]/1000),"")</f>
        <v/>
      </c>
      <c r="CU129" s="85" t="str">
        <f>IFERROR((TOWER_DATA[[#This Row],[D, bottom '[m']]]+#REF!)/(2*#REF!/1000),"")</f>
        <v/>
      </c>
    </row>
    <row r="130" spans="8:99" x14ac:dyDescent="0.3">
      <c r="H130" s="85" t="str">
        <f>IFERROR(MP_DATA[[#This Row],[Bottom '[mLAT']]]-MP_DATA[[#This Row],[D, top '[m']]], "")</f>
        <v/>
      </c>
      <c r="I130" s="85" t="str">
        <f>IFERROR(-(MP_DATA[[#This Row],[D, bottom '[m']]]-MP_DATA[[#This Row],[D, top '[m']]])/(MP_DATA[[#This Row],[Bottom '[mLAT']]]-MP_DATA[[#This Row],[Top '[mLAT']]]),"")</f>
        <v/>
      </c>
      <c r="J130" s="85" t="str">
        <f t="shared" si="6"/>
        <v/>
      </c>
      <c r="K130" s="85" t="str">
        <f>IFERROR((MP_DATA[[#This Row],[D, bottom '[m']]]+MP_DATA[[#This Row],[D, top '[m']]])/(2*MP_DATA[[#This Row],[t '[mm']]]/1000),"")</f>
        <v/>
      </c>
      <c r="L130" t="str">
        <f>IFERROR((MP_DATA[[#This Row],[D, bottom '[m']]]+#REF!)/(2*#REF!/1000),"")</f>
        <v/>
      </c>
      <c r="AW130" s="85" t="str">
        <f>IFERROR(TP_DATA[[#This Row],[Bottom '[mLAT']]]-TP_DATA[[#This Row],[D, top '[m']]], "")</f>
        <v/>
      </c>
      <c r="AX130" s="85" t="str">
        <f>IFERROR(-(TP_DATA[[#This Row],[D, bottom '[m']]]-TP_DATA[[#This Row],[D, top '[m']]])/(TP_DATA[[#This Row],[Bottom '[mLAT']]]-TP_DATA[[#This Row],[Top '[mLAT']]]),"")</f>
        <v/>
      </c>
      <c r="AY130" s="85" t="str">
        <f t="shared" si="4"/>
        <v/>
      </c>
      <c r="AZ130" s="85" t="str">
        <f>IFERROR((TP_DATA[[#This Row],[D, bottom '[m']]]+TP_DATA[[#This Row],[D, top '[m']]])/(2*TP_DATA[[#This Row],[t '[mm']]]/1000),"")</f>
        <v/>
      </c>
      <c r="BA130" t="str">
        <f>IFERROR((TP_DATA[[#This Row],[D, bottom '[m']]]+#REF!)/(2*#REF!/1000),"")</f>
        <v/>
      </c>
      <c r="CQ130" s="85" t="str">
        <f>IFERROR(TOWER_DATA[[#This Row],[Bottom '[mLAT']]]-TOWER_DATA[[#This Row],[D, top '[m']]], "")</f>
        <v/>
      </c>
      <c r="CR130" s="85" t="str">
        <f>IFERROR(-(TOWER_DATA[[#This Row],[D, bottom '[m']]]-TOWER_DATA[[#This Row],[D, top '[m']]])/(TOWER_DATA[[#This Row],[Bottom '[mLAT']]]-TOWER_DATA[[#This Row],[Top '[mLAT']]]),"")</f>
        <v/>
      </c>
      <c r="CS130" s="85" t="str">
        <f t="shared" si="5"/>
        <v/>
      </c>
      <c r="CT130" s="85" t="str">
        <f>IFERROR((TOWER_DATA[[#This Row],[D, bottom '[m']]]+TOWER_DATA[[#This Row],[D, top '[m']]])/(2*TOWER_DATA[[#This Row],[t '[mm']]]/1000),"")</f>
        <v/>
      </c>
      <c r="CU130" t="str">
        <f>IFERROR((TOWER_DATA[[#This Row],[D, bottom '[m']]]+#REF!)/(2*#REF!/1000),"")</f>
        <v/>
      </c>
    </row>
    <row r="131" spans="8:99" x14ac:dyDescent="0.3">
      <c r="H131" s="85" t="str">
        <f>IFERROR(MP_DATA[[#This Row],[Bottom '[mLAT']]]-MP_DATA[[#This Row],[D, top '[m']]], "")</f>
        <v/>
      </c>
      <c r="I131" s="85" t="str">
        <f>IFERROR(-(MP_DATA[[#This Row],[D, bottom '[m']]]-MP_DATA[[#This Row],[D, top '[m']]])/(MP_DATA[[#This Row],[Bottom '[mLAT']]]-MP_DATA[[#This Row],[Top '[mLAT']]]),"")</f>
        <v/>
      </c>
      <c r="J131" s="85" t="str">
        <f t="shared" si="6"/>
        <v/>
      </c>
      <c r="K131" s="85" t="str">
        <f>IFERROR((MP_DATA[[#This Row],[D, bottom '[m']]]+MP_DATA[[#This Row],[D, top '[m']]])/(2*MP_DATA[[#This Row],[t '[mm']]]/1000),"")</f>
        <v/>
      </c>
      <c r="L131" t="str">
        <f>IFERROR((MP_DATA[[#This Row],[D, bottom '[m']]]+#REF!)/(2*#REF!/1000),"")</f>
        <v/>
      </c>
      <c r="AW131" s="85" t="str">
        <f>IFERROR(TP_DATA[[#This Row],[Bottom '[mLAT']]]-TP_DATA[[#This Row],[D, top '[m']]], "")</f>
        <v/>
      </c>
      <c r="AX131" s="85" t="str">
        <f>IFERROR(-(TP_DATA[[#This Row],[D, bottom '[m']]]-TP_DATA[[#This Row],[D, top '[m']]])/(TP_DATA[[#This Row],[Bottom '[mLAT']]]-TP_DATA[[#This Row],[Top '[mLAT']]]),"")</f>
        <v/>
      </c>
      <c r="AY131" s="85" t="str">
        <f t="shared" si="4"/>
        <v/>
      </c>
      <c r="AZ131" s="85" t="str">
        <f>IFERROR((TP_DATA[[#This Row],[D, bottom '[m']]]+TP_DATA[[#This Row],[D, top '[m']]])/(2*TP_DATA[[#This Row],[t '[mm']]]/1000),"")</f>
        <v/>
      </c>
      <c r="BA131" t="str">
        <f>IFERROR((TP_DATA[[#This Row],[D, bottom '[m']]]+#REF!)/(2*#REF!/1000),"")</f>
        <v/>
      </c>
      <c r="CQ131" s="85" t="str">
        <f>IFERROR(TOWER_DATA[[#This Row],[Bottom '[mLAT']]]-TOWER_DATA[[#This Row],[D, top '[m']]], "")</f>
        <v/>
      </c>
      <c r="CR131" s="85" t="str">
        <f>IFERROR(-(TOWER_DATA[[#This Row],[D, bottom '[m']]]-TOWER_DATA[[#This Row],[D, top '[m']]])/(TOWER_DATA[[#This Row],[Bottom '[mLAT']]]-TOWER_DATA[[#This Row],[Top '[mLAT']]]),"")</f>
        <v/>
      </c>
      <c r="CS131" s="85" t="str">
        <f t="shared" si="5"/>
        <v/>
      </c>
      <c r="CT131" s="85" t="str">
        <f>IFERROR((TOWER_DATA[[#This Row],[D, bottom '[m']]]+TOWER_DATA[[#This Row],[D, top '[m']]])/(2*TOWER_DATA[[#This Row],[t '[mm']]]/1000),"")</f>
        <v/>
      </c>
      <c r="CU131" t="str">
        <f>IFERROR((TOWER_DATA[[#This Row],[D, bottom '[m']]]+#REF!)/(2*#REF!/1000),"")</f>
        <v/>
      </c>
    </row>
    <row r="132" spans="8:99" x14ac:dyDescent="0.3">
      <c r="H132" s="85" t="str">
        <f>IFERROR(MP_DATA[[#This Row],[Bottom '[mLAT']]]-MP_DATA[[#This Row],[D, top '[m']]], "")</f>
        <v/>
      </c>
      <c r="I132" s="85" t="str">
        <f>IFERROR(-(MP_DATA[[#This Row],[D, bottom '[m']]]-MP_DATA[[#This Row],[D, top '[m']]])/(MP_DATA[[#This Row],[Bottom '[mLAT']]]-MP_DATA[[#This Row],[Top '[mLAT']]]),"")</f>
        <v/>
      </c>
      <c r="J132" s="85" t="str">
        <f t="shared" si="6"/>
        <v/>
      </c>
      <c r="K132" s="85" t="str">
        <f>IFERROR((MP_DATA[[#This Row],[D, bottom '[m']]]+MP_DATA[[#This Row],[D, top '[m']]])/(2*MP_DATA[[#This Row],[t '[mm']]]/1000),"")</f>
        <v/>
      </c>
      <c r="L132" t="str">
        <f>IFERROR((MP_DATA[[#This Row],[D, bottom '[m']]]+#REF!)/(2*#REF!/1000),"")</f>
        <v/>
      </c>
      <c r="AW132" s="85" t="str">
        <f>IFERROR(TP_DATA[[#This Row],[Bottom '[mLAT']]]-TP_DATA[[#This Row],[D, top '[m']]], "")</f>
        <v/>
      </c>
      <c r="AX132" s="85" t="str">
        <f>IFERROR(-(TP_DATA[[#This Row],[D, bottom '[m']]]-TP_DATA[[#This Row],[D, top '[m']]])/(TP_DATA[[#This Row],[Bottom '[mLAT']]]-TP_DATA[[#This Row],[Top '[mLAT']]]),"")</f>
        <v/>
      </c>
      <c r="AY132" s="85" t="str">
        <f t="shared" si="4"/>
        <v/>
      </c>
      <c r="AZ132" s="85" t="str">
        <f>IFERROR((TP_DATA[[#This Row],[D, bottom '[m']]]+TP_DATA[[#This Row],[D, top '[m']]])/(2*TP_DATA[[#This Row],[t '[mm']]]/1000),"")</f>
        <v/>
      </c>
      <c r="BA132" t="str">
        <f>IFERROR((TP_DATA[[#This Row],[D, bottom '[m']]]+#REF!)/(2*#REF!/1000),"")</f>
        <v/>
      </c>
      <c r="CQ132" s="85" t="str">
        <f>IFERROR(TOWER_DATA[[#This Row],[Bottom '[mLAT']]]-TOWER_DATA[[#This Row],[D, top '[m']]], "")</f>
        <v/>
      </c>
      <c r="CR132" s="85" t="str">
        <f>IFERROR(-(TOWER_DATA[[#This Row],[D, bottom '[m']]]-TOWER_DATA[[#This Row],[D, top '[m']]])/(TOWER_DATA[[#This Row],[Bottom '[mLAT']]]-TOWER_DATA[[#This Row],[Top '[mLAT']]]),"")</f>
        <v/>
      </c>
      <c r="CS132" s="85" t="str">
        <f t="shared" si="5"/>
        <v/>
      </c>
      <c r="CT132" s="85" t="str">
        <f>IFERROR((TOWER_DATA[[#This Row],[D, bottom '[m']]]+TOWER_DATA[[#This Row],[D, top '[m']]])/(2*TOWER_DATA[[#This Row],[t '[mm']]]/1000),"")</f>
        <v/>
      </c>
      <c r="CU132" t="str">
        <f>IFERROR((TOWER_DATA[[#This Row],[D, bottom '[m']]]+#REF!)/(2*#REF!/1000),"")</f>
        <v/>
      </c>
    </row>
    <row r="133" spans="8:99" x14ac:dyDescent="0.3">
      <c r="H133" s="85" t="str">
        <f>IFERROR(MP_DATA[[#This Row],[Bottom '[mLAT']]]-MP_DATA[[#This Row],[D, top '[m']]], "")</f>
        <v/>
      </c>
      <c r="I133" s="85" t="str">
        <f>IFERROR(-(MP_DATA[[#This Row],[D, bottom '[m']]]-MP_DATA[[#This Row],[D, top '[m']]])/(MP_DATA[[#This Row],[Bottom '[mLAT']]]-MP_DATA[[#This Row],[Top '[mLAT']]]),"")</f>
        <v/>
      </c>
      <c r="J133" s="85" t="str">
        <f t="shared" si="6"/>
        <v/>
      </c>
      <c r="K133" s="85" t="str">
        <f>IFERROR((MP_DATA[[#This Row],[D, bottom '[m']]]+MP_DATA[[#This Row],[D, top '[m']]])/(2*MP_DATA[[#This Row],[t '[mm']]]/1000),"")</f>
        <v/>
      </c>
      <c r="L133" t="str">
        <f>IFERROR((MP_DATA[[#This Row],[D, bottom '[m']]]+#REF!)/(2*#REF!/1000),"")</f>
        <v/>
      </c>
      <c r="AW133" s="85" t="str">
        <f>IFERROR(TP_DATA[[#This Row],[Bottom '[mLAT']]]-TP_DATA[[#This Row],[D, top '[m']]], "")</f>
        <v/>
      </c>
      <c r="AX133" s="85" t="str">
        <f>IFERROR(-(TP_DATA[[#This Row],[D, bottom '[m']]]-TP_DATA[[#This Row],[D, top '[m']]])/(TP_DATA[[#This Row],[Bottom '[mLAT']]]-TP_DATA[[#This Row],[Top '[mLAT']]]),"")</f>
        <v/>
      </c>
      <c r="AY133" s="85" t="str">
        <f t="shared" si="4"/>
        <v/>
      </c>
      <c r="AZ133" s="85" t="str">
        <f>IFERROR((TP_DATA[[#This Row],[D, bottom '[m']]]+TP_DATA[[#This Row],[D, top '[m']]])/(2*TP_DATA[[#This Row],[t '[mm']]]/1000),"")</f>
        <v/>
      </c>
      <c r="BA133" t="str">
        <f>IFERROR((TP_DATA[[#This Row],[D, bottom '[m']]]+#REF!)/(2*#REF!/1000),"")</f>
        <v/>
      </c>
      <c r="CQ133" s="85" t="str">
        <f>IFERROR(TOWER_DATA[[#This Row],[Bottom '[mLAT']]]-TOWER_DATA[[#This Row],[D, top '[m']]], "")</f>
        <v/>
      </c>
      <c r="CR133" s="85" t="str">
        <f>IFERROR(-(TOWER_DATA[[#This Row],[D, bottom '[m']]]-TOWER_DATA[[#This Row],[D, top '[m']]])/(TOWER_DATA[[#This Row],[Bottom '[mLAT']]]-TOWER_DATA[[#This Row],[Top '[mLAT']]]),"")</f>
        <v/>
      </c>
      <c r="CS133" s="85" t="str">
        <f t="shared" si="5"/>
        <v/>
      </c>
      <c r="CT133" s="85" t="str">
        <f>IFERROR((TOWER_DATA[[#This Row],[D, bottom '[m']]]+TOWER_DATA[[#This Row],[D, top '[m']]])/(2*TOWER_DATA[[#This Row],[t '[mm']]]/1000),"")</f>
        <v/>
      </c>
      <c r="CU133" t="str">
        <f>IFERROR((TOWER_DATA[[#This Row],[D, bottom '[m']]]+#REF!)/(2*#REF!/1000),"")</f>
        <v/>
      </c>
    </row>
    <row r="134" spans="8:99" x14ac:dyDescent="0.3">
      <c r="H134" s="85" t="str">
        <f>IFERROR(MP_DATA[[#This Row],[Bottom '[mLAT']]]-MP_DATA[[#This Row],[D, top '[m']]], "")</f>
        <v/>
      </c>
      <c r="I134" s="85" t="str">
        <f>IFERROR(-(MP_DATA[[#This Row],[D, bottom '[m']]]-MP_DATA[[#This Row],[D, top '[m']]])/(MP_DATA[[#This Row],[Bottom '[mLAT']]]-MP_DATA[[#This Row],[Top '[mLAT']]]),"")</f>
        <v/>
      </c>
      <c r="J134" s="85" t="str">
        <f t="shared" si="6"/>
        <v/>
      </c>
      <c r="K134" s="85" t="str">
        <f>IFERROR((MP_DATA[[#This Row],[D, bottom '[m']]]+MP_DATA[[#This Row],[D, top '[m']]])/(2*MP_DATA[[#This Row],[t '[mm']]]/1000),"")</f>
        <v/>
      </c>
      <c r="L134" t="str">
        <f>IFERROR((MP_DATA[[#This Row],[D, bottom '[m']]]+#REF!)/(2*#REF!/1000),"")</f>
        <v/>
      </c>
      <c r="AW134" s="85" t="str">
        <f>IFERROR(TP_DATA[[#This Row],[Bottom '[mLAT']]]-TP_DATA[[#This Row],[D, top '[m']]], "")</f>
        <v/>
      </c>
      <c r="AX134" s="85" t="str">
        <f>IFERROR(-(TP_DATA[[#This Row],[D, bottom '[m']]]-TP_DATA[[#This Row],[D, top '[m']]])/(TP_DATA[[#This Row],[Bottom '[mLAT']]]-TP_DATA[[#This Row],[Top '[mLAT']]]),"")</f>
        <v/>
      </c>
      <c r="AY134" s="85" t="str">
        <f t="shared" si="4"/>
        <v/>
      </c>
      <c r="AZ134" s="85" t="str">
        <f>IFERROR((TP_DATA[[#This Row],[D, bottom '[m']]]+TP_DATA[[#This Row],[D, top '[m']]])/(2*TP_DATA[[#This Row],[t '[mm']]]/1000),"")</f>
        <v/>
      </c>
      <c r="BA134" t="str">
        <f>IFERROR((TP_DATA[[#This Row],[D, bottom '[m']]]+#REF!)/(2*#REF!/1000),"")</f>
        <v/>
      </c>
      <c r="CQ134" s="85" t="str">
        <f>IFERROR(TOWER_DATA[[#This Row],[Bottom '[mLAT']]]-TOWER_DATA[[#This Row],[D, top '[m']]], "")</f>
        <v/>
      </c>
      <c r="CR134" s="85" t="str">
        <f>IFERROR(-(TOWER_DATA[[#This Row],[D, bottom '[m']]]-TOWER_DATA[[#This Row],[D, top '[m']]])/(TOWER_DATA[[#This Row],[Bottom '[mLAT']]]-TOWER_DATA[[#This Row],[Top '[mLAT']]]),"")</f>
        <v/>
      </c>
      <c r="CS134" s="85" t="str">
        <f t="shared" si="5"/>
        <v/>
      </c>
      <c r="CT134" s="85" t="str">
        <f>IFERROR((TOWER_DATA[[#This Row],[D, bottom '[m']]]+TOWER_DATA[[#This Row],[D, top '[m']]])/(2*TOWER_DATA[[#This Row],[t '[mm']]]/1000),"")</f>
        <v/>
      </c>
      <c r="CU134" t="str">
        <f>IFERROR((TOWER_DATA[[#This Row],[D, bottom '[m']]]+#REF!)/(2*#REF!/1000),"")</f>
        <v/>
      </c>
    </row>
    <row r="135" spans="8:99" x14ac:dyDescent="0.3">
      <c r="H135" s="85" t="str">
        <f>IFERROR(MP_DATA[[#This Row],[Bottom '[mLAT']]]-MP_DATA[[#This Row],[D, top '[m']]], "")</f>
        <v/>
      </c>
      <c r="I135" s="85" t="str">
        <f>IFERROR(-(MP_DATA[[#This Row],[D, bottom '[m']]]-MP_DATA[[#This Row],[D, top '[m']]])/(MP_DATA[[#This Row],[Bottom '[mLAT']]]-MP_DATA[[#This Row],[Top '[mLAT']]]),"")</f>
        <v/>
      </c>
      <c r="J135" s="85" t="str">
        <f t="shared" si="6"/>
        <v/>
      </c>
      <c r="K135" s="85" t="str">
        <f>IFERROR((MP_DATA[[#This Row],[D, bottom '[m']]]+MP_DATA[[#This Row],[D, top '[m']]])/(2*MP_DATA[[#This Row],[t '[mm']]]/1000),"")</f>
        <v/>
      </c>
      <c r="L135" t="str">
        <f>IFERROR((MP_DATA[[#This Row],[D, bottom '[m']]]+#REF!)/(2*#REF!/1000),"")</f>
        <v/>
      </c>
      <c r="AW135" s="85" t="str">
        <f>IFERROR(TP_DATA[[#This Row],[Bottom '[mLAT']]]-TP_DATA[[#This Row],[D, top '[m']]], "")</f>
        <v/>
      </c>
      <c r="AX135" s="85" t="str">
        <f>IFERROR(-(TP_DATA[[#This Row],[D, bottom '[m']]]-TP_DATA[[#This Row],[D, top '[m']]])/(TP_DATA[[#This Row],[Bottom '[mLAT']]]-TP_DATA[[#This Row],[Top '[mLAT']]]),"")</f>
        <v/>
      </c>
      <c r="AY135" s="85" t="str">
        <f t="shared" si="4"/>
        <v/>
      </c>
      <c r="AZ135" s="85" t="str">
        <f>IFERROR((TP_DATA[[#This Row],[D, bottom '[m']]]+TP_DATA[[#This Row],[D, top '[m']]])/(2*TP_DATA[[#This Row],[t '[mm']]]/1000),"")</f>
        <v/>
      </c>
      <c r="BA135" t="str">
        <f>IFERROR((TP_DATA[[#This Row],[D, bottom '[m']]]+#REF!)/(2*#REF!/1000),"")</f>
        <v/>
      </c>
      <c r="CQ135" s="85" t="str">
        <f>IFERROR(TOWER_DATA[[#This Row],[Bottom '[mLAT']]]-TOWER_DATA[[#This Row],[D, top '[m']]], "")</f>
        <v/>
      </c>
      <c r="CR135" s="85" t="str">
        <f>IFERROR(-(TOWER_DATA[[#This Row],[D, bottom '[m']]]-TOWER_DATA[[#This Row],[D, top '[m']]])/(TOWER_DATA[[#This Row],[Bottom '[mLAT']]]-TOWER_DATA[[#This Row],[Top '[mLAT']]]),"")</f>
        <v/>
      </c>
      <c r="CS135" s="85" t="str">
        <f t="shared" si="5"/>
        <v/>
      </c>
      <c r="CT135" s="85" t="str">
        <f>IFERROR((TOWER_DATA[[#This Row],[D, bottom '[m']]]+TOWER_DATA[[#This Row],[D, top '[m']]])/(2*TOWER_DATA[[#This Row],[t '[mm']]]/1000),"")</f>
        <v/>
      </c>
      <c r="CU135" t="str">
        <f>IFERROR((TOWER_DATA[[#This Row],[D, bottom '[m']]]+#REF!)/(2*#REF!/1000),"")</f>
        <v/>
      </c>
    </row>
    <row r="136" spans="8:99" x14ac:dyDescent="0.3">
      <c r="H136" s="85" t="str">
        <f>IFERROR(MP_DATA[[#This Row],[Bottom '[mLAT']]]-MP_DATA[[#This Row],[D, top '[m']]], "")</f>
        <v/>
      </c>
      <c r="I136" s="85" t="str">
        <f>IFERROR(-(MP_DATA[[#This Row],[D, bottom '[m']]]-MP_DATA[[#This Row],[D, top '[m']]])/(MP_DATA[[#This Row],[Bottom '[mLAT']]]-MP_DATA[[#This Row],[Top '[mLAT']]]),"")</f>
        <v/>
      </c>
      <c r="J136" s="85" t="str">
        <f t="shared" si="6"/>
        <v/>
      </c>
      <c r="K136" s="85" t="str">
        <f>IFERROR((MP_DATA[[#This Row],[D, bottom '[m']]]+MP_DATA[[#This Row],[D, top '[m']]])/(2*MP_DATA[[#This Row],[t '[mm']]]/1000),"")</f>
        <v/>
      </c>
      <c r="AW136" s="85" t="str">
        <f>IFERROR(TP_DATA[[#This Row],[Bottom '[mLAT']]]-TP_DATA[[#This Row],[D, top '[m']]], "")</f>
        <v/>
      </c>
      <c r="AX136" s="85" t="str">
        <f>IFERROR(-(TP_DATA[[#This Row],[D, bottom '[m']]]-TP_DATA[[#This Row],[D, top '[m']]])/(TP_DATA[[#This Row],[Bottom '[mLAT']]]-TP_DATA[[#This Row],[Top '[mLAT']]]),"")</f>
        <v/>
      </c>
      <c r="AY136" s="85" t="str">
        <f t="shared" si="4"/>
        <v/>
      </c>
      <c r="AZ136" s="85" t="str">
        <f>IFERROR((TP_DATA[[#This Row],[D, bottom '[m']]]+TP_DATA[[#This Row],[D, top '[m']]])/(2*TP_DATA[[#This Row],[t '[mm']]]/1000),"")</f>
        <v/>
      </c>
      <c r="CQ136" s="85" t="str">
        <f>IFERROR(TOWER_DATA[[#This Row],[Bottom '[mLAT']]]-TOWER_DATA[[#This Row],[D, top '[m']]], "")</f>
        <v/>
      </c>
      <c r="CR136" s="85" t="str">
        <f>IFERROR(-(TOWER_DATA[[#This Row],[D, bottom '[m']]]-TOWER_DATA[[#This Row],[D, top '[m']]])/(TOWER_DATA[[#This Row],[Bottom '[mLAT']]]-TOWER_DATA[[#This Row],[Top '[mLAT']]]),"")</f>
        <v/>
      </c>
      <c r="CS136" s="85" t="str">
        <f t="shared" si="5"/>
        <v/>
      </c>
      <c r="CT136" s="85" t="str">
        <f>IFERROR((TOWER_DATA[[#This Row],[D, bottom '[m']]]+TOWER_DATA[[#This Row],[D, top '[m']]])/(2*TOWER_DATA[[#This Row],[t '[mm']]]/1000),"")</f>
        <v/>
      </c>
    </row>
    <row r="137" spans="8:99" x14ac:dyDescent="0.3">
      <c r="H137" s="85" t="str">
        <f>IFERROR(MP_DATA[[#This Row],[Bottom '[mLAT']]]-MP_DATA[[#This Row],[D, top '[m']]], "")</f>
        <v/>
      </c>
      <c r="I137" s="85" t="str">
        <f>IFERROR(-(MP_DATA[[#This Row],[D, bottom '[m']]]-MP_DATA[[#This Row],[D, top '[m']]])/(MP_DATA[[#This Row],[Bottom '[mLAT']]]-MP_DATA[[#This Row],[Top '[mLAT']]]),"")</f>
        <v/>
      </c>
      <c r="J137" s="85" t="str">
        <f t="shared" si="6"/>
        <v/>
      </c>
      <c r="K137" s="85" t="str">
        <f>IFERROR((MP_DATA[[#This Row],[D, bottom '[m']]]+MP_DATA[[#This Row],[D, top '[m']]])/(2*MP_DATA[[#This Row],[t '[mm']]]/1000),"")</f>
        <v/>
      </c>
      <c r="AW137" s="85" t="str">
        <f>IFERROR(TP_DATA[[#This Row],[Bottom '[mLAT']]]-TP_DATA[[#This Row],[D, top '[m']]], "")</f>
        <v/>
      </c>
      <c r="AX137" s="85" t="str">
        <f>IFERROR(-(TP_DATA[[#This Row],[D, bottom '[m']]]-TP_DATA[[#This Row],[D, top '[m']]])/(TP_DATA[[#This Row],[Bottom '[mLAT']]]-TP_DATA[[#This Row],[Top '[mLAT']]]),"")</f>
        <v/>
      </c>
      <c r="AY137" s="85" t="str">
        <f t="shared" si="4"/>
        <v/>
      </c>
      <c r="AZ137" s="85" t="str">
        <f>IFERROR((TP_DATA[[#This Row],[D, bottom '[m']]]+TP_DATA[[#This Row],[D, top '[m']]])/(2*TP_DATA[[#This Row],[t '[mm']]]/1000),"")</f>
        <v/>
      </c>
      <c r="CQ137" s="85" t="str">
        <f>IFERROR(TOWER_DATA[[#This Row],[Bottom '[mLAT']]]-TOWER_DATA[[#This Row],[D, top '[m']]], "")</f>
        <v/>
      </c>
      <c r="CR137" s="85" t="str">
        <f>IFERROR(-(TOWER_DATA[[#This Row],[D, bottom '[m']]]-TOWER_DATA[[#This Row],[D, top '[m']]])/(TOWER_DATA[[#This Row],[Bottom '[mLAT']]]-TOWER_DATA[[#This Row],[Top '[mLAT']]]),"")</f>
        <v/>
      </c>
      <c r="CS137" s="85" t="str">
        <f t="shared" si="5"/>
        <v/>
      </c>
      <c r="CT137" s="85" t="str">
        <f>IFERROR((TOWER_DATA[[#This Row],[D, bottom '[m']]]+TOWER_DATA[[#This Row],[D, top '[m']]])/(2*TOWER_DATA[[#This Row],[t '[mm']]]/1000),"")</f>
        <v/>
      </c>
    </row>
    <row r="138" spans="8:99" x14ac:dyDescent="0.3">
      <c r="H138" s="85" t="str">
        <f>IFERROR(MP_DATA[[#This Row],[Bottom '[mLAT']]]-MP_DATA[[#This Row],[D, top '[m']]], "")</f>
        <v/>
      </c>
      <c r="I138" s="85" t="str">
        <f>IFERROR(-(MP_DATA[[#This Row],[D, bottom '[m']]]-MP_DATA[[#This Row],[D, top '[m']]])/(MP_DATA[[#This Row],[Bottom '[mLAT']]]-MP_DATA[[#This Row],[Top '[mLAT']]]),"")</f>
        <v/>
      </c>
      <c r="J138" s="85" t="str">
        <f t="shared" si="6"/>
        <v/>
      </c>
      <c r="K138" s="85" t="str">
        <f>IFERROR((MP_DATA[[#This Row],[D, bottom '[m']]]+MP_DATA[[#This Row],[D, top '[m']]])/(2*MP_DATA[[#This Row],[t '[mm']]]/1000),"")</f>
        <v/>
      </c>
      <c r="AW138" s="85" t="str">
        <f>IFERROR(TP_DATA[[#This Row],[Bottom '[mLAT']]]-TP_DATA[[#This Row],[D, top '[m']]], "")</f>
        <v/>
      </c>
      <c r="AX138" s="85" t="str">
        <f>IFERROR(-(TP_DATA[[#This Row],[D, bottom '[m']]]-TP_DATA[[#This Row],[D, top '[m']]])/(TP_DATA[[#This Row],[Bottom '[mLAT']]]-TP_DATA[[#This Row],[Top '[mLAT']]]),"")</f>
        <v/>
      </c>
      <c r="AY138" s="85" t="str">
        <f t="shared" si="4"/>
        <v/>
      </c>
      <c r="AZ138" s="85" t="str">
        <f>IFERROR((TP_DATA[[#This Row],[D, bottom '[m']]]+TP_DATA[[#This Row],[D, top '[m']]])/(2*TP_DATA[[#This Row],[t '[mm']]]/1000),"")</f>
        <v/>
      </c>
      <c r="CQ138" s="85" t="str">
        <f>IFERROR(TOWER_DATA[[#This Row],[Bottom '[mLAT']]]-TOWER_DATA[[#This Row],[D, top '[m']]], "")</f>
        <v/>
      </c>
      <c r="CR138" s="85" t="str">
        <f>IFERROR(-(TOWER_DATA[[#This Row],[D, bottom '[m']]]-TOWER_DATA[[#This Row],[D, top '[m']]])/(TOWER_DATA[[#This Row],[Bottom '[mLAT']]]-TOWER_DATA[[#This Row],[Top '[mLAT']]]),"")</f>
        <v/>
      </c>
      <c r="CS138" s="85" t="str">
        <f t="shared" si="5"/>
        <v/>
      </c>
      <c r="CT138" s="85" t="str">
        <f>IFERROR((TOWER_DATA[[#This Row],[D, bottom '[m']]]+TOWER_DATA[[#This Row],[D, top '[m']]])/(2*TOWER_DATA[[#This Row],[t '[mm']]]/1000),"")</f>
        <v/>
      </c>
    </row>
    <row r="139" spans="8:99" x14ac:dyDescent="0.3">
      <c r="H139" s="85" t="str">
        <f>IFERROR(MP_DATA[[#This Row],[Bottom '[mLAT']]]-MP_DATA[[#This Row],[D, top '[m']]], "")</f>
        <v/>
      </c>
      <c r="I139" s="85" t="str">
        <f>IFERROR(-(MP_DATA[[#This Row],[D, bottom '[m']]]-MP_DATA[[#This Row],[D, top '[m']]])/(MP_DATA[[#This Row],[Bottom '[mLAT']]]-MP_DATA[[#This Row],[Top '[mLAT']]]),"")</f>
        <v/>
      </c>
      <c r="J139" s="85" t="str">
        <f t="shared" si="6"/>
        <v/>
      </c>
      <c r="K139" s="85" t="str">
        <f>IFERROR((MP_DATA[[#This Row],[D, bottom '[m']]]+MP_DATA[[#This Row],[D, top '[m']]])/(2*MP_DATA[[#This Row],[t '[mm']]]/1000),"")</f>
        <v/>
      </c>
      <c r="AW139" s="85" t="str">
        <f>IFERROR(TP_DATA[[#This Row],[Bottom '[mLAT']]]-TP_DATA[[#This Row],[D, top '[m']]], "")</f>
        <v/>
      </c>
      <c r="AX139" s="85" t="str">
        <f>IFERROR(-(TP_DATA[[#This Row],[D, bottom '[m']]]-TP_DATA[[#This Row],[D, top '[m']]])/(TP_DATA[[#This Row],[Bottom '[mLAT']]]-TP_DATA[[#This Row],[Top '[mLAT']]]),"")</f>
        <v/>
      </c>
      <c r="AY139" s="85" t="str">
        <f t="shared" si="4"/>
        <v/>
      </c>
      <c r="AZ139" s="85" t="str">
        <f>IFERROR((TP_DATA[[#This Row],[D, bottom '[m']]]+TP_DATA[[#This Row],[D, top '[m']]])/(2*TP_DATA[[#This Row],[t '[mm']]]/1000),"")</f>
        <v/>
      </c>
      <c r="CQ139" s="85" t="str">
        <f>IFERROR(TOWER_DATA[[#This Row],[Bottom '[mLAT']]]-TOWER_DATA[[#This Row],[D, top '[m']]], "")</f>
        <v/>
      </c>
      <c r="CR139" s="85" t="str">
        <f>IFERROR(-(TOWER_DATA[[#This Row],[D, bottom '[m']]]-TOWER_DATA[[#This Row],[D, top '[m']]])/(TOWER_DATA[[#This Row],[Bottom '[mLAT']]]-TOWER_DATA[[#This Row],[Top '[mLAT']]]),"")</f>
        <v/>
      </c>
      <c r="CS139" s="85" t="str">
        <f t="shared" si="5"/>
        <v/>
      </c>
      <c r="CT139" s="85" t="str">
        <f>IFERROR((TOWER_DATA[[#This Row],[D, bottom '[m']]]+TOWER_DATA[[#This Row],[D, top '[m']]])/(2*TOWER_DATA[[#This Row],[t '[mm']]]/1000),"")</f>
        <v/>
      </c>
    </row>
    <row r="140" spans="8:99" x14ac:dyDescent="0.3">
      <c r="H140" s="85" t="str">
        <f>IFERROR(MP_DATA[[#This Row],[Bottom '[mLAT']]]-MP_DATA[[#This Row],[D, top '[m']]], "")</f>
        <v/>
      </c>
      <c r="I140" s="85" t="str">
        <f>IFERROR(-(MP_DATA[[#This Row],[D, bottom '[m']]]-MP_DATA[[#This Row],[D, top '[m']]])/(MP_DATA[[#This Row],[Bottom '[mLAT']]]-MP_DATA[[#This Row],[Top '[mLAT']]]),"")</f>
        <v/>
      </c>
      <c r="J140" s="85" t="str">
        <f t="shared" si="6"/>
        <v/>
      </c>
      <c r="K140" s="85" t="str">
        <f>IFERROR((MP_DATA[[#This Row],[D, bottom '[m']]]+MP_DATA[[#This Row],[D, top '[m']]])/(2*MP_DATA[[#This Row],[t '[mm']]]/1000),"")</f>
        <v/>
      </c>
      <c r="AW140" s="85" t="str">
        <f>IFERROR(TP_DATA[[#This Row],[Bottom '[mLAT']]]-TP_DATA[[#This Row],[D, top '[m']]], "")</f>
        <v/>
      </c>
      <c r="AX140" s="85" t="str">
        <f>IFERROR(-(TP_DATA[[#This Row],[D, bottom '[m']]]-TP_DATA[[#This Row],[D, top '[m']]])/(TP_DATA[[#This Row],[Bottom '[mLAT']]]-TP_DATA[[#This Row],[Top '[mLAT']]]),"")</f>
        <v/>
      </c>
      <c r="AY140" s="85" t="str">
        <f t="shared" si="4"/>
        <v/>
      </c>
      <c r="AZ140" s="85" t="str">
        <f>IFERROR((TP_DATA[[#This Row],[D, bottom '[m']]]+TP_DATA[[#This Row],[D, top '[m']]])/(2*TP_DATA[[#This Row],[t '[mm']]]/1000),"")</f>
        <v/>
      </c>
      <c r="CQ140" s="85" t="str">
        <f>IFERROR(TOWER_DATA[[#This Row],[Bottom '[mLAT']]]-TOWER_DATA[[#This Row],[D, top '[m']]], "")</f>
        <v/>
      </c>
      <c r="CR140" s="85" t="str">
        <f>IFERROR(-(TOWER_DATA[[#This Row],[D, bottom '[m']]]-TOWER_DATA[[#This Row],[D, top '[m']]])/(TOWER_DATA[[#This Row],[Bottom '[mLAT']]]-TOWER_DATA[[#This Row],[Top '[mLAT']]]),"")</f>
        <v/>
      </c>
      <c r="CS140" s="85" t="str">
        <f t="shared" si="5"/>
        <v/>
      </c>
      <c r="CT140" s="85" t="str">
        <f>IFERROR((TOWER_DATA[[#This Row],[D, bottom '[m']]]+TOWER_DATA[[#This Row],[D, top '[m']]])/(2*TOWER_DATA[[#This Row],[t '[mm']]]/1000),"")</f>
        <v/>
      </c>
    </row>
    <row r="141" spans="8:99" x14ac:dyDescent="0.3">
      <c r="H141" s="85" t="str">
        <f>IFERROR(MP_DATA[[#This Row],[Bottom '[mLAT']]]-MP_DATA[[#This Row],[D, top '[m']]], "")</f>
        <v/>
      </c>
      <c r="I141" s="85" t="str">
        <f>IFERROR(-(MP_DATA[[#This Row],[D, bottom '[m']]]-MP_DATA[[#This Row],[D, top '[m']]])/(MP_DATA[[#This Row],[Bottom '[mLAT']]]-MP_DATA[[#This Row],[Top '[mLAT']]]),"")</f>
        <v/>
      </c>
      <c r="J141" s="85" t="str">
        <f t="shared" si="6"/>
        <v/>
      </c>
      <c r="K141" s="85" t="str">
        <f>IFERROR((MP_DATA[[#This Row],[D, bottom '[m']]]+MP_DATA[[#This Row],[D, top '[m']]])/(2*MP_DATA[[#This Row],[t '[mm']]]/1000),"")</f>
        <v/>
      </c>
      <c r="AW141" s="85" t="str">
        <f>IFERROR(TP_DATA[[#This Row],[Bottom '[mLAT']]]-TP_DATA[[#This Row],[D, top '[m']]], "")</f>
        <v/>
      </c>
      <c r="AX141" s="85" t="str">
        <f>IFERROR(-(TP_DATA[[#This Row],[D, bottom '[m']]]-TP_DATA[[#This Row],[D, top '[m']]])/(TP_DATA[[#This Row],[Bottom '[mLAT']]]-TP_DATA[[#This Row],[Top '[mLAT']]]),"")</f>
        <v/>
      </c>
      <c r="AY141" s="85" t="str">
        <f t="shared" si="4"/>
        <v/>
      </c>
      <c r="AZ141" s="85" t="str">
        <f>IFERROR((TP_DATA[[#This Row],[D, bottom '[m']]]+TP_DATA[[#This Row],[D, top '[m']]])/(2*TP_DATA[[#This Row],[t '[mm']]]/1000),"")</f>
        <v/>
      </c>
      <c r="CQ141" s="85" t="str">
        <f>IFERROR(TOWER_DATA[[#This Row],[Bottom '[mLAT']]]-TOWER_DATA[[#This Row],[D, top '[m']]], "")</f>
        <v/>
      </c>
      <c r="CR141" s="85" t="str">
        <f>IFERROR(-(TOWER_DATA[[#This Row],[D, bottom '[m']]]-TOWER_DATA[[#This Row],[D, top '[m']]])/(TOWER_DATA[[#This Row],[Bottom '[mLAT']]]-TOWER_DATA[[#This Row],[Top '[mLAT']]]),"")</f>
        <v/>
      </c>
      <c r="CS141" s="85" t="str">
        <f t="shared" si="5"/>
        <v/>
      </c>
      <c r="CT141" s="85" t="str">
        <f>IFERROR((TOWER_DATA[[#This Row],[D, bottom '[m']]]+TOWER_DATA[[#This Row],[D, top '[m']]])/(2*TOWER_DATA[[#This Row],[t '[mm']]]/1000),"")</f>
        <v/>
      </c>
    </row>
    <row r="142" spans="8:99" x14ac:dyDescent="0.3">
      <c r="H142" s="85" t="str">
        <f>IFERROR(MP_DATA[[#This Row],[Bottom '[mLAT']]]-MP_DATA[[#This Row],[D, top '[m']]], "")</f>
        <v/>
      </c>
      <c r="I142" s="85" t="str">
        <f>IFERROR(-(MP_DATA[[#This Row],[D, bottom '[m']]]-MP_DATA[[#This Row],[D, top '[m']]])/(MP_DATA[[#This Row],[Bottom '[mLAT']]]-MP_DATA[[#This Row],[Top '[mLAT']]]),"")</f>
        <v/>
      </c>
      <c r="J142" s="85" t="str">
        <f t="shared" si="6"/>
        <v/>
      </c>
      <c r="K142" s="85" t="str">
        <f>IFERROR((MP_DATA[[#This Row],[D, bottom '[m']]]+MP_DATA[[#This Row],[D, top '[m']]])/(2*MP_DATA[[#This Row],[t '[mm']]]/1000),"")</f>
        <v/>
      </c>
      <c r="AW142" s="85" t="str">
        <f>IFERROR(TP_DATA[[#This Row],[Bottom '[mLAT']]]-TP_DATA[[#This Row],[D, top '[m']]], "")</f>
        <v/>
      </c>
      <c r="AX142" s="85" t="str">
        <f>IFERROR(-(TP_DATA[[#This Row],[D, bottom '[m']]]-TP_DATA[[#This Row],[D, top '[m']]])/(TP_DATA[[#This Row],[Bottom '[mLAT']]]-TP_DATA[[#This Row],[Top '[mLAT']]]),"")</f>
        <v/>
      </c>
      <c r="AY142" s="85" t="str">
        <f t="shared" si="4"/>
        <v/>
      </c>
      <c r="AZ142" s="85" t="str">
        <f>IFERROR((TP_DATA[[#This Row],[D, bottom '[m']]]+TP_DATA[[#This Row],[D, top '[m']]])/(2*TP_DATA[[#This Row],[t '[mm']]]/1000),"")</f>
        <v/>
      </c>
      <c r="CQ142" s="85" t="str">
        <f>IFERROR(TOWER_DATA[[#This Row],[Bottom '[mLAT']]]-TOWER_DATA[[#This Row],[D, top '[m']]], "")</f>
        <v/>
      </c>
      <c r="CR142" s="85" t="str">
        <f>IFERROR(-(TOWER_DATA[[#This Row],[D, bottom '[m']]]-TOWER_DATA[[#This Row],[D, top '[m']]])/(TOWER_DATA[[#This Row],[Bottom '[mLAT']]]-TOWER_DATA[[#This Row],[Top '[mLAT']]]),"")</f>
        <v/>
      </c>
      <c r="CS142" s="85" t="str">
        <f t="shared" si="5"/>
        <v/>
      </c>
      <c r="CT142" s="85" t="str">
        <f>IFERROR((TOWER_DATA[[#This Row],[D, bottom '[m']]]+TOWER_DATA[[#This Row],[D, top '[m']]])/(2*TOWER_DATA[[#This Row],[t '[mm']]]/1000),"")</f>
        <v/>
      </c>
    </row>
    <row r="143" spans="8:99" x14ac:dyDescent="0.3">
      <c r="H143" s="85" t="str">
        <f>IFERROR(MP_DATA[[#This Row],[Bottom '[mLAT']]]-MP_DATA[[#This Row],[D, top '[m']]], "")</f>
        <v/>
      </c>
      <c r="I143" s="85" t="str">
        <f>IFERROR(-(MP_DATA[[#This Row],[D, bottom '[m']]]-MP_DATA[[#This Row],[D, top '[m']]])/(MP_DATA[[#This Row],[Bottom '[mLAT']]]-MP_DATA[[#This Row],[Top '[mLAT']]]),"")</f>
        <v/>
      </c>
      <c r="J143" s="85" t="str">
        <f t="shared" si="6"/>
        <v/>
      </c>
      <c r="K143" s="85" t="str">
        <f>IFERROR((MP_DATA[[#This Row],[D, bottom '[m']]]+MP_DATA[[#This Row],[D, top '[m']]])/(2*MP_DATA[[#This Row],[t '[mm']]]/1000),"")</f>
        <v/>
      </c>
      <c r="AW143" s="85" t="str">
        <f>IFERROR(TP_DATA[[#This Row],[Bottom '[mLAT']]]-TP_DATA[[#This Row],[D, top '[m']]], "")</f>
        <v/>
      </c>
      <c r="AX143" s="85" t="str">
        <f>IFERROR(-(TP_DATA[[#This Row],[D, bottom '[m']]]-TP_DATA[[#This Row],[D, top '[m']]])/(TP_DATA[[#This Row],[Bottom '[mLAT']]]-TP_DATA[[#This Row],[Top '[mLAT']]]),"")</f>
        <v/>
      </c>
      <c r="AY143" s="85" t="str">
        <f t="shared" si="4"/>
        <v/>
      </c>
      <c r="AZ143" s="85" t="str">
        <f>IFERROR((TP_DATA[[#This Row],[D, bottom '[m']]]+TP_DATA[[#This Row],[D, top '[m']]])/(2*TP_DATA[[#This Row],[t '[mm']]]/1000),"")</f>
        <v/>
      </c>
      <c r="CQ143" s="85" t="str">
        <f>IFERROR(TOWER_DATA[[#This Row],[Bottom '[mLAT']]]-TOWER_DATA[[#This Row],[D, top '[m']]], "")</f>
        <v/>
      </c>
      <c r="CR143" s="85" t="str">
        <f>IFERROR(-(TOWER_DATA[[#This Row],[D, bottom '[m']]]-TOWER_DATA[[#This Row],[D, top '[m']]])/(TOWER_DATA[[#This Row],[Bottom '[mLAT']]]-TOWER_DATA[[#This Row],[Top '[mLAT']]]),"")</f>
        <v/>
      </c>
      <c r="CS143" s="85" t="str">
        <f t="shared" si="5"/>
        <v/>
      </c>
      <c r="CT143" s="85" t="str">
        <f>IFERROR((TOWER_DATA[[#This Row],[D, bottom '[m']]]+TOWER_DATA[[#This Row],[D, top '[m']]])/(2*TOWER_DATA[[#This Row],[t '[mm']]]/1000),"")</f>
        <v/>
      </c>
    </row>
    <row r="144" spans="8:99" x14ac:dyDescent="0.3">
      <c r="H144" s="85" t="str">
        <f>IFERROR(MP_DATA[[#This Row],[Bottom '[mLAT']]]-MP_DATA[[#This Row],[D, top '[m']]], "")</f>
        <v/>
      </c>
      <c r="I144" s="85" t="str">
        <f>IFERROR(-(MP_DATA[[#This Row],[D, bottom '[m']]]-MP_DATA[[#This Row],[D, top '[m']]])/(MP_DATA[[#This Row],[Bottom '[mLAT']]]-MP_DATA[[#This Row],[Top '[mLAT']]]),"")</f>
        <v/>
      </c>
      <c r="J144" s="85" t="str">
        <f t="shared" si="6"/>
        <v/>
      </c>
      <c r="K144" s="85" t="str">
        <f>IFERROR((MP_DATA[[#This Row],[D, bottom '[m']]]+MP_DATA[[#This Row],[D, top '[m']]])/(2*MP_DATA[[#This Row],[t '[mm']]]/1000),"")</f>
        <v/>
      </c>
      <c r="AW144" s="85" t="str">
        <f>IFERROR(TP_DATA[[#This Row],[Bottom '[mLAT']]]-TP_DATA[[#This Row],[D, top '[m']]], "")</f>
        <v/>
      </c>
      <c r="AX144" s="85" t="str">
        <f>IFERROR(-(TP_DATA[[#This Row],[D, bottom '[m']]]-TP_DATA[[#This Row],[D, top '[m']]])/(TP_DATA[[#This Row],[Bottom '[mLAT']]]-TP_DATA[[#This Row],[Top '[mLAT']]]),"")</f>
        <v/>
      </c>
      <c r="AY144" s="85" t="str">
        <f t="shared" si="4"/>
        <v/>
      </c>
      <c r="AZ144" s="85" t="str">
        <f>IFERROR((TP_DATA[[#This Row],[D, bottom '[m']]]+TP_DATA[[#This Row],[D, top '[m']]])/(2*TP_DATA[[#This Row],[t '[mm']]]/1000),"")</f>
        <v/>
      </c>
      <c r="CQ144" s="85" t="str">
        <f>IFERROR(TOWER_DATA[[#This Row],[Bottom '[mLAT']]]-TOWER_DATA[[#This Row],[D, top '[m']]], "")</f>
        <v/>
      </c>
      <c r="CR144" s="85" t="str">
        <f>IFERROR(-(TOWER_DATA[[#This Row],[D, bottom '[m']]]-TOWER_DATA[[#This Row],[D, top '[m']]])/(TOWER_DATA[[#This Row],[Bottom '[mLAT']]]-TOWER_DATA[[#This Row],[Top '[mLAT']]]),"")</f>
        <v/>
      </c>
      <c r="CS144" s="85" t="str">
        <f t="shared" si="5"/>
        <v/>
      </c>
      <c r="CT144" s="85" t="str">
        <f>IFERROR((TOWER_DATA[[#This Row],[D, bottom '[m']]]+TOWER_DATA[[#This Row],[D, top '[m']]])/(2*TOWER_DATA[[#This Row],[t '[mm']]]/1000),"")</f>
        <v/>
      </c>
    </row>
    <row r="145" spans="8:98" x14ac:dyDescent="0.3">
      <c r="H145" s="85" t="str">
        <f>IFERROR(MP_DATA[[#This Row],[Bottom '[mLAT']]]-MP_DATA[[#This Row],[D, top '[m']]], "")</f>
        <v/>
      </c>
      <c r="I145" s="85" t="str">
        <f>IFERROR(-(MP_DATA[[#This Row],[D, bottom '[m']]]-MP_DATA[[#This Row],[D, top '[m']]])/(MP_DATA[[#This Row],[Bottom '[mLAT']]]-MP_DATA[[#This Row],[Top '[mLAT']]]),"")</f>
        <v/>
      </c>
      <c r="J145" s="85" t="str">
        <f t="shared" si="6"/>
        <v/>
      </c>
      <c r="K145" s="85" t="str">
        <f>IFERROR((MP_DATA[[#This Row],[D, bottom '[m']]]+MP_DATA[[#This Row],[D, top '[m']]])/(2*MP_DATA[[#This Row],[t '[mm']]]/1000),"")</f>
        <v/>
      </c>
      <c r="AW145" s="85" t="str">
        <f>IFERROR(TP_DATA[[#This Row],[Bottom '[mLAT']]]-TP_DATA[[#This Row],[D, top '[m']]], "")</f>
        <v/>
      </c>
      <c r="AX145" s="85" t="str">
        <f>IFERROR(-(TP_DATA[[#This Row],[D, bottom '[m']]]-TP_DATA[[#This Row],[D, top '[m']]])/(TP_DATA[[#This Row],[Bottom '[mLAT']]]-TP_DATA[[#This Row],[Top '[mLAT']]]),"")</f>
        <v/>
      </c>
      <c r="AY145" s="85" t="str">
        <f t="shared" si="4"/>
        <v/>
      </c>
      <c r="AZ145" s="85" t="str">
        <f>IFERROR((TP_DATA[[#This Row],[D, bottom '[m']]]+TP_DATA[[#This Row],[D, top '[m']]])/(2*TP_DATA[[#This Row],[t '[mm']]]/1000),"")</f>
        <v/>
      </c>
      <c r="CQ145" s="85" t="str">
        <f>IFERROR(TOWER_DATA[[#This Row],[Bottom '[mLAT']]]-TOWER_DATA[[#This Row],[D, top '[m']]], "")</f>
        <v/>
      </c>
      <c r="CR145" s="85" t="str">
        <f>IFERROR(-(TOWER_DATA[[#This Row],[D, bottom '[m']]]-TOWER_DATA[[#This Row],[D, top '[m']]])/(TOWER_DATA[[#This Row],[Bottom '[mLAT']]]-TOWER_DATA[[#This Row],[Top '[mLAT']]]),"")</f>
        <v/>
      </c>
      <c r="CS145" s="85" t="str">
        <f t="shared" si="5"/>
        <v/>
      </c>
      <c r="CT145" s="85" t="str">
        <f>IFERROR((TOWER_DATA[[#This Row],[D, bottom '[m']]]+TOWER_DATA[[#This Row],[D, top '[m']]])/(2*TOWER_DATA[[#This Row],[t '[mm']]]/1000),"")</f>
        <v/>
      </c>
    </row>
    <row r="146" spans="8:98" x14ac:dyDescent="0.3">
      <c r="H146" s="85" t="str">
        <f>IFERROR(MP_DATA[[#This Row],[Bottom '[mLAT']]]-MP_DATA[[#This Row],[D, top '[m']]], "")</f>
        <v/>
      </c>
      <c r="I146" s="85" t="str">
        <f>IFERROR(-(MP_DATA[[#This Row],[D, bottom '[m']]]-MP_DATA[[#This Row],[D, top '[m']]])/(MP_DATA[[#This Row],[Bottom '[mLAT']]]-MP_DATA[[#This Row],[Top '[mLAT']]]),"")</f>
        <v/>
      </c>
      <c r="J146" s="85" t="str">
        <f t="shared" si="6"/>
        <v/>
      </c>
      <c r="K146" s="85" t="str">
        <f>IFERROR((MP_DATA[[#This Row],[D, bottom '[m']]]+MP_DATA[[#This Row],[D, top '[m']]])/(2*MP_DATA[[#This Row],[t '[mm']]]/1000),"")</f>
        <v/>
      </c>
      <c r="AW146" s="85" t="str">
        <f>IFERROR(TP_DATA[[#This Row],[Bottom '[mLAT']]]-TP_DATA[[#This Row],[D, top '[m']]], "")</f>
        <v/>
      </c>
      <c r="AX146" s="85" t="str">
        <f>IFERROR(-(TP_DATA[[#This Row],[D, bottom '[m']]]-TP_DATA[[#This Row],[D, top '[m']]])/(TP_DATA[[#This Row],[Bottom '[mLAT']]]-TP_DATA[[#This Row],[Top '[mLAT']]]),"")</f>
        <v/>
      </c>
      <c r="AY146" s="85" t="str">
        <f t="shared" si="4"/>
        <v/>
      </c>
      <c r="AZ146" s="85" t="str">
        <f>IFERROR((TP_DATA[[#This Row],[D, bottom '[m']]]+TP_DATA[[#This Row],[D, top '[m']]])/(2*TP_DATA[[#This Row],[t '[mm']]]/1000),"")</f>
        <v/>
      </c>
      <c r="CQ146" s="85" t="str">
        <f>IFERROR(TOWER_DATA[[#This Row],[Bottom '[mLAT']]]-TOWER_DATA[[#This Row],[D, top '[m']]], "")</f>
        <v/>
      </c>
      <c r="CR146" s="85" t="str">
        <f>IFERROR(-(TOWER_DATA[[#This Row],[D, bottom '[m']]]-TOWER_DATA[[#This Row],[D, top '[m']]])/(TOWER_DATA[[#This Row],[Bottom '[mLAT']]]-TOWER_DATA[[#This Row],[Top '[mLAT']]]),"")</f>
        <v/>
      </c>
      <c r="CS146" s="85" t="str">
        <f t="shared" si="5"/>
        <v/>
      </c>
      <c r="CT146" s="85" t="str">
        <f>IFERROR((TOWER_DATA[[#This Row],[D, bottom '[m']]]+TOWER_DATA[[#This Row],[D, top '[m']]])/(2*TOWER_DATA[[#This Row],[t '[mm']]]/1000),"")</f>
        <v/>
      </c>
    </row>
    <row r="147" spans="8:98" x14ac:dyDescent="0.3">
      <c r="H147" s="85" t="str">
        <f>IFERROR(MP_DATA[[#This Row],[Bottom '[mLAT']]]-MP_DATA[[#This Row],[D, top '[m']]], "")</f>
        <v/>
      </c>
      <c r="I147" s="85" t="str">
        <f>IFERROR(-(MP_DATA[[#This Row],[D, bottom '[m']]]-MP_DATA[[#This Row],[D, top '[m']]])/(MP_DATA[[#This Row],[Bottom '[mLAT']]]-MP_DATA[[#This Row],[Top '[mLAT']]]),"")</f>
        <v/>
      </c>
      <c r="J147" s="85" t="str">
        <f t="shared" si="6"/>
        <v/>
      </c>
      <c r="K147" s="85" t="str">
        <f>IFERROR((MP_DATA[[#This Row],[D, bottom '[m']]]+MP_DATA[[#This Row],[D, top '[m']]])/(2*MP_DATA[[#This Row],[t '[mm']]]/1000),"")</f>
        <v/>
      </c>
      <c r="AW147" s="85" t="str">
        <f>IFERROR(TP_DATA[[#This Row],[Bottom '[mLAT']]]-TP_DATA[[#This Row],[D, top '[m']]], "")</f>
        <v/>
      </c>
      <c r="AX147" s="85" t="str">
        <f>IFERROR(-(TP_DATA[[#This Row],[D, bottom '[m']]]-TP_DATA[[#This Row],[D, top '[m']]])/(TP_DATA[[#This Row],[Bottom '[mLAT']]]-TP_DATA[[#This Row],[Top '[mLAT']]]),"")</f>
        <v/>
      </c>
      <c r="AY147" s="85" t="str">
        <f t="shared" ref="AY147:AY154" si="7">IF(7850/1000*(1/3)*PI()*ABS(AR147-AS147)*((AT147/2)^2+(AT147/2)*(AU147/2)+(AU147/2)^2-(AT147/2-AV147/1000)^2-(AT147/2-AV147/1000)*(AU147/2-AV147/1000)-(AU147/2-AV147/1000)^2)=0,"",7850/1000*(1/3)*PI()*ABS(AR147-AS147)*((AT147/2)^2+(AT147/2)*(AU147/2)+(AU147/2)^2-(AT147/2-AV147/1000)^2-(AT147/2-AV147/1000)*(AU147/2-AV147/1000)-(AU147/2-AV147/1000)^2))</f>
        <v/>
      </c>
      <c r="AZ147" s="85" t="str">
        <f>IFERROR((TP_DATA[[#This Row],[D, bottom '[m']]]+TP_DATA[[#This Row],[D, top '[m']]])/(2*TP_DATA[[#This Row],[t '[mm']]]/1000),"")</f>
        <v/>
      </c>
      <c r="CQ147" s="85" t="str">
        <f>IFERROR(TOWER_DATA[[#This Row],[Bottom '[mLAT']]]-TOWER_DATA[[#This Row],[D, top '[m']]], "")</f>
        <v/>
      </c>
      <c r="CR147" s="85" t="str">
        <f>IFERROR(-(TOWER_DATA[[#This Row],[D, bottom '[m']]]-TOWER_DATA[[#This Row],[D, top '[m']]])/(TOWER_DATA[[#This Row],[Bottom '[mLAT']]]-TOWER_DATA[[#This Row],[Top '[mLAT']]]),"")</f>
        <v/>
      </c>
      <c r="CS147" s="85" t="str">
        <f t="shared" ref="CS147:CS154" si="8">IF(7850/1000*(1/3)*PI()*ABS(CL147-CM147)*((CN147/2)^2+(CN147/2)*(CO147/2)+(CO147/2)^2-(CN147/2-CP147/1000)^2-(CN147/2-CP147/1000)*(CO147/2-CP147/1000)-(CO147/2-CP147/1000)^2)=0,"",7850/1000*(1/3)*PI()*ABS(CL147-CM147)*((CN147/2)^2+(CN147/2)*(CO147/2)+(CO147/2)^2-(CN147/2-CP147/1000)^2-(CN147/2-CP147/1000)*(CO147/2-CP147/1000)-(CO147/2-CP147/1000)^2))</f>
        <v/>
      </c>
      <c r="CT147" s="85" t="str">
        <f>IFERROR((TOWER_DATA[[#This Row],[D, bottom '[m']]]+TOWER_DATA[[#This Row],[D, top '[m']]])/(2*TOWER_DATA[[#This Row],[t '[mm']]]/1000),"")</f>
        <v/>
      </c>
    </row>
    <row r="148" spans="8:98" x14ac:dyDescent="0.3">
      <c r="H148" s="85" t="str">
        <f>IFERROR(MP_DATA[[#This Row],[Bottom '[mLAT']]]-MP_DATA[[#This Row],[D, top '[m']]], "")</f>
        <v/>
      </c>
      <c r="I148" s="85" t="str">
        <f>IFERROR(-(MP_DATA[[#This Row],[D, bottom '[m']]]-MP_DATA[[#This Row],[D, top '[m']]])/(MP_DATA[[#This Row],[Bottom '[mLAT']]]-MP_DATA[[#This Row],[Top '[mLAT']]]),"")</f>
        <v/>
      </c>
      <c r="J148" s="85" t="str">
        <f t="shared" ref="J148:J154" si="9">IF(7850/1000*(1/3)*PI()*ABS(C148-D148)*((E148/2)^2+(E148/2)*(F148/2)+(F148/2)^2-(E148/2-G148/1000)^2-(E148/2-G148/1000)*(F148/2-G148/1000)-(F148/2-G148/1000)^2)=0,"",7850/1000*(1/3)*PI()*ABS(C148-D148)*((E148/2)^2+(E148/2)*(F148/2)+(F148/2)^2-(E148/2-G148/1000)^2-(E148/2-G148/1000)*(F148/2-G148/1000)-(F148/2-G148/1000)^2))</f>
        <v/>
      </c>
      <c r="K148" s="85" t="str">
        <f>IFERROR((MP_DATA[[#This Row],[D, bottom '[m']]]+MP_DATA[[#This Row],[D, top '[m']]])/(2*MP_DATA[[#This Row],[t '[mm']]]/1000),"")</f>
        <v/>
      </c>
      <c r="AW148" s="85" t="str">
        <f>IFERROR(TP_DATA[[#This Row],[Bottom '[mLAT']]]-TP_DATA[[#This Row],[D, top '[m']]], "")</f>
        <v/>
      </c>
      <c r="AX148" s="85" t="str">
        <f>IFERROR(-(TP_DATA[[#This Row],[D, bottom '[m']]]-TP_DATA[[#This Row],[D, top '[m']]])/(TP_DATA[[#This Row],[Bottom '[mLAT']]]-TP_DATA[[#This Row],[Top '[mLAT']]]),"")</f>
        <v/>
      </c>
      <c r="AY148" s="85" t="str">
        <f t="shared" si="7"/>
        <v/>
      </c>
      <c r="AZ148" s="85" t="str">
        <f>IFERROR((TP_DATA[[#This Row],[D, bottom '[m']]]+TP_DATA[[#This Row],[D, top '[m']]])/(2*TP_DATA[[#This Row],[t '[mm']]]/1000),"")</f>
        <v/>
      </c>
      <c r="CQ148" s="85" t="str">
        <f>IFERROR(TOWER_DATA[[#This Row],[Bottom '[mLAT']]]-TOWER_DATA[[#This Row],[D, top '[m']]], "")</f>
        <v/>
      </c>
      <c r="CR148" s="85" t="str">
        <f>IFERROR(-(TOWER_DATA[[#This Row],[D, bottom '[m']]]-TOWER_DATA[[#This Row],[D, top '[m']]])/(TOWER_DATA[[#This Row],[Bottom '[mLAT']]]-TOWER_DATA[[#This Row],[Top '[mLAT']]]),"")</f>
        <v/>
      </c>
      <c r="CS148" s="85" t="str">
        <f t="shared" si="8"/>
        <v/>
      </c>
      <c r="CT148" s="85" t="str">
        <f>IFERROR((TOWER_DATA[[#This Row],[D, bottom '[m']]]+TOWER_DATA[[#This Row],[D, top '[m']]])/(2*TOWER_DATA[[#This Row],[t '[mm']]]/1000),"")</f>
        <v/>
      </c>
    </row>
    <row r="149" spans="8:98" x14ac:dyDescent="0.3">
      <c r="H149" s="85" t="str">
        <f>IFERROR(MP_DATA[[#This Row],[Bottom '[mLAT']]]-MP_DATA[[#This Row],[D, top '[m']]], "")</f>
        <v/>
      </c>
      <c r="I149" s="85" t="str">
        <f>IFERROR(-(MP_DATA[[#This Row],[D, bottom '[m']]]-MP_DATA[[#This Row],[D, top '[m']]])/(MP_DATA[[#This Row],[Bottom '[mLAT']]]-MP_DATA[[#This Row],[Top '[mLAT']]]),"")</f>
        <v/>
      </c>
      <c r="J149" s="85" t="str">
        <f t="shared" si="9"/>
        <v/>
      </c>
      <c r="K149" s="85" t="str">
        <f>IFERROR((MP_DATA[[#This Row],[D, bottom '[m']]]+MP_DATA[[#This Row],[D, top '[m']]])/(2*MP_DATA[[#This Row],[t '[mm']]]/1000),"")</f>
        <v/>
      </c>
      <c r="AW149" s="85" t="str">
        <f>IFERROR(TP_DATA[[#This Row],[Bottom '[mLAT']]]-TP_DATA[[#This Row],[D, top '[m']]], "")</f>
        <v/>
      </c>
      <c r="AX149" s="85" t="str">
        <f>IFERROR(-(TP_DATA[[#This Row],[D, bottom '[m']]]-TP_DATA[[#This Row],[D, top '[m']]])/(TP_DATA[[#This Row],[Bottom '[mLAT']]]-TP_DATA[[#This Row],[Top '[mLAT']]]),"")</f>
        <v/>
      </c>
      <c r="AY149" s="85" t="str">
        <f t="shared" si="7"/>
        <v/>
      </c>
      <c r="AZ149" s="85" t="str">
        <f>IFERROR((TP_DATA[[#This Row],[D, bottom '[m']]]+TP_DATA[[#This Row],[D, top '[m']]])/(2*TP_DATA[[#This Row],[t '[mm']]]/1000),"")</f>
        <v/>
      </c>
      <c r="CQ149" s="85" t="str">
        <f>IFERROR(TOWER_DATA[[#This Row],[Bottom '[mLAT']]]-TOWER_DATA[[#This Row],[D, top '[m']]], "")</f>
        <v/>
      </c>
      <c r="CR149" s="85" t="str">
        <f>IFERROR(-(TOWER_DATA[[#This Row],[D, bottom '[m']]]-TOWER_DATA[[#This Row],[D, top '[m']]])/(TOWER_DATA[[#This Row],[Bottom '[mLAT']]]-TOWER_DATA[[#This Row],[Top '[mLAT']]]),"")</f>
        <v/>
      </c>
      <c r="CS149" s="85" t="str">
        <f t="shared" si="8"/>
        <v/>
      </c>
      <c r="CT149" s="85" t="str">
        <f>IFERROR((TOWER_DATA[[#This Row],[D, bottom '[m']]]+TOWER_DATA[[#This Row],[D, top '[m']]])/(2*TOWER_DATA[[#This Row],[t '[mm']]]/1000),"")</f>
        <v/>
      </c>
    </row>
    <row r="150" spans="8:98" x14ac:dyDescent="0.3">
      <c r="H150" s="85" t="str">
        <f>IFERROR(MP_DATA[[#This Row],[Bottom '[mLAT']]]-MP_DATA[[#This Row],[D, top '[m']]], "")</f>
        <v/>
      </c>
      <c r="I150" s="85" t="str">
        <f>IFERROR(-(MP_DATA[[#This Row],[D, bottom '[m']]]-MP_DATA[[#This Row],[D, top '[m']]])/(MP_DATA[[#This Row],[Bottom '[mLAT']]]-MP_DATA[[#This Row],[Top '[mLAT']]]),"")</f>
        <v/>
      </c>
      <c r="J150" s="85" t="str">
        <f t="shared" si="9"/>
        <v/>
      </c>
      <c r="K150" s="85" t="str">
        <f>IFERROR((MP_DATA[[#This Row],[D, bottom '[m']]]+MP_DATA[[#This Row],[D, top '[m']]])/(2*MP_DATA[[#This Row],[t '[mm']]]/1000),"")</f>
        <v/>
      </c>
      <c r="AW150" s="85" t="str">
        <f>IFERROR(TP_DATA[[#This Row],[Bottom '[mLAT']]]-TP_DATA[[#This Row],[D, top '[m']]], "")</f>
        <v/>
      </c>
      <c r="AX150" s="85" t="str">
        <f>IFERROR(-(TP_DATA[[#This Row],[D, bottom '[m']]]-TP_DATA[[#This Row],[D, top '[m']]])/(TP_DATA[[#This Row],[Bottom '[mLAT']]]-TP_DATA[[#This Row],[Top '[mLAT']]]),"")</f>
        <v/>
      </c>
      <c r="AY150" s="85" t="str">
        <f t="shared" si="7"/>
        <v/>
      </c>
      <c r="AZ150" s="85" t="str">
        <f>IFERROR((TP_DATA[[#This Row],[D, bottom '[m']]]+TP_DATA[[#This Row],[D, top '[m']]])/(2*TP_DATA[[#This Row],[t '[mm']]]/1000),"")</f>
        <v/>
      </c>
      <c r="CQ150" s="85" t="str">
        <f>IFERROR(TOWER_DATA[[#This Row],[Bottom '[mLAT']]]-TOWER_DATA[[#This Row],[D, top '[m']]], "")</f>
        <v/>
      </c>
      <c r="CR150" s="85" t="str">
        <f>IFERROR(-(TOWER_DATA[[#This Row],[D, bottom '[m']]]-TOWER_DATA[[#This Row],[D, top '[m']]])/(TOWER_DATA[[#This Row],[Bottom '[mLAT']]]-TOWER_DATA[[#This Row],[Top '[mLAT']]]),"")</f>
        <v/>
      </c>
      <c r="CS150" s="85" t="str">
        <f t="shared" si="8"/>
        <v/>
      </c>
      <c r="CT150" s="85" t="str">
        <f>IFERROR((TOWER_DATA[[#This Row],[D, bottom '[m']]]+TOWER_DATA[[#This Row],[D, top '[m']]])/(2*TOWER_DATA[[#This Row],[t '[mm']]]/1000),"")</f>
        <v/>
      </c>
    </row>
    <row r="151" spans="8:98" x14ac:dyDescent="0.3">
      <c r="H151" s="85" t="str">
        <f>IFERROR(MP_DATA[[#This Row],[Bottom '[mLAT']]]-MP_DATA[[#This Row],[D, top '[m']]], "")</f>
        <v/>
      </c>
      <c r="I151" s="85" t="str">
        <f>IFERROR(-(MP_DATA[[#This Row],[D, bottom '[m']]]-MP_DATA[[#This Row],[D, top '[m']]])/(MP_DATA[[#This Row],[Bottom '[mLAT']]]-MP_DATA[[#This Row],[Top '[mLAT']]]),"")</f>
        <v/>
      </c>
      <c r="J151" s="85" t="str">
        <f t="shared" si="9"/>
        <v/>
      </c>
      <c r="K151" s="85" t="str">
        <f>IFERROR((MP_DATA[[#This Row],[D, bottom '[m']]]+MP_DATA[[#This Row],[D, top '[m']]])/(2*MP_DATA[[#This Row],[t '[mm']]]/1000),"")</f>
        <v/>
      </c>
      <c r="AW151" s="85" t="str">
        <f>IFERROR(TP_DATA[[#This Row],[Bottom '[mLAT']]]-TP_DATA[[#This Row],[D, top '[m']]], "")</f>
        <v/>
      </c>
      <c r="AX151" s="85" t="str">
        <f>IFERROR(-(TP_DATA[[#This Row],[D, bottom '[m']]]-TP_DATA[[#This Row],[D, top '[m']]])/(TP_DATA[[#This Row],[Bottom '[mLAT']]]-TP_DATA[[#This Row],[Top '[mLAT']]]),"")</f>
        <v/>
      </c>
      <c r="AY151" s="85" t="str">
        <f t="shared" si="7"/>
        <v/>
      </c>
      <c r="AZ151" s="85" t="str">
        <f>IFERROR((TP_DATA[[#This Row],[D, bottom '[m']]]+TP_DATA[[#This Row],[D, top '[m']]])/(2*TP_DATA[[#This Row],[t '[mm']]]/1000),"")</f>
        <v/>
      </c>
      <c r="CQ151" s="85" t="str">
        <f>IFERROR(TOWER_DATA[[#This Row],[Bottom '[mLAT']]]-TOWER_DATA[[#This Row],[D, top '[m']]], "")</f>
        <v/>
      </c>
      <c r="CR151" s="85" t="str">
        <f>IFERROR(-(TOWER_DATA[[#This Row],[D, bottom '[m']]]-TOWER_DATA[[#This Row],[D, top '[m']]])/(TOWER_DATA[[#This Row],[Bottom '[mLAT']]]-TOWER_DATA[[#This Row],[Top '[mLAT']]]),"")</f>
        <v/>
      </c>
      <c r="CS151" s="85" t="str">
        <f t="shared" si="8"/>
        <v/>
      </c>
      <c r="CT151" s="85" t="str">
        <f>IFERROR((TOWER_DATA[[#This Row],[D, bottom '[m']]]+TOWER_DATA[[#This Row],[D, top '[m']]])/(2*TOWER_DATA[[#This Row],[t '[mm']]]/1000),"")</f>
        <v/>
      </c>
    </row>
    <row r="152" spans="8:98" x14ac:dyDescent="0.3">
      <c r="H152" s="85" t="str">
        <f>IFERROR(MP_DATA[[#This Row],[Bottom '[mLAT']]]-MP_DATA[[#This Row],[D, top '[m']]], "")</f>
        <v/>
      </c>
      <c r="I152" s="85" t="str">
        <f>IFERROR(-(MP_DATA[[#This Row],[D, bottom '[m']]]-MP_DATA[[#This Row],[D, top '[m']]])/(MP_DATA[[#This Row],[Bottom '[mLAT']]]-MP_DATA[[#This Row],[Top '[mLAT']]]),"")</f>
        <v/>
      </c>
      <c r="J152" s="85" t="str">
        <f t="shared" si="9"/>
        <v/>
      </c>
      <c r="K152" s="85" t="str">
        <f>IFERROR((MP_DATA[[#This Row],[D, bottom '[m']]]+MP_DATA[[#This Row],[D, top '[m']]])/(2*MP_DATA[[#This Row],[t '[mm']]]/1000),"")</f>
        <v/>
      </c>
      <c r="AW152" s="85" t="str">
        <f>IFERROR(TP_DATA[[#This Row],[Bottom '[mLAT']]]-TP_DATA[[#This Row],[D, top '[m']]], "")</f>
        <v/>
      </c>
      <c r="AX152" s="85" t="str">
        <f>IFERROR(-(TP_DATA[[#This Row],[D, bottom '[m']]]-TP_DATA[[#This Row],[D, top '[m']]])/(TP_DATA[[#This Row],[Bottom '[mLAT']]]-TP_DATA[[#This Row],[Top '[mLAT']]]),"")</f>
        <v/>
      </c>
      <c r="AY152" s="85" t="str">
        <f t="shared" si="7"/>
        <v/>
      </c>
      <c r="AZ152" s="85" t="str">
        <f>IFERROR((TP_DATA[[#This Row],[D, bottom '[m']]]+TP_DATA[[#This Row],[D, top '[m']]])/(2*TP_DATA[[#This Row],[t '[mm']]]/1000),"")</f>
        <v/>
      </c>
      <c r="CQ152" s="85" t="str">
        <f>IFERROR(TOWER_DATA[[#This Row],[Bottom '[mLAT']]]-TOWER_DATA[[#This Row],[D, top '[m']]], "")</f>
        <v/>
      </c>
      <c r="CR152" s="85" t="str">
        <f>IFERROR(-(TOWER_DATA[[#This Row],[D, bottom '[m']]]-TOWER_DATA[[#This Row],[D, top '[m']]])/(TOWER_DATA[[#This Row],[Bottom '[mLAT']]]-TOWER_DATA[[#This Row],[Top '[mLAT']]]),"")</f>
        <v/>
      </c>
      <c r="CS152" s="85" t="str">
        <f t="shared" si="8"/>
        <v/>
      </c>
      <c r="CT152" s="85" t="str">
        <f>IFERROR((TOWER_DATA[[#This Row],[D, bottom '[m']]]+TOWER_DATA[[#This Row],[D, top '[m']]])/(2*TOWER_DATA[[#This Row],[t '[mm']]]/1000),"")</f>
        <v/>
      </c>
    </row>
    <row r="153" spans="8:98" x14ac:dyDescent="0.3">
      <c r="H153" s="85" t="str">
        <f>IFERROR(MP_DATA[[#This Row],[Bottom '[mLAT']]]-MP_DATA[[#This Row],[D, top '[m']]], "")</f>
        <v/>
      </c>
      <c r="I153" s="85" t="str">
        <f>IFERROR(-(MP_DATA[[#This Row],[D, bottom '[m']]]-MP_DATA[[#This Row],[D, top '[m']]])/(MP_DATA[[#This Row],[Bottom '[mLAT']]]-MP_DATA[[#This Row],[Top '[mLAT']]]),"")</f>
        <v/>
      </c>
      <c r="J153" s="85" t="str">
        <f t="shared" si="9"/>
        <v/>
      </c>
      <c r="K153" s="85" t="str">
        <f>IFERROR((MP_DATA[[#This Row],[D, bottom '[m']]]+MP_DATA[[#This Row],[D, top '[m']]])/(2*MP_DATA[[#This Row],[t '[mm']]]/1000),"")</f>
        <v/>
      </c>
      <c r="AW153" s="85" t="str">
        <f>IFERROR(TP_DATA[[#This Row],[Bottom '[mLAT']]]-TP_DATA[[#This Row],[D, top '[m']]], "")</f>
        <v/>
      </c>
      <c r="AX153" s="85" t="str">
        <f>IFERROR(-(TP_DATA[[#This Row],[D, bottom '[m']]]-TP_DATA[[#This Row],[D, top '[m']]])/(TP_DATA[[#This Row],[Bottom '[mLAT']]]-TP_DATA[[#This Row],[Top '[mLAT']]]),"")</f>
        <v/>
      </c>
      <c r="AY153" s="85" t="str">
        <f t="shared" si="7"/>
        <v/>
      </c>
      <c r="AZ153" s="85" t="str">
        <f>IFERROR((TP_DATA[[#This Row],[D, bottom '[m']]]+TP_DATA[[#This Row],[D, top '[m']]])/(2*TP_DATA[[#This Row],[t '[mm']]]/1000),"")</f>
        <v/>
      </c>
      <c r="CQ153" s="85" t="str">
        <f>IFERROR(TOWER_DATA[[#This Row],[Bottom '[mLAT']]]-TOWER_DATA[[#This Row],[D, top '[m']]], "")</f>
        <v/>
      </c>
      <c r="CR153" s="85" t="str">
        <f>IFERROR(-(TOWER_DATA[[#This Row],[D, bottom '[m']]]-TOWER_DATA[[#This Row],[D, top '[m']]])/(TOWER_DATA[[#This Row],[Bottom '[mLAT']]]-TOWER_DATA[[#This Row],[Top '[mLAT']]]),"")</f>
        <v/>
      </c>
      <c r="CS153" s="85" t="str">
        <f t="shared" si="8"/>
        <v/>
      </c>
      <c r="CT153" s="85" t="str">
        <f>IFERROR((TOWER_DATA[[#This Row],[D, bottom '[m']]]+TOWER_DATA[[#This Row],[D, top '[m']]])/(2*TOWER_DATA[[#This Row],[t '[mm']]]/1000),"")</f>
        <v/>
      </c>
    </row>
    <row r="154" spans="8:98" x14ac:dyDescent="0.3">
      <c r="H154" s="85" t="str">
        <f>IFERROR(MP_DATA[[#This Row],[Bottom '[mLAT']]]-MP_DATA[[#This Row],[D, top '[m']]], "")</f>
        <v/>
      </c>
      <c r="I154" s="85" t="str">
        <f>IFERROR(-(MP_DATA[[#This Row],[D, bottom '[m']]]-MP_DATA[[#This Row],[D, top '[m']]])/(MP_DATA[[#This Row],[Bottom '[mLAT']]]-MP_DATA[[#This Row],[Top '[mLAT']]]),"")</f>
        <v/>
      </c>
      <c r="J154" s="85" t="str">
        <f t="shared" si="9"/>
        <v/>
      </c>
      <c r="K154" s="85" t="str">
        <f>IFERROR((MP_DATA[[#This Row],[D, bottom '[m']]]+MP_DATA[[#This Row],[D, top '[m']]])/(2*MP_DATA[[#This Row],[t '[mm']]]/1000),"")</f>
        <v/>
      </c>
      <c r="AW154" s="85" t="str">
        <f>IFERROR(TP_DATA[[#This Row],[Bottom '[mLAT']]]-TP_DATA[[#This Row],[D, top '[m']]], "")</f>
        <v/>
      </c>
      <c r="AX154" s="85" t="str">
        <f>IFERROR(-(TP_DATA[[#This Row],[D, bottom '[m']]]-TP_DATA[[#This Row],[D, top '[m']]])/(TP_DATA[[#This Row],[Bottom '[mLAT']]]-TP_DATA[[#This Row],[Top '[mLAT']]]),"")</f>
        <v/>
      </c>
      <c r="AY154" s="85" t="str">
        <f t="shared" si="7"/>
        <v/>
      </c>
      <c r="AZ154" s="85" t="str">
        <f>IFERROR((TP_DATA[[#This Row],[D, bottom '[m']]]+TP_DATA[[#This Row],[D, top '[m']]])/(2*TP_DATA[[#This Row],[t '[mm']]]/1000),"")</f>
        <v/>
      </c>
      <c r="CQ154" s="85" t="str">
        <f>IFERROR(TOWER_DATA[[#This Row],[Bottom '[mLAT']]]-TOWER_DATA[[#This Row],[D, top '[m']]], "")</f>
        <v/>
      </c>
      <c r="CR154" s="85" t="str">
        <f>IFERROR(-(TOWER_DATA[[#This Row],[D, bottom '[m']]]-TOWER_DATA[[#This Row],[D, top '[m']]])/(TOWER_DATA[[#This Row],[Bottom '[mLAT']]]-TOWER_DATA[[#This Row],[Top '[mLAT']]]),"")</f>
        <v/>
      </c>
      <c r="CS154" s="85" t="str">
        <f t="shared" si="8"/>
        <v/>
      </c>
      <c r="CT154" s="85" t="str">
        <f>IFERROR((TOWER_DATA[[#This Row],[D, bottom '[m']]]+TOWER_DATA[[#This Row],[D, top '[m']]])/(2*TOWER_DATA[[#This Row],[t '[mm']]]/1000),"")</f>
        <v/>
      </c>
    </row>
    <row r="155" spans="8:98" x14ac:dyDescent="0.3">
      <c r="H155" s="85" t="str">
        <f>IFERROR(MP_DATA[[#This Row],[Bottom '[mLAT']]]-MP_DATA[[#This Row],[D, top '[m']]], "")</f>
        <v/>
      </c>
      <c r="I155" s="85" t="str">
        <f>IFERROR(-(MP_DATA[[#This Row],[D, bottom '[m']]]-MP_DATA[[#This Row],[D, top '[m']]])/(MP_DATA[[#This Row],[Bottom '[mLAT']]]-MP_DATA[[#This Row],[Top '[mLAT']]]),"")</f>
        <v/>
      </c>
      <c r="K155" s="85" t="str">
        <f>IFERROR((MP_DATA[[#This Row],[D, bottom '[m']]]+MP_DATA[[#This Row],[D, top '[m']]])/(2*MP_DATA[[#This Row],[t '[mm']]]/1000),"")</f>
        <v/>
      </c>
      <c r="AW155" s="85" t="str">
        <f>IFERROR(TP_DATA[[#This Row],[Bottom '[mLAT']]]-TP_DATA[[#This Row],[D, top '[m']]], "")</f>
        <v/>
      </c>
      <c r="AX155" s="85" t="str">
        <f>IFERROR(-(TP_DATA[[#This Row],[D, bottom '[m']]]-TP_DATA[[#This Row],[D, top '[m']]])/(TP_DATA[[#This Row],[Bottom '[mLAT']]]-TP_DATA[[#This Row],[Top '[mLAT']]]),"")</f>
        <v/>
      </c>
      <c r="AZ155" s="85" t="str">
        <f>IFERROR((TP_DATA[[#This Row],[D, bottom '[m']]]+TP_DATA[[#This Row],[D, top '[m']]])/(2*TP_DATA[[#This Row],[t '[mm']]]/1000),"")</f>
        <v/>
      </c>
      <c r="CQ155" s="85" t="str">
        <f>IFERROR(TOWER_DATA[[#This Row],[Bottom '[mLAT']]]-TOWER_DATA[[#This Row],[D, top '[m']]], "")</f>
        <v/>
      </c>
      <c r="CR155" s="85" t="str">
        <f>IFERROR(-(TOWER_DATA[[#This Row],[D, bottom '[m']]]-TOWER_DATA[[#This Row],[D, top '[m']]])/(TOWER_DATA[[#This Row],[Bottom '[mLAT']]]-TOWER_DATA[[#This Row],[Top '[mLAT']]]),"")</f>
        <v/>
      </c>
      <c r="CT155" s="85" t="str">
        <f>IFERROR((TOWER_DATA[[#This Row],[D, bottom '[m']]]+TOWER_DATA[[#This Row],[D, top '[m']]])/(2*TOWER_DATA[[#This Row],[t '[mm']]]/1000),"")</f>
        <v/>
      </c>
    </row>
    <row r="156" spans="8:98" x14ac:dyDescent="0.3">
      <c r="H156" s="85" t="str">
        <f>IFERROR(MP_DATA[[#This Row],[Bottom '[mLAT']]]-MP_DATA[[#This Row],[D, top '[m']]], "")</f>
        <v/>
      </c>
      <c r="I156" s="85" t="str">
        <f>IFERROR(-(MP_DATA[[#This Row],[D, bottom '[m']]]-MP_DATA[[#This Row],[D, top '[m']]])/(MP_DATA[[#This Row],[Bottom '[mLAT']]]-MP_DATA[[#This Row],[Top '[mLAT']]]),"")</f>
        <v/>
      </c>
      <c r="K156" s="85" t="str">
        <f>IFERROR((MP_DATA[[#This Row],[D, bottom '[m']]]+MP_DATA[[#This Row],[D, top '[m']]])/(2*MP_DATA[[#This Row],[t '[mm']]]/1000),"")</f>
        <v/>
      </c>
      <c r="AW156" s="85" t="str">
        <f>IFERROR(TP_DATA[[#This Row],[Bottom '[mLAT']]]-TP_DATA[[#This Row],[D, top '[m']]], "")</f>
        <v/>
      </c>
      <c r="AX156" s="85" t="str">
        <f>IFERROR(-(TP_DATA[[#This Row],[D, bottom '[m']]]-TP_DATA[[#This Row],[D, top '[m']]])/(TP_DATA[[#This Row],[Bottom '[mLAT']]]-TP_DATA[[#This Row],[Top '[mLAT']]]),"")</f>
        <v/>
      </c>
      <c r="AZ156" s="85" t="str">
        <f>IFERROR((TP_DATA[[#This Row],[D, bottom '[m']]]+TP_DATA[[#This Row],[D, top '[m']]])/(2*TP_DATA[[#This Row],[t '[mm']]]/1000),"")</f>
        <v/>
      </c>
      <c r="CQ156" s="85" t="str">
        <f>IFERROR(TOWER_DATA[[#This Row],[Bottom '[mLAT']]]-TOWER_DATA[[#This Row],[D, top '[m']]], "")</f>
        <v/>
      </c>
      <c r="CR156" s="85" t="str">
        <f>IFERROR(-(TOWER_DATA[[#This Row],[D, bottom '[m']]]-TOWER_DATA[[#This Row],[D, top '[m']]])/(TOWER_DATA[[#This Row],[Bottom '[mLAT']]]-TOWER_DATA[[#This Row],[Top '[mLAT']]]),"")</f>
        <v/>
      </c>
      <c r="CT156" s="85" t="str">
        <f>IFERROR((TOWER_DATA[[#This Row],[D, bottom '[m']]]+TOWER_DATA[[#This Row],[D, top '[m']]])/(2*TOWER_DATA[[#This Row],[t '[mm']]]/1000),"")</f>
        <v/>
      </c>
    </row>
    <row r="157" spans="8:98" x14ac:dyDescent="0.3">
      <c r="H157" s="85" t="str">
        <f>IFERROR(MP_DATA[[#This Row],[Bottom '[mLAT']]]-MP_DATA[[#This Row],[D, top '[m']]], "")</f>
        <v/>
      </c>
      <c r="I157" s="85" t="str">
        <f>IFERROR(-(MP_DATA[[#This Row],[D, bottom '[m']]]-MP_DATA[[#This Row],[D, top '[m']]])/(MP_DATA[[#This Row],[Bottom '[mLAT']]]-MP_DATA[[#This Row],[Top '[mLAT']]]),"")</f>
        <v/>
      </c>
      <c r="K157" s="85" t="str">
        <f>IFERROR((MP_DATA[[#This Row],[D, bottom '[m']]]+MP_DATA[[#This Row],[D, top '[m']]])/(2*MP_DATA[[#This Row],[t '[mm']]]/1000),"")</f>
        <v/>
      </c>
      <c r="AW157" s="85" t="str">
        <f>IFERROR(TP_DATA[[#This Row],[Bottom '[mLAT']]]-TP_DATA[[#This Row],[D, top '[m']]], "")</f>
        <v/>
      </c>
      <c r="AX157" s="85" t="str">
        <f>IFERROR(-(TP_DATA[[#This Row],[D, bottom '[m']]]-TP_DATA[[#This Row],[D, top '[m']]])/(TP_DATA[[#This Row],[Bottom '[mLAT']]]-TP_DATA[[#This Row],[Top '[mLAT']]]),"")</f>
        <v/>
      </c>
      <c r="AZ157" s="85" t="str">
        <f>IFERROR((TP_DATA[[#This Row],[D, bottom '[m']]]+TP_DATA[[#This Row],[D, top '[m']]])/(2*TP_DATA[[#This Row],[t '[mm']]]/1000),"")</f>
        <v/>
      </c>
      <c r="CQ157" s="85" t="str">
        <f>IFERROR(TOWER_DATA[[#This Row],[Bottom '[mLAT']]]-TOWER_DATA[[#This Row],[D, top '[m']]], "")</f>
        <v/>
      </c>
      <c r="CR157" s="85" t="str">
        <f>IFERROR(-(TOWER_DATA[[#This Row],[D, bottom '[m']]]-TOWER_DATA[[#This Row],[D, top '[m']]])/(TOWER_DATA[[#This Row],[Bottom '[mLAT']]]-TOWER_DATA[[#This Row],[Top '[mLAT']]]),"")</f>
        <v/>
      </c>
      <c r="CT157" s="85" t="str">
        <f>IFERROR((TOWER_DATA[[#This Row],[D, bottom '[m']]]+TOWER_DATA[[#This Row],[D, top '[m']]])/(2*TOWER_DATA[[#This Row],[t '[mm']]]/1000),"")</f>
        <v/>
      </c>
    </row>
    <row r="158" spans="8:98" x14ac:dyDescent="0.3">
      <c r="H158" s="85" t="str">
        <f>IFERROR(MP_DATA[[#This Row],[Bottom '[mLAT']]]-MP_DATA[[#This Row],[D, top '[m']]], "")</f>
        <v/>
      </c>
      <c r="I158" s="85" t="str">
        <f>IFERROR(-(MP_DATA[[#This Row],[D, bottom '[m']]]-MP_DATA[[#This Row],[D, top '[m']]])/(MP_DATA[[#This Row],[Bottom '[mLAT']]]-MP_DATA[[#This Row],[Top '[mLAT']]]),"")</f>
        <v/>
      </c>
      <c r="K158" s="85" t="str">
        <f>IFERROR((MP_DATA[[#This Row],[D, bottom '[m']]]+MP_DATA[[#This Row],[D, top '[m']]])/(2*MP_DATA[[#This Row],[t '[mm']]]/1000),"")</f>
        <v/>
      </c>
      <c r="AW158" s="85" t="str">
        <f>IFERROR(TP_DATA[[#This Row],[Bottom '[mLAT']]]-TP_DATA[[#This Row],[D, top '[m']]], "")</f>
        <v/>
      </c>
      <c r="AX158" s="85" t="str">
        <f>IFERROR(-(TP_DATA[[#This Row],[D, bottom '[m']]]-TP_DATA[[#This Row],[D, top '[m']]])/(TP_DATA[[#This Row],[Bottom '[mLAT']]]-TP_DATA[[#This Row],[Top '[mLAT']]]),"")</f>
        <v/>
      </c>
      <c r="AZ158" s="85" t="str">
        <f>IFERROR((TP_DATA[[#This Row],[D, bottom '[m']]]+TP_DATA[[#This Row],[D, top '[m']]])/(2*TP_DATA[[#This Row],[t '[mm']]]/1000),"")</f>
        <v/>
      </c>
      <c r="CQ158" s="85" t="str">
        <f>IFERROR(TOWER_DATA[[#This Row],[Bottom '[mLAT']]]-TOWER_DATA[[#This Row],[D, top '[m']]], "")</f>
        <v/>
      </c>
      <c r="CR158" s="85" t="str">
        <f>IFERROR(-(TOWER_DATA[[#This Row],[D, bottom '[m']]]-TOWER_DATA[[#This Row],[D, top '[m']]])/(TOWER_DATA[[#This Row],[Bottom '[mLAT']]]-TOWER_DATA[[#This Row],[Top '[mLAT']]]),"")</f>
        <v/>
      </c>
      <c r="CT158" s="85" t="str">
        <f>IFERROR((TOWER_DATA[[#This Row],[D, bottom '[m']]]+TOWER_DATA[[#This Row],[D, top '[m']]])/(2*TOWER_DATA[[#This Row],[t '[mm']]]/1000),"")</f>
        <v/>
      </c>
    </row>
    <row r="159" spans="8:98" x14ac:dyDescent="0.3">
      <c r="H159" s="85" t="str">
        <f>IFERROR(MP_DATA[[#This Row],[Bottom '[mLAT']]]-MP_DATA[[#This Row],[D, top '[m']]], "")</f>
        <v/>
      </c>
      <c r="I159" s="85" t="str">
        <f>IFERROR(-(MP_DATA[[#This Row],[D, bottom '[m']]]-MP_DATA[[#This Row],[D, top '[m']]])/(MP_DATA[[#This Row],[Bottom '[mLAT']]]-MP_DATA[[#This Row],[Top '[mLAT']]]),"")</f>
        <v/>
      </c>
      <c r="K159" s="85" t="str">
        <f>IFERROR((MP_DATA[[#This Row],[D, bottom '[m']]]+MP_DATA[[#This Row],[D, top '[m']]])/(2*MP_DATA[[#This Row],[t '[mm']]]/1000),"")</f>
        <v/>
      </c>
      <c r="AW159" s="85" t="str">
        <f>IFERROR(TP_DATA[[#This Row],[Bottom '[mLAT']]]-TP_DATA[[#This Row],[D, top '[m']]], "")</f>
        <v/>
      </c>
      <c r="AX159" s="85" t="str">
        <f>IFERROR(-(TP_DATA[[#This Row],[D, bottom '[m']]]-TP_DATA[[#This Row],[D, top '[m']]])/(TP_DATA[[#This Row],[Bottom '[mLAT']]]-TP_DATA[[#This Row],[Top '[mLAT']]]),"")</f>
        <v/>
      </c>
      <c r="AZ159" s="85" t="str">
        <f>IFERROR((TP_DATA[[#This Row],[D, bottom '[m']]]+TP_DATA[[#This Row],[D, top '[m']]])/(2*TP_DATA[[#This Row],[t '[mm']]]/1000),"")</f>
        <v/>
      </c>
      <c r="CQ159" s="85" t="str">
        <f>IFERROR(TOWER_DATA[[#This Row],[Bottom '[mLAT']]]-TOWER_DATA[[#This Row],[D, top '[m']]], "")</f>
        <v/>
      </c>
      <c r="CR159" s="85" t="str">
        <f>IFERROR(-(TOWER_DATA[[#This Row],[D, bottom '[m']]]-TOWER_DATA[[#This Row],[D, top '[m']]])/(TOWER_DATA[[#This Row],[Bottom '[mLAT']]]-TOWER_DATA[[#This Row],[Top '[mLAT']]]),"")</f>
        <v/>
      </c>
      <c r="CT159" s="85" t="str">
        <f>IFERROR((TOWER_DATA[[#This Row],[D, bottom '[m']]]+TOWER_DATA[[#This Row],[D, top '[m']]])/(2*TOWER_DATA[[#This Row],[t '[mm']]]/1000),"")</f>
        <v/>
      </c>
    </row>
    <row r="160" spans="8:98" x14ac:dyDescent="0.3">
      <c r="H160" s="85" t="str">
        <f>IFERROR(MP_DATA[[#This Row],[Bottom '[mLAT']]]-MP_DATA[[#This Row],[D, top '[m']]], "")</f>
        <v/>
      </c>
      <c r="I160" s="85" t="str">
        <f>IFERROR(-(MP_DATA[[#This Row],[D, bottom '[m']]]-MP_DATA[[#This Row],[D, top '[m']]])/(MP_DATA[[#This Row],[Bottom '[mLAT']]]-MP_DATA[[#This Row],[Top '[mLAT']]]),"")</f>
        <v/>
      </c>
      <c r="K160" s="85" t="str">
        <f>IFERROR((MP_DATA[[#This Row],[D, bottom '[m']]]+MP_DATA[[#This Row],[D, top '[m']]])/(2*MP_DATA[[#This Row],[t '[mm']]]/1000),"")</f>
        <v/>
      </c>
      <c r="AW160" s="85" t="str">
        <f>IFERROR(TP_DATA[[#This Row],[Bottom '[mLAT']]]-TP_DATA[[#This Row],[D, top '[m']]], "")</f>
        <v/>
      </c>
      <c r="AX160" s="85" t="str">
        <f>IFERROR(-(TP_DATA[[#This Row],[D, bottom '[m']]]-TP_DATA[[#This Row],[D, top '[m']]])/(TP_DATA[[#This Row],[Bottom '[mLAT']]]-TP_DATA[[#This Row],[Top '[mLAT']]]),"")</f>
        <v/>
      </c>
      <c r="AZ160" s="85" t="str">
        <f>IFERROR((TP_DATA[[#This Row],[D, bottom '[m']]]+TP_DATA[[#This Row],[D, top '[m']]])/(2*TP_DATA[[#This Row],[t '[mm']]]/1000),"")</f>
        <v/>
      </c>
      <c r="CQ160" s="85" t="str">
        <f>IFERROR(TOWER_DATA[[#This Row],[Bottom '[mLAT']]]-TOWER_DATA[[#This Row],[D, top '[m']]], "")</f>
        <v/>
      </c>
      <c r="CR160" s="85" t="str">
        <f>IFERROR(-(TOWER_DATA[[#This Row],[D, bottom '[m']]]-TOWER_DATA[[#This Row],[D, top '[m']]])/(TOWER_DATA[[#This Row],[Bottom '[mLAT']]]-TOWER_DATA[[#This Row],[Top '[mLAT']]]),"")</f>
        <v/>
      </c>
      <c r="CT160" s="85" t="str">
        <f>IFERROR((TOWER_DATA[[#This Row],[D, bottom '[m']]]+TOWER_DATA[[#This Row],[D, top '[m']]])/(2*TOWER_DATA[[#This Row],[t '[mm']]]/1000),"")</f>
        <v/>
      </c>
    </row>
    <row r="161" spans="8:79" x14ac:dyDescent="0.3">
      <c r="H161" s="85" t="str">
        <f>IFERROR(MP_DATA[[#This Row],[Bottom '[mLAT']]]-MP_DATA[[#This Row],[D, top '[m']]], "")</f>
        <v/>
      </c>
      <c r="K161" s="85" t="str">
        <f>IFERROR((MP_DATA[[#This Row],[D, bottom '[m']]]+MP_DATA[[#This Row],[D, top '[m']]])/(2*MP_DATA[[#This Row],[t '[mm']]]/1000),"")</f>
        <v/>
      </c>
      <c r="BX161" s="85"/>
      <c r="BY161" s="85"/>
      <c r="BZ161" s="85"/>
      <c r="CA161" s="85"/>
    </row>
    <row r="162" spans="8:79" x14ac:dyDescent="0.3">
      <c r="BX162" s="85"/>
      <c r="BY162" s="85"/>
      <c r="BZ162" s="85"/>
      <c r="CA162" s="85"/>
    </row>
  </sheetData>
  <dataConsolidate/>
  <phoneticPr fontId="13" type="noConversion"/>
  <conditionalFormatting sqref="B1960">
    <cfRule type="expression" dxfId="148" priority="12">
      <formula>B1959&lt;&gt;_xludf.INDIRECT("B" &amp; _xludf.ROW() + 200)</formula>
    </cfRule>
  </conditionalFormatting>
  <conditionalFormatting sqref="B162:L185 B50:G161 I161:J161 J155:J160 L138:L161">
    <cfRule type="expression" dxfId="147" priority="14">
      <formula>#REF!&lt;&gt;_xludf.INDIRECT(_xludf.ADDRESS(_xludf.ROW()-200,_xludf.COLUMN()))</formula>
    </cfRule>
  </conditionalFormatting>
  <conditionalFormatting sqref="H200">
    <cfRule type="expression" dxfId="146" priority="16">
      <formula>#REF!&lt;&gt;_xludf.INDIRECT(_xludf.ADDRESS(_xludf.ROW()-200,_xludf.COLUMN()))</formula>
    </cfRule>
  </conditionalFormatting>
  <conditionalFormatting sqref="D187">
    <cfRule type="expression" dxfId="145" priority="19">
      <formula>#REF!&lt;&gt;_xludf.INDIRECT(_xludf.ADDRESS(_xludf.ROW()-200,_xludf.COLUMN()))</formula>
    </cfRule>
  </conditionalFormatting>
  <conditionalFormatting sqref="G202:G208 H201:H208 G191:G200 B191:F208 H191:H199 I191:L208">
    <cfRule type="expression" dxfId="144" priority="20">
      <formula>B23&lt;&gt;_xludf.INDIRECT(_xludf.ADDRESS(_xludf.ROW()-200,_xludf.COLUMN()))</formula>
    </cfRule>
  </conditionalFormatting>
  <conditionalFormatting sqref="G201">
    <cfRule type="expression" dxfId="143" priority="29">
      <formula>H32&lt;&gt;_xludf.INDIRECT(_xludf.ADDRESS(_xludf.ROW()-200,_xludf.COLUMN()))</formula>
    </cfRule>
  </conditionalFormatting>
  <conditionalFormatting sqref="F187:G190 C187:C190 D188:E190 C186:G186 I186:L190">
    <cfRule type="expression" dxfId="142" priority="30">
      <formula>B18&lt;&gt;_xludf.INDIRECT(_xludf.ADDRESS(_xludf.ROW()-200,_xludf.COLUMN()))</formula>
    </cfRule>
  </conditionalFormatting>
  <conditionalFormatting sqref="B186:B190 H186:H190">
    <cfRule type="expression" dxfId="141" priority="37">
      <formula>#REF!&lt;&gt;_xludf.INDIRECT(_xludf.ADDRESS(_xludf.ROW()-200,_xludf.COLUMN()))</formula>
    </cfRule>
  </conditionalFormatting>
  <conditionalFormatting sqref="E187">
    <cfRule type="expression" dxfId="140" priority="40">
      <formula>C19&lt;&gt;_xludf.INDIRECT(_xludf.ADDRESS(_xludf.ROW()-200,_xludf.COLUMN()))</formula>
    </cfRule>
  </conditionalFormatting>
  <conditionalFormatting sqref="AQ50:AV160 AY155:AY160 BA138:BA160">
    <cfRule type="expression" dxfId="139" priority="2">
      <formula>#REF!&lt;&gt;_xludf.INDIRECT(_xludf.ADDRESS(_xludf.ROW()-200,_xludf.COLUMN()))</formula>
    </cfRule>
  </conditionalFormatting>
  <conditionalFormatting sqref="CK50:CP160 CS155:CS160 CU138:CU160">
    <cfRule type="expression" dxfId="138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build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8</xdr:row>
                    <xdr:rowOff>160020</xdr:rowOff>
                  </from>
                  <to>
                    <xdr:col>2</xdr:col>
                    <xdr:colOff>678180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7</xdr:row>
                    <xdr:rowOff>30480</xdr:rowOff>
                  </from>
                  <to>
                    <xdr:col>1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13</xdr:col>
                    <xdr:colOff>38100</xdr:colOff>
                    <xdr:row>11</xdr:row>
                    <xdr:rowOff>22860</xdr:rowOff>
                  </from>
                  <to>
                    <xdr:col>14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7</xdr:col>
                    <xdr:colOff>281940</xdr:colOff>
                    <xdr:row>11</xdr:row>
                    <xdr:rowOff>30480</xdr:rowOff>
                  </from>
                  <to>
                    <xdr:col>9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save_MP_Data">
                <anchor moveWithCells="1" sizeWithCells="1">
                  <from>
                    <xdr:col>10</xdr:col>
                    <xdr:colOff>45720</xdr:colOff>
                    <xdr:row>11</xdr:row>
                    <xdr:rowOff>22860</xdr:rowOff>
                  </from>
                  <to>
                    <xdr:col>12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42</xdr:col>
                    <xdr:colOff>38100</xdr:colOff>
                    <xdr:row>8</xdr:row>
                    <xdr:rowOff>160020</xdr:rowOff>
                  </from>
                  <to>
                    <xdr:col>45</xdr:col>
                    <xdr:colOff>403860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42</xdr:col>
                    <xdr:colOff>30480</xdr:colOff>
                    <xdr:row>7</xdr:row>
                    <xdr:rowOff>30480</xdr:rowOff>
                  </from>
                  <to>
                    <xdr:col>42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54</xdr:col>
                    <xdr:colOff>38100</xdr:colOff>
                    <xdr:row>11</xdr:row>
                    <xdr:rowOff>22860</xdr:rowOff>
                  </from>
                  <to>
                    <xdr:col>55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48</xdr:col>
                    <xdr:colOff>281940</xdr:colOff>
                    <xdr:row>11</xdr:row>
                    <xdr:rowOff>30480</xdr:rowOff>
                  </from>
                  <to>
                    <xdr:col>50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4" name="Button 25">
              <controlPr defaultSize="0" print="0" autoFill="0" autoPict="0" macro="[0]!save_MP_Data">
                <anchor moveWithCells="1" sizeWithCells="1">
                  <from>
                    <xdr:col>51</xdr:col>
                    <xdr:colOff>45720</xdr:colOff>
                    <xdr:row>11</xdr:row>
                    <xdr:rowOff>22860</xdr:rowOff>
                  </from>
                  <to>
                    <xdr:col>53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Dropdown_TOWER_Structures">
              <controlPr defaultSize="0" autoLine="0" autoPict="0" macro="[0]!load_TOWER_Data">
                <anchor moveWithCells="1">
                  <from>
                    <xdr:col>88</xdr:col>
                    <xdr:colOff>38100</xdr:colOff>
                    <xdr:row>8</xdr:row>
                    <xdr:rowOff>160020</xdr:rowOff>
                  </from>
                  <to>
                    <xdr:col>91</xdr:col>
                    <xdr:colOff>411480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6" name="Button 27">
              <controlPr defaultSize="0" print="0" autoFill="0" autoPict="0" macro="[0]!load_TOWER_DB">
                <anchor moveWithCells="1" sizeWithCells="1">
                  <from>
                    <xdr:col>88</xdr:col>
                    <xdr:colOff>30480</xdr:colOff>
                    <xdr:row>7</xdr:row>
                    <xdr:rowOff>30480</xdr:rowOff>
                  </from>
                  <to>
                    <xdr:col>88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7" name="Button 28">
              <controlPr defaultSize="0" print="0" autoFill="0" autoPict="0" macro="[0]!save_TOWER_Data">
                <anchor moveWithCells="1" sizeWithCells="1">
                  <from>
                    <xdr:col>100</xdr:col>
                    <xdr:colOff>38100</xdr:colOff>
                    <xdr:row>11</xdr:row>
                    <xdr:rowOff>22860</xdr:rowOff>
                  </from>
                  <to>
                    <xdr:col>101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8" name="Button 29">
              <controlPr defaultSize="0" print="0" autoFill="0" autoPict="0" macro="[0]!delete_TOWER_Data">
                <anchor moveWithCells="1" sizeWithCells="1">
                  <from>
                    <xdr:col>94</xdr:col>
                    <xdr:colOff>281940</xdr:colOff>
                    <xdr:row>11</xdr:row>
                    <xdr:rowOff>30480</xdr:rowOff>
                  </from>
                  <to>
                    <xdr:col>96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9" name="Button 30">
              <controlPr defaultSize="0" print="0" autoFill="0" autoPict="0" macro="[0]!save_TOWER_Data">
                <anchor moveWithCells="1" sizeWithCells="1">
                  <from>
                    <xdr:col>97</xdr:col>
                    <xdr:colOff>45720</xdr:colOff>
                    <xdr:row>11</xdr:row>
                    <xdr:rowOff>22860</xdr:rowOff>
                  </from>
                  <to>
                    <xdr:col>99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24"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4.4" x14ac:dyDescent="0.3"/>
  <cols>
    <col min="2" max="2" width="18.109375" customWidth="1"/>
    <col min="3" max="3" width="12" customWidth="1"/>
    <col min="7" max="7" width="21.44140625" customWidth="1"/>
    <col min="8" max="9" width="17.33203125" customWidth="1"/>
    <col min="11" max="11" width="14.44140625" customWidth="1"/>
    <col min="12" max="12" width="22.33203125" customWidth="1"/>
    <col min="13" max="13" width="22" customWidth="1"/>
    <col min="14" max="14" width="25" customWidth="1"/>
    <col min="16" max="16" width="17.5546875" customWidth="1"/>
    <col min="17" max="17" width="11.44140625" customWidth="1"/>
    <col min="18" max="18" width="16.44140625" customWidth="1"/>
    <col min="19" max="19" width="11.44140625" customWidth="1"/>
    <col min="22" max="23" width="18.109375" customWidth="1"/>
  </cols>
  <sheetData>
    <row r="2" spans="1:24" ht="15" thickBot="1" x14ac:dyDescent="0.35"/>
    <row r="3" spans="1:24" ht="15.75" customHeight="1" thickBot="1" x14ac:dyDescent="0.35">
      <c r="B3" s="12" t="s">
        <v>64</v>
      </c>
      <c r="C3" s="100">
        <f>[2]Geometrie!D36</f>
        <v>91.787000000000006</v>
      </c>
      <c r="D3" s="101"/>
      <c r="E3" s="102"/>
      <c r="G3" s="63" t="s">
        <v>65</v>
      </c>
      <c r="H3" s="64" t="s">
        <v>66</v>
      </c>
      <c r="I3" s="65" t="s">
        <v>67</v>
      </c>
      <c r="K3" s="98" t="s">
        <v>68</v>
      </c>
      <c r="L3" s="103"/>
      <c r="M3" s="103"/>
      <c r="N3" s="99"/>
      <c r="P3" s="63" t="s">
        <v>82</v>
      </c>
      <c r="Q3" s="64"/>
      <c r="R3" s="65" t="s">
        <v>83</v>
      </c>
    </row>
    <row r="4" spans="1:24" ht="15.75" customHeight="1" thickBot="1" x14ac:dyDescent="0.35">
      <c r="G4" s="98" t="s">
        <v>69</v>
      </c>
      <c r="H4" s="99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8"/>
      <c r="Q4" s="99"/>
      <c r="R4" s="10"/>
    </row>
    <row r="5" spans="1:24" ht="15" thickBot="1" x14ac:dyDescent="0.35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" thickBot="1" x14ac:dyDescent="0.35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" thickBot="1" x14ac:dyDescent="0.35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3">
      <c r="K8" s="75" t="s">
        <v>84</v>
      </c>
    </row>
    <row r="9" spans="1:24" ht="15" thickBot="1" x14ac:dyDescent="0.35"/>
    <row r="10" spans="1:24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3">
      <c r="A11" s="16"/>
      <c r="X11" s="17"/>
    </row>
    <row r="12" spans="1:24" x14ac:dyDescent="0.3">
      <c r="A12" s="16"/>
      <c r="F12" t="s">
        <v>85</v>
      </c>
      <c r="X12" s="17"/>
    </row>
    <row r="13" spans="1:24" x14ac:dyDescent="0.3">
      <c r="A13" s="16"/>
      <c r="X13" s="17"/>
    </row>
    <row r="14" spans="1:24" ht="15" thickBot="1" x14ac:dyDescent="0.3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3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6" x14ac:dyDescent="0.3">
      <c r="A16" s="16"/>
      <c r="B16" s="62" t="s">
        <v>86</v>
      </c>
      <c r="X16" s="17"/>
    </row>
    <row r="17" spans="1:24" x14ac:dyDescent="0.3">
      <c r="A17" s="16"/>
      <c r="X17" s="17"/>
    </row>
    <row r="18" spans="1:24" x14ac:dyDescent="0.3">
      <c r="A18" s="16"/>
      <c r="B18" t="s">
        <v>17</v>
      </c>
      <c r="M18" t="s">
        <v>19</v>
      </c>
      <c r="X18" s="17"/>
    </row>
    <row r="19" spans="1:24" x14ac:dyDescent="0.3">
      <c r="A19" s="16"/>
      <c r="X19" s="17"/>
    </row>
    <row r="20" spans="1:24" x14ac:dyDescent="0.3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3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3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3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3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3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3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3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3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3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3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3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3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3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3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3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3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3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3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3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3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3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3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3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3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3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3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" thickBot="1" x14ac:dyDescent="0.35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22860</xdr:colOff>
                    <xdr:row>10</xdr:row>
                    <xdr:rowOff>0</xdr:rowOff>
                  </from>
                  <to>
                    <xdr:col>2</xdr:col>
                    <xdr:colOff>99060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22860</xdr:rowOff>
                  </from>
                  <to>
                    <xdr:col>3</xdr:col>
                    <xdr:colOff>601980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110</v>
      </c>
    </row>
    <row r="3" spans="2:4" ht="17.25" customHeight="1" x14ac:dyDescent="0.3">
      <c r="B3" s="76" t="s">
        <v>91</v>
      </c>
    </row>
    <row r="4" spans="2:4" ht="17.25" customHeight="1" x14ac:dyDescent="0.3">
      <c r="B4" s="76" t="s">
        <v>92</v>
      </c>
      <c r="D4" s="76"/>
    </row>
    <row r="5" spans="2:4" ht="17.25" customHeight="1" x14ac:dyDescent="0.3">
      <c r="B5" s="76" t="s">
        <v>93</v>
      </c>
    </row>
    <row r="6" spans="2:4" ht="17.25" customHeight="1" x14ac:dyDescent="0.3">
      <c r="B6" s="76" t="s">
        <v>94</v>
      </c>
    </row>
    <row r="7" spans="2:4" ht="17.25" customHeight="1" x14ac:dyDescent="0.3">
      <c r="B7" s="77" t="s">
        <v>95</v>
      </c>
    </row>
    <row r="8" spans="2:4" ht="17.25" customHeight="1" x14ac:dyDescent="0.3">
      <c r="B8" s="77" t="s">
        <v>96</v>
      </c>
    </row>
    <row r="9" spans="2:4" ht="17.25" customHeight="1" x14ac:dyDescent="0.3">
      <c r="B9" s="77" t="s">
        <v>97</v>
      </c>
    </row>
    <row r="10" spans="2:4" ht="17.25" customHeight="1" x14ac:dyDescent="0.3">
      <c r="B10" s="77" t="s">
        <v>98</v>
      </c>
    </row>
    <row r="11" spans="2:4" ht="17.25" customHeight="1" x14ac:dyDescent="0.3">
      <c r="B11" s="77" t="s">
        <v>99</v>
      </c>
    </row>
    <row r="12" spans="2:4" ht="17.25" customHeight="1" x14ac:dyDescent="0.3">
      <c r="B12" s="76" t="s">
        <v>100</v>
      </c>
    </row>
    <row r="13" spans="2:4" ht="17.25" customHeight="1" x14ac:dyDescent="0.3">
      <c r="B13" s="76" t="s">
        <v>101</v>
      </c>
    </row>
    <row r="14" spans="2:4" ht="17.25" customHeight="1" x14ac:dyDescent="0.3">
      <c r="B14" s="76" t="s">
        <v>102</v>
      </c>
    </row>
    <row r="15" spans="2:4" ht="17.25" customHeight="1" x14ac:dyDescent="0.3">
      <c r="B15" s="76" t="s">
        <v>103</v>
      </c>
    </row>
    <row r="16" spans="2:4" ht="17.25" customHeight="1" x14ac:dyDescent="0.3">
      <c r="B16" s="76" t="s">
        <v>104</v>
      </c>
    </row>
    <row r="17" spans="2:2" ht="17.25" customHeight="1" x14ac:dyDescent="0.3">
      <c r="B17" s="76" t="s">
        <v>105</v>
      </c>
    </row>
    <row r="18" spans="2:2" ht="17.25" customHeight="1" x14ac:dyDescent="0.3">
      <c r="B18" s="76" t="s">
        <v>106</v>
      </c>
    </row>
    <row r="19" spans="2:2" ht="17.25" customHeight="1" x14ac:dyDescent="0.3">
      <c r="B19" s="76" t="s">
        <v>107</v>
      </c>
    </row>
    <row r="20" spans="2:2" ht="17.25" customHeight="1" x14ac:dyDescent="0.3">
      <c r="B20" s="76" t="s">
        <v>108</v>
      </c>
    </row>
    <row r="21" spans="2:2" ht="17.25" customHeight="1" x14ac:dyDescent="0.3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9</vt:i4>
      </vt:variant>
    </vt:vector>
  </HeadingPairs>
  <TitlesOfParts>
    <vt:vector size="13" baseType="lpstr">
      <vt:lpstr>CreateStucture</vt:lpstr>
      <vt:lpstr>BuildYourStructure</vt:lpstr>
      <vt:lpstr>Overview</vt:lpstr>
      <vt:lpstr>Loop</vt:lpstr>
      <vt:lpstr>Tabale_MP_META</vt:lpstr>
      <vt:lpstr>Table_MP_DATA</vt:lpstr>
      <vt:lpstr>Table_MP_META</vt:lpstr>
      <vt:lpstr>Table_TP_DATA</vt:lpstr>
      <vt:lpstr>Table_TP_META</vt:lpstr>
      <vt:lpstr>Text</vt:lpstr>
      <vt:lpstr>TextBox_MP_db_path</vt:lpstr>
      <vt:lpstr>TextBox_TOWER_db_path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2025-05-20T14:01:11Z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